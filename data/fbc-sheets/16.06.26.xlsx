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16.06.26/"/>
    </mc:Choice>
  </mc:AlternateContent>
  <xr:revisionPtr revIDLastSave="0" documentId="8_{A78AD776-8EFF-4EBA-AEFF-CDA3D81F5406}" xr6:coauthVersionLast="47" xr6:coauthVersionMax="47" xr10:uidLastSave="{00000000-0000-0000-0000-000000000000}"/>
  <bookViews>
    <workbookView xWindow="-108" yWindow="-108" windowWidth="23256" windowHeight="12456" xr2:uid="{C9DE7CA9-F36B-41EE-A398-C5D4CF53A7B9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D84" i="1"/>
  <c r="Q83" i="1"/>
  <c r="P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/>
  <c r="Q79" i="1"/>
  <c r="M79" i="1"/>
  <c r="L79" i="1"/>
  <c r="K79" i="1"/>
  <c r="E79" i="1" s="1"/>
  <c r="J79" i="1"/>
  <c r="D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M74" i="1"/>
  <c r="L74" i="1"/>
  <c r="J74" i="1"/>
  <c r="D74" i="1" s="1"/>
  <c r="O72" i="1"/>
  <c r="N72" i="1"/>
  <c r="M71" i="1"/>
  <c r="L71" i="1"/>
  <c r="J71" i="1"/>
  <c r="K71" i="1" s="1"/>
  <c r="E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D61" i="1"/>
  <c r="M60" i="1"/>
  <c r="L60" i="1"/>
  <c r="J60" i="1"/>
  <c r="D60" i="1" s="1"/>
  <c r="M59" i="1"/>
  <c r="L59" i="1"/>
  <c r="J59" i="1"/>
  <c r="P59" i="1" s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D53" i="1" s="1"/>
  <c r="M52" i="1"/>
  <c r="L52" i="1"/>
  <c r="J52" i="1"/>
  <c r="Q52" i="1" s="1"/>
  <c r="M51" i="1"/>
  <c r="L51" i="1"/>
  <c r="J51" i="1"/>
  <c r="D51" i="1" s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Q45" i="1"/>
  <c r="M45" i="1"/>
  <c r="L45" i="1"/>
  <c r="K45" i="1"/>
  <c r="E45" i="1" s="1"/>
  <c r="J45" i="1"/>
  <c r="D45" i="1" s="1"/>
  <c r="Q44" i="1"/>
  <c r="M44" i="1"/>
  <c r="L44" i="1"/>
  <c r="K44" i="1"/>
  <c r="E44" i="1" s="1"/>
  <c r="J44" i="1"/>
  <c r="P44" i="1" s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D42" i="1" s="1"/>
  <c r="Q41" i="1"/>
  <c r="M41" i="1"/>
  <c r="L41" i="1"/>
  <c r="K41" i="1"/>
  <c r="E41" i="1" s="1"/>
  <c r="J41" i="1"/>
  <c r="P41" i="1" s="1"/>
  <c r="Q40" i="1"/>
  <c r="M40" i="1"/>
  <c r="L40" i="1"/>
  <c r="K40" i="1"/>
  <c r="E40" i="1" s="1"/>
  <c r="J40" i="1"/>
  <c r="D40" i="1" s="1"/>
  <c r="Q39" i="1"/>
  <c r="M39" i="1"/>
  <c r="L39" i="1"/>
  <c r="K39" i="1"/>
  <c r="E39" i="1" s="1"/>
  <c r="J39" i="1"/>
  <c r="D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D28" i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D25" i="1" s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D19" i="1"/>
  <c r="E18" i="1"/>
  <c r="D18" i="1"/>
  <c r="Q17" i="1"/>
  <c r="M17" i="1"/>
  <c r="L17" i="1"/>
  <c r="K17" i="1"/>
  <c r="E17" i="1" s="1"/>
  <c r="J17" i="1"/>
  <c r="D17" i="1" s="1"/>
  <c r="Q16" i="1"/>
  <c r="M16" i="1"/>
  <c r="L16" i="1"/>
  <c r="K16" i="1"/>
  <c r="J16" i="1"/>
  <c r="P16" i="1" s="1"/>
  <c r="E16" i="1"/>
  <c r="D16" i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D14" i="1"/>
  <c r="Q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D11" i="1" s="1"/>
  <c r="Q10" i="1"/>
  <c r="M10" i="1"/>
  <c r="L10" i="1"/>
  <c r="K10" i="1"/>
  <c r="J10" i="1"/>
  <c r="D10" i="1" s="1"/>
  <c r="E10" i="1"/>
  <c r="Q9" i="1"/>
  <c r="M9" i="1"/>
  <c r="L9" i="1"/>
  <c r="K9" i="1"/>
  <c r="E9" i="1" s="1"/>
  <c r="J9" i="1"/>
  <c r="P9" i="1" s="1"/>
  <c r="D59" i="1" l="1"/>
  <c r="D63" i="1"/>
  <c r="P11" i="1"/>
  <c r="P13" i="1"/>
  <c r="D57" i="1"/>
  <c r="Q59" i="1"/>
  <c r="D43" i="1"/>
  <c r="D41" i="1"/>
  <c r="P40" i="1"/>
  <c r="P42" i="1"/>
  <c r="P36" i="1"/>
  <c r="P34" i="1"/>
  <c r="D37" i="1"/>
  <c r="D15" i="1"/>
  <c r="P27" i="1"/>
  <c r="P55" i="1"/>
  <c r="P21" i="1"/>
  <c r="P45" i="1"/>
  <c r="P22" i="1"/>
  <c r="P57" i="1"/>
  <c r="P63" i="1"/>
  <c r="Q51" i="1"/>
  <c r="K74" i="1"/>
  <c r="E74" i="1" s="1"/>
  <c r="P24" i="1"/>
  <c r="P74" i="1"/>
  <c r="P10" i="1"/>
  <c r="P51" i="1"/>
  <c r="Q74" i="1"/>
  <c r="D44" i="1"/>
  <c r="D46" i="1"/>
  <c r="D9" i="1"/>
  <c r="P17" i="1"/>
  <c r="P25" i="1"/>
  <c r="P61" i="1"/>
  <c r="P33" i="1"/>
  <c r="Q53" i="1"/>
  <c r="P71" i="1"/>
  <c r="Q71" i="1"/>
  <c r="P39" i="1"/>
  <c r="D12" i="1"/>
  <c r="D52" i="1"/>
  <c r="P54" i="1"/>
  <c r="P56" i="1"/>
  <c r="P58" i="1"/>
  <c r="P60" i="1"/>
  <c r="P62" i="1"/>
  <c r="P64" i="1"/>
  <c r="P20" i="1"/>
  <c r="P23" i="1"/>
  <c r="P26" i="1"/>
  <c r="P29" i="1"/>
  <c r="P32" i="1"/>
  <c r="P35" i="1"/>
  <c r="P52" i="1"/>
  <c r="Q54" i="1"/>
  <c r="Q56" i="1"/>
  <c r="Q58" i="1"/>
  <c r="Q60" i="1"/>
  <c r="Q62" i="1"/>
  <c r="Q64" i="1"/>
  <c r="P70" i="1"/>
  <c r="Q70" i="1"/>
  <c r="D71" i="1"/>
  <c r="K70" i="1"/>
  <c r="E70" i="1" s="1"/>
</calcChain>
</file>

<file path=xl/sharedStrings.xml><?xml version="1.0" encoding="utf-8"?>
<sst xmlns="http://schemas.openxmlformats.org/spreadsheetml/2006/main" count="265" uniqueCount="182">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</sst>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B04E9D6A-BA35-4C3D-A083-8E743F4C7881}"/>
    <cellStyle name="Comma 5 2 2 2 2 2 2 2 2" xfId="4" xr:uid="{6ED421ED-FE6A-4FD5-8DF3-C0C76A305298}"/>
    <cellStyle name="Comma 6 2 2 2" xfId="5" xr:uid="{6CFBF903-35A9-4D06-951B-DAE47A98164C}"/>
    <cellStyle name="Hyperlink 2" xfId="8" xr:uid="{0E977108-5EB1-448E-88DB-ABC704FB98FD}"/>
    <cellStyle name="Normal" xfId="0" builtinId="0"/>
    <cellStyle name="Normal 2" xfId="2" xr:uid="{DC9A14F7-BFFD-459B-8E84-74C06F6A04BA}"/>
    <cellStyle name="Normal 20" xfId="7" xr:uid="{2E705983-1640-48D0-AE76-A421218DD81A}"/>
    <cellStyle name="Percent" xfId="1" builtinId="5"/>
    <cellStyle name="Percent 3" xfId="6" xr:uid="{035041C7-B912-44F5-8A04-240B491C4C81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8CDAADAD-009B-4495-902B-D33BF3C13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3FEB0AC6-D409-4F74-8940-C7E6DE8D7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5D7E-2F4D-49E0-B32C-A4D0BD6DF77E}">
  <dimension ref="A1:II106"/>
  <sheetViews>
    <sheetView tabSelected="1" zoomScale="73" zoomScaleNormal="60" workbookViewId="0">
      <selection activeCell="S71" sqref="S7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26.698699999999999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73824543.224951044</v>
      </c>
      <c r="E9" s="39">
        <f>C9*K9</f>
        <v>62572042.29206349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0.5917891133276153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2.5346867088607589E-2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4205833.8441572068</v>
      </c>
      <c r="E10" s="39">
        <f>C10*K10</f>
        <v>3564771.3033333337</v>
      </c>
      <c r="F10" s="40" t="s">
        <v>34</v>
      </c>
      <c r="G10" s="41">
        <v>3.1600000000000003E-2</v>
      </c>
      <c r="H10" s="42">
        <v>6.5186000000000008E-2</v>
      </c>
      <c r="I10" s="42">
        <v>6.9000000000000006E-2</v>
      </c>
      <c r="J10" s="43">
        <f>I10/$J$5</f>
        <v>2.5843954949117376E-3</v>
      </c>
      <c r="K10" s="44">
        <f>I10/$K$4</f>
        <v>2.1904761904761906E-3</v>
      </c>
      <c r="L10" s="45">
        <f>I10-H10</f>
        <v>3.8139999999999979E-3</v>
      </c>
      <c r="M10" s="45">
        <f>((I10-H10)/H10)*100</f>
        <v>5.8509495904028439</v>
      </c>
      <c r="N10" s="46">
        <v>8200</v>
      </c>
      <c r="O10" s="37">
        <v>565.79999999999995</v>
      </c>
      <c r="P10" s="50">
        <f>(R10)/J10</f>
        <v>0</v>
      </c>
      <c r="Q10" s="48">
        <f>I10/G10-1</f>
        <v>1.1835443037974684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3281581.5181825338</v>
      </c>
      <c r="E11" s="39">
        <f>C11*K11</f>
        <v>2781395.570777778</v>
      </c>
      <c r="F11" s="40" t="s">
        <v>39</v>
      </c>
      <c r="G11" s="41">
        <v>7.8E-2</v>
      </c>
      <c r="H11" s="42">
        <v>0.22</v>
      </c>
      <c r="I11" s="42">
        <v>0.20050000000000001</v>
      </c>
      <c r="J11" s="43">
        <f>I11/$J$5</f>
        <v>7.5097289381130927E-3</v>
      </c>
      <c r="K11" s="44">
        <f>I11/$K$4</f>
        <v>6.3650793650793652E-3</v>
      </c>
      <c r="L11" s="45">
        <f>I11-H11</f>
        <v>-1.949999999999999E-2</v>
      </c>
      <c r="M11" s="45">
        <f>((I11-H11)/H11)*100</f>
        <v>-8.863636363636358</v>
      </c>
      <c r="N11" s="46">
        <v>400</v>
      </c>
      <c r="O11" s="37">
        <v>80.2</v>
      </c>
      <c r="P11" s="50">
        <f>(R11)/J11</f>
        <v>0</v>
      </c>
      <c r="Q11" s="48">
        <f>I11/G11-1</f>
        <v>1.5705128205128207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166027293.48514724</v>
      </c>
      <c r="E12" s="39">
        <f>C12*K12</f>
        <v>140721044.46260002</v>
      </c>
      <c r="F12" s="40" t="s">
        <v>34</v>
      </c>
      <c r="G12" s="41">
        <v>97.381</v>
      </c>
      <c r="H12" s="42">
        <v>218.11959999999999</v>
      </c>
      <c r="I12" s="42">
        <v>214.83070000000001</v>
      </c>
      <c r="J12" s="43">
        <f>I12/$J$5</f>
        <v>8.0464854094019564</v>
      </c>
      <c r="K12" s="44">
        <f>I12/$K$4</f>
        <v>6.8200222222222227</v>
      </c>
      <c r="L12" s="45">
        <f>I12-H12</f>
        <v>-3.2888999999999839</v>
      </c>
      <c r="M12" s="45">
        <f>((I12-H12)/H12)*100</f>
        <v>-1.5078424864157023</v>
      </c>
      <c r="N12" s="46">
        <v>4200</v>
      </c>
      <c r="O12" s="37">
        <v>902289</v>
      </c>
      <c r="P12" s="50">
        <f>(R12)/J12</f>
        <v>0</v>
      </c>
      <c r="Q12" s="48">
        <f>I12/G12-1</f>
        <v>1.206084349103008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4580429.4591122419</v>
      </c>
      <c r="E13" s="39">
        <f>C13*K13</f>
        <v>3882270.222222222</v>
      </c>
      <c r="F13" s="40" t="s">
        <v>44</v>
      </c>
      <c r="G13" s="41">
        <v>13.6</v>
      </c>
      <c r="H13" s="42">
        <v>14</v>
      </c>
      <c r="I13" s="42">
        <v>14</v>
      </c>
      <c r="J13" s="43">
        <f>I13/$J$5</f>
        <v>0.52437010041687426</v>
      </c>
      <c r="K13" s="44">
        <f>I13/$K$4</f>
        <v>0.44444444444444442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2.941176470588247E-2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433497341.85409778</v>
      </c>
      <c r="E14" s="39">
        <f>C14*K14</f>
        <v>367422713.68126988</v>
      </c>
      <c r="F14" s="40" t="s">
        <v>47</v>
      </c>
      <c r="G14" s="41">
        <v>11.5</v>
      </c>
      <c r="H14" s="42">
        <v>19.256</v>
      </c>
      <c r="I14" s="42">
        <v>22.144000000000002</v>
      </c>
      <c r="J14" s="43">
        <f>I14/$J$5</f>
        <v>0.82940367883080457</v>
      </c>
      <c r="K14" s="44">
        <f>I14/$K$4</f>
        <v>0.70298412698412704</v>
      </c>
      <c r="L14" s="45">
        <f>I14-H14</f>
        <v>2.8880000000000017</v>
      </c>
      <c r="M14" s="45">
        <f>((I14-H14)/H14)*100</f>
        <v>14.997922725384305</v>
      </c>
      <c r="N14" s="46">
        <v>200</v>
      </c>
      <c r="O14" s="37">
        <v>4428.8</v>
      </c>
      <c r="P14" s="50">
        <f>(R14)/J14</f>
        <v>0</v>
      </c>
      <c r="Q14" s="48">
        <f>I14/G14-1</f>
        <v>0.92556521739130448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23830570.402304232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0.22473004303580324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40703541.83937975</v>
      </c>
      <c r="E16" s="39">
        <f>C16*K16</f>
        <v>34499417.539906286</v>
      </c>
      <c r="F16" s="40" t="s">
        <v>34</v>
      </c>
      <c r="G16" s="41">
        <v>1.9</v>
      </c>
      <c r="H16" s="42">
        <v>3</v>
      </c>
      <c r="I16" s="42">
        <v>3.0355560000000001</v>
      </c>
      <c r="J16" s="43">
        <f>I16/$J$5</f>
        <v>0.1136967717529318</v>
      </c>
      <c r="K16" s="44">
        <f>I16/$K$4</f>
        <v>9.6366857142857143E-2</v>
      </c>
      <c r="L16" s="45">
        <f>I16-H16</f>
        <v>3.5556000000000143E-2</v>
      </c>
      <c r="M16" s="45">
        <f>((I16-H16)/H16)*100</f>
        <v>1.1852000000000049</v>
      </c>
      <c r="N16" s="46">
        <v>13500</v>
      </c>
      <c r="O16" s="37">
        <v>40980</v>
      </c>
      <c r="P16" s="50">
        <f>(R16)/J16</f>
        <v>0</v>
      </c>
      <c r="Q16" s="48">
        <f>I16/G16-1</f>
        <v>0.59766105263157909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1507529776.989423</v>
      </c>
      <c r="E17" s="39">
        <f>C17*K17</f>
        <v>1277748738.3145239</v>
      </c>
      <c r="F17" s="40" t="s">
        <v>34</v>
      </c>
      <c r="G17" s="41">
        <v>20.701700000000002</v>
      </c>
      <c r="H17" s="42">
        <v>30.000700000000002</v>
      </c>
      <c r="I17" s="42">
        <v>30.000500000000002</v>
      </c>
      <c r="J17" s="43">
        <f>I17/$J$5</f>
        <v>1.1236689426826028</v>
      </c>
      <c r="K17" s="44">
        <f>I17/$K$4</f>
        <v>0.95239682539682546</v>
      </c>
      <c r="L17" s="45">
        <f>I17-H17</f>
        <v>-1.9999999999953388E-4</v>
      </c>
      <c r="M17" s="45">
        <f>((I17-H17)/H17)*100</f>
        <v>-6.6665111147251187E-4</v>
      </c>
      <c r="N17" s="46">
        <v>511300</v>
      </c>
      <c r="O17" s="37">
        <v>15339275.800000001</v>
      </c>
      <c r="P17" s="47">
        <f>(R17)/J17</f>
        <v>4.4497091715138076E-2</v>
      </c>
      <c r="Q17" s="48">
        <f>I17/G17-1</f>
        <v>0.44918050208436977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276846782.68979388</v>
      </c>
      <c r="E19" s="39">
        <f>C19*K19</f>
        <v>234649180.85714284</v>
      </c>
      <c r="F19" s="40" t="s">
        <v>47</v>
      </c>
      <c r="G19" s="41">
        <v>12.45</v>
      </c>
      <c r="H19" s="42">
        <v>11</v>
      </c>
      <c r="I19" s="42">
        <v>11</v>
      </c>
      <c r="J19" s="43">
        <f>I19/$J$5</f>
        <v>0.41200507889897264</v>
      </c>
      <c r="K19" s="44">
        <f>I19/$K$4</f>
        <v>0.34920634920634919</v>
      </c>
      <c r="L19" s="45">
        <f>I19-H19</f>
        <v>0</v>
      </c>
      <c r="M19" s="45">
        <f>((I19-H19)/H19)*100</f>
        <v>0</v>
      </c>
      <c r="N19" s="46">
        <v>100</v>
      </c>
      <c r="O19" s="37">
        <v>1100</v>
      </c>
      <c r="P19" s="50">
        <f>(R19)/J19</f>
        <v>0</v>
      </c>
      <c r="Q19" s="48">
        <f>I19/G19-1</f>
        <v>-0.11646586345381527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2409076.2222692496</v>
      </c>
      <c r="E20" s="39">
        <f>C20*K20</f>
        <v>2041879.4709682541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2.2117181735440306E-2</v>
      </c>
      <c r="K20" s="44">
        <f>I20/$K$4</f>
        <v>1.8746031746031747E-2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49113695.198642626</v>
      </c>
      <c r="E21" s="39">
        <f>C21*K21</f>
        <v>41627676.634920634</v>
      </c>
      <c r="F21" s="40" t="s">
        <v>47</v>
      </c>
      <c r="G21" s="41">
        <v>2.85</v>
      </c>
      <c r="H21" s="42">
        <v>2.145</v>
      </c>
      <c r="I21" s="42">
        <v>1.9</v>
      </c>
      <c r="J21" s="43">
        <f>I21/$J$5</f>
        <v>7.1164513628004356E-2</v>
      </c>
      <c r="K21" s="44">
        <f>I21/$K$4</f>
        <v>6.0317460317460311E-2</v>
      </c>
      <c r="L21" s="45">
        <f>I21-H21</f>
        <v>-0.24500000000000011</v>
      </c>
      <c r="M21" s="45">
        <f>((I21-H21)/H21)*100</f>
        <v>-11.421911421911426</v>
      </c>
      <c r="N21" s="46">
        <v>1100</v>
      </c>
      <c r="O21" s="37">
        <v>2090</v>
      </c>
      <c r="P21" s="50">
        <f>(R21)/J21</f>
        <v>0</v>
      </c>
      <c r="Q21" s="48">
        <f>I21/G21-1</f>
        <v>-0.33333333333333337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47917619.032200068</v>
      </c>
      <c r="E22" s="39">
        <f>C22*K22</f>
        <v>40613909.055714287</v>
      </c>
      <c r="F22" s="40" t="s">
        <v>66</v>
      </c>
      <c r="G22" s="41">
        <v>0.88420599999999994</v>
      </c>
      <c r="H22" s="42">
        <v>0.9</v>
      </c>
      <c r="I22" s="42">
        <v>1.0349999999999999</v>
      </c>
      <c r="J22" s="43">
        <f>I22/$J$5</f>
        <v>3.8765932423676056E-2</v>
      </c>
      <c r="K22" s="44">
        <f>I22/$K$4</f>
        <v>3.2857142857142856E-2</v>
      </c>
      <c r="L22" s="45">
        <f>I22-H22</f>
        <v>0.1349999999999999</v>
      </c>
      <c r="M22" s="45">
        <f>((I22-H22)/H22)*100</f>
        <v>14.999999999999988</v>
      </c>
      <c r="N22" s="46">
        <v>400</v>
      </c>
      <c r="O22" s="37">
        <v>414</v>
      </c>
      <c r="P22" s="50">
        <f>(R22)/J22</f>
        <v>0</v>
      </c>
      <c r="Q22" s="48">
        <f>I22/G22-1</f>
        <v>0.17054170634444921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2261017.2063621078</v>
      </c>
      <c r="E23" s="39">
        <f>C23*K23</f>
        <v>1916387.9392857142</v>
      </c>
      <c r="F23" s="40" t="s">
        <v>44</v>
      </c>
      <c r="G23" s="41">
        <v>0.1</v>
      </c>
      <c r="H23" s="42">
        <v>0.1125</v>
      </c>
      <c r="I23" s="42">
        <v>0.1125</v>
      </c>
      <c r="J23" s="43">
        <f>I23/$J$5</f>
        <v>4.2136883069213114E-3</v>
      </c>
      <c r="K23" s="44">
        <f>I23/$K$4</f>
        <v>3.5714285714285713E-3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0.125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63623976.953259893</v>
      </c>
      <c r="E24" s="39">
        <f>C24*K24</f>
        <v>53926268.999428563</v>
      </c>
      <c r="F24" s="40" t="s">
        <v>34</v>
      </c>
      <c r="G24" s="41">
        <v>8.1687659999999997</v>
      </c>
      <c r="H24" s="42">
        <v>8.75</v>
      </c>
      <c r="I24" s="42">
        <v>8.8004999999999995</v>
      </c>
      <c r="J24" s="43">
        <f>I24/$J$5</f>
        <v>0.32962279062276439</v>
      </c>
      <c r="K24" s="44">
        <f>I24/$K$4</f>
        <v>0.27938095238095234</v>
      </c>
      <c r="L24" s="45">
        <f>I24-H24</f>
        <v>5.0499999999999545E-2</v>
      </c>
      <c r="M24" s="45">
        <f>((I24-H24)/H24)*100</f>
        <v>0.57714285714285196</v>
      </c>
      <c r="N24" s="46">
        <v>3100</v>
      </c>
      <c r="O24" s="37">
        <v>27281.55</v>
      </c>
      <c r="P24" s="50">
        <f>(R24)/J24</f>
        <v>0</v>
      </c>
      <c r="Q24" s="48">
        <f>I24/G24-1</f>
        <v>7.733530376558706E-2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100595586.56037189</v>
      </c>
      <c r="E25" s="39">
        <f>C25*K25</f>
        <v>85262583.711092085</v>
      </c>
      <c r="F25" s="40" t="s">
        <v>66</v>
      </c>
      <c r="G25" s="41">
        <v>1.6675</v>
      </c>
      <c r="H25" s="42">
        <v>1.67</v>
      </c>
      <c r="I25" s="42">
        <v>1.5914889999999999</v>
      </c>
      <c r="J25" s="43">
        <f>I25/$J$5</f>
        <v>5.9609231910167912E-2</v>
      </c>
      <c r="K25" s="44">
        <f>I25/$K$4</f>
        <v>5.0523460317460314E-2</v>
      </c>
      <c r="L25" s="45">
        <f>I25-H25</f>
        <v>-7.8510999999999997E-2</v>
      </c>
      <c r="M25" s="45">
        <f>((I25-H25)/H25)*100</f>
        <v>-4.7012574850299398</v>
      </c>
      <c r="N25" s="46">
        <v>4700</v>
      </c>
      <c r="O25" s="37">
        <v>7480</v>
      </c>
      <c r="P25" s="50">
        <f>(R25)/J25</f>
        <v>0</v>
      </c>
      <c r="Q25" s="48">
        <f>I25/G25-1</f>
        <v>-4.5583808095952083E-2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23385232.37123568</v>
      </c>
      <c r="E26" s="39">
        <f>C26*K26</f>
        <v>19820803.286028888</v>
      </c>
      <c r="F26" s="40" t="s">
        <v>44</v>
      </c>
      <c r="G26" s="41">
        <v>1.7994999999999999</v>
      </c>
      <c r="H26" s="42">
        <v>3.0333330000000003</v>
      </c>
      <c r="I26" s="42">
        <v>2.6081300000000001</v>
      </c>
      <c r="J26" s="43">
        <f>I26/$J$5</f>
        <v>9.7687527857161588E-2</v>
      </c>
      <c r="K26" s="44">
        <f>I26/$K$4</f>
        <v>8.2797777777777776E-2</v>
      </c>
      <c r="L26" s="45">
        <f>I26-H26</f>
        <v>-0.42520300000000022</v>
      </c>
      <c r="M26" s="45">
        <f>((I26-H26)/H26)*100</f>
        <v>-14.017682859086033</v>
      </c>
      <c r="N26" s="46">
        <v>410200</v>
      </c>
      <c r="O26" s="37">
        <v>1069855</v>
      </c>
      <c r="P26" s="50">
        <f>(R26)/J26</f>
        <v>0</v>
      </c>
      <c r="Q26" s="48">
        <f>I26/G26-1</f>
        <v>0.44936371214226178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25929368.13395742</v>
      </c>
      <c r="E27" s="39">
        <f>C27*K27</f>
        <v>21977156.222161554</v>
      </c>
      <c r="F27" s="40" t="s">
        <v>34</v>
      </c>
      <c r="G27" s="41">
        <v>3.1361369999999997</v>
      </c>
      <c r="H27" s="42">
        <v>2.701184</v>
      </c>
      <c r="I27" s="42">
        <v>2.7026289999999999</v>
      </c>
      <c r="J27" s="43">
        <f>I27/$J$5</f>
        <v>0.10122698857996831</v>
      </c>
      <c r="K27" s="44">
        <f>I27/$K$4</f>
        <v>8.5797746031746031E-2</v>
      </c>
      <c r="L27" s="45">
        <f>I27-H27</f>
        <v>1.4449999999999186E-3</v>
      </c>
      <c r="M27" s="45">
        <f>((I27-H27)/H27)*100</f>
        <v>5.3495059944080763E-2</v>
      </c>
      <c r="N27" s="46">
        <v>19800</v>
      </c>
      <c r="O27" s="37">
        <v>53512.05</v>
      </c>
      <c r="P27" s="50">
        <f>(R27)/J27</f>
        <v>0</v>
      </c>
      <c r="Q27" s="48">
        <f>I27/G27-1</f>
        <v>-0.13822993064397371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24342308.62486814</v>
      </c>
      <c r="E28" s="39">
        <f>C28*K28</f>
        <v>20631999.850246567</v>
      </c>
      <c r="F28" s="40" t="s">
        <v>44</v>
      </c>
      <c r="G28" s="41">
        <v>0.8</v>
      </c>
      <c r="H28" s="42">
        <v>0.86250000000000004</v>
      </c>
      <c r="I28" s="42">
        <v>0.86006699999999991</v>
      </c>
      <c r="J28" s="43">
        <f>I28/$J$5</f>
        <v>3.2213815653945696E-2</v>
      </c>
      <c r="K28" s="44">
        <f>I28/$K$4</f>
        <v>2.7303714285714282E-2</v>
      </c>
      <c r="L28" s="45">
        <f>I28-H28</f>
        <v>-2.4330000000001295E-3</v>
      </c>
      <c r="M28" s="45">
        <f>((I28-H28)/H28)*100</f>
        <v>-0.28208695652175414</v>
      </c>
      <c r="N28" s="46">
        <v>60100</v>
      </c>
      <c r="O28" s="37">
        <v>51690</v>
      </c>
      <c r="P28" s="50">
        <f>(R28)/J28</f>
        <v>0</v>
      </c>
      <c r="Q28" s="48">
        <f>I28/G28-1</f>
        <v>7.5083749999999894E-2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82957629.237378612</v>
      </c>
      <c r="E29" s="39">
        <f>C29*K29</f>
        <v>70313043.038730174</v>
      </c>
      <c r="F29" s="40" t="s">
        <v>47</v>
      </c>
      <c r="G29" s="41">
        <v>5.15</v>
      </c>
      <c r="H29" s="42">
        <v>5.48</v>
      </c>
      <c r="I29" s="42">
        <v>5.48</v>
      </c>
      <c r="J29" s="43">
        <f>I29/$J$5</f>
        <v>0.20525343930603365</v>
      </c>
      <c r="K29" s="44">
        <f>I29/$K$4</f>
        <v>0.17396825396825399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6.4077669902912637E-2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12595981.012877407</v>
      </c>
      <c r="E32" s="39">
        <f>C32*K32</f>
        <v>10676073.595825713</v>
      </c>
      <c r="F32" s="40" t="s">
        <v>39</v>
      </c>
      <c r="G32" s="41">
        <v>1.4</v>
      </c>
      <c r="H32" s="42">
        <v>1.2941130000000001</v>
      </c>
      <c r="I32" s="42">
        <v>1.2941130000000001</v>
      </c>
      <c r="J32" s="43">
        <f>I32/$J$5</f>
        <v>4.8471011697198745E-2</v>
      </c>
      <c r="K32" s="44">
        <f>I32/$K$4</f>
        <v>4.108295238095238E-2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-7.56335714285713E-2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3885022.4730043034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2">
        <v>0.85</v>
      </c>
      <c r="J33" s="43">
        <f>I33/$J$5</f>
        <v>3.1836756096738791E-2</v>
      </c>
      <c r="K33" s="44">
        <f>I33/$K$4</f>
        <v>2.6984126984126982E-2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0.30769230769230771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158896965.88597947</v>
      </c>
      <c r="E34" s="39">
        <f>C34*K34</f>
        <v>134677537.24126983</v>
      </c>
      <c r="F34" s="40" t="s">
        <v>92</v>
      </c>
      <c r="G34" s="41">
        <v>1.44</v>
      </c>
      <c r="H34" s="42">
        <v>1.7</v>
      </c>
      <c r="I34" s="42">
        <v>1.7</v>
      </c>
      <c r="J34" s="43">
        <f>I34/$J$5</f>
        <v>6.3673512193477583E-2</v>
      </c>
      <c r="K34" s="44">
        <f>I34/$K$4</f>
        <v>5.3968253968253964E-2</v>
      </c>
      <c r="L34" s="45">
        <f>I34-H34</f>
        <v>0</v>
      </c>
      <c r="M34" s="45">
        <f>((I34-H34)/H34)*100</f>
        <v>0</v>
      </c>
      <c r="N34" s="46">
        <v>0</v>
      </c>
      <c r="O34" s="37">
        <v>0</v>
      </c>
      <c r="P34" s="50">
        <f>(R34)/J34</f>
        <v>0</v>
      </c>
      <c r="Q34" s="48">
        <f>I34/G34-1</f>
        <v>0.18055555555555558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37223459.284031995</v>
      </c>
      <c r="E35" s="39">
        <f>C35*K35</f>
        <v>31549776.901161432</v>
      </c>
      <c r="F35" s="40" t="s">
        <v>34</v>
      </c>
      <c r="G35" s="41">
        <v>3.6056249999999999</v>
      </c>
      <c r="H35" s="42">
        <v>3.92</v>
      </c>
      <c r="I35" s="42">
        <v>3.9204950000000003</v>
      </c>
      <c r="J35" s="43">
        <f>I35/$J$5</f>
        <v>0.14684216834527525</v>
      </c>
      <c r="K35" s="44">
        <f>I35/$K$4</f>
        <v>0.12446015873015874</v>
      </c>
      <c r="L35" s="45">
        <f>I35-H35</f>
        <v>4.9500000000035627E-4</v>
      </c>
      <c r="M35" s="45">
        <f>((I35-H35)/H35)*100</f>
        <v>1.2627551020417252E-2</v>
      </c>
      <c r="N35" s="46">
        <v>10000</v>
      </c>
      <c r="O35" s="37">
        <v>39204.949999999997</v>
      </c>
      <c r="P35" s="50">
        <f>(R35)/J35</f>
        <v>0</v>
      </c>
      <c r="Q35" s="48">
        <f>I35/G35-1</f>
        <v>8.7327439764257386E-2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7092396.8466239935</v>
      </c>
      <c r="E36" s="39">
        <f>C36*K36</f>
        <v>6011357.9583796822</v>
      </c>
      <c r="F36" s="40" t="s">
        <v>34</v>
      </c>
      <c r="G36" s="41">
        <v>2.5099999999999997E-2</v>
      </c>
      <c r="H36" s="42">
        <v>4.0332999999999994E-2</v>
      </c>
      <c r="I36" s="42">
        <v>4.0160000000000001E-2</v>
      </c>
      <c r="J36" s="43">
        <f>I36/$J$5</f>
        <v>1.5041930880529764E-3</v>
      </c>
      <c r="K36" s="44">
        <f>I36/$K$4</f>
        <v>1.2749206349206349E-3</v>
      </c>
      <c r="L36" s="45">
        <f>I36-H36</f>
        <v>-1.729999999999926E-4</v>
      </c>
      <c r="M36" s="45">
        <f>((I36-H36)/H36)*100</f>
        <v>-0.42892916470382225</v>
      </c>
      <c r="N36" s="46">
        <v>24400</v>
      </c>
      <c r="O36" s="37">
        <v>979.9</v>
      </c>
      <c r="P36" s="50">
        <f>(R36)/J36</f>
        <v>0</v>
      </c>
      <c r="Q36" s="48">
        <f>I36/G36-1</f>
        <v>0.60000000000000031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47913405.081919722</v>
      </c>
      <c r="E37" s="39">
        <f>C37*K37</f>
        <v>40610337.405100003</v>
      </c>
      <c r="F37" s="40" t="s">
        <v>92</v>
      </c>
      <c r="G37" s="41">
        <v>0.61</v>
      </c>
      <c r="H37" s="42">
        <v>4.9898430000000005</v>
      </c>
      <c r="I37" s="42">
        <v>4.9000349999999999</v>
      </c>
      <c r="J37" s="43">
        <f>I37/$J$5</f>
        <v>0.18353084607115702</v>
      </c>
      <c r="K37" s="44">
        <f>I37/$K$4</f>
        <v>0.15555666666666668</v>
      </c>
      <c r="L37" s="45">
        <f>I37-H37</f>
        <v>-8.9808000000000554E-2</v>
      </c>
      <c r="M37" s="45">
        <f>((I37-H37)/H37)*100</f>
        <v>-1.799816146520052</v>
      </c>
      <c r="N37" s="46">
        <v>141000</v>
      </c>
      <c r="O37" s="37">
        <v>690904.95</v>
      </c>
      <c r="P37" s="50">
        <f>(R37)/J37</f>
        <v>0</v>
      </c>
      <c r="Q37" s="48">
        <f>I37/G37-1</f>
        <v>7.0328442622950824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20514346.241340294</v>
      </c>
      <c r="E38" s="39">
        <f>C38*K38</f>
        <v>17387503.999799114</v>
      </c>
      <c r="F38" s="40" t="s">
        <v>56</v>
      </c>
      <c r="G38" s="41">
        <v>0.11650199999999999</v>
      </c>
      <c r="H38" s="42">
        <v>0.133738</v>
      </c>
      <c r="I38" s="42">
        <v>0.13056800000000002</v>
      </c>
      <c r="J38" s="43">
        <f>I38/$J$5</f>
        <v>4.8904253765164607E-3</v>
      </c>
      <c r="K38" s="44">
        <f>I38/$K$4</f>
        <v>4.1450158730158733E-3</v>
      </c>
      <c r="L38" s="45">
        <f>I38-H38</f>
        <v>-3.1699999999999784E-3</v>
      </c>
      <c r="M38" s="45">
        <f>((I38-H38)/H38)*100</f>
        <v>-2.3703061209229825</v>
      </c>
      <c r="N38" s="46">
        <v>386200</v>
      </c>
      <c r="O38" s="37">
        <v>50425.3</v>
      </c>
      <c r="P38" s="50">
        <v>0</v>
      </c>
      <c r="Q38" s="48">
        <f>I38/G38-1</f>
        <v>0.12073612470172201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101604622.03107923</v>
      </c>
      <c r="E39" s="39">
        <f>C39*K39</f>
        <v>86117819.753053173</v>
      </c>
      <c r="F39" s="40" t="s">
        <v>34</v>
      </c>
      <c r="G39" s="41">
        <v>2.6005000000000003</v>
      </c>
      <c r="H39" s="42">
        <v>7.4745249999999999</v>
      </c>
      <c r="I39" s="42">
        <v>7.4745249999999999</v>
      </c>
      <c r="J39" s="43">
        <f>I39/$J$5</f>
        <v>0.27995838748703122</v>
      </c>
      <c r="K39" s="44">
        <f>I39/$K$4</f>
        <v>0.23728650793650793</v>
      </c>
      <c r="L39" s="45">
        <f>I39-H39</f>
        <v>0</v>
      </c>
      <c r="M39" s="45">
        <f>((I39-H39)/H39)*100</f>
        <v>0</v>
      </c>
      <c r="N39" s="46">
        <v>0</v>
      </c>
      <c r="O39" s="37">
        <v>0</v>
      </c>
      <c r="P39" s="50">
        <f>(R39)/J39</f>
        <v>0</v>
      </c>
      <c r="Q39" s="48">
        <f>I39/G39-1</f>
        <v>1.8742645645068254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16223718.975030022</v>
      </c>
      <c r="E40" s="39">
        <f>C40*K40</f>
        <v>13750863.676147111</v>
      </c>
      <c r="F40" s="40" t="s">
        <v>39</v>
      </c>
      <c r="G40" s="41">
        <v>0.1</v>
      </c>
      <c r="H40" s="42">
        <v>0.1</v>
      </c>
      <c r="I40" s="42">
        <v>0.100366</v>
      </c>
      <c r="J40" s="43">
        <f>I40/$J$5</f>
        <v>3.7592092498885715E-3</v>
      </c>
      <c r="K40" s="44">
        <f>I40/$K$4</f>
        <v>3.1862222222222222E-3</v>
      </c>
      <c r="L40" s="45">
        <f>I40-H40</f>
        <v>3.6599999999999133E-4</v>
      </c>
      <c r="M40" s="45">
        <f>((I40-H40)/H40)*100</f>
        <v>0.36599999999999133</v>
      </c>
      <c r="N40" s="46">
        <v>41000</v>
      </c>
      <c r="O40" s="37">
        <v>4115</v>
      </c>
      <c r="P40" s="50">
        <f>(R40)/J40</f>
        <v>0</v>
      </c>
      <c r="Q40" s="48">
        <f>I40/G40-1</f>
        <v>3.6599999999999966E-3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6380789.2968571512</v>
      </c>
      <c r="E41" s="39">
        <f>C41*K41</f>
        <v>5408215.2126984131</v>
      </c>
      <c r="F41" s="40" t="s">
        <v>44</v>
      </c>
      <c r="G41" s="41">
        <v>1.7452379999999998</v>
      </c>
      <c r="H41" s="42">
        <v>1.6</v>
      </c>
      <c r="I41" s="42">
        <v>1.6</v>
      </c>
      <c r="J41" s="43">
        <f>I41/$J$5</f>
        <v>5.9928011476214203E-2</v>
      </c>
      <c r="K41" s="44">
        <f>I41/$K$4</f>
        <v>5.0793650793650794E-2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-8.3219595264370727E-2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3003437.0363650667</v>
      </c>
      <c r="E42" s="39">
        <f>C42*K42</f>
        <v>2545646.4889777778</v>
      </c>
      <c r="F42" s="40" t="s">
        <v>39</v>
      </c>
      <c r="G42" s="41">
        <v>0.03</v>
      </c>
      <c r="H42" s="42">
        <v>0.04</v>
      </c>
      <c r="I42" s="42">
        <v>4.5100000000000001E-2</v>
      </c>
      <c r="J42" s="43">
        <f>I42/$J$5</f>
        <v>1.6892208234857878E-3</v>
      </c>
      <c r="K42" s="44">
        <f>I42/$K$4</f>
        <v>1.4317460317460318E-3</v>
      </c>
      <c r="L42" s="45">
        <f>I42-H42</f>
        <v>5.1000000000000004E-3</v>
      </c>
      <c r="M42" s="45">
        <f>((I42-H42)/H42)*100</f>
        <v>12.75</v>
      </c>
      <c r="N42" s="46">
        <v>1100</v>
      </c>
      <c r="O42" s="37">
        <v>49.61</v>
      </c>
      <c r="P42" s="50">
        <f>(R42)/J42</f>
        <v>0</v>
      </c>
      <c r="Q42" s="48">
        <f>I42/G42-1</f>
        <v>0.50333333333333341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34121187.113979332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0.19476603729769615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312.37767748991524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6.7419012910740973E-7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1514500.7060268852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2.6293415035188979E-3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44946922.462891459</v>
      </c>
      <c r="E46" s="39">
        <f>C46*K46</f>
        <v>38096012.659047626</v>
      </c>
      <c r="F46" s="40" t="s">
        <v>47</v>
      </c>
      <c r="G46" s="41">
        <v>0.9998999999999999</v>
      </c>
      <c r="H46" s="42">
        <v>0.66</v>
      </c>
      <c r="I46" s="42">
        <v>0.66</v>
      </c>
      <c r="J46" s="43">
        <f>I46/$J$5</f>
        <v>2.472030473393836E-2</v>
      </c>
      <c r="K46" s="44">
        <f>I46/$K$4</f>
        <v>2.0952380952380955E-2</v>
      </c>
      <c r="L46" s="45">
        <f>I46-H46</f>
        <v>0</v>
      </c>
      <c r="M46" s="45">
        <f>((I46-H46)/H46)*100</f>
        <v>0</v>
      </c>
      <c r="N46" s="46">
        <v>0</v>
      </c>
      <c r="O46" s="37">
        <v>0</v>
      </c>
      <c r="P46" s="50">
        <f>(R46)/J46</f>
        <v>0</v>
      </c>
      <c r="Q46" s="48">
        <f>I46/G46-1</f>
        <v>-0.33993399339933983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5193582.533981056</v>
      </c>
      <c r="E47" s="39">
        <f>C47*K47</f>
        <v>4401965.1428571427</v>
      </c>
      <c r="F47" s="40" t="s">
        <v>47</v>
      </c>
      <c r="G47" s="41">
        <v>1.4503460000000001</v>
      </c>
      <c r="H47" s="42">
        <v>1.25</v>
      </c>
      <c r="I47" s="42">
        <v>1.35</v>
      </c>
      <c r="J47" s="43">
        <f>I47/$J$5</f>
        <v>5.0564259683055737E-2</v>
      </c>
      <c r="K47" s="44">
        <f>I47/$K$4</f>
        <v>4.2857142857142858E-2</v>
      </c>
      <c r="L47" s="45">
        <f>I47-H47</f>
        <v>0.10000000000000009</v>
      </c>
      <c r="M47" s="45">
        <f>((I47-H47)/H47)*100</f>
        <v>8.0000000000000071</v>
      </c>
      <c r="N47" s="46">
        <v>200</v>
      </c>
      <c r="O47" s="37">
        <v>270</v>
      </c>
      <c r="P47" s="50">
        <v>0</v>
      </c>
      <c r="Q47" s="48">
        <f>I47/G47-1</f>
        <v>-6.9187628331446427E-2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1641200</v>
      </c>
      <c r="O48" s="60">
        <f>SUM(O9:O47)</f>
        <v>18286991.91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77688843.120000005</v>
      </c>
      <c r="E51" s="39">
        <v>0</v>
      </c>
      <c r="F51" s="40" t="s">
        <v>92</v>
      </c>
      <c r="G51" s="68">
        <v>0.1</v>
      </c>
      <c r="H51" s="42">
        <v>0.1414</v>
      </c>
      <c r="I51" s="42">
        <v>0.14000000000000001</v>
      </c>
      <c r="J51" s="43">
        <f>I51</f>
        <v>0.14000000000000001</v>
      </c>
      <c r="K51" s="39">
        <v>0</v>
      </c>
      <c r="L51" s="45">
        <f>I51-H51</f>
        <v>-1.3999999999999846E-3</v>
      </c>
      <c r="M51" s="45">
        <f>((I51-H51)/H51)*100</f>
        <v>-0.99009900990097921</v>
      </c>
      <c r="N51" s="46">
        <v>249</v>
      </c>
      <c r="O51" s="37">
        <v>34.86</v>
      </c>
      <c r="P51" s="69">
        <f>(R51)/J51</f>
        <v>0</v>
      </c>
      <c r="Q51" s="48">
        <f>J51/G51-1</f>
        <v>0.40000000000000013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53393208.022</v>
      </c>
      <c r="E52" s="39">
        <v>0</v>
      </c>
      <c r="F52" s="40" t="s">
        <v>39</v>
      </c>
      <c r="G52" s="68">
        <v>39.9</v>
      </c>
      <c r="H52" s="42">
        <v>63.012500000000003</v>
      </c>
      <c r="I52" s="42">
        <v>50.481200000000001</v>
      </c>
      <c r="J52" s="43">
        <f>I52</f>
        <v>50.481200000000001</v>
      </c>
      <c r="K52" s="39">
        <v>0</v>
      </c>
      <c r="L52" s="45">
        <f>I52-H52</f>
        <v>-12.531300000000002</v>
      </c>
      <c r="M52" s="45">
        <f>((I52-H52)/H52)*100</f>
        <v>-19.887006546320176</v>
      </c>
      <c r="N52" s="46">
        <v>1247</v>
      </c>
      <c r="O52" s="37">
        <v>62950.1</v>
      </c>
      <c r="P52" s="70">
        <f>(R52)/J52</f>
        <v>1.1093238671030008E-2</v>
      </c>
      <c r="Q52" s="48">
        <f>J52/G52-1</f>
        <v>0.26519298245614054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716323870.79820001</v>
      </c>
      <c r="E53" s="39"/>
      <c r="F53" s="40" t="s">
        <v>56</v>
      </c>
      <c r="G53" s="68">
        <v>0.33</v>
      </c>
      <c r="H53" s="42">
        <v>0.25509999999999999</v>
      </c>
      <c r="I53" s="42">
        <v>0.2394</v>
      </c>
      <c r="J53" s="43">
        <f>I53</f>
        <v>0.2394</v>
      </c>
      <c r="K53" s="39">
        <v>0</v>
      </c>
      <c r="L53" s="45">
        <f>I53-H53</f>
        <v>-1.5699999999999992E-2</v>
      </c>
      <c r="M53" s="45">
        <f>((I53-H53)/H53)*100</f>
        <v>-6.1544492355938818</v>
      </c>
      <c r="N53" s="46">
        <v>2764</v>
      </c>
      <c r="O53" s="37">
        <v>661.6</v>
      </c>
      <c r="P53" s="69">
        <v>0</v>
      </c>
      <c r="Q53" s="48">
        <f>J53/G53-1</f>
        <v>-0.27454545454545454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16767875.932499999</v>
      </c>
      <c r="E54" s="39">
        <v>0</v>
      </c>
      <c r="F54" s="40" t="s">
        <v>34</v>
      </c>
      <c r="G54" s="68">
        <v>2.3E-2</v>
      </c>
      <c r="H54" s="42">
        <v>2.5700000000000001E-2</v>
      </c>
      <c r="I54" s="42">
        <v>2.75E-2</v>
      </c>
      <c r="J54" s="43">
        <f>I54</f>
        <v>2.75E-2</v>
      </c>
      <c r="K54" s="39">
        <v>0</v>
      </c>
      <c r="L54" s="45">
        <f>I54-H54</f>
        <v>1.7999999999999995E-3</v>
      </c>
      <c r="M54" s="45">
        <f>((I54-H54)/H54)*100</f>
        <v>7.0038910505836549</v>
      </c>
      <c r="N54" s="46">
        <v>58298</v>
      </c>
      <c r="O54" s="37">
        <v>1601.22</v>
      </c>
      <c r="P54" s="69">
        <f>(R54)/J54</f>
        <v>0</v>
      </c>
      <c r="Q54" s="48">
        <f>J54/G54-1</f>
        <v>0.19565217391304346</v>
      </c>
      <c r="T54" s="51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262884112.9664</v>
      </c>
      <c r="E55" s="39">
        <v>0</v>
      </c>
      <c r="F55" s="40" t="s">
        <v>47</v>
      </c>
      <c r="G55" s="68">
        <v>9.0200000000000002E-2</v>
      </c>
      <c r="H55" s="42">
        <v>0.1211</v>
      </c>
      <c r="I55" s="42">
        <v>0.1216</v>
      </c>
      <c r="J55" s="43">
        <f>I55</f>
        <v>0.1216</v>
      </c>
      <c r="K55" s="39">
        <v>0</v>
      </c>
      <c r="L55" s="45">
        <f>I55-H55</f>
        <v>5.0000000000000044E-4</v>
      </c>
      <c r="M55" s="71">
        <f>((I55-H55)/H55)*100</f>
        <v>0.41288191577208949</v>
      </c>
      <c r="N55" s="46">
        <v>148939</v>
      </c>
      <c r="O55" s="37">
        <v>18113.62</v>
      </c>
      <c r="P55" s="69">
        <f>(R55)/J55</f>
        <v>0</v>
      </c>
      <c r="Q55" s="48">
        <f>J55/G55-1</f>
        <v>0.34811529933481156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765406252.04999995</v>
      </c>
      <c r="E56" s="39">
        <v>0</v>
      </c>
      <c r="F56" s="40" t="s">
        <v>34</v>
      </c>
      <c r="G56" s="68">
        <v>0.95750000000000002</v>
      </c>
      <c r="H56" s="42">
        <v>1.415</v>
      </c>
      <c r="I56" s="42">
        <v>1.329</v>
      </c>
      <c r="J56" s="43">
        <f>I56</f>
        <v>1.329</v>
      </c>
      <c r="K56" s="39">
        <v>0</v>
      </c>
      <c r="L56" s="45">
        <f>I56-H56</f>
        <v>-8.6000000000000076E-2</v>
      </c>
      <c r="M56" s="45">
        <f>((I56-H56)/H56)*100</f>
        <v>-6.077738515901066</v>
      </c>
      <c r="N56" s="46">
        <v>52202</v>
      </c>
      <c r="O56" s="37">
        <v>69376.17</v>
      </c>
      <c r="P56" s="70">
        <f>(R56)/J56</f>
        <v>3.5364936042136946E-2</v>
      </c>
      <c r="Q56" s="48">
        <f>J56/G56-1</f>
        <v>0.38798955613577024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24434183.433599997</v>
      </c>
      <c r="E57" s="39">
        <v>0</v>
      </c>
      <c r="F57" s="40" t="s">
        <v>34</v>
      </c>
      <c r="G57" s="68">
        <v>0.1595</v>
      </c>
      <c r="H57" s="42">
        <v>0.14860000000000001</v>
      </c>
      <c r="I57" s="42">
        <v>0.14879999999999999</v>
      </c>
      <c r="J57" s="43">
        <f>I57</f>
        <v>0.14879999999999999</v>
      </c>
      <c r="K57" s="39">
        <v>0</v>
      </c>
      <c r="L57" s="45">
        <f>I57-H57</f>
        <v>1.9999999999997797E-4</v>
      </c>
      <c r="M57" s="45">
        <f>((I57-H57)/H57)*100</f>
        <v>0.13458950201882769</v>
      </c>
      <c r="N57" s="46">
        <v>2143</v>
      </c>
      <c r="O57" s="37">
        <v>318.93</v>
      </c>
      <c r="P57" s="69">
        <f>(R57)/J57</f>
        <v>0</v>
      </c>
      <c r="Q57" s="48">
        <f>J57/G57-1</f>
        <v>-6.7084639498432685E-2</v>
      </c>
      <c r="T57" s="51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15891622.32</v>
      </c>
      <c r="E58" s="39">
        <v>0</v>
      </c>
      <c r="F58" s="40" t="s">
        <v>92</v>
      </c>
      <c r="G58" s="68">
        <v>1.6799999999999999E-2</v>
      </c>
      <c r="H58" s="42">
        <v>2.01E-2</v>
      </c>
      <c r="I58" s="42">
        <v>0.02</v>
      </c>
      <c r="J58" s="43">
        <f>I58</f>
        <v>0.02</v>
      </c>
      <c r="K58" s="39">
        <v>0</v>
      </c>
      <c r="L58" s="45">
        <f>I58-H58</f>
        <v>-9.9999999999999395E-5</v>
      </c>
      <c r="M58" s="71">
        <f>((I58-H58)/H58)*100</f>
        <v>-0.49751243781094223</v>
      </c>
      <c r="N58" s="46">
        <v>19638</v>
      </c>
      <c r="O58" s="37">
        <v>392.76</v>
      </c>
      <c r="P58" s="69">
        <f>(R58)/J58</f>
        <v>0</v>
      </c>
      <c r="Q58" s="48">
        <f>J58/G58-1</f>
        <v>0.19047619047619047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2112676.2999999998</v>
      </c>
      <c r="E59" s="39">
        <v>0</v>
      </c>
      <c r="F59" s="40" t="s">
        <v>138</v>
      </c>
      <c r="G59" s="68">
        <v>19.5</v>
      </c>
      <c r="H59" s="42">
        <v>13.368600000000001</v>
      </c>
      <c r="I59" s="42">
        <v>13.1</v>
      </c>
      <c r="J59" s="43">
        <f>I59</f>
        <v>13.1</v>
      </c>
      <c r="K59" s="39">
        <v>0</v>
      </c>
      <c r="L59" s="45">
        <f>I59-H59</f>
        <v>-0.26860000000000106</v>
      </c>
      <c r="M59" s="45">
        <f>((I59-H59)/H59)*100</f>
        <v>-2.0091857038134213</v>
      </c>
      <c r="N59" s="46">
        <v>20</v>
      </c>
      <c r="O59" s="37">
        <v>262</v>
      </c>
      <c r="P59" s="69">
        <f>(R59)/J59</f>
        <v>0</v>
      </c>
      <c r="Q59" s="48">
        <f>J59/G59-1</f>
        <v>-0.32820512820512826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824251603.73380005</v>
      </c>
      <c r="E60" s="39">
        <v>0</v>
      </c>
      <c r="F60" s="40" t="s">
        <v>92</v>
      </c>
      <c r="G60" s="68">
        <v>0.59499999999999997</v>
      </c>
      <c r="H60" s="42">
        <v>1.0246999999999999</v>
      </c>
      <c r="I60" s="42">
        <v>1.0238</v>
      </c>
      <c r="J60" s="43">
        <f>I60</f>
        <v>1.0238</v>
      </c>
      <c r="K60" s="39">
        <v>0</v>
      </c>
      <c r="L60" s="45">
        <f>I60-H60</f>
        <v>-8.9999999999990088E-4</v>
      </c>
      <c r="M60" s="45">
        <f>((I60-H60)/H60)*100</f>
        <v>-8.7830584561325364E-2</v>
      </c>
      <c r="N60" s="46">
        <v>219310</v>
      </c>
      <c r="O60" s="37">
        <v>224536.95</v>
      </c>
      <c r="P60" s="69">
        <f>(R60)/J60</f>
        <v>0</v>
      </c>
      <c r="Q60" s="48">
        <f>J60/G60-1</f>
        <v>0.72067226890756308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76754354.099199995</v>
      </c>
      <c r="E61" s="39">
        <v>0</v>
      </c>
      <c r="F61" s="40" t="s">
        <v>34</v>
      </c>
      <c r="G61" s="68">
        <v>0.22600000000000001</v>
      </c>
      <c r="H61" s="42">
        <v>0.3</v>
      </c>
      <c r="I61" s="42">
        <v>0.2944</v>
      </c>
      <c r="J61" s="43">
        <f>I61</f>
        <v>0.2944</v>
      </c>
      <c r="K61" s="39">
        <v>0</v>
      </c>
      <c r="L61" s="45">
        <f>I61-H61</f>
        <v>-5.5999999999999939E-3</v>
      </c>
      <c r="M61" s="45">
        <f>((I61-H61)/H61)*100</f>
        <v>-1.8666666666666647</v>
      </c>
      <c r="N61" s="46">
        <v>567</v>
      </c>
      <c r="O61" s="37">
        <v>166.91</v>
      </c>
      <c r="P61" s="69">
        <f>(R61)/J61</f>
        <v>0</v>
      </c>
      <c r="Q61" s="48">
        <f>J61/G61-1</f>
        <v>0.30265486725663715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375370782.94760001</v>
      </c>
      <c r="E62" s="39">
        <v>0</v>
      </c>
      <c r="F62" s="40" t="s">
        <v>34</v>
      </c>
      <c r="G62" s="68">
        <v>0.49440000000000001</v>
      </c>
      <c r="H62" s="42">
        <v>0.67</v>
      </c>
      <c r="I62" s="42">
        <v>0.66769999999999996</v>
      </c>
      <c r="J62" s="43">
        <f>I62</f>
        <v>0.66769999999999996</v>
      </c>
      <c r="K62" s="39">
        <v>0</v>
      </c>
      <c r="L62" s="45">
        <f>I62-H62</f>
        <v>-2.3000000000000798E-3</v>
      </c>
      <c r="M62" s="45">
        <f>((I62-H62)/H62)*100</f>
        <v>-0.34328358208956411</v>
      </c>
      <c r="N62" s="46">
        <v>232192</v>
      </c>
      <c r="O62" s="37">
        <v>155039.26</v>
      </c>
      <c r="P62" s="69">
        <f>(R62)/J62</f>
        <v>0</v>
      </c>
      <c r="Q62" s="48">
        <f>J62/G62-1</f>
        <v>0.35052588996763734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22397731.59</v>
      </c>
      <c r="E64" s="39">
        <v>0</v>
      </c>
      <c r="F64" s="40" t="s">
        <v>44</v>
      </c>
      <c r="G64" s="68">
        <v>4.2999999999999997E-2</v>
      </c>
      <c r="H64" s="42">
        <v>5.5199999999999999E-2</v>
      </c>
      <c r="I64" s="42">
        <v>6.5000000000000002E-2</v>
      </c>
      <c r="J64" s="43">
        <f>I64</f>
        <v>6.5000000000000002E-2</v>
      </c>
      <c r="K64" s="39">
        <v>0</v>
      </c>
      <c r="L64" s="45">
        <f>I64-H64</f>
        <v>9.8000000000000032E-3</v>
      </c>
      <c r="M64" s="45">
        <f>((I64-H64)/H64)*100</f>
        <v>17.753623188405804</v>
      </c>
      <c r="N64" s="46">
        <v>100</v>
      </c>
      <c r="O64" s="37">
        <v>6.5</v>
      </c>
      <c r="P64" s="69">
        <f>(R64)/J64</f>
        <v>0</v>
      </c>
      <c r="Q64" s="48">
        <f>J64/G64-1</f>
        <v>0.51162790697674443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737669</v>
      </c>
      <c r="O65" s="60">
        <f>SUM(O51:O64)</f>
        <v>533460.88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0.36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0</v>
      </c>
      <c r="M70" s="45">
        <f>((I70-H70)/H70)*100</f>
        <v>0</v>
      </c>
      <c r="N70" s="90">
        <v>272</v>
      </c>
      <c r="O70" s="91">
        <v>97.92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70702762.5</v>
      </c>
      <c r="E71" s="39">
        <f>C71*K71</f>
        <v>70702762.5</v>
      </c>
      <c r="F71" s="87" t="s">
        <v>156</v>
      </c>
      <c r="G71" s="87">
        <v>0.1</v>
      </c>
      <c r="H71" s="88">
        <v>0.152</v>
      </c>
      <c r="I71" s="88">
        <v>0.15</v>
      </c>
      <c r="J71" s="89">
        <f>I71</f>
        <v>0.15</v>
      </c>
      <c r="K71" s="89">
        <f>J71</f>
        <v>0.15</v>
      </c>
      <c r="L71" s="45">
        <f>I71-H71</f>
        <v>-2.0000000000000018E-3</v>
      </c>
      <c r="M71" s="45">
        <f>((I71-H71)/H71)*100</f>
        <v>-1.3157894736842117</v>
      </c>
      <c r="N71" s="46">
        <v>3009</v>
      </c>
      <c r="O71" s="91">
        <v>451.35</v>
      </c>
      <c r="P71" s="92">
        <f>(R71)/J71</f>
        <v>2.528E-2</v>
      </c>
      <c r="Q71" s="48">
        <f>J71/G71-1</f>
        <v>0.49999999999999978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3281</v>
      </c>
      <c r="O72" s="60">
        <f>SUM(O70:O71)</f>
        <v>549.27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2873117.91</v>
      </c>
      <c r="E74" s="39">
        <f>C74*K74</f>
        <v>2873117.91</v>
      </c>
      <c r="F74" s="87" t="s">
        <v>138</v>
      </c>
      <c r="G74" s="87">
        <v>0.1394</v>
      </c>
      <c r="H74" s="88">
        <v>0.13789999999999999</v>
      </c>
      <c r="I74" s="88">
        <v>0.13800000000000001</v>
      </c>
      <c r="J74" s="89">
        <f>I74</f>
        <v>0.13800000000000001</v>
      </c>
      <c r="K74" s="89">
        <f>J74</f>
        <v>0.13800000000000001</v>
      </c>
      <c r="L74" s="45">
        <f>I74-H74</f>
        <v>1.0000000000001674E-4</v>
      </c>
      <c r="M74" s="45">
        <f>((I74-H74)/H74)*100</f>
        <v>7.2516316171150647E-2</v>
      </c>
      <c r="N74" s="90">
        <v>545</v>
      </c>
      <c r="O74" s="91">
        <v>75.22</v>
      </c>
      <c r="P74" s="69">
        <f>(R74)/J74</f>
        <v>0</v>
      </c>
      <c r="Q74" s="48">
        <f>J74/G74-1</f>
        <v>-1.0043041606886516E-2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128204.4934847015</v>
      </c>
      <c r="E77" s="39">
        <f>C77*K77</f>
        <v>108663.27968888887</v>
      </c>
      <c r="F77" s="40" t="s">
        <v>138</v>
      </c>
      <c r="G77" s="68">
        <v>0.105</v>
      </c>
      <c r="H77" s="42">
        <v>7.5399999999999995E-2</v>
      </c>
      <c r="I77" s="42">
        <v>7.5399999999999995E-2</v>
      </c>
      <c r="J77" s="43">
        <f>I77/$J$5</f>
        <v>2.8241075408165939E-3</v>
      </c>
      <c r="K77" s="44">
        <f>I77/$K$4</f>
        <v>2.3936507936507933E-3</v>
      </c>
      <c r="L77" s="45">
        <f>I77-H77</f>
        <v>0</v>
      </c>
      <c r="M77" s="93">
        <f>((I77-H77)/H77)*100</f>
        <v>0</v>
      </c>
      <c r="N77" s="37">
        <v>2000</v>
      </c>
      <c r="O77" s="37">
        <v>150.80000000000001</v>
      </c>
      <c r="P77" s="40">
        <v>0</v>
      </c>
      <c r="Q77" s="48">
        <f>I77/G77-1</f>
        <v>-0.28190476190476188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305997.03805803281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2.2473004303580324E-3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10000</v>
      </c>
      <c r="O78" s="37">
        <v>600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1851840.7263274994</v>
      </c>
      <c r="E79" s="39">
        <f>C79*K79</f>
        <v>1569579.0476190476</v>
      </c>
      <c r="F79" s="40" t="s">
        <v>138</v>
      </c>
      <c r="G79" s="68">
        <v>6.0499999999999998E-2</v>
      </c>
      <c r="H79" s="42">
        <v>0.1</v>
      </c>
      <c r="I79" s="42">
        <v>0.1</v>
      </c>
      <c r="J79" s="43">
        <f>I79/$J$5</f>
        <v>3.7455007172633877E-3</v>
      </c>
      <c r="K79" s="44">
        <f>I79/$K$4</f>
        <v>3.1746031746031746E-3</v>
      </c>
      <c r="L79" s="45">
        <f>I79-H79</f>
        <v>0</v>
      </c>
      <c r="M79" s="93">
        <f>((I79-H79)/H79)*100</f>
        <v>0</v>
      </c>
      <c r="N79" s="37">
        <v>100</v>
      </c>
      <c r="O79" s="37">
        <v>10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2389362.500795919</v>
      </c>
      <c r="E80" s="39">
        <f>C80*K80</f>
        <v>2025170.5587301587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5.805526111758251E-2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12100</v>
      </c>
      <c r="O81" s="60">
        <f>SUM(O77:O80)</f>
        <v>760.8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30522902.420342565</v>
      </c>
      <c r="E83" s="39">
        <f>C83*K83</f>
        <v>25870533.804761905</v>
      </c>
      <c r="F83" s="40" t="s">
        <v>174</v>
      </c>
      <c r="G83" s="40">
        <v>1.3</v>
      </c>
      <c r="H83" s="42">
        <v>2.2124999999999999</v>
      </c>
      <c r="I83" s="42">
        <v>2.2124999999999999</v>
      </c>
      <c r="J83" s="43">
        <f>I83/$J$5</f>
        <v>8.2869203369452443E-2</v>
      </c>
      <c r="K83" s="44">
        <f>I83/$K$4</f>
        <v>7.0238095238095238E-2</v>
      </c>
      <c r="L83" s="45">
        <f>I83-H83</f>
        <v>0</v>
      </c>
      <c r="M83" s="45">
        <f>((I83-H83)/H83*100)</f>
        <v>0</v>
      </c>
      <c r="N83" s="50">
        <v>88</v>
      </c>
      <c r="O83" s="37">
        <v>195.50749999999999</v>
      </c>
      <c r="P83" s="50">
        <f>(R83)/J83</f>
        <v>0</v>
      </c>
      <c r="Q83" s="48">
        <f>I83/G83-1</f>
        <v>0.70192307692307687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75863839.448362663</v>
      </c>
      <c r="E84" s="39">
        <f>C84*K84</f>
        <v>64300504.453333341</v>
      </c>
      <c r="F84" s="40" t="s">
        <v>174</v>
      </c>
      <c r="G84" s="40">
        <v>1.44347</v>
      </c>
      <c r="H84" s="42">
        <v>1.1424290000000001</v>
      </c>
      <c r="I84" s="42">
        <v>1.100136</v>
      </c>
      <c r="J84" s="43">
        <f>I84/$J$5</f>
        <v>4.1205601770872742E-2</v>
      </c>
      <c r="K84" s="44">
        <f>I84/$K$4</f>
        <v>3.4924952380952383E-2</v>
      </c>
      <c r="L84" s="45">
        <f>I84-H84</f>
        <v>-4.2293000000000136E-2</v>
      </c>
      <c r="M84" s="45">
        <f>((I84-H84)/H84*100)</f>
        <v>-3.7020243708799518</v>
      </c>
      <c r="N84" s="50">
        <v>1355697</v>
      </c>
      <c r="O84" s="37">
        <v>1491485.8355</v>
      </c>
      <c r="P84" s="47">
        <f>(R84)/J84</f>
        <v>5.2808353876248021E-2</v>
      </c>
      <c r="Q84" s="48">
        <f>I84/G84-1</f>
        <v>-0.23785322867811598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1355785</v>
      </c>
      <c r="O85" s="60">
        <f>SUM(O83:O84)</f>
        <v>1491681.3430000001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64</v>
      </c>
      <c r="B88" s="110">
        <v>1.0349999999999999</v>
      </c>
      <c r="D88" s="110">
        <v>14.999999999999988</v>
      </c>
      <c r="E88" s="35" t="s">
        <v>74</v>
      </c>
      <c r="F88" s="111">
        <v>2.6081300000000001</v>
      </c>
      <c r="H88" s="112">
        <v>-14.017682859086033</v>
      </c>
      <c r="L88" s="35" t="s">
        <v>147</v>
      </c>
      <c r="M88" s="50">
        <v>6.5000000000000002E-2</v>
      </c>
      <c r="N88" s="113">
        <v>17.753623188405804</v>
      </c>
      <c r="O88" s="35" t="s">
        <v>122</v>
      </c>
      <c r="P88" s="111">
        <v>50.481200000000001</v>
      </c>
      <c r="Q88" s="114">
        <v>-19.887006546320176</v>
      </c>
    </row>
    <row r="89" spans="1:243" x14ac:dyDescent="0.25">
      <c r="A89" s="35" t="s">
        <v>45</v>
      </c>
      <c r="B89" s="110">
        <v>22.144000000000002</v>
      </c>
      <c r="D89" s="110">
        <v>14.997922725384305</v>
      </c>
      <c r="E89" s="35" t="s">
        <v>62</v>
      </c>
      <c r="F89" s="111">
        <v>1.9</v>
      </c>
      <c r="H89" s="112">
        <v>-11.421911421911426</v>
      </c>
      <c r="L89" s="35" t="s">
        <v>126</v>
      </c>
      <c r="M89" s="50">
        <v>2.75E-2</v>
      </c>
      <c r="N89" s="113">
        <v>7.0038910505836549</v>
      </c>
      <c r="O89" s="35" t="s">
        <v>124</v>
      </c>
      <c r="P89" s="111">
        <v>0.2394</v>
      </c>
      <c r="Q89" s="114">
        <v>-6.1544492355938818</v>
      </c>
    </row>
    <row r="90" spans="1:243" x14ac:dyDescent="0.25">
      <c r="A90" s="35" t="s">
        <v>107</v>
      </c>
      <c r="B90" s="110">
        <v>4.5100000000000001E-2</v>
      </c>
      <c r="C90" s="110"/>
      <c r="D90" s="110">
        <v>12.75</v>
      </c>
      <c r="E90" s="35" t="s">
        <v>37</v>
      </c>
      <c r="F90" s="111">
        <v>0.20050000000000001</v>
      </c>
      <c r="H90" s="112">
        <v>-8.863636363636358</v>
      </c>
      <c r="L90" s="35" t="s">
        <v>128</v>
      </c>
      <c r="M90" s="50">
        <v>0.1216</v>
      </c>
      <c r="N90" s="113">
        <v>0.41288191577208949</v>
      </c>
      <c r="O90" s="35" t="s">
        <v>130</v>
      </c>
      <c r="P90" s="111">
        <v>1.329</v>
      </c>
      <c r="Q90" s="114">
        <v>-6.077738515901066</v>
      </c>
    </row>
    <row r="91" spans="1:243" x14ac:dyDescent="0.25">
      <c r="A91" s="35" t="s">
        <v>117</v>
      </c>
      <c r="B91" s="110">
        <v>1.35</v>
      </c>
      <c r="C91" s="110"/>
      <c r="D91" s="110">
        <v>8.0000000000000071</v>
      </c>
      <c r="E91" s="35" t="s">
        <v>72</v>
      </c>
      <c r="F91" s="111">
        <v>1.5914889999999999</v>
      </c>
      <c r="G91" s="111"/>
      <c r="H91" s="112">
        <v>-4.7012574850299398</v>
      </c>
      <c r="L91" s="35" t="s">
        <v>132</v>
      </c>
      <c r="M91" s="50">
        <v>0.14879999999999999</v>
      </c>
      <c r="N91" s="113">
        <v>0.13458950201882769</v>
      </c>
      <c r="O91" s="35" t="s">
        <v>136</v>
      </c>
      <c r="P91" s="111">
        <v>13.1</v>
      </c>
      <c r="Q91" s="114">
        <v>-2.0091857038134213</v>
      </c>
    </row>
    <row r="92" spans="1:243" x14ac:dyDescent="0.25">
      <c r="A92" s="35" t="s">
        <v>35</v>
      </c>
      <c r="B92" s="110">
        <v>6.9000000000000006E-2</v>
      </c>
      <c r="C92" s="110"/>
      <c r="D92" s="110">
        <v>5.8509495904028439</v>
      </c>
      <c r="E92" s="35" t="s">
        <v>99</v>
      </c>
      <c r="F92" s="111">
        <v>0.13056800000000002</v>
      </c>
      <c r="G92" s="111"/>
      <c r="H92" s="112">
        <v>-2.3703061209229825</v>
      </c>
      <c r="L92" s="35"/>
      <c r="M92" s="50"/>
      <c r="N92" s="113"/>
      <c r="O92" s="35" t="s">
        <v>141</v>
      </c>
      <c r="P92" s="111">
        <v>0.2944</v>
      </c>
      <c r="Q92" s="114">
        <v>-1.8666666666666647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7Lx5BCUavq9/VJUYdfSQGhJfewaVQ7/HopbdoqLQKeoqwBCOSyqGKHhtpAvm1vlrLktNlpPHz574CACIWURnqQ==" saltValue="lsIzdlgTe5hDmo6LuQmo2g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2026-06-16T13:35:00Z</dcterms:created>
  <dcterms:modified xsi:type="dcterms:W3CDTF">2026-06-16T13:41:25Z</dcterms:modified>
</cp:coreProperties>
</file>