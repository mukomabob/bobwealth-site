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8.07.26/"/>
    </mc:Choice>
  </mc:AlternateContent>
  <xr:revisionPtr revIDLastSave="0" documentId="8_{11B6CF79-107C-4230-89D4-316959DFD4D3}" xr6:coauthVersionLast="47" xr6:coauthVersionMax="47" xr10:uidLastSave="{00000000-0000-0000-0000-000000000000}"/>
  <bookViews>
    <workbookView xWindow="-108" yWindow="-108" windowWidth="23256" windowHeight="12456" xr2:uid="{F6F3AE35-3229-4843-8C6A-123555361776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6" i="1" l="1"/>
  <c r="N86" i="1"/>
  <c r="Q85" i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 s="1"/>
  <c r="O82" i="1"/>
  <c r="N82" i="1"/>
  <c r="Q81" i="1"/>
  <c r="M81" i="1"/>
  <c r="L81" i="1"/>
  <c r="K81" i="1"/>
  <c r="E81" i="1" s="1"/>
  <c r="J81" i="1"/>
  <c r="D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M75" i="1"/>
  <c r="L75" i="1"/>
  <c r="J75" i="1"/>
  <c r="Q75" i="1" s="1"/>
  <c r="D75" i="1"/>
  <c r="O73" i="1"/>
  <c r="N73" i="1"/>
  <c r="M72" i="1"/>
  <c r="L72" i="1"/>
  <c r="J72" i="1"/>
  <c r="Q72" i="1" s="1"/>
  <c r="M71" i="1"/>
  <c r="L71" i="1"/>
  <c r="J71" i="1"/>
  <c r="D71" i="1" s="1"/>
  <c r="M68" i="1"/>
  <c r="L68" i="1"/>
  <c r="D68" i="1"/>
  <c r="O66" i="1"/>
  <c r="N66" i="1"/>
  <c r="M65" i="1"/>
  <c r="L65" i="1"/>
  <c r="J65" i="1"/>
  <c r="D65" i="1" s="1"/>
  <c r="M64" i="1"/>
  <c r="L64" i="1"/>
  <c r="J64" i="1"/>
  <c r="Q64" i="1" s="1"/>
  <c r="D64" i="1"/>
  <c r="M63" i="1"/>
  <c r="L63" i="1"/>
  <c r="J63" i="1"/>
  <c r="D63" i="1" s="1"/>
  <c r="M62" i="1"/>
  <c r="L62" i="1"/>
  <c r="J62" i="1"/>
  <c r="Q62" i="1" s="1"/>
  <c r="D62" i="1"/>
  <c r="M61" i="1"/>
  <c r="L61" i="1"/>
  <c r="J61" i="1"/>
  <c r="D61" i="1" s="1"/>
  <c r="M60" i="1"/>
  <c r="L60" i="1"/>
  <c r="J60" i="1"/>
  <c r="Q60" i="1" s="1"/>
  <c r="M59" i="1"/>
  <c r="L59" i="1"/>
  <c r="J59" i="1"/>
  <c r="D59" i="1" s="1"/>
  <c r="M58" i="1"/>
  <c r="L58" i="1"/>
  <c r="J58" i="1"/>
  <c r="Q58" i="1" s="1"/>
  <c r="D58" i="1"/>
  <c r="M57" i="1"/>
  <c r="L57" i="1"/>
  <c r="J57" i="1"/>
  <c r="D57" i="1" s="1"/>
  <c r="M56" i="1"/>
  <c r="L56" i="1"/>
  <c r="J56" i="1"/>
  <c r="Q56" i="1" s="1"/>
  <c r="M55" i="1"/>
  <c r="L55" i="1"/>
  <c r="J55" i="1"/>
  <c r="D55" i="1" s="1"/>
  <c r="M54" i="1"/>
  <c r="L54" i="1"/>
  <c r="J54" i="1"/>
  <c r="Q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O48" i="1"/>
  <c r="N48" i="1"/>
  <c r="Q47" i="1"/>
  <c r="M47" i="1"/>
  <c r="L47" i="1"/>
  <c r="K47" i="1"/>
  <c r="J47" i="1"/>
  <c r="D47" i="1" s="1"/>
  <c r="E47" i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D43" i="1" s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Q40" i="1"/>
  <c r="M40" i="1"/>
  <c r="L40" i="1"/>
  <c r="K40" i="1"/>
  <c r="J40" i="1"/>
  <c r="D40" i="1" s="1"/>
  <c r="E40" i="1"/>
  <c r="Q39" i="1"/>
  <c r="M39" i="1"/>
  <c r="L39" i="1"/>
  <c r="K39" i="1"/>
  <c r="E39" i="1" s="1"/>
  <c r="J39" i="1"/>
  <c r="D39" i="1" s="1"/>
  <c r="Q38" i="1"/>
  <c r="M38" i="1"/>
  <c r="L38" i="1"/>
  <c r="K38" i="1"/>
  <c r="J38" i="1"/>
  <c r="E38" i="1"/>
  <c r="D38" i="1"/>
  <c r="Q37" i="1"/>
  <c r="P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P32" i="1" s="1"/>
  <c r="D32" i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P27" i="1" s="1"/>
  <c r="Q26" i="1"/>
  <c r="M26" i="1"/>
  <c r="L26" i="1"/>
  <c r="K26" i="1"/>
  <c r="J26" i="1"/>
  <c r="P26" i="1" s="1"/>
  <c r="E26" i="1"/>
  <c r="Q25" i="1"/>
  <c r="P25" i="1"/>
  <c r="M25" i="1"/>
  <c r="L25" i="1"/>
  <c r="K25" i="1"/>
  <c r="E25" i="1" s="1"/>
  <c r="J25" i="1"/>
  <c r="D25" i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P15" i="1" s="1"/>
  <c r="D15" i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D10" i="1"/>
  <c r="Q9" i="1"/>
  <c r="M9" i="1"/>
  <c r="L9" i="1"/>
  <c r="K9" i="1"/>
  <c r="E9" i="1" s="1"/>
  <c r="J9" i="1"/>
  <c r="D9" i="1" s="1"/>
  <c r="P46" i="1" l="1"/>
  <c r="P20" i="1"/>
  <c r="D21" i="1"/>
  <c r="D23" i="1"/>
  <c r="D53" i="1"/>
  <c r="D33" i="1"/>
  <c r="P9" i="1"/>
  <c r="D51" i="1"/>
  <c r="D54" i="1"/>
  <c r="D72" i="1"/>
  <c r="D41" i="1"/>
  <c r="D26" i="1"/>
  <c r="P34" i="1"/>
  <c r="K72" i="1"/>
  <c r="E72" i="1" s="1"/>
  <c r="P43" i="1"/>
  <c r="D17" i="1"/>
  <c r="D27" i="1"/>
  <c r="D44" i="1"/>
  <c r="D56" i="1"/>
  <c r="P72" i="1"/>
  <c r="D29" i="1"/>
  <c r="P40" i="1"/>
  <c r="D60" i="1"/>
  <c r="D11" i="1"/>
  <c r="D24" i="1"/>
  <c r="P57" i="1"/>
  <c r="P63" i="1"/>
  <c r="P51" i="1"/>
  <c r="Q55" i="1"/>
  <c r="Q65" i="1"/>
  <c r="K75" i="1"/>
  <c r="E75" i="1" s="1"/>
  <c r="P55" i="1"/>
  <c r="P59" i="1"/>
  <c r="P61" i="1"/>
  <c r="P65" i="1"/>
  <c r="P19" i="1"/>
  <c r="Q57" i="1"/>
  <c r="Q59" i="1"/>
  <c r="Q63" i="1"/>
  <c r="P71" i="1"/>
  <c r="P42" i="1"/>
  <c r="P45" i="1"/>
  <c r="Q71" i="1"/>
  <c r="P54" i="1"/>
  <c r="P56" i="1"/>
  <c r="P58" i="1"/>
  <c r="P60" i="1"/>
  <c r="P62" i="1"/>
  <c r="P64" i="1"/>
  <c r="K71" i="1"/>
  <c r="E71" i="1" s="1"/>
  <c r="Q61" i="1"/>
  <c r="P52" i="1"/>
  <c r="P75" i="1"/>
</calcChain>
</file>

<file path=xl/sharedStrings.xml><?xml version="1.0" encoding="utf-8"?>
<sst xmlns="http://schemas.openxmlformats.org/spreadsheetml/2006/main" count="274" uniqueCount="184">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</sst>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976D2FC2-A25D-4D4A-BC55-F28862D9906C}"/>
    <cellStyle name="Comma 5 2 2 2 2 2 2 2 2" xfId="4" xr:uid="{E6616A87-461C-438B-8582-F7F48BDC0F11}"/>
    <cellStyle name="Comma 6 2 2 2" xfId="5" xr:uid="{78EC24B2-D05B-420F-B5E1-34F3E21A89B3}"/>
    <cellStyle name="Hyperlink 2" xfId="8" xr:uid="{90BECEB8-FB74-4564-83B1-85544FD59016}"/>
    <cellStyle name="Normal" xfId="0" builtinId="0"/>
    <cellStyle name="Normal 2" xfId="2" xr:uid="{A51D085B-F398-4FEB-B747-2FF21951D39E}"/>
    <cellStyle name="Normal 20" xfId="7" xr:uid="{4B3E72D0-33C3-4230-A6CB-E37BB32ECCFD}"/>
    <cellStyle name="Percent" xfId="1" builtinId="5"/>
    <cellStyle name="Percent 3" xfId="6" xr:uid="{F35398BB-199A-4DE9-B275-70F19241079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5B6AE2B-4E2E-4F8C-BA32-41B8B0A1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4DB3411-E8D8-4913-BBC6-95142B56D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2F68-5019-4E89-BF82-FAC293BE01A4}">
  <dimension ref="A1:II107"/>
  <sheetViews>
    <sheetView tabSelected="1" topLeftCell="A35" zoomScale="70" zoomScaleNormal="60" workbookViewId="0">
      <selection activeCell="S24" sqref="S2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26.774799999999999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74373819.270358711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0.59010711564605534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2.5419113924050628E-2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3975068.7927827663</v>
      </c>
      <c r="E10" s="39">
        <f>C10*K10</f>
        <v>3378783.2353333333</v>
      </c>
      <c r="F10" s="40" t="s">
        <v>34</v>
      </c>
      <c r="G10" s="41">
        <v>3.1600000000000003E-2</v>
      </c>
      <c r="H10" s="42">
        <v>6.5189999999999998E-2</v>
      </c>
      <c r="I10" s="43">
        <v>6.54E-2</v>
      </c>
      <c r="J10" s="44">
        <f>I10/$J$5</f>
        <v>2.4425952761551908E-3</v>
      </c>
      <c r="K10" s="45">
        <f>I10/$K$4</f>
        <v>2.0761904761904763E-3</v>
      </c>
      <c r="L10" s="46">
        <f>I10-H10</f>
        <v>2.1000000000000185E-4</v>
      </c>
      <c r="M10" s="46">
        <f>((I10-H10)/H10)*100</f>
        <v>0.32213529682466924</v>
      </c>
      <c r="N10" s="47">
        <v>8500</v>
      </c>
      <c r="O10" s="37">
        <v>555.9</v>
      </c>
      <c r="P10" s="51">
        <f>(R10)/J10</f>
        <v>0</v>
      </c>
      <c r="Q10" s="49">
        <f>I10/G10-1</f>
        <v>1.0696202531645569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3590503.7191687706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8.2166813570969718E-3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146343012.02249879</v>
      </c>
      <c r="E12" s="39">
        <f>C12*K12</f>
        <v>124390631.05714285</v>
      </c>
      <c r="F12" s="40" t="s">
        <v>34</v>
      </c>
      <c r="G12" s="41">
        <v>97.381</v>
      </c>
      <c r="H12" s="42">
        <v>178.55709999999999</v>
      </c>
      <c r="I12" s="43">
        <v>189.9</v>
      </c>
      <c r="J12" s="44">
        <f>I12/$J$5</f>
        <v>7.092489953239614</v>
      </c>
      <c r="K12" s="45">
        <f>I12/$K$4</f>
        <v>6.0285714285714285</v>
      </c>
      <c r="L12" s="46">
        <f>I12-H12</f>
        <v>11.342900000000014</v>
      </c>
      <c r="M12" s="46">
        <f>((I12-H12)/H12)*100</f>
        <v>6.3525337273062883</v>
      </c>
      <c r="N12" s="47">
        <v>600</v>
      </c>
      <c r="O12" s="37">
        <v>113940</v>
      </c>
      <c r="P12" s="51">
        <f>(R12)/J12</f>
        <v>0</v>
      </c>
      <c r="Q12" s="49">
        <f>I12/G12-1</f>
        <v>0.95007239605261806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6198629.0093670171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0.70962248084019308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791634531.46878779</v>
      </c>
      <c r="E14" s="39">
        <f>C14*K14</f>
        <v>672884325.49747622</v>
      </c>
      <c r="F14" s="40" t="s">
        <v>47</v>
      </c>
      <c r="G14" s="41">
        <v>11.5</v>
      </c>
      <c r="H14" s="42">
        <v>40.553699999999999</v>
      </c>
      <c r="I14" s="43">
        <v>40.553699999999999</v>
      </c>
      <c r="J14" s="44">
        <f>I14/$J$5</f>
        <v>1.5146219579604703</v>
      </c>
      <c r="K14" s="45">
        <f>I14/$K$4</f>
        <v>1.2874190476190477</v>
      </c>
      <c r="L14" s="46">
        <f>I14-H14</f>
        <v>0</v>
      </c>
      <c r="M14" s="46">
        <f>((I14-H14)/H14)*100</f>
        <v>0</v>
      </c>
      <c r="N14" s="47">
        <v>0</v>
      </c>
      <c r="O14" s="37">
        <v>0</v>
      </c>
      <c r="P14" s="51">
        <f>(R14)/J14</f>
        <v>0</v>
      </c>
      <c r="Q14" s="49">
        <f>I14/G14-1</f>
        <v>2.5264086956521736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23762838.564620465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0.22409130973900834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58352837.536762558</v>
      </c>
      <c r="E16" s="39">
        <f>C16*K16</f>
        <v>49599541.412041597</v>
      </c>
      <c r="F16" s="40" t="s">
        <v>34</v>
      </c>
      <c r="G16" s="41">
        <v>1.9</v>
      </c>
      <c r="H16" s="42">
        <v>3.7949999999999999</v>
      </c>
      <c r="I16" s="43">
        <v>4.3641950000000005</v>
      </c>
      <c r="J16" s="44">
        <f>I16/$J$5</f>
        <v>0.16299636225107192</v>
      </c>
      <c r="K16" s="45">
        <f>I16/$K$4</f>
        <v>0.13854587301587304</v>
      </c>
      <c r="L16" s="46">
        <f>I16-H16</f>
        <v>0.56919500000000056</v>
      </c>
      <c r="M16" s="46">
        <f>((I16-H16)/H16)*100</f>
        <v>14.998550724637697</v>
      </c>
      <c r="N16" s="47">
        <v>696600</v>
      </c>
      <c r="O16" s="37">
        <v>3040098</v>
      </c>
      <c r="P16" s="51">
        <f>(R16)/J16</f>
        <v>0</v>
      </c>
      <c r="Q16" s="49">
        <f>I16/G16-1</f>
        <v>1.2969447368421054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1515153640.815207</v>
      </c>
      <c r="E17" s="39">
        <f>C17*K17</f>
        <v>1287870974.6698096</v>
      </c>
      <c r="F17" s="40" t="s">
        <v>34</v>
      </c>
      <c r="G17" s="41">
        <v>20.701700000000002</v>
      </c>
      <c r="H17" s="42">
        <v>30.086300000000001</v>
      </c>
      <c r="I17" s="43">
        <v>30.100200000000001</v>
      </c>
      <c r="J17" s="44">
        <f>I17/$J$5</f>
        <v>1.1241988735676831</v>
      </c>
      <c r="K17" s="45">
        <f>I17/$K$4</f>
        <v>0.95556190476190483</v>
      </c>
      <c r="L17" s="46">
        <f>I17-H17</f>
        <v>1.3899999999999579E-2</v>
      </c>
      <c r="M17" s="46">
        <f>((I17-H17)/H17)*100</f>
        <v>4.6200430096088846E-2</v>
      </c>
      <c r="N17" s="47">
        <v>1067600</v>
      </c>
      <c r="O17" s="37">
        <v>32134957.850000001</v>
      </c>
      <c r="P17" s="48">
        <f>(R17)/J17</f>
        <v>4.4476116437764536E-2</v>
      </c>
      <c r="Q17" s="49">
        <f>I17/G17-1</f>
        <v>0.45399653168580345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225864674.09868139</v>
      </c>
      <c r="E19" s="39">
        <f>C19*K19</f>
        <v>191983538.92245629</v>
      </c>
      <c r="F19" s="40" t="s">
        <v>47</v>
      </c>
      <c r="G19" s="41">
        <v>12.45</v>
      </c>
      <c r="H19" s="42">
        <v>9</v>
      </c>
      <c r="I19" s="43">
        <v>8.999899000000001</v>
      </c>
      <c r="J19" s="44">
        <f>I19/$J$5</f>
        <v>0.33613319240479861</v>
      </c>
      <c r="K19" s="45">
        <f>I19/$K$4</f>
        <v>0.28571107936507939</v>
      </c>
      <c r="L19" s="46">
        <f>I19-H19</f>
        <v>-1.0099999999901854E-4</v>
      </c>
      <c r="M19" s="46">
        <f>((I19-H19)/H19)*100</f>
        <v>-1.1222222222113172E-3</v>
      </c>
      <c r="N19" s="47">
        <v>395900</v>
      </c>
      <c r="O19" s="37">
        <v>3563060</v>
      </c>
      <c r="P19" s="51">
        <f>(R19)/J19</f>
        <v>0</v>
      </c>
      <c r="Q19" s="49">
        <f>I19/G19-1</f>
        <v>-0.2771165461847388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2847689.0098151993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2.6143986136217635E-2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85421146.034330785</v>
      </c>
      <c r="E21" s="39">
        <f>C21*K21</f>
        <v>72607431.772698402</v>
      </c>
      <c r="F21" s="40" t="s">
        <v>47</v>
      </c>
      <c r="G21" s="41">
        <v>2.85</v>
      </c>
      <c r="H21" s="42">
        <v>3.3139999999999996</v>
      </c>
      <c r="I21" s="43">
        <v>3.3139999999999996</v>
      </c>
      <c r="J21" s="44">
        <f>I21/$J$5</f>
        <v>0.12377310007917892</v>
      </c>
      <c r="K21" s="45">
        <f>I21/$K$4</f>
        <v>0.10520634920634919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0.1628070175438594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2471692.9590681908</v>
      </c>
      <c r="E23" s="39">
        <f>C23*K23</f>
        <v>2100923.3219193332</v>
      </c>
      <c r="F23" s="40" t="s">
        <v>44</v>
      </c>
      <c r="G23" s="41">
        <v>0.1</v>
      </c>
      <c r="H23" s="42">
        <v>0.110292</v>
      </c>
      <c r="I23" s="43">
        <v>0.123333</v>
      </c>
      <c r="J23" s="44">
        <f>I23/$J$5</f>
        <v>4.6063089173401855E-3</v>
      </c>
      <c r="K23" s="45">
        <f>I23/$K$4</f>
        <v>3.9153333333333332E-3</v>
      </c>
      <c r="L23" s="46">
        <f>I23-H23</f>
        <v>1.3040999999999997E-2</v>
      </c>
      <c r="M23" s="46">
        <f>((I23-H23)/H23)*100</f>
        <v>11.824067022086822</v>
      </c>
      <c r="N23" s="47">
        <v>2700</v>
      </c>
      <c r="O23" s="37">
        <v>333</v>
      </c>
      <c r="P23" s="51">
        <f>(R23)/J23</f>
        <v>0</v>
      </c>
      <c r="Q23" s="49">
        <f>I23/G23-1</f>
        <v>0.23332999999999982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69927673.439204022</v>
      </c>
      <c r="E24" s="39">
        <f>C24*K24</f>
        <v>59438078.438095227</v>
      </c>
      <c r="F24" s="40" t="s">
        <v>34</v>
      </c>
      <c r="G24" s="41">
        <v>8.1687659999999997</v>
      </c>
      <c r="H24" s="42">
        <v>9.6999999999999993</v>
      </c>
      <c r="I24" s="43">
        <v>9.6999999999999993</v>
      </c>
      <c r="J24" s="44">
        <f>I24/$J$5</f>
        <v>0.3622809507447301</v>
      </c>
      <c r="K24" s="45">
        <f>I24/$K$4</f>
        <v>0.3079365079365079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0.18744985472713993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110174374.70053934</v>
      </c>
      <c r="E25" s="39">
        <f>C25*K25</f>
        <v>93647518.975619063</v>
      </c>
      <c r="F25" s="40" t="s">
        <v>66</v>
      </c>
      <c r="G25" s="41">
        <v>1.6675</v>
      </c>
      <c r="H25" s="42">
        <v>1.7480000000000002</v>
      </c>
      <c r="I25" s="43">
        <v>1.7480000000000002</v>
      </c>
      <c r="J25" s="44">
        <f>I25/$J$5</f>
        <v>6.5285268237297772E-2</v>
      </c>
      <c r="K25" s="45">
        <f>I25/$K$4</f>
        <v>5.5492063492063502E-2</v>
      </c>
      <c r="L25" s="46">
        <f>I25-H25</f>
        <v>0</v>
      </c>
      <c r="M25" s="46">
        <f>((I25-H25)/H25)*100</f>
        <v>0</v>
      </c>
      <c r="N25" s="47">
        <v>0</v>
      </c>
      <c r="O25" s="37">
        <v>0</v>
      </c>
      <c r="P25" s="51">
        <f>(R25)/J25</f>
        <v>0</v>
      </c>
      <c r="Q25" s="49">
        <f>I25/G25-1</f>
        <v>4.8275862068965614E-2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26005190.299983043</v>
      </c>
      <c r="E26" s="39">
        <f>C26*K26</f>
        <v>22104246.642666221</v>
      </c>
      <c r="F26" s="40" t="s">
        <v>44</v>
      </c>
      <c r="G26" s="41">
        <v>1.7994999999999999</v>
      </c>
      <c r="H26" s="42">
        <v>2.908598</v>
      </c>
      <c r="I26" s="43">
        <v>2.908598</v>
      </c>
      <c r="J26" s="44">
        <f>I26/$J$5</f>
        <v>0.10863192255404336</v>
      </c>
      <c r="K26" s="45">
        <f>I26/$K$4</f>
        <v>9.2336444444444443E-2</v>
      </c>
      <c r="L26" s="46">
        <f>I26-H26</f>
        <v>0</v>
      </c>
      <c r="M26" s="46">
        <f>((I26-H26)/H26)*100</f>
        <v>0</v>
      </c>
      <c r="N26" s="47">
        <v>0</v>
      </c>
      <c r="O26" s="37">
        <v>0</v>
      </c>
      <c r="P26" s="51">
        <f>(R26)/J26</f>
        <v>0</v>
      </c>
      <c r="Q26" s="49">
        <f>I26/G26-1</f>
        <v>0.61633676021116979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25830519.768588379</v>
      </c>
      <c r="E27" s="39">
        <f>C27*K27</f>
        <v>21955777.800000001</v>
      </c>
      <c r="F27" s="40" t="s">
        <v>34</v>
      </c>
      <c r="G27" s="41">
        <v>3.1361369999999997</v>
      </c>
      <c r="H27" s="42">
        <v>2.7499700000000002</v>
      </c>
      <c r="I27" s="43">
        <v>2.7</v>
      </c>
      <c r="J27" s="44">
        <f>I27/$J$5</f>
        <v>0.10084108938255376</v>
      </c>
      <c r="K27" s="45">
        <f>I27/$K$4</f>
        <v>8.5714285714285715E-2</v>
      </c>
      <c r="L27" s="46">
        <f>I27-H27</f>
        <v>-4.997000000000007E-2</v>
      </c>
      <c r="M27" s="46">
        <f>((I27-H27)/H27)*100</f>
        <v>-1.8171107321170801</v>
      </c>
      <c r="N27" s="47">
        <v>100</v>
      </c>
      <c r="O27" s="37">
        <v>270</v>
      </c>
      <c r="P27" s="51">
        <f>(R27)/J27</f>
        <v>0</v>
      </c>
      <c r="Q27" s="49">
        <f>I27/G27-1</f>
        <v>-0.13906822310377376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21166771.581860557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2.8011413717376043E-2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93936308.050853774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0.20915188908974108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11616036.245105471</v>
      </c>
      <c r="E32" s="39">
        <f>C32*K32</f>
        <v>9873557.0557285696</v>
      </c>
      <c r="F32" s="40" t="s">
        <v>39</v>
      </c>
      <c r="G32" s="41">
        <v>1.4</v>
      </c>
      <c r="H32" s="42">
        <v>1.4</v>
      </c>
      <c r="I32" s="43">
        <v>1.1968349999999999</v>
      </c>
      <c r="J32" s="44">
        <f>I32/$J$5</f>
        <v>4.4700053781914335E-2</v>
      </c>
      <c r="K32" s="45">
        <f>I32/$K$4</f>
        <v>3.7994761904761899E-2</v>
      </c>
      <c r="L32" s="46">
        <f>I32-H32</f>
        <v>-0.20316500000000004</v>
      </c>
      <c r="M32" s="46">
        <f>((I32-H32)/H32)*100</f>
        <v>-14.511785714285718</v>
      </c>
      <c r="N32" s="47">
        <v>116600</v>
      </c>
      <c r="O32" s="37">
        <v>139551</v>
      </c>
      <c r="P32" s="51">
        <f>(R32)/J32</f>
        <v>0</v>
      </c>
      <c r="Q32" s="49">
        <f>I32/G32-1</f>
        <v>-0.14511785714285719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3873980.3658664119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3.1746268879692847E-2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116503930.14140162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4.6685689528960066E-2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37895453.240322389</v>
      </c>
      <c r="E35" s="39">
        <f>C35*K35</f>
        <v>32210894.648221713</v>
      </c>
      <c r="F35" s="40" t="s">
        <v>34</v>
      </c>
      <c r="G35" s="41">
        <v>3.6056249999999999</v>
      </c>
      <c r="H35" s="42">
        <v>4.1060739999999996</v>
      </c>
      <c r="I35" s="43">
        <v>4.0026479999999998</v>
      </c>
      <c r="J35" s="44">
        <f>I35/$J$5</f>
        <v>0.14949310545737035</v>
      </c>
      <c r="K35" s="45">
        <f>I35/$K$4</f>
        <v>0.12706819047619047</v>
      </c>
      <c r="L35" s="46">
        <f>I35-H35</f>
        <v>-0.1034259999999998</v>
      </c>
      <c r="M35" s="46">
        <f>((I35-H35)/H35)*100</f>
        <v>-2.5188537761374934</v>
      </c>
      <c r="N35" s="47">
        <v>27000</v>
      </c>
      <c r="O35" s="37">
        <v>108071.5</v>
      </c>
      <c r="P35" s="51">
        <f>(R35)/J35</f>
        <v>0</v>
      </c>
      <c r="Q35" s="49">
        <f>I35/G35-1</f>
        <v>0.11011211648465946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7217698.5493529746</v>
      </c>
      <c r="E36" s="39">
        <f>C36*K36</f>
        <v>6134997.9402925717</v>
      </c>
      <c r="F36" s="40" t="s">
        <v>34</v>
      </c>
      <c r="G36" s="41">
        <v>2.5099999999999997E-2</v>
      </c>
      <c r="H36" s="42">
        <v>4.0633000000000002E-2</v>
      </c>
      <c r="I36" s="43">
        <v>4.0986000000000002E-2</v>
      </c>
      <c r="J36" s="44">
        <f>I36/$J$5</f>
        <v>1.5307677368271661E-3</v>
      </c>
      <c r="K36" s="45">
        <f>I36/$K$4</f>
        <v>1.3011428571428573E-3</v>
      </c>
      <c r="L36" s="46">
        <f>I36-H36</f>
        <v>3.5299999999999915E-4</v>
      </c>
      <c r="M36" s="46">
        <f>((I36-H36)/H36)*100</f>
        <v>0.86875199960622929</v>
      </c>
      <c r="N36" s="47">
        <v>242300</v>
      </c>
      <c r="O36" s="37">
        <v>9930.9</v>
      </c>
      <c r="P36" s="51">
        <f>(R36)/J36</f>
        <v>0</v>
      </c>
      <c r="Q36" s="49">
        <f>I36/G36-1</f>
        <v>0.63290836653386484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70600997.012115881</v>
      </c>
      <c r="E37" s="39">
        <f>C37*K37</f>
        <v>60010399.199999996</v>
      </c>
      <c r="F37" s="40" t="s">
        <v>93</v>
      </c>
      <c r="G37" s="41">
        <v>0.61</v>
      </c>
      <c r="H37" s="42">
        <v>3.5728849999999999</v>
      </c>
      <c r="I37" s="43">
        <v>3.6</v>
      </c>
      <c r="J37" s="44">
        <f>I37/$J$5</f>
        <v>0.13445478584340501</v>
      </c>
      <c r="K37" s="45">
        <f>I37/$K$4</f>
        <v>0.11428571428571428</v>
      </c>
      <c r="L37" s="46">
        <f>I37-H37</f>
        <v>2.7115000000000222E-2</v>
      </c>
      <c r="M37" s="46">
        <f>((I37-H37)/H37)*100</f>
        <v>0.75891051629146256</v>
      </c>
      <c r="N37" s="47">
        <v>300</v>
      </c>
      <c r="O37" s="37">
        <v>1080</v>
      </c>
      <c r="P37" s="51">
        <f>(R37)/J37</f>
        <v>0</v>
      </c>
      <c r="Q37" s="49">
        <f>I37/G37-1</f>
        <v>4.9016393442622954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35474546.971986391</v>
      </c>
      <c r="E38" s="39">
        <f>C38*K38</f>
        <v>30153139.690969557</v>
      </c>
      <c r="F38" s="40" t="s">
        <v>56</v>
      </c>
      <c r="G38" s="41">
        <v>0.11650199999999999</v>
      </c>
      <c r="H38" s="42">
        <v>0.20300000000000001</v>
      </c>
      <c r="I38" s="43">
        <v>0.22642900000000002</v>
      </c>
      <c r="J38" s="44">
        <f>I38/$J$5</f>
        <v>8.4567951954823209E-3</v>
      </c>
      <c r="K38" s="45">
        <f>I38/$K$4</f>
        <v>7.1882222222222226E-3</v>
      </c>
      <c r="L38" s="46">
        <f>I38-H38</f>
        <v>2.3429000000000005E-2</v>
      </c>
      <c r="M38" s="46">
        <f>((I38-H38)/H38)*100</f>
        <v>11.54137931034483</v>
      </c>
      <c r="N38" s="47">
        <v>3500</v>
      </c>
      <c r="O38" s="37">
        <v>792.5</v>
      </c>
      <c r="P38" s="51">
        <v>0</v>
      </c>
      <c r="Q38" s="49">
        <f>I38/G38-1</f>
        <v>0.94356320063174914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>C39*J39</f>
        <v>0</v>
      </c>
      <c r="E39" s="39">
        <f>C39*K39</f>
        <v>0</v>
      </c>
      <c r="F39" s="40" t="s">
        <v>34</v>
      </c>
      <c r="G39" s="41">
        <v>2.6005000000000003</v>
      </c>
      <c r="H39" s="42">
        <v>6.9635580000000008</v>
      </c>
      <c r="I39" s="43"/>
      <c r="J39" s="44">
        <f>I39/$J$5</f>
        <v>0</v>
      </c>
      <c r="K39" s="45">
        <f>I39/$K$4</f>
        <v>0</v>
      </c>
      <c r="L39" s="46">
        <f>I39-H39</f>
        <v>-6.9635580000000008</v>
      </c>
      <c r="M39" s="46">
        <f>((I39-H39)/H39)*100</f>
        <v>-100</v>
      </c>
      <c r="N39" s="53" t="s">
        <v>57</v>
      </c>
      <c r="O39" s="53" t="s">
        <v>57</v>
      </c>
      <c r="P39" s="53" t="s">
        <v>86</v>
      </c>
      <c r="Q39" s="49">
        <f>I39/G39-1</f>
        <v>-1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>C40*J40</f>
        <v>17730474.733331341</v>
      </c>
      <c r="E40" s="39">
        <f>C40*K40</f>
        <v>15070790.948888889</v>
      </c>
      <c r="F40" s="40" t="s">
        <v>39</v>
      </c>
      <c r="G40" s="41">
        <v>0.1</v>
      </c>
      <c r="H40" s="42">
        <v>0.11</v>
      </c>
      <c r="I40" s="43">
        <v>0.11</v>
      </c>
      <c r="J40" s="44">
        <f>I40/$J$5</f>
        <v>4.1083406785484859E-3</v>
      </c>
      <c r="K40" s="45">
        <f>I40/$K$4</f>
        <v>3.4920634920634921E-3</v>
      </c>
      <c r="L40" s="46">
        <f>I40-H40</f>
        <v>0</v>
      </c>
      <c r="M40" s="46">
        <f>((I40-H40)/H40)*100</f>
        <v>0</v>
      </c>
      <c r="N40" s="47">
        <v>100</v>
      </c>
      <c r="O40" s="37">
        <v>11</v>
      </c>
      <c r="P40" s="51">
        <f>(R40)/J40</f>
        <v>0</v>
      </c>
      <c r="Q40" s="49">
        <f>I40/G40-1</f>
        <v>9.9999999999999867E-2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>C41*J41</f>
        <v>6839852.6838669199</v>
      </c>
      <c r="E41" s="39">
        <f>C41*K41</f>
        <v>5813831.3536507934</v>
      </c>
      <c r="F41" s="40" t="s">
        <v>44</v>
      </c>
      <c r="G41" s="41">
        <v>1.7452379999999998</v>
      </c>
      <c r="H41" s="42">
        <v>1.7224999999999999</v>
      </c>
      <c r="I41" s="43">
        <v>1.72</v>
      </c>
      <c r="J41" s="44">
        <f>I41/$J$5</f>
        <v>6.4239508791849059E-2</v>
      </c>
      <c r="K41" s="45">
        <f>I41/$K$4</f>
        <v>5.4603174603174605E-2</v>
      </c>
      <c r="L41" s="46">
        <f>I41-H41</f>
        <v>-2.4999999999999467E-3</v>
      </c>
      <c r="M41" s="46">
        <f>((I41-H41)/H41)*100</f>
        <v>-0.1451378809869345</v>
      </c>
      <c r="N41" s="47">
        <v>500</v>
      </c>
      <c r="O41" s="37">
        <v>860</v>
      </c>
      <c r="P41" s="51">
        <f>(R41)/J41</f>
        <v>0</v>
      </c>
      <c r="Q41" s="49">
        <f>I41/G41-1</f>
        <v>-1.4461064909198518E-2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>C42*J42</f>
        <v>4186220.2526674336</v>
      </c>
      <c r="E42" s="39">
        <f>C42*K42</f>
        <v>3558260.6355911107</v>
      </c>
      <c r="F42" s="40" t="s">
        <v>39</v>
      </c>
      <c r="G42" s="41">
        <v>0.03</v>
      </c>
      <c r="H42" s="42">
        <v>6.3039999999999999E-2</v>
      </c>
      <c r="I42" s="43">
        <v>6.3039999999999999E-2</v>
      </c>
      <c r="J42" s="44">
        <f>I42/$J$5</f>
        <v>2.354452694324514E-3</v>
      </c>
      <c r="K42" s="45">
        <f>I42/$K$4</f>
        <v>2.0012698412698411E-3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1.1013333333333333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>C43*J43</f>
        <v>35987142.051481247</v>
      </c>
      <c r="E43" s="39">
        <f>C43*K43</f>
        <v>30588842.253968254</v>
      </c>
      <c r="F43" s="40" t="s">
        <v>47</v>
      </c>
      <c r="G43" s="41">
        <v>4.5</v>
      </c>
      <c r="H43" s="42">
        <v>5.5</v>
      </c>
      <c r="I43" s="43">
        <v>5.5</v>
      </c>
      <c r="J43" s="44">
        <f>I43/$J$5</f>
        <v>0.2054170339274243</v>
      </c>
      <c r="K43" s="45">
        <f>I43/$K$4</f>
        <v>0.17460317460317459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0.22222222222222232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>C44*J44</f>
        <v>311.48982991469592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6.7227392921702496E-7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>C45*J45</f>
        <v>1510196.1545931248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2.6218683239463973E-3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>C46*J46</f>
        <v>45529149.654437385</v>
      </c>
      <c r="E46" s="39">
        <f>C46*K46</f>
        <v>38699488.132305712</v>
      </c>
      <c r="F46" s="40" t="s">
        <v>47</v>
      </c>
      <c r="G46" s="41">
        <v>0.9998999999999999</v>
      </c>
      <c r="H46" s="42">
        <v>0.67045500000000002</v>
      </c>
      <c r="I46" s="43">
        <v>0.67045500000000002</v>
      </c>
      <c r="J46" s="44">
        <f>I46/$J$5</f>
        <v>2.5040523178511138E-2</v>
      </c>
      <c r="K46" s="45">
        <f>I46/$K$4</f>
        <v>2.1284285714285714E-2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f>(R46)/J46</f>
        <v>0</v>
      </c>
      <c r="Q46" s="49">
        <f>I46/G46-1</f>
        <v>-0.32947794779477935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>C47*J47</f>
        <v>5247323.5829825057</v>
      </c>
      <c r="E47" s="39">
        <f>C47*K47</f>
        <v>4460191.7291949205</v>
      </c>
      <c r="F47" s="40" t="s">
        <v>47</v>
      </c>
      <c r="G47" s="41">
        <v>1.4503460000000001</v>
      </c>
      <c r="H47" s="42">
        <v>1.54</v>
      </c>
      <c r="I47" s="43">
        <v>1.3678569999999999</v>
      </c>
      <c r="J47" s="44">
        <f>I47/$J$5</f>
        <v>5.108747777761178E-2</v>
      </c>
      <c r="K47" s="45">
        <f>I47/$K$4</f>
        <v>4.3424031746031745E-2</v>
      </c>
      <c r="L47" s="46">
        <f>I47-H47</f>
        <v>-0.17214300000000016</v>
      </c>
      <c r="M47" s="46">
        <f>((I47-H47)/H47)*100</f>
        <v>-11.178116883116893</v>
      </c>
      <c r="N47" s="47">
        <v>21000</v>
      </c>
      <c r="O47" s="37">
        <v>28725</v>
      </c>
      <c r="P47" s="51">
        <v>0</v>
      </c>
      <c r="Q47" s="49">
        <f>I47/G47-1</f>
        <v>-5.687539387153151E-2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2583300</v>
      </c>
      <c r="O48" s="61">
        <f>SUM(O9:O47)</f>
        <v>39142236.649999999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120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>C51*J51</f>
        <v>78743191.705200002</v>
      </c>
      <c r="E51" s="39">
        <v>0</v>
      </c>
      <c r="F51" s="40" t="s">
        <v>93</v>
      </c>
      <c r="G51" s="70">
        <v>0.1</v>
      </c>
      <c r="H51" s="42">
        <v>0.14019999999999999</v>
      </c>
      <c r="I51" s="42">
        <v>0.1419</v>
      </c>
      <c r="J51" s="44">
        <f>I51</f>
        <v>0.1419</v>
      </c>
      <c r="K51" s="39">
        <v>0</v>
      </c>
      <c r="L51" s="46">
        <f>I51-H51</f>
        <v>1.7000000000000071E-3</v>
      </c>
      <c r="M51" s="46">
        <f>((I51-H51)/H51)*100</f>
        <v>1.2125534950071377</v>
      </c>
      <c r="N51" s="47">
        <v>6269</v>
      </c>
      <c r="O51" s="37">
        <v>889.42</v>
      </c>
      <c r="P51" s="71">
        <f>(R51)/J51</f>
        <v>0</v>
      </c>
      <c r="Q51" s="49">
        <f>J51/G51-1</f>
        <v>0.41899999999999982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>C52*J52</f>
        <v>52813702.410500005</v>
      </c>
      <c r="E52" s="39">
        <v>0</v>
      </c>
      <c r="F52" s="40" t="s">
        <v>39</v>
      </c>
      <c r="G52" s="70">
        <v>39.9</v>
      </c>
      <c r="H52" s="42">
        <v>48.819000000000003</v>
      </c>
      <c r="I52" s="42">
        <v>49.933300000000003</v>
      </c>
      <c r="J52" s="44">
        <f>I52</f>
        <v>49.933300000000003</v>
      </c>
      <c r="K52" s="39">
        <v>0</v>
      </c>
      <c r="L52" s="46">
        <f>I52-H52</f>
        <v>1.1143000000000001</v>
      </c>
      <c r="M52" s="46">
        <f>((I52-H52)/H52)*100</f>
        <v>2.2825129560212214</v>
      </c>
      <c r="N52" s="47">
        <v>15</v>
      </c>
      <c r="O52" s="37">
        <v>749</v>
      </c>
      <c r="P52" s="72">
        <f>(R52)/J52</f>
        <v>1.1214960757650707E-2</v>
      </c>
      <c r="Q52" s="49">
        <f>J52/G52-1</f>
        <v>0.25146115288220572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>C53*J53</f>
        <v>741158825.38310003</v>
      </c>
      <c r="E53" s="39"/>
      <c r="F53" s="40" t="s">
        <v>56</v>
      </c>
      <c r="G53" s="70">
        <v>0.33</v>
      </c>
      <c r="H53" s="42">
        <v>0.24779999999999999</v>
      </c>
      <c r="I53" s="42">
        <v>0.2477</v>
      </c>
      <c r="J53" s="44">
        <f>I53</f>
        <v>0.2477</v>
      </c>
      <c r="K53" s="39">
        <v>0</v>
      </c>
      <c r="L53" s="46">
        <f>I53-H53</f>
        <v>-9.9999999999988987E-5</v>
      </c>
      <c r="M53" s="46">
        <f>((I53-H53)/H53)*100</f>
        <v>-4.035512510088337E-2</v>
      </c>
      <c r="N53" s="47">
        <v>66725</v>
      </c>
      <c r="O53" s="37">
        <v>16525.72</v>
      </c>
      <c r="P53" s="71">
        <v>0</v>
      </c>
      <c r="Q53" s="49">
        <f>J53/G53-1</f>
        <v>-0.24939393939393939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>C54*J54</f>
        <v>23779896.776999999</v>
      </c>
      <c r="E54" s="39">
        <v>0</v>
      </c>
      <c r="F54" s="40" t="s">
        <v>34</v>
      </c>
      <c r="G54" s="70">
        <v>2.3E-2</v>
      </c>
      <c r="H54" s="42">
        <v>3.61E-2</v>
      </c>
      <c r="I54" s="42">
        <v>3.9E-2</v>
      </c>
      <c r="J54" s="44">
        <f>I54</f>
        <v>3.9E-2</v>
      </c>
      <c r="K54" s="39">
        <v>0</v>
      </c>
      <c r="L54" s="46">
        <f>I54-H54</f>
        <v>2.8999999999999998E-3</v>
      </c>
      <c r="M54" s="46">
        <f>((I54-H54)/H54)*100</f>
        <v>8.0332409972299157</v>
      </c>
      <c r="N54" s="47">
        <v>495988</v>
      </c>
      <c r="O54" s="37">
        <v>19345.03</v>
      </c>
      <c r="P54" s="71">
        <f>(R54)/J54</f>
        <v>0</v>
      </c>
      <c r="Q54" s="49">
        <f>J54/G54-1</f>
        <v>0.69565217391304346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>C55*J55</f>
        <v>305588934.76770002</v>
      </c>
      <c r="E55" s="39">
        <v>0</v>
      </c>
      <c r="F55" s="40" t="s">
        <v>47</v>
      </c>
      <c r="G55" s="70">
        <v>9.0200000000000002E-2</v>
      </c>
      <c r="H55" s="42">
        <v>0.1406</v>
      </c>
      <c r="I55" s="42">
        <v>0.14130000000000001</v>
      </c>
      <c r="J55" s="44">
        <f>I55</f>
        <v>0.14130000000000001</v>
      </c>
      <c r="K55" s="39">
        <v>0</v>
      </c>
      <c r="L55" s="46">
        <f>I55-H55</f>
        <v>7.0000000000000617E-4</v>
      </c>
      <c r="M55" s="73">
        <f>((I55-H55)/H55)*100</f>
        <v>0.49786628733997595</v>
      </c>
      <c r="N55" s="47">
        <v>92580</v>
      </c>
      <c r="O55" s="37">
        <v>13083.9</v>
      </c>
      <c r="P55" s="71">
        <f>(R55)/J55</f>
        <v>0</v>
      </c>
      <c r="Q55" s="49">
        <f>J55/G55-1</f>
        <v>0.566518847006652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>C56*J56</f>
        <v>802265544.85000002</v>
      </c>
      <c r="E56" s="39">
        <v>0</v>
      </c>
      <c r="F56" s="40" t="s">
        <v>34</v>
      </c>
      <c r="G56" s="70">
        <v>0.95750000000000002</v>
      </c>
      <c r="H56" s="42">
        <v>1.5392999999999999</v>
      </c>
      <c r="I56" s="42">
        <v>1.393</v>
      </c>
      <c r="J56" s="44">
        <f>I56</f>
        <v>1.393</v>
      </c>
      <c r="K56" s="39">
        <v>0</v>
      </c>
      <c r="L56" s="46">
        <f>I56-H56</f>
        <v>-0.14629999999999987</v>
      </c>
      <c r="M56" s="46">
        <f>((I56-H56)/H56)*100</f>
        <v>-9.5043201455206834</v>
      </c>
      <c r="N56" s="47">
        <v>65431</v>
      </c>
      <c r="O56" s="37">
        <v>91146.86</v>
      </c>
      <c r="P56" s="72">
        <f>(R56)/J56</f>
        <v>3.3740129217516152E-2</v>
      </c>
      <c r="Q56" s="49">
        <f>J56/G56-1</f>
        <v>0.45483028720626639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>C57*J57</f>
        <v>21347068.859999999</v>
      </c>
      <c r="E57" s="39">
        <v>0</v>
      </c>
      <c r="F57" s="40" t="s">
        <v>34</v>
      </c>
      <c r="G57" s="70">
        <v>0.1595</v>
      </c>
      <c r="H57" s="42">
        <v>0.13</v>
      </c>
      <c r="I57" s="42">
        <v>0.13</v>
      </c>
      <c r="J57" s="44">
        <f>I57</f>
        <v>0.13</v>
      </c>
      <c r="K57" s="39">
        <v>0</v>
      </c>
      <c r="L57" s="46">
        <f>I57-H57</f>
        <v>0</v>
      </c>
      <c r="M57" s="46">
        <f>((I57-H57)/H57)*100</f>
        <v>0</v>
      </c>
      <c r="N57" s="47">
        <v>155</v>
      </c>
      <c r="O57" s="37">
        <v>20.149999999999999</v>
      </c>
      <c r="P57" s="71">
        <f>(R57)/J57</f>
        <v>0</v>
      </c>
      <c r="Q57" s="49">
        <f>J57/G57-1</f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>C58*J58</f>
        <v>18599154.600000001</v>
      </c>
      <c r="E58" s="39">
        <v>0</v>
      </c>
      <c r="F58" s="40" t="s">
        <v>93</v>
      </c>
      <c r="G58" s="70">
        <v>1.6799999999999999E-2</v>
      </c>
      <c r="H58" s="42">
        <v>1.7999999999999999E-2</v>
      </c>
      <c r="I58" s="42">
        <v>1.95E-2</v>
      </c>
      <c r="J58" s="44">
        <f>I58</f>
        <v>1.95E-2</v>
      </c>
      <c r="K58" s="39">
        <v>0</v>
      </c>
      <c r="L58" s="46">
        <f>I58-H58</f>
        <v>1.5000000000000013E-3</v>
      </c>
      <c r="M58" s="73">
        <f>((I58-H58)/H58)*100</f>
        <v>8.333333333333341</v>
      </c>
      <c r="N58" s="47">
        <v>10601</v>
      </c>
      <c r="O58" s="37">
        <v>206.98</v>
      </c>
      <c r="P58" s="71">
        <f>(R58)/J58</f>
        <v>0</v>
      </c>
      <c r="Q58" s="49">
        <f>J58/G58-1</f>
        <v>0.16071428571428581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>C59*J59</f>
        <v>2016847.8834000002</v>
      </c>
      <c r="E59" s="39">
        <v>0</v>
      </c>
      <c r="F59" s="40" t="s">
        <v>139</v>
      </c>
      <c r="G59" s="70">
        <v>19.5</v>
      </c>
      <c r="H59" s="42">
        <v>13</v>
      </c>
      <c r="I59" s="42">
        <v>12.505800000000001</v>
      </c>
      <c r="J59" s="44">
        <f>I59</f>
        <v>12.505800000000001</v>
      </c>
      <c r="K59" s="39">
        <v>0</v>
      </c>
      <c r="L59" s="46">
        <f>I59-H59</f>
        <v>-0.49419999999999931</v>
      </c>
      <c r="M59" s="46">
        <f>((I59-H59)/H59)*100</f>
        <v>-3.8015384615384562</v>
      </c>
      <c r="N59" s="47">
        <v>171</v>
      </c>
      <c r="O59" s="37">
        <v>2138.5</v>
      </c>
      <c r="P59" s="71">
        <f>(R59)/J59</f>
        <v>0</v>
      </c>
      <c r="Q59" s="49">
        <f>J59/G59-1</f>
        <v>-0.358676923076923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>C60*J60</f>
        <v>999600303.96160007</v>
      </c>
      <c r="E60" s="39">
        <v>0</v>
      </c>
      <c r="F60" s="40" t="s">
        <v>93</v>
      </c>
      <c r="G60" s="70">
        <v>0.59499999999999997</v>
      </c>
      <c r="H60" s="42">
        <v>1.1185</v>
      </c>
      <c r="I60" s="42">
        <v>1.2416</v>
      </c>
      <c r="J60" s="44">
        <f>I60</f>
        <v>1.2416</v>
      </c>
      <c r="K60" s="39">
        <v>0</v>
      </c>
      <c r="L60" s="46">
        <f>I60-H60</f>
        <v>0.12309999999999999</v>
      </c>
      <c r="M60" s="46">
        <f>((I60-H60)/H60)*100</f>
        <v>11.005811354492623</v>
      </c>
      <c r="N60" s="47">
        <v>350347</v>
      </c>
      <c r="O60" s="37">
        <v>434985.93</v>
      </c>
      <c r="P60" s="71">
        <f>(R60)/J60</f>
        <v>0</v>
      </c>
      <c r="Q60" s="49">
        <f>J60/G60-1</f>
        <v>1.0867226890756303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>C61*J61</f>
        <v>98106873.123400003</v>
      </c>
      <c r="E61" s="39">
        <v>0</v>
      </c>
      <c r="F61" s="40" t="s">
        <v>34</v>
      </c>
      <c r="G61" s="70">
        <v>0.22600000000000001</v>
      </c>
      <c r="H61" s="42">
        <v>0.36499999999999999</v>
      </c>
      <c r="I61" s="42">
        <v>0.37630000000000002</v>
      </c>
      <c r="J61" s="44">
        <f>I61</f>
        <v>0.37630000000000002</v>
      </c>
      <c r="K61" s="39">
        <v>0</v>
      </c>
      <c r="L61" s="46">
        <f>I61-H61</f>
        <v>1.1300000000000032E-2</v>
      </c>
      <c r="M61" s="46">
        <f>((I61-H61)/H61)*100</f>
        <v>3.0958904109589134</v>
      </c>
      <c r="N61" s="47">
        <v>603</v>
      </c>
      <c r="O61" s="37">
        <v>226.89</v>
      </c>
      <c r="P61" s="71">
        <f>(R61)/J61</f>
        <v>0</v>
      </c>
      <c r="Q61" s="49">
        <f>J61/G61-1</f>
        <v>0.66504424778761062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>C62*J62</f>
        <v>394203973.34560001</v>
      </c>
      <c r="E62" s="39">
        <v>0</v>
      </c>
      <c r="F62" s="40" t="s">
        <v>34</v>
      </c>
      <c r="G62" s="70">
        <v>0.49440000000000001</v>
      </c>
      <c r="H62" s="42">
        <v>0.69</v>
      </c>
      <c r="I62" s="42">
        <v>0.70120000000000005</v>
      </c>
      <c r="J62" s="44">
        <f>I62</f>
        <v>0.70120000000000005</v>
      </c>
      <c r="K62" s="39">
        <v>0</v>
      </c>
      <c r="L62" s="46">
        <f>I62-H62</f>
        <v>1.1200000000000099E-2</v>
      </c>
      <c r="M62" s="46">
        <f>((I62-H62)/H62)*100</f>
        <v>1.6231884057971158</v>
      </c>
      <c r="N62" s="47">
        <v>5554</v>
      </c>
      <c r="O62" s="37">
        <v>3894.32</v>
      </c>
      <c r="P62" s="71">
        <f>(R62)/J62</f>
        <v>0</v>
      </c>
      <c r="Q62" s="49">
        <f>J62/G62-1</f>
        <v>0.41828478964401294</v>
      </c>
      <c r="R62" s="52"/>
      <c r="T62" s="52"/>
    </row>
    <row r="63" spans="1:20" x14ac:dyDescent="0.25">
      <c r="A63" s="35" t="s">
        <v>102</v>
      </c>
      <c r="B63" s="36" t="s">
        <v>146</v>
      </c>
      <c r="C63" s="40">
        <v>364526035</v>
      </c>
      <c r="D63" s="38">
        <f>C63*J63</f>
        <v>94594506.082499996</v>
      </c>
      <c r="E63" s="39">
        <v>0</v>
      </c>
      <c r="F63" s="40" t="s">
        <v>34</v>
      </c>
      <c r="G63" s="70">
        <v>0.25950000000000001</v>
      </c>
      <c r="H63" s="42">
        <v>0.25950000000000001</v>
      </c>
      <c r="I63" s="42">
        <v>0.25950000000000001</v>
      </c>
      <c r="J63" s="44">
        <f>I63</f>
        <v>0.25950000000000001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R63" s="52"/>
      <c r="T63" s="52"/>
    </row>
    <row r="64" spans="1:20" x14ac:dyDescent="0.25">
      <c r="A64" s="35" t="s">
        <v>147</v>
      </c>
      <c r="B64" s="36" t="s">
        <v>148</v>
      </c>
      <c r="C64" s="40">
        <v>30000000</v>
      </c>
      <c r="D64" s="38">
        <f>C64*J64</f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>I64</f>
        <v>10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0</v>
      </c>
      <c r="T64" s="52"/>
    </row>
    <row r="65" spans="1:20" x14ac:dyDescent="0.25">
      <c r="A65" s="35" t="s">
        <v>149</v>
      </c>
      <c r="B65" s="36" t="s">
        <v>150</v>
      </c>
      <c r="C65" s="40">
        <v>344580486</v>
      </c>
      <c r="D65" s="38">
        <f>C65*J65</f>
        <v>53168768.989799999</v>
      </c>
      <c r="E65" s="39">
        <v>0</v>
      </c>
      <c r="F65" s="40" t="s">
        <v>44</v>
      </c>
      <c r="G65" s="70">
        <v>4.2999999999999997E-2</v>
      </c>
      <c r="H65" s="42">
        <v>0.15459999999999999</v>
      </c>
      <c r="I65" s="42">
        <v>0.15429999999999999</v>
      </c>
      <c r="J65" s="44">
        <f>I65</f>
        <v>0.15429999999999999</v>
      </c>
      <c r="K65" s="39">
        <v>0</v>
      </c>
      <c r="L65" s="46">
        <f>I65-H65</f>
        <v>-2.9999999999999472E-4</v>
      </c>
      <c r="M65" s="46">
        <f>((I65-H65)/H65)*100</f>
        <v>-0.19404915912030707</v>
      </c>
      <c r="N65" s="47">
        <v>700</v>
      </c>
      <c r="O65" s="37">
        <v>108</v>
      </c>
      <c r="P65" s="71">
        <f>(R65)/J65</f>
        <v>0</v>
      </c>
      <c r="Q65" s="49">
        <f>J65/G65-1</f>
        <v>2.5883720930232559</v>
      </c>
      <c r="T65" s="52"/>
    </row>
    <row r="66" spans="1:20" ht="13.2" x14ac:dyDescent="0.35">
      <c r="A66" s="74"/>
      <c r="B66" s="36" t="s">
        <v>83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SUM(N51:N65)</f>
        <v>1095139</v>
      </c>
      <c r="O66" s="62">
        <f>SUM(O51:O65)</f>
        <v>583320.69999999995</v>
      </c>
      <c r="P66" s="77"/>
      <c r="Q66" s="63"/>
    </row>
    <row r="67" spans="1:20" ht="12.6" hidden="1" x14ac:dyDescent="0.3">
      <c r="A67" s="133" t="s">
        <v>151</v>
      </c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6"/>
    </row>
    <row r="68" spans="1:20" ht="12.6" hidden="1" thickBot="1" x14ac:dyDescent="0.3">
      <c r="A68" s="78" t="s">
        <v>152</v>
      </c>
      <c r="B68" s="79" t="s">
        <v>153</v>
      </c>
      <c r="C68" s="80">
        <v>20000</v>
      </c>
      <c r="D68" s="81">
        <f>C68*J68</f>
        <v>0</v>
      </c>
      <c r="E68" s="81"/>
      <c r="F68" s="80" t="s">
        <v>154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83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33" t="s">
        <v>155</v>
      </c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6"/>
    </row>
    <row r="71" spans="1:20" x14ac:dyDescent="0.25">
      <c r="A71" s="35" t="s">
        <v>156</v>
      </c>
      <c r="B71" s="88" t="s">
        <v>157</v>
      </c>
      <c r="C71" s="89">
        <v>139300587</v>
      </c>
      <c r="D71" s="38">
        <f>C71*J71</f>
        <v>54327228.93</v>
      </c>
      <c r="E71" s="39">
        <f>C71*K71</f>
        <v>54327228.93</v>
      </c>
      <c r="F71" s="89" t="s">
        <v>158</v>
      </c>
      <c r="G71" s="89">
        <v>0.24</v>
      </c>
      <c r="H71" s="90">
        <v>0.39500000000000002</v>
      </c>
      <c r="I71" s="90">
        <v>0.39</v>
      </c>
      <c r="J71" s="91">
        <f>I71</f>
        <v>0.39</v>
      </c>
      <c r="K71" s="91">
        <f>J71</f>
        <v>0.39</v>
      </c>
      <c r="L71" s="46">
        <f>I71-H71</f>
        <v>-5.0000000000000044E-3</v>
      </c>
      <c r="M71" s="46">
        <f>((I71-H71)/H71)*100</f>
        <v>-1.2658227848101276</v>
      </c>
      <c r="N71" s="92">
        <v>32</v>
      </c>
      <c r="O71" s="93">
        <v>12.48</v>
      </c>
      <c r="P71" s="71">
        <f>(R71)/J71</f>
        <v>0</v>
      </c>
      <c r="Q71" s="49">
        <f>J71/G71-1</f>
        <v>0.62500000000000022</v>
      </c>
      <c r="T71" s="52"/>
    </row>
    <row r="72" spans="1:20" x14ac:dyDescent="0.25">
      <c r="A72" s="35" t="s">
        <v>159</v>
      </c>
      <c r="B72" s="88" t="s">
        <v>160</v>
      </c>
      <c r="C72" s="89">
        <v>471351750</v>
      </c>
      <c r="D72" s="38">
        <f>C72*J72</f>
        <v>70797032.849999994</v>
      </c>
      <c r="E72" s="39">
        <f>C72*K72</f>
        <v>70797032.849999994</v>
      </c>
      <c r="F72" s="89" t="s">
        <v>158</v>
      </c>
      <c r="G72" s="89">
        <v>0.1</v>
      </c>
      <c r="H72" s="90">
        <v>0.15</v>
      </c>
      <c r="I72" s="90">
        <v>0.1502</v>
      </c>
      <c r="J72" s="91">
        <f>I72</f>
        <v>0.1502</v>
      </c>
      <c r="K72" s="91">
        <f>J72</f>
        <v>0.1502</v>
      </c>
      <c r="L72" s="46">
        <f>I72-H72</f>
        <v>2.0000000000000573E-4</v>
      </c>
      <c r="M72" s="46">
        <f>((I72-H72)/H72)*100</f>
        <v>0.13333333333333716</v>
      </c>
      <c r="N72" s="47">
        <v>2963</v>
      </c>
      <c r="O72" s="93">
        <v>444.96</v>
      </c>
      <c r="P72" s="94">
        <f>(R72)/J72</f>
        <v>2.5246338215712382E-2</v>
      </c>
      <c r="Q72" s="49">
        <f>J72/G72-1</f>
        <v>0.502</v>
      </c>
      <c r="R72" s="5">
        <v>3.7919999999999998E-3</v>
      </c>
      <c r="T72" s="52"/>
    </row>
    <row r="73" spans="1:20" ht="13.8" thickBot="1" x14ac:dyDescent="0.4">
      <c r="A73" s="35"/>
      <c r="B73" s="36" t="s">
        <v>83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2995</v>
      </c>
      <c r="O73" s="62">
        <f>SUM(O71:O72)</f>
        <v>457.44</v>
      </c>
      <c r="P73" s="87"/>
      <c r="Q73" s="63"/>
    </row>
    <row r="74" spans="1:20" ht="12.6" x14ac:dyDescent="0.3">
      <c r="A74" s="133" t="s">
        <v>161</v>
      </c>
      <c r="B74" s="134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6"/>
    </row>
    <row r="75" spans="1:20" x14ac:dyDescent="0.25">
      <c r="A75" s="35" t="s">
        <v>162</v>
      </c>
      <c r="B75" s="88" t="s">
        <v>163</v>
      </c>
      <c r="C75" s="89">
        <v>20819695</v>
      </c>
      <c r="D75" s="38">
        <f>C75*J75</f>
        <v>2710724.2890000003</v>
      </c>
      <c r="E75" s="39">
        <f>C75*K75</f>
        <v>2710724.2890000003</v>
      </c>
      <c r="F75" s="89" t="s">
        <v>139</v>
      </c>
      <c r="G75" s="89">
        <v>0.1394</v>
      </c>
      <c r="H75" s="90">
        <v>0.1313</v>
      </c>
      <c r="I75" s="90">
        <v>0.13020000000000001</v>
      </c>
      <c r="J75" s="91">
        <f>I75</f>
        <v>0.13020000000000001</v>
      </c>
      <c r="K75" s="91">
        <f>J75</f>
        <v>0.13020000000000001</v>
      </c>
      <c r="L75" s="46">
        <f>I75-H75</f>
        <v>-1.0999999999999899E-3</v>
      </c>
      <c r="M75" s="46">
        <f>((I75-H75)/H75)*100</f>
        <v>-0.83777608530083003</v>
      </c>
      <c r="N75" s="92">
        <v>6270</v>
      </c>
      <c r="O75" s="93">
        <v>816.27</v>
      </c>
      <c r="P75" s="71">
        <f>(R75)/J75</f>
        <v>0</v>
      </c>
      <c r="Q75" s="49">
        <f>J75/G75-1</f>
        <v>-6.5997130559540818E-2</v>
      </c>
    </row>
    <row r="76" spans="1:20" ht="13.2" x14ac:dyDescent="0.35">
      <c r="A76" s="35"/>
      <c r="B76" s="36" t="s">
        <v>83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29" t="s">
        <v>164</v>
      </c>
      <c r="B77" s="130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2"/>
    </row>
    <row r="78" spans="1:20" x14ac:dyDescent="0.25">
      <c r="A78" s="35" t="s">
        <v>165</v>
      </c>
      <c r="B78" s="36" t="s">
        <v>166</v>
      </c>
      <c r="C78" s="40">
        <v>31703227</v>
      </c>
      <c r="D78" s="38">
        <f>C78*J78</f>
        <v>102658.83520698568</v>
      </c>
      <c r="E78" s="39">
        <f>C78*K78</f>
        <v>87259.358123809521</v>
      </c>
      <c r="F78" s="40" t="s">
        <v>139</v>
      </c>
      <c r="G78" s="70">
        <v>0.105</v>
      </c>
      <c r="H78" s="42">
        <v>8.6699999999999999E-2</v>
      </c>
      <c r="I78" s="42">
        <v>8.6699999999999999E-2</v>
      </c>
      <c r="J78" s="44">
        <f>I78/$J$5</f>
        <v>3.2381194257286704E-3</v>
      </c>
      <c r="K78" s="45">
        <f>I78/$K$4</f>
        <v>2.7523809523809523E-3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-0.17428571428571427</v>
      </c>
    </row>
    <row r="79" spans="1:20" x14ac:dyDescent="0.25">
      <c r="A79" s="35" t="s">
        <v>167</v>
      </c>
      <c r="B79" s="36" t="s">
        <v>168</v>
      </c>
      <c r="C79" s="40">
        <v>136162052</v>
      </c>
      <c r="D79" s="38">
        <f>C79*J79</f>
        <v>406836.43425907945</v>
      </c>
      <c r="E79" s="39">
        <f>C79*K79</f>
        <v>345808.38603174605</v>
      </c>
      <c r="F79" s="40" t="s">
        <v>139</v>
      </c>
      <c r="G79" s="70">
        <v>4.2500000000000003E-2</v>
      </c>
      <c r="H79" s="42">
        <v>7.0000000000000007E-2</v>
      </c>
      <c r="I79" s="42">
        <v>0.08</v>
      </c>
      <c r="J79" s="44">
        <f>I79/$J$5</f>
        <v>2.9878841298534445E-3</v>
      </c>
      <c r="K79" s="45">
        <f>I79/$K$4</f>
        <v>2.5396825396825397E-3</v>
      </c>
      <c r="L79" s="46">
        <f>I79-H79</f>
        <v>9.999999999999995E-3</v>
      </c>
      <c r="M79" s="95">
        <f>((I79-H79)/H79)*100</f>
        <v>14.285714285714276</v>
      </c>
      <c r="N79" s="37">
        <v>15800</v>
      </c>
      <c r="O79" s="37">
        <v>1264</v>
      </c>
      <c r="P79" s="40">
        <v>0</v>
      </c>
      <c r="Q79" s="49">
        <f>I79/G79-1</f>
        <v>0.88235294117647056</v>
      </c>
    </row>
    <row r="80" spans="1:20" x14ac:dyDescent="0.25">
      <c r="A80" s="35" t="s">
        <v>169</v>
      </c>
      <c r="B80" s="36" t="s">
        <v>170</v>
      </c>
      <c r="C80" s="40">
        <v>6677853</v>
      </c>
      <c r="D80" s="38">
        <f>C80*J80</f>
        <v>25689.03816275005</v>
      </c>
      <c r="E80" s="39">
        <f>C80*K80</f>
        <v>21835.519333333337</v>
      </c>
      <c r="F80" s="40" t="s">
        <v>139</v>
      </c>
      <c r="G80" s="70">
        <v>6.0499999999999998E-2</v>
      </c>
      <c r="H80" s="42">
        <v>0.10300000000000001</v>
      </c>
      <c r="I80" s="42">
        <v>0.10300000000000001</v>
      </c>
      <c r="J80" s="44">
        <f>I80/$J$5</f>
        <v>3.8469008171863098E-3</v>
      </c>
      <c r="K80" s="45">
        <f>I80/$K$4</f>
        <v>3.2698412698412703E-3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0.70247933884297531</v>
      </c>
    </row>
    <row r="81" spans="1:243" x14ac:dyDescent="0.25">
      <c r="A81" s="35" t="s">
        <v>171</v>
      </c>
      <c r="B81" s="36" t="s">
        <v>172</v>
      </c>
      <c r="C81" s="37">
        <v>494417400</v>
      </c>
      <c r="D81" s="38">
        <f>C81*J81</f>
        <v>28621949.370303422</v>
      </c>
      <c r="E81" s="39">
        <f>C81*K81</f>
        <v>24328475.238095239</v>
      </c>
      <c r="F81" s="40" t="s">
        <v>139</v>
      </c>
      <c r="G81" s="70">
        <v>1.85</v>
      </c>
      <c r="H81" s="42">
        <v>1.55</v>
      </c>
      <c r="I81" s="42">
        <v>1.55</v>
      </c>
      <c r="J81" s="44">
        <f>I81/$J$5</f>
        <v>5.789025501591049E-2</v>
      </c>
      <c r="K81" s="45">
        <f>I81/$K$4</f>
        <v>4.9206349206349205E-2</v>
      </c>
      <c r="L81" s="46">
        <f>I81-H81</f>
        <v>0</v>
      </c>
      <c r="M81" s="95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-0.16216216216216217</v>
      </c>
    </row>
    <row r="82" spans="1:243" ht="13.8" thickBot="1" x14ac:dyDescent="0.4">
      <c r="A82" s="35"/>
      <c r="B82" s="36" t="s">
        <v>83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15800</v>
      </c>
      <c r="O82" s="62">
        <f>SUM(O78:O81)</f>
        <v>1264</v>
      </c>
      <c r="P82" s="77"/>
      <c r="Q82" s="63"/>
      <c r="DU82" s="96"/>
      <c r="DV82" s="96"/>
      <c r="DW82" s="97"/>
      <c r="DX82" s="98"/>
      <c r="DY82" s="98"/>
      <c r="DZ82" s="99"/>
      <c r="EA82" s="99"/>
      <c r="EB82" s="100"/>
      <c r="EC82" s="100"/>
      <c r="ED82" s="101"/>
      <c r="EE82" s="101"/>
      <c r="EF82" s="99"/>
      <c r="EG82" s="102"/>
      <c r="EH82" s="103"/>
      <c r="EI82" s="97"/>
      <c r="EJ82" s="96"/>
      <c r="EK82" s="96"/>
      <c r="EL82" s="97"/>
      <c r="EM82" s="98"/>
      <c r="EN82" s="98"/>
      <c r="EO82" s="99"/>
      <c r="EP82" s="99"/>
      <c r="EQ82" s="100"/>
      <c r="ER82" s="100"/>
      <c r="ES82" s="101"/>
      <c r="ET82" s="101"/>
      <c r="EU82" s="99"/>
      <c r="EV82" s="102"/>
      <c r="EW82" s="103"/>
      <c r="EX82" s="97"/>
      <c r="EY82" s="96"/>
      <c r="EZ82" s="96"/>
      <c r="FA82" s="97"/>
      <c r="FB82" s="98"/>
      <c r="FC82" s="98"/>
      <c r="FD82" s="99"/>
      <c r="FE82" s="99"/>
      <c r="FF82" s="100"/>
      <c r="FG82" s="100"/>
      <c r="FH82" s="101"/>
      <c r="FI82" s="101"/>
      <c r="FJ82" s="99"/>
      <c r="FK82" s="102"/>
      <c r="FL82" s="103"/>
      <c r="FM82" s="97"/>
      <c r="FN82" s="96"/>
      <c r="FO82" s="96"/>
      <c r="FP82" s="97"/>
      <c r="FQ82" s="98"/>
      <c r="FR82" s="98"/>
      <c r="FS82" s="99"/>
      <c r="FT82" s="99"/>
      <c r="FU82" s="100"/>
      <c r="FV82" s="100"/>
      <c r="FW82" s="101"/>
      <c r="FX82" s="101"/>
      <c r="FY82" s="99"/>
      <c r="FZ82" s="102"/>
      <c r="GA82" s="103"/>
      <c r="GB82" s="97"/>
      <c r="GC82" s="96"/>
      <c r="GD82" s="96"/>
      <c r="GE82" s="97"/>
      <c r="GF82" s="98"/>
      <c r="GG82" s="98"/>
      <c r="GH82" s="99"/>
      <c r="GI82" s="99"/>
      <c r="GJ82" s="100"/>
      <c r="GK82" s="100"/>
      <c r="GL82" s="101"/>
      <c r="GM82" s="101"/>
      <c r="GN82" s="99"/>
      <c r="GO82" s="102"/>
      <c r="GP82" s="103"/>
      <c r="GQ82" s="97"/>
      <c r="GR82" s="96"/>
      <c r="GS82" s="96"/>
      <c r="GT82" s="97"/>
      <c r="GU82" s="98"/>
      <c r="GV82" s="98"/>
      <c r="GW82" s="99"/>
      <c r="GX82" s="99"/>
      <c r="GY82" s="100"/>
      <c r="GZ82" s="100"/>
      <c r="HA82" s="101"/>
      <c r="HB82" s="101"/>
      <c r="HC82" s="99"/>
      <c r="HD82" s="102"/>
      <c r="HE82" s="103"/>
      <c r="HF82" s="97"/>
      <c r="HG82" s="96"/>
      <c r="HH82" s="96"/>
      <c r="HI82" s="97"/>
      <c r="HJ82" s="98"/>
      <c r="HK82" s="98"/>
      <c r="HL82" s="99"/>
      <c r="HM82" s="99"/>
      <c r="HN82" s="100"/>
      <c r="HO82" s="100"/>
      <c r="HP82" s="101"/>
      <c r="HQ82" s="101"/>
      <c r="HR82" s="99"/>
      <c r="HS82" s="102"/>
      <c r="HT82" s="103"/>
      <c r="HU82" s="97"/>
      <c r="HV82" s="96"/>
      <c r="HW82" s="96"/>
      <c r="HX82" s="97"/>
      <c r="HY82" s="98"/>
      <c r="HZ82" s="98"/>
      <c r="IA82" s="99"/>
      <c r="IB82" s="99"/>
      <c r="IC82" s="100"/>
      <c r="ID82" s="100"/>
      <c r="IE82" s="101"/>
      <c r="IF82" s="101"/>
      <c r="IG82" s="99"/>
      <c r="IH82" s="102"/>
      <c r="II82" s="103"/>
    </row>
    <row r="83" spans="1:243" ht="13.2" thickTop="1" x14ac:dyDescent="0.3">
      <c r="A83" s="133" t="s">
        <v>173</v>
      </c>
      <c r="B83" s="134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6"/>
    </row>
    <row r="84" spans="1:243" x14ac:dyDescent="0.25">
      <c r="A84" s="35" t="s">
        <v>174</v>
      </c>
      <c r="B84" s="36" t="s">
        <v>175</v>
      </c>
      <c r="C84" s="40">
        <v>368326244</v>
      </c>
      <c r="D84" s="38">
        <f>C84*J84</f>
        <v>26137258.302583024</v>
      </c>
      <c r="E84" s="39">
        <f>C84*K84</f>
        <v>22216503.606349204</v>
      </c>
      <c r="F84" s="40" t="s">
        <v>176</v>
      </c>
      <c r="G84" s="40">
        <v>1.3</v>
      </c>
      <c r="H84" s="42">
        <v>1.9</v>
      </c>
      <c r="I84" s="42">
        <v>1.9</v>
      </c>
      <c r="J84" s="44">
        <f>I84/$J$5</f>
        <v>7.0962248084019297E-2</v>
      </c>
      <c r="K84" s="45">
        <f>I84/$K$4</f>
        <v>6.0317460317460311E-2</v>
      </c>
      <c r="L84" s="46">
        <f>I84-H84</f>
        <v>0</v>
      </c>
      <c r="M84" s="46">
        <f>((I84-H84)/H84*100)</f>
        <v>0</v>
      </c>
      <c r="N84" s="51">
        <v>300</v>
      </c>
      <c r="O84" s="37">
        <v>580</v>
      </c>
      <c r="P84" s="51">
        <f>(R84)/J84</f>
        <v>0</v>
      </c>
      <c r="Q84" s="49">
        <f>I84/G84-1</f>
        <v>0.46153846153846145</v>
      </c>
      <c r="R84" s="52"/>
    </row>
    <row r="85" spans="1:243" s="104" customFormat="1" ht="12.6" thickBot="1" x14ac:dyDescent="0.3">
      <c r="A85" s="35" t="s">
        <v>177</v>
      </c>
      <c r="B85" s="36" t="s">
        <v>178</v>
      </c>
      <c r="C85" s="40">
        <v>1841105000</v>
      </c>
      <c r="D85" s="38">
        <f>C85*J85</f>
        <v>88715862.84416689</v>
      </c>
      <c r="E85" s="39">
        <f>C85*K85</f>
        <v>75407920.142222211</v>
      </c>
      <c r="F85" s="40" t="s">
        <v>176</v>
      </c>
      <c r="G85" s="40">
        <v>1.44347</v>
      </c>
      <c r="H85" s="42">
        <v>1.2970599999999999</v>
      </c>
      <c r="I85" s="42">
        <v>1.2901759999999998</v>
      </c>
      <c r="J85" s="44">
        <f>I85/$J$5</f>
        <v>4.8186204938972459E-2</v>
      </c>
      <c r="K85" s="45">
        <f>I85/$K$4</f>
        <v>4.0957968253968247E-2</v>
      </c>
      <c r="L85" s="46">
        <f>I85-H85</f>
        <v>-6.8840000000001123E-3</v>
      </c>
      <c r="M85" s="46">
        <f>((I85-H85)/H85*100)</f>
        <v>-0.53073874762926254</v>
      </c>
      <c r="N85" s="51">
        <v>2911123</v>
      </c>
      <c r="O85" s="37">
        <v>3755875.9269999997</v>
      </c>
      <c r="P85" s="48">
        <f>(R85)/J85</f>
        <v>4.5158152686145155E-2</v>
      </c>
      <c r="Q85" s="49">
        <f>I85/G85-1</f>
        <v>-0.10619825836352692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78"/>
      <c r="B86" s="79" t="s">
        <v>83</v>
      </c>
      <c r="C86" s="80"/>
      <c r="D86" s="105"/>
      <c r="E86" s="81"/>
      <c r="F86" s="80"/>
      <c r="G86" s="80"/>
      <c r="H86" s="82"/>
      <c r="I86" s="82"/>
      <c r="J86" s="82"/>
      <c r="K86" s="82"/>
      <c r="L86" s="83"/>
      <c r="M86" s="83"/>
      <c r="N86" s="61">
        <f>SUM(N84:N85)</f>
        <v>2911423</v>
      </c>
      <c r="O86" s="62">
        <f>SUM(O84:O85)</f>
        <v>3756455.9269999997</v>
      </c>
      <c r="P86" s="106"/>
      <c r="Q86" s="86"/>
    </row>
    <row r="87" spans="1:243" ht="12.6" thickBot="1" x14ac:dyDescent="0.3">
      <c r="A87" s="107"/>
      <c r="B87" s="108"/>
      <c r="C87" s="108"/>
      <c r="D87" s="108"/>
      <c r="E87" s="108"/>
      <c r="F87" s="109"/>
      <c r="G87" s="109"/>
      <c r="H87" s="59"/>
      <c r="M87" s="110"/>
      <c r="N87" s="110"/>
      <c r="O87" s="59"/>
      <c r="P87" s="59"/>
      <c r="Q87" s="111"/>
    </row>
    <row r="88" spans="1:243" ht="12.6" thickBot="1" x14ac:dyDescent="0.3">
      <c r="A88" s="137" t="s">
        <v>179</v>
      </c>
      <c r="B88" s="138"/>
      <c r="C88" s="138"/>
      <c r="D88" s="139"/>
      <c r="E88" s="137" t="s">
        <v>180</v>
      </c>
      <c r="F88" s="138"/>
      <c r="G88" s="138"/>
      <c r="H88" s="139"/>
      <c r="I88" s="52"/>
      <c r="J88" s="52"/>
      <c r="K88" s="52"/>
      <c r="L88" s="140" t="s">
        <v>181</v>
      </c>
      <c r="M88" s="141"/>
      <c r="N88" s="142"/>
      <c r="O88" s="140" t="s">
        <v>182</v>
      </c>
      <c r="P88" s="141"/>
      <c r="Q88" s="142"/>
    </row>
    <row r="89" spans="1:243" x14ac:dyDescent="0.25">
      <c r="A89" s="35" t="s">
        <v>50</v>
      </c>
      <c r="B89" s="112">
        <v>4.3641950000000005</v>
      </c>
      <c r="D89" s="112">
        <v>14.998550724637697</v>
      </c>
      <c r="E89" s="35" t="s">
        <v>87</v>
      </c>
      <c r="F89" s="113">
        <v>1.1968349999999999</v>
      </c>
      <c r="H89" s="114">
        <v>-14.511785714285718</v>
      </c>
      <c r="L89" s="35" t="s">
        <v>140</v>
      </c>
      <c r="M89" s="51">
        <v>1.2416</v>
      </c>
      <c r="N89" s="115">
        <v>11.005811354492623</v>
      </c>
      <c r="O89" s="35" t="s">
        <v>131</v>
      </c>
      <c r="P89" s="113">
        <v>1.393</v>
      </c>
      <c r="Q89" s="116">
        <v>-9.5043201455206834</v>
      </c>
    </row>
    <row r="90" spans="1:243" x14ac:dyDescent="0.25">
      <c r="A90" s="35" t="s">
        <v>68</v>
      </c>
      <c r="B90" s="112">
        <v>0.123333</v>
      </c>
      <c r="D90" s="112">
        <v>11.824067022086822</v>
      </c>
      <c r="E90" s="35" t="s">
        <v>118</v>
      </c>
      <c r="F90" s="113">
        <v>1.3678569999999999</v>
      </c>
      <c r="H90" s="114">
        <v>-11.178116883116893</v>
      </c>
      <c r="L90" s="35" t="s">
        <v>135</v>
      </c>
      <c r="M90" s="51">
        <v>1.95E-2</v>
      </c>
      <c r="N90" s="115">
        <v>8.333333333333341</v>
      </c>
      <c r="O90" s="35" t="s">
        <v>137</v>
      </c>
      <c r="P90" s="113">
        <v>12.505800000000001</v>
      </c>
      <c r="Q90" s="116">
        <v>-3.8015384615384562</v>
      </c>
    </row>
    <row r="91" spans="1:243" x14ac:dyDescent="0.25">
      <c r="A91" s="35" t="s">
        <v>100</v>
      </c>
      <c r="B91" s="112">
        <v>0.22642900000000002</v>
      </c>
      <c r="C91" s="112"/>
      <c r="D91" s="112">
        <v>11.54137931034483</v>
      </c>
      <c r="E91" s="35" t="s">
        <v>94</v>
      </c>
      <c r="F91" s="113">
        <v>4.0026479999999998</v>
      </c>
      <c r="H91" s="114">
        <v>-2.5188537761374934</v>
      </c>
      <c r="L91" s="35" t="s">
        <v>127</v>
      </c>
      <c r="M91" s="51">
        <v>3.9E-2</v>
      </c>
      <c r="N91" s="115">
        <v>8.0332409972299157</v>
      </c>
      <c r="O91" s="35" t="s">
        <v>149</v>
      </c>
      <c r="P91" s="113">
        <v>0.15429999999999999</v>
      </c>
      <c r="Q91" s="116">
        <v>-0.19404915912030707</v>
      </c>
    </row>
    <row r="92" spans="1:243" x14ac:dyDescent="0.25">
      <c r="A92" s="35" t="s">
        <v>40</v>
      </c>
      <c r="B92" s="112">
        <v>189.9</v>
      </c>
      <c r="C92" s="112"/>
      <c r="D92" s="112">
        <v>6.3525337273062883</v>
      </c>
      <c r="E92" s="35" t="s">
        <v>77</v>
      </c>
      <c r="F92" s="113">
        <v>2.7</v>
      </c>
      <c r="G92" s="113"/>
      <c r="H92" s="114">
        <v>-1.8171107321170801</v>
      </c>
      <c r="L92" s="35" t="s">
        <v>142</v>
      </c>
      <c r="M92" s="51">
        <v>0.37630000000000002</v>
      </c>
      <c r="N92" s="115">
        <v>3.0958904109589134</v>
      </c>
      <c r="O92" s="35" t="s">
        <v>125</v>
      </c>
      <c r="P92" s="113">
        <v>0.2477</v>
      </c>
      <c r="Q92" s="116">
        <v>-4.035512510088337E-2</v>
      </c>
    </row>
    <row r="93" spans="1:243" x14ac:dyDescent="0.25">
      <c r="A93" s="35" t="s">
        <v>96</v>
      </c>
      <c r="B93" s="112">
        <v>4.0986000000000002E-2</v>
      </c>
      <c r="C93" s="112"/>
      <c r="D93" s="112">
        <v>0.86875199960622929</v>
      </c>
      <c r="E93" s="35" t="s">
        <v>106</v>
      </c>
      <c r="F93" s="113">
        <v>1.72</v>
      </c>
      <c r="G93" s="113"/>
      <c r="H93" s="114">
        <v>-0.1451378809869345</v>
      </c>
      <c r="L93" s="35" t="s">
        <v>123</v>
      </c>
      <c r="M93" s="51">
        <v>49.933300000000003</v>
      </c>
      <c r="N93" s="115">
        <v>2.2825129560212214</v>
      </c>
      <c r="O93" s="35"/>
      <c r="P93" s="113"/>
      <c r="Q93" s="116"/>
    </row>
    <row r="94" spans="1:243" ht="12.6" thickBot="1" x14ac:dyDescent="0.3">
      <c r="A94" s="117"/>
      <c r="B94" s="118"/>
      <c r="C94" s="118"/>
      <c r="D94" s="118"/>
      <c r="E94" s="117"/>
      <c r="F94" s="118"/>
      <c r="G94" s="118"/>
      <c r="H94" s="119"/>
      <c r="L94" s="117"/>
      <c r="M94" s="118"/>
      <c r="N94" s="119"/>
      <c r="O94" s="118"/>
      <c r="P94" s="118"/>
      <c r="Q94" s="119"/>
    </row>
    <row r="95" spans="1:243" x14ac:dyDescent="0.25">
      <c r="A95" s="120"/>
      <c r="B95" s="121"/>
      <c r="C95" s="121"/>
      <c r="D95" s="121"/>
      <c r="E95" s="110"/>
      <c r="F95" s="110"/>
      <c r="G95" s="110"/>
      <c r="H95" s="110"/>
      <c r="I95" s="110"/>
      <c r="J95" s="110"/>
      <c r="K95" s="110"/>
      <c r="L95" s="110"/>
      <c r="M95" s="121"/>
      <c r="Q95" s="16"/>
    </row>
    <row r="96" spans="1:243" x14ac:dyDescent="0.25">
      <c r="A96" s="12" t="s">
        <v>183</v>
      </c>
      <c r="B96" s="122"/>
      <c r="C96" s="122"/>
      <c r="D96" s="122"/>
      <c r="E96" s="122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0"/>
      <c r="B97" s="121"/>
      <c r="C97" s="121"/>
      <c r="D97" s="121"/>
      <c r="E97" s="121"/>
      <c r="F97" s="110"/>
      <c r="G97" s="110"/>
      <c r="H97" s="121"/>
      <c r="I97" s="110"/>
      <c r="J97" s="110"/>
      <c r="K97" s="110"/>
      <c r="L97" s="110"/>
      <c r="M97" s="121"/>
      <c r="Q97" s="16"/>
    </row>
    <row r="98" spans="1:17" ht="12.6" thickBot="1" x14ac:dyDescent="0.3">
      <c r="A98" s="123"/>
      <c r="B98" s="124"/>
      <c r="C98" s="124"/>
      <c r="D98" s="124"/>
      <c r="E98" s="124"/>
      <c r="F98" s="125"/>
      <c r="G98" s="125"/>
      <c r="H98" s="125"/>
      <c r="I98" s="126"/>
      <c r="J98" s="126"/>
      <c r="K98" s="126"/>
      <c r="L98" s="126"/>
      <c r="M98" s="126"/>
      <c r="N98" s="126"/>
      <c r="O98" s="126"/>
      <c r="P98" s="126"/>
      <c r="Q98" s="127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28"/>
      <c r="J102" s="128"/>
      <c r="K102" s="128"/>
      <c r="O102" s="128"/>
      <c r="P102" s="128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28"/>
      <c r="J105" s="128"/>
      <c r="K105" s="128"/>
      <c r="O105" s="128"/>
      <c r="P105" s="128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28"/>
      <c r="J107" s="128"/>
      <c r="K107" s="128"/>
      <c r="O107" s="128"/>
      <c r="P107" s="128"/>
    </row>
  </sheetData>
  <sheetProtection algorithmName="SHA-512" hashValue="RLJg0CqHMd+JQerx4BiVgOEliO7HAq7b1aMuS1L8vWw6IIlX1sXS4WMr3tvyknty4VBTrcf6t9oICoK10M7b1Q==" saltValue="o7upse2Jdfg0FZzYn1XSiw==" spinCount="100000" sheet="1"/>
  <sortState xmlns:xlrd2="http://schemas.microsoft.com/office/spreadsheetml/2017/richdata2" ref="A9:II47">
    <sortCondition ref="A9:A47"/>
  </sortState>
  <mergeCells count="12">
    <mergeCell ref="A74:Q74"/>
    <mergeCell ref="L5:M5"/>
    <mergeCell ref="A6:Q6"/>
    <mergeCell ref="A50:Q50"/>
    <mergeCell ref="A67:Q67"/>
    <mergeCell ref="A70:Q70"/>
    <mergeCell ref="A77:Q77"/>
    <mergeCell ref="A83:Q83"/>
    <mergeCell ref="A88:D88"/>
    <mergeCell ref="E88:H88"/>
    <mergeCell ref="L88:N88"/>
    <mergeCell ref="O88:Q88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2:A93">
    <cfRule type="duplicateValues" dxfId="39" priority="48" stopIfTrue="1"/>
  </conditionalFormatting>
  <conditionalFormatting sqref="E92:E93">
    <cfRule type="duplicateValues" dxfId="38" priority="1" stopIfTrue="1"/>
  </conditionalFormatting>
  <conditionalFormatting sqref="L9:M26 L28:M47 L51:M65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5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1:M72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5:M75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8:M81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4:M85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5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1:Q72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5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8:Q81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4:Q85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2026-07-08T13:15:11Z</dcterms:created>
  <dcterms:modified xsi:type="dcterms:W3CDTF">2026-07-08T13:23:26Z</dcterms:modified>
</cp:coreProperties>
</file>