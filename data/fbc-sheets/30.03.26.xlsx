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30.03.26/"/>
    </mc:Choice>
  </mc:AlternateContent>
  <xr:revisionPtr revIDLastSave="0" documentId="8_{4E88407C-065A-4F13-8A83-8829E26DDADD}" xr6:coauthVersionLast="47" xr6:coauthVersionMax="47" xr10:uidLastSave="{00000000-0000-0000-0000-000000000000}"/>
  <bookViews>
    <workbookView xWindow="-108" yWindow="-108" windowWidth="23256" windowHeight="12456" xr2:uid="{03BB07EB-37C9-469C-8612-5362BED6299C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J81" i="1"/>
  <c r="E81" i="1"/>
  <c r="D81" i="1"/>
  <c r="O79" i="1"/>
  <c r="N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Q75" i="1"/>
  <c r="M75" i="1"/>
  <c r="L75" i="1"/>
  <c r="K75" i="1"/>
  <c r="J75" i="1"/>
  <c r="E75" i="1"/>
  <c r="D75" i="1"/>
  <c r="O73" i="1"/>
  <c r="N73" i="1"/>
  <c r="M72" i="1"/>
  <c r="L72" i="1"/>
  <c r="J72" i="1"/>
  <c r="Q72" i="1" s="1"/>
  <c r="D72" i="1"/>
  <c r="Q71" i="1"/>
  <c r="M71" i="1"/>
  <c r="L71" i="1"/>
  <c r="K71" i="1"/>
  <c r="E71" i="1" s="1"/>
  <c r="J71" i="1"/>
  <c r="D71" i="1"/>
  <c r="M68" i="1"/>
  <c r="L68" i="1"/>
  <c r="D68" i="1"/>
  <c r="O66" i="1"/>
  <c r="N66" i="1"/>
  <c r="Q65" i="1"/>
  <c r="P65" i="1"/>
  <c r="M65" i="1"/>
  <c r="L65" i="1"/>
  <c r="J65" i="1"/>
  <c r="D65" i="1"/>
  <c r="M64" i="1"/>
  <c r="L64" i="1"/>
  <c r="J64" i="1"/>
  <c r="P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Q61" i="1"/>
  <c r="P61" i="1"/>
  <c r="M61" i="1"/>
  <c r="L61" i="1"/>
  <c r="J61" i="1"/>
  <c r="D61" i="1"/>
  <c r="M60" i="1"/>
  <c r="L60" i="1"/>
  <c r="J60" i="1"/>
  <c r="P60" i="1" s="1"/>
  <c r="D60" i="1"/>
  <c r="Q59" i="1"/>
  <c r="P59" i="1"/>
  <c r="M59" i="1"/>
  <c r="L59" i="1"/>
  <c r="J59" i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P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T41" i="1"/>
  <c r="U41" i="1" s="1"/>
  <c r="Q41" i="1"/>
  <c r="P41" i="1"/>
  <c r="M41" i="1"/>
  <c r="L41" i="1"/>
  <c r="K41" i="1"/>
  <c r="E41" i="1" s="1"/>
  <c r="J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E38" i="1" s="1"/>
  <c r="J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E25" i="1" s="1"/>
  <c r="J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E19" i="1" s="1"/>
  <c r="J19" i="1"/>
  <c r="D19" i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D11" i="1"/>
  <c r="Q10" i="1"/>
  <c r="P10" i="1"/>
  <c r="M10" i="1"/>
  <c r="L10" i="1"/>
  <c r="K10" i="1"/>
  <c r="J10" i="1"/>
  <c r="E10" i="1"/>
  <c r="D10" i="1"/>
  <c r="P44" i="1" l="1"/>
  <c r="P47" i="1"/>
  <c r="P15" i="1"/>
  <c r="P12" i="1"/>
  <c r="K72" i="1"/>
  <c r="E72" i="1" s="1"/>
  <c r="P56" i="1"/>
  <c r="P58" i="1"/>
  <c r="P62" i="1"/>
  <c r="Q54" i="1"/>
  <c r="Q60" i="1"/>
  <c r="Q64" i="1"/>
</calcChain>
</file>

<file path=xl/sharedStrings.xml><?xml version="1.0" encoding="utf-8"?>
<sst xmlns="http://schemas.openxmlformats.org/spreadsheetml/2006/main" count="279" uniqueCount="196">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</sst>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0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164" fontId="16" fillId="5" borderId="0" xfId="5" applyFont="1" applyFill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8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7" xfId="7" applyFont="1" applyFill="1" applyBorder="1" applyAlignment="1">
      <alignment horizontal="center"/>
    </xf>
    <xf numFmtId="0" fontId="25" fillId="2" borderId="16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7" xfId="7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9">
    <cellStyle name="Comma" xfId="1" builtinId="3"/>
    <cellStyle name="Comma 2 2 2 2 2 2 2" xfId="3" xr:uid="{8B8E7F4F-3E76-4AEA-BC1E-DA5CEC10B8E5}"/>
    <cellStyle name="Comma 5 2 2 2 2 2" xfId="4" xr:uid="{14663C36-1C9C-48DE-827E-0C8C120523ED}"/>
    <cellStyle name="Comma 6" xfId="5" xr:uid="{D82B4147-1F2B-4498-9ED6-B15A726FDD4F}"/>
    <cellStyle name="Hyperlink 2" xfId="8" xr:uid="{CE3F3A17-FFBA-4F85-B856-E3AE3A3D28E4}"/>
    <cellStyle name="Normal" xfId="0" builtinId="0"/>
    <cellStyle name="Normal 2" xfId="2" xr:uid="{AA0D6B97-48CF-4C40-B54A-BF7AB94366BB}"/>
    <cellStyle name="Normal 20" xfId="7" xr:uid="{1F88701F-3A00-4971-A054-B804A0E0015D}"/>
    <cellStyle name="Percent 3" xfId="6" xr:uid="{B5101C0A-0279-41FA-BD6B-88CA41F48435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D3879A2-2B1B-437A-833A-9D3F7C2C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427428F-294A-4B8C-AA25-BD80AEF7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09D3-30AC-4A69-81B4-31910B79B852}">
  <dimension ref="A1:IO104"/>
  <sheetViews>
    <sheetView tabSelected="1" zoomScale="70" zoomScaleNormal="70" workbookViewId="0">
      <pane ySplit="7" topLeftCell="A27" activePane="bottomLeft" state="frozen"/>
      <selection pane="bottomLeft" activeCell="P93" sqref="P93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8.88671875" style="5" hidden="1" customWidth="1"/>
    <col min="22" max="22" width="13.44140625" style="5" hidden="1" customWidth="1"/>
    <col min="23" max="23" width="9.21875" style="5" hidden="1" customWidth="1"/>
    <col min="24" max="24" width="10" style="5" hidden="1" customWidth="1"/>
    <col min="25" max="32" width="9.21875" style="5" hidden="1" customWidth="1"/>
    <col min="33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25.345600000000001</v>
      </c>
      <c r="K5" s="23"/>
      <c r="L5" s="154" t="s">
        <v>12</v>
      </c>
      <c r="M5" s="155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4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7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66898223.673063569</v>
      </c>
      <c r="E10" s="40">
        <f t="shared" ref="E10:E30" si="1">C10*K10</f>
        <v>56519187.26426667</v>
      </c>
      <c r="F10" s="41" t="s">
        <v>35</v>
      </c>
      <c r="G10" s="42">
        <v>8.9894999999999996</v>
      </c>
      <c r="H10" s="43">
        <v>13.592000000000001</v>
      </c>
      <c r="I10" s="43">
        <v>13.592000000000001</v>
      </c>
      <c r="J10" s="44">
        <f>(I10/$J$5)</f>
        <v>0.53626664983271255</v>
      </c>
      <c r="K10" s="45">
        <f t="shared" ref="K10:K30" si="2">I10/$K$4</f>
        <v>0.45306666666666667</v>
      </c>
      <c r="L10" s="46">
        <f t="shared" ref="L10:L30" si="3">I10-H10</f>
        <v>0</v>
      </c>
      <c r="M10" s="46">
        <f t="shared" ref="M10:M30" si="4">((I10-H10)/H10)*100</f>
        <v>0</v>
      </c>
      <c r="N10" s="47">
        <v>0</v>
      </c>
      <c r="O10" s="38">
        <v>0</v>
      </c>
      <c r="P10" s="48">
        <f t="shared" ref="P10:P30" si="5">(R10)/J10</f>
        <v>0</v>
      </c>
      <c r="Q10" s="49">
        <f t="shared" ref="Q10:Q30" si="6">I10/G10-1</f>
        <v>0.51198620612937318</v>
      </c>
      <c r="R10" s="50"/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2086766.8091305788</v>
      </c>
      <c r="E11" s="40">
        <f t="shared" si="1"/>
        <v>1763011.8945833333</v>
      </c>
      <c r="F11" s="41" t="s">
        <v>35</v>
      </c>
      <c r="G11" s="42">
        <v>3.1600000000000003E-2</v>
      </c>
      <c r="H11" s="43">
        <v>3.2385000000000004E-2</v>
      </c>
      <c r="I11" s="43">
        <v>3.2500000000000001E-2</v>
      </c>
      <c r="J11" s="44">
        <f t="shared" ref="J11:J30" si="7">I11/$J$5</f>
        <v>1.2822738463480841E-3</v>
      </c>
      <c r="K11" s="45">
        <f t="shared" si="2"/>
        <v>1.0833333333333333E-3</v>
      </c>
      <c r="L11" s="46">
        <f t="shared" si="3"/>
        <v>1.1499999999999705E-4</v>
      </c>
      <c r="M11" s="46">
        <f t="shared" si="4"/>
        <v>0.35510267098964654</v>
      </c>
      <c r="N11" s="47">
        <v>1000</v>
      </c>
      <c r="O11" s="38">
        <v>32.5</v>
      </c>
      <c r="P11" s="48">
        <f t="shared" si="5"/>
        <v>0</v>
      </c>
      <c r="Q11" s="49">
        <f t="shared" si="6"/>
        <v>2.8481012658227778E-2</v>
      </c>
      <c r="R11" s="50"/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4258467.2555788774</v>
      </c>
      <c r="E12" s="40">
        <f t="shared" si="1"/>
        <v>3597780.255766667</v>
      </c>
      <c r="F12" s="41" t="s">
        <v>42</v>
      </c>
      <c r="G12" s="42">
        <v>7.8E-2</v>
      </c>
      <c r="H12" s="43">
        <v>0.247</v>
      </c>
      <c r="I12" s="43">
        <v>0.247</v>
      </c>
      <c r="J12" s="44">
        <f t="shared" si="7"/>
        <v>9.7452812322454379E-3</v>
      </c>
      <c r="K12" s="45">
        <f t="shared" si="2"/>
        <v>8.2333333333333338E-3</v>
      </c>
      <c r="L12" s="46">
        <f t="shared" si="3"/>
        <v>0</v>
      </c>
      <c r="M12" s="46">
        <f t="shared" si="4"/>
        <v>0</v>
      </c>
      <c r="N12" s="47">
        <v>100</v>
      </c>
      <c r="O12" s="38">
        <v>24.7</v>
      </c>
      <c r="P12" s="48">
        <f t="shared" si="5"/>
        <v>0</v>
      </c>
      <c r="Q12" s="49">
        <f t="shared" si="6"/>
        <v>2.1666666666666665</v>
      </c>
      <c r="R12" s="50"/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174206015.48479813</v>
      </c>
      <c r="E13" s="40">
        <f t="shared" si="1"/>
        <v>147178532.86905</v>
      </c>
      <c r="F13" s="41" t="s">
        <v>35</v>
      </c>
      <c r="G13" s="42">
        <v>97.381</v>
      </c>
      <c r="H13" s="43">
        <v>213.98950000000002</v>
      </c>
      <c r="I13" s="43">
        <v>213.98950000000002</v>
      </c>
      <c r="J13" s="44">
        <f t="shared" si="7"/>
        <v>8.442865822864718</v>
      </c>
      <c r="K13" s="45">
        <f t="shared" si="2"/>
        <v>7.1329833333333337</v>
      </c>
      <c r="L13" s="46">
        <f t="shared" si="3"/>
        <v>0</v>
      </c>
      <c r="M13" s="46">
        <f t="shared" si="4"/>
        <v>0</v>
      </c>
      <c r="N13" s="47">
        <v>2700</v>
      </c>
      <c r="O13" s="38">
        <v>577771.65</v>
      </c>
      <c r="P13" s="48">
        <f t="shared" si="5"/>
        <v>0</v>
      </c>
      <c r="Q13" s="49">
        <f t="shared" si="6"/>
        <v>1.1974461137182821</v>
      </c>
      <c r="R13" s="50"/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4480320.2133703679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0.5129095385392336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48">
        <f t="shared" si="5"/>
        <v>0</v>
      </c>
      <c r="Q14" s="49">
        <f t="shared" si="6"/>
        <v>-4.4117647058823484E-2</v>
      </c>
      <c r="R14" s="50"/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330851619.63443357</v>
      </c>
      <c r="E15" s="40">
        <f t="shared" si="1"/>
        <v>279521093.68688333</v>
      </c>
      <c r="F15" s="41" t="s">
        <v>53</v>
      </c>
      <c r="G15" s="42">
        <v>11.5</v>
      </c>
      <c r="H15" s="43">
        <v>16.5</v>
      </c>
      <c r="I15" s="43">
        <v>16.0441</v>
      </c>
      <c r="J15" s="44">
        <f t="shared" si="7"/>
        <v>0.63301322517517833</v>
      </c>
      <c r="K15" s="45">
        <f t="shared" si="2"/>
        <v>0.5348033333333333</v>
      </c>
      <c r="L15" s="46">
        <f t="shared" si="3"/>
        <v>-0.45589999999999975</v>
      </c>
      <c r="M15" s="46">
        <f t="shared" si="4"/>
        <v>-2.7630303030303014</v>
      </c>
      <c r="N15" s="47">
        <v>3400</v>
      </c>
      <c r="O15" s="38">
        <v>54550</v>
      </c>
      <c r="P15" s="48">
        <f t="shared" si="5"/>
        <v>0</v>
      </c>
      <c r="Q15" s="49">
        <f t="shared" si="6"/>
        <v>0.39513913043478266</v>
      </c>
      <c r="R15" s="50"/>
      <c r="T15" s="53" t="s">
        <v>54</v>
      </c>
      <c r="U15" s="54">
        <f>((0.63+0.6)/100)*2</f>
        <v>2.46E-2</v>
      </c>
      <c r="V15" s="55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25897710.697320245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0.24422384950445047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8">
        <f t="shared" si="5"/>
        <v>0</v>
      </c>
      <c r="Q16" s="49">
        <f t="shared" si="6"/>
        <v>0.14842300556586285</v>
      </c>
      <c r="R16" s="50"/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37006906.443721987</v>
      </c>
      <c r="E17" s="40">
        <f t="shared" si="1"/>
        <v>31265408.265333332</v>
      </c>
      <c r="F17" s="41" t="s">
        <v>35</v>
      </c>
      <c r="G17" s="42">
        <v>1.9</v>
      </c>
      <c r="H17" s="43">
        <v>2.6142860000000003</v>
      </c>
      <c r="I17" s="43">
        <v>2.62</v>
      </c>
      <c r="J17" s="44">
        <f t="shared" si="7"/>
        <v>0.1033709993055994</v>
      </c>
      <c r="K17" s="45">
        <f t="shared" si="2"/>
        <v>8.7333333333333332E-2</v>
      </c>
      <c r="L17" s="46">
        <f t="shared" si="3"/>
        <v>5.7139999999997748E-3</v>
      </c>
      <c r="M17" s="46">
        <f t="shared" si="4"/>
        <v>0.21856828212367641</v>
      </c>
      <c r="N17" s="47">
        <v>4300</v>
      </c>
      <c r="O17" s="38">
        <v>11266</v>
      </c>
      <c r="P17" s="48">
        <f t="shared" si="5"/>
        <v>0</v>
      </c>
      <c r="Q17" s="49">
        <f t="shared" si="6"/>
        <v>0.3789473684210527</v>
      </c>
      <c r="R17" s="50"/>
      <c r="T17" s="53" t="s">
        <v>60</v>
      </c>
      <c r="U17" s="54">
        <v>0.16400000000000001</v>
      </c>
      <c r="W17" s="56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1423839641.1876223</v>
      </c>
      <c r="E18" s="40">
        <f t="shared" si="1"/>
        <v>1202935666.9895</v>
      </c>
      <c r="F18" s="41" t="s">
        <v>35</v>
      </c>
      <c r="G18" s="42">
        <v>20.701700000000002</v>
      </c>
      <c r="H18" s="43">
        <v>26.721900000000002</v>
      </c>
      <c r="I18" s="43">
        <v>26.899000000000001</v>
      </c>
      <c r="J18" s="44">
        <f t="shared" si="7"/>
        <v>1.0612887443974497</v>
      </c>
      <c r="K18" s="45">
        <f t="shared" si="2"/>
        <v>0.89663333333333339</v>
      </c>
      <c r="L18" s="46">
        <f t="shared" si="3"/>
        <v>0.17709999999999937</v>
      </c>
      <c r="M18" s="46">
        <f t="shared" si="4"/>
        <v>0.66275227435174655</v>
      </c>
      <c r="N18" s="47">
        <v>540000</v>
      </c>
      <c r="O18" s="38">
        <v>14525446.699999999</v>
      </c>
      <c r="P18" s="48">
        <f t="shared" si="5"/>
        <v>0</v>
      </c>
      <c r="Q18" s="49">
        <f t="shared" si="6"/>
        <v>0.29936188815411291</v>
      </c>
      <c r="R18" s="50"/>
      <c r="T18" s="53" t="s">
        <v>62</v>
      </c>
      <c r="U18" s="54">
        <v>2.3702520000000001E-2</v>
      </c>
      <c r="W18" s="56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1292956956.3118095</v>
      </c>
      <c r="E19" s="40">
        <f t="shared" si="1"/>
        <v>1092358994.3965533</v>
      </c>
      <c r="F19" s="41" t="s">
        <v>64</v>
      </c>
      <c r="G19" s="42">
        <v>6.1399460000000001</v>
      </c>
      <c r="H19" s="43">
        <v>10.5</v>
      </c>
      <c r="I19" s="43">
        <v>10.952199999999999</v>
      </c>
      <c r="J19" s="44">
        <f t="shared" si="7"/>
        <v>0.43211444984533803</v>
      </c>
      <c r="K19" s="45">
        <f t="shared" si="2"/>
        <v>0.36507333333333331</v>
      </c>
      <c r="L19" s="46">
        <f t="shared" si="3"/>
        <v>0.45219999999999949</v>
      </c>
      <c r="M19" s="46">
        <f t="shared" si="4"/>
        <v>4.3066666666666622</v>
      </c>
      <c r="N19" s="47">
        <v>75043900</v>
      </c>
      <c r="O19" s="38">
        <v>787980800</v>
      </c>
      <c r="P19" s="48">
        <f t="shared" si="5"/>
        <v>0</v>
      </c>
      <c r="Q19" s="49">
        <f t="shared" si="6"/>
        <v>0.78376161614450668</v>
      </c>
      <c r="R19" s="50"/>
      <c r="S19" s="55"/>
      <c r="T19" s="53" t="s">
        <v>65</v>
      </c>
      <c r="U19" s="54">
        <v>0</v>
      </c>
      <c r="W19" s="56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265115020.75310901</v>
      </c>
      <c r="E20" s="40">
        <f t="shared" si="1"/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 t="shared" si="7"/>
        <v>0.39454579887633356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0</v>
      </c>
      <c r="Q20" s="49">
        <f t="shared" si="6"/>
        <v>-0.19678714859437751</v>
      </c>
      <c r="R20" s="50"/>
      <c r="T20" s="53" t="s">
        <v>68</v>
      </c>
      <c r="U20" s="54">
        <v>1.5</v>
      </c>
      <c r="W20" s="57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2569918.5664572944</v>
      </c>
      <c r="E21" s="40">
        <f t="shared" si="1"/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 t="shared" si="7"/>
        <v>2.3593838772804746E-2</v>
      </c>
      <c r="K21" s="45">
        <f t="shared" si="2"/>
        <v>1.9933333333333334E-2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48">
        <f t="shared" si="5"/>
        <v>0</v>
      </c>
      <c r="Q21" s="49">
        <f t="shared" si="6"/>
        <v>0.70857142857142863</v>
      </c>
      <c r="R21" s="50"/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103471357.07972981</v>
      </c>
      <c r="E22" s="40">
        <f t="shared" si="1"/>
        <v>87418120.933333322</v>
      </c>
      <c r="F22" s="41" t="s">
        <v>53</v>
      </c>
      <c r="G22" s="42">
        <v>2.85</v>
      </c>
      <c r="H22" s="43">
        <v>4.1797000000000004</v>
      </c>
      <c r="I22" s="43">
        <v>3.8</v>
      </c>
      <c r="J22" s="44">
        <f t="shared" si="7"/>
        <v>0.14992740357300674</v>
      </c>
      <c r="K22" s="45">
        <f t="shared" si="2"/>
        <v>0.12666666666666665</v>
      </c>
      <c r="L22" s="46">
        <f t="shared" si="3"/>
        <v>-0.37970000000000059</v>
      </c>
      <c r="M22" s="46">
        <f t="shared" si="4"/>
        <v>-9.0843840467019294</v>
      </c>
      <c r="N22" s="47">
        <v>400</v>
      </c>
      <c r="O22" s="38">
        <v>1520</v>
      </c>
      <c r="P22" s="48">
        <f t="shared" si="5"/>
        <v>0</v>
      </c>
      <c r="Q22" s="49">
        <f t="shared" si="6"/>
        <v>0.33333333333333326</v>
      </c>
      <c r="R22" s="50"/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48768839.285714284</v>
      </c>
      <c r="E23" s="40">
        <f t="shared" si="1"/>
        <v>41202516.43333333</v>
      </c>
      <c r="F23" s="41" t="s">
        <v>76</v>
      </c>
      <c r="G23" s="42">
        <v>0.88420599999999994</v>
      </c>
      <c r="H23" s="43">
        <v>1</v>
      </c>
      <c r="I23" s="43">
        <v>1</v>
      </c>
      <c r="J23" s="44">
        <f t="shared" si="7"/>
        <v>3.9454579887633352E-2</v>
      </c>
      <c r="K23" s="45">
        <f t="shared" si="2"/>
        <v>3.3333333333333333E-2</v>
      </c>
      <c r="L23" s="46">
        <f t="shared" si="3"/>
        <v>0</v>
      </c>
      <c r="M23" s="46">
        <f t="shared" si="4"/>
        <v>0</v>
      </c>
      <c r="N23" s="47">
        <v>0</v>
      </c>
      <c r="O23" s="38">
        <v>0</v>
      </c>
      <c r="P23" s="48">
        <f t="shared" si="5"/>
        <v>0</v>
      </c>
      <c r="Q23" s="49">
        <f t="shared" si="6"/>
        <v>0.13095817038111046</v>
      </c>
      <c r="R23" s="50"/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2127673.308641342</v>
      </c>
      <c r="E24" s="40">
        <f t="shared" si="1"/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 t="shared" si="7"/>
        <v>3.9651852787071524E-3</v>
      </c>
      <c r="K24" s="45">
        <f t="shared" si="2"/>
        <v>3.3500000000000001E-3</v>
      </c>
      <c r="L24" s="46">
        <f t="shared" si="3"/>
        <v>0</v>
      </c>
      <c r="M24" s="46">
        <f t="shared" si="4"/>
        <v>0</v>
      </c>
      <c r="N24" s="47">
        <v>400</v>
      </c>
      <c r="O24" s="38">
        <v>40.200000000000003</v>
      </c>
      <c r="P24" s="48">
        <f t="shared" si="5"/>
        <v>0</v>
      </c>
      <c r="Q24" s="49">
        <f t="shared" si="6"/>
        <v>4.9999999999998934E-3</v>
      </c>
      <c r="R24" s="50"/>
      <c r="T24" s="58" t="s">
        <v>80</v>
      </c>
      <c r="U24" s="59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65508920.346253395</v>
      </c>
      <c r="E25" s="40">
        <f t="shared" si="1"/>
        <v>55345429.717600003</v>
      </c>
      <c r="F25" s="41" t="s">
        <v>35</v>
      </c>
      <c r="G25" s="42">
        <v>8.1687659999999997</v>
      </c>
      <c r="H25" s="43">
        <v>8.6020000000000003</v>
      </c>
      <c r="I25" s="43">
        <v>8.6020000000000003</v>
      </c>
      <c r="J25" s="44">
        <f t="shared" si="7"/>
        <v>0.33938829619342215</v>
      </c>
      <c r="K25" s="45">
        <f t="shared" si="2"/>
        <v>0.28673333333333334</v>
      </c>
      <c r="L25" s="46">
        <f t="shared" si="3"/>
        <v>0</v>
      </c>
      <c r="M25" s="46">
        <f t="shared" si="4"/>
        <v>0</v>
      </c>
      <c r="N25" s="47">
        <v>0</v>
      </c>
      <c r="O25" s="38">
        <v>0</v>
      </c>
      <c r="P25" s="48">
        <f t="shared" si="5"/>
        <v>0</v>
      </c>
      <c r="Q25" s="49">
        <f t="shared" si="6"/>
        <v>5.3035427872459628E-2</v>
      </c>
      <c r="R25" s="50"/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76686076.926868647</v>
      </c>
      <c r="E26" s="40">
        <f t="shared" si="1"/>
        <v>64788487.711921401</v>
      </c>
      <c r="F26" s="41" t="s">
        <v>76</v>
      </c>
      <c r="G26" s="42">
        <v>1.6675</v>
      </c>
      <c r="H26" s="43">
        <v>1.1517379999999999</v>
      </c>
      <c r="I26" s="43">
        <v>1.1517379999999999</v>
      </c>
      <c r="J26" s="44">
        <f t="shared" si="7"/>
        <v>4.5441338930623063E-2</v>
      </c>
      <c r="K26" s="45">
        <f t="shared" si="2"/>
        <v>3.8391266666666667E-2</v>
      </c>
      <c r="L26" s="46">
        <f t="shared" si="3"/>
        <v>0</v>
      </c>
      <c r="M26" s="46">
        <f t="shared" si="4"/>
        <v>0</v>
      </c>
      <c r="N26" s="47">
        <v>0</v>
      </c>
      <c r="O26" s="38">
        <v>0</v>
      </c>
      <c r="P26" s="48">
        <f t="shared" si="5"/>
        <v>0</v>
      </c>
      <c r="Q26" s="49">
        <f t="shared" si="6"/>
        <v>-0.30930254872563723</v>
      </c>
      <c r="R26" s="50"/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17378721.232876714</v>
      </c>
      <c r="E27" s="40">
        <f t="shared" si="1"/>
        <v>14682470.562666668</v>
      </c>
      <c r="F27" s="41" t="s">
        <v>49</v>
      </c>
      <c r="G27" s="42">
        <v>1.7994999999999999</v>
      </c>
      <c r="H27" s="43">
        <v>1.6</v>
      </c>
      <c r="I27" s="43">
        <v>1.84</v>
      </c>
      <c r="J27" s="44">
        <f t="shared" si="7"/>
        <v>7.259642699324538E-2</v>
      </c>
      <c r="K27" s="45">
        <f t="shared" si="2"/>
        <v>6.1333333333333337E-2</v>
      </c>
      <c r="L27" s="46">
        <f t="shared" si="3"/>
        <v>0.24</v>
      </c>
      <c r="M27" s="46">
        <f t="shared" si="4"/>
        <v>15</v>
      </c>
      <c r="N27" s="47">
        <v>4400</v>
      </c>
      <c r="O27" s="38">
        <v>8096</v>
      </c>
      <c r="P27" s="48">
        <f t="shared" si="5"/>
        <v>0</v>
      </c>
      <c r="Q27" s="49">
        <f t="shared" si="6"/>
        <v>2.2506251736593708E-2</v>
      </c>
      <c r="R27" s="50"/>
      <c r="T27" s="60" t="s">
        <v>44</v>
      </c>
      <c r="U27" s="60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27540257.291769497</v>
      </c>
      <c r="E28" s="40">
        <f t="shared" si="1"/>
        <v>23267478.1738091</v>
      </c>
      <c r="F28" s="41" t="s">
        <v>35</v>
      </c>
      <c r="G28" s="42">
        <v>3.1361369999999997</v>
      </c>
      <c r="H28" s="43">
        <v>3.2</v>
      </c>
      <c r="I28" s="43">
        <v>2.7250529999999999</v>
      </c>
      <c r="J28" s="44">
        <f t="shared" si="7"/>
        <v>0.10751582128653493</v>
      </c>
      <c r="K28" s="45">
        <f t="shared" si="2"/>
        <v>9.0835100000000002E-2</v>
      </c>
      <c r="L28" s="46">
        <f t="shared" si="3"/>
        <v>-0.47494700000000023</v>
      </c>
      <c r="M28" s="46">
        <f t="shared" si="4"/>
        <v>-14.842093750000007</v>
      </c>
      <c r="N28" s="47">
        <v>9500</v>
      </c>
      <c r="O28" s="38">
        <v>25888</v>
      </c>
      <c r="P28" s="48">
        <f t="shared" si="5"/>
        <v>0</v>
      </c>
      <c r="Q28" s="49">
        <f t="shared" si="6"/>
        <v>-0.13107973280504004</v>
      </c>
      <c r="R28" s="50"/>
      <c r="T28" s="60"/>
      <c r="U28" s="60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22360333.775882203</v>
      </c>
      <c r="E29" s="40">
        <f t="shared" si="1"/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 t="shared" si="7"/>
        <v>2.9590934915725016E-2</v>
      </c>
      <c r="K29" s="45">
        <f t="shared" si="2"/>
        <v>2.5000000000000001E-2</v>
      </c>
      <c r="L29" s="46">
        <f t="shared" si="3"/>
        <v>0</v>
      </c>
      <c r="M29" s="46">
        <f t="shared" si="4"/>
        <v>0</v>
      </c>
      <c r="N29" s="47">
        <v>200</v>
      </c>
      <c r="O29" s="38">
        <v>150</v>
      </c>
      <c r="P29" s="48">
        <f t="shared" si="5"/>
        <v>0</v>
      </c>
      <c r="Q29" s="49">
        <f t="shared" si="6"/>
        <v>-6.25E-2</v>
      </c>
      <c r="R29" s="50"/>
      <c r="T29" s="60"/>
      <c r="U29" s="60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80051049.443690419</v>
      </c>
      <c r="E30" s="40">
        <f t="shared" si="1"/>
        <v>67631395.959333315</v>
      </c>
      <c r="F30" s="41" t="s">
        <v>53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0.19806199103591943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0</v>
      </c>
      <c r="O30" s="38">
        <v>0</v>
      </c>
      <c r="P30" s="48">
        <f t="shared" si="5"/>
        <v>0</v>
      </c>
      <c r="Q30" s="49">
        <f t="shared" si="6"/>
        <v>-2.5242718446602086E-2</v>
      </c>
      <c r="R30" s="50"/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48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14225032.742409412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4.4857490057445869E-3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8">
        <f t="shared" ref="P32:P38" si="14">(R32)/J32</f>
        <v>0</v>
      </c>
      <c r="Q32" s="49">
        <f t="shared" ref="Q32:Q48" si="15">I32/G32-1</f>
        <v>-0.12543749663464132</v>
      </c>
      <c r="R32" s="50"/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13581471.940855609</v>
      </c>
      <c r="E33" s="40">
        <f t="shared" si="9"/>
        <v>11474351.840805</v>
      </c>
      <c r="F33" s="41" t="s">
        <v>42</v>
      </c>
      <c r="G33" s="42">
        <v>1.4</v>
      </c>
      <c r="H33" s="43">
        <v>1.26</v>
      </c>
      <c r="I33" s="43">
        <v>1.3246449999999999</v>
      </c>
      <c r="J33" s="44">
        <f t="shared" si="10"/>
        <v>5.2263311975254079E-2</v>
      </c>
      <c r="K33" s="45">
        <f t="shared" si="11"/>
        <v>4.4154833333333331E-2</v>
      </c>
      <c r="L33" s="46">
        <f t="shared" si="12"/>
        <v>6.4644999999999841E-2</v>
      </c>
      <c r="M33" s="46">
        <f t="shared" si="13"/>
        <v>5.1305555555555431</v>
      </c>
      <c r="N33" s="47">
        <v>87000</v>
      </c>
      <c r="O33" s="38">
        <v>115244.1</v>
      </c>
      <c r="P33" s="48">
        <f t="shared" si="14"/>
        <v>0</v>
      </c>
      <c r="Q33" s="49">
        <f t="shared" si="15"/>
        <v>-5.3825000000000012E-2</v>
      </c>
      <c r="R33" s="50"/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3610966.1045704181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2.9590934915725016E-2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8">
        <f t="shared" si="14"/>
        <v>0</v>
      </c>
      <c r="Q34" s="49">
        <f t="shared" si="15"/>
        <v>0.15384615384615374</v>
      </c>
      <c r="R34" s="50"/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170132744.08505931</v>
      </c>
      <c r="E35" s="40">
        <f t="shared" si="9"/>
        <v>143737215.94940934</v>
      </c>
      <c r="F35" s="41" t="s">
        <v>108</v>
      </c>
      <c r="G35" s="42">
        <v>1.44</v>
      </c>
      <c r="H35" s="43">
        <v>1.7250000000000001</v>
      </c>
      <c r="I35" s="43">
        <v>1.7279599999999999</v>
      </c>
      <c r="J35" s="44">
        <f t="shared" si="10"/>
        <v>6.8175935862634929E-2</v>
      </c>
      <c r="K35" s="45">
        <f t="shared" si="11"/>
        <v>5.7598666666666666E-2</v>
      </c>
      <c r="L35" s="46">
        <f t="shared" si="12"/>
        <v>2.9599999999998516E-3</v>
      </c>
      <c r="M35" s="46">
        <f t="shared" si="13"/>
        <v>0.1715942028985421</v>
      </c>
      <c r="N35" s="47">
        <v>10000</v>
      </c>
      <c r="O35" s="38">
        <v>17279.599999999999</v>
      </c>
      <c r="P35" s="48">
        <f t="shared" si="14"/>
        <v>0</v>
      </c>
      <c r="Q35" s="49">
        <f t="shared" si="15"/>
        <v>0.19997222222222222</v>
      </c>
      <c r="R35" s="50"/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39764421.373979941</v>
      </c>
      <c r="E36" s="40">
        <f t="shared" si="9"/>
        <v>33595103.9458782</v>
      </c>
      <c r="F36" s="41" t="s">
        <v>35</v>
      </c>
      <c r="G36" s="42">
        <v>3.6056249999999999</v>
      </c>
      <c r="H36" s="43">
        <v>4.0004999999999997</v>
      </c>
      <c r="I36" s="43">
        <v>3.9758620000000002</v>
      </c>
      <c r="J36" s="44">
        <f t="shared" si="10"/>
        <v>0.15686596490120575</v>
      </c>
      <c r="K36" s="45">
        <f t="shared" si="11"/>
        <v>0.13252873333333334</v>
      </c>
      <c r="L36" s="46">
        <f t="shared" si="12"/>
        <v>-2.4637999999999494E-2</v>
      </c>
      <c r="M36" s="46">
        <f t="shared" si="13"/>
        <v>-0.61587301587300325</v>
      </c>
      <c r="N36" s="47">
        <v>2900</v>
      </c>
      <c r="O36" s="38">
        <v>11530</v>
      </c>
      <c r="P36" s="48">
        <f t="shared" si="14"/>
        <v>0</v>
      </c>
      <c r="Q36" s="49">
        <f t="shared" si="15"/>
        <v>0.10268316866007976</v>
      </c>
      <c r="R36" s="50"/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6232060.6289060032</v>
      </c>
      <c r="E37" s="40">
        <f t="shared" si="9"/>
        <v>5265177.1958666667</v>
      </c>
      <c r="F37" s="41" t="s">
        <v>35</v>
      </c>
      <c r="G37" s="42">
        <v>2.5099999999999997E-2</v>
      </c>
      <c r="H37" s="43">
        <v>3.0072999999999999E-2</v>
      </c>
      <c r="I37" s="43">
        <v>3.3500000000000002E-2</v>
      </c>
      <c r="J37" s="44">
        <f t="shared" si="10"/>
        <v>1.3217284262357174E-3</v>
      </c>
      <c r="K37" s="45">
        <f t="shared" si="11"/>
        <v>1.1166666666666666E-3</v>
      </c>
      <c r="L37" s="46">
        <f t="shared" si="12"/>
        <v>3.427000000000003E-3</v>
      </c>
      <c r="M37" s="46">
        <f t="shared" si="13"/>
        <v>11.395604030193207</v>
      </c>
      <c r="N37" s="47">
        <v>1000</v>
      </c>
      <c r="O37" s="38">
        <v>33.5</v>
      </c>
      <c r="P37" s="48">
        <f t="shared" si="14"/>
        <v>0</v>
      </c>
      <c r="Q37" s="49">
        <f t="shared" si="15"/>
        <v>0.33466135458167345</v>
      </c>
      <c r="R37" s="50"/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11788571.714814406</v>
      </c>
      <c r="E38" s="40">
        <f t="shared" si="9"/>
        <v>9959614.1085000001</v>
      </c>
      <c r="F38" s="41" t="s">
        <v>108</v>
      </c>
      <c r="G38" s="42">
        <v>0.61</v>
      </c>
      <c r="H38" s="43">
        <v>1.1445000000000001</v>
      </c>
      <c r="I38" s="43">
        <v>1.1445000000000001</v>
      </c>
      <c r="J38" s="44">
        <f t="shared" si="10"/>
        <v>4.5155766681396377E-2</v>
      </c>
      <c r="K38" s="45">
        <f t="shared" si="11"/>
        <v>3.8150000000000003E-2</v>
      </c>
      <c r="L38" s="46">
        <f t="shared" si="12"/>
        <v>0</v>
      </c>
      <c r="M38" s="46">
        <f t="shared" si="13"/>
        <v>0</v>
      </c>
      <c r="N38" s="47">
        <v>7100</v>
      </c>
      <c r="O38" s="38">
        <v>8125.95</v>
      </c>
      <c r="P38" s="48">
        <f t="shared" si="14"/>
        <v>0</v>
      </c>
      <c r="Q38" s="49">
        <f t="shared" si="15"/>
        <v>0.87622950819672152</v>
      </c>
      <c r="R38" s="50"/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19870574.543655269</v>
      </c>
      <c r="E39" s="40">
        <f t="shared" si="9"/>
        <v>16787721.138455633</v>
      </c>
      <c r="F39" s="41" t="s">
        <v>64</v>
      </c>
      <c r="G39" s="42">
        <v>0.11650199999999999</v>
      </c>
      <c r="H39" s="43">
        <v>0.1195</v>
      </c>
      <c r="I39" s="43">
        <v>0.120061</v>
      </c>
      <c r="J39" s="44">
        <f t="shared" si="10"/>
        <v>4.7369563158891487E-3</v>
      </c>
      <c r="K39" s="45">
        <f t="shared" si="11"/>
        <v>4.0020333333333335E-3</v>
      </c>
      <c r="L39" s="46">
        <f t="shared" si="12"/>
        <v>5.6100000000000594E-4</v>
      </c>
      <c r="M39" s="46">
        <f t="shared" si="13"/>
        <v>0.46945606694561171</v>
      </c>
      <c r="N39" s="47">
        <v>22800</v>
      </c>
      <c r="O39" s="38">
        <v>2737.4</v>
      </c>
      <c r="P39" s="48">
        <v>0</v>
      </c>
      <c r="Q39" s="49">
        <f t="shared" si="15"/>
        <v>3.0548831779712016E-2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57992579.672605887</v>
      </c>
      <c r="E40" s="40">
        <f t="shared" si="9"/>
        <v>48995224.24499999</v>
      </c>
      <c r="F40" s="41" t="s">
        <v>35</v>
      </c>
      <c r="G40" s="42">
        <v>2.6005000000000003</v>
      </c>
      <c r="H40" s="43">
        <v>3.5927030000000002</v>
      </c>
      <c r="I40" s="43">
        <v>4.05</v>
      </c>
      <c r="J40" s="44">
        <f t="shared" si="10"/>
        <v>0.15979104854491508</v>
      </c>
      <c r="K40" s="45">
        <f t="shared" si="11"/>
        <v>0.13499999999999998</v>
      </c>
      <c r="L40" s="46">
        <f t="shared" si="12"/>
        <v>0.45729699999999962</v>
      </c>
      <c r="M40" s="46">
        <f t="shared" si="13"/>
        <v>12.728494395445422</v>
      </c>
      <c r="N40" s="47">
        <v>7500</v>
      </c>
      <c r="O40" s="38">
        <v>30375</v>
      </c>
      <c r="P40" s="48">
        <f t="shared" ref="P40:P47" si="16">(R40)/J40</f>
        <v>0</v>
      </c>
      <c r="Q40" s="49">
        <f t="shared" si="15"/>
        <v>0.55739280907517763</v>
      </c>
      <c r="R40" s="50"/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16176141.713157313</v>
      </c>
      <c r="E41" s="40">
        <f t="shared" si="9"/>
        <v>13666467.246833334</v>
      </c>
      <c r="F41" s="41" t="s">
        <v>42</v>
      </c>
      <c r="G41" s="42">
        <v>0.1</v>
      </c>
      <c r="H41" s="43">
        <v>9.5000000000000001E-2</v>
      </c>
      <c r="I41" s="43">
        <v>9.5000000000000001E-2</v>
      </c>
      <c r="J41" s="44">
        <f t="shared" si="10"/>
        <v>3.7481850893251686E-3</v>
      </c>
      <c r="K41" s="45">
        <f t="shared" si="11"/>
        <v>3.1666666666666666E-3</v>
      </c>
      <c r="L41" s="46">
        <f t="shared" si="12"/>
        <v>0</v>
      </c>
      <c r="M41" s="46">
        <f t="shared" si="13"/>
        <v>0</v>
      </c>
      <c r="N41" s="47">
        <v>0</v>
      </c>
      <c r="O41" s="38">
        <v>0</v>
      </c>
      <c r="P41" s="48">
        <f t="shared" si="16"/>
        <v>0</v>
      </c>
      <c r="Q41" s="49">
        <f t="shared" si="15"/>
        <v>-5.0000000000000044E-2</v>
      </c>
      <c r="R41" s="50"/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12602688.869073922</v>
      </c>
      <c r="E42" s="40">
        <f t="shared" si="9"/>
        <v>10647423.700000001</v>
      </c>
      <c r="F42" s="41" t="s">
        <v>49</v>
      </c>
      <c r="G42" s="42">
        <v>1.7452379999999998</v>
      </c>
      <c r="H42" s="43">
        <v>2.7</v>
      </c>
      <c r="I42" s="43">
        <v>3</v>
      </c>
      <c r="J42" s="44">
        <f t="shared" si="10"/>
        <v>0.11836373966290006</v>
      </c>
      <c r="K42" s="45">
        <f t="shared" si="11"/>
        <v>0.1</v>
      </c>
      <c r="L42" s="46">
        <f t="shared" si="12"/>
        <v>0.29999999999999982</v>
      </c>
      <c r="M42" s="46">
        <f t="shared" si="13"/>
        <v>11.111111111111104</v>
      </c>
      <c r="N42" s="47">
        <v>600</v>
      </c>
      <c r="O42" s="38">
        <v>1800</v>
      </c>
      <c r="P42" s="48">
        <f t="shared" si="16"/>
        <v>0</v>
      </c>
      <c r="Q42" s="49">
        <f t="shared" si="15"/>
        <v>0.7189632588793049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2139584.1311312416</v>
      </c>
      <c r="E43" s="40">
        <f t="shared" si="9"/>
        <v>1807634.7851333332</v>
      </c>
      <c r="F43" s="41" t="s">
        <v>42</v>
      </c>
      <c r="G43" s="42">
        <v>0.03</v>
      </c>
      <c r="H43" s="43">
        <v>3.0499999999999999E-2</v>
      </c>
      <c r="I43" s="43">
        <v>3.0499999999999999E-2</v>
      </c>
      <c r="J43" s="44">
        <f t="shared" si="10"/>
        <v>1.2033646865728172E-3</v>
      </c>
      <c r="K43" s="45">
        <f t="shared" si="11"/>
        <v>1.0166666666666666E-3</v>
      </c>
      <c r="L43" s="46">
        <f t="shared" si="12"/>
        <v>0</v>
      </c>
      <c r="M43" s="46">
        <f t="shared" si="13"/>
        <v>0</v>
      </c>
      <c r="N43" s="47">
        <v>0</v>
      </c>
      <c r="O43" s="38">
        <v>0</v>
      </c>
      <c r="P43" s="48">
        <f t="shared" si="16"/>
        <v>0</v>
      </c>
      <c r="Q43" s="49">
        <f t="shared" si="15"/>
        <v>1.6666666666666607E-2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29145910.881187029</v>
      </c>
      <c r="E44" s="40">
        <f t="shared" si="9"/>
        <v>24624019.961007133</v>
      </c>
      <c r="F44" s="41" t="s">
        <v>53</v>
      </c>
      <c r="G44" s="42">
        <v>4.5</v>
      </c>
      <c r="H44" s="43">
        <v>4.2166670000000002</v>
      </c>
      <c r="I44" s="43">
        <v>4.2166670000000002</v>
      </c>
      <c r="J44" s="44">
        <f t="shared" si="10"/>
        <v>0.16636682501104727</v>
      </c>
      <c r="K44" s="45">
        <f t="shared" si="11"/>
        <v>0.14055556666666666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48">
        <f t="shared" si="16"/>
        <v>0</v>
      </c>
      <c r="Q44" s="49">
        <f t="shared" si="15"/>
        <v>-6.2962888888888902E-2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329.0542696957263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7.1018243797740045E-7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8">
        <f t="shared" si="16"/>
        <v>0</v>
      </c>
      <c r="Q45" s="49">
        <f t="shared" si="15"/>
        <v>0</v>
      </c>
      <c r="R45" s="50">
        <v>0</v>
      </c>
      <c r="V45" s="61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1818067.0412221451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3.1563663910106686E-3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8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53772305.509277746</v>
      </c>
      <c r="E47" s="40">
        <f t="shared" si="9"/>
        <v>45429711.550531663</v>
      </c>
      <c r="F47" s="41" t="s">
        <v>53</v>
      </c>
      <c r="G47" s="42">
        <v>0.9998999999999999</v>
      </c>
      <c r="H47" s="43">
        <v>0.74434</v>
      </c>
      <c r="I47" s="43">
        <v>0.74957499999999999</v>
      </c>
      <c r="J47" s="44">
        <f t="shared" si="10"/>
        <v>2.9574166719272772E-2</v>
      </c>
      <c r="K47" s="45">
        <f t="shared" si="11"/>
        <v>2.4985833333333332E-2</v>
      </c>
      <c r="L47" s="46">
        <f t="shared" si="12"/>
        <v>5.2349999999999897E-3</v>
      </c>
      <c r="M47" s="46">
        <f t="shared" si="13"/>
        <v>0.70330762823440762</v>
      </c>
      <c r="N47" s="47">
        <v>5300</v>
      </c>
      <c r="O47" s="38">
        <v>3972.75</v>
      </c>
      <c r="P47" s="48">
        <f t="shared" si="16"/>
        <v>0</v>
      </c>
      <c r="Q47" s="49">
        <f t="shared" si="15"/>
        <v>-0.25035003500350028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4862975.190960166</v>
      </c>
      <c r="E48" s="40">
        <f t="shared" si="9"/>
        <v>4108500.8000000003</v>
      </c>
      <c r="F48" s="41" t="s">
        <v>53</v>
      </c>
      <c r="G48" s="42">
        <v>1.4503460000000001</v>
      </c>
      <c r="H48" s="43">
        <v>1.2250000000000001</v>
      </c>
      <c r="I48" s="43">
        <v>1.2</v>
      </c>
      <c r="J48" s="44">
        <f t="shared" si="10"/>
        <v>4.7345495865160021E-2</v>
      </c>
      <c r="K48" s="45">
        <f t="shared" si="11"/>
        <v>0.04</v>
      </c>
      <c r="L48" s="46">
        <f t="shared" si="12"/>
        <v>-2.5000000000000133E-2</v>
      </c>
      <c r="M48" s="46">
        <f t="shared" si="13"/>
        <v>-2.0408163265306229</v>
      </c>
      <c r="N48" s="47">
        <v>89300</v>
      </c>
      <c r="O48" s="38">
        <v>107160</v>
      </c>
      <c r="P48" s="48">
        <v>0</v>
      </c>
      <c r="Q48" s="49">
        <f t="shared" si="15"/>
        <v>-0.17261122518350802</v>
      </c>
      <c r="R48" s="50"/>
    </row>
    <row r="49" spans="1:26" ht="13.8" thickBot="1" x14ac:dyDescent="0.4">
      <c r="A49" s="62"/>
      <c r="B49" s="63" t="s">
        <v>96</v>
      </c>
      <c r="C49" s="64"/>
      <c r="D49" s="65"/>
      <c r="E49" s="65"/>
      <c r="F49" s="66"/>
      <c r="G49" s="66"/>
      <c r="H49" s="46"/>
      <c r="I49" s="46"/>
      <c r="J49" s="46"/>
      <c r="K49" s="46"/>
      <c r="L49" s="46"/>
      <c r="M49" s="46"/>
      <c r="N49" s="66">
        <f>SUM(N10:N48)</f>
        <v>75843800</v>
      </c>
      <c r="O49" s="67">
        <f>SUM(O10:O48)</f>
        <v>803483844.05000007</v>
      </c>
      <c r="P49" s="67"/>
      <c r="Q49" s="68"/>
    </row>
    <row r="50" spans="1:26" ht="13.2" x14ac:dyDescent="0.35">
      <c r="A50" s="69"/>
      <c r="B50" s="70" t="s">
        <v>96</v>
      </c>
      <c r="C50" s="71"/>
      <c r="D50" s="71"/>
      <c r="E50" s="71"/>
      <c r="F50" s="72"/>
      <c r="G50" s="72"/>
      <c r="H50" s="73"/>
      <c r="I50" s="73"/>
      <c r="J50" s="73"/>
      <c r="K50" s="73"/>
      <c r="L50" s="73"/>
      <c r="M50" s="73"/>
      <c r="N50" s="72"/>
      <c r="O50" s="72"/>
      <c r="P50" s="72"/>
      <c r="Q50" s="74"/>
    </row>
    <row r="51" spans="1:26" ht="12.6" x14ac:dyDescent="0.3">
      <c r="A51" s="156" t="s">
        <v>138</v>
      </c>
      <c r="B51" s="157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9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62371313.039999999</v>
      </c>
      <c r="E52" s="40">
        <f>C52*K52</f>
        <v>0</v>
      </c>
      <c r="F52" s="41" t="s">
        <v>108</v>
      </c>
      <c r="G52" s="75">
        <v>4</v>
      </c>
      <c r="H52" s="43">
        <v>4.22</v>
      </c>
      <c r="I52" s="43">
        <v>4.22</v>
      </c>
      <c r="J52" s="44">
        <f t="shared" ref="J52:J65" si="18">I52</f>
        <v>4.22</v>
      </c>
      <c r="K52" s="40">
        <v>0</v>
      </c>
      <c r="L52" s="46">
        <f t="shared" ref="L52:L65" si="19">I52-H52</f>
        <v>0</v>
      </c>
      <c r="M52" s="46">
        <f t="shared" ref="M52:M65" si="20">((I52-H52)/H52)*100</f>
        <v>0</v>
      </c>
      <c r="N52" s="47">
        <v>0</v>
      </c>
      <c r="O52" s="38">
        <v>0</v>
      </c>
      <c r="P52" s="48">
        <v>0</v>
      </c>
      <c r="Q52" s="49">
        <f t="shared" ref="Q52:Q65" si="21">J52/G52-1</f>
        <v>5.4999999999999938E-2</v>
      </c>
      <c r="R52" s="55"/>
      <c r="X52" s="55"/>
      <c r="Z52" s="55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75913183.63440001</v>
      </c>
      <c r="E53" s="40">
        <v>0</v>
      </c>
      <c r="F53" s="41" t="s">
        <v>108</v>
      </c>
      <c r="G53" s="75">
        <v>0.1</v>
      </c>
      <c r="H53" s="43">
        <v>0.1348</v>
      </c>
      <c r="I53" s="43">
        <v>0.1368</v>
      </c>
      <c r="J53" s="44">
        <f t="shared" si="18"/>
        <v>0.1368</v>
      </c>
      <c r="K53" s="40">
        <v>0</v>
      </c>
      <c r="L53" s="46">
        <f t="shared" si="19"/>
        <v>2.0000000000000018E-3</v>
      </c>
      <c r="M53" s="46">
        <f t="shared" si="20"/>
        <v>1.4836795252225532</v>
      </c>
      <c r="N53" s="47">
        <v>20941</v>
      </c>
      <c r="O53" s="38">
        <v>2865.35</v>
      </c>
      <c r="P53" s="41">
        <f t="shared" ref="P53:P65" si="22">(R53)/J53</f>
        <v>0</v>
      </c>
      <c r="Q53" s="49">
        <f t="shared" si="21"/>
        <v>0.36799999999999988</v>
      </c>
      <c r="X53" s="55"/>
      <c r="Z53" s="55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72369057.318800002</v>
      </c>
      <c r="E54" s="40">
        <v>0</v>
      </c>
      <c r="F54" s="41" t="s">
        <v>42</v>
      </c>
      <c r="G54" s="75">
        <v>39.9</v>
      </c>
      <c r="H54" s="43">
        <v>68.95</v>
      </c>
      <c r="I54" s="43">
        <v>68.952200000000005</v>
      </c>
      <c r="J54" s="44">
        <f t="shared" si="18"/>
        <v>68.952200000000005</v>
      </c>
      <c r="K54" s="40">
        <v>0</v>
      </c>
      <c r="L54" s="46">
        <f t="shared" si="19"/>
        <v>2.2000000000019782E-3</v>
      </c>
      <c r="M54" s="46">
        <f t="shared" si="20"/>
        <v>3.1907179115329629E-3</v>
      </c>
      <c r="N54" s="47">
        <v>45</v>
      </c>
      <c r="O54" s="38">
        <v>3102.85</v>
      </c>
      <c r="P54" s="41">
        <f t="shared" si="22"/>
        <v>0</v>
      </c>
      <c r="Q54" s="49">
        <f t="shared" si="21"/>
        <v>0.72812531328320818</v>
      </c>
      <c r="R54" s="55"/>
      <c r="X54" s="55"/>
      <c r="Z54" s="55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18292228.289999999</v>
      </c>
      <c r="E55" s="40">
        <v>0</v>
      </c>
      <c r="F55" s="41" t="s">
        <v>35</v>
      </c>
      <c r="G55" s="75">
        <v>2.3E-2</v>
      </c>
      <c r="H55" s="43">
        <v>0.03</v>
      </c>
      <c r="I55" s="43">
        <v>0.03</v>
      </c>
      <c r="J55" s="44">
        <f t="shared" si="18"/>
        <v>0.03</v>
      </c>
      <c r="K55" s="40">
        <v>0</v>
      </c>
      <c r="L55" s="46">
        <f t="shared" si="19"/>
        <v>0</v>
      </c>
      <c r="M55" s="46">
        <f t="shared" si="20"/>
        <v>0</v>
      </c>
      <c r="N55" s="47">
        <v>80</v>
      </c>
      <c r="O55" s="38">
        <v>2.4</v>
      </c>
      <c r="P55" s="41">
        <f t="shared" si="22"/>
        <v>0</v>
      </c>
      <c r="Q55" s="49">
        <f t="shared" si="21"/>
        <v>0.30434782608695654</v>
      </c>
      <c r="X55" s="55"/>
      <c r="Z55" s="55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221173194.6699</v>
      </c>
      <c r="E56" s="40">
        <v>0</v>
      </c>
      <c r="F56" s="41" t="s">
        <v>53</v>
      </c>
      <c r="G56" s="75">
        <v>9.0200000000000002E-2</v>
      </c>
      <c r="H56" s="43">
        <v>0.1</v>
      </c>
      <c r="I56" s="43">
        <v>0.1023</v>
      </c>
      <c r="J56" s="44">
        <f t="shared" si="18"/>
        <v>0.1023</v>
      </c>
      <c r="K56" s="40">
        <v>0</v>
      </c>
      <c r="L56" s="46">
        <f t="shared" si="19"/>
        <v>2.2999999999999965E-3</v>
      </c>
      <c r="M56" s="76">
        <f t="shared" si="20"/>
        <v>2.2999999999999963</v>
      </c>
      <c r="N56" s="47">
        <v>306084</v>
      </c>
      <c r="O56" s="38">
        <v>31313.57</v>
      </c>
      <c r="P56" s="41">
        <f t="shared" si="22"/>
        <v>0</v>
      </c>
      <c r="Q56" s="49">
        <f t="shared" si="21"/>
        <v>0.13414634146341453</v>
      </c>
      <c r="R56" s="55"/>
      <c r="X56" s="55"/>
      <c r="Z56" s="55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770820830.63999999</v>
      </c>
      <c r="E57" s="40">
        <v>0</v>
      </c>
      <c r="F57" s="41" t="s">
        <v>35</v>
      </c>
      <c r="G57" s="75">
        <v>0.95750000000000002</v>
      </c>
      <c r="H57" s="43">
        <v>1.3154999999999999</v>
      </c>
      <c r="I57" s="43">
        <v>1.3384</v>
      </c>
      <c r="J57" s="44">
        <f t="shared" si="18"/>
        <v>1.3384</v>
      </c>
      <c r="K57" s="40">
        <v>0</v>
      </c>
      <c r="L57" s="46">
        <f t="shared" si="19"/>
        <v>2.2900000000000142E-2</v>
      </c>
      <c r="M57" s="46">
        <f t="shared" si="20"/>
        <v>1.740782972253907</v>
      </c>
      <c r="N57" s="47">
        <v>897</v>
      </c>
      <c r="O57" s="38">
        <v>1200.54</v>
      </c>
      <c r="P57" s="41">
        <f t="shared" si="22"/>
        <v>0</v>
      </c>
      <c r="Q57" s="49">
        <f t="shared" si="21"/>
        <v>0.39780678851174933</v>
      </c>
      <c r="R57" s="55"/>
      <c r="X57" s="55"/>
      <c r="Z57" s="55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24992491.3884</v>
      </c>
      <c r="E58" s="40">
        <v>0</v>
      </c>
      <c r="F58" s="41" t="s">
        <v>35</v>
      </c>
      <c r="G58" s="75">
        <v>0.1595</v>
      </c>
      <c r="H58" s="43">
        <v>0.153</v>
      </c>
      <c r="I58" s="43">
        <v>0.1522</v>
      </c>
      <c r="J58" s="44">
        <f t="shared" si="18"/>
        <v>0.1522</v>
      </c>
      <c r="K58" s="40">
        <v>0</v>
      </c>
      <c r="L58" s="46">
        <f t="shared" si="19"/>
        <v>-7.9999999999999516E-4</v>
      </c>
      <c r="M58" s="46">
        <f t="shared" si="20"/>
        <v>-0.52287581699346086</v>
      </c>
      <c r="N58" s="47">
        <v>1320</v>
      </c>
      <c r="O58" s="38">
        <v>200.9</v>
      </c>
      <c r="P58" s="41">
        <f t="shared" si="22"/>
        <v>0</v>
      </c>
      <c r="Q58" s="49">
        <f t="shared" si="21"/>
        <v>-4.5768025078369856E-2</v>
      </c>
      <c r="X58" s="55"/>
      <c r="Z58" s="55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7411474.7000000002</v>
      </c>
      <c r="E59" s="40">
        <v>0</v>
      </c>
      <c r="F59" s="41" t="s">
        <v>108</v>
      </c>
      <c r="G59" s="75">
        <v>1.6799999999999999E-2</v>
      </c>
      <c r="H59" s="43">
        <v>1.8800000000000001E-2</v>
      </c>
      <c r="I59" s="43">
        <v>0.02</v>
      </c>
      <c r="J59" s="44">
        <f t="shared" si="18"/>
        <v>0.02</v>
      </c>
      <c r="K59" s="40">
        <v>0</v>
      </c>
      <c r="L59" s="46">
        <f t="shared" si="19"/>
        <v>1.1999999999999997E-3</v>
      </c>
      <c r="M59" s="76">
        <f t="shared" si="20"/>
        <v>6.3829787234042534</v>
      </c>
      <c r="N59" s="47">
        <v>13904</v>
      </c>
      <c r="O59" s="38">
        <v>278.08</v>
      </c>
      <c r="P59" s="41">
        <f t="shared" si="22"/>
        <v>0</v>
      </c>
      <c r="Q59" s="49">
        <f t="shared" si="21"/>
        <v>0.19047619047619047</v>
      </c>
      <c r="X59" s="55"/>
      <c r="Z59" s="55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5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9">
        <f t="shared" si="21"/>
        <v>-0.33333333333333337</v>
      </c>
      <c r="X60" s="55"/>
      <c r="Z60" s="55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946223571.00530005</v>
      </c>
      <c r="E61" s="40">
        <v>0</v>
      </c>
      <c r="F61" s="41" t="s">
        <v>108</v>
      </c>
      <c r="G61" s="75">
        <v>0.59499999999999997</v>
      </c>
      <c r="H61" s="43">
        <v>1.1816</v>
      </c>
      <c r="I61" s="43">
        <v>1.1753</v>
      </c>
      <c r="J61" s="44">
        <f t="shared" si="18"/>
        <v>1.1753</v>
      </c>
      <c r="K61" s="40">
        <v>0</v>
      </c>
      <c r="L61" s="46">
        <f t="shared" si="19"/>
        <v>-6.2999999999999723E-3</v>
      </c>
      <c r="M61" s="46">
        <f t="shared" si="20"/>
        <v>-0.53317535545023464</v>
      </c>
      <c r="N61" s="47">
        <v>88</v>
      </c>
      <c r="O61" s="38">
        <v>103.42</v>
      </c>
      <c r="P61" s="41">
        <f t="shared" si="22"/>
        <v>0</v>
      </c>
      <c r="Q61" s="49">
        <f t="shared" si="21"/>
        <v>0.97529411764705887</v>
      </c>
      <c r="R61" s="55"/>
      <c r="X61" s="55"/>
      <c r="Z61" s="55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73000065.040000007</v>
      </c>
      <c r="E62" s="40">
        <v>0</v>
      </c>
      <c r="F62" s="41" t="s">
        <v>35</v>
      </c>
      <c r="G62" s="75">
        <v>0.22600000000000001</v>
      </c>
      <c r="H62" s="43">
        <v>0.27989999999999998</v>
      </c>
      <c r="I62" s="43">
        <v>0.28000000000000003</v>
      </c>
      <c r="J62" s="44">
        <f t="shared" si="18"/>
        <v>0.28000000000000003</v>
      </c>
      <c r="K62" s="40">
        <v>0</v>
      </c>
      <c r="L62" s="46">
        <f t="shared" si="19"/>
        <v>1.000000000000445E-4</v>
      </c>
      <c r="M62" s="46">
        <f t="shared" si="20"/>
        <v>3.572704537336352E-2</v>
      </c>
      <c r="N62" s="47">
        <v>2219</v>
      </c>
      <c r="O62" s="38">
        <v>621.32000000000005</v>
      </c>
      <c r="P62" s="41">
        <f t="shared" si="22"/>
        <v>0</v>
      </c>
      <c r="Q62" s="49">
        <f t="shared" si="21"/>
        <v>0.23893805309734528</v>
      </c>
      <c r="X62" s="55"/>
      <c r="Z62" s="55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411856575.68880004</v>
      </c>
      <c r="E63" s="40">
        <v>0</v>
      </c>
      <c r="F63" s="41" t="s">
        <v>35</v>
      </c>
      <c r="G63" s="75">
        <v>0.49440000000000001</v>
      </c>
      <c r="H63" s="43">
        <v>0.73080000000000001</v>
      </c>
      <c r="I63" s="43">
        <v>0.73260000000000003</v>
      </c>
      <c r="J63" s="44">
        <f t="shared" si="18"/>
        <v>0.73260000000000003</v>
      </c>
      <c r="K63" s="40">
        <v>0</v>
      </c>
      <c r="L63" s="46">
        <f t="shared" si="19"/>
        <v>1.8000000000000238E-3</v>
      </c>
      <c r="M63" s="46">
        <f t="shared" si="20"/>
        <v>0.24630541871921507</v>
      </c>
      <c r="N63" s="47">
        <v>13812</v>
      </c>
      <c r="O63" s="38">
        <v>10119</v>
      </c>
      <c r="P63" s="41">
        <f t="shared" si="22"/>
        <v>0</v>
      </c>
      <c r="Q63" s="49">
        <f t="shared" si="21"/>
        <v>0.48179611650485432</v>
      </c>
      <c r="R63" s="55"/>
      <c r="X63" s="55"/>
      <c r="Z63" s="55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5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41">
        <f t="shared" si="22"/>
        <v>0</v>
      </c>
      <c r="Q64" s="49">
        <f t="shared" si="21"/>
        <v>0</v>
      </c>
      <c r="X64" s="55"/>
      <c r="Z64" s="55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17366856.494399998</v>
      </c>
      <c r="E65" s="40">
        <v>0</v>
      </c>
      <c r="F65" s="41" t="s">
        <v>49</v>
      </c>
      <c r="G65" s="75">
        <v>4.2999999999999997E-2</v>
      </c>
      <c r="H65" s="43">
        <v>5.04E-2</v>
      </c>
      <c r="I65" s="43">
        <v>5.04E-2</v>
      </c>
      <c r="J65" s="44">
        <f t="shared" si="18"/>
        <v>5.04E-2</v>
      </c>
      <c r="K65" s="40">
        <v>0</v>
      </c>
      <c r="L65" s="46">
        <f t="shared" si="19"/>
        <v>0</v>
      </c>
      <c r="M65" s="46">
        <f t="shared" si="20"/>
        <v>0</v>
      </c>
      <c r="N65" s="47">
        <v>0</v>
      </c>
      <c r="O65" s="38">
        <v>0</v>
      </c>
      <c r="P65" s="41">
        <f t="shared" si="22"/>
        <v>0</v>
      </c>
      <c r="Q65" s="49">
        <f t="shared" si="21"/>
        <v>0.17209302325581399</v>
      </c>
      <c r="X65" s="55"/>
      <c r="Z65" s="55"/>
    </row>
    <row r="66" spans="1:249" ht="13.2" x14ac:dyDescent="0.35">
      <c r="A66" s="77"/>
      <c r="B66" s="37" t="s">
        <v>96</v>
      </c>
      <c r="C66" s="41"/>
      <c r="D66" s="78"/>
      <c r="E66" s="78"/>
      <c r="F66" s="41"/>
      <c r="G66" s="41"/>
      <c r="H66" s="43"/>
      <c r="I66" s="43"/>
      <c r="J66" s="43"/>
      <c r="K66" s="43"/>
      <c r="L66" s="46"/>
      <c r="M66" s="79"/>
      <c r="N66" s="66">
        <f>SUM(N52:N65)</f>
        <v>359390</v>
      </c>
      <c r="O66" s="67">
        <f>SUM(O52:O65)</f>
        <v>49807.43</v>
      </c>
      <c r="P66" s="80"/>
      <c r="Q66" s="68"/>
    </row>
    <row r="67" spans="1:249" ht="12.6" hidden="1" x14ac:dyDescent="0.3">
      <c r="A67" s="144" t="s">
        <v>165</v>
      </c>
      <c r="B67" s="145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7"/>
    </row>
    <row r="68" spans="1:249" ht="12.6" hidden="1" thickBot="1" x14ac:dyDescent="0.3">
      <c r="A68" s="81" t="s">
        <v>166</v>
      </c>
      <c r="B68" s="82" t="s">
        <v>167</v>
      </c>
      <c r="C68" s="83">
        <v>20000</v>
      </c>
      <c r="D68" s="84">
        <f>C68*J68</f>
        <v>0</v>
      </c>
      <c r="E68" s="84"/>
      <c r="F68" s="83" t="s">
        <v>168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169</v>
      </c>
      <c r="O68" s="88" t="s">
        <v>169</v>
      </c>
      <c r="P68" s="88"/>
      <c r="Q68" s="89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79"/>
      <c r="N69" s="90"/>
      <c r="O69" s="90"/>
      <c r="P69" s="90"/>
      <c r="Q69" s="68"/>
    </row>
    <row r="70" spans="1:249" ht="12.6" x14ac:dyDescent="0.3">
      <c r="A70" s="144" t="s">
        <v>170</v>
      </c>
      <c r="B70" s="145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</row>
    <row r="71" spans="1:249" x14ac:dyDescent="0.25">
      <c r="A71" s="91" t="s">
        <v>171</v>
      </c>
      <c r="B71" s="92" t="s">
        <v>172</v>
      </c>
      <c r="C71" s="93">
        <v>139300587</v>
      </c>
      <c r="D71" s="94">
        <f>C71*J71</f>
        <v>50148211.32</v>
      </c>
      <c r="E71" s="95">
        <f>C71*K71</f>
        <v>50148211.32</v>
      </c>
      <c r="F71" s="93" t="s">
        <v>173</v>
      </c>
      <c r="G71" s="93">
        <v>0.24</v>
      </c>
      <c r="H71" s="96">
        <v>0.36</v>
      </c>
      <c r="I71" s="96">
        <v>0.36</v>
      </c>
      <c r="J71" s="97">
        <f>I71</f>
        <v>0.36</v>
      </c>
      <c r="K71" s="97">
        <f>J71</f>
        <v>0.36</v>
      </c>
      <c r="L71" s="98">
        <f>I71-H71</f>
        <v>0</v>
      </c>
      <c r="M71" s="98">
        <f>((I71-H71)/H71)*100</f>
        <v>0</v>
      </c>
      <c r="N71" s="99">
        <v>0</v>
      </c>
      <c r="O71" s="100">
        <v>0</v>
      </c>
      <c r="P71" s="101">
        <v>0</v>
      </c>
      <c r="Q71" s="102">
        <f>J71/G71-1</f>
        <v>0.5</v>
      </c>
      <c r="Z71" s="55"/>
    </row>
    <row r="72" spans="1:249" x14ac:dyDescent="0.25">
      <c r="A72" s="91" t="s">
        <v>174</v>
      </c>
      <c r="B72" s="92" t="s">
        <v>175</v>
      </c>
      <c r="C72" s="93">
        <v>471351750</v>
      </c>
      <c r="D72" s="94">
        <f>C72*J72</f>
        <v>68298868.575000003</v>
      </c>
      <c r="E72" s="95">
        <f>C72*K72</f>
        <v>68298868.575000003</v>
      </c>
      <c r="F72" s="93" t="s">
        <v>173</v>
      </c>
      <c r="G72" s="93">
        <v>0.1</v>
      </c>
      <c r="H72" s="96">
        <v>0.1454</v>
      </c>
      <c r="I72" s="96">
        <v>0.1449</v>
      </c>
      <c r="J72" s="97">
        <f>I72</f>
        <v>0.1449</v>
      </c>
      <c r="K72" s="97">
        <f>J72</f>
        <v>0.1449</v>
      </c>
      <c r="L72" s="98">
        <f>I72-H72</f>
        <v>-5.0000000000000044E-4</v>
      </c>
      <c r="M72" s="98">
        <f>((I72-H72)/H72)*100</f>
        <v>-0.34387895460797829</v>
      </c>
      <c r="N72" s="47">
        <v>7581</v>
      </c>
      <c r="O72" s="100">
        <v>1098.6199999999999</v>
      </c>
      <c r="P72" s="101">
        <v>0</v>
      </c>
      <c r="Q72" s="102">
        <f>J72/G72-1</f>
        <v>0.44899999999999984</v>
      </c>
      <c r="Z72" s="55"/>
    </row>
    <row r="73" spans="1:249" ht="13.2" x14ac:dyDescent="0.35">
      <c r="A73" s="91"/>
      <c r="B73" s="103" t="s">
        <v>96</v>
      </c>
      <c r="C73" s="104"/>
      <c r="D73" s="105"/>
      <c r="E73" s="105"/>
      <c r="F73" s="104"/>
      <c r="G73" s="104"/>
      <c r="H73" s="106"/>
      <c r="I73" s="106"/>
      <c r="J73" s="106"/>
      <c r="K73" s="106"/>
      <c r="L73" s="98"/>
      <c r="M73" s="107"/>
      <c r="N73" s="66">
        <f>SUM(N71:N72)</f>
        <v>7581</v>
      </c>
      <c r="O73" s="67">
        <f>SUM(O71:O72)</f>
        <v>1098.6199999999999</v>
      </c>
      <c r="P73" s="108"/>
      <c r="Q73" s="98"/>
    </row>
    <row r="74" spans="1:249" ht="12.6" x14ac:dyDescent="0.3">
      <c r="A74" s="156" t="s">
        <v>176</v>
      </c>
      <c r="B74" s="157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9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134332.37820371188</v>
      </c>
      <c r="E75" s="40">
        <f>C75*K75</f>
        <v>113491.1575</v>
      </c>
      <c r="F75" s="41" t="s">
        <v>155</v>
      </c>
      <c r="G75" s="75">
        <v>0.105</v>
      </c>
      <c r="H75" s="43">
        <v>7.4999999999999997E-2</v>
      </c>
      <c r="I75" s="43">
        <v>7.4999999999999997E-2</v>
      </c>
      <c r="J75" s="44">
        <f>I75/$J$5</f>
        <v>2.9590934915725013E-3</v>
      </c>
      <c r="K75" s="45">
        <f>I75/$K$4</f>
        <v>2.5000000000000001E-3</v>
      </c>
      <c r="L75" s="46">
        <f>I75-H75</f>
        <v>0</v>
      </c>
      <c r="M75" s="109">
        <f>((I75-H75)/H75)*100</f>
        <v>0</v>
      </c>
      <c r="N75" s="38">
        <v>0</v>
      </c>
      <c r="O75" s="38">
        <v>0</v>
      </c>
      <c r="P75" s="41">
        <v>0</v>
      </c>
      <c r="Q75" s="49">
        <f>I75/G75-1</f>
        <v>-0.2857142857142857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279355.26103150059</v>
      </c>
      <c r="E76" s="40">
        <f>C76*K76</f>
        <v>236014.22346666668</v>
      </c>
      <c r="F76" s="41" t="s">
        <v>155</v>
      </c>
      <c r="G76" s="75">
        <v>4.2500000000000003E-2</v>
      </c>
      <c r="H76" s="43">
        <v>5.2000000000000005E-2</v>
      </c>
      <c r="I76" s="43">
        <v>5.2000000000000005E-2</v>
      </c>
      <c r="J76" s="44">
        <f>I76/$J$5</f>
        <v>2.0516381541569348E-3</v>
      </c>
      <c r="K76" s="45">
        <f>I76/$K$4</f>
        <v>1.7333333333333335E-3</v>
      </c>
      <c r="L76" s="46">
        <f>I76-H76</f>
        <v>0</v>
      </c>
      <c r="M76" s="109">
        <f>((I76-H76)/H76)*100</f>
        <v>0</v>
      </c>
      <c r="N76" s="38">
        <v>0</v>
      </c>
      <c r="O76" s="38">
        <v>0</v>
      </c>
      <c r="P76" s="41">
        <v>0</v>
      </c>
      <c r="Q76" s="49">
        <f>I76/G76-1</f>
        <v>0.22352941176470598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1365492.1564295182</v>
      </c>
      <c r="E77" s="40">
        <f>C77*K77</f>
        <v>1153640.6000000001</v>
      </c>
      <c r="F77" s="41" t="s">
        <v>155</v>
      </c>
      <c r="G77" s="75">
        <v>6.0499999999999998E-2</v>
      </c>
      <c r="H77" s="43">
        <v>7.0000000000000007E-2</v>
      </c>
      <c r="I77" s="43">
        <v>7.0000000000000007E-2</v>
      </c>
      <c r="J77" s="44">
        <f>I77/$J$5</f>
        <v>2.761820592134335E-3</v>
      </c>
      <c r="K77" s="45">
        <f>I77/$K$4</f>
        <v>2.3333333333333335E-3</v>
      </c>
      <c r="L77" s="46">
        <f>I77-H77</f>
        <v>0</v>
      </c>
      <c r="M77" s="109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0.1570247933884299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2922875.9863644969</v>
      </c>
      <c r="E78" s="40">
        <f>C78*K78</f>
        <v>2469401.52</v>
      </c>
      <c r="F78" s="41" t="s">
        <v>155</v>
      </c>
      <c r="G78" s="75">
        <v>1.85</v>
      </c>
      <c r="H78" s="43">
        <v>1.8</v>
      </c>
      <c r="I78" s="43">
        <v>1.8</v>
      </c>
      <c r="J78" s="44">
        <f>I78/$J$5</f>
        <v>7.1018243797740035E-2</v>
      </c>
      <c r="K78" s="45">
        <f>I78/$K$4</f>
        <v>6.0000000000000005E-2</v>
      </c>
      <c r="L78" s="46">
        <f>I78-H78</f>
        <v>0</v>
      </c>
      <c r="M78" s="109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-2.7027027027027084E-2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6">
        <f>SUM(N75:N78)</f>
        <v>0</v>
      </c>
      <c r="O79" s="67">
        <f>SUM(O75:O78)</f>
        <v>0</v>
      </c>
      <c r="P79" s="80"/>
      <c r="Q79" s="68"/>
      <c r="EA79" s="110"/>
      <c r="EB79" s="110"/>
      <c r="EC79" s="111"/>
      <c r="ED79" s="112"/>
      <c r="EE79" s="112"/>
      <c r="EF79" s="113"/>
      <c r="EG79" s="113"/>
      <c r="EH79" s="114"/>
      <c r="EI79" s="114"/>
      <c r="EJ79" s="115"/>
      <c r="EK79" s="115"/>
      <c r="EL79" s="113"/>
      <c r="EM79" s="116"/>
      <c r="EN79" s="117"/>
      <c r="EO79" s="111"/>
      <c r="EP79" s="110"/>
      <c r="EQ79" s="110"/>
      <c r="ER79" s="111"/>
      <c r="ES79" s="112"/>
      <c r="ET79" s="112"/>
      <c r="EU79" s="113"/>
      <c r="EV79" s="113"/>
      <c r="EW79" s="114"/>
      <c r="EX79" s="114"/>
      <c r="EY79" s="115"/>
      <c r="EZ79" s="115"/>
      <c r="FA79" s="113"/>
      <c r="FB79" s="116"/>
      <c r="FC79" s="117"/>
      <c r="FD79" s="111"/>
      <c r="FE79" s="110"/>
      <c r="FF79" s="110"/>
      <c r="FG79" s="111"/>
      <c r="FH79" s="112"/>
      <c r="FI79" s="112"/>
      <c r="FJ79" s="113"/>
      <c r="FK79" s="113"/>
      <c r="FL79" s="114"/>
      <c r="FM79" s="114"/>
      <c r="FN79" s="115"/>
      <c r="FO79" s="115"/>
      <c r="FP79" s="113"/>
      <c r="FQ79" s="116"/>
      <c r="FR79" s="117"/>
      <c r="FS79" s="111"/>
      <c r="FT79" s="110"/>
      <c r="FU79" s="110"/>
      <c r="FV79" s="111"/>
      <c r="FW79" s="112"/>
      <c r="FX79" s="112"/>
      <c r="FY79" s="113"/>
      <c r="FZ79" s="113"/>
      <c r="GA79" s="114"/>
      <c r="GB79" s="114"/>
      <c r="GC79" s="115"/>
      <c r="GD79" s="115"/>
      <c r="GE79" s="113"/>
      <c r="GF79" s="116"/>
      <c r="GG79" s="117"/>
      <c r="GH79" s="111"/>
      <c r="GI79" s="110"/>
      <c r="GJ79" s="110"/>
      <c r="GK79" s="111"/>
      <c r="GL79" s="112"/>
      <c r="GM79" s="112"/>
      <c r="GN79" s="113"/>
      <c r="GO79" s="113"/>
      <c r="GP79" s="114"/>
      <c r="GQ79" s="114"/>
      <c r="GR79" s="115"/>
      <c r="GS79" s="115"/>
      <c r="GT79" s="113"/>
      <c r="GU79" s="116"/>
      <c r="GV79" s="117"/>
      <c r="GW79" s="111"/>
      <c r="GX79" s="110"/>
      <c r="GY79" s="110"/>
      <c r="GZ79" s="111"/>
      <c r="HA79" s="112"/>
      <c r="HB79" s="112"/>
      <c r="HC79" s="113"/>
      <c r="HD79" s="113"/>
      <c r="HE79" s="114"/>
      <c r="HF79" s="114"/>
      <c r="HG79" s="115"/>
      <c r="HH79" s="115"/>
      <c r="HI79" s="113"/>
      <c r="HJ79" s="116"/>
      <c r="HK79" s="117"/>
      <c r="HL79" s="111"/>
      <c r="HM79" s="110"/>
      <c r="HN79" s="110"/>
      <c r="HO79" s="111"/>
      <c r="HP79" s="112"/>
      <c r="HQ79" s="112"/>
      <c r="HR79" s="113"/>
      <c r="HS79" s="113"/>
      <c r="HT79" s="114"/>
      <c r="HU79" s="114"/>
      <c r="HV79" s="115"/>
      <c r="HW79" s="115"/>
      <c r="HX79" s="113"/>
      <c r="HY79" s="116"/>
      <c r="HZ79" s="117"/>
      <c r="IA79" s="111"/>
      <c r="IB79" s="110"/>
      <c r="IC79" s="110"/>
      <c r="ID79" s="111"/>
      <c r="IE79" s="112"/>
      <c r="IF79" s="112"/>
      <c r="IG79" s="113"/>
      <c r="IH79" s="113"/>
      <c r="II79" s="114"/>
      <c r="IJ79" s="114"/>
      <c r="IK79" s="115"/>
      <c r="IL79" s="115"/>
      <c r="IM79" s="113"/>
      <c r="IN79" s="116"/>
      <c r="IO79" s="117"/>
    </row>
    <row r="80" spans="1:249" ht="13.2" thickTop="1" x14ac:dyDescent="0.3">
      <c r="A80" s="144" t="s">
        <v>185</v>
      </c>
      <c r="B80" s="145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7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30662851.731266964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8.3249163562906375E-2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18">
        <v>0</v>
      </c>
      <c r="O81" s="38">
        <v>0</v>
      </c>
      <c r="P81" s="48">
        <f>(R81)/J81</f>
        <v>0</v>
      </c>
      <c r="Q81" s="49">
        <f>I81/G81-1</f>
        <v>0.62307692307692286</v>
      </c>
      <c r="R81" s="55">
        <v>0</v>
      </c>
    </row>
    <row r="82" spans="1:44" s="120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76232218.785903677</v>
      </c>
      <c r="E82" s="40">
        <f>C82*K82</f>
        <v>64405044.148666665</v>
      </c>
      <c r="F82" s="41" t="s">
        <v>188</v>
      </c>
      <c r="G82" s="41">
        <v>1.44347</v>
      </c>
      <c r="H82" s="43">
        <v>1.0500289999999999</v>
      </c>
      <c r="I82" s="43">
        <v>1.0494520000000001</v>
      </c>
      <c r="J82" s="44">
        <f>I82/$J$5</f>
        <v>4.1405687772236605E-2</v>
      </c>
      <c r="K82" s="45">
        <f>I82/$K$4</f>
        <v>3.4981733333333334E-2</v>
      </c>
      <c r="L82" s="46">
        <f>I82-H82</f>
        <v>-5.7699999999982765E-4</v>
      </c>
      <c r="M82" s="46">
        <f>((I82-H82)/H82*100)</f>
        <v>-5.4950863261855408E-2</v>
      </c>
      <c r="N82" s="119">
        <v>333680</v>
      </c>
      <c r="O82" s="38">
        <v>350181.25649999996</v>
      </c>
      <c r="P82" s="48">
        <f>(R82)/J82</f>
        <v>0</v>
      </c>
      <c r="Q82" s="49">
        <f>I82/G82-1</f>
        <v>-0.27296583926233309</v>
      </c>
      <c r="R82" s="5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1"/>
      <c r="B83" s="82" t="s">
        <v>96</v>
      </c>
      <c r="C83" s="83"/>
      <c r="D83" s="121"/>
      <c r="E83" s="84"/>
      <c r="F83" s="83"/>
      <c r="G83" s="83"/>
      <c r="H83" s="85"/>
      <c r="I83" s="85"/>
      <c r="J83" s="85"/>
      <c r="K83" s="85"/>
      <c r="L83" s="86"/>
      <c r="M83" s="86"/>
      <c r="N83" s="66">
        <f>SUM(N81:N82)</f>
        <v>333680</v>
      </c>
      <c r="O83" s="67">
        <f>SUM(O81:O82)</f>
        <v>350181.25649999996</v>
      </c>
      <c r="P83" s="122"/>
      <c r="Q83" s="89"/>
    </row>
    <row r="84" spans="1:44" ht="12.6" thickBot="1" x14ac:dyDescent="0.3">
      <c r="A84" s="123"/>
      <c r="B84" s="124"/>
      <c r="C84" s="124"/>
      <c r="D84" s="124"/>
      <c r="E84" s="124"/>
      <c r="F84" s="125"/>
      <c r="G84" s="125"/>
      <c r="H84" s="64"/>
      <c r="M84" s="126"/>
      <c r="N84" s="126"/>
      <c r="O84" s="64"/>
      <c r="P84" s="64"/>
      <c r="Q84" s="127"/>
    </row>
    <row r="85" spans="1:44" ht="12.6" thickBot="1" x14ac:dyDescent="0.3">
      <c r="A85" s="148" t="s">
        <v>191</v>
      </c>
      <c r="B85" s="149"/>
      <c r="C85" s="149"/>
      <c r="D85" s="149"/>
      <c r="E85" s="148" t="s">
        <v>192</v>
      </c>
      <c r="F85" s="149"/>
      <c r="G85" s="149"/>
      <c r="H85" s="150"/>
      <c r="L85" s="151" t="s">
        <v>193</v>
      </c>
      <c r="M85" s="152"/>
      <c r="N85" s="153"/>
      <c r="O85" s="151" t="s">
        <v>194</v>
      </c>
      <c r="P85" s="152"/>
      <c r="Q85" s="153"/>
    </row>
    <row r="86" spans="1:44" x14ac:dyDescent="0.25">
      <c r="A86" s="36" t="s">
        <v>88</v>
      </c>
      <c r="B86" s="128">
        <v>1.84</v>
      </c>
      <c r="C86" s="128"/>
      <c r="D86" s="128">
        <v>15</v>
      </c>
      <c r="E86" s="36" t="s">
        <v>68</v>
      </c>
      <c r="F86" s="129">
        <v>2.7250529999999999</v>
      </c>
      <c r="G86" s="129"/>
      <c r="H86" s="130">
        <v>-14.842093750000007</v>
      </c>
      <c r="L86" s="36" t="s">
        <v>151</v>
      </c>
      <c r="M86" s="128">
        <v>0.02</v>
      </c>
      <c r="N86" s="131">
        <v>6.3829787234042534</v>
      </c>
      <c r="O86" s="36" t="s">
        <v>102</v>
      </c>
      <c r="P86" s="129">
        <v>1.1753</v>
      </c>
      <c r="Q86" s="130">
        <v>-0.53317535545023464</v>
      </c>
    </row>
    <row r="87" spans="1:44" x14ac:dyDescent="0.25">
      <c r="A87" s="36" t="s">
        <v>120</v>
      </c>
      <c r="B87" s="128">
        <v>4.05</v>
      </c>
      <c r="C87" s="128"/>
      <c r="D87" s="128">
        <v>12.728494395445422</v>
      </c>
      <c r="E87" s="36" t="s">
        <v>60</v>
      </c>
      <c r="F87" s="129">
        <v>3.8</v>
      </c>
      <c r="G87" s="129"/>
      <c r="H87" s="130">
        <v>-9.0843840467019294</v>
      </c>
      <c r="L87" s="36" t="s">
        <v>145</v>
      </c>
      <c r="M87" s="128">
        <v>0.1023</v>
      </c>
      <c r="N87" s="131">
        <v>2.2999999999999963</v>
      </c>
      <c r="O87" s="36" t="s">
        <v>149</v>
      </c>
      <c r="P87" s="129">
        <v>0.1522</v>
      </c>
      <c r="Q87" s="130">
        <v>-0.52287581699346086</v>
      </c>
    </row>
    <row r="88" spans="1:44" x14ac:dyDescent="0.25">
      <c r="A88" s="36" t="s">
        <v>113</v>
      </c>
      <c r="B88" s="128">
        <v>3.3500000000000002E-2</v>
      </c>
      <c r="C88" s="128"/>
      <c r="D88" s="128">
        <v>11.395604030193207</v>
      </c>
      <c r="E88" s="36" t="s">
        <v>51</v>
      </c>
      <c r="F88" s="129">
        <v>16.0441</v>
      </c>
      <c r="G88" s="129"/>
      <c r="H88" s="130">
        <v>-2.7630303030303014</v>
      </c>
      <c r="L88" s="36" t="s">
        <v>147</v>
      </c>
      <c r="M88" s="128">
        <v>1.3384</v>
      </c>
      <c r="N88" s="131">
        <v>1.740782972253907</v>
      </c>
      <c r="O88" s="36"/>
      <c r="P88" s="129"/>
      <c r="Q88" s="130"/>
    </row>
    <row r="89" spans="1:44" x14ac:dyDescent="0.25">
      <c r="A89" s="36" t="s">
        <v>124</v>
      </c>
      <c r="B89" s="128">
        <v>3</v>
      </c>
      <c r="C89" s="128"/>
      <c r="D89" s="128">
        <v>11.111111111111104</v>
      </c>
      <c r="E89" s="36" t="s">
        <v>136</v>
      </c>
      <c r="F89" s="129">
        <v>1.2</v>
      </c>
      <c r="G89" s="129"/>
      <c r="H89" s="130">
        <v>-2.0408163265306229</v>
      </c>
      <c r="L89" s="36" t="s">
        <v>140</v>
      </c>
      <c r="M89" s="128">
        <v>0.1368</v>
      </c>
      <c r="N89" s="131">
        <v>1.4836795252225532</v>
      </c>
      <c r="O89" s="36"/>
      <c r="P89" s="129"/>
      <c r="Q89" s="130"/>
    </row>
    <row r="90" spans="1:44" x14ac:dyDescent="0.25">
      <c r="A90" s="36" t="s">
        <v>100</v>
      </c>
      <c r="B90" s="128">
        <v>1.3246449999999999</v>
      </c>
      <c r="C90" s="128"/>
      <c r="D90" s="128">
        <v>5.1305555555555431</v>
      </c>
      <c r="E90" s="36" t="s">
        <v>110</v>
      </c>
      <c r="F90" s="129">
        <v>3.9758620000000002</v>
      </c>
      <c r="G90" s="129"/>
      <c r="H90" s="130">
        <v>-0.61587301587300325</v>
      </c>
      <c r="L90" s="36" t="s">
        <v>159</v>
      </c>
      <c r="M90" s="128">
        <v>0.73260000000000003</v>
      </c>
      <c r="N90" s="131">
        <v>0.24630541871921507</v>
      </c>
      <c r="O90" s="36"/>
      <c r="P90" s="129"/>
      <c r="Q90" s="132"/>
    </row>
    <row r="91" spans="1:44" ht="12.6" thickBot="1" x14ac:dyDescent="0.3">
      <c r="A91" s="133"/>
      <c r="B91" s="134"/>
      <c r="C91" s="134"/>
      <c r="D91" s="134"/>
      <c r="E91" s="133"/>
      <c r="F91" s="134"/>
      <c r="G91" s="134"/>
      <c r="H91" s="135"/>
      <c r="L91" s="133"/>
      <c r="M91" s="134"/>
      <c r="N91" s="135"/>
      <c r="O91" s="134"/>
      <c r="P91" s="134"/>
      <c r="Q91" s="135"/>
    </row>
    <row r="92" spans="1:44" x14ac:dyDescent="0.25">
      <c r="A92" s="136"/>
      <c r="B92" s="137"/>
      <c r="C92" s="137"/>
      <c r="D92" s="137"/>
      <c r="E92" s="126"/>
      <c r="F92" s="126"/>
      <c r="G92" s="126"/>
      <c r="H92" s="126"/>
      <c r="I92" s="126"/>
      <c r="J92" s="126"/>
      <c r="K92" s="126"/>
      <c r="L92" s="126"/>
      <c r="M92" s="137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6"/>
      <c r="B94" s="137"/>
      <c r="C94" s="137"/>
      <c r="D94" s="137"/>
      <c r="E94" s="137"/>
      <c r="F94" s="126"/>
      <c r="G94" s="126"/>
      <c r="H94" s="137"/>
      <c r="I94" s="126"/>
      <c r="J94" s="126"/>
      <c r="K94" s="126"/>
      <c r="L94" s="126"/>
      <c r="M94" s="137"/>
      <c r="Q94" s="16"/>
    </row>
    <row r="95" spans="1:44" ht="12.6" thickBot="1" x14ac:dyDescent="0.3">
      <c r="A95" s="138"/>
      <c r="B95" s="139"/>
      <c r="C95" s="139"/>
      <c r="D95" s="139"/>
      <c r="E95" s="139"/>
      <c r="F95" s="140"/>
      <c r="G95" s="140"/>
      <c r="H95" s="140"/>
      <c r="I95" s="141"/>
      <c r="J95" s="141"/>
      <c r="K95" s="141"/>
      <c r="L95" s="141"/>
      <c r="M95" s="141"/>
      <c r="N95" s="141"/>
      <c r="O95" s="141"/>
      <c r="P95" s="141"/>
      <c r="Q95" s="142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3"/>
      <c r="J99" s="143"/>
      <c r="K99" s="143"/>
      <c r="O99" s="143"/>
      <c r="P99" s="143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3"/>
      <c r="J102" s="143"/>
      <c r="K102" s="143"/>
      <c r="O102" s="143"/>
      <c r="P102" s="143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3"/>
      <c r="J104" s="143"/>
      <c r="K104" s="143"/>
      <c r="O104" s="143"/>
      <c r="P104" s="143"/>
    </row>
  </sheetData>
  <sheetProtection algorithmName="SHA-512" hashValue="FTCmRsa2ZvCdcILq6OulElVl/1gueBYBWqhz6Ms0ahswn+hFo8JO/iIHv/E9W8oufDJ5oFFkKDZoh1+QgdGpEg==" saltValue="ORPnQdgg/n7ctom6l5X3dQ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2026-03-30T13:31:20Z</dcterms:created>
  <dcterms:modified xsi:type="dcterms:W3CDTF">2026-03-30T13:32:59Z</dcterms:modified>
</cp:coreProperties>
</file>