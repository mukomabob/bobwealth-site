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22.06.26/"/>
    </mc:Choice>
  </mc:AlternateContent>
  <xr:revisionPtr revIDLastSave="0" documentId="8_{6452E732-1157-4CDB-80DF-3E0A33405E9A}" xr6:coauthVersionLast="47" xr6:coauthVersionMax="47" xr10:uidLastSave="{00000000-0000-0000-0000-000000000000}"/>
  <bookViews>
    <workbookView xWindow="-108" yWindow="-108" windowWidth="23256" windowHeight="12456" xr2:uid="{368E2012-5842-44A1-A92C-86ECFB35D543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D79" i="1" s="1"/>
  <c r="E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D77" i="1" s="1"/>
  <c r="E77" i="1"/>
  <c r="M74" i="1"/>
  <c r="L74" i="1"/>
  <c r="J74" i="1"/>
  <c r="K74" i="1" s="1"/>
  <c r="E74" i="1" s="1"/>
  <c r="D74" i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P63" i="1" s="1"/>
  <c r="D63" i="1"/>
  <c r="M62" i="1"/>
  <c r="L62" i="1"/>
  <c r="J62" i="1"/>
  <c r="D62" i="1" s="1"/>
  <c r="M61" i="1"/>
  <c r="L61" i="1"/>
  <c r="J61" i="1"/>
  <c r="P61" i="1" s="1"/>
  <c r="D61" i="1"/>
  <c r="M60" i="1"/>
  <c r="L60" i="1"/>
  <c r="J60" i="1"/>
  <c r="D60" i="1" s="1"/>
  <c r="M59" i="1"/>
  <c r="L59" i="1"/>
  <c r="J59" i="1"/>
  <c r="P59" i="1" s="1"/>
  <c r="D59" i="1"/>
  <c r="M58" i="1"/>
  <c r="L58" i="1"/>
  <c r="J58" i="1"/>
  <c r="D58" i="1" s="1"/>
  <c r="M57" i="1"/>
  <c r="L57" i="1"/>
  <c r="J57" i="1"/>
  <c r="P57" i="1" s="1"/>
  <c r="M56" i="1"/>
  <c r="L56" i="1"/>
  <c r="J56" i="1"/>
  <c r="D56" i="1" s="1"/>
  <c r="M55" i="1"/>
  <c r="L55" i="1"/>
  <c r="J55" i="1"/>
  <c r="P55" i="1" s="1"/>
  <c r="M54" i="1"/>
  <c r="L54" i="1"/>
  <c r="J54" i="1"/>
  <c r="D54" i="1" s="1"/>
  <c r="M53" i="1"/>
  <c r="L53" i="1"/>
  <c r="J53" i="1"/>
  <c r="Q53" i="1" s="1"/>
  <c r="M52" i="1"/>
  <c r="L52" i="1"/>
  <c r="J52" i="1"/>
  <c r="P52" i="1" s="1"/>
  <c r="M51" i="1"/>
  <c r="L51" i="1"/>
  <c r="J51" i="1"/>
  <c r="D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D33" i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P21" i="1" l="1"/>
  <c r="P41" i="1"/>
  <c r="Q57" i="1"/>
  <c r="D53" i="1"/>
  <c r="D57" i="1"/>
  <c r="D12" i="1"/>
  <c r="D43" i="1"/>
  <c r="Q74" i="1"/>
  <c r="P36" i="1"/>
  <c r="Q63" i="1"/>
  <c r="D71" i="1"/>
  <c r="P74" i="1"/>
  <c r="P51" i="1"/>
  <c r="P10" i="1"/>
  <c r="P27" i="1"/>
  <c r="D37" i="1"/>
  <c r="D39" i="1"/>
  <c r="Q51" i="1"/>
  <c r="D9" i="1"/>
  <c r="D15" i="1"/>
  <c r="D17" i="1"/>
  <c r="D52" i="1"/>
  <c r="D55" i="1"/>
  <c r="D11" i="1"/>
  <c r="D28" i="1"/>
  <c r="P16" i="1"/>
  <c r="P45" i="1"/>
  <c r="P24" i="1"/>
  <c r="Q55" i="1"/>
  <c r="Q61" i="1"/>
  <c r="P71" i="1"/>
  <c r="D25" i="1"/>
  <c r="Q71" i="1"/>
  <c r="P13" i="1"/>
  <c r="D34" i="1"/>
  <c r="P44" i="1"/>
  <c r="D14" i="1"/>
  <c r="Q59" i="1"/>
  <c r="D22" i="1"/>
  <c r="K70" i="1"/>
  <c r="E70" i="1" s="1"/>
  <c r="P54" i="1"/>
  <c r="P56" i="1"/>
  <c r="P58" i="1"/>
  <c r="P60" i="1"/>
  <c r="P62" i="1"/>
  <c r="P64" i="1"/>
  <c r="P20" i="1"/>
  <c r="P23" i="1"/>
  <c r="P32" i="1"/>
  <c r="Q52" i="1"/>
  <c r="Q70" i="1"/>
  <c r="P26" i="1"/>
  <c r="P29" i="1"/>
  <c r="P35" i="1"/>
  <c r="Q54" i="1"/>
  <c r="Q56" i="1"/>
  <c r="Q58" i="1"/>
  <c r="Q60" i="1"/>
  <c r="Q62" i="1"/>
  <c r="Q64" i="1"/>
  <c r="P70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<sst xmlns="http://schemas.openxmlformats.org/spreadsheetml/2006/main" count="266" uniqueCount="182">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</sst>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DEDB2ACE-D1C9-4A6F-8D3E-E2D3D2CF39CC}"/>
    <cellStyle name="Comma 5 2 2 2 2 2 2 2 2" xfId="4" xr:uid="{F9482C31-9EDA-4CC0-BF01-E1301F69983C}"/>
    <cellStyle name="Comma 6 2 2 2" xfId="5" xr:uid="{7FF7F761-4388-4BF3-B442-7735676996E4}"/>
    <cellStyle name="Hyperlink 2" xfId="8" xr:uid="{A76D6A21-9EC2-4DB0-B80F-050FED8BB701}"/>
    <cellStyle name="Normal" xfId="0" builtinId="0"/>
    <cellStyle name="Normal 2" xfId="2" xr:uid="{AA9F2227-3418-4A08-B64C-3761392E78AF}"/>
    <cellStyle name="Normal 20" xfId="7" xr:uid="{9D7BA374-2789-45AC-BE14-7066CF634C7B}"/>
    <cellStyle name="Percent" xfId="1" builtinId="5"/>
    <cellStyle name="Percent 3" xfId="6" xr:uid="{72E84DF5-F58F-43D9-A20A-F3FC6A9E8C55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DD8F798-2531-4FB6-845E-A19E1EF8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78AA5E6-4770-4B92-BDD1-F31DA66C9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CAF0-AC59-47F5-8D7D-1ECDDD93ABC0}">
  <dimension ref="A1:II106"/>
  <sheetViews>
    <sheetView tabSelected="1" zoomScale="73" zoomScaleNormal="60" workbookViewId="0">
      <selection activeCell="S60" sqref="S6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26.764800000000001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74401607.193029657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0.59032759445241512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2.5409620253164556E-2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4195142.8397382004</v>
      </c>
      <c r="E10" s="39">
        <f>C10*K10</f>
        <v>3564512.9865722219</v>
      </c>
      <c r="F10" s="40" t="s">
        <v>34</v>
      </c>
      <c r="G10" s="41">
        <v>3.1600000000000003E-2</v>
      </c>
      <c r="H10" s="42">
        <v>6.7034999999999997E-2</v>
      </c>
      <c r="I10" s="42">
        <v>6.8995000000000001E-2</v>
      </c>
      <c r="J10" s="43">
        <f>I10/$J$5</f>
        <v>2.577826099952176E-3</v>
      </c>
      <c r="K10" s="44">
        <f>I10/$K$4</f>
        <v>2.1903174603174601E-3</v>
      </c>
      <c r="L10" s="45">
        <f>I10-H10</f>
        <v>1.9600000000000034E-3</v>
      </c>
      <c r="M10" s="45">
        <f>((I10-H10)/H10)*100</f>
        <v>2.9238457522189956</v>
      </c>
      <c r="N10" s="46">
        <v>33900</v>
      </c>
      <c r="O10" s="37">
        <v>2338.92</v>
      </c>
      <c r="P10" s="50">
        <f>(R10)/J10</f>
        <v>0</v>
      </c>
      <c r="Q10" s="48">
        <f>I10/G10-1</f>
        <v>1.1833860759493668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3273477.1221716581</v>
      </c>
      <c r="E11" s="39">
        <f>C11*K11</f>
        <v>2781395.570777778</v>
      </c>
      <c r="F11" s="40" t="s">
        <v>39</v>
      </c>
      <c r="G11" s="41">
        <v>7.8E-2</v>
      </c>
      <c r="H11" s="42">
        <v>0.20050000000000001</v>
      </c>
      <c r="I11" s="42">
        <v>0.20050000000000001</v>
      </c>
      <c r="J11" s="43">
        <f>I11/$J$5</f>
        <v>7.4911824485891917E-3</v>
      </c>
      <c r="K11" s="44">
        <f>I11/$K$4</f>
        <v>6.3650793650793652E-3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161045167.58204806</v>
      </c>
      <c r="E12" s="39">
        <f>C12*K12</f>
        <v>136836244.48571429</v>
      </c>
      <c r="F12" s="40" t="s">
        <v>34</v>
      </c>
      <c r="G12" s="41">
        <v>97.381</v>
      </c>
      <c r="H12" s="42">
        <v>208.9</v>
      </c>
      <c r="I12" s="42">
        <v>208.9</v>
      </c>
      <c r="J12" s="43">
        <f>I12/$J$5</f>
        <v>7.8050274988043995</v>
      </c>
      <c r="K12" s="44">
        <f>I12/$K$4</f>
        <v>6.6317460317460322</v>
      </c>
      <c r="L12" s="45">
        <f>I12-H12</f>
        <v>0</v>
      </c>
      <c r="M12" s="45">
        <f>((I12-H12)/H12)*100</f>
        <v>0</v>
      </c>
      <c r="N12" s="46">
        <v>0</v>
      </c>
      <c r="O12" s="37">
        <v>0</v>
      </c>
      <c r="P12" s="50">
        <f>(R12)/J12</f>
        <v>0</v>
      </c>
      <c r="Q12" s="48">
        <f>I12/G12-1</f>
        <v>1.1451823250942175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5254484.9503825922</v>
      </c>
      <c r="E13" s="39">
        <f>C13*K13</f>
        <v>4464610.7555555562</v>
      </c>
      <c r="F13" s="40" t="s">
        <v>44</v>
      </c>
      <c r="G13" s="41">
        <v>13.6</v>
      </c>
      <c r="H13" s="42">
        <v>16.100000000000001</v>
      </c>
      <c r="I13" s="42">
        <v>16.100000000000001</v>
      </c>
      <c r="J13" s="43">
        <f>I13/$J$5</f>
        <v>0.60153634624581542</v>
      </c>
      <c r="K13" s="44">
        <f>I13/$K$4</f>
        <v>0.51111111111111118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0.18382352941176494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432239281.85138685</v>
      </c>
      <c r="E14" s="39">
        <f>C14*K14</f>
        <v>367263426.37765074</v>
      </c>
      <c r="F14" s="40" t="s">
        <v>47</v>
      </c>
      <c r="G14" s="41">
        <v>11.5</v>
      </c>
      <c r="H14" s="42">
        <v>22.1402</v>
      </c>
      <c r="I14" s="42">
        <v>22.134399999999999</v>
      </c>
      <c r="J14" s="43">
        <f>I14/$J$5</f>
        <v>0.82699665231946429</v>
      </c>
      <c r="K14" s="44">
        <f>I14/$K$4</f>
        <v>0.70267936507936501</v>
      </c>
      <c r="L14" s="45">
        <f>I14-H14</f>
        <v>-5.8000000000006935E-3</v>
      </c>
      <c r="M14" s="45">
        <f>((I14-H14)/H14)*100</f>
        <v>-2.6196691990138726E-2</v>
      </c>
      <c r="N14" s="46">
        <v>34200</v>
      </c>
      <c r="O14" s="37">
        <v>756997</v>
      </c>
      <c r="P14" s="50">
        <f>(R14)/J14</f>
        <v>0</v>
      </c>
      <c r="Q14" s="48">
        <f>I14/G14-1</f>
        <v>0.92473043478260863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23771716.956599712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0.22417503586800572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37452265.752032518</v>
      </c>
      <c r="E16" s="39">
        <f>C16*K16</f>
        <v>31822298.488888886</v>
      </c>
      <c r="F16" s="40" t="s">
        <v>34</v>
      </c>
      <c r="G16" s="41">
        <v>1.9</v>
      </c>
      <c r="H16" s="42">
        <v>2.8</v>
      </c>
      <c r="I16" s="42">
        <v>2.8</v>
      </c>
      <c r="J16" s="43">
        <f>I16/$J$5</f>
        <v>0.10461501673840266</v>
      </c>
      <c r="K16" s="44">
        <f>I16/$K$4</f>
        <v>8.8888888888888878E-2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0.47368421052631571</v>
      </c>
      <c r="R16" s="49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1508745994.5841179</v>
      </c>
      <c r="E17" s="39">
        <f>C17*K17</f>
        <v>1281945549.0744445</v>
      </c>
      <c r="F17" s="40" t="s">
        <v>34</v>
      </c>
      <c r="G17" s="41">
        <v>20.701700000000002</v>
      </c>
      <c r="H17" s="42">
        <v>29.9941</v>
      </c>
      <c r="I17" s="42">
        <v>30.098600000000001</v>
      </c>
      <c r="J17" s="43">
        <f>I17/$J$5</f>
        <v>1.1245591224294595</v>
      </c>
      <c r="K17" s="44">
        <f>I17/$K$4</f>
        <v>0.9555111111111112</v>
      </c>
      <c r="L17" s="45">
        <f>I17-H17</f>
        <v>0.10450000000000159</v>
      </c>
      <c r="M17" s="45">
        <f>((I17-H17)/H17)*100</f>
        <v>0.3484018523643036</v>
      </c>
      <c r="N17" s="46">
        <v>7100</v>
      </c>
      <c r="O17" s="37">
        <v>213700</v>
      </c>
      <c r="P17" s="47">
        <f>(R17)/J17</f>
        <v>4.4461868658342917E-2</v>
      </c>
      <c r="Q17" s="48">
        <f>I17/G17-1</f>
        <v>0.4539192433471646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39024826.933589295</v>
      </c>
      <c r="E19" s="39">
        <f>C19*K19</f>
        <v>33158466.282924794</v>
      </c>
      <c r="F19" s="40" t="s">
        <v>47</v>
      </c>
      <c r="G19" s="41">
        <v>12.45</v>
      </c>
      <c r="H19" s="42">
        <v>11</v>
      </c>
      <c r="I19" s="42">
        <v>9.5892409999999995</v>
      </c>
      <c r="J19" s="43">
        <f>I19/$J$5</f>
        <v>0.35827807418699181</v>
      </c>
      <c r="K19" s="44">
        <f>I19/$K$4</f>
        <v>0.30442034920634919</v>
      </c>
      <c r="L19" s="45">
        <f>I19-H19</f>
        <v>-1.4107590000000005</v>
      </c>
      <c r="M19" s="45">
        <f>((I19-H19)/H19)*100</f>
        <v>-12.825081818181824</v>
      </c>
      <c r="N19" s="46">
        <v>7900</v>
      </c>
      <c r="O19" s="37">
        <v>75755</v>
      </c>
      <c r="P19" s="50">
        <f>(R19)/J19</f>
        <v>0</v>
      </c>
      <c r="Q19" s="48">
        <f>I19/G19-1</f>
        <v>-0.22977983935742974</v>
      </c>
      <c r="R19" s="49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17508336.985144667</v>
      </c>
      <c r="E20" s="39">
        <f>C20*K20</f>
        <v>14876417.071111113</v>
      </c>
      <c r="F20" s="40" t="s">
        <v>47</v>
      </c>
      <c r="G20" s="41">
        <v>0.35</v>
      </c>
      <c r="H20" s="42">
        <v>0.59050000000000002</v>
      </c>
      <c r="I20" s="42">
        <v>0.67900000000000005</v>
      </c>
      <c r="J20" s="43">
        <f>I20/$J$5</f>
        <v>2.5369141559062652E-2</v>
      </c>
      <c r="K20" s="44">
        <f>I20/$K$4</f>
        <v>2.1555555555555557E-2</v>
      </c>
      <c r="L20" s="45">
        <f>I20-H20</f>
        <v>8.8500000000000023E-2</v>
      </c>
      <c r="M20" s="45">
        <f>((I20-H20)/H20)*100</f>
        <v>14.987298899237938</v>
      </c>
      <c r="N20" s="46">
        <v>100</v>
      </c>
      <c r="O20" s="37">
        <v>67.900000000000006</v>
      </c>
      <c r="P20" s="50">
        <f>(R20)/J20</f>
        <v>0</v>
      </c>
      <c r="Q20" s="48">
        <f>I20/G20-1</f>
        <v>0.94000000000000017</v>
      </c>
      <c r="R20" s="49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100563216.83731991</v>
      </c>
      <c r="E21" s="39">
        <f>C21*K21</f>
        <v>85446170.984365091</v>
      </c>
      <c r="F21" s="40" t="s">
        <v>47</v>
      </c>
      <c r="G21" s="41">
        <v>2.85</v>
      </c>
      <c r="H21" s="42">
        <v>2.1775000000000002</v>
      </c>
      <c r="I21" s="42">
        <v>2.1775000000000002</v>
      </c>
      <c r="J21" s="43">
        <f>I21/$J$5</f>
        <v>8.1356856767097085E-2</v>
      </c>
      <c r="K21" s="44">
        <f>I21/$K$4</f>
        <v>6.9126984126984134E-2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-0.23596491228070171</v>
      </c>
      <c r="R21" s="49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18043466.071108319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3.3626255380200858E-2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2255433.2588885399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4.2032819225251072E-3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64198419.772809356</v>
      </c>
      <c r="E24" s="39">
        <f>C24*K24</f>
        <v>54547868.747151993</v>
      </c>
      <c r="F24" s="40" t="s">
        <v>34</v>
      </c>
      <c r="G24" s="41">
        <v>8.1687659999999997</v>
      </c>
      <c r="H24" s="42">
        <v>9.1</v>
      </c>
      <c r="I24" s="42">
        <v>8.901942</v>
      </c>
      <c r="J24" s="43">
        <f>I24/$J$5</f>
        <v>0.33259886119081777</v>
      </c>
      <c r="K24" s="44">
        <f>I24/$K$4</f>
        <v>0.28260133333333332</v>
      </c>
      <c r="L24" s="45">
        <f>I24-H24</f>
        <v>-0.19805799999999962</v>
      </c>
      <c r="M24" s="45">
        <f>((I24-H24)/H24)*100</f>
        <v>-2.1764615384615342</v>
      </c>
      <c r="N24" s="46">
        <v>561300</v>
      </c>
      <c r="O24" s="37">
        <v>4996660.05</v>
      </c>
      <c r="P24" s="50">
        <f>(R24)/J24</f>
        <v>0</v>
      </c>
      <c r="Q24" s="48">
        <f>I24/G24-1</f>
        <v>8.9753580895817198E-2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88273314.674497843</v>
      </c>
      <c r="E25" s="39">
        <f>C25*K25</f>
        <v>75003733.733333319</v>
      </c>
      <c r="F25" s="40" t="s">
        <v>66</v>
      </c>
      <c r="G25" s="41">
        <v>1.6675</v>
      </c>
      <c r="H25" s="42">
        <v>1.3741669999999999</v>
      </c>
      <c r="I25" s="42">
        <v>1.4</v>
      </c>
      <c r="J25" s="43">
        <f>I25/$J$5</f>
        <v>5.2307508369201332E-2</v>
      </c>
      <c r="K25" s="44">
        <f>I25/$K$4</f>
        <v>4.4444444444444439E-2</v>
      </c>
      <c r="L25" s="45">
        <f>I25-H25</f>
        <v>2.5832999999999995E-2</v>
      </c>
      <c r="M25" s="45">
        <f>((I25-H25)/H25)*100</f>
        <v>1.8799025154875642</v>
      </c>
      <c r="N25" s="46">
        <v>3600</v>
      </c>
      <c r="O25" s="37">
        <v>5040</v>
      </c>
      <c r="P25" s="50">
        <f>(R25)/J25</f>
        <v>0</v>
      </c>
      <c r="Q25" s="48">
        <f>I25/G25-1</f>
        <v>-0.16041979010494756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23327478.759785615</v>
      </c>
      <c r="E26" s="39">
        <f>C26*K26</f>
        <v>19820803.286028888</v>
      </c>
      <c r="F26" s="40" t="s">
        <v>44</v>
      </c>
      <c r="G26" s="41">
        <v>1.7994999999999999</v>
      </c>
      <c r="H26" s="42">
        <v>2.6081300000000001</v>
      </c>
      <c r="I26" s="42">
        <v>2.6081300000000001</v>
      </c>
      <c r="J26" s="43">
        <f>I26/$J$5</f>
        <v>9.7446272716403631E-2</v>
      </c>
      <c r="K26" s="44">
        <f>I26/$K$4</f>
        <v>8.2797777777777776E-2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0.44936371214226178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26797214.057269245</v>
      </c>
      <c r="E27" s="39">
        <f>C27*K27</f>
        <v>22768954.755555551</v>
      </c>
      <c r="F27" s="40" t="s">
        <v>34</v>
      </c>
      <c r="G27" s="41">
        <v>3.1361369999999997</v>
      </c>
      <c r="H27" s="42">
        <v>2.8</v>
      </c>
      <c r="I27" s="42">
        <v>2.8</v>
      </c>
      <c r="J27" s="43">
        <f>I27/$J$5</f>
        <v>0.10461501673840266</v>
      </c>
      <c r="K27" s="44">
        <f>I27/$K$4</f>
        <v>8.8888888888888878E-2</v>
      </c>
      <c r="L27" s="45">
        <f>I27-H27</f>
        <v>0</v>
      </c>
      <c r="M27" s="45">
        <f>((I27-H27)/H27)*100</f>
        <v>0</v>
      </c>
      <c r="N27" s="46">
        <v>0</v>
      </c>
      <c r="O27" s="37">
        <v>0</v>
      </c>
      <c r="P27" s="50">
        <f>(R27)/J27</f>
        <v>0</v>
      </c>
      <c r="Q27" s="48">
        <f>I27/G27-1</f>
        <v>-0.10718186099650617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20976033.286681164</v>
      </c>
      <c r="E28" s="39">
        <f>C28*K28</f>
        <v>17822836.054329015</v>
      </c>
      <c r="F28" s="40" t="s">
        <v>44</v>
      </c>
      <c r="G28" s="41">
        <v>0.8</v>
      </c>
      <c r="H28" s="42">
        <v>0.86006699999999991</v>
      </c>
      <c r="I28" s="42">
        <v>0.74296400000000007</v>
      </c>
      <c r="J28" s="43">
        <f>I28/$J$5</f>
        <v>2.7758996891439503E-2</v>
      </c>
      <c r="K28" s="44">
        <f>I28/$K$4</f>
        <v>2.3586158730158732E-2</v>
      </c>
      <c r="L28" s="45">
        <f>I28-H28</f>
        <v>-0.11710299999999985</v>
      </c>
      <c r="M28" s="45">
        <f>((I28-H28)/H28)*100</f>
        <v>-13.615567159302689</v>
      </c>
      <c r="N28" s="46">
        <v>12400</v>
      </c>
      <c r="O28" s="37">
        <v>9212.75</v>
      </c>
      <c r="P28" s="50">
        <f>(R28)/J28</f>
        <v>0</v>
      </c>
      <c r="Q28" s="48">
        <f>I28/G28-1</f>
        <v>-7.1294999999999997E-2</v>
      </c>
      <c r="R28" s="49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92125538.125448346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2">
        <v>5.49</v>
      </c>
      <c r="J29" s="43">
        <f>I29/$J$5</f>
        <v>0.20512015781922524</v>
      </c>
      <c r="K29" s="44">
        <f>I29/$K$4</f>
        <v>0.17428571428571429</v>
      </c>
      <c r="L29" s="45">
        <f>I29-H29</f>
        <v>0</v>
      </c>
      <c r="M29" s="45">
        <f>((I29-H29)/H29)*100</f>
        <v>0</v>
      </c>
      <c r="N29" s="46">
        <v>522100</v>
      </c>
      <c r="O29" s="37">
        <v>2866329</v>
      </c>
      <c r="P29" s="50">
        <f>(R29)/J29</f>
        <v>0</v>
      </c>
      <c r="Q29" s="48">
        <f>I29/G29-1</f>
        <v>6.6019417475728037E-2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11471484.860899391</v>
      </c>
      <c r="E32" s="39">
        <f>C32*K32</f>
        <v>9747047.5557142869</v>
      </c>
      <c r="F32" s="40" t="s">
        <v>39</v>
      </c>
      <c r="G32" s="41">
        <v>1.4</v>
      </c>
      <c r="H32" s="42">
        <v>1.39</v>
      </c>
      <c r="I32" s="42">
        <v>1.1815</v>
      </c>
      <c r="J32" s="43">
        <f>I32/$J$5</f>
        <v>4.414380081300813E-2</v>
      </c>
      <c r="K32" s="44">
        <f>I32/$K$4</f>
        <v>3.7507936507936511E-2</v>
      </c>
      <c r="L32" s="45">
        <f>I32-H32</f>
        <v>-0.20849999999999991</v>
      </c>
      <c r="M32" s="45">
        <f>((I32-H32)/H32)*100</f>
        <v>-14.999999999999995</v>
      </c>
      <c r="N32" s="46">
        <v>1000</v>
      </c>
      <c r="O32" s="37">
        <v>1181.5</v>
      </c>
      <c r="P32" s="50">
        <f>(R32)/J32</f>
        <v>0</v>
      </c>
      <c r="Q32" s="48">
        <f>I32/G32-1</f>
        <v>-0.15607142857142853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3875427.7820121944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3.1758130081300809E-2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6900</v>
      </c>
      <c r="O33" s="37">
        <v>5865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102632997.66465104</v>
      </c>
      <c r="E34" s="39">
        <f>C34*K34</f>
        <v>87204814.472852454</v>
      </c>
      <c r="F34" s="40" t="s">
        <v>92</v>
      </c>
      <c r="G34" s="41">
        <v>1.44</v>
      </c>
      <c r="H34" s="42">
        <v>1.2851400000000002</v>
      </c>
      <c r="I34" s="42">
        <v>1.1007640000000001</v>
      </c>
      <c r="J34" s="43">
        <f>I34/$J$5</f>
        <v>4.1127301530368247E-2</v>
      </c>
      <c r="K34" s="44">
        <f>I34/$K$4</f>
        <v>3.4944888888888893E-2</v>
      </c>
      <c r="L34" s="45">
        <f>I34-H34</f>
        <v>-0.1843760000000001</v>
      </c>
      <c r="M34" s="45">
        <f>((I34-H34)/H34)*100</f>
        <v>-14.346763776709157</v>
      </c>
      <c r="N34" s="46">
        <v>47100</v>
      </c>
      <c r="O34" s="37">
        <v>51846</v>
      </c>
      <c r="P34" s="50">
        <f>(R34)/J34</f>
        <v>0</v>
      </c>
      <c r="Q34" s="48">
        <f>I34/G34-1</f>
        <v>-0.23558055555555546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33942798.315815106</v>
      </c>
      <c r="E35" s="39">
        <f>C35*K35</f>
        <v>28840387.56708343</v>
      </c>
      <c r="F35" s="40" t="s">
        <v>34</v>
      </c>
      <c r="G35" s="41">
        <v>3.6056249999999999</v>
      </c>
      <c r="H35" s="42">
        <v>3.92</v>
      </c>
      <c r="I35" s="42">
        <v>3.5838160000000001</v>
      </c>
      <c r="J35" s="43">
        <f>I35/$J$5</f>
        <v>0.13390034672405549</v>
      </c>
      <c r="K35" s="44">
        <f>I35/$K$4</f>
        <v>0.11377193650793652</v>
      </c>
      <c r="L35" s="45">
        <f>I35-H35</f>
        <v>-0.33618399999999982</v>
      </c>
      <c r="M35" s="45">
        <f>((I35-H35)/H35)*100</f>
        <v>-8.5761224489795875</v>
      </c>
      <c r="N35" s="46">
        <v>15200</v>
      </c>
      <c r="O35" s="37">
        <v>54474</v>
      </c>
      <c r="P35" s="50">
        <f>(R35)/J35</f>
        <v>0</v>
      </c>
      <c r="Q35" s="48">
        <f>I35/G35-1</f>
        <v>-6.0486046108509939E-3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7050569.93100012</v>
      </c>
      <c r="E36" s="39">
        <f>C36*K36</f>
        <v>5990701.3996581584</v>
      </c>
      <c r="F36" s="40" t="s">
        <v>34</v>
      </c>
      <c r="G36" s="41">
        <v>2.5099999999999997E-2</v>
      </c>
      <c r="H36" s="42">
        <v>4.0010000000000004E-2</v>
      </c>
      <c r="I36" s="42">
        <v>4.0022000000000002E-2</v>
      </c>
      <c r="J36" s="43">
        <f>I36/$J$5</f>
        <v>1.4953222142515543E-3</v>
      </c>
      <c r="K36" s="44">
        <f>I36/$K$4</f>
        <v>1.2705396825396825E-3</v>
      </c>
      <c r="L36" s="45">
        <f>I36-H36</f>
        <v>1.1999999999998123E-5</v>
      </c>
      <c r="M36" s="45">
        <f>((I36-H36)/H36)*100</f>
        <v>2.9992501874526671E-2</v>
      </c>
      <c r="N36" s="46">
        <v>46500</v>
      </c>
      <c r="O36" s="37">
        <v>1861.02</v>
      </c>
      <c r="P36" s="50">
        <f>(R36)/J36</f>
        <v>0</v>
      </c>
      <c r="Q36" s="48">
        <f>I36/G36-1</f>
        <v>0.59450199203187282</v>
      </c>
      <c r="R36" s="49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63849030.680390954</v>
      </c>
      <c r="E37" s="39">
        <f>C37*K37</f>
        <v>54251001.154111989</v>
      </c>
      <c r="F37" s="40" t="s">
        <v>92</v>
      </c>
      <c r="G37" s="41">
        <v>0.61</v>
      </c>
      <c r="H37" s="42">
        <v>3.7450000000000001</v>
      </c>
      <c r="I37" s="42">
        <v>3.2544959999999996</v>
      </c>
      <c r="J37" s="43">
        <f>I37/$J$5</f>
        <v>0.12159612625538019</v>
      </c>
      <c r="K37" s="44">
        <f>I37/$K$4</f>
        <v>0.10331733333333332</v>
      </c>
      <c r="L37" s="45">
        <f>I37-H37</f>
        <v>-0.4905040000000005</v>
      </c>
      <c r="M37" s="45">
        <f>((I37-H37)/H37)*100</f>
        <v>-13.097570093457959</v>
      </c>
      <c r="N37" s="46">
        <v>77800</v>
      </c>
      <c r="O37" s="37">
        <v>253199.75</v>
      </c>
      <c r="P37" s="50">
        <f>(R37)/J37</f>
        <v>0</v>
      </c>
      <c r="Q37" s="48">
        <f>I37/G37-1</f>
        <v>4.3352393442622947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23417538.429636497</v>
      </c>
      <c r="E38" s="39">
        <f>C38*K38</f>
        <v>19897324.843223333</v>
      </c>
      <c r="F38" s="40" t="s">
        <v>56</v>
      </c>
      <c r="G38" s="41">
        <v>0.11650199999999999</v>
      </c>
      <c r="H38" s="42">
        <v>0.148755</v>
      </c>
      <c r="I38" s="42">
        <v>0.14941499999999999</v>
      </c>
      <c r="J38" s="43">
        <f>I38/$J$5</f>
        <v>5.5825188307030123E-3</v>
      </c>
      <c r="K38" s="44">
        <f>I38/$K$4</f>
        <v>4.7433333333333329E-3</v>
      </c>
      <c r="L38" s="45">
        <f>I38-H38</f>
        <v>6.5999999999999392E-4</v>
      </c>
      <c r="M38" s="45">
        <f>((I38-H38)/H38)*100</f>
        <v>0.44368256529191885</v>
      </c>
      <c r="N38" s="46">
        <v>48400</v>
      </c>
      <c r="O38" s="37">
        <v>7231.7</v>
      </c>
      <c r="P38" s="50">
        <v>0</v>
      </c>
      <c r="Q38" s="48">
        <f>I38/G38-1</f>
        <v>0.28251017149920177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101021136.83457376</v>
      </c>
      <c r="E39" s="39">
        <f>C39*K39</f>
        <v>85835254.703174606</v>
      </c>
      <c r="F39" s="40" t="s">
        <v>34</v>
      </c>
      <c r="G39" s="41">
        <v>2.6005000000000003</v>
      </c>
      <c r="H39" s="42">
        <v>7.25</v>
      </c>
      <c r="I39" s="42">
        <v>7.45</v>
      </c>
      <c r="J39" s="43">
        <f>I39/$J$5</f>
        <v>0.2783506695361071</v>
      </c>
      <c r="K39" s="44">
        <f>I39/$K$4</f>
        <v>0.2365079365079365</v>
      </c>
      <c r="L39" s="45">
        <f>I39-H39</f>
        <v>0.20000000000000018</v>
      </c>
      <c r="M39" s="45">
        <f>((I39-H39)/H39)*100</f>
        <v>2.7586206896551748</v>
      </c>
      <c r="N39" s="46">
        <v>3200</v>
      </c>
      <c r="O39" s="37">
        <v>23840</v>
      </c>
      <c r="P39" s="50">
        <f>(R39)/J39</f>
        <v>0</v>
      </c>
      <c r="Q39" s="48">
        <f>I39/G39-1</f>
        <v>1.8648336858296481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19152519.80579799</v>
      </c>
      <c r="E40" s="39">
        <f>C40*K40</f>
        <v>16273440.066610225</v>
      </c>
      <c r="F40" s="40" t="s">
        <v>39</v>
      </c>
      <c r="G40" s="41">
        <v>0.1</v>
      </c>
      <c r="H40" s="42">
        <v>0.11877800000000001</v>
      </c>
      <c r="I40" s="42">
        <v>0.11877800000000001</v>
      </c>
      <c r="J40" s="43">
        <f>I40/$J$5</f>
        <v>4.4378437350549981E-3</v>
      </c>
      <c r="K40" s="44">
        <f>I40/$K$4</f>
        <v>3.7707301587301591E-3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0.18778000000000006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5967216.4746233858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5.6043758967001429E-2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3000</v>
      </c>
      <c r="O41" s="37">
        <v>4500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3348101.6847202294</v>
      </c>
      <c r="E42" s="39">
        <f>C42*K42</f>
        <v>2844802.2848</v>
      </c>
      <c r="F42" s="40" t="s">
        <v>39</v>
      </c>
      <c r="G42" s="41">
        <v>0.03</v>
      </c>
      <c r="H42" s="42">
        <v>5.0199999999999995E-2</v>
      </c>
      <c r="I42" s="42">
        <v>5.04E-2</v>
      </c>
      <c r="J42" s="43">
        <f>I42/$J$5</f>
        <v>1.8830703012912482E-3</v>
      </c>
      <c r="K42" s="44">
        <f>I42/$K$4</f>
        <v>1.6000000000000001E-3</v>
      </c>
      <c r="L42" s="45">
        <f>I42-H42</f>
        <v>2.0000000000000573E-4</v>
      </c>
      <c r="M42" s="45">
        <f>((I42-H42)/H42)*100</f>
        <v>0.39840637450200345</v>
      </c>
      <c r="N42" s="46">
        <v>200</v>
      </c>
      <c r="O42" s="37">
        <v>10.08</v>
      </c>
      <c r="P42" s="50">
        <f>(R42)/J42</f>
        <v>0</v>
      </c>
      <c r="Q42" s="48">
        <f>I42/G42-1</f>
        <v>0.68000000000000016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34036919.326877087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0.19428503108560496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311.60621032101864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6.7252510760401722E-7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1510760.4017216642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2.6228479196556669E-3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50949907.695928976</v>
      </c>
      <c r="E46" s="39">
        <f>C46*K46</f>
        <v>43290923.47619047</v>
      </c>
      <c r="F46" s="40" t="s">
        <v>47</v>
      </c>
      <c r="G46" s="41">
        <v>0.9998999999999999</v>
      </c>
      <c r="H46" s="42">
        <v>0.75</v>
      </c>
      <c r="I46" s="42">
        <v>0.75</v>
      </c>
      <c r="J46" s="43">
        <f>I46/$J$5</f>
        <v>2.8021879483500715E-2</v>
      </c>
      <c r="K46" s="44">
        <f>I46/$K$4</f>
        <v>2.3809523809523808E-2</v>
      </c>
      <c r="L46" s="45">
        <f>I46-H46</f>
        <v>0</v>
      </c>
      <c r="M46" s="45">
        <f>((I46-H46)/H46)*100</f>
        <v>0</v>
      </c>
      <c r="N46" s="46">
        <v>700</v>
      </c>
      <c r="O46" s="37">
        <v>525</v>
      </c>
      <c r="P46" s="50">
        <f>(R46)/J46</f>
        <v>0</v>
      </c>
      <c r="Q46" s="48">
        <f>I46/G46-1</f>
        <v>-0.24992499249924982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5180756.1423959825</v>
      </c>
      <c r="E47" s="39">
        <f>C47*K47</f>
        <v>4401965.1428571427</v>
      </c>
      <c r="F47" s="40" t="s">
        <v>47</v>
      </c>
      <c r="G47" s="41">
        <v>1.4503460000000001</v>
      </c>
      <c r="H47" s="42">
        <v>1.2</v>
      </c>
      <c r="I47" s="42">
        <v>1.35</v>
      </c>
      <c r="J47" s="43">
        <f>I47/$J$5</f>
        <v>5.043938307030129E-2</v>
      </c>
      <c r="K47" s="44">
        <f>I47/$K$4</f>
        <v>4.2857142857142858E-2</v>
      </c>
      <c r="L47" s="45">
        <f>I47-H47</f>
        <v>0.15000000000000013</v>
      </c>
      <c r="M47" s="45">
        <f>((I47-H47)/H47)*100</f>
        <v>12.500000000000011</v>
      </c>
      <c r="N47" s="46">
        <v>1100</v>
      </c>
      <c r="O47" s="37">
        <v>1485</v>
      </c>
      <c r="P47" s="50">
        <v>0</v>
      </c>
      <c r="Q47" s="48">
        <f>I47/G47-1</f>
        <v>-6.9187628331446427E-2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1433700</v>
      </c>
      <c r="O48" s="59">
        <f>SUM(O9:O47)</f>
        <v>9332119.6699999981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71695703.793600008</v>
      </c>
      <c r="E51" s="39">
        <v>0</v>
      </c>
      <c r="F51" s="40" t="s">
        <v>92</v>
      </c>
      <c r="G51" s="68">
        <v>0.1</v>
      </c>
      <c r="H51" s="42">
        <v>0.124</v>
      </c>
      <c r="I51" s="42">
        <v>0.12920000000000001</v>
      </c>
      <c r="J51" s="43">
        <f>I51</f>
        <v>0.12920000000000001</v>
      </c>
      <c r="K51" s="39">
        <v>0</v>
      </c>
      <c r="L51" s="45">
        <f>I51-H51</f>
        <v>5.2000000000000102E-3</v>
      </c>
      <c r="M51" s="45">
        <f>((I51-H51)/H51)*100</f>
        <v>4.193548387096782</v>
      </c>
      <c r="N51" s="46">
        <v>168</v>
      </c>
      <c r="O51" s="37">
        <v>21.7</v>
      </c>
      <c r="P51" s="69">
        <f>(R51)/J51</f>
        <v>0</v>
      </c>
      <c r="Q51" s="48">
        <f>J51/G51-1</f>
        <v>0.29200000000000004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56824020.8565</v>
      </c>
      <c r="E52" s="39">
        <v>0</v>
      </c>
      <c r="F52" s="40" t="s">
        <v>39</v>
      </c>
      <c r="G52" s="68">
        <v>39.9</v>
      </c>
      <c r="H52" s="42">
        <v>54.566499999999998</v>
      </c>
      <c r="I52" s="42">
        <v>53.724899999999998</v>
      </c>
      <c r="J52" s="43">
        <f>I52</f>
        <v>53.724899999999998</v>
      </c>
      <c r="K52" s="39">
        <v>0</v>
      </c>
      <c r="L52" s="45">
        <f>I52-H52</f>
        <v>-0.84159999999999968</v>
      </c>
      <c r="M52" s="45">
        <f>((I52-H52)/H52)*100</f>
        <v>-1.5423382478260466</v>
      </c>
      <c r="N52" s="46">
        <v>5459</v>
      </c>
      <c r="O52" s="37">
        <v>293284.25</v>
      </c>
      <c r="P52" s="70">
        <f>(R52)/J52</f>
        <v>1.0423472170259974E-2</v>
      </c>
      <c r="Q52" s="48">
        <f>J52/G52-1</f>
        <v>0.34648872180451118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739064311.14100003</v>
      </c>
      <c r="E53" s="39"/>
      <c r="F53" s="40" t="s">
        <v>56</v>
      </c>
      <c r="G53" s="68">
        <v>0.33</v>
      </c>
      <c r="H53" s="42">
        <v>0.24879999999999999</v>
      </c>
      <c r="I53" s="42">
        <v>0.247</v>
      </c>
      <c r="J53" s="43">
        <f>I53</f>
        <v>0.247</v>
      </c>
      <c r="K53" s="39">
        <v>0</v>
      </c>
      <c r="L53" s="45">
        <f>I53-H53</f>
        <v>-1.799999999999996E-3</v>
      </c>
      <c r="M53" s="45">
        <f>((I53-H53)/H53)*100</f>
        <v>-0.72347266881028782</v>
      </c>
      <c r="N53" s="46">
        <v>26658</v>
      </c>
      <c r="O53" s="37">
        <v>6584.97</v>
      </c>
      <c r="P53" s="69">
        <v>0</v>
      </c>
      <c r="Q53" s="48">
        <f>J53/G53-1</f>
        <v>-0.25151515151515158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15853264.517999999</v>
      </c>
      <c r="E54" s="39">
        <v>0</v>
      </c>
      <c r="F54" s="40" t="s">
        <v>34</v>
      </c>
      <c r="G54" s="68">
        <v>2.3E-2</v>
      </c>
      <c r="H54" s="42">
        <v>2.5999999999999999E-2</v>
      </c>
      <c r="I54" s="42">
        <v>2.5999999999999999E-2</v>
      </c>
      <c r="J54" s="43">
        <f>I54</f>
        <v>2.5999999999999999E-2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0.13043478260869557</v>
      </c>
      <c r="T54" s="51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276608809.31910002</v>
      </c>
      <c r="E55" s="39">
        <v>0</v>
      </c>
      <c r="F55" s="40" t="s">
        <v>47</v>
      </c>
      <c r="G55" s="68">
        <v>9.0200000000000002E-2</v>
      </c>
      <c r="H55" s="42">
        <v>0.1255</v>
      </c>
      <c r="I55" s="42">
        <v>0.12790000000000001</v>
      </c>
      <c r="J55" s="43">
        <f>I55</f>
        <v>0.12790000000000001</v>
      </c>
      <c r="K55" s="39">
        <v>0</v>
      </c>
      <c r="L55" s="45">
        <f>I55-H55</f>
        <v>2.4000000000000132E-3</v>
      </c>
      <c r="M55" s="71">
        <f>((I55-H55)/H55)*100</f>
        <v>1.9123505976095725</v>
      </c>
      <c r="N55" s="46">
        <v>53421</v>
      </c>
      <c r="O55" s="37">
        <v>6830.66</v>
      </c>
      <c r="P55" s="69">
        <f>(R55)/J55</f>
        <v>0</v>
      </c>
      <c r="Q55" s="48">
        <f>J55/G55-1</f>
        <v>0.41796008869179602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805605918.25999999</v>
      </c>
      <c r="E56" s="39">
        <v>0</v>
      </c>
      <c r="F56" s="40" t="s">
        <v>34</v>
      </c>
      <c r="G56" s="68">
        <v>0.95750000000000002</v>
      </c>
      <c r="H56" s="42">
        <v>1.4012</v>
      </c>
      <c r="I56" s="42">
        <v>1.3988</v>
      </c>
      <c r="J56" s="43">
        <f>I56</f>
        <v>1.3988</v>
      </c>
      <c r="K56" s="39">
        <v>0</v>
      </c>
      <c r="L56" s="45">
        <f>I56-H56</f>
        <v>-2.3999999999999577E-3</v>
      </c>
      <c r="M56" s="45">
        <f>((I56-H56)/H56)*100</f>
        <v>-0.17128175849271751</v>
      </c>
      <c r="N56" s="46">
        <v>49896</v>
      </c>
      <c r="O56" s="37">
        <v>69795.149999999994</v>
      </c>
      <c r="P56" s="70">
        <f>(R56)/J56</f>
        <v>3.3600228767515013E-2</v>
      </c>
      <c r="Q56" s="48">
        <f>J56/G56-1</f>
        <v>0.46088772845953008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0.15</v>
      </c>
      <c r="I57" s="42">
        <v>0.15</v>
      </c>
      <c r="J57" s="43">
        <f>I57</f>
        <v>0.15</v>
      </c>
      <c r="K57" s="39">
        <v>0</v>
      </c>
      <c r="L57" s="45">
        <f>I57-H57</f>
        <v>0</v>
      </c>
      <c r="M57" s="45">
        <f>((I57-H57)/H57)*100</f>
        <v>0</v>
      </c>
      <c r="N57" s="46">
        <v>279</v>
      </c>
      <c r="O57" s="37">
        <v>41.85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39503</v>
      </c>
      <c r="O58" s="37">
        <v>791.16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68">
        <v>19.5</v>
      </c>
      <c r="H59" s="42">
        <v>13.1</v>
      </c>
      <c r="I59" s="42">
        <v>13</v>
      </c>
      <c r="J59" s="43">
        <f>I59</f>
        <v>13</v>
      </c>
      <c r="K59" s="39">
        <v>0</v>
      </c>
      <c r="L59" s="45">
        <f>I59-H59</f>
        <v>-9.9999999999999645E-2</v>
      </c>
      <c r="M59" s="45">
        <f>((I59-H59)/H59)*100</f>
        <v>-0.76335877862595147</v>
      </c>
      <c r="N59" s="46">
        <v>118</v>
      </c>
      <c r="O59" s="37">
        <v>1534</v>
      </c>
      <c r="P59" s="69">
        <f>(R59)/J59</f>
        <v>0</v>
      </c>
      <c r="Q59" s="48">
        <f>J59/G59-1</f>
        <v>-0.33333333333333337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884955423.7392</v>
      </c>
      <c r="E60" s="39">
        <v>0</v>
      </c>
      <c r="F60" s="40" t="s">
        <v>92</v>
      </c>
      <c r="G60" s="68">
        <v>0.59499999999999997</v>
      </c>
      <c r="H60" s="42">
        <v>1.0536000000000001</v>
      </c>
      <c r="I60" s="42">
        <v>1.0992</v>
      </c>
      <c r="J60" s="43">
        <f>I60</f>
        <v>1.0992</v>
      </c>
      <c r="K60" s="39">
        <v>0</v>
      </c>
      <c r="L60" s="45">
        <f>I60-H60</f>
        <v>4.5599999999999863E-2</v>
      </c>
      <c r="M60" s="45">
        <f>((I60-H60)/H60)*100</f>
        <v>4.3280182232346105</v>
      </c>
      <c r="N60" s="46">
        <v>113422</v>
      </c>
      <c r="O60" s="37">
        <v>124669.96</v>
      </c>
      <c r="P60" s="69">
        <f>(R60)/J60</f>
        <v>0</v>
      </c>
      <c r="Q60" s="48">
        <f>J60/G60-1</f>
        <v>0.8473949579831932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0.29749999999999999</v>
      </c>
      <c r="I61" s="42">
        <v>0.3</v>
      </c>
      <c r="J61" s="43">
        <f>I61</f>
        <v>0.3</v>
      </c>
      <c r="K61" s="39">
        <v>0</v>
      </c>
      <c r="L61" s="45">
        <f>I61-H61</f>
        <v>2.5000000000000022E-3</v>
      </c>
      <c r="M61" s="45">
        <f>((I61-H61)/H61)*100</f>
        <v>0.8403361344537823</v>
      </c>
      <c r="N61" s="46">
        <v>320</v>
      </c>
      <c r="O61" s="37">
        <v>96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383466243.89480001</v>
      </c>
      <c r="E62" s="39">
        <v>0</v>
      </c>
      <c r="F62" s="40" t="s">
        <v>34</v>
      </c>
      <c r="G62" s="68">
        <v>0.49440000000000001</v>
      </c>
      <c r="H62" s="42">
        <v>0.71730000000000005</v>
      </c>
      <c r="I62" s="42">
        <v>0.68210000000000004</v>
      </c>
      <c r="J62" s="43">
        <f>I62</f>
        <v>0.68210000000000004</v>
      </c>
      <c r="K62" s="39">
        <v>0</v>
      </c>
      <c r="L62" s="45">
        <f>I62-H62</f>
        <v>-3.5200000000000009E-2</v>
      </c>
      <c r="M62" s="45">
        <f>((I62-H62)/H62)*100</f>
        <v>-4.9072912310051588</v>
      </c>
      <c r="N62" s="46">
        <v>8216</v>
      </c>
      <c r="O62" s="37">
        <v>5604.39</v>
      </c>
      <c r="P62" s="69">
        <f>(R62)/J62</f>
        <v>0</v>
      </c>
      <c r="Q62" s="48">
        <f>J62/G62-1</f>
        <v>0.37965210355987056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34595880.794399999</v>
      </c>
      <c r="E64" s="39">
        <v>0</v>
      </c>
      <c r="F64" s="40" t="s">
        <v>44</v>
      </c>
      <c r="G64" s="68">
        <v>4.2999999999999997E-2</v>
      </c>
      <c r="H64" s="42">
        <v>0.1</v>
      </c>
      <c r="I64" s="42">
        <v>0.1004</v>
      </c>
      <c r="J64" s="43">
        <f>I64</f>
        <v>0.1004</v>
      </c>
      <c r="K64" s="39">
        <v>0</v>
      </c>
      <c r="L64" s="45">
        <f>I64-H64</f>
        <v>3.9999999999999758E-4</v>
      </c>
      <c r="M64" s="45">
        <f>((I64-H64)/H64)*100</f>
        <v>0.39999999999999758</v>
      </c>
      <c r="N64" s="46">
        <v>5484</v>
      </c>
      <c r="O64" s="37">
        <v>550.54</v>
      </c>
      <c r="P64" s="69">
        <f>(R64)/J64</f>
        <v>0</v>
      </c>
      <c r="Q64" s="48">
        <f>J64/G64-1</f>
        <v>1.3348837209302329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302944</v>
      </c>
      <c r="O65" s="60">
        <f>SUM(O51:O64)</f>
        <v>509804.62999999995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304</v>
      </c>
      <c r="O70" s="91">
        <v>109.44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70561356.974999994</v>
      </c>
      <c r="E71" s="39">
        <f>C71*K71</f>
        <v>70561356.974999994</v>
      </c>
      <c r="F71" s="87" t="s">
        <v>156</v>
      </c>
      <c r="G71" s="87">
        <v>0.1</v>
      </c>
      <c r="H71" s="88">
        <v>0.15049999999999999</v>
      </c>
      <c r="I71" s="88">
        <v>0.1497</v>
      </c>
      <c r="J71" s="89">
        <f>I71</f>
        <v>0.1497</v>
      </c>
      <c r="K71" s="89">
        <f>J71</f>
        <v>0.1497</v>
      </c>
      <c r="L71" s="45">
        <f>I71-H71</f>
        <v>-7.9999999999999516E-4</v>
      </c>
      <c r="M71" s="45">
        <f>((I71-H71)/H71)*100</f>
        <v>-0.53156146179401675</v>
      </c>
      <c r="N71" s="46">
        <v>70586</v>
      </c>
      <c r="O71" s="91">
        <v>10570.16</v>
      </c>
      <c r="P71" s="92">
        <f>(R71)/J71</f>
        <v>2.533066132264529E-2</v>
      </c>
      <c r="Q71" s="48">
        <f>J71/G71-1</f>
        <v>0.49699999999999989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70890</v>
      </c>
      <c r="O72" s="60">
        <f>SUM(O70:O71)</f>
        <v>10679.6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2885609.727</v>
      </c>
      <c r="E74" s="39">
        <f>C74*K74</f>
        <v>2885609.727</v>
      </c>
      <c r="F74" s="87" t="s">
        <v>138</v>
      </c>
      <c r="G74" s="87">
        <v>0.1394</v>
      </c>
      <c r="H74" s="88">
        <v>0.1396</v>
      </c>
      <c r="I74" s="88">
        <v>0.1386</v>
      </c>
      <c r="J74" s="89">
        <f>I74</f>
        <v>0.1386</v>
      </c>
      <c r="K74" s="89">
        <f>J74</f>
        <v>0.1386</v>
      </c>
      <c r="L74" s="45">
        <f>I74-H74</f>
        <v>-1.0000000000000009E-3</v>
      </c>
      <c r="M74" s="45">
        <f>((I74-H74)/H74)*100</f>
        <v>-0.71633237822349638</v>
      </c>
      <c r="N74" s="90">
        <v>1860</v>
      </c>
      <c r="O74" s="91">
        <v>257.74</v>
      </c>
      <c r="P74" s="69">
        <f>(R74)/J74</f>
        <v>0</v>
      </c>
      <c r="Q74" s="48">
        <f>J74/G74-1</f>
        <v>-5.7388809182209455E-3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89312.20542653036</v>
      </c>
      <c r="E77" s="39">
        <f>C77*K77</f>
        <v>75886.454469841265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2.8171329507412717E-3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5500</v>
      </c>
      <c r="O77" s="37">
        <v>414.7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305241.32890961261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2.2417503586800573E-3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1136</v>
      </c>
      <c r="O78" s="37">
        <v>68.16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27445.145489598275</v>
      </c>
      <c r="E79" s="39">
        <f>C79*K79</f>
        <v>23319.486666666668</v>
      </c>
      <c r="F79" s="40" t="s">
        <v>138</v>
      </c>
      <c r="G79" s="68">
        <v>6.0499999999999998E-2</v>
      </c>
      <c r="H79" s="42">
        <v>0.105</v>
      </c>
      <c r="I79" s="42">
        <v>0.11</v>
      </c>
      <c r="J79" s="43">
        <f>I79/$J$5</f>
        <v>4.1098756575801048E-3</v>
      </c>
      <c r="K79" s="44">
        <f>I79/$K$4</f>
        <v>3.4920634920634921E-3</v>
      </c>
      <c r="L79" s="45">
        <f>I79-H79</f>
        <v>5.0000000000000044E-3</v>
      </c>
      <c r="M79" s="93">
        <f>((I79-H79)/H79)*100</f>
        <v>4.7619047619047663</v>
      </c>
      <c r="N79" s="37">
        <v>159</v>
      </c>
      <c r="O79" s="37">
        <v>17.489999999999998</v>
      </c>
      <c r="P79" s="40">
        <v>0</v>
      </c>
      <c r="Q79" s="48">
        <f>I79/G79-1</f>
        <v>0.81818181818181834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28632643.247847922</v>
      </c>
      <c r="E80" s="39">
        <f>C80*K80</f>
        <v>24328475.238095239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5.7911884265901485E-2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6795</v>
      </c>
      <c r="O81" s="60">
        <f>SUM(O77:O80)</f>
        <v>500.35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26147023.837278813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3">
        <f>I83/$J$5</f>
        <v>7.0988761358201813E-2</v>
      </c>
      <c r="K83" s="44">
        <f>I83/$K$4</f>
        <v>6.0317460317460311E-2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72989335.416666657</v>
      </c>
      <c r="E84" s="39">
        <f>C84*K84</f>
        <v>62017300.462222226</v>
      </c>
      <c r="F84" s="40" t="s">
        <v>174</v>
      </c>
      <c r="G84" s="40">
        <v>1.44347</v>
      </c>
      <c r="H84" s="42">
        <v>1.051301</v>
      </c>
      <c r="I84" s="42">
        <v>1.061072</v>
      </c>
      <c r="J84" s="43">
        <f>I84/$J$5</f>
        <v>3.9644308943089429E-2</v>
      </c>
      <c r="K84" s="44">
        <f>I84/$K$4</f>
        <v>3.3684825396825401E-2</v>
      </c>
      <c r="L84" s="45">
        <f>I84-H84</f>
        <v>9.7709999999999742E-3</v>
      </c>
      <c r="M84" s="45">
        <f>((I84-H84)/H84*100)</f>
        <v>0.92941983314007814</v>
      </c>
      <c r="N84" s="50">
        <v>122734</v>
      </c>
      <c r="O84" s="37">
        <v>130231.13499999999</v>
      </c>
      <c r="P84" s="47">
        <f>(R84)/J84</f>
        <v>5.4888079979492438E-2</v>
      </c>
      <c r="Q84" s="48">
        <f>I84/G84-1</f>
        <v>-0.26491579319279235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122734</v>
      </c>
      <c r="O85" s="60">
        <f>SUM(O83:O84)</f>
        <v>130231.13499999999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60</v>
      </c>
      <c r="B88" s="110">
        <v>0.67900000000000005</v>
      </c>
      <c r="D88" s="110">
        <v>14.987298899237938</v>
      </c>
      <c r="E88" s="35" t="s">
        <v>86</v>
      </c>
      <c r="F88" s="111">
        <v>1.1815</v>
      </c>
      <c r="H88" s="112">
        <v>-14.999999999999995</v>
      </c>
      <c r="L88" s="35" t="s">
        <v>139</v>
      </c>
      <c r="M88" s="50">
        <v>1.0992</v>
      </c>
      <c r="N88" s="113">
        <v>4.3280182232346105</v>
      </c>
      <c r="O88" s="35" t="s">
        <v>143</v>
      </c>
      <c r="P88" s="111">
        <v>0.68210000000000004</v>
      </c>
      <c r="Q88" s="114">
        <v>-4.9072912310051588</v>
      </c>
    </row>
    <row r="89" spans="1:243" x14ac:dyDescent="0.25">
      <c r="A89" s="35" t="s">
        <v>117</v>
      </c>
      <c r="B89" s="110">
        <v>1.35</v>
      </c>
      <c r="D89" s="110">
        <v>12.500000000000011</v>
      </c>
      <c r="E89" s="35" t="s">
        <v>90</v>
      </c>
      <c r="F89" s="111">
        <v>1.1007640000000001</v>
      </c>
      <c r="H89" s="112">
        <v>-14.346763776709157</v>
      </c>
      <c r="L89" s="35" t="s">
        <v>120</v>
      </c>
      <c r="M89" s="50">
        <v>0.12920000000000001</v>
      </c>
      <c r="N89" s="113">
        <v>4.193548387096782</v>
      </c>
      <c r="O89" s="35" t="s">
        <v>122</v>
      </c>
      <c r="P89" s="111">
        <v>53.724899999999998</v>
      </c>
      <c r="Q89" s="114">
        <v>-1.5423382478260466</v>
      </c>
    </row>
    <row r="90" spans="1:243" x14ac:dyDescent="0.25">
      <c r="A90" s="35" t="s">
        <v>35</v>
      </c>
      <c r="B90" s="110">
        <v>6.8995000000000001E-2</v>
      </c>
      <c r="C90" s="110"/>
      <c r="D90" s="110">
        <v>2.9238457522189956</v>
      </c>
      <c r="E90" s="35" t="s">
        <v>78</v>
      </c>
      <c r="F90" s="111">
        <v>0.74296400000000007</v>
      </c>
      <c r="H90" s="112">
        <v>-13.615567159302689</v>
      </c>
      <c r="L90" s="35" t="s">
        <v>128</v>
      </c>
      <c r="M90" s="50">
        <v>0.12790000000000001</v>
      </c>
      <c r="N90" s="113">
        <v>1.9123505976095725</v>
      </c>
      <c r="O90" s="35" t="s">
        <v>136</v>
      </c>
      <c r="P90" s="111">
        <v>13</v>
      </c>
      <c r="Q90" s="114">
        <v>-0.76335877862595147</v>
      </c>
    </row>
    <row r="91" spans="1:243" x14ac:dyDescent="0.25">
      <c r="A91" s="35" t="s">
        <v>101</v>
      </c>
      <c r="B91" s="110">
        <v>7.45</v>
      </c>
      <c r="C91" s="110"/>
      <c r="D91" s="110">
        <v>2.7586206896551748</v>
      </c>
      <c r="E91" s="35" t="s">
        <v>97</v>
      </c>
      <c r="F91" s="111">
        <v>3.2544959999999996</v>
      </c>
      <c r="G91" s="111"/>
      <c r="H91" s="112">
        <v>-13.097570093457959</v>
      </c>
      <c r="L91" s="35" t="s">
        <v>141</v>
      </c>
      <c r="M91" s="50">
        <v>0.3</v>
      </c>
      <c r="N91" s="113">
        <v>0.8403361344537823</v>
      </c>
      <c r="O91" s="35" t="s">
        <v>124</v>
      </c>
      <c r="P91" s="111">
        <v>0.247</v>
      </c>
      <c r="Q91" s="114">
        <v>-0.72347266881028782</v>
      </c>
    </row>
    <row r="92" spans="1:243" x14ac:dyDescent="0.25">
      <c r="A92" s="35" t="s">
        <v>72</v>
      </c>
      <c r="B92" s="110">
        <v>1.4</v>
      </c>
      <c r="C92" s="110"/>
      <c r="D92" s="110">
        <v>1.8799025154875642</v>
      </c>
      <c r="E92" s="35" t="s">
        <v>58</v>
      </c>
      <c r="F92" s="111">
        <v>9.5892409999999995</v>
      </c>
      <c r="G92" s="111"/>
      <c r="H92" s="112">
        <v>-12.825081818181824</v>
      </c>
      <c r="L92" s="35" t="s">
        <v>147</v>
      </c>
      <c r="M92" s="50">
        <v>0.1004</v>
      </c>
      <c r="N92" s="113">
        <v>0.39999999999999758</v>
      </c>
      <c r="O92" s="35" t="s">
        <v>130</v>
      </c>
      <c r="P92" s="111">
        <v>1.3988</v>
      </c>
      <c r="Q92" s="114">
        <v>-0.17128175849271751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UoxA1fcIaYhZ0pVMeQW9WLl+kEJCvGWscsqpC3UO333UeFtSgVWwkEbJ9YCXotEetQn3D1uE52ur6agNE4AV5A==" saltValue="MUUCE7DdHMR7wxtrfEGH3A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2026-06-22T13:20:08Z</dcterms:created>
  <dcterms:modified xsi:type="dcterms:W3CDTF">2026-06-22T13:26:42Z</dcterms:modified>
</cp:coreProperties>
</file>