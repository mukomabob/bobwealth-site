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27.08.26/"/>
    </mc:Choice>
  </mc:AlternateContent>
  <xr:revisionPtr revIDLastSave="3" documentId="8_{4BEFB380-4D38-453E-95C6-A0828F5D864E}" xr6:coauthVersionLast="47" xr6:coauthVersionMax="47" xr10:uidLastSave="{491CF91B-9C20-4414-92A3-D5159CFDA674}"/>
  <bookViews>
    <workbookView xWindow="-108" yWindow="-108" windowWidth="23256" windowHeight="12456" xr2:uid="{D81B54C5-9867-44CC-B2B4-F1CE651827C3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E84" i="1" s="1"/>
  <c r="J84" i="1"/>
  <c r="D84" i="1"/>
  <c r="Q83" i="1"/>
  <c r="M83" i="1"/>
  <c r="L83" i="1"/>
  <c r="K83" i="1"/>
  <c r="J83" i="1"/>
  <c r="P83" i="1" s="1"/>
  <c r="E83" i="1"/>
  <c r="D83" i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7" i="1"/>
  <c r="M77" i="1"/>
  <c r="L77" i="1"/>
  <c r="K77" i="1"/>
  <c r="J77" i="1"/>
  <c r="E77" i="1"/>
  <c r="D77" i="1"/>
  <c r="M74" i="1"/>
  <c r="L74" i="1"/>
  <c r="J74" i="1"/>
  <c r="D74" i="1" s="1"/>
  <c r="O72" i="1"/>
  <c r="N72" i="1"/>
  <c r="M71" i="1"/>
  <c r="L71" i="1"/>
  <c r="J71" i="1"/>
  <c r="K71" i="1" s="1"/>
  <c r="E71" i="1" s="1"/>
  <c r="D71" i="1"/>
  <c r="Q70" i="1"/>
  <c r="M70" i="1"/>
  <c r="L70" i="1"/>
  <c r="J70" i="1"/>
  <c r="P70" i="1" s="1"/>
  <c r="D70" i="1"/>
  <c r="M67" i="1"/>
  <c r="L67" i="1"/>
  <c r="D67" i="1"/>
  <c r="O65" i="1"/>
  <c r="N65" i="1"/>
  <c r="M64" i="1"/>
  <c r="L64" i="1"/>
  <c r="J64" i="1"/>
  <c r="Q64" i="1" s="1"/>
  <c r="D64" i="1"/>
  <c r="M63" i="1"/>
  <c r="L63" i="1"/>
  <c r="J63" i="1"/>
  <c r="P63" i="1" s="1"/>
  <c r="D63" i="1"/>
  <c r="M62" i="1"/>
  <c r="L62" i="1"/>
  <c r="J62" i="1"/>
  <c r="Q62" i="1" s="1"/>
  <c r="D62" i="1"/>
  <c r="M61" i="1"/>
  <c r="L61" i="1"/>
  <c r="J61" i="1"/>
  <c r="P61" i="1" s="1"/>
  <c r="D61" i="1"/>
  <c r="M60" i="1"/>
  <c r="L60" i="1"/>
  <c r="J60" i="1"/>
  <c r="Q60" i="1" s="1"/>
  <c r="D60" i="1"/>
  <c r="M59" i="1"/>
  <c r="L59" i="1"/>
  <c r="J59" i="1"/>
  <c r="P59" i="1" s="1"/>
  <c r="D59" i="1"/>
  <c r="M58" i="1"/>
  <c r="L58" i="1"/>
  <c r="J58" i="1"/>
  <c r="Q58" i="1" s="1"/>
  <c r="D58" i="1"/>
  <c r="M57" i="1"/>
  <c r="L57" i="1"/>
  <c r="J57" i="1"/>
  <c r="P57" i="1" s="1"/>
  <c r="D57" i="1"/>
  <c r="M56" i="1"/>
  <c r="L56" i="1"/>
  <c r="J56" i="1"/>
  <c r="Q56" i="1" s="1"/>
  <c r="D56" i="1"/>
  <c r="M55" i="1"/>
  <c r="L55" i="1"/>
  <c r="J55" i="1"/>
  <c r="P55" i="1" s="1"/>
  <c r="D55" i="1"/>
  <c r="M54" i="1"/>
  <c r="L54" i="1"/>
  <c r="J54" i="1"/>
  <c r="Q54" i="1" s="1"/>
  <c r="D54" i="1"/>
  <c r="M53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Q51" i="1" s="1"/>
  <c r="D51" i="1"/>
  <c r="Q50" i="1"/>
  <c r="M50" i="1"/>
  <c r="L50" i="1"/>
  <c r="J50" i="1"/>
  <c r="P50" i="1" s="1"/>
  <c r="D50" i="1"/>
  <c r="M49" i="1"/>
  <c r="L49" i="1"/>
  <c r="J49" i="1"/>
  <c r="Q49" i="1" s="1"/>
  <c r="D49" i="1"/>
  <c r="O46" i="1"/>
  <c r="N46" i="1"/>
  <c r="Q45" i="1"/>
  <c r="M45" i="1"/>
  <c r="L45" i="1"/>
  <c r="K45" i="1"/>
  <c r="J45" i="1"/>
  <c r="D45" i="1" s="1"/>
  <c r="E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D42" i="1" s="1"/>
  <c r="E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D39" i="1" s="1"/>
  <c r="E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1" i="1"/>
  <c r="M31" i="1"/>
  <c r="L31" i="1"/>
  <c r="K31" i="1"/>
  <c r="J31" i="1"/>
  <c r="P31" i="1" s="1"/>
  <c r="E31" i="1"/>
  <c r="D31" i="1"/>
  <c r="K30" i="1"/>
  <c r="E30" i="1" s="1"/>
  <c r="J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E27" i="1" s="1"/>
  <c r="J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E21" i="1" s="1"/>
  <c r="J21" i="1"/>
  <c r="P21" i="1" s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D15" i="1" s="1"/>
  <c r="E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D9" i="1" s="1"/>
  <c r="E9" i="1"/>
  <c r="K74" i="1" l="1"/>
  <c r="E74" i="1" s="1"/>
  <c r="P49" i="1"/>
  <c r="Q53" i="1"/>
  <c r="Q55" i="1"/>
  <c r="Q57" i="1"/>
  <c r="Q59" i="1"/>
  <c r="Q61" i="1"/>
  <c r="Q63" i="1"/>
  <c r="P74" i="1"/>
  <c r="Q74" i="1"/>
  <c r="P71" i="1"/>
  <c r="K70" i="1"/>
  <c r="E70" i="1" s="1"/>
  <c r="Q71" i="1"/>
  <c r="P9" i="1"/>
  <c r="P12" i="1"/>
  <c r="P15" i="1"/>
  <c r="D21" i="1"/>
  <c r="P39" i="1"/>
  <c r="P42" i="1"/>
  <c r="P52" i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<sst xmlns="http://schemas.openxmlformats.org/spreadsheetml/2006/main" count="268" uniqueCount="185">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</sst>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164" fontId="15" fillId="5" borderId="0" xfId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EEF03CCE-82D7-40B4-B674-95C40C6B0142}"/>
    <cellStyle name="Comma 5 2 2 2 2 2 2 2 2 2 2" xfId="5" xr:uid="{D11AFF77-BE2F-4528-82A5-02E14C43C0EE}"/>
    <cellStyle name="Comma 6 2 2 2 2 2" xfId="6" xr:uid="{B78ADA8A-C137-4AFE-B79B-32B0A9F40775}"/>
    <cellStyle name="Hyperlink 2" xfId="9" xr:uid="{28F31F6B-770D-4AD4-9690-E21342B43975}"/>
    <cellStyle name="Normal" xfId="0" builtinId="0"/>
    <cellStyle name="Normal 2" xfId="3" xr:uid="{332AF578-FD23-45D4-A6D4-F81ED3A7D6C3}"/>
    <cellStyle name="Normal 20" xfId="8" xr:uid="{221286E8-8E91-4634-AD1C-BAD274F81933}"/>
    <cellStyle name="Percent" xfId="2" builtinId="5"/>
    <cellStyle name="Percent 3" xfId="7" xr:uid="{EA6DEAE2-21E8-4C98-8B9A-170159F984C2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3FE0DB7A-C802-45DC-9822-4A5783AD1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3126FBE-C6DF-4AAD-8A20-82BC6E591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FD89-6A84-4EF6-BD71-ED14BA470C9A}">
  <dimension ref="A1:II106"/>
  <sheetViews>
    <sheetView tabSelected="1" zoomScale="60" zoomScaleNormal="60" workbookViewId="0">
      <selection activeCell="K89" sqref="K89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26.493300000000001</v>
      </c>
      <c r="K5" s="22"/>
      <c r="L5" s="146" t="s">
        <v>12</v>
      </c>
      <c r="M5" s="147"/>
      <c r="N5" s="23" t="s">
        <v>13</v>
      </c>
      <c r="O5" s="24"/>
      <c r="P5" s="24"/>
      <c r="Q5" s="25"/>
    </row>
    <row r="6" spans="1:19" ht="6.6" customHeight="1" x14ac:dyDescent="0.3">
      <c r="A6" s="136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9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79683423.85622026</v>
      </c>
      <c r="E9" s="39">
        <f t="shared" ref="E9:E45" si="1">C9*K9</f>
        <v>67018312.801587299</v>
      </c>
      <c r="F9" s="40" t="s">
        <v>34</v>
      </c>
      <c r="G9" s="41">
        <v>8.9894999999999996</v>
      </c>
      <c r="H9" s="42">
        <v>16.75</v>
      </c>
      <c r="I9" s="43">
        <v>16.75</v>
      </c>
      <c r="J9" s="44">
        <f>(I9/$J$5)</f>
        <v>0.63223531987332648</v>
      </c>
      <c r="K9" s="45">
        <f t="shared" ref="K9:K17" si="2">I9/$K$4</f>
        <v>0.53174603174603174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2.3725343283582088E-2</v>
      </c>
      <c r="Q9" s="49">
        <f t="shared" ref="Q9:Q17" si="6">I9/G9-1</f>
        <v>0.86328494354524721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3688181.0236924049</v>
      </c>
      <c r="E10" s="39">
        <f t="shared" si="1"/>
        <v>3101970.9941266663</v>
      </c>
      <c r="F10" s="40" t="s">
        <v>34</v>
      </c>
      <c r="G10" s="41">
        <v>3.1600000000000003E-2</v>
      </c>
      <c r="H10" s="42">
        <v>0.06</v>
      </c>
      <c r="I10" s="43">
        <v>6.0041999999999998E-2</v>
      </c>
      <c r="J10" s="44">
        <f t="shared" ref="J10:J17" si="7">I10/$J$5</f>
        <v>2.2663088403483142E-3</v>
      </c>
      <c r="K10" s="45">
        <f t="shared" si="2"/>
        <v>1.906095238095238E-3</v>
      </c>
      <c r="L10" s="46">
        <f t="shared" si="3"/>
        <v>4.200000000000037E-5</v>
      </c>
      <c r="M10" s="46">
        <f t="shared" si="4"/>
        <v>7.0000000000000617E-2</v>
      </c>
      <c r="N10" s="47">
        <v>55100</v>
      </c>
      <c r="O10" s="37">
        <v>3308.3</v>
      </c>
      <c r="P10" s="51">
        <f t="shared" si="5"/>
        <v>0</v>
      </c>
      <c r="Q10" s="49">
        <f t="shared" si="6"/>
        <v>0.90006329113924033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3958531.6347906827</v>
      </c>
      <c r="E11" s="39">
        <f t="shared" si="1"/>
        <v>3329351.3066666666</v>
      </c>
      <c r="F11" s="40" t="s">
        <v>39</v>
      </c>
      <c r="G11" s="41">
        <v>7.8E-2</v>
      </c>
      <c r="H11" s="42">
        <v>0.24</v>
      </c>
      <c r="I11" s="43">
        <v>0.24</v>
      </c>
      <c r="J11" s="44">
        <f t="shared" si="7"/>
        <v>9.058894135498409E-3</v>
      </c>
      <c r="K11" s="45">
        <f t="shared" si="2"/>
        <v>7.619047619047619E-3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2.0769230769230766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140187245.19940889</v>
      </c>
      <c r="E12" s="39">
        <f t="shared" si="1"/>
        <v>117905483.91242859</v>
      </c>
      <c r="F12" s="40" t="s">
        <v>34</v>
      </c>
      <c r="G12" s="41">
        <v>97.381</v>
      </c>
      <c r="H12" s="42">
        <v>179.99950000000001</v>
      </c>
      <c r="I12" s="43">
        <v>179.99950000000001</v>
      </c>
      <c r="J12" s="44">
        <f t="shared" si="7"/>
        <v>6.7941517289276909</v>
      </c>
      <c r="K12" s="45">
        <f t="shared" si="2"/>
        <v>5.7142698412698421</v>
      </c>
      <c r="L12" s="46">
        <f t="shared" si="3"/>
        <v>0</v>
      </c>
      <c r="M12" s="46">
        <f t="shared" si="4"/>
        <v>0</v>
      </c>
      <c r="N12" s="47">
        <v>300</v>
      </c>
      <c r="O12" s="37">
        <v>53999.85</v>
      </c>
      <c r="P12" s="51">
        <f t="shared" si="5"/>
        <v>0</v>
      </c>
      <c r="Q12" s="49">
        <f t="shared" si="6"/>
        <v>0.84840471960649411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8242751.9410567954</v>
      </c>
      <c r="E13" s="39">
        <f t="shared" si="1"/>
        <v>6932625.3968253965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0.94363480578108427</v>
      </c>
      <c r="K13" s="45">
        <f t="shared" si="2"/>
        <v>0.79365079365079361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788136076.92322206</v>
      </c>
      <c r="E14" s="39">
        <f t="shared" si="1"/>
        <v>662867477.03968263</v>
      </c>
      <c r="F14" s="40" t="s">
        <v>47</v>
      </c>
      <c r="G14" s="41">
        <v>11.5</v>
      </c>
      <c r="H14" s="42">
        <v>39.961500000000001</v>
      </c>
      <c r="I14" s="43">
        <v>39.950000000000003</v>
      </c>
      <c r="J14" s="44">
        <f t="shared" si="7"/>
        <v>1.5079284196381726</v>
      </c>
      <c r="K14" s="45">
        <f t="shared" si="2"/>
        <v>1.2682539682539684</v>
      </c>
      <c r="L14" s="46">
        <f t="shared" si="3"/>
        <v>-1.1499999999998067E-2</v>
      </c>
      <c r="M14" s="46">
        <f t="shared" si="4"/>
        <v>-2.8777698534834948E-2</v>
      </c>
      <c r="N14" s="47">
        <v>300</v>
      </c>
      <c r="O14" s="37">
        <v>11985</v>
      </c>
      <c r="P14" s="51">
        <f t="shared" si="5"/>
        <v>0</v>
      </c>
      <c r="Q14" s="49">
        <f t="shared" si="6"/>
        <v>2.473913043478261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27617625.493992824</v>
      </c>
      <c r="E15" s="39">
        <f t="shared" si="1"/>
        <v>23228001.19047619</v>
      </c>
      <c r="F15" s="40" t="s">
        <v>34</v>
      </c>
      <c r="G15" s="41">
        <v>5.39</v>
      </c>
      <c r="H15" s="42">
        <v>6.9</v>
      </c>
      <c r="I15" s="43">
        <v>6.9</v>
      </c>
      <c r="J15" s="44">
        <f t="shared" si="7"/>
        <v>0.26044320639557927</v>
      </c>
      <c r="K15" s="45">
        <f t="shared" si="2"/>
        <v>0.21904761904761905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0.28014842300556597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60807972.619492479</v>
      </c>
      <c r="E16" s="39">
        <f t="shared" si="1"/>
        <v>51142979.714285709</v>
      </c>
      <c r="F16" s="40" t="s">
        <v>34</v>
      </c>
      <c r="G16" s="41">
        <v>1.9</v>
      </c>
      <c r="H16" s="42">
        <v>3.96</v>
      </c>
      <c r="I16" s="43">
        <v>4.5</v>
      </c>
      <c r="J16" s="44">
        <f t="shared" si="7"/>
        <v>0.16985426504059517</v>
      </c>
      <c r="K16" s="45">
        <f t="shared" si="2"/>
        <v>0.14285714285714285</v>
      </c>
      <c r="L16" s="46">
        <f t="shared" si="3"/>
        <v>0.54</v>
      </c>
      <c r="M16" s="46">
        <f t="shared" si="4"/>
        <v>13.636363636363638</v>
      </c>
      <c r="N16" s="47">
        <v>100</v>
      </c>
      <c r="O16" s="37">
        <v>450</v>
      </c>
      <c r="P16" s="51">
        <f t="shared" si="5"/>
        <v>0.29437000000000002</v>
      </c>
      <c r="Q16" s="49">
        <f t="shared" si="6"/>
        <v>1.3684210526315792</v>
      </c>
      <c r="R16" s="50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1617653383.0367301</v>
      </c>
      <c r="E17" s="39">
        <f t="shared" si="1"/>
        <v>1360538932.4700637</v>
      </c>
      <c r="F17" s="40" t="s">
        <v>34</v>
      </c>
      <c r="G17" s="41">
        <v>20.701700000000002</v>
      </c>
      <c r="H17" s="42">
        <v>31.937399999999997</v>
      </c>
      <c r="I17" s="43">
        <v>31.7986</v>
      </c>
      <c r="J17" s="44">
        <f t="shared" si="7"/>
        <v>1.2002506294044155</v>
      </c>
      <c r="K17" s="45">
        <f t="shared" si="2"/>
        <v>1.0094793650793652</v>
      </c>
      <c r="L17" s="46">
        <f t="shared" si="3"/>
        <v>-0.13879999999999626</v>
      </c>
      <c r="M17" s="46">
        <f t="shared" si="4"/>
        <v>-0.43460018661505406</v>
      </c>
      <c r="N17" s="47">
        <v>78400</v>
      </c>
      <c r="O17" s="37">
        <v>2493013</v>
      </c>
      <c r="P17" s="48">
        <f t="shared" si="5"/>
        <v>0</v>
      </c>
      <c r="Q17" s="49">
        <f t="shared" si="6"/>
        <v>0.53603810315094869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342400682.98399973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0.50956279512178548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2700</v>
      </c>
      <c r="O19" s="37">
        <v>36450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3782444.1545598316</v>
      </c>
      <c r="E20" s="39">
        <f t="shared" si="1"/>
        <v>3181251.6736507937</v>
      </c>
      <c r="F20" s="40" t="s">
        <v>47</v>
      </c>
      <c r="G20" s="41">
        <v>0.35</v>
      </c>
      <c r="H20" s="42">
        <v>0.92</v>
      </c>
      <c r="I20" s="43">
        <v>0.92</v>
      </c>
      <c r="J20" s="44">
        <f t="shared" si="8"/>
        <v>3.4725760852743898E-2</v>
      </c>
      <c r="K20" s="45">
        <f t="shared" si="9"/>
        <v>2.9206349206349208E-2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1.628571428571429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87266563.659491271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0.12644706397466529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2096141.3998543778</v>
      </c>
      <c r="E23" s="39">
        <f t="shared" si="1"/>
        <v>1762974.6967860952</v>
      </c>
      <c r="F23" s="40" t="s">
        <v>44</v>
      </c>
      <c r="G23" s="41">
        <v>0.1</v>
      </c>
      <c r="H23" s="42">
        <v>0.09</v>
      </c>
      <c r="I23" s="43">
        <v>0.10349399999999999</v>
      </c>
      <c r="J23" s="44">
        <f t="shared" si="8"/>
        <v>3.9064216235803004E-3</v>
      </c>
      <c r="K23" s="45">
        <f t="shared" si="9"/>
        <v>3.2855238095238094E-3</v>
      </c>
      <c r="L23" s="46">
        <f t="shared" si="10"/>
        <v>1.3493999999999992E-2</v>
      </c>
      <c r="M23" s="46">
        <f t="shared" ref="M23:M29" si="12">((I23-H23)/H23)*100</f>
        <v>14.993333333333325</v>
      </c>
      <c r="N23" s="47">
        <v>50100</v>
      </c>
      <c r="O23" s="37">
        <v>5185.05</v>
      </c>
      <c r="P23" s="51">
        <f t="shared" ref="P23:P29" si="13">(R23)/J23</f>
        <v>0</v>
      </c>
      <c r="Q23" s="49">
        <f t="shared" si="11"/>
        <v>3.4939999999999749E-2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78320596.641415</v>
      </c>
      <c r="E24" s="39">
        <f t="shared" si="1"/>
        <v>65872097.238095239</v>
      </c>
      <c r="F24" s="40" t="s">
        <v>34</v>
      </c>
      <c r="G24" s="41">
        <v>8.1687659999999997</v>
      </c>
      <c r="H24" s="42">
        <v>10.75</v>
      </c>
      <c r="I24" s="43">
        <v>10.75</v>
      </c>
      <c r="J24" s="44">
        <f t="shared" si="8"/>
        <v>0.40576296648586624</v>
      </c>
      <c r="K24" s="45">
        <f t="shared" si="9"/>
        <v>0.34126984126984128</v>
      </c>
      <c r="L24" s="46">
        <f t="shared" si="10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3.6967395348837209E-2</v>
      </c>
      <c r="Q24" s="49">
        <f t="shared" si="11"/>
        <v>0.31598824106358303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99632766.623907551</v>
      </c>
      <c r="E25" s="39">
        <f t="shared" si="1"/>
        <v>83796850.031656191</v>
      </c>
      <c r="F25" s="40" t="s">
        <v>66</v>
      </c>
      <c r="G25" s="41">
        <v>1.6675</v>
      </c>
      <c r="H25" s="42">
        <v>1.56413</v>
      </c>
      <c r="I25" s="43">
        <v>1.56413</v>
      </c>
      <c r="J25" s="44">
        <f t="shared" si="8"/>
        <v>5.9038700350654692E-2</v>
      </c>
      <c r="K25" s="45">
        <f t="shared" si="9"/>
        <v>4.9654920634920635E-2</v>
      </c>
      <c r="L25" s="46">
        <f t="shared" si="10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11"/>
        <v>-6.1991004497751079E-2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23493074.78494563</v>
      </c>
      <c r="E26" s="39">
        <f t="shared" si="1"/>
        <v>19759018.355555557</v>
      </c>
      <c r="F26" s="40" t="s">
        <v>44</v>
      </c>
      <c r="G26" s="41">
        <v>1.7994999999999999</v>
      </c>
      <c r="H26" s="42">
        <v>2.6</v>
      </c>
      <c r="I26" s="43">
        <v>2.6</v>
      </c>
      <c r="J26" s="44">
        <f t="shared" si="8"/>
        <v>9.8138019801232768E-2</v>
      </c>
      <c r="K26" s="45">
        <f t="shared" si="9"/>
        <v>8.2539682539682538E-2</v>
      </c>
      <c r="L26" s="46">
        <f t="shared" si="10"/>
        <v>0</v>
      </c>
      <c r="M26" s="46">
        <f t="shared" si="12"/>
        <v>0</v>
      </c>
      <c r="N26" s="47">
        <v>300</v>
      </c>
      <c r="O26" s="37">
        <v>780</v>
      </c>
      <c r="P26" s="51">
        <f t="shared" si="13"/>
        <v>0</v>
      </c>
      <c r="Q26" s="49">
        <f t="shared" si="11"/>
        <v>0.44484579049736062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24309399.809986897</v>
      </c>
      <c r="E27" s="39">
        <f t="shared" si="1"/>
        <v>20445594.348759554</v>
      </c>
      <c r="F27" s="40" t="s">
        <v>34</v>
      </c>
      <c r="G27" s="41">
        <v>3.1361369999999997</v>
      </c>
      <c r="H27" s="42">
        <v>2.4992080000000003</v>
      </c>
      <c r="I27" s="43">
        <v>2.5142859999999998</v>
      </c>
      <c r="J27" s="44">
        <f t="shared" si="8"/>
        <v>9.4902711251523955E-2</v>
      </c>
      <c r="K27" s="45">
        <f t="shared" si="9"/>
        <v>7.9818603174603167E-2</v>
      </c>
      <c r="L27" s="46">
        <f t="shared" si="10"/>
        <v>1.5077999999999481E-2</v>
      </c>
      <c r="M27" s="46">
        <f t="shared" si="12"/>
        <v>0.60331112896563543</v>
      </c>
      <c r="N27" s="47">
        <v>10500</v>
      </c>
      <c r="O27" s="37">
        <v>26400</v>
      </c>
      <c r="P27" s="51">
        <f t="shared" si="13"/>
        <v>0</v>
      </c>
      <c r="Q27" s="49">
        <f t="shared" si="11"/>
        <v>-0.19828566162766481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28522233.961039204</v>
      </c>
      <c r="E28" s="39">
        <f t="shared" si="1"/>
        <v>23988828.603174601</v>
      </c>
      <c r="F28" s="40" t="s">
        <v>44</v>
      </c>
      <c r="G28" s="41">
        <v>0.8</v>
      </c>
      <c r="H28" s="42">
        <v>1</v>
      </c>
      <c r="I28" s="43">
        <v>1</v>
      </c>
      <c r="J28" s="44">
        <f t="shared" si="8"/>
        <v>3.7745392231243367E-2</v>
      </c>
      <c r="K28" s="45">
        <f t="shared" si="9"/>
        <v>3.1746031746031744E-2</v>
      </c>
      <c r="L28" s="46">
        <f t="shared" si="10"/>
        <v>0</v>
      </c>
      <c r="M28" s="46">
        <f t="shared" si="12"/>
        <v>0</v>
      </c>
      <c r="N28" s="47">
        <v>0</v>
      </c>
      <c r="O28" s="37">
        <v>0</v>
      </c>
      <c r="P28" s="51">
        <f t="shared" si="13"/>
        <v>0</v>
      </c>
      <c r="Q28" s="49">
        <f t="shared" si="11"/>
        <v>0.25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105105956.28328671</v>
      </c>
      <c r="E29" s="39">
        <f t="shared" si="1"/>
        <v>88400115.288888887</v>
      </c>
      <c r="F29" s="40" t="s">
        <v>47</v>
      </c>
      <c r="G29" s="41">
        <v>5.15</v>
      </c>
      <c r="H29" s="42">
        <v>6</v>
      </c>
      <c r="I29" s="43">
        <v>6.2</v>
      </c>
      <c r="J29" s="44">
        <f t="shared" si="8"/>
        <v>0.23402143183370888</v>
      </c>
      <c r="K29" s="45">
        <f t="shared" si="9"/>
        <v>0.19682539682539682</v>
      </c>
      <c r="L29" s="46">
        <f t="shared" si="10"/>
        <v>0.20000000000000018</v>
      </c>
      <c r="M29" s="46">
        <f t="shared" si="12"/>
        <v>3.3333333333333361</v>
      </c>
      <c r="N29" s="47">
        <v>200</v>
      </c>
      <c r="O29" s="37">
        <v>1240</v>
      </c>
      <c r="P29" s="51">
        <f t="shared" si="13"/>
        <v>0</v>
      </c>
      <c r="Q29" s="49">
        <f t="shared" si="11"/>
        <v>0.20388349514563098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11770505.14658423</v>
      </c>
      <c r="E31" s="39">
        <f t="shared" si="1"/>
        <v>9899667.4285714272</v>
      </c>
      <c r="F31" s="40" t="s">
        <v>39</v>
      </c>
      <c r="G31" s="41">
        <v>1.4</v>
      </c>
      <c r="H31" s="42">
        <v>1.2</v>
      </c>
      <c r="I31" s="43">
        <v>1.2</v>
      </c>
      <c r="J31" s="44">
        <f t="shared" si="8"/>
        <v>4.5294470677492038E-2</v>
      </c>
      <c r="K31" s="45">
        <f t="shared" si="9"/>
        <v>3.8095238095238092E-2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-0.14285714285714279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4513929.2047423301</v>
      </c>
      <c r="E32" s="39">
        <f t="shared" si="1"/>
        <v>3796472.4</v>
      </c>
      <c r="F32" s="40" t="s">
        <v>39</v>
      </c>
      <c r="G32" s="41">
        <v>0.65</v>
      </c>
      <c r="H32" s="42">
        <v>0.98</v>
      </c>
      <c r="I32" s="43">
        <v>0.98</v>
      </c>
      <c r="J32" s="44">
        <f t="shared" si="8"/>
        <v>3.6990484386618498E-2</v>
      </c>
      <c r="K32" s="45">
        <f t="shared" si="9"/>
        <v>3.111111111111111E-2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0.50769230769230766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146498520.19396007</v>
      </c>
      <c r="E33" s="39">
        <f t="shared" si="1"/>
        <v>123213626.82713149</v>
      </c>
      <c r="F33" s="40" t="s">
        <v>92</v>
      </c>
      <c r="G33" s="41">
        <v>1.44</v>
      </c>
      <c r="H33" s="42">
        <v>1.586071</v>
      </c>
      <c r="I33" s="43">
        <v>1.5552940000000002</v>
      </c>
      <c r="J33" s="44">
        <f t="shared" si="8"/>
        <v>5.8705182064899428E-2</v>
      </c>
      <c r="K33" s="45">
        <f t="shared" si="9"/>
        <v>4.9374412698412702E-2</v>
      </c>
      <c r="L33" s="46">
        <f t="shared" si="14"/>
        <v>-3.0776999999999832E-2</v>
      </c>
      <c r="M33" s="46">
        <f t="shared" si="15"/>
        <v>-1.9404553768399921</v>
      </c>
      <c r="N33" s="47">
        <v>3400</v>
      </c>
      <c r="O33" s="37">
        <v>5288</v>
      </c>
      <c r="P33" s="51">
        <f t="shared" si="16"/>
        <v>0</v>
      </c>
      <c r="Q33" s="49">
        <f t="shared" si="17"/>
        <v>8.0065277777777943E-2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52625056.391615987</v>
      </c>
      <c r="E34" s="39">
        <f t="shared" si="1"/>
        <v>44260679.571428567</v>
      </c>
      <c r="F34" s="40" t="s">
        <v>34</v>
      </c>
      <c r="G34" s="41">
        <v>3.6056249999999999</v>
      </c>
      <c r="H34" s="42">
        <v>5.5015260000000001</v>
      </c>
      <c r="I34" s="43">
        <v>5.5</v>
      </c>
      <c r="J34" s="44">
        <f t="shared" si="8"/>
        <v>0.20759965727183852</v>
      </c>
      <c r="K34" s="45">
        <f t="shared" si="9"/>
        <v>0.17460317460317459</v>
      </c>
      <c r="L34" s="46">
        <f t="shared" si="14"/>
        <v>-1.5260000000001384E-3</v>
      </c>
      <c r="M34" s="46">
        <f t="shared" si="15"/>
        <v>-2.77377585782588E-2</v>
      </c>
      <c r="N34" s="47">
        <v>47000</v>
      </c>
      <c r="O34" s="37">
        <v>258500</v>
      </c>
      <c r="P34" s="51">
        <f t="shared" si="16"/>
        <v>0</v>
      </c>
      <c r="Q34" s="49">
        <f t="shared" si="17"/>
        <v>0.52539434910729765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6911213.7463678736</v>
      </c>
      <c r="E35" s="39">
        <f t="shared" si="1"/>
        <v>5812725.6871951744</v>
      </c>
      <c r="F35" s="40" t="s">
        <v>34</v>
      </c>
      <c r="G35" s="41">
        <v>2.5099999999999997E-2</v>
      </c>
      <c r="H35" s="42">
        <v>3.8515000000000001E-2</v>
      </c>
      <c r="I35" s="43">
        <v>3.8832999999999999E-2</v>
      </c>
      <c r="J35" s="44">
        <f t="shared" si="8"/>
        <v>1.4657668165158737E-3</v>
      </c>
      <c r="K35" s="45">
        <f t="shared" si="9"/>
        <v>1.2327936507936508E-3</v>
      </c>
      <c r="L35" s="46">
        <f t="shared" si="14"/>
        <v>3.1799999999999884E-4</v>
      </c>
      <c r="M35" s="46">
        <f t="shared" si="15"/>
        <v>0.82565234324288928</v>
      </c>
      <c r="N35" s="47">
        <v>1171000</v>
      </c>
      <c r="O35" s="37">
        <v>45473.67</v>
      </c>
      <c r="P35" s="51">
        <f t="shared" si="16"/>
        <v>0</v>
      </c>
      <c r="Q35" s="49">
        <f t="shared" si="17"/>
        <v>0.54713147410358576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87385346.036054403</v>
      </c>
      <c r="E36" s="39">
        <f t="shared" si="1"/>
        <v>73496069.464666665</v>
      </c>
      <c r="F36" s="40" t="s">
        <v>92</v>
      </c>
      <c r="G36" s="41">
        <v>0.61</v>
      </c>
      <c r="H36" s="42">
        <v>4.3879199999999994</v>
      </c>
      <c r="I36" s="43">
        <v>4.4089999999999998</v>
      </c>
      <c r="J36" s="44">
        <f t="shared" si="8"/>
        <v>0.16641943434755202</v>
      </c>
      <c r="K36" s="45">
        <f t="shared" si="9"/>
        <v>0.13996825396825396</v>
      </c>
      <c r="L36" s="46">
        <f t="shared" si="14"/>
        <v>2.1080000000000432E-2</v>
      </c>
      <c r="M36" s="46">
        <f t="shared" si="15"/>
        <v>0.48040985250415769</v>
      </c>
      <c r="N36" s="47">
        <v>1000</v>
      </c>
      <c r="O36" s="37">
        <v>4409</v>
      </c>
      <c r="P36" s="51">
        <f t="shared" si="16"/>
        <v>0</v>
      </c>
      <c r="Q36" s="49">
        <f t="shared" si="17"/>
        <v>6.2278688524590162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45369900.033793636</v>
      </c>
      <c r="E37" s="39">
        <f t="shared" si="1"/>
        <v>38158678.494136661</v>
      </c>
      <c r="F37" s="40" t="s">
        <v>56</v>
      </c>
      <c r="G37" s="41">
        <v>0.11650199999999999</v>
      </c>
      <c r="H37" s="42">
        <v>0.277613</v>
      </c>
      <c r="I37" s="43">
        <v>0.28654499999999999</v>
      </c>
      <c r="J37" s="44">
        <f t="shared" si="8"/>
        <v>1.081575341690163E-2</v>
      </c>
      <c r="K37" s="45">
        <f t="shared" si="9"/>
        <v>9.0966666666666661E-3</v>
      </c>
      <c r="L37" s="46">
        <f t="shared" si="14"/>
        <v>8.9319999999999955E-3</v>
      </c>
      <c r="M37" s="46">
        <f t="shared" si="15"/>
        <v>3.2174285786328438</v>
      </c>
      <c r="N37" s="47">
        <v>1100</v>
      </c>
      <c r="O37" s="37">
        <v>315.2</v>
      </c>
      <c r="P37" s="51">
        <v>0</v>
      </c>
      <c r="Q37" s="49">
        <f t="shared" si="17"/>
        <v>1.4595715095019828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20478658.419120528</v>
      </c>
      <c r="E38" s="39">
        <f t="shared" si="1"/>
        <v>17223721.939532887</v>
      </c>
      <c r="F38" s="40" t="s">
        <v>39</v>
      </c>
      <c r="G38" s="41">
        <v>0.1</v>
      </c>
      <c r="H38" s="42">
        <v>0.12571399999999999</v>
      </c>
      <c r="I38" s="43">
        <v>0.12571399999999999</v>
      </c>
      <c r="J38" s="44">
        <f t="shared" si="8"/>
        <v>4.7451242389585282E-3</v>
      </c>
      <c r="K38" s="45">
        <f t="shared" si="9"/>
        <v>3.9909206349206345E-3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0.25713999999999992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9243497.2276009396</v>
      </c>
      <c r="E39" s="39">
        <f t="shared" si="1"/>
        <v>7774309.3682539668</v>
      </c>
      <c r="F39" s="40" t="s">
        <v>44</v>
      </c>
      <c r="G39" s="41">
        <v>1.7452379999999998</v>
      </c>
      <c r="H39" s="42">
        <v>2</v>
      </c>
      <c r="I39" s="43">
        <v>2.2999999999999998</v>
      </c>
      <c r="J39" s="44">
        <f t="shared" si="8"/>
        <v>8.6814402131859744E-2</v>
      </c>
      <c r="K39" s="45">
        <f t="shared" si="9"/>
        <v>7.3015873015873006E-2</v>
      </c>
      <c r="L39" s="46">
        <f t="shared" si="14"/>
        <v>0.29999999999999982</v>
      </c>
      <c r="M39" s="46">
        <f t="shared" si="15"/>
        <v>14.999999999999991</v>
      </c>
      <c r="N39" s="47">
        <v>4200</v>
      </c>
      <c r="O39" s="37">
        <v>9660</v>
      </c>
      <c r="P39" s="51">
        <f t="shared" si="18"/>
        <v>0</v>
      </c>
      <c r="Q39" s="49">
        <f t="shared" si="17"/>
        <v>0.31787183180746692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4890203.5629414227</v>
      </c>
      <c r="E40" s="39">
        <f t="shared" si="1"/>
        <v>4112940.6366373333</v>
      </c>
      <c r="F40" s="40" t="s">
        <v>39</v>
      </c>
      <c r="G40" s="41">
        <v>0.03</v>
      </c>
      <c r="H40" s="42">
        <v>7.0199999999999999E-2</v>
      </c>
      <c r="I40" s="43">
        <v>7.2867000000000001E-2</v>
      </c>
      <c r="J40" s="44">
        <f t="shared" si="8"/>
        <v>2.7503934957140105E-3</v>
      </c>
      <c r="K40" s="45">
        <f t="shared" si="9"/>
        <v>2.3132380952380952E-3</v>
      </c>
      <c r="L40" s="46">
        <f t="shared" si="14"/>
        <v>2.6670000000000027E-3</v>
      </c>
      <c r="M40" s="46">
        <f t="shared" si="15"/>
        <v>3.7991452991453034</v>
      </c>
      <c r="N40" s="47">
        <v>37600</v>
      </c>
      <c r="O40" s="37">
        <v>2739.8</v>
      </c>
      <c r="P40" s="51">
        <f t="shared" si="18"/>
        <v>0</v>
      </c>
      <c r="Q40" s="49">
        <f t="shared" si="17"/>
        <v>1.4289000000000001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46288476.482733369</v>
      </c>
      <c r="E41" s="39">
        <f t="shared" si="1"/>
        <v>38931253.777777776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0.26421774561870359</v>
      </c>
      <c r="K41" s="45">
        <f t="shared" si="9"/>
        <v>0.22222222222222221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314.7995114991337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6.7941706016238062E-7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1565376.9066141252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2.7176682406495228E-3</v>
      </c>
      <c r="K43" s="45">
        <f t="shared" si="9"/>
        <v>2.2857142857142859E-3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46839552.696153365</v>
      </c>
      <c r="E44" s="39">
        <f t="shared" si="1"/>
        <v>39394740.363333337</v>
      </c>
      <c r="F44" s="40" t="s">
        <v>47</v>
      </c>
      <c r="G44" s="41">
        <v>0.9998999999999999</v>
      </c>
      <c r="H44" s="42">
        <v>0.78</v>
      </c>
      <c r="I44" s="43">
        <v>0.6825</v>
      </c>
      <c r="J44" s="44">
        <f t="shared" si="8"/>
        <v>2.5761230197823601E-2</v>
      </c>
      <c r="K44" s="45">
        <f t="shared" si="9"/>
        <v>2.1666666666666667E-2</v>
      </c>
      <c r="L44" s="46">
        <f t="shared" si="14"/>
        <v>-9.7500000000000031E-2</v>
      </c>
      <c r="M44" s="46">
        <f t="shared" si="15"/>
        <v>-12.500000000000004</v>
      </c>
      <c r="N44" s="47">
        <v>1200</v>
      </c>
      <c r="O44" s="37">
        <v>819</v>
      </c>
      <c r="P44" s="51">
        <f t="shared" si="18"/>
        <v>0</v>
      </c>
      <c r="Q44" s="49">
        <f t="shared" si="17"/>
        <v>-0.31743174317431733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10476236.621393332</v>
      </c>
      <c r="E45" s="39">
        <f t="shared" si="1"/>
        <v>8811113.6406844445</v>
      </c>
      <c r="F45" s="40" t="s">
        <v>47</v>
      </c>
      <c r="G45" s="41">
        <v>1.4503460000000001</v>
      </c>
      <c r="H45" s="42">
        <v>2.87</v>
      </c>
      <c r="I45" s="43">
        <v>2.7022029999999999</v>
      </c>
      <c r="J45" s="44">
        <f t="shared" si="8"/>
        <v>0.10199571212344252</v>
      </c>
      <c r="K45" s="45">
        <f t="shared" si="9"/>
        <v>8.578422222222222E-2</v>
      </c>
      <c r="L45" s="46">
        <f t="shared" si="14"/>
        <v>-0.1677970000000002</v>
      </c>
      <c r="M45" s="46">
        <f t="shared" si="15"/>
        <v>-5.8465853658536657</v>
      </c>
      <c r="N45" s="47">
        <v>39500</v>
      </c>
      <c r="O45" s="37">
        <v>106737</v>
      </c>
      <c r="P45" s="51">
        <v>0</v>
      </c>
      <c r="Q45" s="49">
        <f t="shared" si="17"/>
        <v>0.86314369122954093</v>
      </c>
      <c r="R45" s="50"/>
    </row>
    <row r="46" spans="1:18" ht="14.25" customHeight="1" thickBot="1" x14ac:dyDescent="0.4">
      <c r="A46" s="57"/>
      <c r="B46" s="58" t="s">
        <v>117</v>
      </c>
      <c r="C46" s="59"/>
      <c r="D46" s="60"/>
      <c r="E46" s="60"/>
      <c r="F46" s="61"/>
      <c r="G46" s="61"/>
      <c r="H46" s="46"/>
      <c r="I46" s="46"/>
      <c r="J46" s="46"/>
      <c r="K46" s="46"/>
      <c r="L46" s="46"/>
      <c r="M46" s="46"/>
      <c r="N46" s="61">
        <f>SUM(N9:N45)</f>
        <v>1504000</v>
      </c>
      <c r="O46" s="61">
        <f>SUM(O9:O45)</f>
        <v>3066752.8699999996</v>
      </c>
      <c r="P46" s="62"/>
      <c r="Q46" s="63"/>
    </row>
    <row r="47" spans="1:18" ht="13.5" customHeight="1" x14ac:dyDescent="0.35">
      <c r="A47" s="64"/>
      <c r="B47" s="65" t="s">
        <v>117</v>
      </c>
      <c r="C47" s="66"/>
      <c r="D47" s="66"/>
      <c r="E47" s="66"/>
      <c r="F47" s="67"/>
      <c r="G47" s="67"/>
      <c r="H47" s="68"/>
      <c r="I47" s="68"/>
      <c r="J47" s="68"/>
      <c r="K47" s="68"/>
      <c r="L47" s="68"/>
      <c r="M47" s="68"/>
      <c r="N47" s="67"/>
      <c r="O47" s="67"/>
      <c r="P47" s="67"/>
      <c r="Q47" s="69"/>
    </row>
    <row r="48" spans="1:18" ht="12.75" customHeight="1" x14ac:dyDescent="0.3">
      <c r="A48" s="132" t="s">
        <v>118</v>
      </c>
      <c r="B48" s="133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5"/>
    </row>
    <row r="49" spans="1:20" ht="11.4" customHeight="1" x14ac:dyDescent="0.25">
      <c r="A49" s="35" t="s">
        <v>119</v>
      </c>
      <c r="B49" s="36" t="s">
        <v>120</v>
      </c>
      <c r="C49" s="40">
        <v>554920308</v>
      </c>
      <c r="D49" s="38">
        <f t="shared" ref="D49:D64" si="19">C49*J49</f>
        <v>74636781.425999999</v>
      </c>
      <c r="E49" s="39">
        <v>0</v>
      </c>
      <c r="F49" s="40" t="s">
        <v>92</v>
      </c>
      <c r="G49" s="70">
        <v>0.1</v>
      </c>
      <c r="H49" s="42">
        <v>0.1404</v>
      </c>
      <c r="I49" s="42">
        <v>0.13450000000000001</v>
      </c>
      <c r="J49" s="44">
        <f t="shared" ref="J49:J64" si="20">I49</f>
        <v>0.13450000000000001</v>
      </c>
      <c r="K49" s="39">
        <v>0</v>
      </c>
      <c r="L49" s="46">
        <f t="shared" ref="L49:L64" si="21">I49-H49</f>
        <v>-5.8999999999999886E-3</v>
      </c>
      <c r="M49" s="46">
        <f t="shared" ref="M49:M64" si="22">((I49-H49)/H49)*100</f>
        <v>-4.2022792022791942</v>
      </c>
      <c r="N49" s="47">
        <v>33678</v>
      </c>
      <c r="O49" s="37">
        <v>4529.67</v>
      </c>
      <c r="P49" s="71">
        <f>(R49)/J49</f>
        <v>0</v>
      </c>
      <c r="Q49" s="49">
        <f t="shared" ref="Q49:Q64" si="23">J49/G49-1</f>
        <v>0.34499999999999997</v>
      </c>
      <c r="T49" s="52"/>
    </row>
    <row r="50" spans="1:20" ht="12" customHeight="1" x14ac:dyDescent="0.25">
      <c r="A50" s="35" t="s">
        <v>121</v>
      </c>
      <c r="B50" s="36" t="s">
        <v>122</v>
      </c>
      <c r="C50" s="40">
        <v>1057685</v>
      </c>
      <c r="D50" s="38">
        <f t="shared" si="19"/>
        <v>40595325.2905</v>
      </c>
      <c r="E50" s="39">
        <v>0</v>
      </c>
      <c r="F50" s="40" t="s">
        <v>39</v>
      </c>
      <c r="G50" s="70">
        <v>39.9</v>
      </c>
      <c r="H50" s="42">
        <v>32.038200000000003</v>
      </c>
      <c r="I50" s="42">
        <v>38.381300000000003</v>
      </c>
      <c r="J50" s="44">
        <f t="shared" si="20"/>
        <v>38.381300000000003</v>
      </c>
      <c r="K50" s="39">
        <v>0</v>
      </c>
      <c r="L50" s="46">
        <f t="shared" si="21"/>
        <v>6.3430999999999997</v>
      </c>
      <c r="M50" s="46">
        <f t="shared" si="22"/>
        <v>19.798552977383245</v>
      </c>
      <c r="N50" s="47">
        <v>64</v>
      </c>
      <c r="O50" s="37">
        <v>2456.4</v>
      </c>
      <c r="P50" s="72">
        <f>(R50)/J50</f>
        <v>1.4590438572950891E-2</v>
      </c>
      <c r="Q50" s="49">
        <f t="shared" si="23"/>
        <v>-3.8062656641603909E-2</v>
      </c>
      <c r="R50" s="52">
        <v>0.56000000000000005</v>
      </c>
      <c r="T50" s="52"/>
    </row>
    <row r="51" spans="1:20" ht="12" customHeight="1" x14ac:dyDescent="0.25">
      <c r="A51" s="35" t="s">
        <v>123</v>
      </c>
      <c r="B51" s="36" t="s">
        <v>124</v>
      </c>
      <c r="C51" s="40">
        <v>2992163203</v>
      </c>
      <c r="D51" s="38">
        <f t="shared" si="19"/>
        <v>686701455.08850002</v>
      </c>
      <c r="E51" s="39"/>
      <c r="F51" s="40" t="s">
        <v>56</v>
      </c>
      <c r="G51" s="70">
        <v>0.33</v>
      </c>
      <c r="H51" s="42">
        <v>0.22939999999999999</v>
      </c>
      <c r="I51" s="42">
        <v>0.22950000000000001</v>
      </c>
      <c r="J51" s="44">
        <f t="shared" si="20"/>
        <v>0.22950000000000001</v>
      </c>
      <c r="K51" s="39">
        <v>0</v>
      </c>
      <c r="L51" s="46">
        <f t="shared" si="21"/>
        <v>1.0000000000001674E-4</v>
      </c>
      <c r="M51" s="46">
        <f t="shared" si="22"/>
        <v>4.3591979075857344E-2</v>
      </c>
      <c r="N51" s="47">
        <v>23192</v>
      </c>
      <c r="O51" s="37">
        <v>5322.57</v>
      </c>
      <c r="P51" s="71">
        <v>0</v>
      </c>
      <c r="Q51" s="49">
        <f t="shared" si="23"/>
        <v>-0.30454545454545456</v>
      </c>
      <c r="R51" s="52"/>
      <c r="T51" s="52"/>
    </row>
    <row r="52" spans="1:20" ht="12" customHeight="1" x14ac:dyDescent="0.25">
      <c r="A52" s="35" t="s">
        <v>125</v>
      </c>
      <c r="B52" s="36" t="s">
        <v>126</v>
      </c>
      <c r="C52" s="40">
        <v>609740943</v>
      </c>
      <c r="D52" s="38">
        <f t="shared" si="19"/>
        <v>14633782.632000001</v>
      </c>
      <c r="E52" s="39">
        <v>0</v>
      </c>
      <c r="F52" s="40" t="s">
        <v>34</v>
      </c>
      <c r="G52" s="70">
        <v>2.3E-2</v>
      </c>
      <c r="H52" s="42">
        <v>2.4E-2</v>
      </c>
      <c r="I52" s="42">
        <v>2.4E-2</v>
      </c>
      <c r="J52" s="44">
        <f t="shared" si="20"/>
        <v>2.4E-2</v>
      </c>
      <c r="K52" s="39">
        <v>0</v>
      </c>
      <c r="L52" s="46">
        <f t="shared" si="21"/>
        <v>0</v>
      </c>
      <c r="M52" s="46">
        <f t="shared" si="22"/>
        <v>0</v>
      </c>
      <c r="N52" s="47">
        <v>300</v>
      </c>
      <c r="O52" s="37">
        <v>7.2</v>
      </c>
      <c r="P52" s="71">
        <f t="shared" ref="P52:P64" si="24">(R52)/J52</f>
        <v>0</v>
      </c>
      <c r="Q52" s="49">
        <f t="shared" si="23"/>
        <v>4.3478260869565188E-2</v>
      </c>
      <c r="T52" s="52"/>
    </row>
    <row r="53" spans="1:20" ht="12" customHeight="1" x14ac:dyDescent="0.25">
      <c r="A53" s="35" t="s">
        <v>127</v>
      </c>
      <c r="B53" s="36" t="s">
        <v>128</v>
      </c>
      <c r="C53" s="40">
        <v>2162695929</v>
      </c>
      <c r="D53" s="38">
        <f t="shared" si="19"/>
        <v>323539310.97840005</v>
      </c>
      <c r="E53" s="39">
        <v>0</v>
      </c>
      <c r="F53" s="40" t="s">
        <v>47</v>
      </c>
      <c r="G53" s="70">
        <v>9.0200000000000002E-2</v>
      </c>
      <c r="H53" s="42">
        <v>0.14860000000000001</v>
      </c>
      <c r="I53" s="42">
        <v>0.14960000000000001</v>
      </c>
      <c r="J53" s="44">
        <f t="shared" si="20"/>
        <v>0.14960000000000001</v>
      </c>
      <c r="K53" s="39">
        <v>0</v>
      </c>
      <c r="L53" s="46">
        <f t="shared" si="21"/>
        <v>1.0000000000000009E-3</v>
      </c>
      <c r="M53" s="73">
        <f t="shared" si="22"/>
        <v>0.67294751009421316</v>
      </c>
      <c r="N53" s="47">
        <v>10042</v>
      </c>
      <c r="O53" s="37">
        <v>1501.89</v>
      </c>
      <c r="P53" s="71">
        <f t="shared" si="24"/>
        <v>0</v>
      </c>
      <c r="Q53" s="49">
        <f t="shared" si="23"/>
        <v>0.6585365853658538</v>
      </c>
      <c r="R53" s="52"/>
      <c r="T53" s="52"/>
    </row>
    <row r="54" spans="1:20" ht="12" customHeight="1" x14ac:dyDescent="0.25">
      <c r="A54" s="35" t="s">
        <v>129</v>
      </c>
      <c r="B54" s="36" t="s">
        <v>130</v>
      </c>
      <c r="C54" s="40">
        <v>575926450</v>
      </c>
      <c r="D54" s="38">
        <f t="shared" si="19"/>
        <v>841658914.02999997</v>
      </c>
      <c r="E54" s="39">
        <v>0</v>
      </c>
      <c r="F54" s="40" t="s">
        <v>34</v>
      </c>
      <c r="G54" s="70">
        <v>0.95750000000000002</v>
      </c>
      <c r="H54" s="42">
        <v>1.4998</v>
      </c>
      <c r="I54" s="42">
        <v>1.4614</v>
      </c>
      <c r="J54" s="44">
        <f t="shared" si="20"/>
        <v>1.4614</v>
      </c>
      <c r="K54" s="39">
        <v>0</v>
      </c>
      <c r="L54" s="46">
        <f t="shared" si="21"/>
        <v>-3.839999999999999E-2</v>
      </c>
      <c r="M54" s="46">
        <f t="shared" si="22"/>
        <v>-2.5603413788505129</v>
      </c>
      <c r="N54" s="47">
        <v>8681</v>
      </c>
      <c r="O54" s="37">
        <v>12686.53</v>
      </c>
      <c r="P54" s="72">
        <f t="shared" si="24"/>
        <v>3.2160941562884904E-2</v>
      </c>
      <c r="Q54" s="49">
        <f t="shared" si="23"/>
        <v>0.5262663185378591</v>
      </c>
      <c r="R54" s="52">
        <v>4.7E-2</v>
      </c>
      <c r="T54" s="52"/>
    </row>
    <row r="55" spans="1:20" ht="12" customHeight="1" x14ac:dyDescent="0.25">
      <c r="A55" s="35" t="s">
        <v>131</v>
      </c>
      <c r="B55" s="36" t="s">
        <v>132</v>
      </c>
      <c r="C55" s="40">
        <v>164208222</v>
      </c>
      <c r="D55" s="38">
        <f t="shared" si="19"/>
        <v>24631233.300000001</v>
      </c>
      <c r="E55" s="39">
        <v>0</v>
      </c>
      <c r="F55" s="40" t="s">
        <v>34</v>
      </c>
      <c r="G55" s="70">
        <v>0.1595</v>
      </c>
      <c r="H55" s="42">
        <v>0.15</v>
      </c>
      <c r="I55" s="42">
        <v>0.15</v>
      </c>
      <c r="J55" s="44">
        <f t="shared" si="20"/>
        <v>0.15</v>
      </c>
      <c r="K55" s="39">
        <v>0</v>
      </c>
      <c r="L55" s="46">
        <f t="shared" si="21"/>
        <v>0</v>
      </c>
      <c r="M55" s="46">
        <f t="shared" si="22"/>
        <v>0</v>
      </c>
      <c r="N55" s="47">
        <v>125</v>
      </c>
      <c r="O55" s="37">
        <v>18.75</v>
      </c>
      <c r="P55" s="71">
        <f t="shared" si="24"/>
        <v>0</v>
      </c>
      <c r="Q55" s="49">
        <f t="shared" si="23"/>
        <v>-5.9561128526645857E-2</v>
      </c>
      <c r="T55" s="52"/>
    </row>
    <row r="56" spans="1:20" ht="12" customHeight="1" x14ac:dyDescent="0.25">
      <c r="A56" s="35" t="s">
        <v>133</v>
      </c>
      <c r="B56" s="36" t="s">
        <v>134</v>
      </c>
      <c r="C56" s="40">
        <v>953802800</v>
      </c>
      <c r="D56" s="38">
        <f t="shared" si="19"/>
        <v>19362196.84</v>
      </c>
      <c r="E56" s="39">
        <v>0</v>
      </c>
      <c r="F56" s="40" t="s">
        <v>92</v>
      </c>
      <c r="G56" s="70">
        <v>1.6799999999999999E-2</v>
      </c>
      <c r="H56" s="42">
        <v>0.02</v>
      </c>
      <c r="I56" s="42">
        <v>2.0299999999999999E-2</v>
      </c>
      <c r="J56" s="44">
        <f t="shared" si="20"/>
        <v>2.0299999999999999E-2</v>
      </c>
      <c r="K56" s="39">
        <v>0</v>
      </c>
      <c r="L56" s="46">
        <f t="shared" si="21"/>
        <v>2.9999999999999818E-4</v>
      </c>
      <c r="M56" s="73">
        <f t="shared" si="22"/>
        <v>1.4999999999999909</v>
      </c>
      <c r="N56" s="47">
        <v>868828</v>
      </c>
      <c r="O56" s="37">
        <v>17628.32</v>
      </c>
      <c r="P56" s="71">
        <f t="shared" si="24"/>
        <v>0</v>
      </c>
      <c r="Q56" s="49">
        <f t="shared" si="23"/>
        <v>0.20833333333333326</v>
      </c>
      <c r="R56" s="52"/>
      <c r="T56" s="52"/>
    </row>
    <row r="57" spans="1:20" ht="12" customHeight="1" x14ac:dyDescent="0.25">
      <c r="A57" s="35" t="s">
        <v>135</v>
      </c>
      <c r="B57" s="36" t="s">
        <v>136</v>
      </c>
      <c r="C57" s="40">
        <v>161273</v>
      </c>
      <c r="D57" s="38">
        <f t="shared" si="19"/>
        <v>2354295.5085999998</v>
      </c>
      <c r="E57" s="39">
        <v>0</v>
      </c>
      <c r="F57" s="40" t="s">
        <v>137</v>
      </c>
      <c r="G57" s="70">
        <v>19.5</v>
      </c>
      <c r="H57" s="42">
        <v>14.5982</v>
      </c>
      <c r="I57" s="42">
        <v>14.5982</v>
      </c>
      <c r="J57" s="44">
        <f t="shared" si="20"/>
        <v>14.5982</v>
      </c>
      <c r="K57" s="39">
        <v>0</v>
      </c>
      <c r="L57" s="46">
        <f t="shared" si="21"/>
        <v>0</v>
      </c>
      <c r="M57" s="46">
        <f t="shared" si="22"/>
        <v>0</v>
      </c>
      <c r="N57" s="47">
        <v>0</v>
      </c>
      <c r="O57" s="37">
        <v>0</v>
      </c>
      <c r="P57" s="71">
        <f t="shared" si="24"/>
        <v>0</v>
      </c>
      <c r="Q57" s="49">
        <f t="shared" si="23"/>
        <v>-0.251374358974359</v>
      </c>
      <c r="T57" s="52"/>
    </row>
    <row r="58" spans="1:20" ht="12" customHeight="1" x14ac:dyDescent="0.25">
      <c r="A58" s="35" t="s">
        <v>138</v>
      </c>
      <c r="B58" s="36" t="s">
        <v>139</v>
      </c>
      <c r="C58" s="40">
        <v>4498037281</v>
      </c>
      <c r="D58" s="38">
        <f t="shared" si="19"/>
        <v>4049582964.0843</v>
      </c>
      <c r="E58" s="39">
        <v>0</v>
      </c>
      <c r="F58" s="40" t="s">
        <v>47</v>
      </c>
      <c r="G58" s="70">
        <v>0.78169999999999995</v>
      </c>
      <c r="H58" s="74">
        <v>0.9002</v>
      </c>
      <c r="I58" s="42">
        <v>0.90029999999999999</v>
      </c>
      <c r="J58" s="44">
        <f t="shared" si="20"/>
        <v>0.90029999999999999</v>
      </c>
      <c r="K58" s="39">
        <v>0</v>
      </c>
      <c r="L58" s="46">
        <f t="shared" si="21"/>
        <v>9.9999999999988987E-5</v>
      </c>
      <c r="M58" s="46">
        <f t="shared" si="22"/>
        <v>1.1108642523882358E-2</v>
      </c>
      <c r="N58" s="47">
        <v>102170</v>
      </c>
      <c r="O58" s="75">
        <v>91981.88</v>
      </c>
      <c r="P58" s="71">
        <f t="shared" si="24"/>
        <v>0</v>
      </c>
      <c r="Q58" s="49">
        <f t="shared" si="23"/>
        <v>0.15172060892925687</v>
      </c>
      <c r="R58" s="52"/>
      <c r="T58" s="52"/>
    </row>
    <row r="59" spans="1:20" ht="12" customHeight="1" x14ac:dyDescent="0.25">
      <c r="A59" s="35" t="s">
        <v>140</v>
      </c>
      <c r="B59" s="36" t="s">
        <v>141</v>
      </c>
      <c r="C59" s="40">
        <v>805090451</v>
      </c>
      <c r="D59" s="38">
        <f t="shared" si="19"/>
        <v>1046617586.3000001</v>
      </c>
      <c r="E59" s="39">
        <v>0</v>
      </c>
      <c r="F59" s="40" t="s">
        <v>92</v>
      </c>
      <c r="G59" s="70">
        <v>0.59499999999999997</v>
      </c>
      <c r="H59" s="42">
        <v>1.2624</v>
      </c>
      <c r="I59" s="42">
        <v>1.3</v>
      </c>
      <c r="J59" s="44">
        <f t="shared" si="20"/>
        <v>1.3</v>
      </c>
      <c r="K59" s="39">
        <v>0</v>
      </c>
      <c r="L59" s="46">
        <f t="shared" si="21"/>
        <v>3.7600000000000078E-2</v>
      </c>
      <c r="M59" s="46">
        <f t="shared" si="22"/>
        <v>2.978453738910019</v>
      </c>
      <c r="N59" s="47">
        <v>70</v>
      </c>
      <c r="O59" s="37">
        <v>91</v>
      </c>
      <c r="P59" s="71">
        <f t="shared" si="24"/>
        <v>0</v>
      </c>
      <c r="Q59" s="49">
        <f t="shared" si="23"/>
        <v>1.1848739495798322</v>
      </c>
      <c r="T59" s="52"/>
    </row>
    <row r="60" spans="1:20" ht="12" customHeight="1" x14ac:dyDescent="0.25">
      <c r="A60" s="35" t="s">
        <v>142</v>
      </c>
      <c r="B60" s="36" t="s">
        <v>143</v>
      </c>
      <c r="C60" s="40">
        <v>260714518</v>
      </c>
      <c r="D60" s="38">
        <f t="shared" si="19"/>
        <v>97689729.894599989</v>
      </c>
      <c r="E60" s="39">
        <v>0</v>
      </c>
      <c r="F60" s="40" t="s">
        <v>34</v>
      </c>
      <c r="G60" s="70">
        <v>0.22600000000000001</v>
      </c>
      <c r="H60" s="42">
        <v>0.37680000000000002</v>
      </c>
      <c r="I60" s="42">
        <v>0.37469999999999998</v>
      </c>
      <c r="J60" s="44">
        <f t="shared" si="20"/>
        <v>0.37469999999999998</v>
      </c>
      <c r="K60" s="39">
        <v>0</v>
      </c>
      <c r="L60" s="46">
        <f t="shared" si="21"/>
        <v>-2.1000000000000463E-3</v>
      </c>
      <c r="M60" s="46">
        <f t="shared" si="22"/>
        <v>-0.55732484076434352</v>
      </c>
      <c r="N60" s="47">
        <v>22527</v>
      </c>
      <c r="O60" s="37">
        <v>8439.82</v>
      </c>
      <c r="P60" s="71">
        <f t="shared" si="24"/>
        <v>0</v>
      </c>
      <c r="Q60" s="49">
        <f t="shared" si="23"/>
        <v>0.65796460176991145</v>
      </c>
      <c r="T60" s="52"/>
    </row>
    <row r="61" spans="1:20" ht="12" customHeight="1" x14ac:dyDescent="0.25">
      <c r="A61" s="35" t="s">
        <v>144</v>
      </c>
      <c r="B61" s="36" t="s">
        <v>145</v>
      </c>
      <c r="C61" s="40">
        <v>562184788</v>
      </c>
      <c r="D61" s="38">
        <f t="shared" si="19"/>
        <v>390212461.35080004</v>
      </c>
      <c r="E61" s="39">
        <v>0</v>
      </c>
      <c r="F61" s="40" t="s">
        <v>34</v>
      </c>
      <c r="G61" s="70">
        <v>0.49440000000000001</v>
      </c>
      <c r="H61" s="42">
        <v>0.69399999999999995</v>
      </c>
      <c r="I61" s="42">
        <v>0.69410000000000005</v>
      </c>
      <c r="J61" s="44">
        <f t="shared" si="20"/>
        <v>0.69410000000000005</v>
      </c>
      <c r="K61" s="39">
        <v>0</v>
      </c>
      <c r="L61" s="46">
        <f t="shared" si="21"/>
        <v>1.0000000000010001E-4</v>
      </c>
      <c r="M61" s="46">
        <f t="shared" si="22"/>
        <v>1.4409221902031703E-2</v>
      </c>
      <c r="N61" s="47">
        <v>10026</v>
      </c>
      <c r="O61" s="37">
        <v>6959.3</v>
      </c>
      <c r="P61" s="71">
        <f t="shared" si="24"/>
        <v>0</v>
      </c>
      <c r="Q61" s="49">
        <f t="shared" si="23"/>
        <v>0.40392394822006472</v>
      </c>
      <c r="R61" s="52"/>
      <c r="T61" s="52"/>
    </row>
    <row r="62" spans="1:20" ht="12" customHeight="1" x14ac:dyDescent="0.25">
      <c r="A62" s="35" t="s">
        <v>146</v>
      </c>
      <c r="B62" s="36" t="s">
        <v>147</v>
      </c>
      <c r="C62" s="40">
        <v>364526035</v>
      </c>
      <c r="D62" s="38">
        <f t="shared" si="19"/>
        <v>84096156.274499997</v>
      </c>
      <c r="E62" s="39">
        <v>0</v>
      </c>
      <c r="F62" s="40" t="s">
        <v>34</v>
      </c>
      <c r="G62" s="70">
        <v>0.25950000000000001</v>
      </c>
      <c r="H62" s="42">
        <v>0.2087</v>
      </c>
      <c r="I62" s="42">
        <v>0.23069999999999999</v>
      </c>
      <c r="J62" s="44">
        <f t="shared" si="20"/>
        <v>0.23069999999999999</v>
      </c>
      <c r="K62" s="39">
        <v>0</v>
      </c>
      <c r="L62" s="46">
        <f t="shared" si="21"/>
        <v>2.1999999999999992E-2</v>
      </c>
      <c r="M62" s="46">
        <f t="shared" si="22"/>
        <v>10.541447053186388</v>
      </c>
      <c r="N62" s="47">
        <v>725</v>
      </c>
      <c r="O62" s="37">
        <v>167.25</v>
      </c>
      <c r="P62" s="71">
        <f t="shared" si="24"/>
        <v>0</v>
      </c>
      <c r="Q62" s="49">
        <f t="shared" si="23"/>
        <v>-0.11098265895953763</v>
      </c>
      <c r="R62" s="52"/>
      <c r="T62" s="52"/>
    </row>
    <row r="63" spans="1:20" x14ac:dyDescent="0.25">
      <c r="A63" s="35" t="s">
        <v>148</v>
      </c>
      <c r="B63" s="36" t="s">
        <v>149</v>
      </c>
      <c r="C63" s="40">
        <v>30000000</v>
      </c>
      <c r="D63" s="38">
        <f t="shared" si="19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0"/>
        <v>10</v>
      </c>
      <c r="K63" s="39">
        <v>0</v>
      </c>
      <c r="L63" s="46">
        <f t="shared" si="21"/>
        <v>0</v>
      </c>
      <c r="M63" s="46">
        <f t="shared" si="22"/>
        <v>0</v>
      </c>
      <c r="N63" s="47">
        <v>0</v>
      </c>
      <c r="O63" s="37">
        <v>0</v>
      </c>
      <c r="P63" s="71">
        <f t="shared" si="24"/>
        <v>0</v>
      </c>
      <c r="Q63" s="49">
        <f t="shared" si="23"/>
        <v>0</v>
      </c>
      <c r="T63" s="52"/>
    </row>
    <row r="64" spans="1:20" x14ac:dyDescent="0.25">
      <c r="A64" s="35" t="s">
        <v>150</v>
      </c>
      <c r="B64" s="36" t="s">
        <v>151</v>
      </c>
      <c r="C64" s="40">
        <v>344580486</v>
      </c>
      <c r="D64" s="38">
        <f t="shared" si="19"/>
        <v>39109885.160999998</v>
      </c>
      <c r="E64" s="39">
        <v>0</v>
      </c>
      <c r="F64" s="40" t="s">
        <v>44</v>
      </c>
      <c r="G64" s="70">
        <v>4.2999999999999997E-2</v>
      </c>
      <c r="H64" s="42">
        <v>0.1138</v>
      </c>
      <c r="I64" s="42">
        <v>0.1135</v>
      </c>
      <c r="J64" s="44">
        <f t="shared" si="20"/>
        <v>0.1135</v>
      </c>
      <c r="K64" s="39">
        <v>0</v>
      </c>
      <c r="L64" s="46">
        <f t="shared" si="21"/>
        <v>-2.9999999999999472E-4</v>
      </c>
      <c r="M64" s="46">
        <f t="shared" si="22"/>
        <v>-0.26362038664322912</v>
      </c>
      <c r="N64" s="47">
        <v>2180</v>
      </c>
      <c r="O64" s="37">
        <v>247.34</v>
      </c>
      <c r="P64" s="71">
        <f t="shared" si="24"/>
        <v>0</v>
      </c>
      <c r="Q64" s="49">
        <f t="shared" si="23"/>
        <v>1.6395348837209305</v>
      </c>
      <c r="T64" s="52"/>
    </row>
    <row r="65" spans="1:20" ht="13.2" x14ac:dyDescent="0.35">
      <c r="A65" s="76"/>
      <c r="B65" s="36" t="s">
        <v>117</v>
      </c>
      <c r="C65" s="40"/>
      <c r="D65" s="77"/>
      <c r="E65" s="77"/>
      <c r="F65" s="40"/>
      <c r="G65" s="40"/>
      <c r="H65" s="42"/>
      <c r="I65" s="42"/>
      <c r="J65" s="42"/>
      <c r="K65" s="42"/>
      <c r="L65" s="46"/>
      <c r="M65" s="78"/>
      <c r="N65" s="61">
        <f>SUM(N49:N64)</f>
        <v>1082608</v>
      </c>
      <c r="O65" s="62">
        <f>SUM(O49:O64)</f>
        <v>152037.92000000001</v>
      </c>
      <c r="P65" s="79"/>
      <c r="Q65" s="63"/>
    </row>
    <row r="66" spans="1:20" ht="12.6" hidden="1" x14ac:dyDescent="0.3">
      <c r="A66" s="136" t="s">
        <v>152</v>
      </c>
      <c r="B66" s="137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9"/>
    </row>
    <row r="67" spans="1:20" ht="12.6" hidden="1" thickBot="1" x14ac:dyDescent="0.3">
      <c r="A67" s="80" t="s">
        <v>153</v>
      </c>
      <c r="B67" s="81" t="s">
        <v>154</v>
      </c>
      <c r="C67" s="82">
        <v>20000</v>
      </c>
      <c r="D67" s="83">
        <f>C67*J67</f>
        <v>0</v>
      </c>
      <c r="E67" s="83"/>
      <c r="F67" s="82" t="s">
        <v>155</v>
      </c>
      <c r="G67" s="82"/>
      <c r="H67" s="84">
        <v>100</v>
      </c>
      <c r="I67" s="84"/>
      <c r="J67" s="84"/>
      <c r="K67" s="84"/>
      <c r="L67" s="85">
        <f>I67-H67</f>
        <v>-100</v>
      </c>
      <c r="M67" s="86">
        <f>((I67-H67)/H67)*100</f>
        <v>-100</v>
      </c>
      <c r="N67" s="87" t="s">
        <v>57</v>
      </c>
      <c r="O67" s="87" t="s">
        <v>57</v>
      </c>
      <c r="P67" s="87"/>
      <c r="Q67" s="88">
        <v>100</v>
      </c>
    </row>
    <row r="68" spans="1:20" ht="12.6" thickBot="1" x14ac:dyDescent="0.3">
      <c r="A68" s="35"/>
      <c r="B68" s="36" t="s">
        <v>117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8"/>
      <c r="N68" s="89"/>
      <c r="O68" s="89"/>
      <c r="P68" s="89"/>
      <c r="Q68" s="63"/>
    </row>
    <row r="69" spans="1:20" ht="12.6" x14ac:dyDescent="0.3">
      <c r="A69" s="136" t="s">
        <v>156</v>
      </c>
      <c r="B69" s="137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9"/>
    </row>
    <row r="70" spans="1:20" x14ac:dyDescent="0.25">
      <c r="A70" s="35" t="s">
        <v>157</v>
      </c>
      <c r="B70" s="90" t="s">
        <v>158</v>
      </c>
      <c r="C70" s="91">
        <v>139300587</v>
      </c>
      <c r="D70" s="38">
        <f>C70*J70</f>
        <v>45551291.949000001</v>
      </c>
      <c r="E70" s="39">
        <f>C70*K70</f>
        <v>45551291.949000001</v>
      </c>
      <c r="F70" s="91" t="s">
        <v>159</v>
      </c>
      <c r="G70" s="91">
        <v>0.24</v>
      </c>
      <c r="H70" s="92">
        <v>0.32</v>
      </c>
      <c r="I70" s="92">
        <v>0.32700000000000001</v>
      </c>
      <c r="J70" s="93">
        <f>I70</f>
        <v>0.32700000000000001</v>
      </c>
      <c r="K70" s="93">
        <f>J70</f>
        <v>0.32700000000000001</v>
      </c>
      <c r="L70" s="46">
        <f>I70-H70</f>
        <v>7.0000000000000062E-3</v>
      </c>
      <c r="M70" s="46">
        <f>((I70-H70)/H70)*100</f>
        <v>2.1875000000000018</v>
      </c>
      <c r="N70" s="94">
        <v>719</v>
      </c>
      <c r="O70" s="95">
        <v>235.13</v>
      </c>
      <c r="P70" s="71">
        <f>(R70)/J70</f>
        <v>0</v>
      </c>
      <c r="Q70" s="49">
        <f>J70/G70-1</f>
        <v>0.36250000000000004</v>
      </c>
      <c r="T70" s="52"/>
    </row>
    <row r="71" spans="1:20" x14ac:dyDescent="0.25">
      <c r="A71" s="35" t="s">
        <v>160</v>
      </c>
      <c r="B71" s="90" t="s">
        <v>161</v>
      </c>
      <c r="C71" s="91">
        <v>471351750</v>
      </c>
      <c r="D71" s="38">
        <f>C71*J71</f>
        <v>66036380.175000004</v>
      </c>
      <c r="E71" s="39">
        <f>C71*K71</f>
        <v>66036380.175000004</v>
      </c>
      <c r="F71" s="91" t="s">
        <v>159</v>
      </c>
      <c r="G71" s="91">
        <v>0.1</v>
      </c>
      <c r="H71" s="92">
        <v>0.14019999999999999</v>
      </c>
      <c r="I71" s="92">
        <v>0.1401</v>
      </c>
      <c r="J71" s="93">
        <f>I71</f>
        <v>0.1401</v>
      </c>
      <c r="K71" s="93">
        <f>J71</f>
        <v>0.1401</v>
      </c>
      <c r="L71" s="46">
        <f>I71-H71</f>
        <v>-9.9999999999988987E-5</v>
      </c>
      <c r="M71" s="46">
        <f>((I71-H71)/H71)*100</f>
        <v>-7.1326676176882306E-2</v>
      </c>
      <c r="N71" s="47">
        <v>2987</v>
      </c>
      <c r="O71" s="95">
        <v>418.4</v>
      </c>
      <c r="P71" s="96">
        <f>(R71)/J71</f>
        <v>2.7066381156316915E-2</v>
      </c>
      <c r="Q71" s="49">
        <f>J71/G71-1</f>
        <v>0.40100000000000002</v>
      </c>
      <c r="R71" s="5">
        <v>3.7919999999999998E-3</v>
      </c>
      <c r="T71" s="52"/>
    </row>
    <row r="72" spans="1:20" ht="13.8" thickBot="1" x14ac:dyDescent="0.4">
      <c r="A72" s="35"/>
      <c r="B72" s="36" t="s">
        <v>117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8"/>
      <c r="N72" s="61">
        <f>SUM(N70:N71)</f>
        <v>3706</v>
      </c>
      <c r="O72" s="62">
        <f>SUM(O70:O71)</f>
        <v>653.53</v>
      </c>
      <c r="P72" s="89"/>
      <c r="Q72" s="63"/>
    </row>
    <row r="73" spans="1:20" ht="12.6" x14ac:dyDescent="0.3">
      <c r="A73" s="136" t="s">
        <v>162</v>
      </c>
      <c r="B73" s="137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9"/>
    </row>
    <row r="74" spans="1:20" x14ac:dyDescent="0.25">
      <c r="A74" s="35" t="s">
        <v>163</v>
      </c>
      <c r="B74" s="90" t="s">
        <v>164</v>
      </c>
      <c r="C74" s="91">
        <v>20819695</v>
      </c>
      <c r="D74" s="38">
        <f>C74*J74</f>
        <v>2292248.4194999998</v>
      </c>
      <c r="E74" s="39">
        <f>C74*K74</f>
        <v>2292248.4194999998</v>
      </c>
      <c r="F74" s="91" t="s">
        <v>137</v>
      </c>
      <c r="G74" s="91">
        <v>0.1394</v>
      </c>
      <c r="H74" s="92">
        <v>0.1103</v>
      </c>
      <c r="I74" s="92">
        <v>0.1101</v>
      </c>
      <c r="J74" s="93">
        <f>I74</f>
        <v>0.1101</v>
      </c>
      <c r="K74" s="93">
        <f>J74</f>
        <v>0.1101</v>
      </c>
      <c r="L74" s="46">
        <f>I74-H74</f>
        <v>-1.9999999999999185E-4</v>
      </c>
      <c r="M74" s="46">
        <f>((I74-H74)/H74)*100</f>
        <v>-0.18132366273797992</v>
      </c>
      <c r="N74" s="94">
        <v>465245</v>
      </c>
      <c r="O74" s="95">
        <v>51231.41</v>
      </c>
      <c r="P74" s="71">
        <f>(R74)/J74</f>
        <v>0</v>
      </c>
      <c r="Q74" s="49">
        <f>J74/G74-1</f>
        <v>-0.21018651362984209</v>
      </c>
    </row>
    <row r="75" spans="1:20" ht="13.2" x14ac:dyDescent="0.35">
      <c r="A75" s="35"/>
      <c r="B75" s="36" t="s">
        <v>117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8"/>
      <c r="N75" s="61"/>
      <c r="O75" s="62"/>
      <c r="P75" s="89"/>
      <c r="Q75" s="63"/>
    </row>
    <row r="76" spans="1:20" ht="12.6" x14ac:dyDescent="0.3">
      <c r="A76" s="132" t="s">
        <v>165</v>
      </c>
      <c r="B76" s="133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5"/>
    </row>
    <row r="77" spans="1:20" x14ac:dyDescent="0.25">
      <c r="A77" s="35" t="s">
        <v>166</v>
      </c>
      <c r="B77" s="36" t="s">
        <v>167</v>
      </c>
      <c r="C77" s="40">
        <v>31703227</v>
      </c>
      <c r="D77" s="38">
        <f>C77*J77</f>
        <v>143598.08857333742</v>
      </c>
      <c r="E77" s="39">
        <f>C77*K77</f>
        <v>120774.1980952381</v>
      </c>
      <c r="F77" s="40" t="s">
        <v>137</v>
      </c>
      <c r="G77" s="70">
        <v>0.105</v>
      </c>
      <c r="H77" s="42">
        <v>0.12</v>
      </c>
      <c r="I77" s="42">
        <v>0.12</v>
      </c>
      <c r="J77" s="44">
        <f>I77/$J$5</f>
        <v>4.5294470677492045E-3</v>
      </c>
      <c r="K77" s="45">
        <f>I77/$K$4</f>
        <v>3.8095238095238095E-3</v>
      </c>
      <c r="L77" s="46">
        <f>I77-H77</f>
        <v>0</v>
      </c>
      <c r="M77" s="97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0.14285714285714279</v>
      </c>
    </row>
    <row r="78" spans="1:20" x14ac:dyDescent="0.25">
      <c r="A78" s="35" t="s">
        <v>168</v>
      </c>
      <c r="B78" s="36" t="s">
        <v>169</v>
      </c>
      <c r="C78" s="40">
        <v>136162052</v>
      </c>
      <c r="D78" s="38">
        <f>C78*J78</f>
        <v>411159.20478007646</v>
      </c>
      <c r="E78" s="39">
        <f>C78*K78</f>
        <v>345808.38603174605</v>
      </c>
      <c r="F78" s="40" t="s">
        <v>137</v>
      </c>
      <c r="G78" s="70">
        <v>4.2500000000000003E-2</v>
      </c>
      <c r="H78" s="42">
        <v>0.08</v>
      </c>
      <c r="I78" s="42">
        <v>0.08</v>
      </c>
      <c r="J78" s="44">
        <f>I78/$J$5</f>
        <v>3.0196313784994697E-3</v>
      </c>
      <c r="K78" s="45">
        <f>I78/$K$4</f>
        <v>2.5396825396825397E-3</v>
      </c>
      <c r="L78" s="46">
        <f>I78-H78</f>
        <v>0</v>
      </c>
      <c r="M78" s="97">
        <f>((I78-H78)/H78)*100</f>
        <v>0</v>
      </c>
      <c r="N78" s="37">
        <v>7800</v>
      </c>
      <c r="O78" s="37">
        <v>624</v>
      </c>
      <c r="P78" s="40">
        <v>0</v>
      </c>
      <c r="Q78" s="49">
        <f>I78/G78-1</f>
        <v>0.88235294117647056</v>
      </c>
    </row>
    <row r="79" spans="1:20" x14ac:dyDescent="0.25">
      <c r="A79" s="35" t="s">
        <v>170</v>
      </c>
      <c r="B79" s="36" t="s">
        <v>171</v>
      </c>
      <c r="C79" s="40">
        <v>6677853</v>
      </c>
      <c r="D79" s="38">
        <f>C79*J79</f>
        <v>30436.781499813158</v>
      </c>
      <c r="E79" s="39">
        <f>C79*K79</f>
        <v>25599.072486000001</v>
      </c>
      <c r="F79" s="40" t="s">
        <v>137</v>
      </c>
      <c r="G79" s="70">
        <v>6.0499999999999998E-2</v>
      </c>
      <c r="H79" s="42">
        <v>0.120753</v>
      </c>
      <c r="I79" s="42">
        <v>0.120753</v>
      </c>
      <c r="J79" s="44">
        <f>I79/$J$5</f>
        <v>4.5578693480993306E-3</v>
      </c>
      <c r="K79" s="45">
        <f>I79/$K$4</f>
        <v>3.8334285714285714E-3</v>
      </c>
      <c r="L79" s="46">
        <f>I79-H79</f>
        <v>0</v>
      </c>
      <c r="M79" s="97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0.99591735537190096</v>
      </c>
    </row>
    <row r="80" spans="1:20" x14ac:dyDescent="0.25">
      <c r="A80" s="35" t="s">
        <v>172</v>
      </c>
      <c r="B80" s="36" t="s">
        <v>173</v>
      </c>
      <c r="C80" s="37">
        <v>494417400</v>
      </c>
      <c r="D80" s="38">
        <f>C80*J80</f>
        <v>31725363.771217626</v>
      </c>
      <c r="E80" s="39">
        <f>C80*K80</f>
        <v>26682843.809523806</v>
      </c>
      <c r="F80" s="40" t="s">
        <v>137</v>
      </c>
      <c r="G80" s="70">
        <v>1.85</v>
      </c>
      <c r="H80" s="42">
        <v>1.7</v>
      </c>
      <c r="I80" s="42">
        <v>1.7</v>
      </c>
      <c r="J80" s="44">
        <f>I80/$J$5</f>
        <v>6.4167166793113725E-2</v>
      </c>
      <c r="K80" s="45">
        <f>I80/$K$4</f>
        <v>5.3968253968253964E-2</v>
      </c>
      <c r="L80" s="46">
        <f>I80-H80</f>
        <v>0</v>
      </c>
      <c r="M80" s="97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-8.1081081081081141E-2</v>
      </c>
    </row>
    <row r="81" spans="1:243" ht="15" thickBot="1" x14ac:dyDescent="0.4">
      <c r="A81" s="35"/>
      <c r="B81" s="36" t="s">
        <v>117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7800</v>
      </c>
      <c r="O81" s="62">
        <f>SUM(O77:O80)</f>
        <v>624</v>
      </c>
      <c r="P81" s="79"/>
      <c r="Q81" s="63"/>
      <c r="V81" s="98"/>
      <c r="W81" s="98"/>
      <c r="DU81" s="99"/>
      <c r="DV81" s="99"/>
      <c r="DW81" s="100"/>
      <c r="DX81" s="101"/>
      <c r="DY81" s="101"/>
      <c r="DZ81" s="102"/>
      <c r="EA81" s="102"/>
      <c r="EB81" s="103"/>
      <c r="EC81" s="103"/>
      <c r="ED81" s="104"/>
      <c r="EE81" s="104"/>
      <c r="EF81" s="102"/>
      <c r="EG81" s="105"/>
      <c r="EH81" s="106"/>
      <c r="EI81" s="100"/>
      <c r="EJ81" s="99"/>
      <c r="EK81" s="99"/>
      <c r="EL81" s="100"/>
      <c r="EM81" s="101"/>
      <c r="EN81" s="101"/>
      <c r="EO81" s="102"/>
      <c r="EP81" s="102"/>
      <c r="EQ81" s="103"/>
      <c r="ER81" s="103"/>
      <c r="ES81" s="104"/>
      <c r="ET81" s="104"/>
      <c r="EU81" s="102"/>
      <c r="EV81" s="105"/>
      <c r="EW81" s="106"/>
      <c r="EX81" s="100"/>
      <c r="EY81" s="99"/>
      <c r="EZ81" s="99"/>
      <c r="FA81" s="100"/>
      <c r="FB81" s="101"/>
      <c r="FC81" s="101"/>
      <c r="FD81" s="102"/>
      <c r="FE81" s="102"/>
      <c r="FF81" s="103"/>
      <c r="FG81" s="103"/>
      <c r="FH81" s="104"/>
      <c r="FI81" s="104"/>
      <c r="FJ81" s="102"/>
      <c r="FK81" s="105"/>
      <c r="FL81" s="106"/>
      <c r="FM81" s="100"/>
      <c r="FN81" s="99"/>
      <c r="FO81" s="99"/>
      <c r="FP81" s="100"/>
      <c r="FQ81" s="101"/>
      <c r="FR81" s="101"/>
      <c r="FS81" s="102"/>
      <c r="FT81" s="102"/>
      <c r="FU81" s="103"/>
      <c r="FV81" s="103"/>
      <c r="FW81" s="104"/>
      <c r="FX81" s="104"/>
      <c r="FY81" s="102"/>
      <c r="FZ81" s="105"/>
      <c r="GA81" s="106"/>
      <c r="GB81" s="100"/>
      <c r="GC81" s="99"/>
      <c r="GD81" s="99"/>
      <c r="GE81" s="100"/>
      <c r="GF81" s="101"/>
      <c r="GG81" s="101"/>
      <c r="GH81" s="102"/>
      <c r="GI81" s="102"/>
      <c r="GJ81" s="103"/>
      <c r="GK81" s="103"/>
      <c r="GL81" s="104"/>
      <c r="GM81" s="104"/>
      <c r="GN81" s="102"/>
      <c r="GO81" s="105"/>
      <c r="GP81" s="106"/>
      <c r="GQ81" s="100"/>
      <c r="GR81" s="99"/>
      <c r="GS81" s="99"/>
      <c r="GT81" s="100"/>
      <c r="GU81" s="101"/>
      <c r="GV81" s="101"/>
      <c r="GW81" s="102"/>
      <c r="GX81" s="102"/>
      <c r="GY81" s="103"/>
      <c r="GZ81" s="103"/>
      <c r="HA81" s="104"/>
      <c r="HB81" s="104"/>
      <c r="HC81" s="102"/>
      <c r="HD81" s="105"/>
      <c r="HE81" s="106"/>
      <c r="HF81" s="100"/>
      <c r="HG81" s="99"/>
      <c r="HH81" s="99"/>
      <c r="HI81" s="100"/>
      <c r="HJ81" s="101"/>
      <c r="HK81" s="101"/>
      <c r="HL81" s="102"/>
      <c r="HM81" s="102"/>
      <c r="HN81" s="103"/>
      <c r="HO81" s="103"/>
      <c r="HP81" s="104"/>
      <c r="HQ81" s="104"/>
      <c r="HR81" s="102"/>
      <c r="HS81" s="105"/>
      <c r="HT81" s="106"/>
      <c r="HU81" s="100"/>
      <c r="HV81" s="99"/>
      <c r="HW81" s="99"/>
      <c r="HX81" s="100"/>
      <c r="HY81" s="101"/>
      <c r="HZ81" s="101"/>
      <c r="IA81" s="102"/>
      <c r="IB81" s="102"/>
      <c r="IC81" s="103"/>
      <c r="ID81" s="103"/>
      <c r="IE81" s="104"/>
      <c r="IF81" s="104"/>
      <c r="IG81" s="102"/>
      <c r="IH81" s="105"/>
      <c r="II81" s="106"/>
    </row>
    <row r="82" spans="1:243" ht="13.2" thickTop="1" x14ac:dyDescent="0.3">
      <c r="A82" s="136" t="s">
        <v>174</v>
      </c>
      <c r="B82" s="137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9"/>
    </row>
    <row r="83" spans="1:243" x14ac:dyDescent="0.25">
      <c r="A83" s="35" t="s">
        <v>175</v>
      </c>
      <c r="B83" s="36" t="s">
        <v>176</v>
      </c>
      <c r="C83" s="40">
        <v>368326244</v>
      </c>
      <c r="D83" s="38">
        <f>C83*J83</f>
        <v>29612577.509030581</v>
      </c>
      <c r="E83" s="39">
        <f>C83*K83</f>
        <v>24905869.832380954</v>
      </c>
      <c r="F83" s="40" t="s">
        <v>177</v>
      </c>
      <c r="G83" s="40">
        <v>1.3</v>
      </c>
      <c r="H83" s="42">
        <v>2.128333</v>
      </c>
      <c r="I83" s="42">
        <v>2.13</v>
      </c>
      <c r="J83" s="44">
        <f>I83/$J$5</f>
        <v>8.039768545254837E-2</v>
      </c>
      <c r="K83" s="45">
        <f>I83/$K$4</f>
        <v>6.761904761904762E-2</v>
      </c>
      <c r="L83" s="46">
        <f>I83-H83</f>
        <v>1.666999999999863E-3</v>
      </c>
      <c r="M83" s="46">
        <f>((I83-H83)/H83*100)</f>
        <v>7.8324209604411679E-2</v>
      </c>
      <c r="N83" s="107">
        <v>1000</v>
      </c>
      <c r="O83" s="108">
        <v>2130</v>
      </c>
      <c r="P83" s="51">
        <f>(R83)/J83</f>
        <v>0</v>
      </c>
      <c r="Q83" s="49">
        <f>I83/G83-1</f>
        <v>0.63846153846153841</v>
      </c>
      <c r="R83" s="52"/>
    </row>
    <row r="84" spans="1:243" s="109" customFormat="1" ht="12.6" thickBot="1" x14ac:dyDescent="0.3">
      <c r="A84" s="35" t="s">
        <v>178</v>
      </c>
      <c r="B84" s="36" t="s">
        <v>179</v>
      </c>
      <c r="C84" s="40">
        <v>1841105000</v>
      </c>
      <c r="D84" s="38">
        <f>C84*J84</f>
        <v>74382357.092925385</v>
      </c>
      <c r="E84" s="39">
        <f>C84*K84</f>
        <v>62559812.735555559</v>
      </c>
      <c r="F84" s="40" t="s">
        <v>177</v>
      </c>
      <c r="G84" s="40">
        <v>1.44347</v>
      </c>
      <c r="H84" s="42">
        <v>1.0949450000000001</v>
      </c>
      <c r="I84" s="42">
        <v>1.070354</v>
      </c>
      <c r="J84" s="44">
        <f>I84/$J$5</f>
        <v>4.0400931556280266E-2</v>
      </c>
      <c r="K84" s="45">
        <f>I84/$K$4</f>
        <v>3.3979492063492066E-2</v>
      </c>
      <c r="L84" s="46">
        <f>I84-H84</f>
        <v>-2.459100000000003E-2</v>
      </c>
      <c r="M84" s="46">
        <f>((I84-H84)/H84*100)</f>
        <v>-2.2458662307239203</v>
      </c>
      <c r="N84" s="108">
        <v>607924</v>
      </c>
      <c r="O84" s="108">
        <v>650727.96499999997</v>
      </c>
      <c r="P84" s="48">
        <f>(R84)/J84</f>
        <v>5.3860144213970333E-2</v>
      </c>
      <c r="Q84" s="49">
        <f>I84/G84-1</f>
        <v>-0.25848545518784594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80"/>
      <c r="B85" s="81"/>
      <c r="C85" s="82"/>
      <c r="D85" s="110"/>
      <c r="E85" s="83"/>
      <c r="F85" s="82"/>
      <c r="G85" s="82"/>
      <c r="H85" s="84"/>
      <c r="I85" s="84"/>
      <c r="J85" s="84"/>
      <c r="K85" s="84"/>
      <c r="L85" s="85"/>
      <c r="M85" s="85"/>
      <c r="N85" s="85"/>
      <c r="O85" s="85"/>
      <c r="P85" s="85"/>
      <c r="Q85" s="88"/>
    </row>
    <row r="86" spans="1:243" ht="12.6" thickBot="1" x14ac:dyDescent="0.3">
      <c r="A86" s="111"/>
      <c r="B86" s="112"/>
      <c r="C86" s="112"/>
      <c r="D86" s="112"/>
      <c r="E86" s="112"/>
      <c r="F86" s="113"/>
      <c r="G86" s="113"/>
      <c r="H86" s="59"/>
      <c r="M86" s="114"/>
      <c r="N86" s="114"/>
      <c r="O86" s="59"/>
      <c r="P86" s="59"/>
      <c r="Q86" s="115"/>
    </row>
    <row r="87" spans="1:243" ht="15" customHeight="1" thickBot="1" x14ac:dyDescent="0.3">
      <c r="A87" s="140" t="s">
        <v>180</v>
      </c>
      <c r="B87" s="141"/>
      <c r="C87" s="141"/>
      <c r="D87" s="142"/>
      <c r="E87" s="140" t="s">
        <v>181</v>
      </c>
      <c r="F87" s="141"/>
      <c r="G87" s="141"/>
      <c r="H87" s="142"/>
      <c r="I87" s="52"/>
      <c r="J87" s="143" t="s">
        <v>182</v>
      </c>
      <c r="K87" s="144"/>
      <c r="L87" s="145"/>
      <c r="M87" s="143" t="s">
        <v>183</v>
      </c>
      <c r="N87" s="144"/>
      <c r="O87" s="145"/>
      <c r="Q87" s="16"/>
    </row>
    <row r="88" spans="1:243" ht="15" customHeight="1" x14ac:dyDescent="0.25">
      <c r="A88" s="35" t="s">
        <v>103</v>
      </c>
      <c r="B88" s="116">
        <v>2.2999999999999998</v>
      </c>
      <c r="D88" s="116">
        <v>14.999999999999991</v>
      </c>
      <c r="E88" s="35" t="s">
        <v>113</v>
      </c>
      <c r="F88" s="117">
        <v>0.6825</v>
      </c>
      <c r="H88" s="118">
        <v>-12.500000000000004</v>
      </c>
      <c r="J88" s="35" t="s">
        <v>121</v>
      </c>
      <c r="K88" s="51">
        <v>38.381300000000003</v>
      </c>
      <c r="L88" s="119">
        <v>19.798552977383245</v>
      </c>
      <c r="M88" s="59" t="s">
        <v>129</v>
      </c>
      <c r="N88" s="117">
        <v>1.4614</v>
      </c>
      <c r="O88" s="118">
        <v>-2.5603413788505129</v>
      </c>
      <c r="Q88" s="16"/>
    </row>
    <row r="89" spans="1:243" ht="15" customHeight="1" x14ac:dyDescent="0.25">
      <c r="A89" s="35" t="s">
        <v>68</v>
      </c>
      <c r="B89" s="116">
        <v>0.10349399999999999</v>
      </c>
      <c r="D89" s="116">
        <v>14.993333333333325</v>
      </c>
      <c r="E89" s="35" t="s">
        <v>115</v>
      </c>
      <c r="F89" s="117">
        <v>2.7022029999999999</v>
      </c>
      <c r="H89" s="118">
        <v>-5.8465853658536657</v>
      </c>
      <c r="J89" s="35" t="s">
        <v>146</v>
      </c>
      <c r="K89" s="51">
        <v>0.23069999999999999</v>
      </c>
      <c r="L89" s="119">
        <v>10.541447053186388</v>
      </c>
      <c r="M89" s="35" t="s">
        <v>142</v>
      </c>
      <c r="N89" s="117">
        <v>0.37469999999999998</v>
      </c>
      <c r="O89" s="118">
        <v>-0.55732484076434352</v>
      </c>
      <c r="Q89" s="16"/>
    </row>
    <row r="90" spans="1:243" ht="15" customHeight="1" x14ac:dyDescent="0.25">
      <c r="A90" s="35" t="s">
        <v>50</v>
      </c>
      <c r="B90" s="116">
        <v>4.5</v>
      </c>
      <c r="C90" s="116"/>
      <c r="D90" s="116">
        <v>13.636363636363638</v>
      </c>
      <c r="E90" s="35" t="s">
        <v>90</v>
      </c>
      <c r="F90" s="117">
        <v>1.5552940000000002</v>
      </c>
      <c r="H90" s="118">
        <v>-1.9404553768399921</v>
      </c>
      <c r="J90" s="35" t="s">
        <v>140</v>
      </c>
      <c r="K90" s="51">
        <v>1.3</v>
      </c>
      <c r="L90" s="119">
        <v>2.978453738910019</v>
      </c>
      <c r="M90" s="35" t="s">
        <v>150</v>
      </c>
      <c r="N90" s="117">
        <v>0.1135</v>
      </c>
      <c r="O90" s="118">
        <v>-0.26362038664322912</v>
      </c>
      <c r="Q90" s="16"/>
    </row>
    <row r="91" spans="1:243" ht="15" customHeight="1" x14ac:dyDescent="0.25">
      <c r="A91" s="35" t="s">
        <v>32</v>
      </c>
      <c r="B91" s="116">
        <v>16.75</v>
      </c>
      <c r="C91" s="116"/>
      <c r="D91" s="116">
        <v>11.666666666666666</v>
      </c>
      <c r="E91" s="35" t="s">
        <v>52</v>
      </c>
      <c r="F91" s="117">
        <v>31.7986</v>
      </c>
      <c r="H91" s="118">
        <v>-0.43460018661505406</v>
      </c>
      <c r="J91" s="35" t="s">
        <v>133</v>
      </c>
      <c r="K91" s="51">
        <v>2.0299999999999999E-2</v>
      </c>
      <c r="L91" s="119">
        <v>1.4999999999999909</v>
      </c>
      <c r="M91" s="35"/>
      <c r="N91" s="117"/>
      <c r="O91" s="118"/>
      <c r="Q91" s="16"/>
    </row>
    <row r="92" spans="1:243" ht="15" customHeight="1" x14ac:dyDescent="0.25">
      <c r="A92" s="35" t="s">
        <v>105</v>
      </c>
      <c r="B92" s="116">
        <v>7.2867000000000001E-2</v>
      </c>
      <c r="C92" s="116"/>
      <c r="D92" s="116">
        <v>3.7991452991453034</v>
      </c>
      <c r="E92" s="35" t="s">
        <v>45</v>
      </c>
      <c r="F92" s="117">
        <v>39.950000000000003</v>
      </c>
      <c r="G92" s="117"/>
      <c r="H92" s="118">
        <v>-2.8777698534834948E-2</v>
      </c>
      <c r="J92" s="35" t="s">
        <v>127</v>
      </c>
      <c r="K92" s="51">
        <v>0.14960000000000001</v>
      </c>
      <c r="L92" s="119">
        <v>0.67294751009421316</v>
      </c>
      <c r="M92" s="35"/>
      <c r="N92" s="117"/>
      <c r="O92" s="118"/>
      <c r="Q92" s="16"/>
    </row>
    <row r="93" spans="1:243" ht="15.75" customHeight="1" thickBot="1" x14ac:dyDescent="0.3">
      <c r="A93" s="120"/>
      <c r="B93" s="121"/>
      <c r="C93" s="121"/>
      <c r="D93" s="121"/>
      <c r="E93" s="120"/>
      <c r="F93" s="121"/>
      <c r="G93" s="121"/>
      <c r="H93" s="122"/>
      <c r="J93" s="120"/>
      <c r="K93" s="121"/>
      <c r="L93" s="122"/>
      <c r="M93" s="121"/>
      <c r="N93" s="121"/>
      <c r="O93" s="122"/>
      <c r="Q93" s="16"/>
    </row>
    <row r="94" spans="1:243" x14ac:dyDescent="0.25">
      <c r="A94" s="123"/>
      <c r="B94" s="124"/>
      <c r="C94" s="124"/>
      <c r="D94" s="124"/>
      <c r="E94" s="114"/>
      <c r="F94" s="114"/>
      <c r="G94" s="114"/>
      <c r="H94" s="114"/>
      <c r="I94" s="114"/>
      <c r="J94" s="114"/>
      <c r="K94" s="114"/>
      <c r="L94" s="114"/>
      <c r="M94" s="124"/>
      <c r="Q94" s="16"/>
    </row>
    <row r="95" spans="1:243" x14ac:dyDescent="0.25">
      <c r="A95" s="12" t="s">
        <v>184</v>
      </c>
      <c r="B95" s="125"/>
      <c r="C95" s="125"/>
      <c r="D95" s="125"/>
      <c r="E95" s="125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3"/>
      <c r="B96" s="124"/>
      <c r="C96" s="124"/>
      <c r="D96" s="124"/>
      <c r="E96" s="124"/>
      <c r="F96" s="114"/>
      <c r="G96" s="114"/>
      <c r="H96" s="124"/>
      <c r="I96" s="114"/>
      <c r="J96" s="114"/>
      <c r="K96" s="114"/>
      <c r="L96" s="114"/>
      <c r="M96" s="124"/>
      <c r="Q96" s="16"/>
    </row>
    <row r="97" spans="1:17" ht="12.6" thickBot="1" x14ac:dyDescent="0.3">
      <c r="A97" s="126"/>
      <c r="B97" s="127"/>
      <c r="C97" s="127"/>
      <c r="D97" s="127"/>
      <c r="E97" s="127"/>
      <c r="F97" s="128"/>
      <c r="G97" s="128"/>
      <c r="H97" s="128"/>
      <c r="I97" s="129"/>
      <c r="J97" s="129"/>
      <c r="K97" s="129"/>
      <c r="L97" s="129"/>
      <c r="M97" s="129"/>
      <c r="N97" s="129"/>
      <c r="O97" s="129"/>
      <c r="P97" s="129"/>
      <c r="Q97" s="130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31"/>
      <c r="J101" s="131"/>
      <c r="K101" s="131"/>
      <c r="O101" s="131"/>
      <c r="P101" s="131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31"/>
      <c r="J104" s="131"/>
      <c r="K104" s="131"/>
      <c r="O104" s="131"/>
      <c r="P104" s="131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31"/>
      <c r="J106" s="131"/>
      <c r="K106" s="131"/>
      <c r="O106" s="131"/>
      <c r="P106" s="131"/>
    </row>
  </sheetData>
  <sheetProtection algorithmName="SHA-512" hashValue="3x1XzlPfq3gzRhPcylplWoQ6KcY2+j11Os/m1lgQn7WjWrU4A95ks7KmHjmU8h16BxBLQoHXcjx0Rf4mGHpt5w==" saltValue="Abvajkik74IP3HV8C3PG9A==" spinCount="100000" sheet="1" objects="1" scenarios="1"/>
  <mergeCells count="12">
    <mergeCell ref="A73:Q73"/>
    <mergeCell ref="L5:M5"/>
    <mergeCell ref="A6:Q6"/>
    <mergeCell ref="A48:Q48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5 L49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5 L49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5 Q49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2026-08-27T13:32:35Z</dcterms:created>
  <dcterms:modified xsi:type="dcterms:W3CDTF">2026-08-27T13:41:51Z</dcterms:modified>
</cp:coreProperties>
</file>