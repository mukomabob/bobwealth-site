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12.05.26/"/>
    </mc:Choice>
  </mc:AlternateContent>
  <xr:revisionPtr revIDLastSave="0" documentId="8_{5E88B5B7-1D23-4639-AED0-7E2AF7994817}" xr6:coauthVersionLast="47" xr6:coauthVersionMax="47" xr10:uidLastSave="{00000000-0000-0000-0000-000000000000}"/>
  <bookViews>
    <workbookView xWindow="-108" yWindow="-108" windowWidth="23256" windowHeight="12456" xr2:uid="{7C567011-39D5-4DB1-A9E3-26B204607087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J75" i="1"/>
  <c r="M75" i="1"/>
  <c r="L75" i="1"/>
  <c r="K75" i="1"/>
  <c r="E75" i="1" s="1"/>
  <c r="D75" i="1"/>
  <c r="N86" i="1"/>
  <c r="Q85" i="1"/>
  <c r="M85" i="1"/>
  <c r="L85" i="1"/>
  <c r="K85" i="1"/>
  <c r="E85" i="1" s="1"/>
  <c r="J85" i="1"/>
  <c r="P85" i="1" s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O73" i="1"/>
  <c r="N73" i="1"/>
  <c r="P72" i="1"/>
  <c r="M72" i="1"/>
  <c r="L72" i="1"/>
  <c r="J72" i="1"/>
  <c r="Q72" i="1" s="1"/>
  <c r="D72" i="1"/>
  <c r="M71" i="1"/>
  <c r="L71" i="1"/>
  <c r="J71" i="1"/>
  <c r="K71" i="1" s="1"/>
  <c r="E71" i="1" s="1"/>
  <c r="M68" i="1"/>
  <c r="L68" i="1"/>
  <c r="D68" i="1"/>
  <c r="O66" i="1"/>
  <c r="N66" i="1"/>
  <c r="M65" i="1"/>
  <c r="L65" i="1"/>
  <c r="J65" i="1"/>
  <c r="P65" i="1" s="1"/>
  <c r="D65" i="1"/>
  <c r="M64" i="1"/>
  <c r="L64" i="1"/>
  <c r="J64" i="1"/>
  <c r="Q64" i="1" s="1"/>
  <c r="D64" i="1"/>
  <c r="M63" i="1"/>
  <c r="L63" i="1"/>
  <c r="J63" i="1"/>
  <c r="P63" i="1" s="1"/>
  <c r="M62" i="1"/>
  <c r="L62" i="1"/>
  <c r="J62" i="1"/>
  <c r="Q62" i="1" s="1"/>
  <c r="D62" i="1"/>
  <c r="M61" i="1"/>
  <c r="L61" i="1"/>
  <c r="J61" i="1"/>
  <c r="P61" i="1" s="1"/>
  <c r="M60" i="1"/>
  <c r="L60" i="1"/>
  <c r="J60" i="1"/>
  <c r="Q60" i="1" s="1"/>
  <c r="D60" i="1"/>
  <c r="M59" i="1"/>
  <c r="L59" i="1"/>
  <c r="J59" i="1"/>
  <c r="P59" i="1" s="1"/>
  <c r="D59" i="1"/>
  <c r="M58" i="1"/>
  <c r="L58" i="1"/>
  <c r="J58" i="1"/>
  <c r="Q58" i="1" s="1"/>
  <c r="D58" i="1"/>
  <c r="M57" i="1"/>
  <c r="L57" i="1"/>
  <c r="J57" i="1"/>
  <c r="P57" i="1" s="1"/>
  <c r="D57" i="1"/>
  <c r="M56" i="1"/>
  <c r="L56" i="1"/>
  <c r="J56" i="1"/>
  <c r="Q56" i="1" s="1"/>
  <c r="D56" i="1"/>
  <c r="M55" i="1"/>
  <c r="L55" i="1"/>
  <c r="J55" i="1"/>
  <c r="P55" i="1" s="1"/>
  <c r="D55" i="1"/>
  <c r="M54" i="1"/>
  <c r="L54" i="1"/>
  <c r="J54" i="1"/>
  <c r="Q54" i="1" s="1"/>
  <c r="M53" i="1"/>
  <c r="L53" i="1"/>
  <c r="J53" i="1"/>
  <c r="Q53" i="1" s="1"/>
  <c r="D53" i="1"/>
  <c r="M52" i="1"/>
  <c r="L52" i="1"/>
  <c r="J52" i="1"/>
  <c r="Q52" i="1" s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D39" i="1"/>
  <c r="Q38" i="1"/>
  <c r="M38" i="1"/>
  <c r="L38" i="1"/>
  <c r="K38" i="1"/>
  <c r="E38" i="1" s="1"/>
  <c r="J38" i="1"/>
  <c r="P38" i="1" s="1"/>
  <c r="D38" i="1"/>
  <c r="Q37" i="1"/>
  <c r="M37" i="1"/>
  <c r="L37" i="1"/>
  <c r="K37" i="1"/>
  <c r="E37" i="1" s="1"/>
  <c r="J37" i="1"/>
  <c r="P37" i="1" s="1"/>
  <c r="D37" i="1"/>
  <c r="Q36" i="1"/>
  <c r="M36" i="1"/>
  <c r="L36" i="1"/>
  <c r="K36" i="1"/>
  <c r="J36" i="1"/>
  <c r="P36" i="1" s="1"/>
  <c r="E36" i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E29" i="1" s="1"/>
  <c r="J29" i="1"/>
  <c r="P29" i="1" s="1"/>
  <c r="D29" i="1"/>
  <c r="Q28" i="1"/>
  <c r="M28" i="1"/>
  <c r="L28" i="1"/>
  <c r="K28" i="1"/>
  <c r="E28" i="1" s="1"/>
  <c r="J28" i="1"/>
  <c r="P28" i="1" s="1"/>
  <c r="Q27" i="1"/>
  <c r="M27" i="1"/>
  <c r="L27" i="1"/>
  <c r="K27" i="1"/>
  <c r="J27" i="1"/>
  <c r="P27" i="1" s="1"/>
  <c r="E27" i="1"/>
  <c r="Q26" i="1"/>
  <c r="M26" i="1"/>
  <c r="L26" i="1"/>
  <c r="K26" i="1"/>
  <c r="E26" i="1" s="1"/>
  <c r="J26" i="1"/>
  <c r="P26" i="1" s="1"/>
  <c r="D26" i="1"/>
  <c r="Q25" i="1"/>
  <c r="M25" i="1"/>
  <c r="L25" i="1"/>
  <c r="K25" i="1"/>
  <c r="E25" i="1" s="1"/>
  <c r="J25" i="1"/>
  <c r="P25" i="1" s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P22" i="1" s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D20" i="1"/>
  <c r="E19" i="1"/>
  <c r="D19" i="1"/>
  <c r="Q18" i="1"/>
  <c r="M18" i="1"/>
  <c r="L18" i="1"/>
  <c r="K18" i="1"/>
  <c r="E18" i="1" s="1"/>
  <c r="J18" i="1"/>
  <c r="D18" i="1" s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Q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P10" i="1" s="1"/>
  <c r="Q63" i="1" l="1"/>
  <c r="P47" i="1"/>
  <c r="Q55" i="1"/>
  <c r="P15" i="1"/>
  <c r="P84" i="1"/>
  <c r="P53" i="1"/>
  <c r="D10" i="1"/>
  <c r="D16" i="1"/>
  <c r="D43" i="1"/>
  <c r="D85" i="1"/>
  <c r="D34" i="1"/>
  <c r="D36" i="1"/>
  <c r="D54" i="1"/>
  <c r="D63" i="1"/>
  <c r="P75" i="1"/>
  <c r="Q75" i="1"/>
  <c r="D28" i="1"/>
  <c r="D52" i="1"/>
  <c r="Q59" i="1"/>
  <c r="P71" i="1"/>
  <c r="Q61" i="1"/>
  <c r="P44" i="1"/>
  <c r="P18" i="1"/>
  <c r="D23" i="1"/>
  <c r="Q57" i="1"/>
  <c r="Q65" i="1"/>
  <c r="P12" i="1"/>
  <c r="Q71" i="1"/>
  <c r="D27" i="1"/>
  <c r="D61" i="1"/>
  <c r="P11" i="1"/>
  <c r="P42" i="1"/>
  <c r="P45" i="1"/>
  <c r="P56" i="1"/>
  <c r="P58" i="1"/>
  <c r="P60" i="1"/>
  <c r="P62" i="1"/>
  <c r="P64" i="1"/>
  <c r="K72" i="1"/>
  <c r="E72" i="1" s="1"/>
  <c r="P14" i="1"/>
  <c r="P17" i="1"/>
  <c r="P52" i="1"/>
  <c r="D71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<sst xmlns="http://schemas.openxmlformats.org/spreadsheetml/2006/main" count="264" uniqueCount="182">
  <si>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</si>
  <si>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</si>
  <si>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</si>
  <si>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</si>
  <si>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</si>
  <si>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</si>
  <si>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</si>
  <si>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</si>
  <si>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</si>
  <si>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</si>
  <si>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</si>
  <si>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</si>
  <si>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</si>
  <si>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</si>
  <si>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</si>
  <si>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</si>
  <si>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</si>
  <si>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</si>
  <si>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</si>
  <si>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</si>
  <si>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</si>
  <si>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</si>
  <si>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</si>
  <si>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</si>
  <si>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</si>
  <si>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</si>
  <si>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</si>
  <si>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</si>
  <si>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</si>
  <si>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</si>
  <si>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</si>
  <si>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</si>
  <si>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</si>
  <si>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</si>
  <si>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</si>
  <si>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</si>
  <si>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</si>
  <si>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</si>
  <si>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</si>
  <si>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</si>
  <si>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</si>
  <si>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</si>
  <si>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</si>
  <si>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</si>
  <si>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</si>
  <si>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</si>
  <si>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</si>
  <si>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</si>
  <si>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</si>
  <si>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</si>
  <si>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</si>
  <si>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</si>
  <si>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</si>
  <si>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</si>
  <si>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</si>
  <si>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</si>
  <si>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</si>
  <si>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</si>
  <si>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</si>
  <si>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</si>
  <si>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</si>
  <si>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</si>
  <si>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</si>
  <si>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</si>
  <si>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</si>
  <si>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</si>
  <si>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</si>
  <si>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</si>
  <si>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</si>
  <si>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</si>
  <si>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</si>
  <si>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</si>
  <si>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</si>
  <si>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</si>
  <si>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</si>
  <si>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</si>
  <si>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</si>
  <si>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</si>
  <si>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</si>
  <si>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</si>
  <si>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</si>
  <si>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</si>
  <si>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</si>
  <si>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</si>
  <si>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</si>
  <si>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</si>
  <si>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</si>
  <si>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</si>
  <si>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</si>
  <si>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</si>
  <si>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</si>
  <si>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</si>
  <si>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</si>
  <si>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</si>
  <si>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</si>
  <si>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</si>
  <si>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</si>
  <si>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</si>
  <si>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</si>
  <si>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</si>
  <si>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</si>
  <si>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</si>
  <si>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</si>
  <si>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</si>
  <si>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</si>
  <si>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</si>
  <si>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</si>
  <si>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</si>
  <si>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</si>
  <si>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</si>
  <si>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</si>
  <si>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</si>
  <si>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</si>
  <si>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</si>
  <si>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</si>
  <si>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</si>
  <si>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</si>
  <si>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</si>
  <si>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</si>
  <si>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</si>
  <si>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</si>
  <si>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</si>
  <si>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</si>
  <si>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</si>
  <si>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</si>
  <si>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</si>
  <si>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</si>
  <si>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</si>
  <si>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</si>
  <si>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</si>
  <si>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</si>
  <si>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</si>
  <si>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</si>
  <si>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</si>
  <si>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</si>
  <si>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</si>
  <si>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</si>
  <si>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</si>
  <si>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</si>
  <si>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</si>
  <si>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</si>
  <si>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</si>
  <si>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</si>
  <si>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</si>
  <si>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</si>
  <si>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</si>
  <si>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</si>
  <si>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</si>
  <si>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</si>
  <si>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</si>
  <si>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</si>
  <si>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</si>
  <si>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</si>
  <si>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</si>
  <si>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</si>
  <si>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</si>
  <si>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</si>
  <si>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</si>
  <si>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</si>
  <si>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</si>
  <si>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</si>
  <si>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</si>
  <si>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</si>
  <si>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</si>
  <si>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</si>
  <si>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</si>
  <si>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</si>
  <si>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</si>
  <si>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</si>
  <si>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</si>
  <si>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</si>
  <si>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</si>
  <si>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</si>
  <si>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</si>
  <si>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</si>
  <si>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</si>
  <si>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</si>
  <si>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</si>
  <si>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</si>
  <si>
    <t>VFEX ETF (USD$)</t>
  </si>
  <si>
    <t>FMW Gold ETF</t>
  </si>
  <si>
    <t>ZWVX09020012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</si>
</sst>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164" fontId="15" fillId="5" borderId="5" xfId="3" applyFont="1" applyFill="1" applyBorder="1" applyAlignment="1">
      <alignment horizontal="left"/>
    </xf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6" fillId="5" borderId="5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64" fontId="4" fillId="3" borderId="0" xfId="2" applyNumberFormat="1" applyFont="1" applyFill="1" applyAlignment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164" fontId="15" fillId="5" borderId="6" xfId="3" applyFont="1" applyFill="1" applyBorder="1"/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5" fillId="3" borderId="0" xfId="2" applyFont="1" applyFill="1" applyBorder="1" applyAlignment="1"/>
    <xf numFmtId="0" fontId="9" fillId="3" borderId="0" xfId="2" applyFont="1" applyFill="1" applyBorder="1" applyAlignment="1"/>
    <xf numFmtId="4" fontId="10" fillId="3" borderId="0" xfId="2" applyNumberFormat="1" applyFont="1" applyFill="1" applyBorder="1" applyAlignment="1"/>
    <xf numFmtId="0" fontId="11" fillId="4" borderId="0" xfId="2" applyFont="1" applyFill="1" applyBorder="1" applyAlignment="1">
      <alignment horizontal="center"/>
    </xf>
    <xf numFmtId="0" fontId="11" fillId="4" borderId="0" xfId="2" quotePrefix="1" applyFont="1" applyFill="1" applyBorder="1" applyAlignment="1">
      <alignment horizontal="left"/>
    </xf>
    <xf numFmtId="0" fontId="11" fillId="4" borderId="0" xfId="2" applyFont="1" applyFill="1" applyBorder="1" applyAlignment="1">
      <alignment horizontal="right" wrapText="1"/>
    </xf>
    <xf numFmtId="0" fontId="11" fillId="4" borderId="0" xfId="2" applyFont="1" applyFill="1" applyBorder="1" applyAlignment="1">
      <alignment horizontal="right"/>
    </xf>
    <xf numFmtId="0" fontId="11" fillId="4" borderId="0" xfId="2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49" fontId="12" fillId="2" borderId="0" xfId="2" applyNumberFormat="1" applyFont="1" applyFill="1" applyBorder="1" applyAlignment="1">
      <alignment horizontal="center"/>
    </xf>
    <xf numFmtId="165" fontId="12" fillId="2" borderId="0" xfId="2" applyNumberFormat="1" applyFont="1" applyFill="1" applyBorder="1" applyAlignment="1">
      <alignment horizontal="center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22" fillId="3" borderId="0" xfId="2" applyFont="1" applyFill="1" applyBorder="1" applyAlignment="1"/>
    <xf numFmtId="166" fontId="15" fillId="5" borderId="0" xfId="4" applyNumberFormat="1" applyFont="1" applyFill="1" applyBorder="1" applyAlignment="1">
      <alignment horizontal="right"/>
    </xf>
    <xf numFmtId="0" fontId="4" fillId="3" borderId="0" xfId="2" applyFont="1" applyFill="1" applyBorder="1" applyAlignment="1"/>
    <xf numFmtId="164" fontId="15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0" fontId="28" fillId="3" borderId="0" xfId="2" applyFont="1" applyFill="1" applyBorder="1" applyAlignment="1"/>
    <xf numFmtId="164" fontId="9" fillId="3" borderId="0" xfId="2" applyNumberFormat="1" applyFont="1" applyFill="1" applyBorder="1" applyAlignment="1"/>
  </cellXfs>
  <cellStyles count="9">
    <cellStyle name="Comma 2 2 2 2 2 2 2 2 2 2" xfId="3" xr:uid="{FE363188-2873-429A-94FA-3EDDFF8265BF}"/>
    <cellStyle name="Comma 5 2 2 2 2 2 2 2 2" xfId="4" xr:uid="{C86C0709-F51C-47BF-AD89-88EC8418E346}"/>
    <cellStyle name="Comma 6 2 2 2" xfId="5" xr:uid="{04314B8C-8625-4641-BA0F-0AC52A239935}"/>
    <cellStyle name="Hyperlink 2" xfId="8" xr:uid="{C97300BA-A949-46F6-B495-F5EEF64B9583}"/>
    <cellStyle name="Normal" xfId="0" builtinId="0"/>
    <cellStyle name="Normal 2" xfId="2" xr:uid="{77911442-90C2-4332-986C-59559ED06C83}"/>
    <cellStyle name="Normal 20" xfId="7" xr:uid="{0CF91853-BD6E-45FB-A839-EAA07831B613}"/>
    <cellStyle name="Percent" xfId="1" builtinId="5"/>
    <cellStyle name="Percent 3" xfId="6" xr:uid="{51068B82-5385-4A95-BDF2-03D3959D8A8C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5A7F0A0-9236-4092-A1E0-18EF061A5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1175658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6469129-27BB-48C3-96B5-047D0EBDA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321"/>
          <a:ext cx="5990410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1208-9E20-4B08-8B90-5779E9BA99CC}">
  <dimension ref="A1:II107"/>
  <sheetViews>
    <sheetView tabSelected="1" zoomScale="70" zoomScaleNormal="70" workbookViewId="0">
      <selection activeCell="U26" sqref="U2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0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91"/>
      <c r="C3" s="91"/>
      <c r="D3" s="91"/>
      <c r="E3" s="91"/>
      <c r="F3" s="90"/>
      <c r="G3" s="90"/>
      <c r="H3" s="13" t="s">
        <v>3</v>
      </c>
      <c r="I3" s="90"/>
      <c r="J3" s="90"/>
      <c r="K3" s="90"/>
      <c r="L3" s="13" t="s">
        <v>4</v>
      </c>
      <c r="M3" s="14" t="s">
        <v>5</v>
      </c>
      <c r="N3" s="12" t="s">
        <v>6</v>
      </c>
      <c r="O3" s="90"/>
      <c r="P3" s="90"/>
      <c r="Q3" s="15"/>
      <c r="R3" s="9"/>
    </row>
    <row r="4" spans="1:18" x14ac:dyDescent="0.25">
      <c r="A4" s="12"/>
      <c r="B4" s="91"/>
      <c r="C4" s="91"/>
      <c r="D4" s="91"/>
      <c r="E4" s="91"/>
      <c r="F4" s="90"/>
      <c r="G4" s="90"/>
      <c r="H4" s="13" t="s">
        <v>7</v>
      </c>
      <c r="I4" s="90"/>
      <c r="J4" s="90"/>
      <c r="K4" s="92">
        <v>30</v>
      </c>
      <c r="L4" s="13" t="s">
        <v>8</v>
      </c>
      <c r="M4" s="14" t="s">
        <v>9</v>
      </c>
      <c r="N4" s="12" t="s">
        <v>10</v>
      </c>
      <c r="O4" s="90"/>
      <c r="P4" s="90"/>
      <c r="Q4" s="15"/>
      <c r="R4" s="9"/>
    </row>
    <row r="5" spans="1:18" ht="12.6" thickBot="1" x14ac:dyDescent="0.3">
      <c r="A5" s="16"/>
      <c r="B5" s="17"/>
      <c r="C5" s="17"/>
      <c r="D5" s="17"/>
      <c r="E5" s="17"/>
      <c r="F5" s="18"/>
      <c r="G5" s="18"/>
      <c r="H5" s="19" t="s">
        <v>11</v>
      </c>
      <c r="I5" s="18"/>
      <c r="J5" s="20">
        <v>25.7639</v>
      </c>
      <c r="K5" s="20"/>
      <c r="L5" s="86" t="s">
        <v>12</v>
      </c>
      <c r="M5" s="87"/>
      <c r="N5" s="21" t="s">
        <v>13</v>
      </c>
      <c r="O5" s="22"/>
      <c r="P5" s="22"/>
      <c r="Q5" s="23"/>
    </row>
    <row r="6" spans="1:18" ht="6.6" customHeight="1" x14ac:dyDescent="0.3">
      <c r="A6" s="76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9"/>
    </row>
    <row r="7" spans="1:18" s="27" customFormat="1" ht="23.4" customHeight="1" x14ac:dyDescent="0.25">
      <c r="A7" s="24" t="s">
        <v>14</v>
      </c>
      <c r="B7" s="93" t="s">
        <v>15</v>
      </c>
      <c r="C7" s="93" t="s">
        <v>16</v>
      </c>
      <c r="D7" s="93" t="s">
        <v>17</v>
      </c>
      <c r="E7" s="93" t="s">
        <v>18</v>
      </c>
      <c r="F7" s="94" t="s">
        <v>19</v>
      </c>
      <c r="G7" s="95" t="s">
        <v>20</v>
      </c>
      <c r="H7" s="95" t="s">
        <v>21</v>
      </c>
      <c r="I7" s="95" t="s">
        <v>22</v>
      </c>
      <c r="J7" s="95" t="s">
        <v>23</v>
      </c>
      <c r="K7" s="95" t="s">
        <v>24</v>
      </c>
      <c r="L7" s="96" t="s">
        <v>25</v>
      </c>
      <c r="M7" s="96" t="s">
        <v>26</v>
      </c>
      <c r="N7" s="95" t="s">
        <v>27</v>
      </c>
      <c r="O7" s="95" t="s">
        <v>28</v>
      </c>
      <c r="P7" s="96" t="s">
        <v>29</v>
      </c>
      <c r="Q7" s="26" t="s">
        <v>30</v>
      </c>
      <c r="R7" s="25" t="s">
        <v>31</v>
      </c>
    </row>
    <row r="8" spans="1:18" s="27" customFormat="1" hidden="1" x14ac:dyDescent="0.25">
      <c r="A8" s="28"/>
      <c r="B8" s="93"/>
      <c r="C8" s="93"/>
      <c r="D8" s="93"/>
      <c r="E8" s="93"/>
      <c r="F8" s="97"/>
      <c r="G8" s="95"/>
      <c r="H8" s="95"/>
      <c r="I8" s="95"/>
      <c r="J8" s="95"/>
      <c r="K8" s="95"/>
      <c r="L8" s="96"/>
      <c r="M8" s="96"/>
      <c r="N8" s="95"/>
      <c r="O8" s="95"/>
      <c r="P8" s="96"/>
      <c r="Q8" s="26"/>
      <c r="R8" s="25"/>
    </row>
    <row r="9" spans="1:18" s="27" customFormat="1" hidden="1" x14ac:dyDescent="0.25">
      <c r="A9" s="28"/>
      <c r="B9" s="93"/>
      <c r="C9" s="93"/>
      <c r="D9" s="93"/>
      <c r="E9" s="93"/>
      <c r="F9" s="97"/>
      <c r="G9" s="95"/>
      <c r="H9" s="95"/>
      <c r="I9" s="95"/>
      <c r="J9" s="95"/>
      <c r="K9" s="95"/>
      <c r="L9" s="96"/>
      <c r="M9" s="96"/>
      <c r="N9" s="95"/>
      <c r="O9" s="95"/>
      <c r="P9" s="96"/>
      <c r="Q9" s="26"/>
      <c r="R9" s="25"/>
    </row>
    <row r="10" spans="1:18" x14ac:dyDescent="0.25">
      <c r="A10" s="29" t="s">
        <v>32</v>
      </c>
      <c r="B10" s="98" t="s">
        <v>33</v>
      </c>
      <c r="C10" s="99">
        <v>124748059</v>
      </c>
      <c r="D10" s="100">
        <f t="shared" ref="D10:D30" si="0">C10*J10</f>
        <v>76503143.24306491</v>
      </c>
      <c r="E10" s="101">
        <f t="shared" ref="E10:E30" si="1">C10*K10</f>
        <v>65700644.406666674</v>
      </c>
      <c r="F10" s="102" t="s">
        <v>34</v>
      </c>
      <c r="G10" s="103">
        <v>8.9894999999999996</v>
      </c>
      <c r="H10" s="104">
        <v>15.8</v>
      </c>
      <c r="I10" s="104">
        <v>15.8</v>
      </c>
      <c r="J10" s="105">
        <f>(I10/$J$5)</f>
        <v>0.61326119104638666</v>
      </c>
      <c r="K10" s="106">
        <f t="shared" ref="K10:K18" si="2">I10/$K$4</f>
        <v>0.52666666666666673</v>
      </c>
      <c r="L10" s="107">
        <f t="shared" ref="L10:L18" si="3">I10-H10</f>
        <v>0</v>
      </c>
      <c r="M10" s="107">
        <f t="shared" ref="M10:M18" si="4">((I10-H10)/H10)*100</f>
        <v>0</v>
      </c>
      <c r="N10" s="108">
        <v>0</v>
      </c>
      <c r="O10" s="99">
        <v>0</v>
      </c>
      <c r="P10" s="109">
        <f t="shared" ref="P10:P18" si="5">(R10)/J10</f>
        <v>2.4459398734177212E-2</v>
      </c>
      <c r="Q10" s="30">
        <f t="shared" ref="Q10:Q18" si="6">I10/G10-1</f>
        <v>0.75760609600089013</v>
      </c>
      <c r="R10" s="31">
        <v>1.4999999999999999E-2</v>
      </c>
    </row>
    <row r="11" spans="1:18" x14ac:dyDescent="0.25">
      <c r="A11" s="29" t="s">
        <v>35</v>
      </c>
      <c r="B11" s="98" t="s">
        <v>36</v>
      </c>
      <c r="C11" s="99">
        <v>1627395595</v>
      </c>
      <c r="D11" s="100">
        <f t="shared" si="0"/>
        <v>4326852.6215945566</v>
      </c>
      <c r="E11" s="101">
        <f t="shared" si="1"/>
        <v>3715886.6085833325</v>
      </c>
      <c r="F11" s="102" t="s">
        <v>34</v>
      </c>
      <c r="G11" s="103">
        <v>3.1600000000000003E-2</v>
      </c>
      <c r="H11" s="104">
        <v>6.8254999999999996E-2</v>
      </c>
      <c r="I11" s="104">
        <v>6.8499999999999991E-2</v>
      </c>
      <c r="J11" s="105">
        <f t="shared" ref="J11:J18" si="7">I11/$J$5</f>
        <v>2.6587589611821189E-3</v>
      </c>
      <c r="K11" s="106">
        <f t="shared" si="2"/>
        <v>2.283333333333333E-3</v>
      </c>
      <c r="L11" s="107">
        <f t="shared" si="3"/>
        <v>2.4499999999999522E-4</v>
      </c>
      <c r="M11" s="107">
        <f t="shared" si="4"/>
        <v>0.35894806241300303</v>
      </c>
      <c r="N11" s="108">
        <v>200</v>
      </c>
      <c r="O11" s="99">
        <v>13.7</v>
      </c>
      <c r="P11" s="110">
        <f t="shared" si="5"/>
        <v>0</v>
      </c>
      <c r="Q11" s="30">
        <f t="shared" si="6"/>
        <v>1.1677215189873413</v>
      </c>
      <c r="R11" s="31"/>
    </row>
    <row r="12" spans="1:18" x14ac:dyDescent="0.25">
      <c r="A12" s="29" t="s">
        <v>37</v>
      </c>
      <c r="B12" s="98" t="s">
        <v>38</v>
      </c>
      <c r="C12" s="99">
        <v>436977359</v>
      </c>
      <c r="D12" s="100">
        <f t="shared" si="0"/>
        <v>3309178.4078657734</v>
      </c>
      <c r="E12" s="101">
        <f t="shared" si="1"/>
        <v>2841911.3860804336</v>
      </c>
      <c r="F12" s="102" t="s">
        <v>39</v>
      </c>
      <c r="G12" s="103">
        <v>7.8E-2</v>
      </c>
      <c r="H12" s="104">
        <v>0.22</v>
      </c>
      <c r="I12" s="104">
        <v>0.195107</v>
      </c>
      <c r="J12" s="105">
        <f t="shared" si="7"/>
        <v>7.5728829874359086E-3</v>
      </c>
      <c r="K12" s="106">
        <f t="shared" si="2"/>
        <v>6.5035666666666669E-3</v>
      </c>
      <c r="L12" s="107">
        <f t="shared" si="3"/>
        <v>-2.4892999999999998E-2</v>
      </c>
      <c r="M12" s="107">
        <f t="shared" si="4"/>
        <v>-11.315</v>
      </c>
      <c r="N12" s="108">
        <v>140600</v>
      </c>
      <c r="O12" s="99">
        <v>27432</v>
      </c>
      <c r="P12" s="110">
        <f t="shared" si="5"/>
        <v>0</v>
      </c>
      <c r="Q12" s="30">
        <f t="shared" si="6"/>
        <v>1.5013717948717948</v>
      </c>
      <c r="R12" s="31"/>
    </row>
    <row r="13" spans="1:18" x14ac:dyDescent="0.25">
      <c r="A13" s="29" t="s">
        <v>40</v>
      </c>
      <c r="B13" s="98" t="s">
        <v>41</v>
      </c>
      <c r="C13" s="99">
        <v>20633517</v>
      </c>
      <c r="D13" s="100">
        <f t="shared" si="0"/>
        <v>136147783.91470236</v>
      </c>
      <c r="E13" s="101">
        <f t="shared" si="1"/>
        <v>116923263</v>
      </c>
      <c r="F13" s="102" t="s">
        <v>34</v>
      </c>
      <c r="G13" s="103">
        <v>97.381</v>
      </c>
      <c r="H13" s="104">
        <v>180</v>
      </c>
      <c r="I13" s="104">
        <v>170</v>
      </c>
      <c r="J13" s="105">
        <f t="shared" si="7"/>
        <v>6.5983799036636537</v>
      </c>
      <c r="K13" s="106">
        <f t="shared" si="2"/>
        <v>5.666666666666667</v>
      </c>
      <c r="L13" s="107">
        <f t="shared" si="3"/>
        <v>-10</v>
      </c>
      <c r="M13" s="107">
        <f t="shared" si="4"/>
        <v>-5.5555555555555554</v>
      </c>
      <c r="N13" s="108">
        <v>2600</v>
      </c>
      <c r="O13" s="99">
        <v>442000</v>
      </c>
      <c r="P13" s="110">
        <f t="shared" si="5"/>
        <v>0</v>
      </c>
      <c r="Q13" s="30">
        <f t="shared" si="6"/>
        <v>0.74572041774062692</v>
      </c>
      <c r="R13" s="31"/>
    </row>
    <row r="14" spans="1:18" x14ac:dyDescent="0.25">
      <c r="A14" s="29" t="s">
        <v>42</v>
      </c>
      <c r="B14" s="98" t="s">
        <v>43</v>
      </c>
      <c r="C14" s="99">
        <v>8735108</v>
      </c>
      <c r="D14" s="100">
        <f t="shared" si="0"/>
        <v>4407917.2449823199</v>
      </c>
      <c r="E14" s="101">
        <f t="shared" si="1"/>
        <v>3785504.6369333328</v>
      </c>
      <c r="F14" s="102" t="s">
        <v>44</v>
      </c>
      <c r="G14" s="103">
        <v>13.6</v>
      </c>
      <c r="H14" s="104">
        <v>13.000999999999999</v>
      </c>
      <c r="I14" s="104">
        <v>13.000999999999999</v>
      </c>
      <c r="J14" s="105">
        <f t="shared" si="7"/>
        <v>0.50462080663253617</v>
      </c>
      <c r="K14" s="106">
        <f t="shared" si="2"/>
        <v>0.43336666666666662</v>
      </c>
      <c r="L14" s="107">
        <f t="shared" si="3"/>
        <v>0</v>
      </c>
      <c r="M14" s="107">
        <f t="shared" si="4"/>
        <v>0</v>
      </c>
      <c r="N14" s="108">
        <v>0</v>
      </c>
      <c r="O14" s="99">
        <v>0</v>
      </c>
      <c r="P14" s="110">
        <f t="shared" si="5"/>
        <v>0</v>
      </c>
      <c r="Q14" s="30">
        <f t="shared" si="6"/>
        <v>-4.4044117647058845E-2</v>
      </c>
      <c r="R14" s="31"/>
    </row>
    <row r="15" spans="1:18" x14ac:dyDescent="0.25">
      <c r="A15" s="29" t="s">
        <v>45</v>
      </c>
      <c r="B15" s="98" t="s">
        <v>46</v>
      </c>
      <c r="C15" s="99">
        <v>522661465</v>
      </c>
      <c r="D15" s="100">
        <f t="shared" si="0"/>
        <v>314007885.14739615</v>
      </c>
      <c r="E15" s="101">
        <f t="shared" si="1"/>
        <v>269668925.07163328</v>
      </c>
      <c r="F15" s="102" t="s">
        <v>47</v>
      </c>
      <c r="G15" s="103">
        <v>11.5</v>
      </c>
      <c r="H15" s="104">
        <v>15.324999999999999</v>
      </c>
      <c r="I15" s="104">
        <v>15.478599999999998</v>
      </c>
      <c r="J15" s="105">
        <f t="shared" si="7"/>
        <v>0.60078637162851889</v>
      </c>
      <c r="K15" s="106">
        <f t="shared" si="2"/>
        <v>0.51595333333333326</v>
      </c>
      <c r="L15" s="107">
        <f t="shared" si="3"/>
        <v>0.15359999999999907</v>
      </c>
      <c r="M15" s="107">
        <f t="shared" si="4"/>
        <v>1.0022838499184279</v>
      </c>
      <c r="N15" s="108">
        <v>1400</v>
      </c>
      <c r="O15" s="99">
        <v>21670</v>
      </c>
      <c r="P15" s="110">
        <f t="shared" si="5"/>
        <v>0</v>
      </c>
      <c r="Q15" s="30">
        <f t="shared" si="6"/>
        <v>0.34596521739130415</v>
      </c>
      <c r="R15" s="31"/>
    </row>
    <row r="16" spans="1:18" x14ac:dyDescent="0.25">
      <c r="A16" s="29" t="s">
        <v>48</v>
      </c>
      <c r="B16" s="98" t="s">
        <v>49</v>
      </c>
      <c r="C16" s="99">
        <v>106040875</v>
      </c>
      <c r="D16" s="100">
        <f t="shared" si="0"/>
        <v>24695222.772949748</v>
      </c>
      <c r="E16" s="101">
        <f t="shared" si="1"/>
        <v>21208175</v>
      </c>
      <c r="F16" s="102" t="s">
        <v>34</v>
      </c>
      <c r="G16" s="103">
        <v>5.39</v>
      </c>
      <c r="H16" s="104">
        <v>6</v>
      </c>
      <c r="I16" s="104">
        <v>6</v>
      </c>
      <c r="J16" s="105">
        <f t="shared" si="7"/>
        <v>0.23288399659989364</v>
      </c>
      <c r="K16" s="106">
        <f t="shared" si="2"/>
        <v>0.2</v>
      </c>
      <c r="L16" s="107">
        <f t="shared" si="3"/>
        <v>0</v>
      </c>
      <c r="M16" s="107">
        <f t="shared" si="4"/>
        <v>0</v>
      </c>
      <c r="N16" s="108">
        <v>6300</v>
      </c>
      <c r="O16" s="99">
        <v>37800</v>
      </c>
      <c r="P16" s="110">
        <f t="shared" si="5"/>
        <v>0</v>
      </c>
      <c r="Q16" s="30">
        <f t="shared" si="6"/>
        <v>0.1131725417439704</v>
      </c>
      <c r="R16" s="31"/>
    </row>
    <row r="17" spans="1:19" x14ac:dyDescent="0.25">
      <c r="A17" s="29" t="s">
        <v>50</v>
      </c>
      <c r="B17" s="98" t="s">
        <v>51</v>
      </c>
      <c r="C17" s="99">
        <v>358000858</v>
      </c>
      <c r="D17" s="100">
        <f t="shared" si="0"/>
        <v>33356015.961442176</v>
      </c>
      <c r="E17" s="101">
        <f t="shared" si="1"/>
        <v>28646035.320966668</v>
      </c>
      <c r="F17" s="102" t="s">
        <v>34</v>
      </c>
      <c r="G17" s="103">
        <v>1.9</v>
      </c>
      <c r="H17" s="104">
        <v>2.4</v>
      </c>
      <c r="I17" s="104">
        <v>2.4005000000000001</v>
      </c>
      <c r="J17" s="105">
        <f t="shared" si="7"/>
        <v>9.3173005639674122E-2</v>
      </c>
      <c r="K17" s="106">
        <f t="shared" si="2"/>
        <v>8.0016666666666666E-2</v>
      </c>
      <c r="L17" s="107">
        <f t="shared" si="3"/>
        <v>5.0000000000016698E-4</v>
      </c>
      <c r="M17" s="107">
        <f t="shared" si="4"/>
        <v>2.0833333333340292E-2</v>
      </c>
      <c r="N17" s="108">
        <v>24400</v>
      </c>
      <c r="O17" s="99">
        <v>58572.2</v>
      </c>
      <c r="P17" s="110">
        <f t="shared" si="5"/>
        <v>0</v>
      </c>
      <c r="Q17" s="30">
        <f t="shared" si="6"/>
        <v>0.263421052631579</v>
      </c>
      <c r="R17" s="31"/>
    </row>
    <row r="18" spans="1:19" x14ac:dyDescent="0.25">
      <c r="A18" s="29" t="s">
        <v>52</v>
      </c>
      <c r="B18" s="98" t="s">
        <v>53</v>
      </c>
      <c r="C18" s="99">
        <v>1341613815</v>
      </c>
      <c r="D18" s="100">
        <f t="shared" si="0"/>
        <v>1459346560.2106824</v>
      </c>
      <c r="E18" s="101">
        <f t="shared" si="1"/>
        <v>1253281961.4203999</v>
      </c>
      <c r="F18" s="102" t="s">
        <v>34</v>
      </c>
      <c r="G18" s="103">
        <v>20.701700000000002</v>
      </c>
      <c r="H18" s="104">
        <v>28</v>
      </c>
      <c r="I18" s="104">
        <v>28.024799999999999</v>
      </c>
      <c r="J18" s="105">
        <f t="shared" si="7"/>
        <v>1.0877545713187833</v>
      </c>
      <c r="K18" s="106">
        <f t="shared" si="2"/>
        <v>0.93415999999999999</v>
      </c>
      <c r="L18" s="107">
        <f t="shared" si="3"/>
        <v>2.4799999999999045E-2</v>
      </c>
      <c r="M18" s="107">
        <f t="shared" si="4"/>
        <v>8.8571428571425165E-2</v>
      </c>
      <c r="N18" s="108">
        <v>449900</v>
      </c>
      <c r="O18" s="99">
        <v>12608367.15</v>
      </c>
      <c r="P18" s="110">
        <f t="shared" si="5"/>
        <v>0</v>
      </c>
      <c r="Q18" s="30">
        <f t="shared" si="6"/>
        <v>0.35374389542887763</v>
      </c>
      <c r="R18" s="31"/>
    </row>
    <row r="19" spans="1:19" hidden="1" x14ac:dyDescent="0.25">
      <c r="A19" s="29" t="s">
        <v>54</v>
      </c>
      <c r="B19" s="98" t="s">
        <v>55</v>
      </c>
      <c r="C19" s="99">
        <v>2992163203</v>
      </c>
      <c r="D19" s="100">
        <f t="shared" si="0"/>
        <v>0</v>
      </c>
      <c r="E19" s="101">
        <f t="shared" si="1"/>
        <v>0</v>
      </c>
      <c r="F19" s="102" t="s">
        <v>56</v>
      </c>
      <c r="G19" s="103">
        <v>6.1399460000000001</v>
      </c>
      <c r="H19" s="104"/>
      <c r="I19" s="104"/>
      <c r="J19" s="105"/>
      <c r="K19" s="106"/>
      <c r="L19" s="107"/>
      <c r="M19" s="107"/>
      <c r="N19" s="108" t="s">
        <v>57</v>
      </c>
      <c r="O19" s="99" t="s">
        <v>57</v>
      </c>
      <c r="P19" s="110"/>
      <c r="Q19" s="30"/>
      <c r="R19" s="31"/>
    </row>
    <row r="20" spans="1:19" x14ac:dyDescent="0.25">
      <c r="A20" s="29" t="s">
        <v>58</v>
      </c>
      <c r="B20" s="98" t="s">
        <v>59</v>
      </c>
      <c r="C20" s="99">
        <v>671949927</v>
      </c>
      <c r="D20" s="100">
        <f t="shared" si="0"/>
        <v>299100251.04229951</v>
      </c>
      <c r="E20" s="101">
        <f t="shared" si="1"/>
        <v>256866298.59428999</v>
      </c>
      <c r="F20" s="102" t="s">
        <v>47</v>
      </c>
      <c r="G20" s="103">
        <v>12.45</v>
      </c>
      <c r="H20" s="104">
        <v>11.385</v>
      </c>
      <c r="I20" s="104">
        <v>11.4681</v>
      </c>
      <c r="J20" s="105">
        <f t="shared" ref="J20:J30" si="8">I20/$J$5</f>
        <v>0.44512282690120675</v>
      </c>
      <c r="K20" s="106">
        <f t="shared" ref="K20:K30" si="9">I20/$K$4</f>
        <v>0.38227</v>
      </c>
      <c r="L20" s="107">
        <f t="shared" ref="L20:L30" si="10">I20-H20</f>
        <v>8.3099999999999952E-2</v>
      </c>
      <c r="M20" s="107">
        <f t="shared" ref="M20:M30" si="11">((I20-H20)/H20)*100</f>
        <v>0.72990777338603385</v>
      </c>
      <c r="N20" s="108">
        <v>671100</v>
      </c>
      <c r="O20" s="99">
        <v>7696255</v>
      </c>
      <c r="P20" s="110">
        <f t="shared" ref="P20:P30" si="12">(R20)/J20</f>
        <v>0</v>
      </c>
      <c r="Q20" s="30">
        <f t="shared" ref="Q20:Q30" si="13">I20/G20-1</f>
        <v>-7.8867469879518093E-2</v>
      </c>
      <c r="R20" s="31"/>
    </row>
    <row r="21" spans="1:19" x14ac:dyDescent="0.25">
      <c r="A21" s="29" t="s">
        <v>60</v>
      </c>
      <c r="B21" s="98" t="s">
        <v>61</v>
      </c>
      <c r="C21" s="99">
        <v>108923291</v>
      </c>
      <c r="D21" s="100">
        <f t="shared" si="0"/>
        <v>2445807.4998848392</v>
      </c>
      <c r="E21" s="101">
        <f t="shared" si="1"/>
        <v>2100451.3282094332</v>
      </c>
      <c r="F21" s="102" t="s">
        <v>47</v>
      </c>
      <c r="G21" s="103">
        <v>0.35</v>
      </c>
      <c r="H21" s="104">
        <v>0.57851300000000005</v>
      </c>
      <c r="I21" s="104">
        <v>0.57851300000000005</v>
      </c>
      <c r="J21" s="105">
        <f t="shared" si="8"/>
        <v>2.2454403254165714E-2</v>
      </c>
      <c r="K21" s="106">
        <f t="shared" si="9"/>
        <v>1.9283766666666667E-2</v>
      </c>
      <c r="L21" s="107">
        <f t="shared" si="10"/>
        <v>0</v>
      </c>
      <c r="M21" s="107">
        <f t="shared" si="11"/>
        <v>0</v>
      </c>
      <c r="N21" s="108">
        <v>0</v>
      </c>
      <c r="O21" s="99">
        <v>0</v>
      </c>
      <c r="P21" s="110">
        <f t="shared" si="12"/>
        <v>0</v>
      </c>
      <c r="Q21" s="30">
        <f t="shared" si="13"/>
        <v>0.65289428571428587</v>
      </c>
      <c r="R21" s="31"/>
    </row>
    <row r="22" spans="1:19" x14ac:dyDescent="0.25">
      <c r="A22" s="29" t="s">
        <v>62</v>
      </c>
      <c r="B22" s="98" t="s">
        <v>63</v>
      </c>
      <c r="C22" s="99">
        <v>690143060</v>
      </c>
      <c r="D22" s="100">
        <f t="shared" si="0"/>
        <v>66968030.849366754</v>
      </c>
      <c r="E22" s="101">
        <f t="shared" si="1"/>
        <v>57511921.666666664</v>
      </c>
      <c r="F22" s="102" t="s">
        <v>47</v>
      </c>
      <c r="G22" s="103">
        <v>2.85</v>
      </c>
      <c r="H22" s="104">
        <v>2.5</v>
      </c>
      <c r="I22" s="104">
        <v>2.5</v>
      </c>
      <c r="J22" s="105">
        <f t="shared" si="8"/>
        <v>9.7034998583289025E-2</v>
      </c>
      <c r="K22" s="106">
        <f t="shared" si="9"/>
        <v>8.3333333333333329E-2</v>
      </c>
      <c r="L22" s="107">
        <f t="shared" si="10"/>
        <v>0</v>
      </c>
      <c r="M22" s="107">
        <f t="shared" si="11"/>
        <v>0</v>
      </c>
      <c r="N22" s="108">
        <v>8300</v>
      </c>
      <c r="O22" s="99">
        <v>20750</v>
      </c>
      <c r="P22" s="110">
        <f t="shared" si="12"/>
        <v>0</v>
      </c>
      <c r="Q22" s="30">
        <f t="shared" si="13"/>
        <v>-0.1228070175438597</v>
      </c>
      <c r="R22" s="31"/>
    </row>
    <row r="23" spans="1:19" x14ac:dyDescent="0.25">
      <c r="A23" s="29" t="s">
        <v>64</v>
      </c>
      <c r="B23" s="98" t="s">
        <v>65</v>
      </c>
      <c r="C23" s="99">
        <v>1236075493</v>
      </c>
      <c r="D23" s="100">
        <f t="shared" si="0"/>
        <v>53734277.503017798</v>
      </c>
      <c r="E23" s="101">
        <f t="shared" si="1"/>
        <v>46146818.40533334</v>
      </c>
      <c r="F23" s="102" t="s">
        <v>66</v>
      </c>
      <c r="G23" s="103">
        <v>0.88420599999999994</v>
      </c>
      <c r="H23" s="104">
        <v>1.1200000000000001</v>
      </c>
      <c r="I23" s="104">
        <v>1.1200000000000001</v>
      </c>
      <c r="J23" s="105">
        <f t="shared" si="8"/>
        <v>4.3471679365313487E-2</v>
      </c>
      <c r="K23" s="106">
        <f t="shared" si="9"/>
        <v>3.7333333333333336E-2</v>
      </c>
      <c r="L23" s="107">
        <f t="shared" si="10"/>
        <v>0</v>
      </c>
      <c r="M23" s="107">
        <f t="shared" si="11"/>
        <v>0</v>
      </c>
      <c r="N23" s="108">
        <v>12100</v>
      </c>
      <c r="O23" s="99">
        <v>13552</v>
      </c>
      <c r="P23" s="110">
        <f t="shared" si="12"/>
        <v>0</v>
      </c>
      <c r="Q23" s="30">
        <f t="shared" si="13"/>
        <v>0.26667315082684362</v>
      </c>
      <c r="R23" s="31"/>
    </row>
    <row r="24" spans="1:19" x14ac:dyDescent="0.25">
      <c r="A24" s="29" t="s">
        <v>67</v>
      </c>
      <c r="B24" s="98" t="s">
        <v>68</v>
      </c>
      <c r="C24" s="99">
        <v>536588623</v>
      </c>
      <c r="D24" s="100">
        <f t="shared" si="0"/>
        <v>2499258.0610854719</v>
      </c>
      <c r="E24" s="101">
        <f t="shared" si="1"/>
        <v>2146354.4920000001</v>
      </c>
      <c r="F24" s="102" t="s">
        <v>44</v>
      </c>
      <c r="G24" s="103">
        <v>0.1</v>
      </c>
      <c r="H24" s="104">
        <v>0.12</v>
      </c>
      <c r="I24" s="104">
        <v>0.12</v>
      </c>
      <c r="J24" s="105">
        <f t="shared" si="8"/>
        <v>4.6576799319978726E-3</v>
      </c>
      <c r="K24" s="106">
        <f t="shared" si="9"/>
        <v>4.0000000000000001E-3</v>
      </c>
      <c r="L24" s="107">
        <f t="shared" si="10"/>
        <v>0</v>
      </c>
      <c r="M24" s="107">
        <f t="shared" si="11"/>
        <v>0</v>
      </c>
      <c r="N24" s="108">
        <v>0</v>
      </c>
      <c r="O24" s="99">
        <v>0</v>
      </c>
      <c r="P24" s="110">
        <f t="shared" si="12"/>
        <v>0</v>
      </c>
      <c r="Q24" s="30">
        <f t="shared" si="13"/>
        <v>0.19999999999999996</v>
      </c>
      <c r="R24" s="31"/>
    </row>
    <row r="25" spans="1:19" x14ac:dyDescent="0.25">
      <c r="A25" s="29" t="s">
        <v>69</v>
      </c>
      <c r="B25" s="98" t="s">
        <v>70</v>
      </c>
      <c r="C25" s="99">
        <v>193020564</v>
      </c>
      <c r="D25" s="100">
        <f t="shared" si="0"/>
        <v>71922240.592456877</v>
      </c>
      <c r="E25" s="101">
        <f t="shared" si="1"/>
        <v>61766580.480000004</v>
      </c>
      <c r="F25" s="102" t="s">
        <v>34</v>
      </c>
      <c r="G25" s="103">
        <v>8.1687659999999997</v>
      </c>
      <c r="H25" s="104">
        <v>9.6</v>
      </c>
      <c r="I25" s="104">
        <v>9.6</v>
      </c>
      <c r="J25" s="105">
        <f t="shared" si="8"/>
        <v>0.37261439455982981</v>
      </c>
      <c r="K25" s="106">
        <f t="shared" si="9"/>
        <v>0.32</v>
      </c>
      <c r="L25" s="107">
        <f t="shared" si="10"/>
        <v>0</v>
      </c>
      <c r="M25" s="107">
        <f t="shared" si="11"/>
        <v>0</v>
      </c>
      <c r="N25" s="108">
        <v>4900</v>
      </c>
      <c r="O25" s="99">
        <v>47040</v>
      </c>
      <c r="P25" s="110">
        <f t="shared" si="12"/>
        <v>0</v>
      </c>
      <c r="Q25" s="30">
        <f t="shared" si="13"/>
        <v>0.17520810364747863</v>
      </c>
      <c r="R25" s="31"/>
      <c r="S25" s="5" t="s">
        <v>71</v>
      </c>
    </row>
    <row r="26" spans="1:19" x14ac:dyDescent="0.25">
      <c r="A26" s="29" t="s">
        <v>72</v>
      </c>
      <c r="B26" s="98" t="s">
        <v>73</v>
      </c>
      <c r="C26" s="99">
        <v>1687584009</v>
      </c>
      <c r="D26" s="100">
        <f t="shared" si="0"/>
        <v>85152450.199698031</v>
      </c>
      <c r="E26" s="101">
        <f t="shared" si="1"/>
        <v>73128640.390000001</v>
      </c>
      <c r="F26" s="102" t="s">
        <v>66</v>
      </c>
      <c r="G26" s="103">
        <v>1.6675</v>
      </c>
      <c r="H26" s="104">
        <v>1.3</v>
      </c>
      <c r="I26" s="104">
        <v>1.3</v>
      </c>
      <c r="J26" s="105">
        <f t="shared" si="8"/>
        <v>5.0458199263310292E-2</v>
      </c>
      <c r="K26" s="106">
        <f t="shared" si="9"/>
        <v>4.3333333333333335E-2</v>
      </c>
      <c r="L26" s="107">
        <f t="shared" si="10"/>
        <v>0</v>
      </c>
      <c r="M26" s="107">
        <f t="shared" si="11"/>
        <v>0</v>
      </c>
      <c r="N26" s="108">
        <v>100</v>
      </c>
      <c r="O26" s="99">
        <v>130</v>
      </c>
      <c r="P26" s="110">
        <f t="shared" si="12"/>
        <v>0</v>
      </c>
      <c r="Q26" s="30">
        <f t="shared" si="13"/>
        <v>-0.22038980509745121</v>
      </c>
      <c r="R26" s="31"/>
    </row>
    <row r="27" spans="1:19" x14ac:dyDescent="0.25">
      <c r="A27" s="29" t="s">
        <v>74</v>
      </c>
      <c r="B27" s="98" t="s">
        <v>75</v>
      </c>
      <c r="C27" s="99">
        <v>239388107</v>
      </c>
      <c r="D27" s="100">
        <f t="shared" si="0"/>
        <v>32427718.374547333</v>
      </c>
      <c r="E27" s="101">
        <f t="shared" si="1"/>
        <v>27848816.447666667</v>
      </c>
      <c r="F27" s="102" t="s">
        <v>44</v>
      </c>
      <c r="G27" s="103">
        <v>1.7994999999999999</v>
      </c>
      <c r="H27" s="104">
        <v>3.5641829999999999</v>
      </c>
      <c r="I27" s="104">
        <v>3.49</v>
      </c>
      <c r="J27" s="105">
        <f t="shared" si="8"/>
        <v>0.13546085802227148</v>
      </c>
      <c r="K27" s="106">
        <f t="shared" si="9"/>
        <v>0.11633333333333334</v>
      </c>
      <c r="L27" s="107">
        <f t="shared" si="10"/>
        <v>-7.4182999999999666E-2</v>
      </c>
      <c r="M27" s="107">
        <f t="shared" si="11"/>
        <v>-2.0813465526321089</v>
      </c>
      <c r="N27" s="108">
        <v>200</v>
      </c>
      <c r="O27" s="99">
        <v>698</v>
      </c>
      <c r="P27" s="110">
        <f t="shared" si="12"/>
        <v>0</v>
      </c>
      <c r="Q27" s="30">
        <f t="shared" si="13"/>
        <v>0.93942761878299552</v>
      </c>
      <c r="R27" s="31"/>
    </row>
    <row r="28" spans="1:19" x14ac:dyDescent="0.25">
      <c r="A28" s="29" t="s">
        <v>76</v>
      </c>
      <c r="B28" s="98" t="s">
        <v>77</v>
      </c>
      <c r="C28" s="99">
        <v>256150741</v>
      </c>
      <c r="D28" s="100">
        <f t="shared" si="0"/>
        <v>31119194.661134377</v>
      </c>
      <c r="E28" s="101">
        <f t="shared" si="1"/>
        <v>26725060.644333333</v>
      </c>
      <c r="F28" s="102" t="s">
        <v>34</v>
      </c>
      <c r="G28" s="103">
        <v>3.1361369999999997</v>
      </c>
      <c r="H28" s="104">
        <v>3.13</v>
      </c>
      <c r="I28" s="104">
        <v>3.13</v>
      </c>
      <c r="J28" s="105">
        <f t="shared" si="8"/>
        <v>0.12148781822627785</v>
      </c>
      <c r="K28" s="106">
        <f t="shared" si="9"/>
        <v>0.10433333333333333</v>
      </c>
      <c r="L28" s="107">
        <f t="shared" si="10"/>
        <v>0</v>
      </c>
      <c r="M28" s="107">
        <f t="shared" si="11"/>
        <v>0</v>
      </c>
      <c r="N28" s="108">
        <v>3400</v>
      </c>
      <c r="O28" s="99">
        <v>10642</v>
      </c>
      <c r="P28" s="110">
        <f t="shared" si="12"/>
        <v>0</v>
      </c>
      <c r="Q28" s="30">
        <f t="shared" si="13"/>
        <v>-1.9568660425229867E-3</v>
      </c>
      <c r="R28" s="31"/>
    </row>
    <row r="29" spans="1:19" x14ac:dyDescent="0.25">
      <c r="A29" s="29" t="s">
        <v>78</v>
      </c>
      <c r="B29" s="98" t="s">
        <v>79</v>
      </c>
      <c r="C29" s="99">
        <v>755648101</v>
      </c>
      <c r="D29" s="100">
        <f t="shared" si="0"/>
        <v>25018255.394292012</v>
      </c>
      <c r="E29" s="101">
        <f t="shared" si="1"/>
        <v>21485594.338433333</v>
      </c>
      <c r="F29" s="102" t="s">
        <v>44</v>
      </c>
      <c r="G29" s="103">
        <v>0.8</v>
      </c>
      <c r="H29" s="104">
        <v>0.75</v>
      </c>
      <c r="I29" s="104">
        <v>0.85299999999999998</v>
      </c>
      <c r="J29" s="105">
        <f t="shared" si="8"/>
        <v>3.3108341516618213E-2</v>
      </c>
      <c r="K29" s="106">
        <f t="shared" si="9"/>
        <v>2.8433333333333331E-2</v>
      </c>
      <c r="L29" s="107">
        <f t="shared" si="10"/>
        <v>0.10299999999999998</v>
      </c>
      <c r="M29" s="107">
        <f t="shared" si="11"/>
        <v>13.733333333333331</v>
      </c>
      <c r="N29" s="108">
        <v>8900</v>
      </c>
      <c r="O29" s="99">
        <v>7591.7</v>
      </c>
      <c r="P29" s="110">
        <f t="shared" si="12"/>
        <v>0</v>
      </c>
      <c r="Q29" s="30">
        <f t="shared" si="13"/>
        <v>6.624999999999992E-2</v>
      </c>
      <c r="R29" s="31"/>
    </row>
    <row r="30" spans="1:19" x14ac:dyDescent="0.25">
      <c r="A30" s="29" t="s">
        <v>80</v>
      </c>
      <c r="B30" s="98" t="s">
        <v>81</v>
      </c>
      <c r="C30" s="99">
        <v>404171689</v>
      </c>
      <c r="D30" s="100">
        <f t="shared" si="0"/>
        <v>81582946.240456611</v>
      </c>
      <c r="E30" s="101">
        <f t="shared" si="1"/>
        <v>70063162.288149998</v>
      </c>
      <c r="F30" s="102" t="s">
        <v>47</v>
      </c>
      <c r="G30" s="103">
        <v>5.15</v>
      </c>
      <c r="H30" s="104">
        <v>5.2004999999999999</v>
      </c>
      <c r="I30" s="104">
        <v>5.2004999999999999</v>
      </c>
      <c r="J30" s="105">
        <f t="shared" si="8"/>
        <v>0.20185220405295781</v>
      </c>
      <c r="K30" s="106">
        <f t="shared" si="9"/>
        <v>0.17335</v>
      </c>
      <c r="L30" s="107">
        <f t="shared" si="10"/>
        <v>0</v>
      </c>
      <c r="M30" s="107">
        <f t="shared" si="11"/>
        <v>0</v>
      </c>
      <c r="N30" s="108">
        <v>503700</v>
      </c>
      <c r="O30" s="99">
        <v>2619491.85</v>
      </c>
      <c r="P30" s="110">
        <f t="shared" si="12"/>
        <v>0</v>
      </c>
      <c r="Q30" s="30">
        <f t="shared" si="13"/>
        <v>9.8058252427184467E-3</v>
      </c>
      <c r="R30" s="31"/>
    </row>
    <row r="31" spans="1:19" hidden="1" x14ac:dyDescent="0.25">
      <c r="A31" s="29"/>
      <c r="B31" s="98" t="s">
        <v>82</v>
      </c>
      <c r="C31" s="99"/>
      <c r="D31" s="100"/>
      <c r="E31" s="101"/>
      <c r="F31" s="102"/>
      <c r="G31" s="103"/>
      <c r="H31" s="104"/>
      <c r="I31" s="104"/>
      <c r="J31" s="105"/>
      <c r="K31" s="106"/>
      <c r="L31" s="107"/>
      <c r="M31" s="107"/>
      <c r="N31" s="108"/>
      <c r="O31" s="99"/>
      <c r="P31" s="110"/>
      <c r="Q31" s="30"/>
      <c r="R31" s="31"/>
    </row>
    <row r="32" spans="1:19" x14ac:dyDescent="0.25">
      <c r="A32" s="29" t="s">
        <v>83</v>
      </c>
      <c r="B32" s="98" t="s">
        <v>84</v>
      </c>
      <c r="C32" s="99">
        <v>3171161098</v>
      </c>
      <c r="D32" s="100">
        <f t="shared" ref="D32:D48" si="14">C32*J32</f>
        <v>0</v>
      </c>
      <c r="E32" s="101">
        <f t="shared" ref="E32:E48" si="15">C32*K32</f>
        <v>0</v>
      </c>
      <c r="F32" s="102" t="s">
        <v>34</v>
      </c>
      <c r="G32" s="103">
        <v>0.13000100000000001</v>
      </c>
      <c r="H32" s="110">
        <v>0</v>
      </c>
      <c r="I32" s="110"/>
      <c r="J32" s="111">
        <f t="shared" ref="J32:J48" si="16">I32/$J$5</f>
        <v>0</v>
      </c>
      <c r="K32" s="112">
        <f t="shared" ref="K32:K48" si="17">I32/$K$4</f>
        <v>0</v>
      </c>
      <c r="L32" s="107">
        <v>0</v>
      </c>
      <c r="M32" s="107">
        <v>0</v>
      </c>
      <c r="N32" s="113" t="s">
        <v>85</v>
      </c>
      <c r="O32" s="113" t="s">
        <v>85</v>
      </c>
      <c r="P32" s="113" t="s">
        <v>85</v>
      </c>
      <c r="Q32" s="30">
        <v>0</v>
      </c>
      <c r="R32" s="31"/>
    </row>
    <row r="33" spans="1:18" x14ac:dyDescent="0.25">
      <c r="A33" s="29" t="s">
        <v>86</v>
      </c>
      <c r="B33" s="98" t="s">
        <v>87</v>
      </c>
      <c r="C33" s="99">
        <v>259866270</v>
      </c>
      <c r="D33" s="100">
        <f t="shared" si="14"/>
        <v>15129673.884776762</v>
      </c>
      <c r="E33" s="101">
        <f t="shared" si="15"/>
        <v>12993313.5</v>
      </c>
      <c r="F33" s="102" t="s">
        <v>39</v>
      </c>
      <c r="G33" s="103">
        <v>1.4</v>
      </c>
      <c r="H33" s="104">
        <v>1.499517</v>
      </c>
      <c r="I33" s="104">
        <v>1.5</v>
      </c>
      <c r="J33" s="105">
        <f t="shared" si="16"/>
        <v>5.8220999149973411E-2</v>
      </c>
      <c r="K33" s="106">
        <f t="shared" si="17"/>
        <v>0.05</v>
      </c>
      <c r="L33" s="107">
        <f t="shared" ref="L33:L48" si="18">I33-H33</f>
        <v>4.830000000000112E-4</v>
      </c>
      <c r="M33" s="107">
        <f t="shared" ref="M33:M48" si="19">((I33-H33)/H33)*100</f>
        <v>3.2210371739700934E-2</v>
      </c>
      <c r="N33" s="108">
        <v>2700</v>
      </c>
      <c r="O33" s="99">
        <v>4050</v>
      </c>
      <c r="P33" s="110">
        <f t="shared" ref="P33:P38" si="20">(R33)/J33</f>
        <v>0</v>
      </c>
      <c r="Q33" s="30">
        <f t="shared" ref="Q33:Q48" si="21">I33/G33-1</f>
        <v>7.1428571428571397E-2</v>
      </c>
      <c r="R33" s="31"/>
    </row>
    <row r="34" spans="1:18" x14ac:dyDescent="0.25">
      <c r="A34" s="29" t="s">
        <v>88</v>
      </c>
      <c r="B34" s="98" t="s">
        <v>89</v>
      </c>
      <c r="C34" s="99">
        <v>122029470</v>
      </c>
      <c r="D34" s="100">
        <f t="shared" si="14"/>
        <v>3552338.834570853</v>
      </c>
      <c r="E34" s="101">
        <f t="shared" si="15"/>
        <v>3050736.75</v>
      </c>
      <c r="F34" s="102" t="s">
        <v>39</v>
      </c>
      <c r="G34" s="103">
        <v>0.65</v>
      </c>
      <c r="H34" s="104">
        <v>0.75</v>
      </c>
      <c r="I34" s="104">
        <v>0.75</v>
      </c>
      <c r="J34" s="105">
        <f t="shared" si="16"/>
        <v>2.9110499574986706E-2</v>
      </c>
      <c r="K34" s="106">
        <f t="shared" si="17"/>
        <v>2.5000000000000001E-2</v>
      </c>
      <c r="L34" s="107">
        <f t="shared" si="18"/>
        <v>0</v>
      </c>
      <c r="M34" s="107">
        <f t="shared" si="19"/>
        <v>0</v>
      </c>
      <c r="N34" s="108">
        <v>0</v>
      </c>
      <c r="O34" s="99">
        <v>0</v>
      </c>
      <c r="P34" s="110">
        <f t="shared" si="20"/>
        <v>0</v>
      </c>
      <c r="Q34" s="30">
        <f t="shared" si="21"/>
        <v>0.15384615384615374</v>
      </c>
      <c r="R34" s="31"/>
    </row>
    <row r="35" spans="1:18" x14ac:dyDescent="0.25">
      <c r="A35" s="29" t="s">
        <v>90</v>
      </c>
      <c r="B35" s="98" t="s">
        <v>91</v>
      </c>
      <c r="C35" s="99">
        <v>2495495543</v>
      </c>
      <c r="D35" s="100">
        <f t="shared" si="14"/>
        <v>168536682.90980792</v>
      </c>
      <c r="E35" s="101">
        <f t="shared" si="15"/>
        <v>144738741.49400002</v>
      </c>
      <c r="F35" s="102" t="s">
        <v>92</v>
      </c>
      <c r="G35" s="103">
        <v>1.44</v>
      </c>
      <c r="H35" s="104">
        <v>1.74</v>
      </c>
      <c r="I35" s="104">
        <v>1.74</v>
      </c>
      <c r="J35" s="105">
        <f t="shared" si="16"/>
        <v>6.7536359013969163E-2</v>
      </c>
      <c r="K35" s="106">
        <f t="shared" si="17"/>
        <v>5.8000000000000003E-2</v>
      </c>
      <c r="L35" s="107">
        <f t="shared" si="18"/>
        <v>0</v>
      </c>
      <c r="M35" s="107">
        <f t="shared" si="19"/>
        <v>0</v>
      </c>
      <c r="N35" s="108">
        <v>0</v>
      </c>
      <c r="O35" s="99">
        <v>0</v>
      </c>
      <c r="P35" s="110">
        <f t="shared" si="20"/>
        <v>0</v>
      </c>
      <c r="Q35" s="30">
        <f t="shared" si="21"/>
        <v>0.20833333333333348</v>
      </c>
      <c r="R35" s="31"/>
    </row>
    <row r="36" spans="1:18" x14ac:dyDescent="0.25">
      <c r="A36" s="29" t="s">
        <v>93</v>
      </c>
      <c r="B36" s="98" t="s">
        <v>94</v>
      </c>
      <c r="C36" s="99">
        <v>253492983</v>
      </c>
      <c r="D36" s="100">
        <f t="shared" si="14"/>
        <v>38869271.707369611</v>
      </c>
      <c r="E36" s="101">
        <f t="shared" si="15"/>
        <v>33380800.978049997</v>
      </c>
      <c r="F36" s="102" t="s">
        <v>34</v>
      </c>
      <c r="G36" s="103">
        <v>3.6056249999999999</v>
      </c>
      <c r="H36" s="104">
        <v>3.9504999999999999</v>
      </c>
      <c r="I36" s="104">
        <v>3.9504999999999999</v>
      </c>
      <c r="J36" s="105">
        <f t="shared" si="16"/>
        <v>0.15333470476131331</v>
      </c>
      <c r="K36" s="106">
        <f t="shared" si="17"/>
        <v>0.13168333333333332</v>
      </c>
      <c r="L36" s="107">
        <f t="shared" si="18"/>
        <v>0</v>
      </c>
      <c r="M36" s="107">
        <f t="shared" si="19"/>
        <v>0</v>
      </c>
      <c r="N36" s="108">
        <v>0</v>
      </c>
      <c r="O36" s="99">
        <v>0</v>
      </c>
      <c r="P36" s="110">
        <f t="shared" si="20"/>
        <v>0</v>
      </c>
      <c r="Q36" s="30">
        <f t="shared" si="21"/>
        <v>9.56491592997053E-2</v>
      </c>
      <c r="R36" s="31"/>
    </row>
    <row r="37" spans="1:18" x14ac:dyDescent="0.25">
      <c r="A37" s="29" t="s">
        <v>95</v>
      </c>
      <c r="B37" s="98" t="s">
        <v>96</v>
      </c>
      <c r="C37" s="99">
        <v>4715084056</v>
      </c>
      <c r="D37" s="100">
        <f t="shared" si="14"/>
        <v>6062248.3146961452</v>
      </c>
      <c r="E37" s="101">
        <f t="shared" si="15"/>
        <v>5206238.6451666672</v>
      </c>
      <c r="F37" s="102" t="s">
        <v>34</v>
      </c>
      <c r="G37" s="103">
        <v>2.5099999999999997E-2</v>
      </c>
      <c r="H37" s="104">
        <v>0.03</v>
      </c>
      <c r="I37" s="104">
        <v>3.3125000000000002E-2</v>
      </c>
      <c r="J37" s="105">
        <f t="shared" si="16"/>
        <v>1.2857137312285796E-3</v>
      </c>
      <c r="K37" s="106">
        <f t="shared" si="17"/>
        <v>1.1041666666666667E-3</v>
      </c>
      <c r="L37" s="107">
        <f t="shared" si="18"/>
        <v>3.1250000000000028E-3</v>
      </c>
      <c r="M37" s="107">
        <f t="shared" si="19"/>
        <v>10.416666666666677</v>
      </c>
      <c r="N37" s="108">
        <v>3600</v>
      </c>
      <c r="O37" s="99">
        <v>119.25</v>
      </c>
      <c r="P37" s="110">
        <f>(R37)/J37</f>
        <v>0</v>
      </c>
      <c r="Q37" s="30">
        <f t="shared" si="21"/>
        <v>0.31972111553784877</v>
      </c>
      <c r="R37" s="31"/>
    </row>
    <row r="38" spans="1:18" x14ac:dyDescent="0.25">
      <c r="A38" s="29" t="s">
        <v>97</v>
      </c>
      <c r="B38" s="98" t="s">
        <v>98</v>
      </c>
      <c r="C38" s="99">
        <v>261064590</v>
      </c>
      <c r="D38" s="100">
        <f t="shared" si="14"/>
        <v>33483163.300928432</v>
      </c>
      <c r="E38" s="101">
        <f t="shared" si="15"/>
        <v>28755229.032292999</v>
      </c>
      <c r="F38" s="102" t="s">
        <v>92</v>
      </c>
      <c r="G38" s="103">
        <v>0.61</v>
      </c>
      <c r="H38" s="104">
        <v>3.3</v>
      </c>
      <c r="I38" s="104">
        <v>3.3043810000000002</v>
      </c>
      <c r="J38" s="105">
        <f t="shared" si="16"/>
        <v>0.12825624226145887</v>
      </c>
      <c r="K38" s="106">
        <f t="shared" si="17"/>
        <v>0.11014603333333334</v>
      </c>
      <c r="L38" s="107">
        <f t="shared" si="18"/>
        <v>4.3810000000004123E-3</v>
      </c>
      <c r="M38" s="107">
        <f t="shared" si="19"/>
        <v>0.13275757575758826</v>
      </c>
      <c r="N38" s="108">
        <v>11300</v>
      </c>
      <c r="O38" s="99">
        <v>37339.5</v>
      </c>
      <c r="P38" s="110">
        <f t="shared" si="20"/>
        <v>0</v>
      </c>
      <c r="Q38" s="30">
        <f t="shared" si="21"/>
        <v>4.4170180327868858</v>
      </c>
      <c r="R38" s="31"/>
    </row>
    <row r="39" spans="1:18" x14ac:dyDescent="0.25">
      <c r="A39" s="29" t="s">
        <v>99</v>
      </c>
      <c r="B39" s="98" t="s">
        <v>100</v>
      </c>
      <c r="C39" s="99">
        <v>4194797929</v>
      </c>
      <c r="D39" s="100">
        <f t="shared" si="14"/>
        <v>21166194.977080334</v>
      </c>
      <c r="E39" s="101">
        <f t="shared" si="15"/>
        <v>18177457.692333333</v>
      </c>
      <c r="F39" s="102" t="s">
        <v>56</v>
      </c>
      <c r="G39" s="103">
        <v>0.11650199999999999</v>
      </c>
      <c r="H39" s="104">
        <v>0.115</v>
      </c>
      <c r="I39" s="104">
        <v>0.13</v>
      </c>
      <c r="J39" s="105">
        <f t="shared" si="16"/>
        <v>5.0458199263310292E-3</v>
      </c>
      <c r="K39" s="106">
        <f t="shared" si="17"/>
        <v>4.3333333333333331E-3</v>
      </c>
      <c r="L39" s="107">
        <f t="shared" si="18"/>
        <v>1.4999999999999999E-2</v>
      </c>
      <c r="M39" s="107">
        <f t="shared" si="19"/>
        <v>13.043478260869565</v>
      </c>
      <c r="N39" s="108">
        <v>2000</v>
      </c>
      <c r="O39" s="99">
        <v>260</v>
      </c>
      <c r="P39" s="110">
        <v>0</v>
      </c>
      <c r="Q39" s="30">
        <f t="shared" si="21"/>
        <v>0.11586067191979543</v>
      </c>
      <c r="R39" s="31"/>
    </row>
    <row r="40" spans="1:18" x14ac:dyDescent="0.25">
      <c r="A40" s="29" t="s">
        <v>101</v>
      </c>
      <c r="B40" s="98" t="s">
        <v>102</v>
      </c>
      <c r="C40" s="99">
        <v>362927587</v>
      </c>
      <c r="D40" s="100">
        <f t="shared" si="14"/>
        <v>84520026.936915606</v>
      </c>
      <c r="E40" s="101">
        <f t="shared" si="15"/>
        <v>72585517.400000006</v>
      </c>
      <c r="F40" s="102" t="s">
        <v>34</v>
      </c>
      <c r="G40" s="103">
        <v>2.6005000000000003</v>
      </c>
      <c r="H40" s="104">
        <v>6</v>
      </c>
      <c r="I40" s="104">
        <v>6</v>
      </c>
      <c r="J40" s="105">
        <f t="shared" si="16"/>
        <v>0.23288399659989364</v>
      </c>
      <c r="K40" s="106">
        <f t="shared" si="17"/>
        <v>0.2</v>
      </c>
      <c r="L40" s="107">
        <f t="shared" si="18"/>
        <v>0</v>
      </c>
      <c r="M40" s="107">
        <f t="shared" si="19"/>
        <v>0</v>
      </c>
      <c r="N40" s="108">
        <v>2400</v>
      </c>
      <c r="O40" s="99">
        <v>14400</v>
      </c>
      <c r="P40" s="110">
        <f t="shared" ref="P40:P47" si="22">(R40)/J40</f>
        <v>0</v>
      </c>
      <c r="Q40" s="30">
        <f t="shared" si="21"/>
        <v>1.3072486060373003</v>
      </c>
      <c r="R40" s="31"/>
    </row>
    <row r="41" spans="1:18" x14ac:dyDescent="0.25">
      <c r="A41" s="29" t="s">
        <v>103</v>
      </c>
      <c r="B41" s="98" t="s">
        <v>104</v>
      </c>
      <c r="C41" s="99">
        <v>4315726499</v>
      </c>
      <c r="D41" s="100">
        <f t="shared" si="14"/>
        <v>15109456.650965111</v>
      </c>
      <c r="E41" s="101">
        <f t="shared" si="15"/>
        <v>12975951.006993333</v>
      </c>
      <c r="F41" s="102" t="s">
        <v>39</v>
      </c>
      <c r="G41" s="103">
        <v>0.1</v>
      </c>
      <c r="H41" s="104">
        <v>9.0200000000000002E-2</v>
      </c>
      <c r="I41" s="104">
        <v>9.0200000000000002E-2</v>
      </c>
      <c r="J41" s="105">
        <f t="shared" si="16"/>
        <v>3.501022748885068E-3</v>
      </c>
      <c r="K41" s="106">
        <f t="shared" si="17"/>
        <v>3.0066666666666666E-3</v>
      </c>
      <c r="L41" s="107">
        <f t="shared" si="18"/>
        <v>0</v>
      </c>
      <c r="M41" s="107">
        <f t="shared" si="19"/>
        <v>0</v>
      </c>
      <c r="N41" s="108">
        <v>100</v>
      </c>
      <c r="O41" s="99">
        <v>9.02</v>
      </c>
      <c r="P41" s="110">
        <f t="shared" si="22"/>
        <v>0</v>
      </c>
      <c r="Q41" s="30">
        <f t="shared" si="21"/>
        <v>-9.7999999999999976E-2</v>
      </c>
      <c r="R41" s="31"/>
    </row>
    <row r="42" spans="1:18" x14ac:dyDescent="0.25">
      <c r="A42" s="29" t="s">
        <v>105</v>
      </c>
      <c r="B42" s="98" t="s">
        <v>106</v>
      </c>
      <c r="C42" s="99">
        <v>106474237</v>
      </c>
      <c r="D42" s="100">
        <f t="shared" si="14"/>
        <v>7232209.2055162461</v>
      </c>
      <c r="E42" s="101">
        <f t="shared" si="15"/>
        <v>6210997.1583333332</v>
      </c>
      <c r="F42" s="102" t="s">
        <v>44</v>
      </c>
      <c r="G42" s="103">
        <v>1.7452379999999998</v>
      </c>
      <c r="H42" s="104">
        <v>1.75</v>
      </c>
      <c r="I42" s="104">
        <v>1.75</v>
      </c>
      <c r="J42" s="105">
        <f t="shared" si="16"/>
        <v>6.7924499008302316E-2</v>
      </c>
      <c r="K42" s="106">
        <f t="shared" si="17"/>
        <v>5.8333333333333334E-2</v>
      </c>
      <c r="L42" s="107">
        <f t="shared" si="18"/>
        <v>0</v>
      </c>
      <c r="M42" s="107">
        <f t="shared" si="19"/>
        <v>0</v>
      </c>
      <c r="N42" s="108">
        <v>0</v>
      </c>
      <c r="O42" s="99">
        <v>0</v>
      </c>
      <c r="P42" s="110">
        <f t="shared" si="22"/>
        <v>0</v>
      </c>
      <c r="Q42" s="30">
        <f t="shared" si="21"/>
        <v>2.7285676795945069E-3</v>
      </c>
      <c r="R42" s="31">
        <v>0</v>
      </c>
    </row>
    <row r="43" spans="1:18" x14ac:dyDescent="0.25">
      <c r="A43" s="29" t="s">
        <v>107</v>
      </c>
      <c r="B43" s="98" t="s">
        <v>108</v>
      </c>
      <c r="C43" s="99">
        <v>1778001428</v>
      </c>
      <c r="D43" s="100">
        <f t="shared" si="14"/>
        <v>2760453.8567530536</v>
      </c>
      <c r="E43" s="101">
        <f t="shared" si="15"/>
        <v>2370668.5706666666</v>
      </c>
      <c r="F43" s="102" t="s">
        <v>39</v>
      </c>
      <c r="G43" s="103">
        <v>0.03</v>
      </c>
      <c r="H43" s="104">
        <v>4.0812999999999995E-2</v>
      </c>
      <c r="I43" s="104">
        <v>0.04</v>
      </c>
      <c r="J43" s="105">
        <f t="shared" si="16"/>
        <v>1.5525599773326243E-3</v>
      </c>
      <c r="K43" s="106">
        <f t="shared" si="17"/>
        <v>1.3333333333333333E-3</v>
      </c>
      <c r="L43" s="107">
        <f t="shared" si="18"/>
        <v>-8.1299999999999428E-4</v>
      </c>
      <c r="M43" s="107">
        <f t="shared" si="19"/>
        <v>-1.9920123490064303</v>
      </c>
      <c r="N43" s="108">
        <v>8600</v>
      </c>
      <c r="O43" s="99">
        <v>344</v>
      </c>
      <c r="P43" s="110">
        <f t="shared" si="22"/>
        <v>0</v>
      </c>
      <c r="Q43" s="30">
        <f t="shared" si="21"/>
        <v>0.33333333333333348</v>
      </c>
      <c r="R43" s="31">
        <v>0</v>
      </c>
    </row>
    <row r="44" spans="1:18" x14ac:dyDescent="0.25">
      <c r="A44" s="29" t="s">
        <v>109</v>
      </c>
      <c r="B44" s="98" t="s">
        <v>110</v>
      </c>
      <c r="C44" s="99">
        <v>175190642</v>
      </c>
      <c r="D44" s="100">
        <f t="shared" si="14"/>
        <v>35359217.292413026</v>
      </c>
      <c r="E44" s="101">
        <f t="shared" si="15"/>
        <v>30366377.946666669</v>
      </c>
      <c r="F44" s="102" t="s">
        <v>47</v>
      </c>
      <c r="G44" s="103">
        <v>4.5</v>
      </c>
      <c r="H44" s="104">
        <v>5.2</v>
      </c>
      <c r="I44" s="104">
        <v>5.2</v>
      </c>
      <c r="J44" s="105">
        <f t="shared" si="16"/>
        <v>0.20183279705324117</v>
      </c>
      <c r="K44" s="106">
        <f t="shared" si="17"/>
        <v>0.17333333333333334</v>
      </c>
      <c r="L44" s="107">
        <f t="shared" si="18"/>
        <v>0</v>
      </c>
      <c r="M44" s="107">
        <f t="shared" si="19"/>
        <v>0</v>
      </c>
      <c r="N44" s="108">
        <v>1700</v>
      </c>
      <c r="O44" s="99">
        <v>8840</v>
      </c>
      <c r="P44" s="110">
        <f t="shared" si="22"/>
        <v>0</v>
      </c>
      <c r="Q44" s="30">
        <f t="shared" si="21"/>
        <v>0.15555555555555567</v>
      </c>
      <c r="R44" s="31">
        <v>0</v>
      </c>
    </row>
    <row r="45" spans="1:18" x14ac:dyDescent="0.25">
      <c r="A45" s="29" t="s">
        <v>111</v>
      </c>
      <c r="B45" s="98" t="s">
        <v>112</v>
      </c>
      <c r="C45" s="99">
        <v>463337661</v>
      </c>
      <c r="D45" s="100">
        <f t="shared" si="14"/>
        <v>323.71177880678005</v>
      </c>
      <c r="E45" s="101">
        <f t="shared" si="15"/>
        <v>278.0025966</v>
      </c>
      <c r="F45" s="102" t="s">
        <v>44</v>
      </c>
      <c r="G45" s="103">
        <v>1.8E-5</v>
      </c>
      <c r="H45" s="104">
        <v>1.8E-5</v>
      </c>
      <c r="I45" s="104">
        <v>1.8E-5</v>
      </c>
      <c r="J45" s="105">
        <f t="shared" si="16"/>
        <v>6.9865198979968093E-7</v>
      </c>
      <c r="K45" s="106">
        <f t="shared" si="17"/>
        <v>5.9999999999999997E-7</v>
      </c>
      <c r="L45" s="107">
        <f t="shared" si="18"/>
        <v>0</v>
      </c>
      <c r="M45" s="107">
        <f t="shared" si="19"/>
        <v>0</v>
      </c>
      <c r="N45" s="108">
        <v>0</v>
      </c>
      <c r="O45" s="99">
        <v>0</v>
      </c>
      <c r="P45" s="110">
        <f t="shared" si="22"/>
        <v>0</v>
      </c>
      <c r="Q45" s="30">
        <f t="shared" si="21"/>
        <v>0</v>
      </c>
      <c r="R45" s="31">
        <v>0</v>
      </c>
    </row>
    <row r="46" spans="1:18" x14ac:dyDescent="0.25">
      <c r="A46" s="29" t="s">
        <v>113</v>
      </c>
      <c r="B46" s="98" t="s">
        <v>114</v>
      </c>
      <c r="C46" s="99">
        <v>576000000</v>
      </c>
      <c r="D46" s="100">
        <f t="shared" si="14"/>
        <v>1569451.8298860032</v>
      </c>
      <c r="E46" s="101">
        <f t="shared" si="15"/>
        <v>1347840</v>
      </c>
      <c r="F46" s="102" t="s">
        <v>56</v>
      </c>
      <c r="G46" s="103">
        <v>7.0000000000000007E-2</v>
      </c>
      <c r="H46" s="104">
        <v>7.0199999999999999E-2</v>
      </c>
      <c r="I46" s="104">
        <v>7.0199999999999999E-2</v>
      </c>
      <c r="J46" s="105">
        <f t="shared" si="16"/>
        <v>2.7247427602187556E-3</v>
      </c>
      <c r="K46" s="106">
        <f t="shared" si="17"/>
        <v>2.3400000000000001E-3</v>
      </c>
      <c r="L46" s="107">
        <f t="shared" si="18"/>
        <v>0</v>
      </c>
      <c r="M46" s="107">
        <f t="shared" si="19"/>
        <v>0</v>
      </c>
      <c r="N46" s="108">
        <v>0</v>
      </c>
      <c r="O46" s="99">
        <v>0</v>
      </c>
      <c r="P46" s="110">
        <f t="shared" si="22"/>
        <v>0</v>
      </c>
      <c r="Q46" s="30">
        <f t="shared" si="21"/>
        <v>2.8571428571426694E-3</v>
      </c>
      <c r="R46" s="31"/>
    </row>
    <row r="47" spans="1:18" x14ac:dyDescent="0.25">
      <c r="A47" s="29" t="s">
        <v>115</v>
      </c>
      <c r="B47" s="98" t="s">
        <v>116</v>
      </c>
      <c r="C47" s="99">
        <v>1818218786</v>
      </c>
      <c r="D47" s="100">
        <f t="shared" si="14"/>
        <v>52929257.197085842</v>
      </c>
      <c r="E47" s="101">
        <f t="shared" si="15"/>
        <v>45455469.650000006</v>
      </c>
      <c r="F47" s="102" t="s">
        <v>47</v>
      </c>
      <c r="G47" s="103">
        <v>0.9998999999999999</v>
      </c>
      <c r="H47" s="104">
        <v>0.69</v>
      </c>
      <c r="I47" s="104">
        <v>0.75</v>
      </c>
      <c r="J47" s="105">
        <f t="shared" si="16"/>
        <v>2.9110499574986706E-2</v>
      </c>
      <c r="K47" s="106">
        <f t="shared" si="17"/>
        <v>2.5000000000000001E-2</v>
      </c>
      <c r="L47" s="107">
        <f t="shared" si="18"/>
        <v>6.0000000000000053E-2</v>
      </c>
      <c r="M47" s="107">
        <f t="shared" si="19"/>
        <v>8.6956521739130519</v>
      </c>
      <c r="N47" s="108">
        <v>7800</v>
      </c>
      <c r="O47" s="99">
        <v>5850</v>
      </c>
      <c r="P47" s="110">
        <f t="shared" si="22"/>
        <v>0</v>
      </c>
      <c r="Q47" s="30">
        <f t="shared" si="21"/>
        <v>-0.24992499249924982</v>
      </c>
      <c r="R47" s="31">
        <v>0</v>
      </c>
    </row>
    <row r="48" spans="1:18" x14ac:dyDescent="0.25">
      <c r="A48" s="29" t="s">
        <v>117</v>
      </c>
      <c r="B48" s="98" t="s">
        <v>118</v>
      </c>
      <c r="C48" s="99">
        <v>102712520</v>
      </c>
      <c r="D48" s="100">
        <f t="shared" si="14"/>
        <v>4385352.0623818608</v>
      </c>
      <c r="E48" s="101">
        <f t="shared" si="15"/>
        <v>3766125.7333333334</v>
      </c>
      <c r="F48" s="102" t="s">
        <v>47</v>
      </c>
      <c r="G48" s="103">
        <v>1.4503460000000001</v>
      </c>
      <c r="H48" s="104">
        <v>1.1000000000000001</v>
      </c>
      <c r="I48" s="104">
        <v>1.1000000000000001</v>
      </c>
      <c r="J48" s="105">
        <f t="shared" si="16"/>
        <v>4.2695399376647174E-2</v>
      </c>
      <c r="K48" s="106">
        <f t="shared" si="17"/>
        <v>3.6666666666666667E-2</v>
      </c>
      <c r="L48" s="107">
        <f t="shared" si="18"/>
        <v>0</v>
      </c>
      <c r="M48" s="107">
        <f t="shared" si="19"/>
        <v>0</v>
      </c>
      <c r="N48" s="108">
        <v>0</v>
      </c>
      <c r="O48" s="99">
        <v>0</v>
      </c>
      <c r="P48" s="110">
        <v>0</v>
      </c>
      <c r="Q48" s="30">
        <f t="shared" si="21"/>
        <v>-0.24156028975154897</v>
      </c>
      <c r="R48" s="31"/>
    </row>
    <row r="49" spans="1:20" ht="13.8" thickBot="1" x14ac:dyDescent="0.4">
      <c r="A49" s="32"/>
      <c r="B49" s="114" t="s">
        <v>82</v>
      </c>
      <c r="C49" s="115"/>
      <c r="D49" s="116"/>
      <c r="E49" s="116"/>
      <c r="F49" s="117"/>
      <c r="G49" s="117"/>
      <c r="H49" s="107"/>
      <c r="I49" s="107"/>
      <c r="J49" s="107"/>
      <c r="K49" s="107"/>
      <c r="L49" s="107"/>
      <c r="M49" s="107"/>
      <c r="N49" s="117">
        <f>SUM(N10:N48)</f>
        <v>1878300</v>
      </c>
      <c r="O49" s="118">
        <f>SUM(O10:O48)</f>
        <v>23683217.370000001</v>
      </c>
      <c r="P49" s="118"/>
      <c r="Q49" s="33"/>
    </row>
    <row r="50" spans="1:20" ht="13.2" x14ac:dyDescent="0.35">
      <c r="A50" s="34"/>
      <c r="B50" s="35" t="s">
        <v>82</v>
      </c>
      <c r="C50" s="36"/>
      <c r="D50" s="36"/>
      <c r="E50" s="36"/>
      <c r="F50" s="37"/>
      <c r="G50" s="37"/>
      <c r="H50" s="38"/>
      <c r="I50" s="38"/>
      <c r="J50" s="38"/>
      <c r="K50" s="38"/>
      <c r="L50" s="38"/>
      <c r="M50" s="38"/>
      <c r="N50" s="37"/>
      <c r="O50" s="37"/>
      <c r="P50" s="37"/>
      <c r="Q50" s="39"/>
    </row>
    <row r="51" spans="1:20" ht="12.6" x14ac:dyDescent="0.3">
      <c r="A51" s="88" t="s">
        <v>119</v>
      </c>
      <c r="B51" s="119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89"/>
    </row>
    <row r="52" spans="1:20" x14ac:dyDescent="0.25">
      <c r="A52" s="29" t="s">
        <v>120</v>
      </c>
      <c r="B52" s="98" t="s">
        <v>121</v>
      </c>
      <c r="C52" s="102">
        <v>554920308</v>
      </c>
      <c r="D52" s="100">
        <f t="shared" ref="D52:D65" si="23">C52*J52</f>
        <v>72139640.040000007</v>
      </c>
      <c r="E52" s="101">
        <v>0</v>
      </c>
      <c r="F52" s="102" t="s">
        <v>92</v>
      </c>
      <c r="G52" s="121">
        <v>0.1</v>
      </c>
      <c r="H52" s="104">
        <v>0.12959999999999999</v>
      </c>
      <c r="I52" s="104">
        <v>0.13</v>
      </c>
      <c r="J52" s="105">
        <f t="shared" ref="J52:J65" si="24">I52</f>
        <v>0.13</v>
      </c>
      <c r="K52" s="101">
        <v>0</v>
      </c>
      <c r="L52" s="107">
        <f t="shared" ref="L52:L65" si="25">I52-H52</f>
        <v>4.0000000000001146E-4</v>
      </c>
      <c r="M52" s="107">
        <f t="shared" ref="M52:M65" si="26">((I52-H52)/H52)*100</f>
        <v>0.30864197530865084</v>
      </c>
      <c r="N52" s="108">
        <v>3400</v>
      </c>
      <c r="O52" s="99">
        <v>442</v>
      </c>
      <c r="P52" s="122">
        <f>(R52)/J52</f>
        <v>0</v>
      </c>
      <c r="Q52" s="30">
        <f t="shared" ref="Q52:Q65" si="27">J52/G52-1</f>
        <v>0.30000000000000004</v>
      </c>
      <c r="T52" s="40"/>
    </row>
    <row r="53" spans="1:20" x14ac:dyDescent="0.25">
      <c r="A53" s="29" t="s">
        <v>122</v>
      </c>
      <c r="B53" s="98" t="s">
        <v>123</v>
      </c>
      <c r="C53" s="102">
        <v>1057685</v>
      </c>
      <c r="D53" s="100">
        <f t="shared" si="23"/>
        <v>52954797.589499995</v>
      </c>
      <c r="E53" s="101">
        <v>0</v>
      </c>
      <c r="F53" s="102" t="s">
        <v>39</v>
      </c>
      <c r="G53" s="121">
        <v>39.9</v>
      </c>
      <c r="H53" s="104">
        <v>50.753300000000003</v>
      </c>
      <c r="I53" s="104">
        <v>50.066699999999997</v>
      </c>
      <c r="J53" s="105">
        <f t="shared" si="24"/>
        <v>50.066699999999997</v>
      </c>
      <c r="K53" s="101">
        <v>0</v>
      </c>
      <c r="L53" s="107">
        <f t="shared" si="25"/>
        <v>-0.68660000000000565</v>
      </c>
      <c r="M53" s="107">
        <f t="shared" si="26"/>
        <v>-1.3528184374218142</v>
      </c>
      <c r="N53" s="108">
        <v>135</v>
      </c>
      <c r="O53" s="99">
        <v>6759</v>
      </c>
      <c r="P53" s="123">
        <f>(R53)/J53</f>
        <v>1.1185079104474633E-2</v>
      </c>
      <c r="Q53" s="30">
        <f t="shared" si="27"/>
        <v>0.25480451127819537</v>
      </c>
      <c r="R53" s="40">
        <v>0.56000000000000005</v>
      </c>
      <c r="T53" s="40"/>
    </row>
    <row r="54" spans="1:20" x14ac:dyDescent="0.25">
      <c r="A54" s="29" t="s">
        <v>124</v>
      </c>
      <c r="B54" s="98" t="s">
        <v>125</v>
      </c>
      <c r="C54" s="102">
        <v>2992163203</v>
      </c>
      <c r="D54" s="100">
        <f t="shared" si="23"/>
        <v>772277322.69429994</v>
      </c>
      <c r="E54" s="101"/>
      <c r="F54" s="102" t="s">
        <v>56</v>
      </c>
      <c r="G54" s="121">
        <v>0.33</v>
      </c>
      <c r="H54" s="104">
        <v>0.24859999999999999</v>
      </c>
      <c r="I54" s="104">
        <v>0.2581</v>
      </c>
      <c r="J54" s="105">
        <f t="shared" si="24"/>
        <v>0.2581</v>
      </c>
      <c r="K54" s="101">
        <v>0</v>
      </c>
      <c r="L54" s="107">
        <f t="shared" si="25"/>
        <v>9.5000000000000084E-3</v>
      </c>
      <c r="M54" s="107">
        <f t="shared" si="26"/>
        <v>3.8213998390989579</v>
      </c>
      <c r="N54" s="108">
        <v>119943</v>
      </c>
      <c r="O54" s="99">
        <v>30953.06</v>
      </c>
      <c r="P54" s="122">
        <v>0</v>
      </c>
      <c r="Q54" s="30">
        <f t="shared" si="27"/>
        <v>-0.21787878787878789</v>
      </c>
      <c r="R54" s="40"/>
      <c r="T54" s="40"/>
    </row>
    <row r="55" spans="1:20" x14ac:dyDescent="0.25">
      <c r="A55" s="29" t="s">
        <v>126</v>
      </c>
      <c r="B55" s="98" t="s">
        <v>127</v>
      </c>
      <c r="C55" s="102">
        <v>609740943</v>
      </c>
      <c r="D55" s="100">
        <f t="shared" si="23"/>
        <v>17072746.403999999</v>
      </c>
      <c r="E55" s="101">
        <v>0</v>
      </c>
      <c r="F55" s="102" t="s">
        <v>34</v>
      </c>
      <c r="G55" s="121">
        <v>2.3E-2</v>
      </c>
      <c r="H55" s="104">
        <v>2.8000000000000001E-2</v>
      </c>
      <c r="I55" s="104">
        <v>2.8000000000000001E-2</v>
      </c>
      <c r="J55" s="105">
        <f t="shared" si="24"/>
        <v>2.8000000000000001E-2</v>
      </c>
      <c r="K55" s="101">
        <v>0</v>
      </c>
      <c r="L55" s="107">
        <f t="shared" si="25"/>
        <v>0</v>
      </c>
      <c r="M55" s="107">
        <f t="shared" si="26"/>
        <v>0</v>
      </c>
      <c r="N55" s="108">
        <v>1826</v>
      </c>
      <c r="O55" s="99">
        <v>51.13</v>
      </c>
      <c r="P55" s="122">
        <f t="shared" ref="P55:P65" si="28">(R55)/J55</f>
        <v>0</v>
      </c>
      <c r="Q55" s="30">
        <f t="shared" si="27"/>
        <v>0.21739130434782616</v>
      </c>
      <c r="T55" s="40"/>
    </row>
    <row r="56" spans="1:20" x14ac:dyDescent="0.25">
      <c r="A56" s="29" t="s">
        <v>128</v>
      </c>
      <c r="B56" s="98" t="s">
        <v>129</v>
      </c>
      <c r="C56" s="102">
        <v>2161875929</v>
      </c>
      <c r="D56" s="100">
        <f t="shared" si="23"/>
        <v>237806352.19</v>
      </c>
      <c r="E56" s="101">
        <v>0</v>
      </c>
      <c r="F56" s="102" t="s">
        <v>47</v>
      </c>
      <c r="G56" s="121">
        <v>9.0200000000000002E-2</v>
      </c>
      <c r="H56" s="104">
        <v>0.1105</v>
      </c>
      <c r="I56" s="104">
        <v>0.11</v>
      </c>
      <c r="J56" s="105">
        <f t="shared" si="24"/>
        <v>0.11</v>
      </c>
      <c r="K56" s="101">
        <v>0</v>
      </c>
      <c r="L56" s="107">
        <f t="shared" si="25"/>
        <v>-5.0000000000000044E-4</v>
      </c>
      <c r="M56" s="124">
        <f t="shared" si="26"/>
        <v>-0.45248868778280582</v>
      </c>
      <c r="N56" s="108">
        <v>42913</v>
      </c>
      <c r="O56" s="99">
        <v>4720.5200000000004</v>
      </c>
      <c r="P56" s="122">
        <f t="shared" si="28"/>
        <v>0</v>
      </c>
      <c r="Q56" s="30">
        <f t="shared" si="27"/>
        <v>0.21951219512195119</v>
      </c>
      <c r="R56" s="40"/>
      <c r="T56" s="40"/>
    </row>
    <row r="57" spans="1:20" x14ac:dyDescent="0.25">
      <c r="A57" s="29" t="s">
        <v>130</v>
      </c>
      <c r="B57" s="98" t="s">
        <v>131</v>
      </c>
      <c r="C57" s="102">
        <v>575926450</v>
      </c>
      <c r="D57" s="100">
        <f t="shared" si="23"/>
        <v>692954704.63999999</v>
      </c>
      <c r="E57" s="101">
        <v>0</v>
      </c>
      <c r="F57" s="102" t="s">
        <v>34</v>
      </c>
      <c r="G57" s="121">
        <v>0.95750000000000002</v>
      </c>
      <c r="H57" s="104">
        <v>1.2051000000000001</v>
      </c>
      <c r="I57" s="104">
        <v>1.2032</v>
      </c>
      <c r="J57" s="105">
        <f t="shared" si="24"/>
        <v>1.2032</v>
      </c>
      <c r="K57" s="101">
        <v>0</v>
      </c>
      <c r="L57" s="107">
        <f t="shared" si="25"/>
        <v>-1.9000000000000128E-3</v>
      </c>
      <c r="M57" s="107">
        <f t="shared" si="26"/>
        <v>-0.15766326445938203</v>
      </c>
      <c r="N57" s="108">
        <v>91951</v>
      </c>
      <c r="O57" s="99">
        <v>110639.79</v>
      </c>
      <c r="P57" s="123">
        <f t="shared" si="28"/>
        <v>3.90625E-2</v>
      </c>
      <c r="Q57" s="30">
        <f t="shared" si="27"/>
        <v>0.25660574412532644</v>
      </c>
      <c r="R57" s="40">
        <v>4.7E-2</v>
      </c>
      <c r="T57" s="40"/>
    </row>
    <row r="58" spans="1:20" x14ac:dyDescent="0.25">
      <c r="A58" s="29" t="s">
        <v>132</v>
      </c>
      <c r="B58" s="98" t="s">
        <v>133</v>
      </c>
      <c r="C58" s="102">
        <v>164208222</v>
      </c>
      <c r="D58" s="100">
        <f t="shared" si="23"/>
        <v>26240473.875599999</v>
      </c>
      <c r="E58" s="101">
        <v>0</v>
      </c>
      <c r="F58" s="102" t="s">
        <v>34</v>
      </c>
      <c r="G58" s="121">
        <v>0.1595</v>
      </c>
      <c r="H58" s="104">
        <v>0.15</v>
      </c>
      <c r="I58" s="104">
        <v>0.1598</v>
      </c>
      <c r="J58" s="105">
        <f t="shared" si="24"/>
        <v>0.1598</v>
      </c>
      <c r="K58" s="101">
        <v>0</v>
      </c>
      <c r="L58" s="107">
        <f t="shared" si="25"/>
        <v>9.8000000000000032E-3</v>
      </c>
      <c r="M58" s="107">
        <f t="shared" si="26"/>
        <v>6.533333333333335</v>
      </c>
      <c r="N58" s="108">
        <v>280</v>
      </c>
      <c r="O58" s="99">
        <v>44.74</v>
      </c>
      <c r="P58" s="122">
        <f t="shared" si="28"/>
        <v>0</v>
      </c>
      <c r="Q58" s="30">
        <f t="shared" si="27"/>
        <v>1.8808777429466517E-3</v>
      </c>
      <c r="T58" s="40"/>
    </row>
    <row r="59" spans="1:20" x14ac:dyDescent="0.25">
      <c r="A59" s="29" t="s">
        <v>134</v>
      </c>
      <c r="B59" s="98" t="s">
        <v>135</v>
      </c>
      <c r="C59" s="102">
        <v>794581116</v>
      </c>
      <c r="D59" s="100">
        <f t="shared" si="23"/>
        <v>14302460.088</v>
      </c>
      <c r="E59" s="101">
        <v>0</v>
      </c>
      <c r="F59" s="102" t="s">
        <v>92</v>
      </c>
      <c r="G59" s="121">
        <v>1.6799999999999999E-2</v>
      </c>
      <c r="H59" s="104">
        <v>1.7999999999999999E-2</v>
      </c>
      <c r="I59" s="104">
        <v>1.7999999999999999E-2</v>
      </c>
      <c r="J59" s="105">
        <f t="shared" si="24"/>
        <v>1.7999999999999999E-2</v>
      </c>
      <c r="K59" s="101">
        <v>0</v>
      </c>
      <c r="L59" s="107">
        <f t="shared" si="25"/>
        <v>0</v>
      </c>
      <c r="M59" s="124">
        <f t="shared" si="26"/>
        <v>0</v>
      </c>
      <c r="N59" s="108">
        <v>205771</v>
      </c>
      <c r="O59" s="99">
        <v>3703.87</v>
      </c>
      <c r="P59" s="122">
        <f t="shared" si="28"/>
        <v>0</v>
      </c>
      <c r="Q59" s="30">
        <f t="shared" si="27"/>
        <v>7.1428571428571397E-2</v>
      </c>
      <c r="T59" s="40"/>
    </row>
    <row r="60" spans="1:20" x14ac:dyDescent="0.25">
      <c r="A60" s="29" t="s">
        <v>136</v>
      </c>
      <c r="B60" s="98" t="s">
        <v>137</v>
      </c>
      <c r="C60" s="102">
        <v>161273</v>
      </c>
      <c r="D60" s="100">
        <f t="shared" si="23"/>
        <v>2902914</v>
      </c>
      <c r="E60" s="101">
        <v>0</v>
      </c>
      <c r="F60" s="102" t="s">
        <v>138</v>
      </c>
      <c r="G60" s="121">
        <v>19.5</v>
      </c>
      <c r="H60" s="104">
        <v>18</v>
      </c>
      <c r="I60" s="104">
        <v>18</v>
      </c>
      <c r="J60" s="105">
        <f t="shared" si="24"/>
        <v>18</v>
      </c>
      <c r="K60" s="101">
        <v>0</v>
      </c>
      <c r="L60" s="107">
        <f t="shared" si="25"/>
        <v>0</v>
      </c>
      <c r="M60" s="107">
        <f t="shared" si="26"/>
        <v>0</v>
      </c>
      <c r="N60" s="108">
        <v>2</v>
      </c>
      <c r="O60" s="99">
        <v>36</v>
      </c>
      <c r="P60" s="122">
        <f t="shared" si="28"/>
        <v>0</v>
      </c>
      <c r="Q60" s="30">
        <f t="shared" si="27"/>
        <v>-7.6923076923076872E-2</v>
      </c>
      <c r="T60" s="40"/>
    </row>
    <row r="61" spans="1:20" x14ac:dyDescent="0.25">
      <c r="A61" s="29" t="s">
        <v>139</v>
      </c>
      <c r="B61" s="98" t="s">
        <v>140</v>
      </c>
      <c r="C61" s="102">
        <v>805090451</v>
      </c>
      <c r="D61" s="100">
        <f t="shared" si="23"/>
        <v>924485364.88330007</v>
      </c>
      <c r="E61" s="101">
        <v>0</v>
      </c>
      <c r="F61" s="102" t="s">
        <v>92</v>
      </c>
      <c r="G61" s="121">
        <v>0.59499999999999997</v>
      </c>
      <c r="H61" s="104">
        <v>1.1244000000000001</v>
      </c>
      <c r="I61" s="104">
        <v>1.1483000000000001</v>
      </c>
      <c r="J61" s="105">
        <f t="shared" si="24"/>
        <v>1.1483000000000001</v>
      </c>
      <c r="K61" s="101">
        <v>0</v>
      </c>
      <c r="L61" s="107">
        <f t="shared" si="25"/>
        <v>2.3900000000000032E-2</v>
      </c>
      <c r="M61" s="107">
        <f t="shared" si="26"/>
        <v>2.1255780860903619</v>
      </c>
      <c r="N61" s="108">
        <v>1026728</v>
      </c>
      <c r="O61" s="99">
        <v>1179015.17</v>
      </c>
      <c r="P61" s="122">
        <f t="shared" si="28"/>
        <v>0</v>
      </c>
      <c r="Q61" s="30">
        <f t="shared" si="27"/>
        <v>0.92991596638655483</v>
      </c>
      <c r="R61" s="40"/>
      <c r="T61" s="40"/>
    </row>
    <row r="62" spans="1:20" x14ac:dyDescent="0.25">
      <c r="A62" s="29" t="s">
        <v>141</v>
      </c>
      <c r="B62" s="98" t="s">
        <v>142</v>
      </c>
      <c r="C62" s="102">
        <v>260714518</v>
      </c>
      <c r="D62" s="100">
        <f t="shared" si="23"/>
        <v>73182565.202600002</v>
      </c>
      <c r="E62" s="101">
        <v>0</v>
      </c>
      <c r="F62" s="102" t="s">
        <v>34</v>
      </c>
      <c r="G62" s="121">
        <v>0.22600000000000001</v>
      </c>
      <c r="H62" s="104">
        <v>0.30499999999999999</v>
      </c>
      <c r="I62" s="104">
        <v>0.28070000000000001</v>
      </c>
      <c r="J62" s="105">
        <f t="shared" si="24"/>
        <v>0.28070000000000001</v>
      </c>
      <c r="K62" s="101">
        <v>0</v>
      </c>
      <c r="L62" s="107">
        <f t="shared" si="25"/>
        <v>-2.4299999999999988E-2</v>
      </c>
      <c r="M62" s="107">
        <f t="shared" si="26"/>
        <v>-7.9672131147540943</v>
      </c>
      <c r="N62" s="108">
        <v>26800</v>
      </c>
      <c r="O62" s="99">
        <v>7523.64</v>
      </c>
      <c r="P62" s="122">
        <f t="shared" si="28"/>
        <v>0</v>
      </c>
      <c r="Q62" s="30">
        <f t="shared" si="27"/>
        <v>0.24203539823008846</v>
      </c>
      <c r="T62" s="40"/>
    </row>
    <row r="63" spans="1:20" x14ac:dyDescent="0.25">
      <c r="A63" s="29" t="s">
        <v>143</v>
      </c>
      <c r="B63" s="98" t="s">
        <v>144</v>
      </c>
      <c r="C63" s="102">
        <v>562184788</v>
      </c>
      <c r="D63" s="100">
        <f t="shared" si="23"/>
        <v>343775997.86200005</v>
      </c>
      <c r="E63" s="101">
        <v>0</v>
      </c>
      <c r="F63" s="102" t="s">
        <v>34</v>
      </c>
      <c r="G63" s="121">
        <v>0.49440000000000001</v>
      </c>
      <c r="H63" s="104">
        <v>0.6159</v>
      </c>
      <c r="I63" s="104">
        <v>0.61150000000000004</v>
      </c>
      <c r="J63" s="105">
        <f t="shared" si="24"/>
        <v>0.61150000000000004</v>
      </c>
      <c r="K63" s="101">
        <v>0</v>
      </c>
      <c r="L63" s="107">
        <f t="shared" si="25"/>
        <v>-4.3999999999999595E-3</v>
      </c>
      <c r="M63" s="107">
        <f t="shared" si="26"/>
        <v>-0.71440168858580277</v>
      </c>
      <c r="N63" s="108">
        <v>76020</v>
      </c>
      <c r="O63" s="99">
        <v>46486.34</v>
      </c>
      <c r="P63" s="122">
        <f t="shared" si="28"/>
        <v>0</v>
      </c>
      <c r="Q63" s="30">
        <f t="shared" si="27"/>
        <v>0.23685275080906165</v>
      </c>
      <c r="R63" s="40"/>
      <c r="T63" s="40"/>
    </row>
    <row r="64" spans="1:20" x14ac:dyDescent="0.25">
      <c r="A64" s="29" t="s">
        <v>145</v>
      </c>
      <c r="B64" s="98" t="s">
        <v>146</v>
      </c>
      <c r="C64" s="102">
        <v>30000000</v>
      </c>
      <c r="D64" s="100">
        <f t="shared" si="23"/>
        <v>300000000</v>
      </c>
      <c r="E64" s="101">
        <v>0</v>
      </c>
      <c r="F64" s="102" t="s">
        <v>66</v>
      </c>
      <c r="G64" s="121">
        <v>10</v>
      </c>
      <c r="H64" s="104">
        <v>10</v>
      </c>
      <c r="I64" s="104">
        <v>10</v>
      </c>
      <c r="J64" s="105">
        <f t="shared" si="24"/>
        <v>10</v>
      </c>
      <c r="K64" s="101">
        <v>0</v>
      </c>
      <c r="L64" s="107">
        <f t="shared" si="25"/>
        <v>0</v>
      </c>
      <c r="M64" s="107">
        <f t="shared" si="26"/>
        <v>0</v>
      </c>
      <c r="N64" s="108">
        <v>0</v>
      </c>
      <c r="O64" s="99">
        <v>0</v>
      </c>
      <c r="P64" s="122">
        <f t="shared" si="28"/>
        <v>0</v>
      </c>
      <c r="Q64" s="30">
        <f t="shared" si="27"/>
        <v>0</v>
      </c>
      <c r="T64" s="40"/>
    </row>
    <row r="65" spans="1:20" x14ac:dyDescent="0.25">
      <c r="A65" s="29" t="s">
        <v>147</v>
      </c>
      <c r="B65" s="98" t="s">
        <v>148</v>
      </c>
      <c r="C65" s="102">
        <v>344580486</v>
      </c>
      <c r="D65" s="100">
        <f t="shared" si="23"/>
        <v>21363990.131999999</v>
      </c>
      <c r="E65" s="101">
        <v>0</v>
      </c>
      <c r="F65" s="102" t="s">
        <v>44</v>
      </c>
      <c r="G65" s="121">
        <v>4.2999999999999997E-2</v>
      </c>
      <c r="H65" s="104">
        <v>5.5E-2</v>
      </c>
      <c r="I65" s="104">
        <v>6.2E-2</v>
      </c>
      <c r="J65" s="105">
        <f t="shared" si="24"/>
        <v>6.2E-2</v>
      </c>
      <c r="K65" s="101">
        <v>0</v>
      </c>
      <c r="L65" s="107">
        <f t="shared" si="25"/>
        <v>6.9999999999999993E-3</v>
      </c>
      <c r="M65" s="107">
        <f t="shared" si="26"/>
        <v>12.727272727272727</v>
      </c>
      <c r="N65" s="108">
        <v>35</v>
      </c>
      <c r="O65" s="99">
        <v>2.17</v>
      </c>
      <c r="P65" s="122">
        <f t="shared" si="28"/>
        <v>0</v>
      </c>
      <c r="Q65" s="30">
        <f t="shared" si="27"/>
        <v>0.44186046511627919</v>
      </c>
      <c r="T65" s="40"/>
    </row>
    <row r="66" spans="1:20" ht="13.2" x14ac:dyDescent="0.35">
      <c r="A66" s="125"/>
      <c r="B66" s="98" t="s">
        <v>82</v>
      </c>
      <c r="C66" s="102"/>
      <c r="D66" s="126"/>
      <c r="E66" s="126"/>
      <c r="F66" s="102"/>
      <c r="G66" s="102"/>
      <c r="H66" s="104"/>
      <c r="I66" s="104"/>
      <c r="J66" s="104"/>
      <c r="K66" s="104"/>
      <c r="L66" s="107"/>
      <c r="M66" s="127"/>
      <c r="N66" s="117">
        <f>SUM(N52:N65)</f>
        <v>1595804</v>
      </c>
      <c r="O66" s="118">
        <f>SUM(O52:O65)</f>
        <v>1390377.4299999997</v>
      </c>
      <c r="P66" s="128"/>
      <c r="Q66" s="33"/>
    </row>
    <row r="67" spans="1:20" ht="12.6" hidden="1" x14ac:dyDescent="0.3">
      <c r="A67" s="76" t="s">
        <v>149</v>
      </c>
      <c r="B67" s="77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9"/>
    </row>
    <row r="68" spans="1:20" ht="12.6" hidden="1" thickBot="1" x14ac:dyDescent="0.3">
      <c r="A68" s="41" t="s">
        <v>150</v>
      </c>
      <c r="B68" s="42" t="s">
        <v>151</v>
      </c>
      <c r="C68" s="43">
        <v>20000</v>
      </c>
      <c r="D68" s="44">
        <f>C68*J68</f>
        <v>0</v>
      </c>
      <c r="E68" s="44"/>
      <c r="F68" s="43" t="s">
        <v>152</v>
      </c>
      <c r="G68" s="43"/>
      <c r="H68" s="45">
        <v>100</v>
      </c>
      <c r="I68" s="45"/>
      <c r="J68" s="45"/>
      <c r="K68" s="45"/>
      <c r="L68" s="46">
        <f>I68-H68</f>
        <v>-100</v>
      </c>
      <c r="M68" s="47">
        <f>((I68-H68)/H68)*100</f>
        <v>-100</v>
      </c>
      <c r="N68" s="48" t="s">
        <v>57</v>
      </c>
      <c r="O68" s="48" t="s">
        <v>57</v>
      </c>
      <c r="P68" s="48"/>
      <c r="Q68" s="49">
        <v>100</v>
      </c>
    </row>
    <row r="69" spans="1:20" ht="12.6" thickBot="1" x14ac:dyDescent="0.3">
      <c r="A69" s="29"/>
      <c r="B69" s="98" t="s">
        <v>82</v>
      </c>
      <c r="C69" s="102"/>
      <c r="D69" s="99"/>
      <c r="E69" s="99"/>
      <c r="F69" s="102"/>
      <c r="G69" s="102"/>
      <c r="H69" s="104"/>
      <c r="I69" s="104"/>
      <c r="J69" s="104"/>
      <c r="K69" s="104"/>
      <c r="L69" s="107"/>
      <c r="M69" s="127"/>
      <c r="N69" s="129"/>
      <c r="O69" s="129"/>
      <c r="P69" s="129"/>
      <c r="Q69" s="33"/>
    </row>
    <row r="70" spans="1:20" ht="12.6" x14ac:dyDescent="0.3">
      <c r="A70" s="76" t="s">
        <v>153</v>
      </c>
      <c r="B70" s="77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9"/>
    </row>
    <row r="71" spans="1:20" x14ac:dyDescent="0.25">
      <c r="A71" s="29" t="s">
        <v>154</v>
      </c>
      <c r="B71" s="130" t="s">
        <v>155</v>
      </c>
      <c r="C71" s="131">
        <v>139300587</v>
      </c>
      <c r="D71" s="100">
        <f>C71*J71</f>
        <v>43183181.969999999</v>
      </c>
      <c r="E71" s="101">
        <f>C71*K71</f>
        <v>43183181.969999999</v>
      </c>
      <c r="F71" s="131" t="s">
        <v>156</v>
      </c>
      <c r="G71" s="131">
        <v>0.24</v>
      </c>
      <c r="H71" s="132">
        <v>0.29820000000000002</v>
      </c>
      <c r="I71" s="132">
        <v>0.31</v>
      </c>
      <c r="J71" s="133">
        <f>I71</f>
        <v>0.31</v>
      </c>
      <c r="K71" s="133">
        <f>J71</f>
        <v>0.31</v>
      </c>
      <c r="L71" s="107">
        <f>I71-H71</f>
        <v>1.1799999999999977E-2</v>
      </c>
      <c r="M71" s="107">
        <f>((I71-H71)/H71)*100</f>
        <v>3.957075788061696</v>
      </c>
      <c r="N71" s="134">
        <v>442</v>
      </c>
      <c r="O71" s="135">
        <v>137.02000000000001</v>
      </c>
      <c r="P71" s="122">
        <f>(R71)/J71</f>
        <v>0</v>
      </c>
      <c r="Q71" s="30">
        <f>J71/G71-1</f>
        <v>0.29166666666666674</v>
      </c>
      <c r="T71" s="40"/>
    </row>
    <row r="72" spans="1:20" x14ac:dyDescent="0.25">
      <c r="A72" s="29" t="s">
        <v>157</v>
      </c>
      <c r="B72" s="130" t="s">
        <v>158</v>
      </c>
      <c r="C72" s="131">
        <v>471351750</v>
      </c>
      <c r="D72" s="100">
        <f>C72*J72</f>
        <v>69760059</v>
      </c>
      <c r="E72" s="101">
        <f>C72*K72</f>
        <v>69760059</v>
      </c>
      <c r="F72" s="131" t="s">
        <v>156</v>
      </c>
      <c r="G72" s="131">
        <v>0.1</v>
      </c>
      <c r="H72" s="132">
        <v>0.14099999999999999</v>
      </c>
      <c r="I72" s="132">
        <v>0.14799999999999999</v>
      </c>
      <c r="J72" s="133">
        <f>I72</f>
        <v>0.14799999999999999</v>
      </c>
      <c r="K72" s="133">
        <f>J72</f>
        <v>0.14799999999999999</v>
      </c>
      <c r="L72" s="107">
        <f>I72-H72</f>
        <v>7.0000000000000062E-3</v>
      </c>
      <c r="M72" s="107">
        <f>((I72-H72)/H72)*100</f>
        <v>4.9645390070922035</v>
      </c>
      <c r="N72" s="108">
        <v>6092</v>
      </c>
      <c r="O72" s="135">
        <v>901.61</v>
      </c>
      <c r="P72" s="136">
        <f>(R72)/J72</f>
        <v>2.5621621621621623E-2</v>
      </c>
      <c r="Q72" s="30">
        <f>J72/G72-1</f>
        <v>0.47999999999999976</v>
      </c>
      <c r="R72" s="5">
        <v>3.7919999999999998E-3</v>
      </c>
      <c r="T72" s="40"/>
    </row>
    <row r="73" spans="1:20" ht="13.8" thickBot="1" x14ac:dyDescent="0.4">
      <c r="A73" s="29"/>
      <c r="B73" s="98" t="s">
        <v>82</v>
      </c>
      <c r="C73" s="102"/>
      <c r="D73" s="99"/>
      <c r="E73" s="99"/>
      <c r="F73" s="102"/>
      <c r="G73" s="102"/>
      <c r="H73" s="104"/>
      <c r="I73" s="104"/>
      <c r="J73" s="104"/>
      <c r="K73" s="104"/>
      <c r="L73" s="107"/>
      <c r="M73" s="127"/>
      <c r="N73" s="117">
        <f>SUM(N71:N72)</f>
        <v>6534</v>
      </c>
      <c r="O73" s="118">
        <f>SUM(O71:O72)</f>
        <v>1038.6300000000001</v>
      </c>
      <c r="P73" s="129"/>
      <c r="Q73" s="33"/>
    </row>
    <row r="74" spans="1:20" ht="12.6" x14ac:dyDescent="0.3">
      <c r="A74" s="76" t="s">
        <v>179</v>
      </c>
      <c r="B74" s="77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9"/>
    </row>
    <row r="75" spans="1:20" x14ac:dyDescent="0.25">
      <c r="A75" s="29" t="s">
        <v>180</v>
      </c>
      <c r="B75" s="130" t="s">
        <v>181</v>
      </c>
      <c r="C75" s="131">
        <v>20819695</v>
      </c>
      <c r="D75" s="100">
        <f>C75*J75</f>
        <v>2902265.483</v>
      </c>
      <c r="E75" s="101">
        <f>C75*K75</f>
        <v>2902265.483</v>
      </c>
      <c r="F75" s="131" t="s">
        <v>138</v>
      </c>
      <c r="G75" s="131">
        <v>0.1394</v>
      </c>
      <c r="H75" s="132">
        <v>0.1394</v>
      </c>
      <c r="I75" s="132">
        <v>0.1394</v>
      </c>
      <c r="J75" s="133">
        <f>I75</f>
        <v>0.1394</v>
      </c>
      <c r="K75" s="133">
        <f>J75</f>
        <v>0.1394</v>
      </c>
      <c r="L75" s="107">
        <f>I75-H75</f>
        <v>0</v>
      </c>
      <c r="M75" s="107">
        <f>((I75-H75)/H75)*100</f>
        <v>0</v>
      </c>
      <c r="N75" s="134">
        <v>0</v>
      </c>
      <c r="O75" s="135">
        <v>0</v>
      </c>
      <c r="P75" s="122">
        <f>(R75)/J75</f>
        <v>0</v>
      </c>
      <c r="Q75" s="30">
        <f>J75/G75-1</f>
        <v>0</v>
      </c>
    </row>
    <row r="76" spans="1:20" ht="13.2" x14ac:dyDescent="0.35">
      <c r="A76" s="29"/>
      <c r="B76" s="98"/>
      <c r="C76" s="102"/>
      <c r="D76" s="99"/>
      <c r="E76" s="99"/>
      <c r="F76" s="102"/>
      <c r="G76" s="102"/>
      <c r="H76" s="104"/>
      <c r="I76" s="104"/>
      <c r="J76" s="104"/>
      <c r="K76" s="104"/>
      <c r="L76" s="107"/>
      <c r="M76" s="127"/>
      <c r="N76" s="117"/>
      <c r="O76" s="118"/>
      <c r="P76" s="129"/>
      <c r="Q76" s="33"/>
    </row>
    <row r="77" spans="1:20" ht="12.6" x14ac:dyDescent="0.3">
      <c r="A77" s="88" t="s">
        <v>159</v>
      </c>
      <c r="B77" s="119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89"/>
    </row>
    <row r="78" spans="1:20" x14ac:dyDescent="0.25">
      <c r="A78" s="29" t="s">
        <v>160</v>
      </c>
      <c r="B78" s="98" t="s">
        <v>161</v>
      </c>
      <c r="C78" s="102">
        <v>45396463</v>
      </c>
      <c r="D78" s="100">
        <f>C78*J78</f>
        <v>176201.82891565331</v>
      </c>
      <c r="E78" s="101">
        <f>C78*K78</f>
        <v>151321.54333333333</v>
      </c>
      <c r="F78" s="102" t="s">
        <v>138</v>
      </c>
      <c r="G78" s="121">
        <v>0.105</v>
      </c>
      <c r="H78" s="104">
        <v>0.1</v>
      </c>
      <c r="I78" s="104">
        <v>0.1</v>
      </c>
      <c r="J78" s="105">
        <f>I78/$J$5</f>
        <v>3.8813999433315611E-3</v>
      </c>
      <c r="K78" s="106">
        <f>I78/$K$4</f>
        <v>3.3333333333333335E-3</v>
      </c>
      <c r="L78" s="107">
        <f>I78-H78</f>
        <v>0</v>
      </c>
      <c r="M78" s="137">
        <f>((I78-H78)/H78)*100</f>
        <v>0</v>
      </c>
      <c r="N78" s="99">
        <v>19300</v>
      </c>
      <c r="O78" s="99">
        <v>1930</v>
      </c>
      <c r="P78" s="102">
        <v>0</v>
      </c>
      <c r="Q78" s="30">
        <f>I78/G78-1</f>
        <v>-4.7619047619047561E-2</v>
      </c>
    </row>
    <row r="79" spans="1:20" x14ac:dyDescent="0.25">
      <c r="A79" s="29" t="s">
        <v>162</v>
      </c>
      <c r="B79" s="98" t="s">
        <v>163</v>
      </c>
      <c r="C79" s="102">
        <v>136162052</v>
      </c>
      <c r="D79" s="100">
        <f>C79*J79</f>
        <v>290674.65950418997</v>
      </c>
      <c r="E79" s="101">
        <f>C79*K79</f>
        <v>249630.42866666667</v>
      </c>
      <c r="F79" s="102" t="s">
        <v>138</v>
      </c>
      <c r="G79" s="121">
        <v>4.2500000000000003E-2</v>
      </c>
      <c r="H79" s="104">
        <v>6.0614999999999995E-2</v>
      </c>
      <c r="I79" s="104">
        <v>5.5E-2</v>
      </c>
      <c r="J79" s="105">
        <f>I79/$J$5</f>
        <v>2.1347699688323584E-3</v>
      </c>
      <c r="K79" s="106">
        <f>I79/$K$4</f>
        <v>1.8333333333333333E-3</v>
      </c>
      <c r="L79" s="107">
        <f>I79-H79</f>
        <v>-5.614999999999995E-3</v>
      </c>
      <c r="M79" s="137">
        <f>((I79-H79)/H79)*100</f>
        <v>-9.2633836509114822</v>
      </c>
      <c r="N79" s="99">
        <v>150000</v>
      </c>
      <c r="O79" s="99">
        <v>8250</v>
      </c>
      <c r="P79" s="102">
        <v>0</v>
      </c>
      <c r="Q79" s="30">
        <f>I79/G79-1</f>
        <v>0.29411764705882337</v>
      </c>
    </row>
    <row r="80" spans="1:20" x14ac:dyDescent="0.25">
      <c r="A80" s="29" t="s">
        <v>164</v>
      </c>
      <c r="B80" s="98" t="s">
        <v>165</v>
      </c>
      <c r="C80" s="102">
        <v>494417400</v>
      </c>
      <c r="D80" s="100">
        <f>C80*J80</f>
        <v>1823080.0849250308</v>
      </c>
      <c r="E80" s="101">
        <f>C80*K80</f>
        <v>1565655.0999999999</v>
      </c>
      <c r="F80" s="102" t="s">
        <v>138</v>
      </c>
      <c r="G80" s="121">
        <v>6.0499999999999998E-2</v>
      </c>
      <c r="H80" s="104">
        <v>9.5000000000000001E-2</v>
      </c>
      <c r="I80" s="104">
        <v>9.5000000000000001E-2</v>
      </c>
      <c r="J80" s="105">
        <f>I80/$J$5</f>
        <v>3.6873299461649828E-3</v>
      </c>
      <c r="K80" s="106">
        <f>I80/$K$4</f>
        <v>3.1666666666666666E-3</v>
      </c>
      <c r="L80" s="107">
        <f>I80-H80</f>
        <v>0</v>
      </c>
      <c r="M80" s="137">
        <f>((I80-H80)/H80)*100</f>
        <v>0</v>
      </c>
      <c r="N80" s="99">
        <v>0</v>
      </c>
      <c r="O80" s="99">
        <v>0</v>
      </c>
      <c r="P80" s="102">
        <v>0</v>
      </c>
      <c r="Q80" s="30">
        <f>I80/G80-1</f>
        <v>0.57024793388429762</v>
      </c>
    </row>
    <row r="81" spans="1:243" x14ac:dyDescent="0.25">
      <c r="A81" s="29" t="s">
        <v>166</v>
      </c>
      <c r="B81" s="98" t="s">
        <v>167</v>
      </c>
      <c r="C81" s="99">
        <v>41156692</v>
      </c>
      <c r="D81" s="100">
        <f>C81*J81</f>
        <v>2571903.8701438839</v>
      </c>
      <c r="E81" s="101">
        <f>C81*K81</f>
        <v>2208742.4706666665</v>
      </c>
      <c r="F81" s="102" t="s">
        <v>138</v>
      </c>
      <c r="G81" s="121">
        <v>1.85</v>
      </c>
      <c r="H81" s="104">
        <v>1.61</v>
      </c>
      <c r="I81" s="104">
        <v>1.61</v>
      </c>
      <c r="J81" s="105">
        <f>I81/$J$5</f>
        <v>6.2490539087638138E-2</v>
      </c>
      <c r="K81" s="106">
        <f>I81/$K$4</f>
        <v>5.3666666666666668E-2</v>
      </c>
      <c r="L81" s="107">
        <f>I81-H81</f>
        <v>0</v>
      </c>
      <c r="M81" s="137">
        <f>((I81-H81)/H81)*100</f>
        <v>0</v>
      </c>
      <c r="N81" s="99">
        <v>700</v>
      </c>
      <c r="O81" s="99">
        <v>1127</v>
      </c>
      <c r="P81" s="102">
        <v>0</v>
      </c>
      <c r="Q81" s="30">
        <f>I81/G81-1</f>
        <v>-0.12972972972972974</v>
      </c>
    </row>
    <row r="82" spans="1:243" ht="13.8" thickBot="1" x14ac:dyDescent="0.4">
      <c r="A82" s="29"/>
      <c r="B82" s="98" t="s">
        <v>82</v>
      </c>
      <c r="C82" s="99"/>
      <c r="D82" s="99"/>
      <c r="E82" s="99"/>
      <c r="F82" s="102"/>
      <c r="G82" s="102"/>
      <c r="H82" s="104"/>
      <c r="I82" s="104"/>
      <c r="J82" s="104"/>
      <c r="K82" s="104"/>
      <c r="L82" s="107"/>
      <c r="M82" s="107"/>
      <c r="N82" s="117">
        <f>SUM(N78:N81)</f>
        <v>170000</v>
      </c>
      <c r="O82" s="118">
        <f>SUM(O78:O81)</f>
        <v>11307</v>
      </c>
      <c r="P82" s="128"/>
      <c r="Q82" s="33"/>
      <c r="DU82" s="50"/>
      <c r="DV82" s="50"/>
      <c r="DW82" s="51"/>
      <c r="DX82" s="52"/>
      <c r="DY82" s="52"/>
      <c r="DZ82" s="53"/>
      <c r="EA82" s="53"/>
      <c r="EB82" s="54"/>
      <c r="EC82" s="54"/>
      <c r="ED82" s="55"/>
      <c r="EE82" s="55"/>
      <c r="EF82" s="53"/>
      <c r="EG82" s="56"/>
      <c r="EH82" s="57"/>
      <c r="EI82" s="51"/>
      <c r="EJ82" s="50"/>
      <c r="EK82" s="50"/>
      <c r="EL82" s="51"/>
      <c r="EM82" s="52"/>
      <c r="EN82" s="52"/>
      <c r="EO82" s="53"/>
      <c r="EP82" s="53"/>
      <c r="EQ82" s="54"/>
      <c r="ER82" s="54"/>
      <c r="ES82" s="55"/>
      <c r="ET82" s="55"/>
      <c r="EU82" s="53"/>
      <c r="EV82" s="56"/>
      <c r="EW82" s="57"/>
      <c r="EX82" s="51"/>
      <c r="EY82" s="50"/>
      <c r="EZ82" s="50"/>
      <c r="FA82" s="51"/>
      <c r="FB82" s="52"/>
      <c r="FC82" s="52"/>
      <c r="FD82" s="53"/>
      <c r="FE82" s="53"/>
      <c r="FF82" s="54"/>
      <c r="FG82" s="54"/>
      <c r="FH82" s="55"/>
      <c r="FI82" s="55"/>
      <c r="FJ82" s="53"/>
      <c r="FK82" s="56"/>
      <c r="FL82" s="57"/>
      <c r="FM82" s="51"/>
      <c r="FN82" s="50"/>
      <c r="FO82" s="50"/>
      <c r="FP82" s="51"/>
      <c r="FQ82" s="52"/>
      <c r="FR82" s="52"/>
      <c r="FS82" s="53"/>
      <c r="FT82" s="53"/>
      <c r="FU82" s="54"/>
      <c r="FV82" s="54"/>
      <c r="FW82" s="55"/>
      <c r="FX82" s="55"/>
      <c r="FY82" s="53"/>
      <c r="FZ82" s="56"/>
      <c r="GA82" s="57"/>
      <c r="GB82" s="51"/>
      <c r="GC82" s="50"/>
      <c r="GD82" s="50"/>
      <c r="GE82" s="51"/>
      <c r="GF82" s="52"/>
      <c r="GG82" s="52"/>
      <c r="GH82" s="53"/>
      <c r="GI82" s="53"/>
      <c r="GJ82" s="54"/>
      <c r="GK82" s="54"/>
      <c r="GL82" s="55"/>
      <c r="GM82" s="55"/>
      <c r="GN82" s="53"/>
      <c r="GO82" s="56"/>
      <c r="GP82" s="57"/>
      <c r="GQ82" s="51"/>
      <c r="GR82" s="50"/>
      <c r="GS82" s="50"/>
      <c r="GT82" s="51"/>
      <c r="GU82" s="52"/>
      <c r="GV82" s="52"/>
      <c r="GW82" s="53"/>
      <c r="GX82" s="53"/>
      <c r="GY82" s="54"/>
      <c r="GZ82" s="54"/>
      <c r="HA82" s="55"/>
      <c r="HB82" s="55"/>
      <c r="HC82" s="53"/>
      <c r="HD82" s="56"/>
      <c r="HE82" s="57"/>
      <c r="HF82" s="51"/>
      <c r="HG82" s="50"/>
      <c r="HH82" s="50"/>
      <c r="HI82" s="51"/>
      <c r="HJ82" s="52"/>
      <c r="HK82" s="52"/>
      <c r="HL82" s="53"/>
      <c r="HM82" s="53"/>
      <c r="HN82" s="54"/>
      <c r="HO82" s="54"/>
      <c r="HP82" s="55"/>
      <c r="HQ82" s="55"/>
      <c r="HR82" s="53"/>
      <c r="HS82" s="56"/>
      <c r="HT82" s="57"/>
      <c r="HU82" s="51"/>
      <c r="HV82" s="50"/>
      <c r="HW82" s="50"/>
      <c r="HX82" s="51"/>
      <c r="HY82" s="52"/>
      <c r="HZ82" s="52"/>
      <c r="IA82" s="53"/>
      <c r="IB82" s="53"/>
      <c r="IC82" s="54"/>
      <c r="ID82" s="54"/>
      <c r="IE82" s="55"/>
      <c r="IF82" s="55"/>
      <c r="IG82" s="53"/>
      <c r="IH82" s="56"/>
      <c r="II82" s="57"/>
    </row>
    <row r="83" spans="1:243" ht="13.2" thickTop="1" x14ac:dyDescent="0.3">
      <c r="A83" s="76" t="s">
        <v>168</v>
      </c>
      <c r="B83" s="77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9"/>
    </row>
    <row r="84" spans="1:243" x14ac:dyDescent="0.25">
      <c r="A84" s="29" t="s">
        <v>169</v>
      </c>
      <c r="B84" s="98" t="s">
        <v>170</v>
      </c>
      <c r="C84" s="102">
        <v>368326244</v>
      </c>
      <c r="D84" s="100">
        <f>C84*J84</f>
        <v>33588956.263531528</v>
      </c>
      <c r="E84" s="101">
        <f>C84*K84</f>
        <v>28846083.675933331</v>
      </c>
      <c r="F84" s="102" t="s">
        <v>171</v>
      </c>
      <c r="G84" s="102">
        <v>1.3</v>
      </c>
      <c r="H84" s="104">
        <v>2.3494999999999999</v>
      </c>
      <c r="I84" s="104">
        <v>2.3494999999999999</v>
      </c>
      <c r="J84" s="105">
        <f>I84/$J$5</f>
        <v>9.1193491668575016E-2</v>
      </c>
      <c r="K84" s="106">
        <f>I84/$K$4</f>
        <v>7.8316666666666659E-2</v>
      </c>
      <c r="L84" s="107">
        <f>I84-H84</f>
        <v>0</v>
      </c>
      <c r="M84" s="107">
        <f>((I84-H84)/H84*100)</f>
        <v>0</v>
      </c>
      <c r="N84" s="110">
        <v>700</v>
      </c>
      <c r="O84" s="99">
        <v>1644.65</v>
      </c>
      <c r="P84" s="110">
        <f>(R84)/J84</f>
        <v>0</v>
      </c>
      <c r="Q84" s="30">
        <f>I84/G84-1</f>
        <v>0.80730769230769228</v>
      </c>
      <c r="R84" s="40"/>
    </row>
    <row r="85" spans="1:243" s="58" customFormat="1" ht="12.6" thickBot="1" x14ac:dyDescent="0.3">
      <c r="A85" s="29" t="s">
        <v>172</v>
      </c>
      <c r="B85" s="98" t="s">
        <v>173</v>
      </c>
      <c r="C85" s="102">
        <v>1841105000</v>
      </c>
      <c r="D85" s="100">
        <f>C85*J85</f>
        <v>78092268.061318368</v>
      </c>
      <c r="E85" s="101">
        <f>C85*K85</f>
        <v>67065379.503500015</v>
      </c>
      <c r="F85" s="102" t="s">
        <v>171</v>
      </c>
      <c r="G85" s="102">
        <v>1.44347</v>
      </c>
      <c r="H85" s="104">
        <v>1.1813100000000001</v>
      </c>
      <c r="I85" s="104">
        <v>1.0928010000000001</v>
      </c>
      <c r="J85" s="105">
        <f>I85/$J$5</f>
        <v>4.2415977394726738E-2</v>
      </c>
      <c r="K85" s="106">
        <f>I85/$K$4</f>
        <v>3.6426700000000006E-2</v>
      </c>
      <c r="L85" s="107">
        <f>I85-H85</f>
        <v>-8.8508999999999949E-2</v>
      </c>
      <c r="M85" s="107">
        <f>((I85-H85)/H85*100)</f>
        <v>-7.492444828199198</v>
      </c>
      <c r="N85" s="110">
        <v>401038</v>
      </c>
      <c r="O85" s="99">
        <v>438274.46</v>
      </c>
      <c r="P85" s="109">
        <f>(R85)/J85</f>
        <v>5.1301423040425467E-2</v>
      </c>
      <c r="Q85" s="30">
        <f>I85/G85-1</f>
        <v>-0.2429347336626323</v>
      </c>
      <c r="R85" s="40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41"/>
      <c r="B86" s="42" t="s">
        <v>82</v>
      </c>
      <c r="C86" s="43"/>
      <c r="D86" s="59"/>
      <c r="E86" s="44"/>
      <c r="F86" s="43"/>
      <c r="G86" s="43"/>
      <c r="H86" s="45"/>
      <c r="I86" s="45"/>
      <c r="J86" s="45"/>
      <c r="K86" s="45"/>
      <c r="L86" s="46"/>
      <c r="M86" s="46"/>
      <c r="N86" s="117">
        <f>SUM(N84:N85)</f>
        <v>401738</v>
      </c>
      <c r="O86" s="118">
        <f>SUM(O84:O85)</f>
        <v>439919.11000000004</v>
      </c>
      <c r="P86" s="60"/>
      <c r="Q86" s="49"/>
    </row>
    <row r="87" spans="1:243" ht="12.6" thickBot="1" x14ac:dyDescent="0.3">
      <c r="A87" s="61"/>
      <c r="B87" s="138"/>
      <c r="C87" s="138"/>
      <c r="D87" s="138"/>
      <c r="E87" s="138"/>
      <c r="F87" s="139"/>
      <c r="G87" s="139"/>
      <c r="H87" s="115"/>
      <c r="I87" s="140"/>
      <c r="J87" s="140"/>
      <c r="K87" s="140"/>
      <c r="L87" s="140"/>
      <c r="M87" s="141"/>
      <c r="N87" s="141"/>
      <c r="O87" s="115"/>
      <c r="P87" s="115"/>
      <c r="Q87" s="62"/>
    </row>
    <row r="88" spans="1:243" ht="12.6" thickBot="1" x14ac:dyDescent="0.3">
      <c r="A88" s="80" t="s">
        <v>174</v>
      </c>
      <c r="B88" s="81"/>
      <c r="C88" s="81"/>
      <c r="D88" s="81"/>
      <c r="E88" s="80" t="s">
        <v>175</v>
      </c>
      <c r="F88" s="81"/>
      <c r="G88" s="81"/>
      <c r="H88" s="82"/>
      <c r="I88" s="140"/>
      <c r="J88" s="140"/>
      <c r="K88" s="140"/>
      <c r="L88" s="83" t="s">
        <v>176</v>
      </c>
      <c r="M88" s="84"/>
      <c r="N88" s="85"/>
      <c r="O88" s="83" t="s">
        <v>177</v>
      </c>
      <c r="P88" s="84"/>
      <c r="Q88" s="85"/>
    </row>
    <row r="89" spans="1:243" x14ac:dyDescent="0.25">
      <c r="A89" s="29" t="s">
        <v>78</v>
      </c>
      <c r="B89" s="142">
        <v>0.85299999999999998</v>
      </c>
      <c r="C89" s="142"/>
      <c r="D89" s="142">
        <v>13.733333333333331</v>
      </c>
      <c r="E89" s="29" t="s">
        <v>37</v>
      </c>
      <c r="F89" s="143">
        <v>0.195107</v>
      </c>
      <c r="G89" s="143"/>
      <c r="H89" s="63">
        <v>-11.315</v>
      </c>
      <c r="I89" s="140"/>
      <c r="J89" s="140"/>
      <c r="K89" s="140"/>
      <c r="L89" s="29" t="s">
        <v>147</v>
      </c>
      <c r="M89" s="110">
        <v>6.2E-2</v>
      </c>
      <c r="N89" s="64">
        <v>12.727272727272727</v>
      </c>
      <c r="O89" s="29" t="s">
        <v>141</v>
      </c>
      <c r="P89" s="143">
        <v>0.28070000000000001</v>
      </c>
      <c r="Q89" s="65">
        <v>-7.9672131147540943</v>
      </c>
    </row>
    <row r="90" spans="1:243" x14ac:dyDescent="0.25">
      <c r="A90" s="29" t="s">
        <v>99</v>
      </c>
      <c r="B90" s="142">
        <v>0.13</v>
      </c>
      <c r="C90" s="142"/>
      <c r="D90" s="142">
        <v>13.043478260869565</v>
      </c>
      <c r="E90" s="29" t="s">
        <v>40</v>
      </c>
      <c r="F90" s="143">
        <v>170</v>
      </c>
      <c r="G90" s="143"/>
      <c r="H90" s="63">
        <v>-5.5555555555555554</v>
      </c>
      <c r="I90" s="140"/>
      <c r="J90" s="140"/>
      <c r="K90" s="140"/>
      <c r="L90" s="29" t="s">
        <v>132</v>
      </c>
      <c r="M90" s="110">
        <v>0.1598</v>
      </c>
      <c r="N90" s="64">
        <v>6.533333333333335</v>
      </c>
      <c r="O90" s="29" t="s">
        <v>122</v>
      </c>
      <c r="P90" s="143">
        <v>50.066699999999997</v>
      </c>
      <c r="Q90" s="65">
        <v>-1.3528184374218142</v>
      </c>
    </row>
    <row r="91" spans="1:243" x14ac:dyDescent="0.25">
      <c r="A91" s="29" t="s">
        <v>95</v>
      </c>
      <c r="B91" s="142">
        <v>3.3125000000000002E-2</v>
      </c>
      <c r="C91" s="142"/>
      <c r="D91" s="142">
        <v>10.416666666666677</v>
      </c>
      <c r="E91" s="29" t="s">
        <v>74</v>
      </c>
      <c r="F91" s="143">
        <v>3.49</v>
      </c>
      <c r="G91" s="143"/>
      <c r="H91" s="63">
        <v>-2.0813465526321089</v>
      </c>
      <c r="I91" s="140"/>
      <c r="J91" s="140"/>
      <c r="K91" s="140"/>
      <c r="L91" s="29" t="s">
        <v>124</v>
      </c>
      <c r="M91" s="110">
        <v>0.2581</v>
      </c>
      <c r="N91" s="64">
        <v>3.8213998390989579</v>
      </c>
      <c r="O91" s="29" t="s">
        <v>143</v>
      </c>
      <c r="P91" s="143">
        <v>0.61150000000000004</v>
      </c>
      <c r="Q91" s="65">
        <v>-0.71440168858580277</v>
      </c>
    </row>
    <row r="92" spans="1:243" x14ac:dyDescent="0.25">
      <c r="A92" s="29" t="s">
        <v>115</v>
      </c>
      <c r="B92" s="142">
        <v>0.75</v>
      </c>
      <c r="C92" s="142"/>
      <c r="D92" s="142">
        <v>8.6956521739130519</v>
      </c>
      <c r="E92" s="29" t="s">
        <v>107</v>
      </c>
      <c r="F92" s="143">
        <v>0.04</v>
      </c>
      <c r="G92" s="143"/>
      <c r="H92" s="63">
        <v>-1.9920123490064303</v>
      </c>
      <c r="I92" s="140"/>
      <c r="J92" s="140"/>
      <c r="K92" s="140"/>
      <c r="L92" s="29" t="s">
        <v>139</v>
      </c>
      <c r="M92" s="110">
        <v>1.1483000000000001</v>
      </c>
      <c r="N92" s="64">
        <v>2.1255780860903619</v>
      </c>
      <c r="O92" s="29" t="s">
        <v>128</v>
      </c>
      <c r="P92" s="143">
        <v>0.11</v>
      </c>
      <c r="Q92" s="65">
        <v>-0.45248868778280582</v>
      </c>
    </row>
    <row r="93" spans="1:243" x14ac:dyDescent="0.25">
      <c r="A93" s="29" t="s">
        <v>45</v>
      </c>
      <c r="B93" s="142">
        <v>15.478599999999998</v>
      </c>
      <c r="C93" s="142"/>
      <c r="D93" s="142">
        <v>1.0022838499184279</v>
      </c>
      <c r="E93" s="29" t="s">
        <v>32</v>
      </c>
      <c r="F93" s="143">
        <v>15.8</v>
      </c>
      <c r="G93" s="143"/>
      <c r="H93" s="63">
        <v>0</v>
      </c>
      <c r="I93" s="140"/>
      <c r="J93" s="140"/>
      <c r="K93" s="140"/>
      <c r="L93" s="29" t="s">
        <v>120</v>
      </c>
      <c r="M93" s="110">
        <v>0.13</v>
      </c>
      <c r="N93" s="64">
        <v>0.30864197530865084</v>
      </c>
      <c r="O93" s="29"/>
      <c r="P93" s="143"/>
      <c r="Q93" s="65"/>
    </row>
    <row r="94" spans="1:243" ht="12.6" thickBot="1" x14ac:dyDescent="0.3">
      <c r="A94" s="66"/>
      <c r="B94" s="67"/>
      <c r="C94" s="67"/>
      <c r="D94" s="67"/>
      <c r="E94" s="66"/>
      <c r="F94" s="67"/>
      <c r="G94" s="67"/>
      <c r="H94" s="68"/>
      <c r="I94" s="140"/>
      <c r="J94" s="140"/>
      <c r="K94" s="140"/>
      <c r="L94" s="66"/>
      <c r="M94" s="67"/>
      <c r="N94" s="68"/>
      <c r="O94" s="67"/>
      <c r="P94" s="67"/>
      <c r="Q94" s="68"/>
    </row>
    <row r="95" spans="1:243" x14ac:dyDescent="0.25">
      <c r="A95" s="69"/>
      <c r="B95" s="144"/>
      <c r="C95" s="144"/>
      <c r="D95" s="144"/>
      <c r="E95" s="141"/>
      <c r="F95" s="141"/>
      <c r="G95" s="141"/>
      <c r="H95" s="141"/>
      <c r="I95" s="141"/>
      <c r="J95" s="141"/>
      <c r="K95" s="141"/>
      <c r="L95" s="141"/>
      <c r="M95" s="144"/>
      <c r="N95" s="140"/>
      <c r="O95" s="140"/>
      <c r="P95" s="140"/>
      <c r="Q95" s="15"/>
    </row>
    <row r="96" spans="1:243" x14ac:dyDescent="0.25">
      <c r="A96" s="12" t="s">
        <v>178</v>
      </c>
      <c r="B96" s="145"/>
      <c r="C96" s="145"/>
      <c r="D96" s="145"/>
      <c r="E96" s="145"/>
      <c r="F96" s="91"/>
      <c r="G96" s="91"/>
      <c r="H96" s="91"/>
      <c r="I96" s="91"/>
      <c r="J96" s="91"/>
      <c r="K96" s="91"/>
      <c r="L96" s="91"/>
      <c r="M96" s="91"/>
      <c r="N96" s="140"/>
      <c r="O96" s="140"/>
      <c r="P96" s="140"/>
      <c r="Q96" s="15"/>
    </row>
    <row r="97" spans="1:17" x14ac:dyDescent="0.25">
      <c r="A97" s="69"/>
      <c r="B97" s="144"/>
      <c r="C97" s="144"/>
      <c r="D97" s="144"/>
      <c r="E97" s="144"/>
      <c r="F97" s="141"/>
      <c r="G97" s="141"/>
      <c r="H97" s="144"/>
      <c r="I97" s="141"/>
      <c r="J97" s="141"/>
      <c r="K97" s="141"/>
      <c r="L97" s="141"/>
      <c r="M97" s="144"/>
      <c r="N97" s="140"/>
      <c r="O97" s="140"/>
      <c r="P97" s="140"/>
      <c r="Q97" s="15"/>
    </row>
    <row r="98" spans="1:17" ht="12.6" thickBot="1" x14ac:dyDescent="0.3">
      <c r="A98" s="70"/>
      <c r="B98" s="71"/>
      <c r="C98" s="71"/>
      <c r="D98" s="71"/>
      <c r="E98" s="71"/>
      <c r="F98" s="72"/>
      <c r="G98" s="72"/>
      <c r="H98" s="72"/>
      <c r="I98" s="73"/>
      <c r="J98" s="73"/>
      <c r="K98" s="73"/>
      <c r="L98" s="73"/>
      <c r="M98" s="73"/>
      <c r="N98" s="73"/>
      <c r="O98" s="73"/>
      <c r="P98" s="73"/>
      <c r="Q98" s="74"/>
    </row>
    <row r="99" spans="1:17" x14ac:dyDescent="0.25">
      <c r="I99" s="27"/>
      <c r="J99" s="27"/>
      <c r="K99" s="27"/>
      <c r="L99" s="27"/>
      <c r="M99" s="27"/>
      <c r="N99" s="27"/>
      <c r="O99" s="27"/>
      <c r="P99" s="27"/>
    </row>
    <row r="100" spans="1:17" x14ac:dyDescent="0.25">
      <c r="I100" s="27"/>
      <c r="J100" s="27"/>
      <c r="K100" s="27"/>
      <c r="O100" s="27"/>
      <c r="P100" s="27"/>
    </row>
    <row r="101" spans="1:17" x14ac:dyDescent="0.25">
      <c r="I101" s="27"/>
      <c r="J101" s="27"/>
      <c r="K101" s="27"/>
      <c r="O101" s="27"/>
      <c r="P101" s="27"/>
    </row>
    <row r="102" spans="1:17" x14ac:dyDescent="0.25">
      <c r="I102" s="75"/>
      <c r="J102" s="75"/>
      <c r="K102" s="75"/>
      <c r="O102" s="75"/>
      <c r="P102" s="75"/>
    </row>
    <row r="104" spans="1:17" x14ac:dyDescent="0.25">
      <c r="I104" s="27"/>
      <c r="J104" s="27"/>
      <c r="K104" s="27"/>
      <c r="O104" s="27"/>
      <c r="P104" s="27"/>
    </row>
    <row r="105" spans="1:17" x14ac:dyDescent="0.25">
      <c r="I105" s="75"/>
      <c r="J105" s="75"/>
      <c r="K105" s="75"/>
      <c r="O105" s="75"/>
      <c r="P105" s="75"/>
    </row>
    <row r="106" spans="1:17" x14ac:dyDescent="0.25">
      <c r="I106" s="27"/>
      <c r="J106" s="27"/>
      <c r="K106" s="27"/>
      <c r="O106" s="27"/>
      <c r="P106" s="27"/>
    </row>
    <row r="107" spans="1:17" x14ac:dyDescent="0.25">
      <c r="I107" s="75"/>
      <c r="J107" s="75"/>
      <c r="K107" s="75"/>
      <c r="O107" s="75"/>
      <c r="P107" s="75"/>
    </row>
  </sheetData>
  <sheetProtection algorithmName="SHA-512" hashValue="ZqsSi1mNm9XT7tsenqjcwK7D3U9oLxKMRY6Q5zSJ+LwNBt2NoYGBroSBOCD9l7dadYLVmUjiSkB77oelxtGOkg==" saltValue="oZK4BWPXyMEQCeY+CKSixA==" spinCount="100000" sheet="1"/>
  <mergeCells count="12">
    <mergeCell ref="A77:Q77"/>
    <mergeCell ref="A74:Q74"/>
    <mergeCell ref="L5:M5"/>
    <mergeCell ref="A6:Q6"/>
    <mergeCell ref="A51:Q51"/>
    <mergeCell ref="A67:Q67"/>
    <mergeCell ref="A70:Q70"/>
    <mergeCell ref="A83:Q83"/>
    <mergeCell ref="A88:D88"/>
    <mergeCell ref="E88:H88"/>
    <mergeCell ref="L88:N88"/>
    <mergeCell ref="O88:Q88"/>
  </mergeCells>
  <conditionalFormatting sqref="A10:A12">
    <cfRule type="duplicateValues" dxfId="40" priority="50" stopIfTrue="1"/>
  </conditionalFormatting>
  <conditionalFormatting sqref="A30:A35">
    <cfRule type="duplicateValues" dxfId="39" priority="51" stopIfTrue="1"/>
  </conditionalFormatting>
  <conditionalFormatting sqref="A89:A91">
    <cfRule type="duplicateValues" dxfId="38" priority="9" stopIfTrue="1"/>
  </conditionalFormatting>
  <conditionalFormatting sqref="L10:M27 L29:M48 L52:M65">
    <cfRule type="cellIs" dxfId="37" priority="47" stopIfTrue="1" operator="greaterThan">
      <formula>0</formula>
    </cfRule>
    <cfRule type="cellIs" dxfId="36" priority="48" stopIfTrue="1" operator="greaterThan">
      <formula>0</formula>
    </cfRule>
    <cfRule type="cellIs" priority="49" stopIfTrue="1" operator="greaterThan">
      <formula>0</formula>
    </cfRule>
  </conditionalFormatting>
  <conditionalFormatting sqref="L10:M48 L52:M65">
    <cfRule type="cellIs" dxfId="35" priority="20" stopIfTrue="1" operator="lessThan">
      <formula>0</formula>
    </cfRule>
    <cfRule type="cellIs" dxfId="34" priority="24" stopIfTrue="1" operator="greaterThan">
      <formula>0</formula>
    </cfRule>
  </conditionalFormatting>
  <conditionalFormatting sqref="L28:M28">
    <cfRule type="cellIs" dxfId="33" priority="21" stopIfTrue="1" operator="greaterThan">
      <formula>0</formula>
    </cfRule>
    <cfRule type="cellIs" dxfId="32" priority="22" stopIfTrue="1" operator="lessThan">
      <formula>0</formula>
    </cfRule>
    <cfRule type="cellIs" dxfId="31" priority="23" stopIfTrue="1" operator="greaterThan">
      <formula>0</formula>
    </cfRule>
    <cfRule type="cellIs" priority="25" stopIfTrue="1" operator="greaterThan">
      <formula>0</formula>
    </cfRule>
  </conditionalFormatting>
  <conditionalFormatting sqref="L10:M27 L29:M48 L52:M65">
    <cfRule type="cellIs" dxfId="30" priority="46" stopIfTrue="1" operator="lessThan">
      <formula>0</formula>
    </cfRule>
  </conditionalFormatting>
  <conditionalFormatting sqref="L71:M72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8:M81">
    <cfRule type="cellIs" dxfId="24" priority="38" stopIfTrue="1" operator="lessThan">
      <formula>0</formula>
    </cfRule>
    <cfRule type="cellIs" dxfId="23" priority="39" stopIfTrue="1" operator="greaterThan">
      <formula>0</formula>
    </cfRule>
    <cfRule type="cellIs" dxfId="22" priority="40" stopIfTrue="1" operator="lessThan">
      <formula>0</formula>
    </cfRule>
    <cfRule type="cellIs" dxfId="21" priority="41" stopIfTrue="1" operator="greaterThan">
      <formula>0</formula>
    </cfRule>
    <cfRule type="cellIs" dxfId="20" priority="42" stopIfTrue="1" operator="greaterThan">
      <formula>0</formula>
    </cfRule>
    <cfRule type="cellIs" priority="43" stopIfTrue="1" operator="greaterThan">
      <formula>0</formula>
    </cfRule>
  </conditionalFormatting>
  <conditionalFormatting sqref="L84:M85">
    <cfRule type="cellIs" dxfId="19" priority="32" stopIfTrue="1" operator="lessThan">
      <formula>0</formula>
    </cfRule>
    <cfRule type="cellIs" dxfId="18" priority="33" stopIfTrue="1" operator="greaterThan">
      <formula>0</formula>
    </cfRule>
    <cfRule type="cellIs" dxfId="17" priority="34" stopIfTrue="1" operator="lessThan">
      <formula>0</formula>
    </cfRule>
    <cfRule type="cellIs" dxfId="16" priority="35" stopIfTrue="1" operator="greaterThan">
      <formula>0</formula>
    </cfRule>
    <cfRule type="cellIs" dxfId="15" priority="36" stopIfTrue="1" operator="greaterThan">
      <formula>0</formula>
    </cfRule>
    <cfRule type="cellIs" priority="37" stopIfTrue="1" operator="greaterThan">
      <formula>0</formula>
    </cfRule>
  </conditionalFormatting>
  <conditionalFormatting sqref="Q10:Q48 Q52:Q65">
    <cfRule type="cellIs" dxfId="14" priority="18" stopIfTrue="1" operator="greaterThan">
      <formula>0</formula>
    </cfRule>
    <cfRule type="cellIs" dxfId="13" priority="19" stopIfTrue="1" operator="lessThan">
      <formula>0</formula>
    </cfRule>
  </conditionalFormatting>
  <conditionalFormatting sqref="Q71:Q72">
    <cfRule type="cellIs" dxfId="12" priority="16" stopIfTrue="1" operator="greaterThan">
      <formula>0</formula>
    </cfRule>
    <cfRule type="cellIs" dxfId="11" priority="17" stopIfTrue="1" operator="lessThan">
      <formula>0</formula>
    </cfRule>
  </conditionalFormatting>
  <conditionalFormatting sqref="Q78:Q81">
    <cfRule type="cellIs" dxfId="10" priority="28" stopIfTrue="1" operator="greaterThan">
      <formula>0</formula>
    </cfRule>
    <cfRule type="cellIs" dxfId="9" priority="29" stopIfTrue="1" operator="lessThan">
      <formula>0</formula>
    </cfRule>
  </conditionalFormatting>
  <conditionalFormatting sqref="Q84:Q85">
    <cfRule type="cellIs" dxfId="8" priority="26" stopIfTrue="1" operator="greaterThan">
      <formula>0</formula>
    </cfRule>
    <cfRule type="cellIs" dxfId="7" priority="27" stopIfTrue="1" operator="lessThan">
      <formula>0</formula>
    </cfRule>
  </conditionalFormatting>
  <conditionalFormatting sqref="L75:M75">
    <cfRule type="cellIs" dxfId="6" priority="1" stopIfTrue="1" operator="lessThan">
      <formula>0</formula>
    </cfRule>
    <cfRule type="cellIs" dxfId="5" priority="2" stopIfTrue="1" operator="greaterThan">
      <formula>0</formula>
    </cfRule>
    <cfRule type="cellIs" dxfId="4" priority="3" stopIfTrue="1" operator="lessThan">
      <formula>0</formula>
    </cfRule>
    <cfRule type="cellIs" dxfId="3" priority="4" stopIfTrue="1" operator="greaterThan">
      <formula>0</formula>
    </cfRule>
    <cfRule type="cellIs" dxfId="2" priority="5" stopIfTrue="1" operator="greaterThan">
      <formula>0</formula>
    </cfRule>
    <cfRule type="cellIs" priority="6" stopIfTrue="1" operator="greaterThan">
      <formula>0</formula>
    </cfRule>
  </conditionalFormatting>
  <conditionalFormatting sqref="Q75">
    <cfRule type="cellIs" dxfId="1" priority="7" stopIfTrue="1" operator="greaterThan">
      <formula>0</formula>
    </cfRule>
    <cfRule type="cellIs" dxfId="0" priority="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cp:lastPrinted>2026-05-12T13:52:49Z</cp:lastPrinted>
  <dcterms:created xsi:type="dcterms:W3CDTF">2026-05-12T13:42:48Z</dcterms:created>
  <dcterms:modified xsi:type="dcterms:W3CDTF">2026-05-12T13:53:08Z</dcterms:modified>
</cp:coreProperties>
</file>