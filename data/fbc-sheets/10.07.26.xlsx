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10.07.26/"/>
    </mc:Choice>
  </mc:AlternateContent>
  <xr:revisionPtr revIDLastSave="0" documentId="8_{0F15E216-2B77-4439-81F5-DF24B833D472}" xr6:coauthVersionLast="47" xr6:coauthVersionMax="47" xr10:uidLastSave="{00000000-0000-0000-0000-000000000000}"/>
  <bookViews>
    <workbookView xWindow="-108" yWindow="-108" windowWidth="23256" windowHeight="12456" xr2:uid="{00F33BF0-6AFC-48F1-B3DC-573544AD05E6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6" i="1" l="1"/>
  <c r="N86" i="1"/>
  <c r="Q85" i="1"/>
  <c r="M85" i="1"/>
  <c r="L85" i="1"/>
  <c r="K85" i="1"/>
  <c r="J85" i="1"/>
  <c r="P85" i="1" s="1"/>
  <c r="E85" i="1"/>
  <c r="D85" i="1"/>
  <c r="Q84" i="1"/>
  <c r="P84" i="1"/>
  <c r="M84" i="1"/>
  <c r="L84" i="1"/>
  <c r="K84" i="1"/>
  <c r="E84" i="1" s="1"/>
  <c r="J84" i="1"/>
  <c r="D84" i="1"/>
  <c r="O82" i="1"/>
  <c r="N82" i="1"/>
  <c r="Q81" i="1"/>
  <c r="M81" i="1"/>
  <c r="L81" i="1"/>
  <c r="K81" i="1"/>
  <c r="E81" i="1" s="1"/>
  <c r="J81" i="1"/>
  <c r="D81" i="1" s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M75" i="1"/>
  <c r="L75" i="1"/>
  <c r="J75" i="1"/>
  <c r="K75" i="1" s="1"/>
  <c r="E75" i="1" s="1"/>
  <c r="O73" i="1"/>
  <c r="N73" i="1"/>
  <c r="M72" i="1"/>
  <c r="L72" i="1"/>
  <c r="J72" i="1"/>
  <c r="Q72" i="1" s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M64" i="1"/>
  <c r="L64" i="1"/>
  <c r="J64" i="1"/>
  <c r="P64" i="1" s="1"/>
  <c r="D64" i="1"/>
  <c r="M63" i="1"/>
  <c r="L63" i="1"/>
  <c r="J63" i="1"/>
  <c r="Q63" i="1" s="1"/>
  <c r="M62" i="1"/>
  <c r="L62" i="1"/>
  <c r="J62" i="1"/>
  <c r="Q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D57" i="1"/>
  <c r="M56" i="1"/>
  <c r="L56" i="1"/>
  <c r="J56" i="1"/>
  <c r="Q56" i="1" s="1"/>
  <c r="D56" i="1"/>
  <c r="M55" i="1"/>
  <c r="L55" i="1"/>
  <c r="J55" i="1"/>
  <c r="Q55" i="1" s="1"/>
  <c r="M54" i="1"/>
  <c r="L54" i="1"/>
  <c r="J54" i="1"/>
  <c r="Q54" i="1" s="1"/>
  <c r="M53" i="1"/>
  <c r="L53" i="1"/>
  <c r="J53" i="1"/>
  <c r="Q53" i="1" s="1"/>
  <c r="M52" i="1"/>
  <c r="L52" i="1"/>
  <c r="J52" i="1"/>
  <c r="P52" i="1" s="1"/>
  <c r="M51" i="1"/>
  <c r="L51" i="1"/>
  <c r="J51" i="1"/>
  <c r="Q51" i="1" s="1"/>
  <c r="O48" i="1"/>
  <c r="N48" i="1"/>
  <c r="Q47" i="1"/>
  <c r="M47" i="1"/>
  <c r="L47" i="1"/>
  <c r="K47" i="1"/>
  <c r="J47" i="1"/>
  <c r="D47" i="1" s="1"/>
  <c r="E47" i="1"/>
  <c r="Q46" i="1"/>
  <c r="M46" i="1"/>
  <c r="L46" i="1"/>
  <c r="K46" i="1"/>
  <c r="E46" i="1" s="1"/>
  <c r="J46" i="1"/>
  <c r="D46" i="1" s="1"/>
  <c r="Q45" i="1"/>
  <c r="M45" i="1"/>
  <c r="L45" i="1"/>
  <c r="K45" i="1"/>
  <c r="J45" i="1"/>
  <c r="P45" i="1" s="1"/>
  <c r="E45" i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D43" i="1" s="1"/>
  <c r="Q42" i="1"/>
  <c r="M42" i="1"/>
  <c r="L42" i="1"/>
  <c r="K42" i="1"/>
  <c r="E42" i="1" s="1"/>
  <c r="J42" i="1"/>
  <c r="P42" i="1" s="1"/>
  <c r="Q41" i="1"/>
  <c r="M41" i="1"/>
  <c r="L41" i="1"/>
  <c r="K41" i="1"/>
  <c r="J41" i="1"/>
  <c r="P41" i="1" s="1"/>
  <c r="E41" i="1"/>
  <c r="D41" i="1"/>
  <c r="Q40" i="1"/>
  <c r="M40" i="1"/>
  <c r="L40" i="1"/>
  <c r="K40" i="1"/>
  <c r="E40" i="1" s="1"/>
  <c r="J40" i="1"/>
  <c r="D40" i="1" s="1"/>
  <c r="Q39" i="1"/>
  <c r="M39" i="1"/>
  <c r="L39" i="1"/>
  <c r="K39" i="1"/>
  <c r="J39" i="1"/>
  <c r="E39" i="1"/>
  <c r="D39" i="1"/>
  <c r="Q38" i="1"/>
  <c r="M38" i="1"/>
  <c r="L38" i="1"/>
  <c r="K38" i="1"/>
  <c r="E38" i="1" s="1"/>
  <c r="J38" i="1"/>
  <c r="D38" i="1"/>
  <c r="Q37" i="1"/>
  <c r="M37" i="1"/>
  <c r="L37" i="1"/>
  <c r="K37" i="1"/>
  <c r="E37" i="1" s="1"/>
  <c r="J37" i="1"/>
  <c r="P37" i="1" s="1"/>
  <c r="Q36" i="1"/>
  <c r="M36" i="1"/>
  <c r="L36" i="1"/>
  <c r="K36" i="1"/>
  <c r="J36" i="1"/>
  <c r="P36" i="1" s="1"/>
  <c r="E36" i="1"/>
  <c r="D36" i="1"/>
  <c r="Q35" i="1"/>
  <c r="M35" i="1"/>
  <c r="L35" i="1"/>
  <c r="K35" i="1"/>
  <c r="E35" i="1" s="1"/>
  <c r="J35" i="1"/>
  <c r="P35" i="1" s="1"/>
  <c r="D35" i="1"/>
  <c r="Q34" i="1"/>
  <c r="M34" i="1"/>
  <c r="L34" i="1"/>
  <c r="K34" i="1"/>
  <c r="J34" i="1"/>
  <c r="P34" i="1" s="1"/>
  <c r="E34" i="1"/>
  <c r="Q33" i="1"/>
  <c r="M33" i="1"/>
  <c r="L33" i="1"/>
  <c r="K33" i="1"/>
  <c r="J33" i="1"/>
  <c r="P33" i="1" s="1"/>
  <c r="E33" i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P27" i="1" s="1"/>
  <c r="D27" i="1"/>
  <c r="Q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Q24" i="1"/>
  <c r="M24" i="1"/>
  <c r="L24" i="1"/>
  <c r="K24" i="1"/>
  <c r="E24" i="1" s="1"/>
  <c r="J24" i="1"/>
  <c r="P24" i="1" s="1"/>
  <c r="Q23" i="1"/>
  <c r="M23" i="1"/>
  <c r="L23" i="1"/>
  <c r="K23" i="1"/>
  <c r="J23" i="1"/>
  <c r="P23" i="1" s="1"/>
  <c r="E23" i="1"/>
  <c r="Q22" i="1"/>
  <c r="M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Q20" i="1"/>
  <c r="M20" i="1"/>
  <c r="L20" i="1"/>
  <c r="K20" i="1"/>
  <c r="E20" i="1" s="1"/>
  <c r="J20" i="1"/>
  <c r="P20" i="1" s="1"/>
  <c r="D20" i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J17" i="1"/>
  <c r="P17" i="1" s="1"/>
  <c r="E17" i="1"/>
  <c r="Q16" i="1"/>
  <c r="M16" i="1"/>
  <c r="L16" i="1"/>
  <c r="K16" i="1"/>
  <c r="E16" i="1" s="1"/>
  <c r="J16" i="1"/>
  <c r="P16" i="1" s="1"/>
  <c r="D16" i="1"/>
  <c r="Q15" i="1"/>
  <c r="M15" i="1"/>
  <c r="L15" i="1"/>
  <c r="K15" i="1"/>
  <c r="E15" i="1" s="1"/>
  <c r="J15" i="1"/>
  <c r="D15" i="1" s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P13" i="1" s="1"/>
  <c r="D13" i="1"/>
  <c r="Q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M10" i="1"/>
  <c r="L10" i="1"/>
  <c r="K10" i="1"/>
  <c r="E10" i="1" s="1"/>
  <c r="J10" i="1"/>
  <c r="D10" i="1" s="1"/>
  <c r="Q9" i="1"/>
  <c r="M9" i="1"/>
  <c r="L9" i="1"/>
  <c r="K9" i="1"/>
  <c r="J9" i="1"/>
  <c r="D9" i="1" s="1"/>
  <c r="E9" i="1"/>
  <c r="D17" i="1" l="1"/>
  <c r="D28" i="1"/>
  <c r="D34" i="1"/>
  <c r="D62" i="1"/>
  <c r="D52" i="1"/>
  <c r="D59" i="1"/>
  <c r="D14" i="1"/>
  <c r="D23" i="1"/>
  <c r="D25" i="1"/>
  <c r="Q52" i="1"/>
  <c r="Q75" i="1"/>
  <c r="P32" i="1"/>
  <c r="P62" i="1"/>
  <c r="P29" i="1"/>
  <c r="D33" i="1"/>
  <c r="D51" i="1"/>
  <c r="D54" i="1"/>
  <c r="P75" i="1"/>
  <c r="P44" i="1"/>
  <c r="P60" i="1"/>
  <c r="D63" i="1"/>
  <c r="Q64" i="1"/>
  <c r="Q60" i="1"/>
  <c r="D45" i="1"/>
  <c r="D61" i="1"/>
  <c r="K72" i="1"/>
  <c r="E72" i="1" s="1"/>
  <c r="P58" i="1"/>
  <c r="P10" i="1"/>
  <c r="Q58" i="1"/>
  <c r="P26" i="1"/>
  <c r="P56" i="1"/>
  <c r="P72" i="1"/>
  <c r="P54" i="1"/>
  <c r="D42" i="1"/>
  <c r="D19" i="1"/>
  <c r="D24" i="1"/>
  <c r="D55" i="1"/>
  <c r="D75" i="1"/>
  <c r="D37" i="1"/>
  <c r="D21" i="1"/>
  <c r="D53" i="1"/>
  <c r="D65" i="1"/>
  <c r="P40" i="1"/>
  <c r="P43" i="1"/>
  <c r="P46" i="1"/>
  <c r="K71" i="1"/>
  <c r="E71" i="1" s="1"/>
  <c r="P9" i="1"/>
  <c r="P12" i="1"/>
  <c r="P15" i="1"/>
  <c r="P55" i="1"/>
  <c r="P57" i="1"/>
  <c r="P59" i="1"/>
  <c r="P61" i="1"/>
  <c r="P63" i="1"/>
  <c r="P65" i="1"/>
  <c r="P51" i="1"/>
  <c r="P71" i="1"/>
</calcChain>
</file>

<file path=xl/sharedStrings.xml><?xml version="1.0" encoding="utf-8"?>
<sst xmlns="http://schemas.openxmlformats.org/spreadsheetml/2006/main" count="272" uniqueCount="184">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</sst>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AD289133-473A-408C-BAA0-4A0B9169848C}"/>
    <cellStyle name="Comma 5 2 2 2 2 2 2 2 2" xfId="4" xr:uid="{EBAD695F-1D94-4136-8DA6-FD75A9EA500A}"/>
    <cellStyle name="Comma 6 2 2 2" xfId="5" xr:uid="{F24E2F4E-49D4-44A6-8081-250094243563}"/>
    <cellStyle name="Hyperlink 2" xfId="8" xr:uid="{FEB8C1DF-97F3-4B2C-AEC1-96EE21330C0E}"/>
    <cellStyle name="Normal" xfId="0" builtinId="0"/>
    <cellStyle name="Normal 2" xfId="2" xr:uid="{4EA094E0-4F95-4B83-A339-EE6DEA5A19D8}"/>
    <cellStyle name="Normal 20" xfId="7" xr:uid="{C507F891-62D6-4DE7-8B44-2CED777F889B}"/>
    <cellStyle name="Percent" xfId="1" builtinId="5"/>
    <cellStyle name="Percent 3" xfId="6" xr:uid="{0CE52FC9-BF6A-4AA0-A96E-84540E59B89F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45030315-13B7-46BB-AE9B-1BAFF3082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4F6247D8-2918-4925-B37D-296DC8A73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6F1B-46B2-451A-A156-6567D7A5A148}">
  <dimension ref="A1:II107"/>
  <sheetViews>
    <sheetView tabSelected="1" zoomScale="70" zoomScaleNormal="60" workbookViewId="0">
      <selection activeCell="T63" sqref="T63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26.715900000000001</v>
      </c>
      <c r="K5" s="22"/>
      <c r="L5" s="143" t="s">
        <v>12</v>
      </c>
      <c r="M5" s="144"/>
      <c r="N5" s="23" t="s">
        <v>13</v>
      </c>
      <c r="O5" s="24"/>
      <c r="P5" s="24"/>
      <c r="Q5" s="25"/>
    </row>
    <row r="6" spans="1:18" ht="6.6" customHeight="1" x14ac:dyDescent="0.3">
      <c r="A6" s="133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74537789.71324192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0.59140811277179506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2.5363196202531645E-2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4264040.9512687204</v>
      </c>
      <c r="E10" s="39">
        <f>C10*K10</f>
        <v>3616434.6555555556</v>
      </c>
      <c r="F10" s="40" t="s">
        <v>34</v>
      </c>
      <c r="G10" s="41">
        <v>3.1600000000000003E-2</v>
      </c>
      <c r="H10" s="42">
        <v>6.9500000000000006E-2</v>
      </c>
      <c r="I10" s="43">
        <v>7.0000000000000007E-2</v>
      </c>
      <c r="J10" s="44">
        <f>I10/$J$5</f>
        <v>2.6201625249383329E-3</v>
      </c>
      <c r="K10" s="45">
        <f>I10/$K$4</f>
        <v>2.2222222222222222E-3</v>
      </c>
      <c r="L10" s="46">
        <f>I10-H10</f>
        <v>5.0000000000000044E-4</v>
      </c>
      <c r="M10" s="46">
        <f>((I10-H10)/H10)*100</f>
        <v>0.7194244604316552</v>
      </c>
      <c r="N10" s="47">
        <v>2000</v>
      </c>
      <c r="O10" s="37">
        <v>140</v>
      </c>
      <c r="P10" s="51">
        <f>(R10)/J10</f>
        <v>0</v>
      </c>
      <c r="Q10" s="49">
        <f>I10/G10-1</f>
        <v>1.2151898734177213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3598419.6295090187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8.2347965069490443E-3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600</v>
      </c>
      <c r="O11" s="37">
        <v>132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146665651.47721019</v>
      </c>
      <c r="E12" s="39">
        <f>C12*K12</f>
        <v>124390631.05714285</v>
      </c>
      <c r="F12" s="40" t="s">
        <v>34</v>
      </c>
      <c r="G12" s="41">
        <v>97.381</v>
      </c>
      <c r="H12" s="42">
        <v>189.9</v>
      </c>
      <c r="I12" s="43">
        <v>189.9</v>
      </c>
      <c r="J12" s="44">
        <f>I12/$J$5</f>
        <v>7.108126621225562</v>
      </c>
      <c r="K12" s="45">
        <f>I12/$K$4</f>
        <v>6.0285714285714285</v>
      </c>
      <c r="L12" s="46">
        <f>I12-H12</f>
        <v>0</v>
      </c>
      <c r="M12" s="46">
        <f>((I12-H12)/H12)*100</f>
        <v>0</v>
      </c>
      <c r="N12" s="47">
        <v>0</v>
      </c>
      <c r="O12" s="37">
        <v>0</v>
      </c>
      <c r="P12" s="51">
        <f>(R12)/J12</f>
        <v>0</v>
      </c>
      <c r="Q12" s="49">
        <f>I12/G12-1</f>
        <v>0.95007239605261806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6212295.0003555929</v>
      </c>
      <c r="E13" s="39">
        <f>C13*K13</f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>I13/$J$5</f>
        <v>0.7111869710546902</v>
      </c>
      <c r="K13" s="45">
        <f>I13/$K$4</f>
        <v>0.60317460317460314</v>
      </c>
      <c r="L13" s="46">
        <f>I13-H13</f>
        <v>0</v>
      </c>
      <c r="M13" s="46">
        <f>((I13-H13)/H13)*100</f>
        <v>0</v>
      </c>
      <c r="N13" s="47">
        <v>0</v>
      </c>
      <c r="O13" s="37">
        <v>0</v>
      </c>
      <c r="P13" s="51">
        <f>(R13)/J13</f>
        <v>0</v>
      </c>
      <c r="Q13" s="49">
        <f>I13/G13-1</f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791006756.92999303</v>
      </c>
      <c r="E14" s="39">
        <f>C14*K14</f>
        <v>670871664.04653966</v>
      </c>
      <c r="F14" s="40" t="s">
        <v>47</v>
      </c>
      <c r="G14" s="41">
        <v>11.5</v>
      </c>
      <c r="H14" s="42">
        <v>40.432400000000001</v>
      </c>
      <c r="I14" s="43">
        <v>40.432400000000001</v>
      </c>
      <c r="J14" s="44">
        <f>I14/$J$5</f>
        <v>1.5134208467616663</v>
      </c>
      <c r="K14" s="45">
        <f>I14/$K$4</f>
        <v>1.283568253968254</v>
      </c>
      <c r="L14" s="46">
        <f>I14-H14</f>
        <v>0</v>
      </c>
      <c r="M14" s="46">
        <f>((I14-H14)/H14)*100</f>
        <v>0</v>
      </c>
      <c r="N14" s="47">
        <v>0</v>
      </c>
      <c r="O14" s="37">
        <v>0</v>
      </c>
      <c r="P14" s="51">
        <f>(R14)/J14</f>
        <v>0</v>
      </c>
      <c r="Q14" s="49">
        <f>I14/G14-1</f>
        <v>2.5158608695652176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23815228.010286007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0.2245853592804285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77341124.649845213</v>
      </c>
      <c r="E16" s="39">
        <f>C16*K16</f>
        <v>65594849.270882539</v>
      </c>
      <c r="F16" s="40" t="s">
        <v>34</v>
      </c>
      <c r="G16" s="41">
        <v>1.9</v>
      </c>
      <c r="H16" s="42">
        <v>5.0187999999999997</v>
      </c>
      <c r="I16" s="43">
        <v>5.7715999999999994</v>
      </c>
      <c r="J16" s="44">
        <f>I16/$J$5</f>
        <v>0.21603614327048684</v>
      </c>
      <c r="K16" s="45">
        <f>I16/$K$4</f>
        <v>0.18322539682539682</v>
      </c>
      <c r="L16" s="46">
        <f>I16-H16</f>
        <v>0.75279999999999969</v>
      </c>
      <c r="M16" s="46">
        <f>((I16-H16)/H16)*100</f>
        <v>14.999601498366138</v>
      </c>
      <c r="N16" s="47">
        <v>500</v>
      </c>
      <c r="O16" s="37">
        <v>2885.8</v>
      </c>
      <c r="P16" s="51">
        <f>(R16)/J16</f>
        <v>0</v>
      </c>
      <c r="Q16" s="49">
        <f>I16/G16-1</f>
        <v>2.0376842105263155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>C17*J17</f>
        <v>1524976633.6509905</v>
      </c>
      <c r="E17" s="39">
        <f>C17*K17</f>
        <v>1293368991.9668729</v>
      </c>
      <c r="F17" s="40" t="s">
        <v>34</v>
      </c>
      <c r="G17" s="41">
        <v>20.701700000000002</v>
      </c>
      <c r="H17" s="42">
        <v>30.1889</v>
      </c>
      <c r="I17" s="43">
        <v>30.2287</v>
      </c>
      <c r="J17" s="44">
        <f>I17/$J$5</f>
        <v>1.1314872416800481</v>
      </c>
      <c r="K17" s="45">
        <f>I17/$K$4</f>
        <v>0.95964126984126985</v>
      </c>
      <c r="L17" s="46">
        <f>I17-H17</f>
        <v>3.9799999999999613E-2</v>
      </c>
      <c r="M17" s="46">
        <f>((I17-H17)/H17)*100</f>
        <v>0.13183653594532962</v>
      </c>
      <c r="N17" s="47">
        <v>12700</v>
      </c>
      <c r="O17" s="37">
        <v>383904</v>
      </c>
      <c r="P17" s="48">
        <f>(R17)/J17</f>
        <v>4.4189627737878247E-2</v>
      </c>
      <c r="Q17" s="49">
        <f>I17/G17-1</f>
        <v>0.46020375138273661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226365198.81231499</v>
      </c>
      <c r="E19" s="39">
        <f>C19*K19</f>
        <v>191985714.76031512</v>
      </c>
      <c r="F19" s="40" t="s">
        <v>47</v>
      </c>
      <c r="G19" s="41">
        <v>12.45</v>
      </c>
      <c r="H19" s="42">
        <v>8.7089149999999993</v>
      </c>
      <c r="I19" s="43">
        <v>9.0000009999999993</v>
      </c>
      <c r="J19" s="44">
        <f>I19/$J$5</f>
        <v>0.33687807635153594</v>
      </c>
      <c r="K19" s="45">
        <f>I19/$K$4</f>
        <v>0.28571431746031745</v>
      </c>
      <c r="L19" s="46">
        <f>I19-H19</f>
        <v>0.29108599999999996</v>
      </c>
      <c r="M19" s="46">
        <f>((I19-H19)/H19)*100</f>
        <v>3.3423911015321655</v>
      </c>
      <c r="N19" s="47">
        <v>81800</v>
      </c>
      <c r="O19" s="37">
        <v>736200.1</v>
      </c>
      <c r="P19" s="51">
        <f>(R19)/J19</f>
        <v>0</v>
      </c>
      <c r="Q19" s="49">
        <f>I19/G19-1</f>
        <v>-0.27710835341365458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2853967.2517115274</v>
      </c>
      <c r="E20" s="39">
        <f>C20*K20</f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2.6201625249383322E-2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82668164.352628961</v>
      </c>
      <c r="E21" s="39">
        <f>C21*K21</f>
        <v>70112838.477092057</v>
      </c>
      <c r="F21" s="40" t="s">
        <v>47</v>
      </c>
      <c r="G21" s="41">
        <v>2.85</v>
      </c>
      <c r="H21" s="42">
        <v>3.3139999999999996</v>
      </c>
      <c r="I21" s="43">
        <v>3.2001400000000002</v>
      </c>
      <c r="J21" s="44">
        <f>I21/$J$5</f>
        <v>0.11978409860794509</v>
      </c>
      <c r="K21" s="45">
        <f>I21/$K$4</f>
        <v>0.10159174603174603</v>
      </c>
      <c r="L21" s="46">
        <f>I21-H21</f>
        <v>-0.11385999999999941</v>
      </c>
      <c r="M21" s="46">
        <f>((I21-H21)/H21)*100</f>
        <v>-3.4357272178635911</v>
      </c>
      <c r="N21" s="47">
        <v>156800</v>
      </c>
      <c r="O21" s="37">
        <v>501782</v>
      </c>
      <c r="P21" s="51">
        <f>(R21)/J21</f>
        <v>0</v>
      </c>
      <c r="Q21" s="49">
        <f>I21/G21-1</f>
        <v>0.12285614035087722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>C22*J22</f>
        <v>0</v>
      </c>
      <c r="E22" s="39">
        <f>C22*K22</f>
        <v>0</v>
      </c>
      <c r="F22" s="40" t="s">
        <v>66</v>
      </c>
      <c r="G22" s="41">
        <v>0.88420599999999994</v>
      </c>
      <c r="H22" s="42">
        <v>0.99</v>
      </c>
      <c r="I22" s="43"/>
      <c r="J22" s="44">
        <f>I22/$J$5</f>
        <v>0</v>
      </c>
      <c r="K22" s="45">
        <f>I22/$K$4</f>
        <v>0</v>
      </c>
      <c r="L22" s="46">
        <f>I22-H22</f>
        <v>-0.99</v>
      </c>
      <c r="M22" s="46">
        <f>((I22-H22)/H22)*100</f>
        <v>-100</v>
      </c>
      <c r="N22" s="53" t="s">
        <v>57</v>
      </c>
      <c r="O22" s="53" t="s">
        <v>57</v>
      </c>
      <c r="P22" s="53" t="s">
        <v>67</v>
      </c>
      <c r="Q22" s="49">
        <f>I22/G22-1</f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>C23*J23</f>
        <v>2470453.947986031</v>
      </c>
      <c r="E23" s="39">
        <f>C23*K23</f>
        <v>2095250.8136190479</v>
      </c>
      <c r="F23" s="40" t="s">
        <v>44</v>
      </c>
      <c r="G23" s="41">
        <v>0.1</v>
      </c>
      <c r="H23" s="42">
        <v>0.12300000000000001</v>
      </c>
      <c r="I23" s="43">
        <v>0.12300000000000001</v>
      </c>
      <c r="J23" s="44">
        <f>I23/$J$5</f>
        <v>4.6039998652487851E-3</v>
      </c>
      <c r="K23" s="45">
        <f>I23/$K$4</f>
        <v>3.9047619047619052E-3</v>
      </c>
      <c r="L23" s="46">
        <f>I23-H23</f>
        <v>0</v>
      </c>
      <c r="M23" s="46">
        <f>((I23-H23)/H23)*100</f>
        <v>0</v>
      </c>
      <c r="N23" s="47">
        <v>0</v>
      </c>
      <c r="O23" s="37">
        <v>0</v>
      </c>
      <c r="P23" s="51">
        <f>(R23)/J23</f>
        <v>0</v>
      </c>
      <c r="Q23" s="49">
        <f>I23/G23-1</f>
        <v>0.22999999999999998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>C24*J24</f>
        <v>72912569.959282666</v>
      </c>
      <c r="E24" s="39">
        <f>C24*K24</f>
        <v>61838886.596038088</v>
      </c>
      <c r="F24" s="40" t="s">
        <v>34</v>
      </c>
      <c r="G24" s="41">
        <v>8.1687659999999997</v>
      </c>
      <c r="H24" s="42">
        <v>11</v>
      </c>
      <c r="I24" s="43">
        <v>10.091799999999999</v>
      </c>
      <c r="J24" s="44">
        <f>I24/$J$5</f>
        <v>0.37774508813103802</v>
      </c>
      <c r="K24" s="45">
        <f>I24/$K$4</f>
        <v>0.32037460317460315</v>
      </c>
      <c r="L24" s="46">
        <f>I24-H24</f>
        <v>-0.90820000000000078</v>
      </c>
      <c r="M24" s="46">
        <f>((I24-H24)/H24)*100</f>
        <v>-8.256363636363643</v>
      </c>
      <c r="N24" s="47">
        <v>22900</v>
      </c>
      <c r="O24" s="37">
        <v>231103</v>
      </c>
      <c r="P24" s="51">
        <f>(R24)/J24</f>
        <v>0</v>
      </c>
      <c r="Q24" s="49">
        <f>I24/G24-1</f>
        <v>0.23541303545725256</v>
      </c>
      <c r="R24" s="50"/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>C25*J25</f>
        <v>110543609.45167485</v>
      </c>
      <c r="E25" s="39">
        <f>C25*K25</f>
        <v>93754667.166666657</v>
      </c>
      <c r="F25" s="40" t="s">
        <v>66</v>
      </c>
      <c r="G25" s="41">
        <v>1.6675</v>
      </c>
      <c r="H25" s="42">
        <v>1.75</v>
      </c>
      <c r="I25" s="43">
        <v>1.75</v>
      </c>
      <c r="J25" s="44">
        <f>I25/$J$5</f>
        <v>6.5504063123458314E-2</v>
      </c>
      <c r="K25" s="45">
        <f>I25/$K$4</f>
        <v>5.5555555555555552E-2</v>
      </c>
      <c r="L25" s="46">
        <f>I25-H25</f>
        <v>0</v>
      </c>
      <c r="M25" s="46">
        <f>((I25-H25)/H25)*100</f>
        <v>0</v>
      </c>
      <c r="N25" s="47">
        <v>0</v>
      </c>
      <c r="O25" s="37">
        <v>0</v>
      </c>
      <c r="P25" s="51">
        <f>(R25)/J25</f>
        <v>0</v>
      </c>
      <c r="Q25" s="49">
        <f>I25/G25-1</f>
        <v>4.9475262368815498E-2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>C26*J26</f>
        <v>26062523.412798595</v>
      </c>
      <c r="E26" s="39">
        <f>C26*K26</f>
        <v>22104246.642666221</v>
      </c>
      <c r="F26" s="40" t="s">
        <v>44</v>
      </c>
      <c r="G26" s="41">
        <v>1.7994999999999999</v>
      </c>
      <c r="H26" s="42">
        <v>2.908598</v>
      </c>
      <c r="I26" s="43">
        <v>2.908598</v>
      </c>
      <c r="J26" s="44">
        <f>I26/$J$5</f>
        <v>0.10887142113872263</v>
      </c>
      <c r="K26" s="45">
        <f>I26/$K$4</f>
        <v>9.2336444444444443E-2</v>
      </c>
      <c r="L26" s="46">
        <f>I26-H26</f>
        <v>0</v>
      </c>
      <c r="M26" s="46">
        <f>((I26-H26)/H26)*100</f>
        <v>0</v>
      </c>
      <c r="N26" s="47">
        <v>0</v>
      </c>
      <c r="O26" s="37">
        <v>0</v>
      </c>
      <c r="P26" s="51">
        <f>(R26)/J26</f>
        <v>0</v>
      </c>
      <c r="Q26" s="49">
        <f>I26/G26-1</f>
        <v>0.61633676021116979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>C27*J27</f>
        <v>23969877.582263742</v>
      </c>
      <c r="E27" s="39">
        <f>C27*K27</f>
        <v>20329423.888888888</v>
      </c>
      <c r="F27" s="40" t="s">
        <v>34</v>
      </c>
      <c r="G27" s="41">
        <v>3.1361369999999997</v>
      </c>
      <c r="H27" s="42">
        <v>2.5</v>
      </c>
      <c r="I27" s="43">
        <v>2.5</v>
      </c>
      <c r="J27" s="44">
        <f>I27/$J$5</f>
        <v>9.357723303351187E-2</v>
      </c>
      <c r="K27" s="45">
        <f>I27/$K$4</f>
        <v>7.9365079365079361E-2</v>
      </c>
      <c r="L27" s="46">
        <f>I27-H27</f>
        <v>0</v>
      </c>
      <c r="M27" s="46">
        <f>((I27-H27)/H27)*100</f>
        <v>0</v>
      </c>
      <c r="N27" s="47">
        <v>43600</v>
      </c>
      <c r="O27" s="37">
        <v>109000</v>
      </c>
      <c r="P27" s="51">
        <f>(R27)/J27</f>
        <v>0</v>
      </c>
      <c r="Q27" s="49">
        <f>I27/G27-1</f>
        <v>-0.20284094731830904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>C28*J28</f>
        <v>21213437.531582315</v>
      </c>
      <c r="E28" s="39">
        <f>C28*K28</f>
        <v>17991621.452380951</v>
      </c>
      <c r="F28" s="40" t="s">
        <v>44</v>
      </c>
      <c r="G28" s="41">
        <v>0.8</v>
      </c>
      <c r="H28" s="42">
        <v>0.75</v>
      </c>
      <c r="I28" s="43">
        <v>0.75</v>
      </c>
      <c r="J28" s="44">
        <f>I28/$J$5</f>
        <v>2.8073169910053562E-2</v>
      </c>
      <c r="K28" s="45">
        <f>I28/$K$4</f>
        <v>2.3809523809523808E-2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51">
        <f>(R28)/J28</f>
        <v>0</v>
      </c>
      <c r="Q28" s="49">
        <f>I28/G28-1</f>
        <v>-6.25E-2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>C29*J29</f>
        <v>94143407.513877496</v>
      </c>
      <c r="E29" s="39">
        <f>C29*K29</f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>I29/$J$5</f>
        <v>0.20961300199506658</v>
      </c>
      <c r="K29" s="45">
        <f>I29/$K$4</f>
        <v>0.17777777777777776</v>
      </c>
      <c r="L29" s="46">
        <f>I29-H29</f>
        <v>0</v>
      </c>
      <c r="M29" s="46">
        <f>((I29-H29)/H29)*100</f>
        <v>0</v>
      </c>
      <c r="N29" s="47">
        <v>0</v>
      </c>
      <c r="O29" s="37">
        <v>0</v>
      </c>
      <c r="P29" s="51">
        <f>(R29)/J29</f>
        <v>0</v>
      </c>
      <c r="Q29" s="49">
        <f>I29/G29-1</f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>I31/$J$5</f>
        <v>0</v>
      </c>
      <c r="K31" s="56">
        <f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>C32*J32</f>
        <v>11641645.883367207</v>
      </c>
      <c r="E32" s="39">
        <f>C32*K32</f>
        <v>9873557.0557285696</v>
      </c>
      <c r="F32" s="40" t="s">
        <v>39</v>
      </c>
      <c r="G32" s="41">
        <v>1.4</v>
      </c>
      <c r="H32" s="42">
        <v>1.1968349999999999</v>
      </c>
      <c r="I32" s="43">
        <v>1.1968349999999999</v>
      </c>
      <c r="J32" s="44">
        <f>I32/$J$5</f>
        <v>4.4798603079065268E-2</v>
      </c>
      <c r="K32" s="45">
        <f>I32/$K$4</f>
        <v>3.7994761904761899E-2</v>
      </c>
      <c r="L32" s="46">
        <f>I32-H32</f>
        <v>0</v>
      </c>
      <c r="M32" s="46">
        <f>((I32-H32)/H32)*100</f>
        <v>0</v>
      </c>
      <c r="N32" s="47">
        <v>0</v>
      </c>
      <c r="O32" s="37">
        <v>0</v>
      </c>
      <c r="P32" s="51">
        <f>(R32)/J32</f>
        <v>0</v>
      </c>
      <c r="Q32" s="49">
        <f>I32/G32-1</f>
        <v>-0.14511785714285719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>C33*J33</f>
        <v>3882521.2513896213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3.1816259231394035E-2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>C34*J34</f>
        <v>116760783.98070063</v>
      </c>
      <c r="E34" s="39">
        <f>C34*K34</f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>I34/$J$5</f>
        <v>4.6788616516755935E-2</v>
      </c>
      <c r="K34" s="45">
        <f>I34/$K$4</f>
        <v>3.968253968253968E-2</v>
      </c>
      <c r="L34" s="46">
        <f>I34-H34</f>
        <v>0</v>
      </c>
      <c r="M34" s="46">
        <f>((I34-H34)/H34)*100</f>
        <v>0</v>
      </c>
      <c r="N34" s="47">
        <v>0</v>
      </c>
      <c r="O34" s="37">
        <v>0</v>
      </c>
      <c r="P34" s="51">
        <f>(R34)/J34</f>
        <v>0</v>
      </c>
      <c r="Q34" s="49">
        <f>I34/G34-1</f>
        <v>-0.13194444444444442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>C35*J35</f>
        <v>43741841.062064163</v>
      </c>
      <c r="E35" s="39">
        <f>C35*K35</f>
        <v>37098496.877142861</v>
      </c>
      <c r="F35" s="40" t="s">
        <v>34</v>
      </c>
      <c r="G35" s="41">
        <v>3.6056249999999999</v>
      </c>
      <c r="H35" s="42">
        <v>4.5999999999999996</v>
      </c>
      <c r="I35" s="43">
        <v>4.6100000000000003</v>
      </c>
      <c r="J35" s="44">
        <f>I35/$J$5</f>
        <v>0.1725564177137959</v>
      </c>
      <c r="K35" s="45">
        <f>I35/$K$4</f>
        <v>0.14634920634920637</v>
      </c>
      <c r="L35" s="46">
        <f>I35-H35</f>
        <v>1.0000000000000675E-2</v>
      </c>
      <c r="M35" s="46">
        <f>((I35-H35)/H35)*100</f>
        <v>0.21739130434784079</v>
      </c>
      <c r="N35" s="47">
        <v>14200</v>
      </c>
      <c r="O35" s="37">
        <v>65462</v>
      </c>
      <c r="P35" s="51">
        <f>(R35)/J35</f>
        <v>0</v>
      </c>
      <c r="Q35" s="49">
        <f>I35/G35-1</f>
        <v>0.27855780897902593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>C36*J36</f>
        <v>7942041.3506563501</v>
      </c>
      <c r="E36" s="39">
        <f>C36*K36</f>
        <v>6735834.3657142855</v>
      </c>
      <c r="F36" s="40" t="s">
        <v>34</v>
      </c>
      <c r="G36" s="41">
        <v>2.5099999999999997E-2</v>
      </c>
      <c r="H36" s="42">
        <v>4.2000000000000003E-2</v>
      </c>
      <c r="I36" s="43">
        <v>4.4999999999999998E-2</v>
      </c>
      <c r="J36" s="44">
        <f>I36/$J$5</f>
        <v>1.6843901946032138E-3</v>
      </c>
      <c r="K36" s="45">
        <f>I36/$K$4</f>
        <v>1.4285714285714286E-3</v>
      </c>
      <c r="L36" s="46">
        <f>I36-H36</f>
        <v>2.9999999999999957E-3</v>
      </c>
      <c r="M36" s="46">
        <f>((I36-H36)/H36)*100</f>
        <v>7.1428571428571326</v>
      </c>
      <c r="N36" s="47">
        <v>500</v>
      </c>
      <c r="O36" s="37">
        <v>22.5</v>
      </c>
      <c r="P36" s="51">
        <f>(R36)/J36</f>
        <v>0</v>
      </c>
      <c r="Q36" s="49">
        <f>I36/G36-1</f>
        <v>0.79282868525896433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>C37*J37</f>
        <v>70723217.073761567</v>
      </c>
      <c r="E37" s="39">
        <f>C37*K37</f>
        <v>59982044.286377996</v>
      </c>
      <c r="F37" s="40" t="s">
        <v>93</v>
      </c>
      <c r="G37" s="41">
        <v>0.61</v>
      </c>
      <c r="H37" s="42">
        <v>3.572222</v>
      </c>
      <c r="I37" s="43">
        <v>3.5982989999999999</v>
      </c>
      <c r="J37" s="44">
        <f>I37/$J$5</f>
        <v>0.13468754561890109</v>
      </c>
      <c r="K37" s="45">
        <f>I37/$K$4</f>
        <v>0.11423171428571428</v>
      </c>
      <c r="L37" s="46">
        <f>I37-H37</f>
        <v>2.6076999999999906E-2</v>
      </c>
      <c r="M37" s="46">
        <f>((I37-H37)/H37)*100</f>
        <v>0.72999382457193052</v>
      </c>
      <c r="N37" s="47">
        <v>9700</v>
      </c>
      <c r="O37" s="37">
        <v>34903.5</v>
      </c>
      <c r="P37" s="51">
        <f>(R37)/J37</f>
        <v>0</v>
      </c>
      <c r="Q37" s="49">
        <f>I37/G37-1</f>
        <v>4.8988508196721314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>C38*J38</f>
        <v>31681080.290473428</v>
      </c>
      <c r="E38" s="39">
        <f>C38*K38</f>
        <v>26869478.505786002</v>
      </c>
      <c r="F38" s="40" t="s">
        <v>56</v>
      </c>
      <c r="G38" s="41">
        <v>0.11650199999999999</v>
      </c>
      <c r="H38" s="42">
        <v>0.20247099999999998</v>
      </c>
      <c r="I38" s="43">
        <v>0.20177100000000001</v>
      </c>
      <c r="J38" s="44">
        <f>I38/$J$5</f>
        <v>7.5524687545618901E-3</v>
      </c>
      <c r="K38" s="45">
        <f>I38/$K$4</f>
        <v>6.4054285714285715E-3</v>
      </c>
      <c r="L38" s="46">
        <f>I38-H38</f>
        <v>-6.9999999999997842E-4</v>
      </c>
      <c r="M38" s="46">
        <f>((I38-H38)/H38)*100</f>
        <v>-0.34572852408492005</v>
      </c>
      <c r="N38" s="47">
        <v>117500</v>
      </c>
      <c r="O38" s="37">
        <v>23708.05</v>
      </c>
      <c r="P38" s="51">
        <v>0</v>
      </c>
      <c r="Q38" s="49">
        <f>I38/G38-1</f>
        <v>0.73191018179945422</v>
      </c>
      <c r="R38" s="50"/>
    </row>
    <row r="39" spans="1:18" hidden="1" x14ac:dyDescent="0.25">
      <c r="A39" s="35" t="s">
        <v>102</v>
      </c>
      <c r="B39" s="36" t="s">
        <v>103</v>
      </c>
      <c r="C39" s="37">
        <v>362927587</v>
      </c>
      <c r="D39" s="38">
        <f>C39*J39</f>
        <v>0</v>
      </c>
      <c r="E39" s="39">
        <f>C39*K39</f>
        <v>0</v>
      </c>
      <c r="F39" s="40" t="s">
        <v>34</v>
      </c>
      <c r="G39" s="41">
        <v>2.6005000000000003</v>
      </c>
      <c r="H39" s="42">
        <v>6.9635580000000008</v>
      </c>
      <c r="I39" s="43"/>
      <c r="J39" s="44">
        <f>I39/$J$5</f>
        <v>0</v>
      </c>
      <c r="K39" s="45">
        <f>I39/$K$4</f>
        <v>0</v>
      </c>
      <c r="L39" s="46">
        <f>I39-H39</f>
        <v>-6.9635580000000008</v>
      </c>
      <c r="M39" s="46">
        <f>((I39-H39)/H39)*100</f>
        <v>-100</v>
      </c>
      <c r="N39" s="53" t="s">
        <v>57</v>
      </c>
      <c r="O39" s="53" t="s">
        <v>57</v>
      </c>
      <c r="P39" s="53" t="s">
        <v>86</v>
      </c>
      <c r="Q39" s="49">
        <f>I39/G39-1</f>
        <v>-1</v>
      </c>
      <c r="R39" s="50"/>
    </row>
    <row r="40" spans="1:18" x14ac:dyDescent="0.25">
      <c r="A40" s="35" t="s">
        <v>104</v>
      </c>
      <c r="B40" s="36" t="s">
        <v>105</v>
      </c>
      <c r="C40" s="37">
        <v>4315726499</v>
      </c>
      <c r="D40" s="38">
        <f>C40*J40</f>
        <v>18577918.404058855</v>
      </c>
      <c r="E40" s="39">
        <f>C40*K40</f>
        <v>15756374.929872891</v>
      </c>
      <c r="F40" s="40" t="s">
        <v>39</v>
      </c>
      <c r="G40" s="41">
        <v>0.1</v>
      </c>
      <c r="H40" s="42">
        <v>0.117368</v>
      </c>
      <c r="I40" s="43">
        <v>0.11500400000000001</v>
      </c>
      <c r="J40" s="44">
        <f>I40/$J$5</f>
        <v>4.3047024431143999E-3</v>
      </c>
      <c r="K40" s="45">
        <f>I40/$K$4</f>
        <v>3.6509206349206354E-3</v>
      </c>
      <c r="L40" s="46">
        <f>I40-H40</f>
        <v>-2.3639999999999911E-3</v>
      </c>
      <c r="M40" s="46">
        <f>((I40-H40)/H40)*100</f>
        <v>-2.0141776293367792</v>
      </c>
      <c r="N40" s="47">
        <v>250100</v>
      </c>
      <c r="O40" s="37">
        <v>28762.5</v>
      </c>
      <c r="P40" s="51">
        <f>(R40)/J40</f>
        <v>0</v>
      </c>
      <c r="Q40" s="49">
        <f>I40/G40-1</f>
        <v>0.15003999999999995</v>
      </c>
      <c r="R40" s="50"/>
    </row>
    <row r="41" spans="1:18" x14ac:dyDescent="0.25">
      <c r="A41" s="35" t="s">
        <v>106</v>
      </c>
      <c r="B41" s="36" t="s">
        <v>107</v>
      </c>
      <c r="C41" s="37">
        <v>106474237</v>
      </c>
      <c r="D41" s="38">
        <f>C41*J41</f>
        <v>7851288.8163977247</v>
      </c>
      <c r="E41" s="39">
        <f>C41*K41</f>
        <v>6658864.9806349203</v>
      </c>
      <c r="F41" s="40" t="s">
        <v>44</v>
      </c>
      <c r="G41" s="41">
        <v>1.7452379999999998</v>
      </c>
      <c r="H41" s="42">
        <v>1.72</v>
      </c>
      <c r="I41" s="43">
        <v>1.97</v>
      </c>
      <c r="J41" s="44">
        <f>I41/$J$5</f>
        <v>7.3738859630407355E-2</v>
      </c>
      <c r="K41" s="45">
        <f>I41/$K$4</f>
        <v>6.2539682539682534E-2</v>
      </c>
      <c r="L41" s="46">
        <f>I41-H41</f>
        <v>0.25</v>
      </c>
      <c r="M41" s="46">
        <f>((I41-H41)/H41)*100</f>
        <v>14.534883720930234</v>
      </c>
      <c r="N41" s="47">
        <v>100</v>
      </c>
      <c r="O41" s="37">
        <v>197</v>
      </c>
      <c r="P41" s="51">
        <f>(R41)/J41</f>
        <v>0</v>
      </c>
      <c r="Q41" s="49">
        <f>I41/G41-1</f>
        <v>0.12878587333074343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1778001428</v>
      </c>
      <c r="D42" s="38">
        <f>C42*J42</f>
        <v>3993130.8950849487</v>
      </c>
      <c r="E42" s="39">
        <f>C42*K42</f>
        <v>3386669.3866666667</v>
      </c>
      <c r="F42" s="40" t="s">
        <v>39</v>
      </c>
      <c r="G42" s="41">
        <v>0.03</v>
      </c>
      <c r="H42" s="42">
        <v>0.06</v>
      </c>
      <c r="I42" s="43">
        <v>0.06</v>
      </c>
      <c r="J42" s="44">
        <f>I42/$J$5</f>
        <v>2.2458535928042847E-3</v>
      </c>
      <c r="K42" s="45">
        <f>I42/$K$4</f>
        <v>1.9047619047619048E-3</v>
      </c>
      <c r="L42" s="46">
        <f>I42-H42</f>
        <v>0</v>
      </c>
      <c r="M42" s="46">
        <f>((I42-H42)/H42)*100</f>
        <v>0</v>
      </c>
      <c r="N42" s="47">
        <v>2300</v>
      </c>
      <c r="O42" s="37">
        <v>138</v>
      </c>
      <c r="P42" s="51">
        <f>(R42)/J42</f>
        <v>0</v>
      </c>
      <c r="Q42" s="49">
        <f>I42/G42-1</f>
        <v>1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175190642</v>
      </c>
      <c r="D43" s="38">
        <f>C43*J43</f>
        <v>36066482.169794016</v>
      </c>
      <c r="E43" s="39">
        <f>C43*K43</f>
        <v>30588842.253968254</v>
      </c>
      <c r="F43" s="40" t="s">
        <v>47</v>
      </c>
      <c r="G43" s="41">
        <v>4.5</v>
      </c>
      <c r="H43" s="42">
        <v>5.5</v>
      </c>
      <c r="I43" s="43">
        <v>5.5</v>
      </c>
      <c r="J43" s="44">
        <f>I43/$J$5</f>
        <v>0.20586991267372612</v>
      </c>
      <c r="K43" s="45">
        <f>I43/$K$4</f>
        <v>0.17460317460317459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0.22222222222222232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463337661</v>
      </c>
      <c r="D44" s="38">
        <f>C44*J44</f>
        <v>312.17656519151518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3">
        <v>1.8E-5</v>
      </c>
      <c r="J44" s="44">
        <f>I44/$J$5</f>
        <v>6.7375607784128554E-7</v>
      </c>
      <c r="K44" s="45">
        <f>I44/$K$4</f>
        <v>5.7142857142857149E-7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0</v>
      </c>
      <c r="R44" s="50">
        <v>0</v>
      </c>
    </row>
    <row r="45" spans="1:18" x14ac:dyDescent="0.25">
      <c r="A45" s="35" t="s">
        <v>114</v>
      </c>
      <c r="B45" s="36" t="s">
        <v>115</v>
      </c>
      <c r="C45" s="37">
        <v>576000000</v>
      </c>
      <c r="D45" s="38">
        <f>C45*J45</f>
        <v>1513525.6532626639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3">
        <v>7.0199999999999999E-2</v>
      </c>
      <c r="J45" s="44">
        <f>I45/$J$5</f>
        <v>2.6276487035810136E-3</v>
      </c>
      <c r="K45" s="45">
        <f>I45/$K$4</f>
        <v>2.2285714285714287E-3</v>
      </c>
      <c r="L45" s="46">
        <f>I45-H45</f>
        <v>0</v>
      </c>
      <c r="M45" s="46">
        <f>((I45-H45)/H45)*100</f>
        <v>0</v>
      </c>
      <c r="N45" s="47">
        <v>0</v>
      </c>
      <c r="O45" s="37">
        <v>0</v>
      </c>
      <c r="P45" s="51">
        <f>(R45)/J45</f>
        <v>0</v>
      </c>
      <c r="Q45" s="49">
        <f>I45/G45-1</f>
        <v>2.8571428571426694E-3</v>
      </c>
      <c r="R45" s="50"/>
    </row>
    <row r="46" spans="1:18" x14ac:dyDescent="0.25">
      <c r="A46" s="35" t="s">
        <v>116</v>
      </c>
      <c r="B46" s="36" t="s">
        <v>117</v>
      </c>
      <c r="C46" s="37">
        <v>1818218786</v>
      </c>
      <c r="D46" s="38">
        <f>C46*J46</f>
        <v>49001438.316508144</v>
      </c>
      <c r="E46" s="39">
        <f>C46*K46</f>
        <v>41559286.537142858</v>
      </c>
      <c r="F46" s="40" t="s">
        <v>47</v>
      </c>
      <c r="G46" s="41">
        <v>0.9998999999999999</v>
      </c>
      <c r="H46" s="42">
        <v>0.7</v>
      </c>
      <c r="I46" s="43">
        <v>0.72</v>
      </c>
      <c r="J46" s="44">
        <f>I46/$J$5</f>
        <v>2.695024311365142E-2</v>
      </c>
      <c r="K46" s="45">
        <f>I46/$K$4</f>
        <v>2.2857142857142857E-2</v>
      </c>
      <c r="L46" s="46">
        <f>I46-H46</f>
        <v>2.0000000000000018E-2</v>
      </c>
      <c r="M46" s="46">
        <f>((I46-H46)/H46)*100</f>
        <v>2.8571428571428599</v>
      </c>
      <c r="N46" s="47">
        <v>4000</v>
      </c>
      <c r="O46" s="37">
        <v>2880</v>
      </c>
      <c r="P46" s="51">
        <f>(R46)/J46</f>
        <v>0</v>
      </c>
      <c r="Q46" s="49">
        <f>I46/G46-1</f>
        <v>-0.27992799279927993</v>
      </c>
      <c r="R46" s="50">
        <v>0</v>
      </c>
    </row>
    <row r="47" spans="1:18" x14ac:dyDescent="0.25">
      <c r="A47" s="35" t="s">
        <v>118</v>
      </c>
      <c r="B47" s="36" t="s">
        <v>119</v>
      </c>
      <c r="C47" s="37">
        <v>102712520</v>
      </c>
      <c r="D47" s="38">
        <f>C47*J47</f>
        <v>5805378.2653775467</v>
      </c>
      <c r="E47" s="39">
        <f>C47*K47</f>
        <v>4923679.5301587302</v>
      </c>
      <c r="F47" s="40" t="s">
        <v>47</v>
      </c>
      <c r="G47" s="41">
        <v>1.4503460000000001</v>
      </c>
      <c r="H47" s="42">
        <v>1.35</v>
      </c>
      <c r="I47" s="43">
        <v>1.51</v>
      </c>
      <c r="J47" s="44">
        <f>I47/$J$5</f>
        <v>5.6520648752241172E-2</v>
      </c>
      <c r="K47" s="45">
        <f>I47/$K$4</f>
        <v>4.7936507936507937E-2</v>
      </c>
      <c r="L47" s="46">
        <f>I47-H47</f>
        <v>0.15999999999999992</v>
      </c>
      <c r="M47" s="46">
        <f>((I47-H47)/H47)*100</f>
        <v>11.851851851851846</v>
      </c>
      <c r="N47" s="47">
        <v>100</v>
      </c>
      <c r="O47" s="37">
        <v>151</v>
      </c>
      <c r="P47" s="51">
        <v>0</v>
      </c>
      <c r="Q47" s="49">
        <f>I47/G47-1</f>
        <v>4.1130874977419074E-2</v>
      </c>
      <c r="R47" s="50"/>
    </row>
    <row r="48" spans="1:18" ht="13.8" thickBot="1" x14ac:dyDescent="0.4">
      <c r="A48" s="57"/>
      <c r="B48" s="58" t="s">
        <v>83</v>
      </c>
      <c r="C48" s="59"/>
      <c r="D48" s="60"/>
      <c r="E48" s="60"/>
      <c r="F48" s="61"/>
      <c r="G48" s="61"/>
      <c r="H48" s="46"/>
      <c r="I48" s="46"/>
      <c r="J48" s="46"/>
      <c r="K48" s="46"/>
      <c r="L48" s="46"/>
      <c r="M48" s="46"/>
      <c r="N48" s="61">
        <f>SUM(N9:N47)</f>
        <v>719400</v>
      </c>
      <c r="O48" s="61">
        <f>SUM(O9:O47)</f>
        <v>2121371.4500000002</v>
      </c>
      <c r="P48" s="62"/>
      <c r="Q48" s="63"/>
    </row>
    <row r="49" spans="1:20" ht="13.2" x14ac:dyDescent="0.35">
      <c r="A49" s="64"/>
      <c r="B49" s="65" t="s">
        <v>83</v>
      </c>
      <c r="C49" s="66"/>
      <c r="D49" s="66"/>
      <c r="E49" s="66"/>
      <c r="F49" s="67"/>
      <c r="G49" s="67"/>
      <c r="H49" s="68"/>
      <c r="I49" s="68"/>
      <c r="J49" s="68"/>
      <c r="K49" s="68"/>
      <c r="L49" s="68"/>
      <c r="M49" s="68"/>
      <c r="N49" s="67"/>
      <c r="O49" s="67"/>
      <c r="P49" s="67"/>
      <c r="Q49" s="69"/>
    </row>
    <row r="50" spans="1:20" ht="12.6" x14ac:dyDescent="0.3">
      <c r="A50" s="129" t="s">
        <v>120</v>
      </c>
      <c r="B50" s="130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2"/>
    </row>
    <row r="51" spans="1:20" ht="11.4" customHeight="1" x14ac:dyDescent="0.25">
      <c r="A51" s="35" t="s">
        <v>121</v>
      </c>
      <c r="B51" s="36" t="s">
        <v>122</v>
      </c>
      <c r="C51" s="40">
        <v>554920308</v>
      </c>
      <c r="D51" s="38">
        <f>C51*J51</f>
        <v>83238046.200000003</v>
      </c>
      <c r="E51" s="39">
        <v>0</v>
      </c>
      <c r="F51" s="40" t="s">
        <v>93</v>
      </c>
      <c r="G51" s="70">
        <v>0.1</v>
      </c>
      <c r="H51" s="42">
        <v>0.14080000000000001</v>
      </c>
      <c r="I51" s="42">
        <v>0.15</v>
      </c>
      <c r="J51" s="44">
        <f>I51</f>
        <v>0.15</v>
      </c>
      <c r="K51" s="39">
        <v>0</v>
      </c>
      <c r="L51" s="46">
        <f>I51-H51</f>
        <v>9.199999999999986E-3</v>
      </c>
      <c r="M51" s="46">
        <f>((I51-H51)/H51)*100</f>
        <v>6.5340909090908994</v>
      </c>
      <c r="N51" s="47">
        <v>320</v>
      </c>
      <c r="O51" s="37">
        <v>48</v>
      </c>
      <c r="P51" s="71">
        <f>(R51)/J51</f>
        <v>0</v>
      </c>
      <c r="Q51" s="49">
        <f>J51/G51-1</f>
        <v>0.49999999999999978</v>
      </c>
      <c r="T51" s="52"/>
    </row>
    <row r="52" spans="1:20" x14ac:dyDescent="0.25">
      <c r="A52" s="35" t="s">
        <v>123</v>
      </c>
      <c r="B52" s="36" t="s">
        <v>124</v>
      </c>
      <c r="C52" s="40">
        <v>1057685</v>
      </c>
      <c r="D52" s="38">
        <f>C52*J52</f>
        <v>51945977.636500001</v>
      </c>
      <c r="E52" s="39">
        <v>0</v>
      </c>
      <c r="F52" s="40" t="s">
        <v>39</v>
      </c>
      <c r="G52" s="70">
        <v>39.9</v>
      </c>
      <c r="H52" s="42">
        <v>53.320900000000002</v>
      </c>
      <c r="I52" s="42">
        <v>49.112900000000003</v>
      </c>
      <c r="J52" s="44">
        <f>I52</f>
        <v>49.112900000000003</v>
      </c>
      <c r="K52" s="39">
        <v>0</v>
      </c>
      <c r="L52" s="46">
        <f>I52-H52</f>
        <v>-4.2079999999999984</v>
      </c>
      <c r="M52" s="46">
        <f>((I52-H52)/H52)*100</f>
        <v>-7.8918397851499096</v>
      </c>
      <c r="N52" s="47">
        <v>35</v>
      </c>
      <c r="O52" s="37">
        <v>1718.95</v>
      </c>
      <c r="P52" s="72">
        <f>(R52)/J52</f>
        <v>1.1402299599494226E-2</v>
      </c>
      <c r="Q52" s="49">
        <f>J52/G52-1</f>
        <v>0.23089974937343372</v>
      </c>
      <c r="R52" s="52">
        <v>0.56000000000000005</v>
      </c>
      <c r="T52" s="52"/>
    </row>
    <row r="53" spans="1:20" x14ac:dyDescent="0.25">
      <c r="A53" s="35" t="s">
        <v>125</v>
      </c>
      <c r="B53" s="36" t="s">
        <v>126</v>
      </c>
      <c r="C53" s="40">
        <v>2992163203</v>
      </c>
      <c r="D53" s="38">
        <f>C53*J53</f>
        <v>716922303.43879998</v>
      </c>
      <c r="E53" s="39"/>
      <c r="F53" s="40" t="s">
        <v>56</v>
      </c>
      <c r="G53" s="70">
        <v>0.33</v>
      </c>
      <c r="H53" s="42">
        <v>0.23780000000000001</v>
      </c>
      <c r="I53" s="42">
        <v>0.23960000000000001</v>
      </c>
      <c r="J53" s="44">
        <f>I53</f>
        <v>0.23960000000000001</v>
      </c>
      <c r="K53" s="39">
        <v>0</v>
      </c>
      <c r="L53" s="46">
        <f>I53-H53</f>
        <v>1.799999999999996E-3</v>
      </c>
      <c r="M53" s="46">
        <f>((I53-H53)/H53)*100</f>
        <v>0.75693860386879563</v>
      </c>
      <c r="N53" s="47">
        <v>42272</v>
      </c>
      <c r="O53" s="37">
        <v>10129.84</v>
      </c>
      <c r="P53" s="71">
        <v>0</v>
      </c>
      <c r="Q53" s="49">
        <f>J53/G53-1</f>
        <v>-0.27393939393939393</v>
      </c>
      <c r="R53" s="52"/>
      <c r="T53" s="52"/>
    </row>
    <row r="54" spans="1:20" x14ac:dyDescent="0.25">
      <c r="A54" s="35" t="s">
        <v>127</v>
      </c>
      <c r="B54" s="36" t="s">
        <v>128</v>
      </c>
      <c r="C54" s="40">
        <v>609740943</v>
      </c>
      <c r="D54" s="38">
        <f>C54*J54</f>
        <v>20731192.062000003</v>
      </c>
      <c r="E54" s="39">
        <v>0</v>
      </c>
      <c r="F54" s="40" t="s">
        <v>34</v>
      </c>
      <c r="G54" s="70">
        <v>2.3E-2</v>
      </c>
      <c r="H54" s="42">
        <v>3.4000000000000002E-2</v>
      </c>
      <c r="I54" s="42">
        <v>3.4000000000000002E-2</v>
      </c>
      <c r="J54" s="44">
        <f>I54</f>
        <v>3.4000000000000002E-2</v>
      </c>
      <c r="K54" s="39">
        <v>0</v>
      </c>
      <c r="L54" s="46">
        <f>I54-H54</f>
        <v>0</v>
      </c>
      <c r="M54" s="46">
        <f>((I54-H54)/H54)*100</f>
        <v>0</v>
      </c>
      <c r="N54" s="47">
        <v>222451</v>
      </c>
      <c r="O54" s="37">
        <v>7556.47</v>
      </c>
      <c r="P54" s="71">
        <f>(R54)/J54</f>
        <v>0</v>
      </c>
      <c r="Q54" s="49">
        <f>J54/G54-1</f>
        <v>0.47826086956521752</v>
      </c>
      <c r="T54" s="52"/>
    </row>
    <row r="55" spans="1:20" x14ac:dyDescent="0.25">
      <c r="A55" s="35" t="s">
        <v>129</v>
      </c>
      <c r="B55" s="36" t="s">
        <v>130</v>
      </c>
      <c r="C55" s="40">
        <v>2162695929</v>
      </c>
      <c r="D55" s="38">
        <f>C55*J55</f>
        <v>293261567.97240001</v>
      </c>
      <c r="E55" s="39">
        <v>0</v>
      </c>
      <c r="F55" s="40" t="s">
        <v>47</v>
      </c>
      <c r="G55" s="70">
        <v>9.0200000000000002E-2</v>
      </c>
      <c r="H55" s="42">
        <v>0.14119999999999999</v>
      </c>
      <c r="I55" s="42">
        <v>0.1356</v>
      </c>
      <c r="J55" s="44">
        <f>I55</f>
        <v>0.1356</v>
      </c>
      <c r="K55" s="39">
        <v>0</v>
      </c>
      <c r="L55" s="46">
        <f>I55-H55</f>
        <v>-5.5999999999999939E-3</v>
      </c>
      <c r="M55" s="73">
        <f>((I55-H55)/H55)*100</f>
        <v>-3.9660056657223755</v>
      </c>
      <c r="N55" s="47">
        <v>1004849</v>
      </c>
      <c r="O55" s="37">
        <v>136223.74</v>
      </c>
      <c r="P55" s="71">
        <f>(R55)/J55</f>
        <v>0</v>
      </c>
      <c r="Q55" s="49">
        <f>J55/G55-1</f>
        <v>0.50332594235033246</v>
      </c>
      <c r="R55" s="52"/>
      <c r="T55" s="52"/>
    </row>
    <row r="56" spans="1:20" x14ac:dyDescent="0.25">
      <c r="A56" s="35" t="s">
        <v>131</v>
      </c>
      <c r="B56" s="36" t="s">
        <v>132</v>
      </c>
      <c r="C56" s="40">
        <v>575926450</v>
      </c>
      <c r="D56" s="38">
        <f>C56*J56</f>
        <v>842407618.41499996</v>
      </c>
      <c r="E56" s="39">
        <v>0</v>
      </c>
      <c r="F56" s="40" t="s">
        <v>34</v>
      </c>
      <c r="G56" s="70">
        <v>0.95750000000000002</v>
      </c>
      <c r="H56" s="42">
        <v>1.458</v>
      </c>
      <c r="I56" s="42">
        <v>1.4626999999999999</v>
      </c>
      <c r="J56" s="44">
        <f>I56</f>
        <v>1.4626999999999999</v>
      </c>
      <c r="K56" s="39">
        <v>0</v>
      </c>
      <c r="L56" s="46">
        <f>I56-H56</f>
        <v>4.6999999999999265E-3</v>
      </c>
      <c r="M56" s="46">
        <f>((I56-H56)/H56)*100</f>
        <v>0.32235939643346545</v>
      </c>
      <c r="N56" s="47">
        <v>801</v>
      </c>
      <c r="O56" s="37">
        <v>1171.5899999999999</v>
      </c>
      <c r="P56" s="72">
        <f>(R56)/J56</f>
        <v>3.2132357968141109E-2</v>
      </c>
      <c r="Q56" s="49">
        <f>J56/G56-1</f>
        <v>0.52762402088772831</v>
      </c>
      <c r="R56" s="52">
        <v>4.7E-2</v>
      </c>
      <c r="T56" s="52"/>
    </row>
    <row r="57" spans="1:20" x14ac:dyDescent="0.25">
      <c r="A57" s="35" t="s">
        <v>133</v>
      </c>
      <c r="B57" s="36" t="s">
        <v>134</v>
      </c>
      <c r="C57" s="40">
        <v>164208222</v>
      </c>
      <c r="D57" s="38">
        <f>C57*J57</f>
        <v>21347068.859999999</v>
      </c>
      <c r="E57" s="39">
        <v>0</v>
      </c>
      <c r="F57" s="40" t="s">
        <v>34</v>
      </c>
      <c r="G57" s="70">
        <v>0.1595</v>
      </c>
      <c r="H57" s="42">
        <v>0.13</v>
      </c>
      <c r="I57" s="42">
        <v>0.13</v>
      </c>
      <c r="J57" s="44">
        <f>I57</f>
        <v>0.13</v>
      </c>
      <c r="K57" s="39">
        <v>0</v>
      </c>
      <c r="L57" s="46">
        <f>I57-H57</f>
        <v>0</v>
      </c>
      <c r="M57" s="46">
        <f>((I57-H57)/H57)*100</f>
        <v>0</v>
      </c>
      <c r="N57" s="47">
        <v>574</v>
      </c>
      <c r="O57" s="37">
        <v>74.62</v>
      </c>
      <c r="P57" s="71">
        <f>(R57)/J57</f>
        <v>0</v>
      </c>
      <c r="Q57" s="49">
        <f>J57/G57-1</f>
        <v>-0.1849529780564263</v>
      </c>
      <c r="T57" s="52"/>
    </row>
    <row r="58" spans="1:20" x14ac:dyDescent="0.25">
      <c r="A58" s="35" t="s">
        <v>135</v>
      </c>
      <c r="B58" s="36" t="s">
        <v>136</v>
      </c>
      <c r="C58" s="40">
        <v>953802800</v>
      </c>
      <c r="D58" s="38">
        <f>C58*J58</f>
        <v>17168450.399999999</v>
      </c>
      <c r="E58" s="39">
        <v>0</v>
      </c>
      <c r="F58" s="40" t="s">
        <v>93</v>
      </c>
      <c r="G58" s="70">
        <v>1.6799999999999999E-2</v>
      </c>
      <c r="H58" s="42">
        <v>0.02</v>
      </c>
      <c r="I58" s="42">
        <v>1.7999999999999999E-2</v>
      </c>
      <c r="J58" s="44">
        <f>I58</f>
        <v>1.7999999999999999E-2</v>
      </c>
      <c r="K58" s="39">
        <v>0</v>
      </c>
      <c r="L58" s="46">
        <f>I58-H58</f>
        <v>-2.0000000000000018E-3</v>
      </c>
      <c r="M58" s="73">
        <f>((I58-H58)/H58)*100</f>
        <v>-10.000000000000009</v>
      </c>
      <c r="N58" s="47">
        <v>1392519</v>
      </c>
      <c r="O58" s="37">
        <v>25097.71</v>
      </c>
      <c r="P58" s="71">
        <f>(R58)/J58</f>
        <v>0</v>
      </c>
      <c r="Q58" s="49">
        <f>J58/G58-1</f>
        <v>7.1428571428571397E-2</v>
      </c>
      <c r="T58" s="52"/>
    </row>
    <row r="59" spans="1:20" x14ac:dyDescent="0.25">
      <c r="A59" s="35" t="s">
        <v>137</v>
      </c>
      <c r="B59" s="36" t="s">
        <v>138</v>
      </c>
      <c r="C59" s="40">
        <v>161273</v>
      </c>
      <c r="D59" s="38">
        <f>C59*J59</f>
        <v>2016847.8834000002</v>
      </c>
      <c r="E59" s="39">
        <v>0</v>
      </c>
      <c r="F59" s="40" t="s">
        <v>139</v>
      </c>
      <c r="G59" s="70">
        <v>19.5</v>
      </c>
      <c r="H59" s="42">
        <v>12.505800000000001</v>
      </c>
      <c r="I59" s="42">
        <v>12.505800000000001</v>
      </c>
      <c r="J59" s="44">
        <f>I59</f>
        <v>12.505800000000001</v>
      </c>
      <c r="K59" s="39">
        <v>0</v>
      </c>
      <c r="L59" s="46">
        <f>I59-H59</f>
        <v>0</v>
      </c>
      <c r="M59" s="46">
        <f>((I59-H59)/H59)*100</f>
        <v>0</v>
      </c>
      <c r="N59" s="47">
        <v>0</v>
      </c>
      <c r="O59" s="37">
        <v>0</v>
      </c>
      <c r="P59" s="71">
        <f>(R59)/J59</f>
        <v>0</v>
      </c>
      <c r="Q59" s="49">
        <f>J59/G59-1</f>
        <v>-0.358676923076923</v>
      </c>
      <c r="T59" s="52"/>
    </row>
    <row r="60" spans="1:20" x14ac:dyDescent="0.25">
      <c r="A60" s="35" t="s">
        <v>140</v>
      </c>
      <c r="B60" s="36" t="s">
        <v>141</v>
      </c>
      <c r="C60" s="40">
        <v>805090451</v>
      </c>
      <c r="D60" s="38">
        <f>C60*J60</f>
        <v>986155293.42990005</v>
      </c>
      <c r="E60" s="39">
        <v>0</v>
      </c>
      <c r="F60" s="40" t="s">
        <v>93</v>
      </c>
      <c r="G60" s="70">
        <v>0.59499999999999997</v>
      </c>
      <c r="H60" s="42">
        <v>1.2986</v>
      </c>
      <c r="I60" s="42">
        <v>1.2249000000000001</v>
      </c>
      <c r="J60" s="44">
        <f>I60</f>
        <v>1.2249000000000001</v>
      </c>
      <c r="K60" s="39">
        <v>0</v>
      </c>
      <c r="L60" s="46">
        <f>I60-H60</f>
        <v>-7.3699999999999877E-2</v>
      </c>
      <c r="M60" s="46">
        <f>((I60-H60)/H60)*100</f>
        <v>-5.6753426767287758</v>
      </c>
      <c r="N60" s="47">
        <v>1824</v>
      </c>
      <c r="O60" s="37">
        <v>2234.31</v>
      </c>
      <c r="P60" s="71">
        <f>(R60)/J60</f>
        <v>0</v>
      </c>
      <c r="Q60" s="49">
        <f>J60/G60-1</f>
        <v>1.0586554621848743</v>
      </c>
      <c r="R60" s="52"/>
      <c r="T60" s="52"/>
    </row>
    <row r="61" spans="1:20" x14ac:dyDescent="0.25">
      <c r="A61" s="35" t="s">
        <v>142</v>
      </c>
      <c r="B61" s="36" t="s">
        <v>143</v>
      </c>
      <c r="C61" s="40">
        <v>260714518</v>
      </c>
      <c r="D61" s="38">
        <f>C61*J61</f>
        <v>95864728.268600002</v>
      </c>
      <c r="E61" s="39">
        <v>0</v>
      </c>
      <c r="F61" s="40" t="s">
        <v>34</v>
      </c>
      <c r="G61" s="70">
        <v>0.22600000000000001</v>
      </c>
      <c r="H61" s="42">
        <v>0.37790000000000001</v>
      </c>
      <c r="I61" s="42">
        <v>0.36770000000000003</v>
      </c>
      <c r="J61" s="44">
        <f>I61</f>
        <v>0.36770000000000003</v>
      </c>
      <c r="K61" s="39">
        <v>0</v>
      </c>
      <c r="L61" s="46">
        <f>I61-H61</f>
        <v>-1.0199999999999987E-2</v>
      </c>
      <c r="M61" s="46">
        <f>((I61-H61)/H61)*100</f>
        <v>-2.6991267531092844</v>
      </c>
      <c r="N61" s="47">
        <v>2296</v>
      </c>
      <c r="O61" s="37">
        <v>844.35</v>
      </c>
      <c r="P61" s="71">
        <f>(R61)/J61</f>
        <v>0</v>
      </c>
      <c r="Q61" s="49">
        <f>J61/G61-1</f>
        <v>0.62699115044247788</v>
      </c>
      <c r="T61" s="52"/>
    </row>
    <row r="62" spans="1:20" x14ac:dyDescent="0.25">
      <c r="A62" s="35" t="s">
        <v>144</v>
      </c>
      <c r="B62" s="36" t="s">
        <v>145</v>
      </c>
      <c r="C62" s="40">
        <v>562184788</v>
      </c>
      <c r="D62" s="38">
        <f>C62*J62</f>
        <v>384590613.47080004</v>
      </c>
      <c r="E62" s="39">
        <v>0</v>
      </c>
      <c r="F62" s="40" t="s">
        <v>34</v>
      </c>
      <c r="G62" s="70">
        <v>0.49440000000000001</v>
      </c>
      <c r="H62" s="42">
        <v>0.68600000000000005</v>
      </c>
      <c r="I62" s="42">
        <v>0.68410000000000004</v>
      </c>
      <c r="J62" s="44">
        <f>I62</f>
        <v>0.68410000000000004</v>
      </c>
      <c r="K62" s="39">
        <v>0</v>
      </c>
      <c r="L62" s="46">
        <f>I62-H62</f>
        <v>-1.9000000000000128E-3</v>
      </c>
      <c r="M62" s="46">
        <f>((I62-H62)/H62)*100</f>
        <v>-0.27696793002915637</v>
      </c>
      <c r="N62" s="47">
        <v>46341</v>
      </c>
      <c r="O62" s="37">
        <v>31703.18</v>
      </c>
      <c r="P62" s="71">
        <f>(R62)/J62</f>
        <v>0</v>
      </c>
      <c r="Q62" s="49">
        <f>J62/G62-1</f>
        <v>0.38369741100323629</v>
      </c>
      <c r="R62" s="52"/>
      <c r="T62" s="52"/>
    </row>
    <row r="63" spans="1:20" x14ac:dyDescent="0.25">
      <c r="A63" s="35" t="s">
        <v>102</v>
      </c>
      <c r="B63" s="36" t="s">
        <v>146</v>
      </c>
      <c r="C63" s="40">
        <v>364526035</v>
      </c>
      <c r="D63" s="38">
        <f>C63*J63</f>
        <v>102504721.042</v>
      </c>
      <c r="E63" s="39">
        <v>0</v>
      </c>
      <c r="F63" s="40" t="s">
        <v>34</v>
      </c>
      <c r="G63" s="70">
        <v>0.25950000000000001</v>
      </c>
      <c r="H63" s="42">
        <v>0.3024</v>
      </c>
      <c r="I63" s="42">
        <v>0.28120000000000001</v>
      </c>
      <c r="J63" s="44">
        <f>I63</f>
        <v>0.28120000000000001</v>
      </c>
      <c r="K63" s="39">
        <v>0</v>
      </c>
      <c r="L63" s="46">
        <f>I63-H63</f>
        <v>-2.1199999999999997E-2</v>
      </c>
      <c r="M63" s="46">
        <f>((I63-H63)/H63)*100</f>
        <v>-7.0105820105820085</v>
      </c>
      <c r="N63" s="47">
        <v>22615</v>
      </c>
      <c r="O63" s="37">
        <v>6358.86</v>
      </c>
      <c r="P63" s="71">
        <f>(R63)/J63</f>
        <v>0</v>
      </c>
      <c r="Q63" s="49">
        <f>J63/G63-1</f>
        <v>8.3622350674373847E-2</v>
      </c>
      <c r="R63" s="52"/>
      <c r="T63" s="52"/>
    </row>
    <row r="64" spans="1:20" x14ac:dyDescent="0.25">
      <c r="A64" s="35" t="s">
        <v>147</v>
      </c>
      <c r="B64" s="36" t="s">
        <v>148</v>
      </c>
      <c r="C64" s="40">
        <v>30000000</v>
      </c>
      <c r="D64" s="38">
        <f>C64*J64</f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>I64</f>
        <v>10</v>
      </c>
      <c r="K64" s="39">
        <v>0</v>
      </c>
      <c r="L64" s="46">
        <f>I64-H64</f>
        <v>0</v>
      </c>
      <c r="M64" s="46">
        <f>((I64-H64)/H64)*100</f>
        <v>0</v>
      </c>
      <c r="N64" s="47">
        <v>0</v>
      </c>
      <c r="O64" s="37">
        <v>0</v>
      </c>
      <c r="P64" s="71">
        <f>(R64)/J64</f>
        <v>0</v>
      </c>
      <c r="Q64" s="49">
        <f>J64/G64-1</f>
        <v>0</v>
      </c>
      <c r="T64" s="52"/>
    </row>
    <row r="65" spans="1:20" x14ac:dyDescent="0.25">
      <c r="A65" s="35" t="s">
        <v>149</v>
      </c>
      <c r="B65" s="36" t="s">
        <v>150</v>
      </c>
      <c r="C65" s="40">
        <v>344580486</v>
      </c>
      <c r="D65" s="38">
        <f>C65*J65</f>
        <v>52445149.9692</v>
      </c>
      <c r="E65" s="39">
        <v>0</v>
      </c>
      <c r="F65" s="40" t="s">
        <v>44</v>
      </c>
      <c r="G65" s="70">
        <v>4.2999999999999997E-2</v>
      </c>
      <c r="H65" s="42">
        <v>0.15340000000000001</v>
      </c>
      <c r="I65" s="42">
        <v>0.1522</v>
      </c>
      <c r="J65" s="44">
        <f>I65</f>
        <v>0.1522</v>
      </c>
      <c r="K65" s="39">
        <v>0</v>
      </c>
      <c r="L65" s="46">
        <f>I65-H65</f>
        <v>-1.2000000000000066E-3</v>
      </c>
      <c r="M65" s="46">
        <f>((I65-H65)/H65)*100</f>
        <v>-0.78226857887875256</v>
      </c>
      <c r="N65" s="47">
        <v>670</v>
      </c>
      <c r="O65" s="37">
        <v>102</v>
      </c>
      <c r="P65" s="71">
        <f>(R65)/J65</f>
        <v>0</v>
      </c>
      <c r="Q65" s="49">
        <f>J65/G65-1</f>
        <v>2.5395348837209304</v>
      </c>
      <c r="T65" s="52"/>
    </row>
    <row r="66" spans="1:20" ht="13.2" x14ac:dyDescent="0.35">
      <c r="A66" s="74"/>
      <c r="B66" s="36" t="s">
        <v>83</v>
      </c>
      <c r="C66" s="40"/>
      <c r="D66" s="75"/>
      <c r="E66" s="75"/>
      <c r="F66" s="40"/>
      <c r="G66" s="40"/>
      <c r="H66" s="42"/>
      <c r="I66" s="42"/>
      <c r="J66" s="42"/>
      <c r="K66" s="42"/>
      <c r="L66" s="46"/>
      <c r="M66" s="76"/>
      <c r="N66" s="61">
        <f>SUM(N51:N65)</f>
        <v>2737567</v>
      </c>
      <c r="O66" s="62">
        <f>SUM(O51:O65)</f>
        <v>223263.61999999997</v>
      </c>
      <c r="P66" s="77"/>
      <c r="Q66" s="63"/>
    </row>
    <row r="67" spans="1:20" ht="12.6" hidden="1" x14ac:dyDescent="0.3">
      <c r="A67" s="133" t="s">
        <v>151</v>
      </c>
      <c r="B67" s="134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6"/>
    </row>
    <row r="68" spans="1:20" ht="12.6" hidden="1" thickBot="1" x14ac:dyDescent="0.3">
      <c r="A68" s="78" t="s">
        <v>152</v>
      </c>
      <c r="B68" s="79" t="s">
        <v>153</v>
      </c>
      <c r="C68" s="80">
        <v>20000</v>
      </c>
      <c r="D68" s="81">
        <f>C68*J68</f>
        <v>0</v>
      </c>
      <c r="E68" s="81"/>
      <c r="F68" s="80" t="s">
        <v>154</v>
      </c>
      <c r="G68" s="80"/>
      <c r="H68" s="82">
        <v>100</v>
      </c>
      <c r="I68" s="82"/>
      <c r="J68" s="82"/>
      <c r="K68" s="82"/>
      <c r="L68" s="83">
        <f>I68-H68</f>
        <v>-100</v>
      </c>
      <c r="M68" s="84">
        <f>((I68-H68)/H68)*100</f>
        <v>-100</v>
      </c>
      <c r="N68" s="85" t="s">
        <v>57</v>
      </c>
      <c r="O68" s="85" t="s">
        <v>57</v>
      </c>
      <c r="P68" s="85"/>
      <c r="Q68" s="86">
        <v>100</v>
      </c>
    </row>
    <row r="69" spans="1:20" ht="12.6" thickBot="1" x14ac:dyDescent="0.3">
      <c r="A69" s="35"/>
      <c r="B69" s="36" t="s">
        <v>83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6"/>
      <c r="N69" s="87"/>
      <c r="O69" s="87"/>
      <c r="P69" s="87"/>
      <c r="Q69" s="63"/>
    </row>
    <row r="70" spans="1:20" ht="12.6" x14ac:dyDescent="0.3">
      <c r="A70" s="133" t="s">
        <v>155</v>
      </c>
      <c r="B70" s="134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6"/>
    </row>
    <row r="71" spans="1:20" x14ac:dyDescent="0.25">
      <c r="A71" s="35" t="s">
        <v>156</v>
      </c>
      <c r="B71" s="88" t="s">
        <v>157</v>
      </c>
      <c r="C71" s="89">
        <v>139300587</v>
      </c>
      <c r="D71" s="38">
        <f>C71*J71</f>
        <v>45997053.827399999</v>
      </c>
      <c r="E71" s="39">
        <f>C71*K71</f>
        <v>45997053.827399999</v>
      </c>
      <c r="F71" s="89" t="s">
        <v>158</v>
      </c>
      <c r="G71" s="89">
        <v>0.24</v>
      </c>
      <c r="H71" s="90">
        <v>0.38080000000000003</v>
      </c>
      <c r="I71" s="90">
        <v>0.33019999999999999</v>
      </c>
      <c r="J71" s="91">
        <f>I71</f>
        <v>0.33019999999999999</v>
      </c>
      <c r="K71" s="91">
        <f>J71</f>
        <v>0.33019999999999999</v>
      </c>
      <c r="L71" s="46">
        <f>I71-H71</f>
        <v>-5.0600000000000034E-2</v>
      </c>
      <c r="M71" s="46">
        <f>((I71-H71)/H71)*100</f>
        <v>-13.287815126050429</v>
      </c>
      <c r="N71" s="92">
        <v>453675</v>
      </c>
      <c r="O71" s="93">
        <v>149823</v>
      </c>
      <c r="P71" s="71">
        <f>(R71)/J71</f>
        <v>0</v>
      </c>
      <c r="Q71" s="49">
        <f>J71/G71-1</f>
        <v>0.37583333333333346</v>
      </c>
      <c r="T71" s="52"/>
    </row>
    <row r="72" spans="1:20" x14ac:dyDescent="0.25">
      <c r="A72" s="35" t="s">
        <v>159</v>
      </c>
      <c r="B72" s="88" t="s">
        <v>160</v>
      </c>
      <c r="C72" s="89">
        <v>471351750</v>
      </c>
      <c r="D72" s="38">
        <f>C72*J72</f>
        <v>70655627.325000003</v>
      </c>
      <c r="E72" s="39">
        <f>C72*K72</f>
        <v>70655627.325000003</v>
      </c>
      <c r="F72" s="89" t="s">
        <v>158</v>
      </c>
      <c r="G72" s="89">
        <v>0.1</v>
      </c>
      <c r="H72" s="90">
        <v>0.15010000000000001</v>
      </c>
      <c r="I72" s="90">
        <v>0.14990000000000001</v>
      </c>
      <c r="J72" s="91">
        <f>I72</f>
        <v>0.14990000000000001</v>
      </c>
      <c r="K72" s="91">
        <f>J72</f>
        <v>0.14990000000000001</v>
      </c>
      <c r="L72" s="46">
        <f>I72-H72</f>
        <v>-2.0000000000000573E-4</v>
      </c>
      <c r="M72" s="46">
        <f>((I72-H72)/H72)*100</f>
        <v>-0.13324450366422766</v>
      </c>
      <c r="N72" s="47">
        <v>5700</v>
      </c>
      <c r="O72" s="93">
        <v>854.61</v>
      </c>
      <c r="P72" s="94">
        <f>(R72)/J72</f>
        <v>2.5296864576384255E-2</v>
      </c>
      <c r="Q72" s="49">
        <f>J72/G72-1</f>
        <v>0.49899999999999989</v>
      </c>
      <c r="R72" s="5">
        <v>3.7919999999999998E-3</v>
      </c>
      <c r="T72" s="52"/>
    </row>
    <row r="73" spans="1:20" ht="13.8" thickBot="1" x14ac:dyDescent="0.4">
      <c r="A73" s="35"/>
      <c r="B73" s="36" t="s">
        <v>83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6"/>
      <c r="N73" s="61">
        <f>SUM(N71:N72)</f>
        <v>459375</v>
      </c>
      <c r="O73" s="62">
        <f>SUM(O71:O72)</f>
        <v>150677.60999999999</v>
      </c>
      <c r="P73" s="87"/>
      <c r="Q73" s="63"/>
    </row>
    <row r="74" spans="1:20" ht="12.6" x14ac:dyDescent="0.3">
      <c r="A74" s="133" t="s">
        <v>161</v>
      </c>
      <c r="B74" s="134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6"/>
    </row>
    <row r="75" spans="1:20" x14ac:dyDescent="0.25">
      <c r="A75" s="35" t="s">
        <v>162</v>
      </c>
      <c r="B75" s="88" t="s">
        <v>163</v>
      </c>
      <c r="C75" s="89">
        <v>20819695</v>
      </c>
      <c r="D75" s="38">
        <f>C75*J75</f>
        <v>2706560.35</v>
      </c>
      <c r="E75" s="39">
        <f>C75*K75</f>
        <v>2706560.35</v>
      </c>
      <c r="F75" s="89" t="s">
        <v>139</v>
      </c>
      <c r="G75" s="89">
        <v>0.1394</v>
      </c>
      <c r="H75" s="90">
        <v>0.1333</v>
      </c>
      <c r="I75" s="90">
        <v>0.13</v>
      </c>
      <c r="J75" s="91">
        <f>I75</f>
        <v>0.13</v>
      </c>
      <c r="K75" s="91">
        <f>J75</f>
        <v>0.13</v>
      </c>
      <c r="L75" s="46">
        <f>I75-H75</f>
        <v>-3.2999999999999974E-3</v>
      </c>
      <c r="M75" s="46">
        <f>((I75-H75)/H75)*100</f>
        <v>-2.4756189047261796</v>
      </c>
      <c r="N75" s="92">
        <v>4798</v>
      </c>
      <c r="O75" s="93">
        <v>623.74</v>
      </c>
      <c r="P75" s="71">
        <f>(R75)/J75</f>
        <v>0</v>
      </c>
      <c r="Q75" s="49">
        <f>J75/G75-1</f>
        <v>-6.7431850789096082E-2</v>
      </c>
    </row>
    <row r="76" spans="1:20" ht="13.2" x14ac:dyDescent="0.35">
      <c r="A76" s="35"/>
      <c r="B76" s="36" t="s">
        <v>83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6"/>
      <c r="N76" s="61"/>
      <c r="O76" s="62"/>
      <c r="P76" s="87"/>
      <c r="Q76" s="63"/>
    </row>
    <row r="77" spans="1:20" ht="12.6" x14ac:dyDescent="0.3">
      <c r="A77" s="129" t="s">
        <v>164</v>
      </c>
      <c r="B77" s="130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2"/>
    </row>
    <row r="78" spans="1:20" x14ac:dyDescent="0.25">
      <c r="A78" s="35" t="s">
        <v>165</v>
      </c>
      <c r="B78" s="36" t="s">
        <v>166</v>
      </c>
      <c r="C78" s="40">
        <v>31703227</v>
      </c>
      <c r="D78" s="38">
        <f>C78*J78</f>
        <v>100867.80887037308</v>
      </c>
      <c r="E78" s="39">
        <f>C78*K78</f>
        <v>85548.390317460318</v>
      </c>
      <c r="F78" s="40" t="s">
        <v>139</v>
      </c>
      <c r="G78" s="70">
        <v>0.105</v>
      </c>
      <c r="H78" s="42">
        <v>8.5000000000000006E-2</v>
      </c>
      <c r="I78" s="42">
        <v>8.5000000000000006E-2</v>
      </c>
      <c r="J78" s="44">
        <f>I78/$J$5</f>
        <v>3.1816259231394039E-3</v>
      </c>
      <c r="K78" s="45">
        <f>I78/$K$4</f>
        <v>2.6984126984126986E-3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-0.19047619047619035</v>
      </c>
    </row>
    <row r="79" spans="1:20" x14ac:dyDescent="0.25">
      <c r="A79" s="35" t="s">
        <v>167</v>
      </c>
      <c r="B79" s="36" t="s">
        <v>168</v>
      </c>
      <c r="C79" s="40">
        <v>136162052</v>
      </c>
      <c r="D79" s="38">
        <f>C79*J79</f>
        <v>407733.37825040519</v>
      </c>
      <c r="E79" s="39">
        <f>C79*K79</f>
        <v>345808.38603174605</v>
      </c>
      <c r="F79" s="40" t="s">
        <v>139</v>
      </c>
      <c r="G79" s="70">
        <v>4.2500000000000003E-2</v>
      </c>
      <c r="H79" s="42">
        <v>0.08</v>
      </c>
      <c r="I79" s="42">
        <v>0.08</v>
      </c>
      <c r="J79" s="44">
        <f>I79/$J$5</f>
        <v>2.9944714570723802E-3</v>
      </c>
      <c r="K79" s="45">
        <f>I79/$K$4</f>
        <v>2.5396825396825397E-3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5">
      <c r="A80" s="35" t="s">
        <v>169</v>
      </c>
      <c r="B80" s="36" t="s">
        <v>170</v>
      </c>
      <c r="C80" s="40">
        <v>6677853</v>
      </c>
      <c r="D80" s="38">
        <f>C80*J80</f>
        <v>25745.674261394899</v>
      </c>
      <c r="E80" s="39">
        <f>C80*K80</f>
        <v>21835.519333333337</v>
      </c>
      <c r="F80" s="40" t="s">
        <v>139</v>
      </c>
      <c r="G80" s="70">
        <v>6.0499999999999998E-2</v>
      </c>
      <c r="H80" s="42">
        <v>0.10300000000000001</v>
      </c>
      <c r="I80" s="42">
        <v>0.10300000000000001</v>
      </c>
      <c r="J80" s="44">
        <f>I80/$J$5</f>
        <v>3.8553820009806896E-3</v>
      </c>
      <c r="K80" s="45">
        <f>I80/$K$4</f>
        <v>3.2698412698412703E-3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0.70247933884297531</v>
      </c>
    </row>
    <row r="81" spans="1:243" x14ac:dyDescent="0.25">
      <c r="A81" s="35" t="s">
        <v>171</v>
      </c>
      <c r="B81" s="36" t="s">
        <v>172</v>
      </c>
      <c r="C81" s="37">
        <v>494417400</v>
      </c>
      <c r="D81" s="38">
        <f>C81*J81</f>
        <v>28685051.598486293</v>
      </c>
      <c r="E81" s="39">
        <f>C81*K81</f>
        <v>24328475.238095239</v>
      </c>
      <c r="F81" s="40" t="s">
        <v>139</v>
      </c>
      <c r="G81" s="70">
        <v>1.85</v>
      </c>
      <c r="H81" s="42">
        <v>1.55</v>
      </c>
      <c r="I81" s="42">
        <v>1.55</v>
      </c>
      <c r="J81" s="44">
        <f>I81/$J$5</f>
        <v>5.8017884480777361E-2</v>
      </c>
      <c r="K81" s="45">
        <f>I81/$K$4</f>
        <v>4.9206349206349205E-2</v>
      </c>
      <c r="L81" s="46">
        <f>I81-H81</f>
        <v>0</v>
      </c>
      <c r="M81" s="95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-0.16216216216216217</v>
      </c>
    </row>
    <row r="82" spans="1:243" ht="13.8" thickBot="1" x14ac:dyDescent="0.4">
      <c r="A82" s="35"/>
      <c r="B82" s="36" t="s">
        <v>83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0</v>
      </c>
      <c r="O82" s="62">
        <f>SUM(O78:O81)</f>
        <v>0</v>
      </c>
      <c r="P82" s="77"/>
      <c r="Q82" s="63"/>
      <c r="DU82" s="96"/>
      <c r="DV82" s="96"/>
      <c r="DW82" s="97"/>
      <c r="DX82" s="98"/>
      <c r="DY82" s="98"/>
      <c r="DZ82" s="99"/>
      <c r="EA82" s="99"/>
      <c r="EB82" s="100"/>
      <c r="EC82" s="100"/>
      <c r="ED82" s="101"/>
      <c r="EE82" s="101"/>
      <c r="EF82" s="99"/>
      <c r="EG82" s="102"/>
      <c r="EH82" s="103"/>
      <c r="EI82" s="97"/>
      <c r="EJ82" s="96"/>
      <c r="EK82" s="96"/>
      <c r="EL82" s="97"/>
      <c r="EM82" s="98"/>
      <c r="EN82" s="98"/>
      <c r="EO82" s="99"/>
      <c r="EP82" s="99"/>
      <c r="EQ82" s="100"/>
      <c r="ER82" s="100"/>
      <c r="ES82" s="101"/>
      <c r="ET82" s="101"/>
      <c r="EU82" s="99"/>
      <c r="EV82" s="102"/>
      <c r="EW82" s="103"/>
      <c r="EX82" s="97"/>
      <c r="EY82" s="96"/>
      <c r="EZ82" s="96"/>
      <c r="FA82" s="97"/>
      <c r="FB82" s="98"/>
      <c r="FC82" s="98"/>
      <c r="FD82" s="99"/>
      <c r="FE82" s="99"/>
      <c r="FF82" s="100"/>
      <c r="FG82" s="100"/>
      <c r="FH82" s="101"/>
      <c r="FI82" s="101"/>
      <c r="FJ82" s="99"/>
      <c r="FK82" s="102"/>
      <c r="FL82" s="103"/>
      <c r="FM82" s="97"/>
      <c r="FN82" s="96"/>
      <c r="FO82" s="96"/>
      <c r="FP82" s="97"/>
      <c r="FQ82" s="98"/>
      <c r="FR82" s="98"/>
      <c r="FS82" s="99"/>
      <c r="FT82" s="99"/>
      <c r="FU82" s="100"/>
      <c r="FV82" s="100"/>
      <c r="FW82" s="101"/>
      <c r="FX82" s="101"/>
      <c r="FY82" s="99"/>
      <c r="FZ82" s="102"/>
      <c r="GA82" s="103"/>
      <c r="GB82" s="97"/>
      <c r="GC82" s="96"/>
      <c r="GD82" s="96"/>
      <c r="GE82" s="97"/>
      <c r="GF82" s="98"/>
      <c r="GG82" s="98"/>
      <c r="GH82" s="99"/>
      <c r="GI82" s="99"/>
      <c r="GJ82" s="100"/>
      <c r="GK82" s="100"/>
      <c r="GL82" s="101"/>
      <c r="GM82" s="101"/>
      <c r="GN82" s="99"/>
      <c r="GO82" s="102"/>
      <c r="GP82" s="103"/>
      <c r="GQ82" s="97"/>
      <c r="GR82" s="96"/>
      <c r="GS82" s="96"/>
      <c r="GT82" s="97"/>
      <c r="GU82" s="98"/>
      <c r="GV82" s="98"/>
      <c r="GW82" s="99"/>
      <c r="GX82" s="99"/>
      <c r="GY82" s="100"/>
      <c r="GZ82" s="100"/>
      <c r="HA82" s="101"/>
      <c r="HB82" s="101"/>
      <c r="HC82" s="99"/>
      <c r="HD82" s="102"/>
      <c r="HE82" s="103"/>
      <c r="HF82" s="97"/>
      <c r="HG82" s="96"/>
      <c r="HH82" s="96"/>
      <c r="HI82" s="97"/>
      <c r="HJ82" s="98"/>
      <c r="HK82" s="98"/>
      <c r="HL82" s="99"/>
      <c r="HM82" s="99"/>
      <c r="HN82" s="100"/>
      <c r="HO82" s="100"/>
      <c r="HP82" s="101"/>
      <c r="HQ82" s="101"/>
      <c r="HR82" s="99"/>
      <c r="HS82" s="102"/>
      <c r="HT82" s="103"/>
      <c r="HU82" s="97"/>
      <c r="HV82" s="96"/>
      <c r="HW82" s="96"/>
      <c r="HX82" s="97"/>
      <c r="HY82" s="98"/>
      <c r="HZ82" s="98"/>
      <c r="IA82" s="99"/>
      <c r="IB82" s="99"/>
      <c r="IC82" s="100"/>
      <c r="ID82" s="100"/>
      <c r="IE82" s="101"/>
      <c r="IF82" s="101"/>
      <c r="IG82" s="99"/>
      <c r="IH82" s="102"/>
      <c r="II82" s="103"/>
    </row>
    <row r="83" spans="1:243" ht="13.2" thickTop="1" x14ac:dyDescent="0.3">
      <c r="A83" s="133" t="s">
        <v>173</v>
      </c>
      <c r="B83" s="134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6"/>
    </row>
    <row r="84" spans="1:243" x14ac:dyDescent="0.25">
      <c r="A84" s="35" t="s">
        <v>174</v>
      </c>
      <c r="B84" s="36" t="s">
        <v>175</v>
      </c>
      <c r="C84" s="40">
        <v>368326244</v>
      </c>
      <c r="D84" s="38">
        <f>C84*J84</f>
        <v>26194882.583031073</v>
      </c>
      <c r="E84" s="39">
        <f>C84*K84</f>
        <v>22216503.606349204</v>
      </c>
      <c r="F84" s="40" t="s">
        <v>176</v>
      </c>
      <c r="G84" s="40">
        <v>1.3</v>
      </c>
      <c r="H84" s="42">
        <v>1.9</v>
      </c>
      <c r="I84" s="42">
        <v>1.9</v>
      </c>
      <c r="J84" s="44">
        <f>I84/$J$5</f>
        <v>7.1118697105469017E-2</v>
      </c>
      <c r="K84" s="45">
        <f>I84/$K$4</f>
        <v>6.0317460317460311E-2</v>
      </c>
      <c r="L84" s="46">
        <f>I84-H84</f>
        <v>0</v>
      </c>
      <c r="M84" s="46">
        <f>((I84-H84)/H84*100)</f>
        <v>0</v>
      </c>
      <c r="N84" s="51">
        <v>350</v>
      </c>
      <c r="O84" s="37">
        <v>693.5</v>
      </c>
      <c r="P84" s="51">
        <f>(R84)/J84</f>
        <v>0</v>
      </c>
      <c r="Q84" s="49">
        <f>I84/G84-1</f>
        <v>0.46153846153846145</v>
      </c>
      <c r="R84" s="52"/>
    </row>
    <row r="85" spans="1:243" s="104" customFormat="1" ht="12.6" thickBot="1" x14ac:dyDescent="0.3">
      <c r="A85" s="35" t="s">
        <v>177</v>
      </c>
      <c r="B85" s="36" t="s">
        <v>178</v>
      </c>
      <c r="C85" s="40">
        <v>1841105000</v>
      </c>
      <c r="D85" s="38">
        <f>C85*J85</f>
        <v>89588466.044565231</v>
      </c>
      <c r="E85" s="39">
        <f>C85*K85</f>
        <v>75982111.111111104</v>
      </c>
      <c r="F85" s="40" t="s">
        <v>176</v>
      </c>
      <c r="G85" s="40">
        <v>1.44347</v>
      </c>
      <c r="H85" s="42">
        <v>1.3243539999999998</v>
      </c>
      <c r="I85" s="42">
        <v>1.3</v>
      </c>
      <c r="J85" s="44">
        <f>I85/$J$5</f>
        <v>4.8660161177426178E-2</v>
      </c>
      <c r="K85" s="45">
        <f>I85/$K$4</f>
        <v>4.1269841269841269E-2</v>
      </c>
      <c r="L85" s="46">
        <f>I85-H85</f>
        <v>-2.4353999999999765E-2</v>
      </c>
      <c r="M85" s="46">
        <f>((I85-H85)/H85*100)</f>
        <v>-1.8389343030639671</v>
      </c>
      <c r="N85" s="51">
        <v>14986</v>
      </c>
      <c r="O85" s="37">
        <v>19490.259999999998</v>
      </c>
      <c r="P85" s="48">
        <f>(R85)/J85</f>
        <v>4.471830646153846E-2</v>
      </c>
      <c r="Q85" s="49">
        <f>I85/G85-1</f>
        <v>-9.9392436282014884E-2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3.8" thickBot="1" x14ac:dyDescent="0.4">
      <c r="A86" s="78"/>
      <c r="B86" s="79" t="s">
        <v>83</v>
      </c>
      <c r="C86" s="80"/>
      <c r="D86" s="105"/>
      <c r="E86" s="81"/>
      <c r="F86" s="80"/>
      <c r="G86" s="80"/>
      <c r="H86" s="82"/>
      <c r="I86" s="82"/>
      <c r="J86" s="82"/>
      <c r="K86" s="82"/>
      <c r="L86" s="83"/>
      <c r="M86" s="83"/>
      <c r="N86" s="61">
        <f>SUM(N84:N85)</f>
        <v>15336</v>
      </c>
      <c r="O86" s="62">
        <f>SUM(O84:O85)</f>
        <v>20183.759999999998</v>
      </c>
      <c r="P86" s="106"/>
      <c r="Q86" s="86"/>
    </row>
    <row r="87" spans="1:243" ht="12.6" thickBot="1" x14ac:dyDescent="0.3">
      <c r="A87" s="107"/>
      <c r="B87" s="108"/>
      <c r="C87" s="108"/>
      <c r="D87" s="108"/>
      <c r="E87" s="108"/>
      <c r="F87" s="109"/>
      <c r="G87" s="109"/>
      <c r="H87" s="59"/>
      <c r="M87" s="110"/>
      <c r="N87" s="110"/>
      <c r="O87" s="59"/>
      <c r="P87" s="59"/>
      <c r="Q87" s="111"/>
    </row>
    <row r="88" spans="1:243" ht="12.6" thickBot="1" x14ac:dyDescent="0.3">
      <c r="A88" s="137" t="s">
        <v>179</v>
      </c>
      <c r="B88" s="138"/>
      <c r="C88" s="138"/>
      <c r="D88" s="139"/>
      <c r="E88" s="137" t="s">
        <v>180</v>
      </c>
      <c r="F88" s="138"/>
      <c r="G88" s="138"/>
      <c r="H88" s="139"/>
      <c r="I88" s="52"/>
      <c r="J88" s="52"/>
      <c r="K88" s="52"/>
      <c r="L88" s="140" t="s">
        <v>181</v>
      </c>
      <c r="M88" s="141"/>
      <c r="N88" s="142"/>
      <c r="O88" s="140" t="s">
        <v>182</v>
      </c>
      <c r="P88" s="141"/>
      <c r="Q88" s="142"/>
    </row>
    <row r="89" spans="1:243" x14ac:dyDescent="0.25">
      <c r="A89" s="35" t="s">
        <v>50</v>
      </c>
      <c r="B89" s="112">
        <v>5.7715999999999994</v>
      </c>
      <c r="D89" s="112">
        <v>14.999601498366138</v>
      </c>
      <c r="E89" s="35" t="s">
        <v>70</v>
      </c>
      <c r="F89" s="113">
        <v>10.091799999999999</v>
      </c>
      <c r="H89" s="114">
        <v>-8.256363636363643</v>
      </c>
      <c r="L89" s="35" t="s">
        <v>121</v>
      </c>
      <c r="M89" s="51">
        <v>0.15</v>
      </c>
      <c r="N89" s="115">
        <v>6.5340909090908994</v>
      </c>
      <c r="O89" s="35" t="s">
        <v>135</v>
      </c>
      <c r="P89" s="113">
        <v>1.7999999999999999E-2</v>
      </c>
      <c r="Q89" s="116">
        <v>-10.000000000000009</v>
      </c>
    </row>
    <row r="90" spans="1:243" x14ac:dyDescent="0.25">
      <c r="A90" s="35" t="s">
        <v>106</v>
      </c>
      <c r="B90" s="112">
        <v>1.97</v>
      </c>
      <c r="D90" s="112">
        <v>14.534883720930234</v>
      </c>
      <c r="E90" s="35" t="s">
        <v>62</v>
      </c>
      <c r="F90" s="113">
        <v>3.2001400000000002</v>
      </c>
      <c r="H90" s="114">
        <v>-3.4357272178635911</v>
      </c>
      <c r="L90" s="35" t="s">
        <v>125</v>
      </c>
      <c r="M90" s="51">
        <v>0.23960000000000001</v>
      </c>
      <c r="N90" s="115">
        <v>0.75693860386879563</v>
      </c>
      <c r="O90" s="35" t="s">
        <v>123</v>
      </c>
      <c r="P90" s="113">
        <v>49.112900000000003</v>
      </c>
      <c r="Q90" s="116">
        <v>-7.8918397851499096</v>
      </c>
    </row>
    <row r="91" spans="1:243" x14ac:dyDescent="0.25">
      <c r="A91" s="35" t="s">
        <v>118</v>
      </c>
      <c r="B91" s="112">
        <v>1.51</v>
      </c>
      <c r="C91" s="112"/>
      <c r="D91" s="112">
        <v>11.851851851851846</v>
      </c>
      <c r="E91" s="35" t="s">
        <v>104</v>
      </c>
      <c r="F91" s="113">
        <v>0.11500400000000001</v>
      </c>
      <c r="H91" s="114">
        <v>-2.0141776293367792</v>
      </c>
      <c r="L91" s="35" t="s">
        <v>131</v>
      </c>
      <c r="M91" s="51">
        <v>1.4626999999999999</v>
      </c>
      <c r="N91" s="115">
        <v>0.32235939643346545</v>
      </c>
      <c r="O91" s="35" t="s">
        <v>102</v>
      </c>
      <c r="P91" s="113">
        <v>0.28120000000000001</v>
      </c>
      <c r="Q91" s="116">
        <v>-7.0105820105820085</v>
      </c>
    </row>
    <row r="92" spans="1:243" x14ac:dyDescent="0.25">
      <c r="A92" s="35" t="s">
        <v>96</v>
      </c>
      <c r="B92" s="112">
        <v>4.4999999999999998E-2</v>
      </c>
      <c r="C92" s="112"/>
      <c r="D92" s="112">
        <v>7.1428571428571326</v>
      </c>
      <c r="E92" s="35" t="s">
        <v>100</v>
      </c>
      <c r="F92" s="113">
        <v>0.20177100000000001</v>
      </c>
      <c r="G92" s="113"/>
      <c r="H92" s="114">
        <v>-0.34572852408492005</v>
      </c>
      <c r="L92" s="35"/>
      <c r="M92" s="51"/>
      <c r="N92" s="115"/>
      <c r="O92" s="35" t="s">
        <v>140</v>
      </c>
      <c r="P92" s="113">
        <v>1.2249000000000001</v>
      </c>
      <c r="Q92" s="116">
        <v>-5.6753426767287758</v>
      </c>
    </row>
    <row r="93" spans="1:243" x14ac:dyDescent="0.25">
      <c r="A93" s="35" t="s">
        <v>58</v>
      </c>
      <c r="B93" s="112">
        <v>9.0000009999999993</v>
      </c>
      <c r="C93" s="112"/>
      <c r="D93" s="112">
        <v>3.3423911015321655</v>
      </c>
      <c r="E93" s="35"/>
      <c r="F93" s="113"/>
      <c r="G93" s="113"/>
      <c r="H93" s="114"/>
      <c r="L93" s="35"/>
      <c r="M93" s="51"/>
      <c r="N93" s="115"/>
      <c r="O93" s="35" t="s">
        <v>129</v>
      </c>
      <c r="P93" s="113">
        <v>0.1356</v>
      </c>
      <c r="Q93" s="116">
        <v>-3.9660056657223755</v>
      </c>
    </row>
    <row r="94" spans="1:243" ht="12.6" thickBot="1" x14ac:dyDescent="0.3">
      <c r="A94" s="117"/>
      <c r="B94" s="118"/>
      <c r="C94" s="118"/>
      <c r="D94" s="118"/>
      <c r="E94" s="117"/>
      <c r="F94" s="118"/>
      <c r="G94" s="118"/>
      <c r="H94" s="119"/>
      <c r="L94" s="117"/>
      <c r="M94" s="118"/>
      <c r="N94" s="119"/>
      <c r="O94" s="118"/>
      <c r="P94" s="118"/>
      <c r="Q94" s="119"/>
    </row>
    <row r="95" spans="1:243" x14ac:dyDescent="0.25">
      <c r="A95" s="120"/>
      <c r="B95" s="121"/>
      <c r="C95" s="121"/>
      <c r="D95" s="121"/>
      <c r="E95" s="110"/>
      <c r="F95" s="110"/>
      <c r="G95" s="110"/>
      <c r="H95" s="110"/>
      <c r="I95" s="110"/>
      <c r="J95" s="110"/>
      <c r="K95" s="110"/>
      <c r="L95" s="110"/>
      <c r="M95" s="121"/>
      <c r="Q95" s="16"/>
    </row>
    <row r="96" spans="1:243" x14ac:dyDescent="0.25">
      <c r="A96" s="12" t="s">
        <v>183</v>
      </c>
      <c r="B96" s="122"/>
      <c r="C96" s="122"/>
      <c r="D96" s="122"/>
      <c r="E96" s="122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0"/>
      <c r="B97" s="121"/>
      <c r="C97" s="121"/>
      <c r="D97" s="121"/>
      <c r="E97" s="121"/>
      <c r="F97" s="110"/>
      <c r="G97" s="110"/>
      <c r="H97" s="121"/>
      <c r="I97" s="110"/>
      <c r="J97" s="110"/>
      <c r="K97" s="110"/>
      <c r="L97" s="110"/>
      <c r="M97" s="121"/>
      <c r="Q97" s="16"/>
    </row>
    <row r="98" spans="1:17" ht="12.6" thickBot="1" x14ac:dyDescent="0.3">
      <c r="A98" s="123"/>
      <c r="B98" s="124"/>
      <c r="C98" s="124"/>
      <c r="D98" s="124"/>
      <c r="E98" s="124"/>
      <c r="F98" s="125"/>
      <c r="G98" s="125"/>
      <c r="H98" s="125"/>
      <c r="I98" s="126"/>
      <c r="J98" s="126"/>
      <c r="K98" s="126"/>
      <c r="L98" s="126"/>
      <c r="M98" s="126"/>
      <c r="N98" s="126"/>
      <c r="O98" s="126"/>
      <c r="P98" s="126"/>
      <c r="Q98" s="127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28"/>
      <c r="J102" s="128"/>
      <c r="K102" s="128"/>
      <c r="O102" s="128"/>
      <c r="P102" s="128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28"/>
      <c r="J105" s="128"/>
      <c r="K105" s="128"/>
      <c r="O105" s="128"/>
      <c r="P105" s="128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28"/>
      <c r="J107" s="128"/>
      <c r="K107" s="128"/>
      <c r="O107" s="128"/>
      <c r="P107" s="128"/>
    </row>
  </sheetData>
  <sheetProtection algorithmName="SHA-512" hashValue="4aDWVkJZrSa5GdQ71+V6S/ogEwe2jQKJ/cZL94dFR5WZfrxVPtBCUMjOGgCpCKfjQKG1y4iBmeOx78KTnTAOPg==" saltValue="M/LhvjbYLSqIJRAF3v1OgA==" spinCount="100000" sheet="1"/>
  <sortState xmlns:xlrd2="http://schemas.microsoft.com/office/spreadsheetml/2017/richdata2" ref="A51:II65">
    <sortCondition ref="A51:A65"/>
  </sortState>
  <mergeCells count="12">
    <mergeCell ref="A74:Q74"/>
    <mergeCell ref="L5:M5"/>
    <mergeCell ref="A6:Q6"/>
    <mergeCell ref="A50:Q50"/>
    <mergeCell ref="A67:Q67"/>
    <mergeCell ref="A70:Q70"/>
    <mergeCell ref="A77:Q77"/>
    <mergeCell ref="A83:Q83"/>
    <mergeCell ref="A88:D88"/>
    <mergeCell ref="E88:H88"/>
    <mergeCell ref="L88:N88"/>
    <mergeCell ref="O88:Q88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2:A93">
    <cfRule type="duplicateValues" dxfId="39" priority="48" stopIfTrue="1"/>
  </conditionalFormatting>
  <conditionalFormatting sqref="E92:E93">
    <cfRule type="duplicateValues" dxfId="38" priority="1" stopIfTrue="1"/>
  </conditionalFormatting>
  <conditionalFormatting sqref="L9:M26 L28:M47 L51:M65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5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1:M72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5:M75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8:M81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4:M85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5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1:Q72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5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8:Q81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4:Q85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2026-07-10T14:13:28Z</dcterms:created>
  <dcterms:modified xsi:type="dcterms:W3CDTF">2026-07-10T14:20:57Z</dcterms:modified>
</cp:coreProperties>
</file>