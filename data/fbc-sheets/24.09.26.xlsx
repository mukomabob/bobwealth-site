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24.09.26/"/>
    </mc:Choice>
  </mc:AlternateContent>
  <xr:revisionPtr revIDLastSave="0" documentId="8_{9CB50DB1-6645-4F25-970F-F2A54337E885}" xr6:coauthVersionLast="47" xr6:coauthVersionMax="47" xr10:uidLastSave="{00000000-0000-0000-0000-000000000000}"/>
  <bookViews>
    <workbookView xWindow="-108" yWindow="-108" windowWidth="23256" windowHeight="12456" xr2:uid="{28D8A727-B3E2-46FF-B980-CCDB4D14D7AC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E81" i="1" s="1"/>
  <c r="J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M53" i="1"/>
  <c r="L53" i="1"/>
  <c r="J53" i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E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E24" i="1" s="1"/>
  <c r="J24" i="1"/>
  <c r="P24" i="1" s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E10" i="1"/>
  <c r="Q9" i="1"/>
  <c r="M9" i="1"/>
  <c r="L9" i="1"/>
  <c r="K9" i="1"/>
  <c r="J9" i="1"/>
  <c r="P9" i="1" s="1"/>
  <c r="E9" i="1"/>
  <c r="D9" i="1"/>
  <c r="P75" i="1" l="1"/>
  <c r="K75" i="1"/>
  <c r="E75" i="1" s="1"/>
  <c r="D75" i="1"/>
  <c r="Q75" i="1"/>
  <c r="Q72" i="1"/>
  <c r="P72" i="1"/>
  <c r="K72" i="1"/>
  <c r="E72" i="1" s="1"/>
  <c r="P71" i="1"/>
  <c r="K71" i="1"/>
  <c r="E71" i="1" s="1"/>
  <c r="Q71" i="1"/>
  <c r="Q65" i="1"/>
  <c r="P65" i="1"/>
  <c r="P64" i="1"/>
  <c r="Q64" i="1"/>
  <c r="Q63" i="1"/>
  <c r="P63" i="1"/>
  <c r="Q62" i="1"/>
  <c r="P62" i="1"/>
  <c r="Q61" i="1"/>
  <c r="P61" i="1"/>
  <c r="P60" i="1"/>
  <c r="Q60" i="1"/>
  <c r="P59" i="1"/>
  <c r="D59" i="1"/>
  <c r="Q59" i="1"/>
  <c r="P58" i="1"/>
  <c r="Q58" i="1"/>
  <c r="P57" i="1"/>
  <c r="Q57" i="1"/>
  <c r="P56" i="1"/>
  <c r="Q56" i="1"/>
  <c r="P55" i="1"/>
  <c r="Q55" i="1"/>
  <c r="Q54" i="1"/>
  <c r="P54" i="1"/>
  <c r="P53" i="1"/>
  <c r="Q53" i="1"/>
  <c r="P51" i="1"/>
  <c r="Q51" i="1"/>
  <c r="Q50" i="1"/>
  <c r="P50" i="1"/>
  <c r="P28" i="1"/>
  <c r="D28" i="1"/>
  <c r="P10" i="1"/>
  <c r="D10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<sst xmlns="http://schemas.openxmlformats.org/spreadsheetml/2006/main" count="271" uniqueCount="185">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</sst>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6" fontId="15" fillId="5" borderId="0" xfId="5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</cellXfs>
  <cellStyles count="9">
    <cellStyle name="Comma 2 2 2 2 2 2 2 2 2 2 2 2 2 2 2" xfId="3" xr:uid="{6DDEA484-2D03-4B70-A5DB-4073D343EB41}"/>
    <cellStyle name="Comma 5 2 2 2 2 2 2 2 2 2 2 2 2 2" xfId="4" xr:uid="{B3287850-CE72-4E6E-8710-C568A58AF465}"/>
    <cellStyle name="Comma 6 2 2 2 2 2 2 2 2" xfId="5" xr:uid="{3646ACA3-C75E-4507-9EC9-89B10886660D}"/>
    <cellStyle name="Hyperlink 2" xfId="8" xr:uid="{C3BA074E-51E2-4A70-B4CA-EAD63432FA64}"/>
    <cellStyle name="Normal" xfId="0" builtinId="0"/>
    <cellStyle name="Normal 2" xfId="2" xr:uid="{BD199E5D-C266-4E92-B654-0C5A5339DC01}"/>
    <cellStyle name="Normal 20" xfId="7" xr:uid="{F19355BE-C24E-4275-83DC-74AA4E366C56}"/>
    <cellStyle name="Percent" xfId="1" builtinId="5"/>
    <cellStyle name="Percent 3" xfId="6" xr:uid="{65B90EBD-48F4-4368-AD2D-9E5F6E1AE769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32AE651-E4AE-4B70-B372-4EC74D8D9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5E76367-011B-48A5-84A7-F366A5889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C097-63DE-4B48-B692-788AE72FCE72}">
  <dimension ref="A1:II107"/>
  <sheetViews>
    <sheetView tabSelected="1" zoomScale="70" zoomScaleNormal="70" workbookViewId="0">
      <selection activeCell="M10" sqref="M10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26.634699999999999</v>
      </c>
      <c r="K5" s="22"/>
      <c r="L5" s="136" t="s">
        <v>12</v>
      </c>
      <c r="M5" s="137"/>
      <c r="N5" s="23" t="s">
        <v>13</v>
      </c>
      <c r="O5" s="24"/>
      <c r="P5" s="24"/>
      <c r="Q5" s="25"/>
    </row>
    <row r="6" spans="1:19" ht="6.6" customHeight="1" x14ac:dyDescent="0.3">
      <c r="A6" s="132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5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81626377.347970873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0.64765137208228363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100</v>
      </c>
      <c r="O9" s="37">
        <v>1725</v>
      </c>
      <c r="P9" s="48">
        <f t="shared" ref="P9:P17" si="5">(R9)/J9</f>
        <v>2.3160608695652174E-2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3459087.0863848664</v>
      </c>
      <c r="E10" s="39">
        <f t="shared" si="1"/>
        <v>2879117.0881167185</v>
      </c>
      <c r="F10" s="40" t="s">
        <v>34</v>
      </c>
      <c r="G10" s="41">
        <v>3.1600000000000003E-2</v>
      </c>
      <c r="H10" s="42">
        <v>5.9248000000000002E-2</v>
      </c>
      <c r="I10" s="43">
        <v>5.6612999999999997E-2</v>
      </c>
      <c r="J10" s="44">
        <f t="shared" ref="J10:J17" si="7">I10/$J$5</f>
        <v>2.1255354856634392E-3</v>
      </c>
      <c r="K10" s="45">
        <f t="shared" si="2"/>
        <v>1.7691562499999999E-3</v>
      </c>
      <c r="L10" s="46">
        <f t="shared" si="3"/>
        <v>-2.6350000000000054E-3</v>
      </c>
      <c r="M10" s="46">
        <f t="shared" si="4"/>
        <v>-4.4474075074264201</v>
      </c>
      <c r="N10" s="51">
        <v>3000</v>
      </c>
      <c r="O10" s="37">
        <v>169.84</v>
      </c>
      <c r="P10" s="52">
        <f t="shared" si="5"/>
        <v>0</v>
      </c>
      <c r="Q10" s="49">
        <f t="shared" si="6"/>
        <v>0.79155063291139216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3773453.1483365688</v>
      </c>
      <c r="E11" s="39">
        <f t="shared" si="1"/>
        <v>3140774.7678125002</v>
      </c>
      <c r="F11" s="40" t="s">
        <v>39</v>
      </c>
      <c r="G11" s="41">
        <v>7.8E-2</v>
      </c>
      <c r="H11" s="42">
        <v>0.23</v>
      </c>
      <c r="I11" s="43">
        <v>0.23</v>
      </c>
      <c r="J11" s="44">
        <f t="shared" si="7"/>
        <v>8.6353516277637831E-3</v>
      </c>
      <c r="K11" s="45">
        <f t="shared" si="2"/>
        <v>7.1875000000000003E-3</v>
      </c>
      <c r="L11" s="46">
        <f t="shared" si="3"/>
        <v>0</v>
      </c>
      <c r="M11" s="46">
        <f t="shared" si="4"/>
        <v>0</v>
      </c>
      <c r="N11" s="51">
        <v>900</v>
      </c>
      <c r="O11" s="37">
        <v>207</v>
      </c>
      <c r="P11" s="52">
        <f t="shared" si="5"/>
        <v>0</v>
      </c>
      <c r="Q11" s="49">
        <f t="shared" si="6"/>
        <v>1.9487179487179489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113491431.87270741</v>
      </c>
      <c r="E12" s="39">
        <f t="shared" si="1"/>
        <v>94462820.015625</v>
      </c>
      <c r="F12" s="40" t="s">
        <v>34</v>
      </c>
      <c r="G12" s="41">
        <v>97.381</v>
      </c>
      <c r="H12" s="42">
        <v>146.5</v>
      </c>
      <c r="I12" s="43">
        <v>146.5</v>
      </c>
      <c r="J12" s="44">
        <f t="shared" si="7"/>
        <v>5.5003435368147571</v>
      </c>
      <c r="K12" s="45">
        <f t="shared" si="2"/>
        <v>4.578125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0.5044002423470697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8198992.2920100475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0.93862517693084591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745637420.97104537</v>
      </c>
      <c r="E14" s="39">
        <f t="shared" si="1"/>
        <v>620619656.76054692</v>
      </c>
      <c r="F14" s="40" t="s">
        <v>47</v>
      </c>
      <c r="G14" s="41">
        <v>11.5</v>
      </c>
      <c r="H14" s="42">
        <v>37.997500000000002</v>
      </c>
      <c r="I14" s="43">
        <v>37.997500000000002</v>
      </c>
      <c r="J14" s="44">
        <f t="shared" si="7"/>
        <v>1.4266164064171927</v>
      </c>
      <c r="K14" s="45">
        <f t="shared" si="2"/>
        <v>1.1874218750000001</v>
      </c>
      <c r="L14" s="46">
        <f t="shared" si="3"/>
        <v>0</v>
      </c>
      <c r="M14" s="46">
        <f t="shared" si="4"/>
        <v>0</v>
      </c>
      <c r="N14" s="51">
        <v>0</v>
      </c>
      <c r="O14" s="37">
        <v>0</v>
      </c>
      <c r="P14" s="52">
        <f t="shared" si="5"/>
        <v>0</v>
      </c>
      <c r="Q14" s="49">
        <f t="shared" si="6"/>
        <v>2.3041304347826088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31571751.840643972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0.29773190612246431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73926296.109961823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0.20649753892478609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0.24213363636363638</v>
      </c>
      <c r="Q16" s="49">
        <f t="shared" si="6"/>
        <v>1.8947368421052633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1487093049.0925446</v>
      </c>
      <c r="E17" s="39">
        <f t="shared" si="1"/>
        <v>1237758663.5832872</v>
      </c>
      <c r="F17" s="40" t="s">
        <v>34</v>
      </c>
      <c r="G17" s="41">
        <v>20.701700000000002</v>
      </c>
      <c r="H17" s="42">
        <v>28.816100000000002</v>
      </c>
      <c r="I17" s="43">
        <v>29.388162000000001</v>
      </c>
      <c r="J17" s="44">
        <f t="shared" si="7"/>
        <v>1.1033787502768946</v>
      </c>
      <c r="K17" s="45">
        <f t="shared" si="2"/>
        <v>0.91838006250000004</v>
      </c>
      <c r="L17" s="46">
        <f t="shared" si="3"/>
        <v>0.57206199999999896</v>
      </c>
      <c r="M17" s="46">
        <f t="shared" si="4"/>
        <v>1.9852165976658847</v>
      </c>
      <c r="N17" s="51">
        <v>123100</v>
      </c>
      <c r="O17" s="37">
        <v>3617682.8</v>
      </c>
      <c r="P17" s="48">
        <f t="shared" si="5"/>
        <v>0</v>
      </c>
      <c r="Q17" s="49">
        <f t="shared" si="6"/>
        <v>0.41960138539346992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327968741.94190288</v>
      </c>
      <c r="E19" s="39">
        <f t="shared" si="1"/>
        <v>272979657.84375</v>
      </c>
      <c r="F19" s="40" t="s">
        <v>47</v>
      </c>
      <c r="G19" s="41">
        <v>12.45</v>
      </c>
      <c r="H19" s="42">
        <v>13</v>
      </c>
      <c r="I19" s="43">
        <v>13</v>
      </c>
      <c r="J19" s="44">
        <f t="shared" ref="J19:J45" si="8">I19/$J$5</f>
        <v>0.48808509200403988</v>
      </c>
      <c r="K19" s="45">
        <f t="shared" ref="K19:K45" si="9">I19/$K$4</f>
        <v>0.40625</v>
      </c>
      <c r="L19" s="46">
        <f t="shared" ref="L19:L29" si="10">I19-H19</f>
        <v>0</v>
      </c>
      <c r="M19" s="46">
        <f>((I19-H19)/H19)*100</f>
        <v>0</v>
      </c>
      <c r="N19" s="51">
        <v>300</v>
      </c>
      <c r="O19" s="37">
        <v>3900</v>
      </c>
      <c r="P19" s="52">
        <f>(R19)/J19</f>
        <v>0</v>
      </c>
      <c r="Q19" s="49">
        <f t="shared" ref="Q19:Q29" si="11">I19/G19-1</f>
        <v>4.4176706827309342E-2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3803258.930267659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3.4916856581827471E-2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84845513.632916465</v>
      </c>
      <c r="E21" s="39">
        <f t="shared" si="1"/>
        <v>70619837.561207503</v>
      </c>
      <c r="F21" s="40" t="s">
        <v>47</v>
      </c>
      <c r="G21" s="41">
        <v>2.85</v>
      </c>
      <c r="H21" s="42">
        <v>3.28</v>
      </c>
      <c r="I21" s="43">
        <v>3.2744439999999999</v>
      </c>
      <c r="J21" s="44">
        <f t="shared" si="8"/>
        <v>0.12293902315400587</v>
      </c>
      <c r="K21" s="45">
        <f t="shared" si="9"/>
        <v>0.102326375</v>
      </c>
      <c r="L21" s="46">
        <f t="shared" si="10"/>
        <v>-5.5559999999998944E-3</v>
      </c>
      <c r="M21" s="46">
        <f>((I21-H21)/H21)*100</f>
        <v>-0.16939024390243582</v>
      </c>
      <c r="N21" s="51">
        <v>900</v>
      </c>
      <c r="O21" s="37">
        <v>2947</v>
      </c>
      <c r="P21" s="52">
        <f>(R21)/J21</f>
        <v>0</v>
      </c>
      <c r="Q21" s="49">
        <f t="shared" si="11"/>
        <v>0.14892771929824544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1863565.9798963759</v>
      </c>
      <c r="E23" s="39">
        <f t="shared" si="1"/>
        <v>1551110.0251483126</v>
      </c>
      <c r="F23" s="40" t="s">
        <v>44</v>
      </c>
      <c r="G23" s="41">
        <v>0.1</v>
      </c>
      <c r="H23" s="42">
        <v>9.2502000000000001E-2</v>
      </c>
      <c r="I23" s="43">
        <v>9.2502000000000001E-2</v>
      </c>
      <c r="J23" s="44">
        <f t="shared" si="8"/>
        <v>3.4729882446582843E-3</v>
      </c>
      <c r="K23" s="45">
        <f t="shared" si="9"/>
        <v>2.8906875E-3</v>
      </c>
      <c r="L23" s="46">
        <f t="shared" si="10"/>
        <v>0</v>
      </c>
      <c r="M23" s="46">
        <f t="shared" ref="M23:M29" si="12">((I23-H23)/H23)*100</f>
        <v>0</v>
      </c>
      <c r="N23" s="51">
        <v>0</v>
      </c>
      <c r="O23" s="37">
        <v>0</v>
      </c>
      <c r="P23" s="52">
        <f t="shared" ref="P23:P29" si="13">(R23)/J23</f>
        <v>0</v>
      </c>
      <c r="Q23" s="49">
        <f t="shared" si="11"/>
        <v>-7.4980000000000047E-2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65950938.049290434</v>
      </c>
      <c r="E24" s="39">
        <f t="shared" si="1"/>
        <v>54893232.80191987</v>
      </c>
      <c r="F24" s="40" t="s">
        <v>34</v>
      </c>
      <c r="G24" s="41">
        <v>8.1687659999999997</v>
      </c>
      <c r="H24" s="42">
        <v>9.0960990000000006</v>
      </c>
      <c r="I24" s="43">
        <v>9.1004989999999992</v>
      </c>
      <c r="J24" s="44">
        <f t="shared" si="8"/>
        <v>0.34167829936135941</v>
      </c>
      <c r="K24" s="45">
        <f t="shared" si="9"/>
        <v>0.28439059374999998</v>
      </c>
      <c r="L24" s="46">
        <f t="shared" si="10"/>
        <v>4.3999999999986272E-3</v>
      </c>
      <c r="M24" s="46">
        <f t="shared" si="12"/>
        <v>4.837238468928963E-2</v>
      </c>
      <c r="N24" s="51">
        <v>56300</v>
      </c>
      <c r="O24" s="37">
        <v>512358.1</v>
      </c>
      <c r="P24" s="48">
        <f t="shared" si="13"/>
        <v>4.3900944332832738E-2</v>
      </c>
      <c r="Q24" s="49">
        <f t="shared" si="11"/>
        <v>0.11406043458705994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96788072.253572568</v>
      </c>
      <c r="E25" s="39">
        <f t="shared" si="1"/>
        <v>80560039.626632154</v>
      </c>
      <c r="F25" s="40" t="s">
        <v>66</v>
      </c>
      <c r="G25" s="41">
        <v>1.6675</v>
      </c>
      <c r="H25" s="42">
        <v>1.5275810000000001</v>
      </c>
      <c r="I25" s="43">
        <v>1.5275810000000001</v>
      </c>
      <c r="J25" s="44">
        <f t="shared" si="8"/>
        <v>5.7353039456047944E-2</v>
      </c>
      <c r="K25" s="45">
        <f t="shared" si="9"/>
        <v>4.7736906250000002E-2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-8.3909445277361216E-2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23840214.224958416</v>
      </c>
      <c r="E26" s="39">
        <f t="shared" si="1"/>
        <v>19843029.806796875</v>
      </c>
      <c r="F26" s="40" t="s">
        <v>44</v>
      </c>
      <c r="G26" s="41">
        <v>1.7994999999999999</v>
      </c>
      <c r="H26" s="42">
        <v>3</v>
      </c>
      <c r="I26" s="43">
        <v>2.6524999999999999</v>
      </c>
      <c r="J26" s="44">
        <f t="shared" si="8"/>
        <v>9.958813127236274E-2</v>
      </c>
      <c r="K26" s="45">
        <f t="shared" si="9"/>
        <v>8.2890624999999996E-2</v>
      </c>
      <c r="L26" s="46">
        <f t="shared" si="10"/>
        <v>-0.34750000000000014</v>
      </c>
      <c r="M26" s="46">
        <f t="shared" si="12"/>
        <v>-11.583333333333339</v>
      </c>
      <c r="N26" s="51">
        <v>2600</v>
      </c>
      <c r="O26" s="37">
        <v>6896.5</v>
      </c>
      <c r="P26" s="52">
        <f t="shared" si="13"/>
        <v>0</v>
      </c>
      <c r="Q26" s="49">
        <f t="shared" si="11"/>
        <v>0.47402056126701875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24047367.745464336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9.387975085133303E-2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1">
        <v>0</v>
      </c>
      <c r="O27" s="37">
        <v>0</v>
      </c>
      <c r="P27" s="52">
        <f t="shared" si="13"/>
        <v>0</v>
      </c>
      <c r="Q27" s="49">
        <f t="shared" si="11"/>
        <v>-0.20269458891623682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26101148.235947847</v>
      </c>
      <c r="E28" s="39">
        <f t="shared" si="1"/>
        <v>21724882.903750002</v>
      </c>
      <c r="F28" s="40" t="s">
        <v>44</v>
      </c>
      <c r="G28" s="41">
        <v>0.8</v>
      </c>
      <c r="H28" s="42">
        <v>0.81791100000000005</v>
      </c>
      <c r="I28" s="43">
        <v>0.92</v>
      </c>
      <c r="J28" s="44">
        <f t="shared" si="8"/>
        <v>3.4541406511055132E-2</v>
      </c>
      <c r="K28" s="45">
        <f t="shared" si="9"/>
        <v>2.8750000000000001E-2</v>
      </c>
      <c r="L28" s="46">
        <f t="shared" si="10"/>
        <v>0.10208899999999999</v>
      </c>
      <c r="M28" s="46">
        <f t="shared" si="12"/>
        <v>12.481675879160443</v>
      </c>
      <c r="N28" s="51">
        <v>1000</v>
      </c>
      <c r="O28" s="37">
        <v>920</v>
      </c>
      <c r="P28" s="52">
        <f t="shared" si="13"/>
        <v>0</v>
      </c>
      <c r="Q28" s="49">
        <f t="shared" si="11"/>
        <v>0.14999999999999991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111958626.20344634</v>
      </c>
      <c r="E29" s="39">
        <f t="shared" si="1"/>
        <v>93187013.166904122</v>
      </c>
      <c r="F29" s="40" t="s">
        <v>47</v>
      </c>
      <c r="G29" s="41">
        <v>5.15</v>
      </c>
      <c r="H29" s="42">
        <v>6.6394739999999999</v>
      </c>
      <c r="I29" s="43">
        <v>6.6394739999999999</v>
      </c>
      <c r="J29" s="44">
        <f t="shared" si="8"/>
        <v>0.24927909831911005</v>
      </c>
      <c r="K29" s="45">
        <f t="shared" si="9"/>
        <v>0.2074835625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0.28921825242718446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14147831.313054774</v>
      </c>
      <c r="E31" s="39">
        <f t="shared" si="1"/>
        <v>11775726.333556874</v>
      </c>
      <c r="F31" s="40" t="s">
        <v>39</v>
      </c>
      <c r="G31" s="41">
        <v>1.4</v>
      </c>
      <c r="H31" s="42">
        <v>1.45</v>
      </c>
      <c r="I31" s="43">
        <v>1.4500659999999999</v>
      </c>
      <c r="J31" s="44">
        <f t="shared" si="8"/>
        <v>5.4442738232456156E-2</v>
      </c>
      <c r="K31" s="45">
        <f t="shared" si="9"/>
        <v>4.5314562499999995E-2</v>
      </c>
      <c r="L31" s="46">
        <f t="shared" ref="L31:L45" si="14">I31-H31</f>
        <v>6.5999999999899472E-5</v>
      </c>
      <c r="M31" s="46">
        <f t="shared" ref="M31:M45" si="15">((I31-H31)/H31)*100</f>
        <v>4.5517241379241019E-3</v>
      </c>
      <c r="N31" s="51">
        <v>60600</v>
      </c>
      <c r="O31" s="37">
        <v>87874</v>
      </c>
      <c r="P31" s="52">
        <f t="shared" ref="P31:P36" si="16">(R31)/J31</f>
        <v>0</v>
      </c>
      <c r="Q31" s="49">
        <f t="shared" ref="Q31:Q45" si="17">I31/G31-1</f>
        <v>3.57614285714285E-2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4123437.5833029849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3.3790506369510455E-2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117116747.27892563</v>
      </c>
      <c r="E33" s="39">
        <f t="shared" si="1"/>
        <v>97480294.6484375</v>
      </c>
      <c r="F33" s="40" t="s">
        <v>92</v>
      </c>
      <c r="G33" s="41">
        <v>1.44</v>
      </c>
      <c r="H33" s="42">
        <v>1.4205000000000001</v>
      </c>
      <c r="I33" s="43">
        <v>1.25</v>
      </c>
      <c r="J33" s="44">
        <f t="shared" si="8"/>
        <v>4.6931258846542298E-2</v>
      </c>
      <c r="K33" s="45">
        <f t="shared" si="9"/>
        <v>3.90625E-2</v>
      </c>
      <c r="L33" s="46">
        <f t="shared" si="14"/>
        <v>-0.1705000000000001</v>
      </c>
      <c r="M33" s="46">
        <f t="shared" si="15"/>
        <v>-12.00281590989089</v>
      </c>
      <c r="N33" s="51">
        <v>50000</v>
      </c>
      <c r="O33" s="37">
        <v>62500</v>
      </c>
      <c r="P33" s="52">
        <f t="shared" si="16"/>
        <v>0</v>
      </c>
      <c r="Q33" s="49">
        <f t="shared" si="17"/>
        <v>-0.13194444444444442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40146688.383532353</v>
      </c>
      <c r="E34" s="39">
        <f t="shared" si="1"/>
        <v>33415468.784027159</v>
      </c>
      <c r="F34" s="40" t="s">
        <v>34</v>
      </c>
      <c r="G34" s="41">
        <v>3.6056249999999999</v>
      </c>
      <c r="H34" s="42">
        <v>4.2182430000000002</v>
      </c>
      <c r="I34" s="43">
        <v>4.2182430000000002</v>
      </c>
      <c r="J34" s="44">
        <f t="shared" si="8"/>
        <v>0.1583739632884921</v>
      </c>
      <c r="K34" s="45">
        <f t="shared" si="9"/>
        <v>0.13182009375000001</v>
      </c>
      <c r="L34" s="46">
        <f t="shared" si="14"/>
        <v>0</v>
      </c>
      <c r="M34" s="46">
        <f t="shared" si="15"/>
        <v>0</v>
      </c>
      <c r="N34" s="51">
        <v>0</v>
      </c>
      <c r="O34" s="37">
        <v>0</v>
      </c>
      <c r="P34" s="52">
        <f t="shared" si="16"/>
        <v>0</v>
      </c>
      <c r="Q34" s="49">
        <f t="shared" si="17"/>
        <v>0.1699061882475299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10700449.254728606</v>
      </c>
      <c r="E35" s="39">
        <f t="shared" si="1"/>
        <v>8906351.7426537499</v>
      </c>
      <c r="F35" s="40" t="s">
        <v>34</v>
      </c>
      <c r="G35" s="41">
        <v>2.5099999999999997E-2</v>
      </c>
      <c r="H35" s="42">
        <v>6.1669000000000002E-2</v>
      </c>
      <c r="I35" s="43">
        <v>6.0444999999999999E-2</v>
      </c>
      <c r="J35" s="44">
        <f t="shared" si="8"/>
        <v>2.2694079527833992E-3</v>
      </c>
      <c r="K35" s="45">
        <f t="shared" si="9"/>
        <v>1.88890625E-3</v>
      </c>
      <c r="L35" s="46">
        <f t="shared" si="14"/>
        <v>-1.2240000000000029E-3</v>
      </c>
      <c r="M35" s="46">
        <f t="shared" si="15"/>
        <v>-1.9847897647116099</v>
      </c>
      <c r="N35" s="51">
        <v>110100</v>
      </c>
      <c r="O35" s="37">
        <v>6654.96</v>
      </c>
      <c r="P35" s="52">
        <f t="shared" si="16"/>
        <v>0</v>
      </c>
      <c r="Q35" s="49">
        <f t="shared" si="17"/>
        <v>1.4081673306772911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68015180.416899756</v>
      </c>
      <c r="E36" s="39">
        <f t="shared" si="1"/>
        <v>56611372.682812504</v>
      </c>
      <c r="F36" s="40" t="s">
        <v>92</v>
      </c>
      <c r="G36" s="41">
        <v>0.61</v>
      </c>
      <c r="H36" s="42">
        <v>3.1961900000000001</v>
      </c>
      <c r="I36" s="43">
        <v>3.45</v>
      </c>
      <c r="J36" s="44">
        <f t="shared" si="8"/>
        <v>0.12953027441645673</v>
      </c>
      <c r="K36" s="45">
        <f t="shared" si="9"/>
        <v>0.10781250000000001</v>
      </c>
      <c r="L36" s="46">
        <f t="shared" si="14"/>
        <v>0.25381000000000009</v>
      </c>
      <c r="M36" s="46">
        <f t="shared" si="15"/>
        <v>7.9410172736914921</v>
      </c>
      <c r="N36" s="51">
        <v>300</v>
      </c>
      <c r="O36" s="37">
        <v>1035</v>
      </c>
      <c r="P36" s="52">
        <f t="shared" si="16"/>
        <v>0</v>
      </c>
      <c r="Q36" s="49">
        <f t="shared" si="17"/>
        <v>4.6557377049180335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99221042.297078639</v>
      </c>
      <c r="E37" s="39">
        <f t="shared" si="1"/>
        <v>82585084.227187499</v>
      </c>
      <c r="F37" s="40" t="s">
        <v>56</v>
      </c>
      <c r="G37" s="41">
        <v>0.11650199999999999</v>
      </c>
      <c r="H37" s="42">
        <v>0.55697200000000002</v>
      </c>
      <c r="I37" s="43">
        <v>0.63</v>
      </c>
      <c r="J37" s="44">
        <f t="shared" si="8"/>
        <v>2.3653354458657318E-2</v>
      </c>
      <c r="K37" s="45">
        <f t="shared" si="9"/>
        <v>1.96875E-2</v>
      </c>
      <c r="L37" s="46">
        <f t="shared" si="14"/>
        <v>7.3027999999999982E-2</v>
      </c>
      <c r="M37" s="46">
        <f t="shared" si="15"/>
        <v>13.111610637518577</v>
      </c>
      <c r="N37" s="51">
        <v>281900</v>
      </c>
      <c r="O37" s="37">
        <v>177597</v>
      </c>
      <c r="P37" s="52">
        <v>0</v>
      </c>
      <c r="Q37" s="49">
        <f t="shared" si="17"/>
        <v>4.407632486995932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22888110.120115682</v>
      </c>
      <c r="E38" s="39">
        <f t="shared" si="1"/>
        <v>19050560.831757657</v>
      </c>
      <c r="F38" s="40" t="s">
        <v>39</v>
      </c>
      <c r="G38" s="41">
        <v>0.1</v>
      </c>
      <c r="H38" s="42">
        <v>0.14125500000000002</v>
      </c>
      <c r="I38" s="43">
        <v>0.14125500000000002</v>
      </c>
      <c r="J38" s="44">
        <f t="shared" si="8"/>
        <v>5.3034199746946663E-3</v>
      </c>
      <c r="K38" s="45">
        <f t="shared" si="9"/>
        <v>4.4142187500000006E-3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0.41255000000000019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7995151.9634161452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7.5090014154467671E-2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4772987.9481278183</v>
      </c>
      <c r="E40" s="39">
        <f t="shared" si="1"/>
        <v>3972721.9406875004</v>
      </c>
      <c r="F40" s="40" t="s">
        <v>39</v>
      </c>
      <c r="G40" s="41">
        <v>0.03</v>
      </c>
      <c r="H40" s="42">
        <v>7.1500000000000008E-2</v>
      </c>
      <c r="I40" s="43">
        <v>7.1500000000000008E-2</v>
      </c>
      <c r="J40" s="44">
        <f t="shared" si="8"/>
        <v>2.6844680060222194E-3</v>
      </c>
      <c r="K40" s="45">
        <f t="shared" si="9"/>
        <v>2.2343750000000002E-3</v>
      </c>
      <c r="L40" s="46">
        <f t="shared" si="14"/>
        <v>0</v>
      </c>
      <c r="M40" s="46">
        <f t="shared" si="15"/>
        <v>0</v>
      </c>
      <c r="N40" s="51">
        <v>0</v>
      </c>
      <c r="O40" s="37">
        <v>0</v>
      </c>
      <c r="P40" s="52">
        <f t="shared" si="18"/>
        <v>0</v>
      </c>
      <c r="Q40" s="49">
        <f t="shared" si="17"/>
        <v>1.3833333333333337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46042737.256285973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0.26281504954063684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313.12828370509152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6.7581012739020907E-7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1557066.5335070419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2.7032405095608367E-3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58025281.610080086</v>
      </c>
      <c r="E44" s="39">
        <f t="shared" si="1"/>
        <v>48296436.503124997</v>
      </c>
      <c r="F44" s="40" t="s">
        <v>47</v>
      </c>
      <c r="G44" s="41">
        <v>0.9998999999999999</v>
      </c>
      <c r="H44" s="42">
        <v>0.85089499999999996</v>
      </c>
      <c r="I44" s="43">
        <v>0.85</v>
      </c>
      <c r="J44" s="44">
        <f t="shared" si="8"/>
        <v>3.1913256015648761E-2</v>
      </c>
      <c r="K44" s="45">
        <f t="shared" si="9"/>
        <v>2.6562499999999999E-2</v>
      </c>
      <c r="L44" s="46">
        <f t="shared" si="14"/>
        <v>-8.9499999999997915E-4</v>
      </c>
      <c r="M44" s="46">
        <f t="shared" si="15"/>
        <v>-0.10518336575017825</v>
      </c>
      <c r="N44" s="51">
        <v>500</v>
      </c>
      <c r="O44" s="37">
        <v>425</v>
      </c>
      <c r="P44" s="52">
        <f t="shared" si="18"/>
        <v>0</v>
      </c>
      <c r="Q44" s="49">
        <f t="shared" si="17"/>
        <v>-0.14991499149914989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14827952.326350212</v>
      </c>
      <c r="E45" s="39">
        <f t="shared" si="1"/>
        <v>12341814.432082498</v>
      </c>
      <c r="F45" s="40" t="s">
        <v>47</v>
      </c>
      <c r="G45" s="41">
        <v>1.4503460000000001</v>
      </c>
      <c r="H45" s="42">
        <v>3.8450819999999997</v>
      </c>
      <c r="I45" s="43">
        <v>3.8450819999999997</v>
      </c>
      <c r="J45" s="44">
        <f t="shared" si="8"/>
        <v>0.14436363090254442</v>
      </c>
      <c r="K45" s="45">
        <f t="shared" si="9"/>
        <v>0.12015881249999999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1.6511480708741222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691600</v>
      </c>
      <c r="O47" s="62">
        <f>SUM(O9:O45)</f>
        <v>4482892.2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8" t="s">
        <v>118</v>
      </c>
      <c r="B49" s="139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1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90607899.840000004</v>
      </c>
      <c r="E50" s="39">
        <v>0</v>
      </c>
      <c r="F50" s="40" t="s">
        <v>92</v>
      </c>
      <c r="G50" s="71">
        <v>0.1</v>
      </c>
      <c r="H50" s="42">
        <v>0.15690000000000001</v>
      </c>
      <c r="I50" s="42">
        <v>0.16</v>
      </c>
      <c r="J50" s="44">
        <f t="shared" ref="J50:J65" si="20">I50</f>
        <v>0.16</v>
      </c>
      <c r="K50" s="39">
        <v>0</v>
      </c>
      <c r="L50" s="46">
        <f t="shared" ref="L50:L65" si="21">I50-H50</f>
        <v>3.0999999999999917E-3</v>
      </c>
      <c r="M50" s="46">
        <f t="shared" ref="M50:M65" si="22">((I50-H50)/H50)*100</f>
        <v>1.9757807520713777</v>
      </c>
      <c r="N50" s="51">
        <v>76</v>
      </c>
      <c r="O50" s="37">
        <v>12.16</v>
      </c>
      <c r="P50" s="72">
        <f>(R50)/J50</f>
        <v>0</v>
      </c>
      <c r="Q50" s="49">
        <f t="shared" ref="Q50:Q65" si="23">J50/G50-1</f>
        <v>0.59999999999999987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43920287</v>
      </c>
      <c r="E51" s="39">
        <v>0</v>
      </c>
      <c r="F51" s="40" t="s">
        <v>39</v>
      </c>
      <c r="G51" s="71">
        <v>39.9</v>
      </c>
      <c r="H51" s="42">
        <v>33.25</v>
      </c>
      <c r="I51" s="42">
        <v>39.5</v>
      </c>
      <c r="J51" s="44">
        <f t="shared" si="20"/>
        <v>39.5</v>
      </c>
      <c r="K51" s="39">
        <v>0</v>
      </c>
      <c r="L51" s="46">
        <f t="shared" si="21"/>
        <v>6.25</v>
      </c>
      <c r="M51" s="46">
        <f t="shared" si="22"/>
        <v>18.796992481203006</v>
      </c>
      <c r="N51" s="51">
        <v>1</v>
      </c>
      <c r="O51" s="37">
        <v>39.5</v>
      </c>
      <c r="P51" s="73">
        <f>(R51)/J51</f>
        <v>1.4177215189873419E-2</v>
      </c>
      <c r="Q51" s="49">
        <f t="shared" si="23"/>
        <v>-1.0025062656641603E-2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684008508.20579994</v>
      </c>
      <c r="E52" s="39"/>
      <c r="F52" s="40" t="s">
        <v>56</v>
      </c>
      <c r="G52" s="71">
        <v>0.33</v>
      </c>
      <c r="H52" s="42">
        <v>0.22739999999999999</v>
      </c>
      <c r="I52" s="42">
        <v>0.2286</v>
      </c>
      <c r="J52" s="44">
        <f t="shared" si="20"/>
        <v>0.2286</v>
      </c>
      <c r="K52" s="39">
        <v>0</v>
      </c>
      <c r="L52" s="46">
        <f t="shared" si="21"/>
        <v>1.2000000000000066E-3</v>
      </c>
      <c r="M52" s="46">
        <f t="shared" si="22"/>
        <v>0.52770448548812954</v>
      </c>
      <c r="N52" s="51">
        <v>42306</v>
      </c>
      <c r="O52" s="37">
        <v>9670.15</v>
      </c>
      <c r="P52" s="72">
        <v>0</v>
      </c>
      <c r="Q52" s="49">
        <f t="shared" si="23"/>
        <v>-0.30727272727272736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15243523.575000001</v>
      </c>
      <c r="E53" s="39">
        <v>0</v>
      </c>
      <c r="F53" s="40" t="s">
        <v>34</v>
      </c>
      <c r="G53" s="71">
        <v>2.3E-2</v>
      </c>
      <c r="H53" s="42">
        <v>2.5000000000000001E-2</v>
      </c>
      <c r="I53" s="42">
        <v>2.5000000000000001E-2</v>
      </c>
      <c r="J53" s="44">
        <f t="shared" si="20"/>
        <v>2.5000000000000001E-2</v>
      </c>
      <c r="K53" s="39">
        <v>0</v>
      </c>
      <c r="L53" s="46">
        <f t="shared" si="21"/>
        <v>0</v>
      </c>
      <c r="M53" s="46">
        <f t="shared" si="22"/>
        <v>0</v>
      </c>
      <c r="N53" s="51">
        <v>0</v>
      </c>
      <c r="O53" s="37">
        <v>0</v>
      </c>
      <c r="P53" s="72">
        <f t="shared" ref="P53:P65" si="24">(R53)/J53</f>
        <v>0</v>
      </c>
      <c r="Q53" s="49">
        <f t="shared" si="23"/>
        <v>8.6956521739130599E-2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328729781.208</v>
      </c>
      <c r="E54" s="39">
        <v>0</v>
      </c>
      <c r="F54" s="40" t="s">
        <v>47</v>
      </c>
      <c r="G54" s="71">
        <v>9.0200000000000002E-2</v>
      </c>
      <c r="H54" s="42">
        <v>0.15040000000000001</v>
      </c>
      <c r="I54" s="42">
        <v>0.152</v>
      </c>
      <c r="J54" s="44">
        <f t="shared" si="20"/>
        <v>0.152</v>
      </c>
      <c r="K54" s="39">
        <v>0</v>
      </c>
      <c r="L54" s="46">
        <f t="shared" si="21"/>
        <v>1.5999999999999903E-3</v>
      </c>
      <c r="M54" s="74">
        <f t="shared" si="22"/>
        <v>1.0638297872340361</v>
      </c>
      <c r="N54" s="51">
        <v>214901</v>
      </c>
      <c r="O54" s="37">
        <v>32675.46</v>
      </c>
      <c r="P54" s="72">
        <f t="shared" si="24"/>
        <v>0</v>
      </c>
      <c r="Q54" s="49">
        <f t="shared" si="23"/>
        <v>0.68514412416851433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866366158.73500001</v>
      </c>
      <c r="E55" s="39">
        <v>0</v>
      </c>
      <c r="F55" s="40" t="s">
        <v>34</v>
      </c>
      <c r="G55" s="71">
        <v>0.95750000000000002</v>
      </c>
      <c r="H55" s="42">
        <v>1.5002</v>
      </c>
      <c r="I55" s="42">
        <v>1.5043</v>
      </c>
      <c r="J55" s="44">
        <f t="shared" si="20"/>
        <v>1.5043</v>
      </c>
      <c r="K55" s="39">
        <v>0</v>
      </c>
      <c r="L55" s="46">
        <f t="shared" si="21"/>
        <v>4.0999999999999925E-3</v>
      </c>
      <c r="M55" s="46">
        <f t="shared" si="22"/>
        <v>0.27329689374749983</v>
      </c>
      <c r="N55" s="51">
        <v>75090</v>
      </c>
      <c r="O55" s="37">
        <v>112957.31</v>
      </c>
      <c r="P55" s="73">
        <f t="shared" si="24"/>
        <v>3.1243767865452372E-2</v>
      </c>
      <c r="Q55" s="49">
        <f t="shared" si="23"/>
        <v>0.57107049608355087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1">
        <v>0.1595</v>
      </c>
      <c r="H56" s="42">
        <v>0.15049999999999999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-5.0000000000000044E-4</v>
      </c>
      <c r="M56" s="46">
        <f t="shared" si="22"/>
        <v>-0.33222591362126275</v>
      </c>
      <c r="N56" s="51">
        <v>110</v>
      </c>
      <c r="O56" s="37">
        <v>16.5</v>
      </c>
      <c r="P56" s="72">
        <f t="shared" si="24"/>
        <v>0</v>
      </c>
      <c r="Q56" s="49">
        <f t="shared" si="23"/>
        <v>-5.9561128526645857E-2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22558536.405400001</v>
      </c>
      <c r="E57" s="39">
        <v>0</v>
      </c>
      <c r="F57" s="40" t="s">
        <v>92</v>
      </c>
      <c r="G57" s="71">
        <v>1.6799999999999999E-2</v>
      </c>
      <c r="H57" s="42">
        <v>2.4299999999999999E-2</v>
      </c>
      <c r="I57" s="42">
        <v>2.29E-2</v>
      </c>
      <c r="J57" s="44">
        <f t="shared" si="20"/>
        <v>2.29E-2</v>
      </c>
      <c r="K57" s="39">
        <v>0</v>
      </c>
      <c r="L57" s="46">
        <f t="shared" si="21"/>
        <v>-1.3999999999999985E-3</v>
      </c>
      <c r="M57" s="74">
        <f t="shared" si="22"/>
        <v>-5.7613168724279777</v>
      </c>
      <c r="N57" s="51">
        <v>142432</v>
      </c>
      <c r="O57" s="37">
        <v>3254.89</v>
      </c>
      <c r="P57" s="72">
        <f t="shared" si="24"/>
        <v>0</v>
      </c>
      <c r="Q57" s="49">
        <f t="shared" si="23"/>
        <v>0.36309523809523814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4048233552.9000001</v>
      </c>
      <c r="E59" s="39">
        <v>0</v>
      </c>
      <c r="F59" s="40" t="s">
        <v>47</v>
      </c>
      <c r="G59" s="71">
        <v>0.78169999999999995</v>
      </c>
      <c r="H59" s="52">
        <v>0.90090000000000003</v>
      </c>
      <c r="I59" s="42">
        <v>0.9</v>
      </c>
      <c r="J59" s="44">
        <f t="shared" si="20"/>
        <v>0.9</v>
      </c>
      <c r="K59" s="39">
        <v>0</v>
      </c>
      <c r="L59" s="46">
        <f t="shared" si="21"/>
        <v>-9.000000000000119E-4</v>
      </c>
      <c r="M59" s="46">
        <f t="shared" si="22"/>
        <v>-9.9900099900101222E-2</v>
      </c>
      <c r="N59" s="75">
        <v>5774</v>
      </c>
      <c r="O59" s="76">
        <v>5196.6000000000004</v>
      </c>
      <c r="P59" s="72">
        <f t="shared" si="24"/>
        <v>0</v>
      </c>
      <c r="Q59" s="49">
        <f t="shared" si="23"/>
        <v>0.15133682998592812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1182677872.5190001</v>
      </c>
      <c r="E60" s="39">
        <v>0</v>
      </c>
      <c r="F60" s="40" t="s">
        <v>92</v>
      </c>
      <c r="G60" s="71">
        <v>0.59499999999999997</v>
      </c>
      <c r="H60" s="42">
        <v>1.4764999999999999</v>
      </c>
      <c r="I60" s="42">
        <v>1.4690000000000001</v>
      </c>
      <c r="J60" s="44">
        <f t="shared" si="20"/>
        <v>1.4690000000000001</v>
      </c>
      <c r="K60" s="39">
        <v>0</v>
      </c>
      <c r="L60" s="46">
        <f t="shared" si="21"/>
        <v>-7.4999999999998401E-3</v>
      </c>
      <c r="M60" s="46">
        <f t="shared" si="22"/>
        <v>-0.50795800880459463</v>
      </c>
      <c r="N60" s="51">
        <v>380109</v>
      </c>
      <c r="O60" s="37">
        <v>558373.34</v>
      </c>
      <c r="P60" s="72">
        <f t="shared" si="24"/>
        <v>0</v>
      </c>
      <c r="Q60" s="49">
        <f t="shared" si="23"/>
        <v>1.4689075630252102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117321533.10000001</v>
      </c>
      <c r="E61" s="39">
        <v>0</v>
      </c>
      <c r="F61" s="40" t="s">
        <v>34</v>
      </c>
      <c r="G61" s="71">
        <v>0.22600000000000001</v>
      </c>
      <c r="H61" s="42">
        <v>0.45429999999999998</v>
      </c>
      <c r="I61" s="42">
        <v>0.45</v>
      </c>
      <c r="J61" s="44">
        <f t="shared" si="20"/>
        <v>0.45</v>
      </c>
      <c r="K61" s="39">
        <v>0</v>
      </c>
      <c r="L61" s="46">
        <f t="shared" si="21"/>
        <v>-4.2999999999999705E-3</v>
      </c>
      <c r="M61" s="46">
        <f t="shared" si="22"/>
        <v>-0.94651111600263493</v>
      </c>
      <c r="N61" s="51">
        <v>597</v>
      </c>
      <c r="O61" s="37">
        <v>268.64999999999998</v>
      </c>
      <c r="P61" s="72">
        <f t="shared" si="24"/>
        <v>0</v>
      </c>
      <c r="Q61" s="49">
        <f t="shared" si="23"/>
        <v>0.99115044247787609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398982544.04360002</v>
      </c>
      <c r="E62" s="39">
        <v>0</v>
      </c>
      <c r="F62" s="40" t="s">
        <v>34</v>
      </c>
      <c r="G62" s="71">
        <v>0.49440000000000001</v>
      </c>
      <c r="H62" s="42">
        <v>0.59619999999999995</v>
      </c>
      <c r="I62" s="42">
        <v>0.7097</v>
      </c>
      <c r="J62" s="44">
        <f t="shared" si="20"/>
        <v>0.7097</v>
      </c>
      <c r="K62" s="39">
        <v>0</v>
      </c>
      <c r="L62" s="46">
        <f t="shared" si="21"/>
        <v>0.11350000000000005</v>
      </c>
      <c r="M62" s="46">
        <f t="shared" si="22"/>
        <v>19.037235826903736</v>
      </c>
      <c r="N62" s="51">
        <v>91</v>
      </c>
      <c r="O62" s="37">
        <v>64.58</v>
      </c>
      <c r="P62" s="72">
        <f t="shared" si="24"/>
        <v>0</v>
      </c>
      <c r="Q62" s="49">
        <f t="shared" si="23"/>
        <v>0.43547734627831702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90766982.715000004</v>
      </c>
      <c r="E63" s="39">
        <v>0</v>
      </c>
      <c r="F63" s="40" t="s">
        <v>34</v>
      </c>
      <c r="G63" s="71">
        <v>0.25950000000000001</v>
      </c>
      <c r="H63" s="42">
        <v>0.249</v>
      </c>
      <c r="I63" s="42">
        <v>0.249</v>
      </c>
      <c r="J63" s="44">
        <f t="shared" si="20"/>
        <v>0.249</v>
      </c>
      <c r="K63" s="39">
        <v>0</v>
      </c>
      <c r="L63" s="46">
        <f t="shared" si="21"/>
        <v>0</v>
      </c>
      <c r="M63" s="46">
        <f t="shared" si="22"/>
        <v>0</v>
      </c>
      <c r="N63" s="51">
        <v>336</v>
      </c>
      <c r="O63" s="37">
        <v>83.66</v>
      </c>
      <c r="P63" s="72">
        <f t="shared" si="24"/>
        <v>0</v>
      </c>
      <c r="Q63" s="49">
        <f t="shared" si="23"/>
        <v>-4.0462427745664775E-2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1">
        <v>4.2999999999999997E-2</v>
      </c>
      <c r="H65" s="42">
        <v>0.11799999999999999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2.0000000000000018E-3</v>
      </c>
      <c r="M65" s="46">
        <f t="shared" si="22"/>
        <v>1.6949152542372898</v>
      </c>
      <c r="N65" s="51">
        <v>6500</v>
      </c>
      <c r="O65" s="37">
        <v>780</v>
      </c>
      <c r="P65" s="72">
        <f t="shared" si="24"/>
        <v>0</v>
      </c>
      <c r="Q65" s="49">
        <f t="shared" si="23"/>
        <v>1.7906976744186047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868323</v>
      </c>
      <c r="O66" s="63">
        <f>SUM(O50:O65)</f>
        <v>723392.79999999993</v>
      </c>
      <c r="P66" s="80"/>
      <c r="Q66" s="64"/>
    </row>
    <row r="67" spans="1:20" ht="12.6" hidden="1" x14ac:dyDescent="0.3">
      <c r="A67" s="132" t="s">
        <v>152</v>
      </c>
      <c r="B67" s="133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5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2" t="s">
        <v>156</v>
      </c>
      <c r="B70" s="133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5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40564330.9344</v>
      </c>
      <c r="E71" s="39">
        <f>C71*K71</f>
        <v>40564330.9344</v>
      </c>
      <c r="F71" s="92" t="s">
        <v>159</v>
      </c>
      <c r="G71" s="92">
        <v>0.24</v>
      </c>
      <c r="H71" s="93">
        <v>0.28460000000000002</v>
      </c>
      <c r="I71" s="93">
        <v>0.29120000000000001</v>
      </c>
      <c r="J71" s="94">
        <f>I71</f>
        <v>0.29120000000000001</v>
      </c>
      <c r="K71" s="94">
        <f>J71</f>
        <v>0.29120000000000001</v>
      </c>
      <c r="L71" s="46">
        <f>I71-H71</f>
        <v>6.5999999999999948E-3</v>
      </c>
      <c r="M71" s="46">
        <f>((I71-H71)/H71)*100</f>
        <v>2.3190442726633851</v>
      </c>
      <c r="N71" s="95">
        <v>615</v>
      </c>
      <c r="O71" s="96">
        <v>179.09</v>
      </c>
      <c r="P71" s="72">
        <f>(R71)/J71</f>
        <v>0</v>
      </c>
      <c r="Q71" s="49">
        <f>J71/G71-1</f>
        <v>0.21333333333333337</v>
      </c>
      <c r="T71" s="53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89332189.100000009</v>
      </c>
      <c r="E72" s="39">
        <f>C72*K72</f>
        <v>89332189.100000009</v>
      </c>
      <c r="F72" s="92" t="s">
        <v>159</v>
      </c>
      <c r="G72" s="92">
        <v>0.1</v>
      </c>
      <c r="H72" s="93">
        <v>0.1525</v>
      </c>
      <c r="I72" s="93">
        <v>0.16520000000000001</v>
      </c>
      <c r="J72" s="94">
        <f>I72</f>
        <v>0.16520000000000001</v>
      </c>
      <c r="K72" s="94">
        <f>J72</f>
        <v>0.16520000000000001</v>
      </c>
      <c r="L72" s="46">
        <f>I72-H72</f>
        <v>1.2700000000000017E-2</v>
      </c>
      <c r="M72" s="46">
        <f>((I72-H72)/H72)*100</f>
        <v>8.3278688524590283</v>
      </c>
      <c r="N72" s="51">
        <v>905</v>
      </c>
      <c r="O72" s="96">
        <v>149.53</v>
      </c>
      <c r="P72" s="97">
        <f>(R72)/J72</f>
        <v>2.2953995157384985E-2</v>
      </c>
      <c r="Q72" s="49">
        <f>J72/G72-1</f>
        <v>0.65200000000000014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1520</v>
      </c>
      <c r="O73" s="63">
        <f>SUM(O71:O72)</f>
        <v>328.62</v>
      </c>
      <c r="P73" s="90"/>
      <c r="Q73" s="64"/>
    </row>
    <row r="74" spans="1:20" ht="12.6" x14ac:dyDescent="0.3">
      <c r="A74" s="132" t="s">
        <v>162</v>
      </c>
      <c r="B74" s="133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5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7073148.9051000001</v>
      </c>
      <c r="E75" s="39">
        <f>C75*K75</f>
        <v>7073148.9051000001</v>
      </c>
      <c r="F75" s="92" t="s">
        <v>137</v>
      </c>
      <c r="G75" s="92">
        <v>0.1394</v>
      </c>
      <c r="H75" s="93">
        <v>0.12</v>
      </c>
      <c r="I75" s="93">
        <v>0.1101</v>
      </c>
      <c r="J75" s="94">
        <f>I75</f>
        <v>0.1101</v>
      </c>
      <c r="K75" s="94">
        <f>J75</f>
        <v>0.1101</v>
      </c>
      <c r="L75" s="46">
        <f>I75-H75</f>
        <v>-9.8999999999999921E-3</v>
      </c>
      <c r="M75" s="46">
        <f>((I75-H75)/H75)*100</f>
        <v>-8.2499999999999929</v>
      </c>
      <c r="N75" s="95">
        <v>3859</v>
      </c>
      <c r="O75" s="96">
        <v>424.8</v>
      </c>
      <c r="P75" s="72">
        <f>(R75)/J75</f>
        <v>0</v>
      </c>
      <c r="Q75" s="49">
        <f>J75/G75-1</f>
        <v>-0.21018651362984209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8" t="s">
        <v>165</v>
      </c>
      <c r="B77" s="139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1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154738.72467119963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4.8808509200403988E-3</v>
      </c>
      <c r="K78" s="45">
        <f>I78/$K$4</f>
        <v>4.0625000000000001E-3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0.23809523809523814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408976.41647925455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3.0036005661787071E-3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1446533.8605483824</v>
      </c>
      <c r="E80" s="39">
        <f>C80*K80</f>
        <v>1203999.8567358751</v>
      </c>
      <c r="F80" s="40" t="s">
        <v>137</v>
      </c>
      <c r="G80" s="71">
        <v>6.0499999999999998E-2</v>
      </c>
      <c r="H80" s="42">
        <v>0.118119</v>
      </c>
      <c r="I80" s="42">
        <v>0.118119</v>
      </c>
      <c r="J80" s="44">
        <f>I80/$J$5</f>
        <v>4.4347786909557834E-3</v>
      </c>
      <c r="K80" s="45">
        <f>I80/$K$4</f>
        <v>3.6912187500000001E-3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0.95238016528925629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423716.86446627893</v>
      </c>
      <c r="E81" s="39">
        <f>C81*K81</f>
        <v>352674.11156250001</v>
      </c>
      <c r="F81" s="40" t="s">
        <v>137</v>
      </c>
      <c r="G81" s="71">
        <v>1.85</v>
      </c>
      <c r="H81" s="42">
        <v>1.69</v>
      </c>
      <c r="I81" s="42">
        <v>1.69</v>
      </c>
      <c r="J81" s="44">
        <f>I81/$J$5</f>
        <v>6.3451061960525176E-2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0</v>
      </c>
      <c r="O82" s="63">
        <f>SUM(O78:O81)</f>
        <v>0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2" t="s">
        <v>174</v>
      </c>
      <c r="B83" s="133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5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27657622.875421911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7.5090014154467671E-2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2">
        <f>(R84)/J84</f>
        <v>0</v>
      </c>
      <c r="Q84" s="49">
        <f>I84/G84-1</f>
        <v>0.53846153846153832</v>
      </c>
      <c r="R84" s="53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76671360.481064186</v>
      </c>
      <c r="E85" s="39">
        <f>C85*K85</f>
        <v>63816208.906406246</v>
      </c>
      <c r="F85" s="40" t="s">
        <v>177</v>
      </c>
      <c r="G85" s="40">
        <v>1.44347</v>
      </c>
      <c r="H85" s="42">
        <v>1.100943</v>
      </c>
      <c r="I85" s="42">
        <v>1.109181</v>
      </c>
      <c r="J85" s="44">
        <f>I85/$J$5</f>
        <v>4.1644208494933305E-2</v>
      </c>
      <c r="K85" s="45">
        <f>I85/$K$4</f>
        <v>3.4661906249999999E-2</v>
      </c>
      <c r="L85" s="46">
        <f>I85-H85</f>
        <v>8.2379999999999676E-3</v>
      </c>
      <c r="M85" s="46">
        <f>((I85-H85)/H85*100)</f>
        <v>0.748267621484488</v>
      </c>
      <c r="N85" s="76">
        <v>38975</v>
      </c>
      <c r="O85" s="76">
        <v>43229.214999999997</v>
      </c>
      <c r="P85" s="48">
        <f>(R85)/J85</f>
        <v>5.2252163713586867E-2</v>
      </c>
      <c r="Q85" s="49">
        <f>I85/G85-1</f>
        <v>-0.23158707835978587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113"/>
      <c r="G87" s="113"/>
      <c r="H87" s="60"/>
      <c r="M87" s="114"/>
      <c r="N87" s="114"/>
      <c r="O87" s="60"/>
      <c r="P87" s="60"/>
      <c r="Q87" s="115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3"/>
      <c r="J88" s="145" t="s">
        <v>182</v>
      </c>
      <c r="K88" s="146"/>
      <c r="L88" s="147"/>
      <c r="M88" s="145" t="s">
        <v>183</v>
      </c>
      <c r="N88" s="146"/>
      <c r="O88" s="147"/>
      <c r="Q88" s="16"/>
    </row>
    <row r="89" spans="1:243" ht="15" customHeight="1" x14ac:dyDescent="0.25">
      <c r="A89" s="35" t="s">
        <v>99</v>
      </c>
      <c r="B89" s="116">
        <v>0.63</v>
      </c>
      <c r="D89" s="116">
        <v>13.111610637518577</v>
      </c>
      <c r="E89" s="35" t="s">
        <v>90</v>
      </c>
      <c r="F89" s="117">
        <v>1.25</v>
      </c>
      <c r="H89" s="118">
        <v>-12.00281590989089</v>
      </c>
      <c r="J89" s="35" t="s">
        <v>144</v>
      </c>
      <c r="K89" s="52">
        <v>0.7097</v>
      </c>
      <c r="L89" s="119">
        <v>19.037235826903736</v>
      </c>
      <c r="M89" s="60" t="s">
        <v>133</v>
      </c>
      <c r="N89" s="117">
        <v>2.29E-2</v>
      </c>
      <c r="O89" s="118">
        <v>-5.7613168724279777</v>
      </c>
      <c r="Q89" s="16"/>
    </row>
    <row r="90" spans="1:243" ht="15" customHeight="1" x14ac:dyDescent="0.25">
      <c r="A90" s="35" t="s">
        <v>79</v>
      </c>
      <c r="B90" s="116">
        <v>0.92</v>
      </c>
      <c r="D90" s="116">
        <v>12.481675879160443</v>
      </c>
      <c r="E90" s="35" t="s">
        <v>75</v>
      </c>
      <c r="F90" s="117">
        <v>2.6524999999999999</v>
      </c>
      <c r="H90" s="118">
        <v>-11.583333333333339</v>
      </c>
      <c r="J90" s="35" t="s">
        <v>121</v>
      </c>
      <c r="K90" s="52">
        <v>39.5</v>
      </c>
      <c r="L90" s="119">
        <v>18.796992481203006</v>
      </c>
      <c r="M90" s="35" t="s">
        <v>142</v>
      </c>
      <c r="N90" s="117">
        <v>0.45</v>
      </c>
      <c r="O90" s="118">
        <v>-0.94651111600263493</v>
      </c>
      <c r="Q90" s="16"/>
    </row>
    <row r="91" spans="1:243" ht="15" customHeight="1" x14ac:dyDescent="0.25">
      <c r="A91" s="35" t="s">
        <v>97</v>
      </c>
      <c r="B91" s="116">
        <v>3.45</v>
      </c>
      <c r="C91" s="116"/>
      <c r="D91" s="116">
        <v>7.9410172736914921</v>
      </c>
      <c r="E91" s="35" t="s">
        <v>35</v>
      </c>
      <c r="F91" s="117">
        <v>5.6612999999999997E-2</v>
      </c>
      <c r="H91" s="118">
        <v>-4.4474075074264201</v>
      </c>
      <c r="J91" s="35" t="s">
        <v>119</v>
      </c>
      <c r="K91" s="52">
        <v>0.16</v>
      </c>
      <c r="L91" s="119">
        <v>1.9757807520713777</v>
      </c>
      <c r="M91" s="35" t="s">
        <v>140</v>
      </c>
      <c r="N91" s="117">
        <v>1.4690000000000001</v>
      </c>
      <c r="O91" s="118">
        <v>-0.50795800880459463</v>
      </c>
      <c r="Q91" s="16"/>
    </row>
    <row r="92" spans="1:243" ht="15" customHeight="1" x14ac:dyDescent="0.25">
      <c r="A92" s="35" t="s">
        <v>52</v>
      </c>
      <c r="B92" s="116">
        <v>29.388162000000001</v>
      </c>
      <c r="C92" s="116"/>
      <c r="D92" s="116">
        <v>1.9852165976658847</v>
      </c>
      <c r="E92" s="35" t="s">
        <v>95</v>
      </c>
      <c r="F92" s="117">
        <v>6.0444999999999999E-2</v>
      </c>
      <c r="H92" s="118">
        <v>-1.9847897647116099</v>
      </c>
      <c r="J92" s="35" t="s">
        <v>127</v>
      </c>
      <c r="K92" s="52">
        <v>0.152</v>
      </c>
      <c r="L92" s="119">
        <v>1.0638297872340361</v>
      </c>
      <c r="M92" s="35" t="s">
        <v>131</v>
      </c>
      <c r="N92" s="117">
        <v>0.15</v>
      </c>
      <c r="O92" s="118">
        <v>-0.33222591362126275</v>
      </c>
      <c r="Q92" s="16"/>
    </row>
    <row r="93" spans="1:243" ht="15" customHeight="1" x14ac:dyDescent="0.25">
      <c r="A93" s="35" t="s">
        <v>70</v>
      </c>
      <c r="B93" s="116">
        <v>9.1004989999999992</v>
      </c>
      <c r="C93" s="116"/>
      <c r="D93" s="116">
        <v>4.837238468928963E-2</v>
      </c>
      <c r="E93" s="35" t="s">
        <v>62</v>
      </c>
      <c r="F93" s="117">
        <v>3.2744439999999999</v>
      </c>
      <c r="G93" s="117"/>
      <c r="H93" s="118">
        <v>-0.16939024390243582</v>
      </c>
      <c r="J93" s="35" t="s">
        <v>123</v>
      </c>
      <c r="K93" s="52">
        <v>0.2286</v>
      </c>
      <c r="L93" s="119">
        <v>0.52770448548812954</v>
      </c>
      <c r="M93" s="35" t="s">
        <v>138</v>
      </c>
      <c r="N93" s="117">
        <v>0.9</v>
      </c>
      <c r="O93" s="118">
        <v>-9.9900099900101222E-2</v>
      </c>
      <c r="Q93" s="16"/>
    </row>
    <row r="94" spans="1:243" ht="15.75" customHeight="1" thickBot="1" x14ac:dyDescent="0.3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  <c r="Q94" s="16"/>
    </row>
    <row r="95" spans="1:243" x14ac:dyDescent="0.25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5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6" thickBot="1" x14ac:dyDescent="0.3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1"/>
      <c r="J102" s="131"/>
      <c r="K102" s="131"/>
      <c r="O102" s="131"/>
      <c r="P102" s="131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1"/>
      <c r="J105" s="131"/>
      <c r="K105" s="131"/>
      <c r="O105" s="131"/>
      <c r="P105" s="131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1"/>
      <c r="J107" s="131"/>
      <c r="K107" s="131"/>
      <c r="O107" s="131"/>
      <c r="P107" s="131"/>
    </row>
  </sheetData>
  <sheetProtection algorithmName="SHA-512" hashValue="nw238rQB4XVULJ7h4/y92o8bmXJ01CerRhoMeeO4GR9vAZ0BFl1YIszdp/hf/Hkp8h9guYvgXCnoEURpZMojkA==" saltValue="4msgx9j9uzji0TfZZJpPgg==" spinCount="100000" sheet="1" objects="1" scenarios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2026-09-24T13:15:00Z</dcterms:created>
  <dcterms:modified xsi:type="dcterms:W3CDTF">2026-09-24T13:22:01Z</dcterms:modified>
</cp:coreProperties>
</file>