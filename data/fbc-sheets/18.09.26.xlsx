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tetser\Desktop\18.09.26\"/>
    </mc:Choice>
  </mc:AlternateContent>
  <xr:revisionPtr revIDLastSave="0" documentId="13_ncr:1_{8DDA52E1-1FEE-4E7E-81AB-2112041B8905}" xr6:coauthVersionLast="47" xr6:coauthVersionMax="47" xr10:uidLastSave="{00000000-0000-0000-0000-000000000000}"/>
  <bookViews>
    <workbookView xWindow="-120" yWindow="-120" windowWidth="29040" windowHeight="15720" xr2:uid="{BE34AC27-E5E2-4311-9C8F-02F7B9DA45A3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M54" i="1"/>
  <c r="L54" i="1"/>
  <c r="J54" i="1"/>
  <c r="D54" i="1"/>
  <c r="M53" i="1"/>
  <c r="L53" i="1"/>
  <c r="J53" i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E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E42" i="1"/>
  <c r="Q41" i="1"/>
  <c r="M41" i="1"/>
  <c r="L41" i="1"/>
  <c r="K41" i="1"/>
  <c r="J41" i="1"/>
  <c r="P41" i="1" s="1"/>
  <c r="E41" i="1"/>
  <c r="D41" i="1"/>
  <c r="Q40" i="1"/>
  <c r="M40" i="1"/>
  <c r="L40" i="1"/>
  <c r="K40" i="1"/>
  <c r="E40" i="1" s="1"/>
  <c r="J40" i="1"/>
  <c r="P40" i="1" s="1"/>
  <c r="D40" i="1"/>
  <c r="Q39" i="1"/>
  <c r="M39" i="1"/>
  <c r="L39" i="1"/>
  <c r="K39" i="1"/>
  <c r="J39" i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E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K72" i="1"/>
  <c r="E72" i="1" s="1"/>
  <c r="P72" i="1"/>
  <c r="Q72" i="1"/>
  <c r="D71" i="1"/>
  <c r="Q71" i="1"/>
  <c r="K71" i="1"/>
  <c r="E71" i="1" s="1"/>
  <c r="P71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P57" i="1"/>
  <c r="Q57" i="1"/>
  <c r="Q56" i="1"/>
  <c r="P56" i="1"/>
  <c r="Q55" i="1"/>
  <c r="P55" i="1"/>
  <c r="D55" i="1"/>
  <c r="P54" i="1"/>
  <c r="Q54" i="1"/>
  <c r="Q53" i="1"/>
  <c r="P53" i="1"/>
  <c r="Q51" i="1"/>
  <c r="P51" i="1"/>
  <c r="Q50" i="1"/>
  <c r="P50" i="1"/>
  <c r="D44" i="1"/>
  <c r="P44" i="1"/>
  <c r="P42" i="1"/>
  <c r="D42" i="1"/>
  <c r="D39" i="1"/>
  <c r="P39" i="1"/>
  <c r="P32" i="1"/>
  <c r="D32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<sst xmlns="http://schemas.openxmlformats.org/spreadsheetml/2006/main" count="271" uniqueCount="185">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</sst>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5" applyNumberFormat="1" applyFont="1" applyFill="1" applyBorder="1"/>
    <xf numFmtId="43" fontId="15" fillId="5" borderId="0" xfId="5" applyFont="1" applyFill="1" applyBorder="1"/>
    <xf numFmtId="43" fontId="4" fillId="3" borderId="0" xfId="2" applyNumberFormat="1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8" borderId="0" xfId="5" applyFont="1" applyFill="1" applyBorder="1"/>
    <xf numFmtId="43" fontId="15" fillId="6" borderId="0" xfId="5" applyFont="1" applyFill="1" applyBorder="1"/>
    <xf numFmtId="43" fontId="15" fillId="7" borderId="0" xfId="5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5" applyNumberFormat="1" applyFont="1" applyFill="1" applyBorder="1"/>
    <xf numFmtId="43" fontId="15" fillId="5" borderId="0" xfId="5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5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5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165" fontId="15" fillId="5" borderId="0" xfId="4" applyNumberFormat="1" applyFont="1" applyFill="1" applyBorder="1" applyAlignment="1">
      <alignment horizontal="right"/>
    </xf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5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" xfId="3" xr:uid="{C794BC04-3584-40A9-B5FE-76329083DD00}"/>
    <cellStyle name="Comma 5 2 2 2 2 2 2 2 2 2 2 2 2" xfId="4" xr:uid="{ADBFD335-7F59-4468-B503-770E411E67EA}"/>
    <cellStyle name="Comma 6 2 2 2 2 2 2 2" xfId="5" xr:uid="{08F9D7D1-F092-4BD1-8B3C-EF65F9861E70}"/>
    <cellStyle name="Hyperlink 2" xfId="8" xr:uid="{3C92C186-B96B-4F49-9DDC-02109800BBFD}"/>
    <cellStyle name="Normal" xfId="0" builtinId="0"/>
    <cellStyle name="Normal 2" xfId="2" xr:uid="{0CE34287-32ED-4353-90D0-FC2438DE02E0}"/>
    <cellStyle name="Normal 20" xfId="7" xr:uid="{49FAD035-EFB1-46FB-B7D7-342938AFA836}"/>
    <cellStyle name="Percent" xfId="1" builtinId="5"/>
    <cellStyle name="Percent 3" xfId="6" xr:uid="{3EC0D9FD-1325-4A82-B674-7492B9B803DB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C295CA7-6B35-4BAC-99C9-73128258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7E6E9B7-743A-43D5-B3AD-69642C2C7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0CFD-66AB-4E76-AB3D-3394026204C0}">
  <dimension ref="A1:II107"/>
  <sheetViews>
    <sheetView tabSelected="1" topLeftCell="A3" zoomScale="70" zoomScaleNormal="70" workbookViewId="0">
      <selection activeCell="N59" sqref="N5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26.6478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25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81586250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0.64733298808907302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2.3171999999999998E-2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3775930.5549897179</v>
      </c>
      <c r="E10" s="39">
        <f t="shared" si="1"/>
        <v>3144382.5701017189</v>
      </c>
      <c r="F10" s="40" t="s">
        <v>34</v>
      </c>
      <c r="G10" s="41">
        <v>3.1600000000000003E-2</v>
      </c>
      <c r="H10" s="42">
        <v>6.2E-2</v>
      </c>
      <c r="I10" s="43">
        <v>6.1829000000000002E-2</v>
      </c>
      <c r="J10" s="44">
        <f t="shared" ref="J10:J17" si="7">I10/$J$5</f>
        <v>2.3202290620614086E-3</v>
      </c>
      <c r="K10" s="45">
        <f t="shared" si="2"/>
        <v>1.9321562500000001E-3</v>
      </c>
      <c r="L10" s="46">
        <f t="shared" si="3"/>
        <v>-1.7099999999999754E-4</v>
      </c>
      <c r="M10" s="46">
        <f t="shared" si="4"/>
        <v>-0.27580645161289924</v>
      </c>
      <c r="N10" s="51">
        <v>185900</v>
      </c>
      <c r="O10" s="37">
        <v>11494</v>
      </c>
      <c r="P10" s="52">
        <f t="shared" si="5"/>
        <v>0</v>
      </c>
      <c r="Q10" s="49">
        <f t="shared" si="6"/>
        <v>0.95661392405063284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3287849.6716239243</v>
      </c>
      <c r="E11" s="39">
        <f t="shared" si="1"/>
        <v>2737936.2649843753</v>
      </c>
      <c r="F11" s="40" t="s">
        <v>39</v>
      </c>
      <c r="G11" s="41">
        <v>7.8E-2</v>
      </c>
      <c r="H11" s="42">
        <v>0.20050000000000001</v>
      </c>
      <c r="I11" s="43">
        <v>0.20050000000000001</v>
      </c>
      <c r="J11" s="44">
        <f t="shared" si="7"/>
        <v>7.524073281846907E-3</v>
      </c>
      <c r="K11" s="45">
        <f t="shared" si="2"/>
        <v>6.2656250000000004E-3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1.5705128205128207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112331326.35919663</v>
      </c>
      <c r="E12" s="39">
        <f t="shared" si="1"/>
        <v>93543209.954831257</v>
      </c>
      <c r="F12" s="40" t="s">
        <v>34</v>
      </c>
      <c r="G12" s="41">
        <v>97.381</v>
      </c>
      <c r="H12" s="42">
        <v>170.3261</v>
      </c>
      <c r="I12" s="43">
        <v>145.07380000000001</v>
      </c>
      <c r="J12" s="44">
        <f t="shared" si="7"/>
        <v>5.4441192143441484</v>
      </c>
      <c r="K12" s="45">
        <f t="shared" si="2"/>
        <v>4.5335562500000002</v>
      </c>
      <c r="L12" s="46">
        <f t="shared" si="3"/>
        <v>-25.252299999999991</v>
      </c>
      <c r="M12" s="46">
        <f t="shared" si="4"/>
        <v>-14.825854640011126</v>
      </c>
      <c r="N12" s="51">
        <v>4200</v>
      </c>
      <c r="O12" s="37">
        <v>609310</v>
      </c>
      <c r="P12" s="52">
        <f t="shared" si="5"/>
        <v>0</v>
      </c>
      <c r="Q12" s="49">
        <f t="shared" si="6"/>
        <v>0.48975467493658931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8194961.6853924152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0.93816375085372905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2700</v>
      </c>
      <c r="O13" s="37">
        <v>67500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753655716.14260828</v>
      </c>
      <c r="E14" s="39">
        <f t="shared" si="1"/>
        <v>627602087.26953125</v>
      </c>
      <c r="F14" s="40" t="s">
        <v>47</v>
      </c>
      <c r="G14" s="41">
        <v>11.5</v>
      </c>
      <c r="H14" s="42">
        <v>38.816800000000001</v>
      </c>
      <c r="I14" s="43">
        <v>38.424999999999997</v>
      </c>
      <c r="J14" s="44">
        <f t="shared" si="7"/>
        <v>1.4419576850621814</v>
      </c>
      <c r="K14" s="45">
        <f t="shared" si="2"/>
        <v>1.2007812499999999</v>
      </c>
      <c r="L14" s="46">
        <f t="shared" si="3"/>
        <v>-0.39180000000000348</v>
      </c>
      <c r="M14" s="46">
        <f t="shared" si="4"/>
        <v>-1.0093567733558755</v>
      </c>
      <c r="N14" s="51">
        <v>200</v>
      </c>
      <c r="O14" s="37">
        <v>7685</v>
      </c>
      <c r="P14" s="52">
        <f t="shared" si="5"/>
        <v>0</v>
      </c>
      <c r="Q14" s="49">
        <f t="shared" si="6"/>
        <v>2.3413043478260867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31556231.23672498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0.29758554177080282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73889954.105029315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0.20639602518782038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0.24225272727272729</v>
      </c>
      <c r="Q16" s="49">
        <f t="shared" si="6"/>
        <v>1.8947368421052633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1425964990.7695947</v>
      </c>
      <c r="E17" s="39">
        <f t="shared" si="1"/>
        <v>1187463433.7821877</v>
      </c>
      <c r="F17" s="40" t="s">
        <v>34</v>
      </c>
      <c r="G17" s="41">
        <v>20.701700000000002</v>
      </c>
      <c r="H17" s="42">
        <v>28.124299999999998</v>
      </c>
      <c r="I17" s="43">
        <v>28.194000000000003</v>
      </c>
      <c r="J17" s="44">
        <f t="shared" si="7"/>
        <v>1.0580235516628016</v>
      </c>
      <c r="K17" s="45">
        <f t="shared" si="2"/>
        <v>0.88106250000000008</v>
      </c>
      <c r="L17" s="46">
        <f t="shared" si="3"/>
        <v>6.9700000000004536E-2</v>
      </c>
      <c r="M17" s="46">
        <f t="shared" si="4"/>
        <v>0.24782839039551044</v>
      </c>
      <c r="N17" s="51">
        <v>3540200</v>
      </c>
      <c r="O17" s="37">
        <v>99812287.599999994</v>
      </c>
      <c r="P17" s="48">
        <f t="shared" si="5"/>
        <v>0</v>
      </c>
      <c r="Q17" s="49">
        <f t="shared" si="6"/>
        <v>0.36191713723993679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340402886.52483511</v>
      </c>
      <c r="E19" s="39">
        <f t="shared" si="1"/>
        <v>283468376.23551565</v>
      </c>
      <c r="F19" s="40" t="s">
        <v>47</v>
      </c>
      <c r="G19" s="41">
        <v>12.45</v>
      </c>
      <c r="H19" s="42">
        <v>13.4879</v>
      </c>
      <c r="I19" s="43">
        <v>13.499500000000001</v>
      </c>
      <c r="J19" s="44">
        <f t="shared" ref="J19:J45" si="8">I19/$J$5</f>
        <v>0.50658966218599666</v>
      </c>
      <c r="K19" s="45">
        <f t="shared" ref="K19:K45" si="9">I19/$K$4</f>
        <v>0.42185937500000004</v>
      </c>
      <c r="L19" s="46">
        <f t="shared" ref="L19:L29" si="10">I19-H19</f>
        <v>1.1600000000001387E-2</v>
      </c>
      <c r="M19" s="46">
        <f>((I19-H19)/H19)*100</f>
        <v>8.6003010105363972E-2</v>
      </c>
      <c r="N19" s="51">
        <v>300</v>
      </c>
      <c r="O19" s="37">
        <v>4049.85</v>
      </c>
      <c r="P19" s="52">
        <f>(R19)/J19</f>
        <v>0</v>
      </c>
      <c r="Q19" s="49">
        <f t="shared" ref="Q19:Q29" si="11">I19/G19-1</f>
        <v>8.4297188755020125E-2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3801389.256523991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3.4899691531758724E-2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86156310.951786637</v>
      </c>
      <c r="E21" s="39">
        <f t="shared" si="1"/>
        <v>71746129.468156874</v>
      </c>
      <c r="F21" s="40" t="s">
        <v>47</v>
      </c>
      <c r="G21" s="41">
        <v>2.85</v>
      </c>
      <c r="H21" s="42">
        <v>3.34</v>
      </c>
      <c r="I21" s="43">
        <v>3.326667</v>
      </c>
      <c r="J21" s="44">
        <f t="shared" si="8"/>
        <v>0.12483833562245289</v>
      </c>
      <c r="K21" s="45">
        <f t="shared" si="9"/>
        <v>0.10395834375</v>
      </c>
      <c r="L21" s="46">
        <f t="shared" si="10"/>
        <v>-1.3332999999999817E-2</v>
      </c>
      <c r="M21" s="46">
        <f>((I21-H21)/H21)*100</f>
        <v>-0.39919161676646164</v>
      </c>
      <c r="N21" s="51">
        <v>300</v>
      </c>
      <c r="O21" s="37">
        <v>998</v>
      </c>
      <c r="P21" s="52">
        <f>(R21)/J21</f>
        <v>0</v>
      </c>
      <c r="Q21" s="49">
        <f t="shared" si="11"/>
        <v>0.16725157894736831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1815792.6387553569</v>
      </c>
      <c r="E23" s="39">
        <f t="shared" si="1"/>
        <v>1512089.9712195313</v>
      </c>
      <c r="F23" s="40" t="s">
        <v>44</v>
      </c>
      <c r="G23" s="41">
        <v>0.1</v>
      </c>
      <c r="H23" s="42">
        <v>9.0036000000000005E-2</v>
      </c>
      <c r="I23" s="43">
        <v>9.0175000000000005E-2</v>
      </c>
      <c r="J23" s="44">
        <f t="shared" si="8"/>
        <v>3.3839566493294006E-3</v>
      </c>
      <c r="K23" s="45">
        <f t="shared" si="9"/>
        <v>2.8179687500000002E-3</v>
      </c>
      <c r="L23" s="46">
        <f t="shared" si="10"/>
        <v>1.3900000000000023E-4</v>
      </c>
      <c r="M23" s="46">
        <f t="shared" ref="M23:M29" si="12">((I23-H23)/H23)*100</f>
        <v>0.15438269136789753</v>
      </c>
      <c r="N23" s="51">
        <v>165600</v>
      </c>
      <c r="O23" s="37">
        <v>14933</v>
      </c>
      <c r="P23" s="52">
        <f t="shared" ref="P23:P29" si="13">(R23)/J23</f>
        <v>0</v>
      </c>
      <c r="Q23" s="49">
        <f t="shared" si="11"/>
        <v>-9.8249999999999948E-2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66573268.994179174</v>
      </c>
      <c r="E24" s="39">
        <f t="shared" si="1"/>
        <v>55438473.6719715</v>
      </c>
      <c r="F24" s="40" t="s">
        <v>34</v>
      </c>
      <c r="G24" s="41">
        <v>8.1687659999999997</v>
      </c>
      <c r="H24" s="42">
        <v>9.1908919999999998</v>
      </c>
      <c r="I24" s="43">
        <v>9.1908919999999998</v>
      </c>
      <c r="J24" s="44">
        <f t="shared" si="8"/>
        <v>0.34490246849646122</v>
      </c>
      <c r="K24" s="45">
        <f t="shared" si="9"/>
        <v>0.28721537499999999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4.3490555650093597E-2</v>
      </c>
      <c r="Q24" s="49">
        <f t="shared" si="11"/>
        <v>0.12512612064049833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92655504.361924559</v>
      </c>
      <c r="E25" s="39">
        <f t="shared" si="1"/>
        <v>77158292.160490409</v>
      </c>
      <c r="F25" s="40" t="s">
        <v>66</v>
      </c>
      <c r="G25" s="41">
        <v>1.6675</v>
      </c>
      <c r="H25" s="42">
        <v>1.4630770000000002</v>
      </c>
      <c r="I25" s="43">
        <v>1.4630770000000002</v>
      </c>
      <c r="J25" s="44">
        <f t="shared" si="8"/>
        <v>5.4904232244312859E-2</v>
      </c>
      <c r="K25" s="45">
        <f t="shared" si="9"/>
        <v>4.5721156250000006E-2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-0.1225925037481258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27157539.47212299</v>
      </c>
      <c r="E26" s="39">
        <f t="shared" si="1"/>
        <v>22615271.26078872</v>
      </c>
      <c r="F26" s="40" t="s">
        <v>44</v>
      </c>
      <c r="G26" s="41">
        <v>1.7994999999999999</v>
      </c>
      <c r="H26" s="42">
        <v>3.4907920000000003</v>
      </c>
      <c r="I26" s="43">
        <v>3.0230770000000002</v>
      </c>
      <c r="J26" s="44">
        <f t="shared" si="8"/>
        <v>0.11344565029758555</v>
      </c>
      <c r="K26" s="45">
        <f t="shared" si="9"/>
        <v>9.4471156250000007E-2</v>
      </c>
      <c r="L26" s="46">
        <f t="shared" si="10"/>
        <v>-0.4677150000000001</v>
      </c>
      <c r="M26" s="46">
        <f t="shared" si="12"/>
        <v>-13.398535346706423</v>
      </c>
      <c r="N26" s="51">
        <v>1300</v>
      </c>
      <c r="O26" s="37">
        <v>3930</v>
      </c>
      <c r="P26" s="52">
        <f t="shared" si="13"/>
        <v>0</v>
      </c>
      <c r="Q26" s="49">
        <f t="shared" si="11"/>
        <v>0.67995387607668811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24031133.996052206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2.41</v>
      </c>
      <c r="I27" s="43">
        <v>2.5</v>
      </c>
      <c r="J27" s="44">
        <f t="shared" si="8"/>
        <v>9.3816375085372897E-2</v>
      </c>
      <c r="K27" s="45">
        <f t="shared" si="9"/>
        <v>7.8125E-2</v>
      </c>
      <c r="L27" s="46">
        <f t="shared" si="10"/>
        <v>8.9999999999999858E-2</v>
      </c>
      <c r="M27" s="46">
        <f t="shared" si="12"/>
        <v>3.7344398340248901</v>
      </c>
      <c r="N27" s="51">
        <v>4800</v>
      </c>
      <c r="O27" s="37">
        <v>12000</v>
      </c>
      <c r="P27" s="52">
        <f t="shared" si="13"/>
        <v>0</v>
      </c>
      <c r="Q27" s="49">
        <f t="shared" si="11"/>
        <v>-0.20284094731830904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22698111.82179936</v>
      </c>
      <c r="E28" s="39">
        <f t="shared" si="1"/>
        <v>18901710.75640453</v>
      </c>
      <c r="F28" s="40" t="s">
        <v>44</v>
      </c>
      <c r="G28" s="41">
        <v>0.8</v>
      </c>
      <c r="H28" s="42">
        <v>0.80044499999999996</v>
      </c>
      <c r="I28" s="43">
        <v>0.80044499999999996</v>
      </c>
      <c r="J28" s="44">
        <f t="shared" si="8"/>
        <v>3.0037939342084524E-2</v>
      </c>
      <c r="K28" s="45">
        <f t="shared" si="9"/>
        <v>2.5013906249999999E-2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5.5624999999981384E-4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114777681.40634498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0.25555580573255576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800</v>
      </c>
      <c r="O29" s="37">
        <v>5448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14140232.645846935</v>
      </c>
      <c r="E31" s="39">
        <f t="shared" si="1"/>
        <v>11775190.359375</v>
      </c>
      <c r="F31" s="40" t="s">
        <v>39</v>
      </c>
      <c r="G31" s="41">
        <v>1.4</v>
      </c>
      <c r="H31" s="42">
        <v>1.45</v>
      </c>
      <c r="I31" s="43">
        <v>1.45</v>
      </c>
      <c r="J31" s="44">
        <f t="shared" si="8"/>
        <v>5.4413497549516278E-2</v>
      </c>
      <c r="K31" s="45">
        <f t="shared" si="9"/>
        <v>4.5312499999999999E-2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3.5714285714285809E-2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4121410.5104361339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3.3773895030734247E-2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100</v>
      </c>
      <c r="O32" s="37">
        <v>90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121926961.59064315</v>
      </c>
      <c r="E33" s="39">
        <f t="shared" si="1"/>
        <v>101533915.22109814</v>
      </c>
      <c r="F33" s="40" t="s">
        <v>92</v>
      </c>
      <c r="G33" s="41">
        <v>1.44</v>
      </c>
      <c r="H33" s="42">
        <v>1.420167</v>
      </c>
      <c r="I33" s="43">
        <v>1.3019800000000001</v>
      </c>
      <c r="J33" s="44">
        <f t="shared" si="8"/>
        <v>4.885881761346153E-2</v>
      </c>
      <c r="K33" s="45">
        <f t="shared" si="9"/>
        <v>4.0686875000000004E-2</v>
      </c>
      <c r="L33" s="46">
        <f t="shared" si="14"/>
        <v>-0.11818699999999982</v>
      </c>
      <c r="M33" s="46">
        <f t="shared" si="15"/>
        <v>-8.3220494491140702</v>
      </c>
      <c r="N33" s="51">
        <v>10100</v>
      </c>
      <c r="O33" s="37">
        <v>13150</v>
      </c>
      <c r="P33" s="52">
        <f t="shared" si="16"/>
        <v>0</v>
      </c>
      <c r="Q33" s="49">
        <f t="shared" si="17"/>
        <v>-9.5847222222222084E-2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40646089.870463155</v>
      </c>
      <c r="E34" s="39">
        <f t="shared" si="1"/>
        <v>33847777.301566504</v>
      </c>
      <c r="F34" s="40" t="s">
        <v>34</v>
      </c>
      <c r="G34" s="41">
        <v>3.6056249999999999</v>
      </c>
      <c r="H34" s="42">
        <v>4.2000029999999997</v>
      </c>
      <c r="I34" s="43">
        <v>4.2728160000000006</v>
      </c>
      <c r="J34" s="44">
        <f t="shared" si="8"/>
        <v>0.16034404341071309</v>
      </c>
      <c r="K34" s="45">
        <f t="shared" si="9"/>
        <v>0.13352550000000002</v>
      </c>
      <c r="L34" s="46">
        <f t="shared" si="14"/>
        <v>7.2813000000000905E-2</v>
      </c>
      <c r="M34" s="46">
        <f t="shared" si="15"/>
        <v>1.7336416188274368</v>
      </c>
      <c r="N34" s="51">
        <v>20600</v>
      </c>
      <c r="O34" s="37">
        <v>88020</v>
      </c>
      <c r="P34" s="52">
        <f t="shared" si="16"/>
        <v>0</v>
      </c>
      <c r="Q34" s="49">
        <f t="shared" si="17"/>
        <v>0.18504170566822697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9731746.0758486632</v>
      </c>
      <c r="E35" s="39">
        <f t="shared" si="1"/>
        <v>8104050.7212500004</v>
      </c>
      <c r="F35" s="40" t="s">
        <v>34</v>
      </c>
      <c r="G35" s="41">
        <v>2.5099999999999997E-2</v>
      </c>
      <c r="H35" s="42">
        <v>5.5E-2</v>
      </c>
      <c r="I35" s="43">
        <v>5.5E-2</v>
      </c>
      <c r="J35" s="44">
        <f t="shared" si="8"/>
        <v>2.0639602518782037E-3</v>
      </c>
      <c r="K35" s="45">
        <f t="shared" si="9"/>
        <v>1.71875E-3</v>
      </c>
      <c r="L35" s="46">
        <f t="shared" si="14"/>
        <v>0</v>
      </c>
      <c r="M35" s="46">
        <f t="shared" si="15"/>
        <v>0</v>
      </c>
      <c r="N35" s="51">
        <v>0</v>
      </c>
      <c r="O35" s="37">
        <v>0</v>
      </c>
      <c r="P35" s="52">
        <f t="shared" si="16"/>
        <v>0</v>
      </c>
      <c r="Q35" s="49">
        <f t="shared" si="17"/>
        <v>1.1912350597609564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66996501.632404916</v>
      </c>
      <c r="E36" s="39">
        <f t="shared" si="1"/>
        <v>55790918.006250001</v>
      </c>
      <c r="F36" s="40" t="s">
        <v>92</v>
      </c>
      <c r="G36" s="41">
        <v>0.61</v>
      </c>
      <c r="H36" s="42">
        <v>3.4068290000000001</v>
      </c>
      <c r="I36" s="43">
        <v>3.4</v>
      </c>
      <c r="J36" s="44">
        <f t="shared" si="8"/>
        <v>0.12759027011610713</v>
      </c>
      <c r="K36" s="45">
        <f t="shared" si="9"/>
        <v>0.10625</v>
      </c>
      <c r="L36" s="46">
        <f t="shared" si="14"/>
        <v>-6.829000000000196E-3</v>
      </c>
      <c r="M36" s="46">
        <f t="shared" si="15"/>
        <v>-0.20045033079148367</v>
      </c>
      <c r="N36" s="51">
        <v>6100</v>
      </c>
      <c r="O36" s="37">
        <v>20740</v>
      </c>
      <c r="P36" s="52">
        <f t="shared" si="16"/>
        <v>0</v>
      </c>
      <c r="Q36" s="49">
        <f t="shared" si="17"/>
        <v>4.5737704918032787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80724492.497412965</v>
      </c>
      <c r="E37" s="39">
        <f t="shared" si="1"/>
        <v>67222816.599142537</v>
      </c>
      <c r="F37" s="40" t="s">
        <v>56</v>
      </c>
      <c r="G37" s="41">
        <v>0.11650199999999999</v>
      </c>
      <c r="H37" s="42">
        <v>0.47981699999999994</v>
      </c>
      <c r="I37" s="43">
        <v>0.51280900000000007</v>
      </c>
      <c r="J37" s="44">
        <f t="shared" si="8"/>
        <v>1.9243952596462E-2</v>
      </c>
      <c r="K37" s="45">
        <f t="shared" si="9"/>
        <v>1.6025281250000002E-2</v>
      </c>
      <c r="L37" s="46">
        <f t="shared" si="14"/>
        <v>3.2992000000000132E-2</v>
      </c>
      <c r="M37" s="46">
        <f t="shared" si="15"/>
        <v>6.8759547910974677</v>
      </c>
      <c r="N37" s="51">
        <v>205800</v>
      </c>
      <c r="O37" s="37">
        <v>105536</v>
      </c>
      <c r="P37" s="52">
        <v>0</v>
      </c>
      <c r="Q37" s="49">
        <f t="shared" si="17"/>
        <v>3.4017184254347574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22754582.858978979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5.2724802797979578E-3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7991221.5642567119</v>
      </c>
      <c r="E39" s="39">
        <f t="shared" si="1"/>
        <v>6654639.8125</v>
      </c>
      <c r="F39" s="40" t="s">
        <v>44</v>
      </c>
      <c r="G39" s="41">
        <v>1.7452379999999998</v>
      </c>
      <c r="H39" s="42">
        <v>2.2999999999999998</v>
      </c>
      <c r="I39" s="43">
        <v>2</v>
      </c>
      <c r="J39" s="44">
        <f t="shared" si="8"/>
        <v>7.5053100068298323E-2</v>
      </c>
      <c r="K39" s="45">
        <f t="shared" si="9"/>
        <v>6.25E-2</v>
      </c>
      <c r="L39" s="46">
        <f t="shared" si="14"/>
        <v>-0.29999999999999982</v>
      </c>
      <c r="M39" s="46">
        <f t="shared" si="15"/>
        <v>-13.043478260869559</v>
      </c>
      <c r="N39" s="51">
        <v>50600</v>
      </c>
      <c r="O39" s="37">
        <v>101200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4364102.8302972857</v>
      </c>
      <c r="E40" s="39">
        <f t="shared" si="1"/>
        <v>3634179.3562873756</v>
      </c>
      <c r="F40" s="40" t="s">
        <v>39</v>
      </c>
      <c r="G40" s="41">
        <v>0.03</v>
      </c>
      <c r="H40" s="42">
        <v>6.5407000000000007E-2</v>
      </c>
      <c r="I40" s="43">
        <v>6.5407000000000007E-2</v>
      </c>
      <c r="J40" s="44">
        <f t="shared" si="8"/>
        <v>2.4544990580835945E-3</v>
      </c>
      <c r="K40" s="45">
        <f t="shared" si="9"/>
        <v>2.0439687500000002E-3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1.1802333333333337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46020102.747693993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0.26268585023904412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312.97435052799858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6.7547790061468494E-7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1556301.0830162342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2.70191160245874E-3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66866848.680941761</v>
      </c>
      <c r="E44" s="39">
        <f t="shared" si="1"/>
        <v>55682950.321249999</v>
      </c>
      <c r="F44" s="40" t="s">
        <v>47</v>
      </c>
      <c r="G44" s="41">
        <v>0.9998999999999999</v>
      </c>
      <c r="H44" s="42">
        <v>0.98</v>
      </c>
      <c r="I44" s="43">
        <v>0.98</v>
      </c>
      <c r="J44" s="44">
        <f t="shared" si="8"/>
        <v>3.6776019033466174E-2</v>
      </c>
      <c r="K44" s="45">
        <f t="shared" si="9"/>
        <v>3.0624999999999999E-2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-1.9901990199019837E-2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13105118.171106055</v>
      </c>
      <c r="E45" s="39">
        <f t="shared" si="1"/>
        <v>10913205.25</v>
      </c>
      <c r="F45" s="40" t="s">
        <v>47</v>
      </c>
      <c r="G45" s="41">
        <v>1.4503460000000001</v>
      </c>
      <c r="H45" s="42">
        <v>3.4</v>
      </c>
      <c r="I45" s="43">
        <v>3.4</v>
      </c>
      <c r="J45" s="44">
        <f t="shared" si="8"/>
        <v>0.12759027011610713</v>
      </c>
      <c r="K45" s="45">
        <f t="shared" si="9"/>
        <v>0.10625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1.3442681953133939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4199600</v>
      </c>
      <c r="O47" s="62">
        <f>SUM(O9:O45)</f>
        <v>100878371.44999999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88059552.657000005</v>
      </c>
      <c r="E50" s="39">
        <v>0</v>
      </c>
      <c r="F50" s="40" t="s">
        <v>92</v>
      </c>
      <c r="G50" s="71">
        <v>0.1</v>
      </c>
      <c r="H50" s="42">
        <v>0.1573</v>
      </c>
      <c r="I50" s="42">
        <v>0.1555</v>
      </c>
      <c r="J50" s="44">
        <f t="shared" ref="J50:J65" si="20">I50</f>
        <v>0.1555</v>
      </c>
      <c r="K50" s="39">
        <v>0</v>
      </c>
      <c r="L50" s="46">
        <f t="shared" ref="L50:L65" si="21">I50-H50</f>
        <v>-1.799999999999996E-3</v>
      </c>
      <c r="M50" s="46">
        <f t="shared" ref="M50:M65" si="22">((I50-H50)/H50)*100</f>
        <v>-1.1443102352193237</v>
      </c>
      <c r="N50" s="51">
        <v>32</v>
      </c>
      <c r="O50" s="37">
        <v>4.9800000000000004</v>
      </c>
      <c r="P50" s="72">
        <f>(R50)/J50</f>
        <v>0</v>
      </c>
      <c r="Q50" s="49">
        <f t="shared" ref="Q50:Q65" si="23">J50/G50-1</f>
        <v>0.55499999999999994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36859016.756399997</v>
      </c>
      <c r="E51" s="39">
        <v>0</v>
      </c>
      <c r="F51" s="40" t="s">
        <v>39</v>
      </c>
      <c r="G51" s="71">
        <v>39.9</v>
      </c>
      <c r="H51" s="42">
        <v>38.838299999999997</v>
      </c>
      <c r="I51" s="42">
        <v>33.1494</v>
      </c>
      <c r="J51" s="44">
        <f t="shared" si="20"/>
        <v>33.1494</v>
      </c>
      <c r="K51" s="39">
        <v>0</v>
      </c>
      <c r="L51" s="46">
        <f t="shared" si="21"/>
        <v>-5.6888999999999967</v>
      </c>
      <c r="M51" s="46">
        <f t="shared" si="22"/>
        <v>-14.647654505990213</v>
      </c>
      <c r="N51" s="51">
        <v>85</v>
      </c>
      <c r="O51" s="37">
        <v>2817.7</v>
      </c>
      <c r="P51" s="73">
        <f>(R51)/J51</f>
        <v>1.6893216770137619E-2</v>
      </c>
      <c r="Q51" s="49">
        <f t="shared" si="23"/>
        <v>-0.169187969924812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679221047.08099997</v>
      </c>
      <c r="E52" s="39"/>
      <c r="F52" s="40" t="s">
        <v>56</v>
      </c>
      <c r="G52" s="71">
        <v>0.33</v>
      </c>
      <c r="H52" s="42">
        <v>0.2248</v>
      </c>
      <c r="I52" s="42">
        <v>0.22700000000000001</v>
      </c>
      <c r="J52" s="44">
        <f t="shared" si="20"/>
        <v>0.22700000000000001</v>
      </c>
      <c r="K52" s="39">
        <v>0</v>
      </c>
      <c r="L52" s="46">
        <f t="shared" si="21"/>
        <v>2.2000000000000075E-3</v>
      </c>
      <c r="M52" s="46">
        <f t="shared" si="22"/>
        <v>0.9786476868327435</v>
      </c>
      <c r="N52" s="51">
        <v>31110</v>
      </c>
      <c r="O52" s="37">
        <v>7060.78</v>
      </c>
      <c r="P52" s="72">
        <v>0</v>
      </c>
      <c r="Q52" s="49">
        <f t="shared" si="23"/>
        <v>-0.31212121212121213</v>
      </c>
      <c r="R52" s="53"/>
      <c r="T52" s="53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15121575.386399999</v>
      </c>
      <c r="E53" s="39">
        <v>0</v>
      </c>
      <c r="F53" s="40" t="s">
        <v>34</v>
      </c>
      <c r="G53" s="71">
        <v>2.3E-2</v>
      </c>
      <c r="H53" s="42">
        <v>2.4E-2</v>
      </c>
      <c r="I53" s="42">
        <v>2.4799999999999999E-2</v>
      </c>
      <c r="J53" s="44">
        <f t="shared" si="20"/>
        <v>2.4799999999999999E-2</v>
      </c>
      <c r="K53" s="39">
        <v>0</v>
      </c>
      <c r="L53" s="46">
        <f t="shared" si="21"/>
        <v>7.9999999999999863E-4</v>
      </c>
      <c r="M53" s="46">
        <f t="shared" si="22"/>
        <v>3.3333333333333277</v>
      </c>
      <c r="N53" s="51">
        <v>2304265</v>
      </c>
      <c r="O53" s="37">
        <v>57143.86</v>
      </c>
      <c r="P53" s="72">
        <f t="shared" ref="P53:P65" si="24">(R53)/J53</f>
        <v>0</v>
      </c>
      <c r="Q53" s="49">
        <f t="shared" si="23"/>
        <v>7.8260869565217384E-2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346247618.23289996</v>
      </c>
      <c r="E54" s="39">
        <v>0</v>
      </c>
      <c r="F54" s="40" t="s">
        <v>47</v>
      </c>
      <c r="G54" s="71">
        <v>9.0200000000000002E-2</v>
      </c>
      <c r="H54" s="42">
        <v>0.15540000000000001</v>
      </c>
      <c r="I54" s="42">
        <v>0.16009999999999999</v>
      </c>
      <c r="J54" s="44">
        <f t="shared" si="20"/>
        <v>0.16009999999999999</v>
      </c>
      <c r="K54" s="39">
        <v>0</v>
      </c>
      <c r="L54" s="46">
        <f t="shared" si="21"/>
        <v>4.699999999999982E-3</v>
      </c>
      <c r="M54" s="74">
        <f t="shared" si="22"/>
        <v>3.0244530244530128</v>
      </c>
      <c r="N54" s="51">
        <v>182671</v>
      </c>
      <c r="O54" s="37">
        <v>29239.53</v>
      </c>
      <c r="P54" s="72">
        <f t="shared" si="24"/>
        <v>0</v>
      </c>
      <c r="Q54" s="49">
        <f t="shared" si="23"/>
        <v>0.77494456762749442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862507451.51999998</v>
      </c>
      <c r="E55" s="39">
        <v>0</v>
      </c>
      <c r="F55" s="40" t="s">
        <v>34</v>
      </c>
      <c r="G55" s="71">
        <v>0.95750000000000002</v>
      </c>
      <c r="H55" s="42">
        <v>1.4984</v>
      </c>
      <c r="I55" s="42">
        <v>1.4976</v>
      </c>
      <c r="J55" s="44">
        <f t="shared" si="20"/>
        <v>1.4976</v>
      </c>
      <c r="K55" s="39">
        <v>0</v>
      </c>
      <c r="L55" s="46">
        <f t="shared" si="21"/>
        <v>-7.9999999999991189E-4</v>
      </c>
      <c r="M55" s="46">
        <f t="shared" si="22"/>
        <v>-5.3390282968493852E-2</v>
      </c>
      <c r="N55" s="51">
        <v>90729</v>
      </c>
      <c r="O55" s="37">
        <v>135877.79999999999</v>
      </c>
      <c r="P55" s="73">
        <f t="shared" si="24"/>
        <v>3.1383547008547008E-2</v>
      </c>
      <c r="Q55" s="49">
        <f t="shared" si="23"/>
        <v>0.56407310704960834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24549129.188999999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0.14949999999999999</v>
      </c>
      <c r="J56" s="44">
        <f t="shared" si="20"/>
        <v>0.14949999999999999</v>
      </c>
      <c r="K56" s="39">
        <v>0</v>
      </c>
      <c r="L56" s="46">
        <f t="shared" si="21"/>
        <v>-5.0000000000000044E-4</v>
      </c>
      <c r="M56" s="46">
        <f t="shared" si="22"/>
        <v>-0.33333333333333365</v>
      </c>
      <c r="N56" s="51">
        <v>550</v>
      </c>
      <c r="O56" s="37">
        <v>82.23</v>
      </c>
      <c r="P56" s="72">
        <f t="shared" si="24"/>
        <v>0</v>
      </c>
      <c r="Q56" s="49">
        <f t="shared" si="23"/>
        <v>-6.2695924764890387E-2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22164500.835000001</v>
      </c>
      <c r="E57" s="39">
        <v>0</v>
      </c>
      <c r="F57" s="40" t="s">
        <v>92</v>
      </c>
      <c r="G57" s="71">
        <v>1.6799999999999999E-2</v>
      </c>
      <c r="H57" s="42">
        <v>2.5000000000000001E-2</v>
      </c>
      <c r="I57" s="42">
        <v>2.2499999999999999E-2</v>
      </c>
      <c r="J57" s="44">
        <f t="shared" si="20"/>
        <v>2.2499999999999999E-2</v>
      </c>
      <c r="K57" s="39">
        <v>0</v>
      </c>
      <c r="L57" s="46">
        <f t="shared" si="21"/>
        <v>-2.5000000000000022E-3</v>
      </c>
      <c r="M57" s="74">
        <f t="shared" si="22"/>
        <v>-10.000000000000009</v>
      </c>
      <c r="N57" s="51">
        <v>347221</v>
      </c>
      <c r="O57" s="37">
        <v>7824.69</v>
      </c>
      <c r="P57" s="72">
        <f t="shared" si="24"/>
        <v>0</v>
      </c>
      <c r="Q57" s="49">
        <f t="shared" si="23"/>
        <v>0.33928571428571441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4226355829.2276001</v>
      </c>
      <c r="E59" s="39">
        <v>0</v>
      </c>
      <c r="F59" s="40" t="s">
        <v>47</v>
      </c>
      <c r="G59" s="71">
        <v>0.78169999999999995</v>
      </c>
      <c r="H59" s="52">
        <v>0.90080000000000005</v>
      </c>
      <c r="I59" s="42">
        <v>0.93959999999999999</v>
      </c>
      <c r="J59" s="44">
        <f t="shared" si="20"/>
        <v>0.93959999999999999</v>
      </c>
      <c r="K59" s="39">
        <v>0</v>
      </c>
      <c r="L59" s="46">
        <f t="shared" si="21"/>
        <v>3.8799999999999946E-2</v>
      </c>
      <c r="M59" s="46">
        <f t="shared" si="22"/>
        <v>4.307282415630544</v>
      </c>
      <c r="N59" s="75">
        <v>965632</v>
      </c>
      <c r="O59" s="76">
        <v>907317.23</v>
      </c>
      <c r="P59" s="72">
        <f t="shared" si="24"/>
        <v>0</v>
      </c>
      <c r="Q59" s="49">
        <f t="shared" si="23"/>
        <v>0.2019956505053091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1136385171.5864999</v>
      </c>
      <c r="E60" s="39">
        <v>0</v>
      </c>
      <c r="F60" s="40" t="s">
        <v>92</v>
      </c>
      <c r="G60" s="71">
        <v>0.59499999999999997</v>
      </c>
      <c r="H60" s="42">
        <v>1.4214</v>
      </c>
      <c r="I60" s="42">
        <v>1.4115</v>
      </c>
      <c r="J60" s="44">
        <f t="shared" si="20"/>
        <v>1.4115</v>
      </c>
      <c r="K60" s="39">
        <v>0</v>
      </c>
      <c r="L60" s="46">
        <f t="shared" si="21"/>
        <v>-9.9000000000000199E-3</v>
      </c>
      <c r="M60" s="46">
        <f t="shared" si="22"/>
        <v>-0.69649641198818202</v>
      </c>
      <c r="N60" s="51">
        <v>364237</v>
      </c>
      <c r="O60" s="37">
        <v>514110.36</v>
      </c>
      <c r="P60" s="72">
        <f t="shared" si="24"/>
        <v>0</v>
      </c>
      <c r="Q60" s="49">
        <f t="shared" si="23"/>
        <v>1.3722689075630252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130357259</v>
      </c>
      <c r="E61" s="39">
        <v>0</v>
      </c>
      <c r="F61" s="40" t="s">
        <v>34</v>
      </c>
      <c r="G61" s="71">
        <v>0.22600000000000001</v>
      </c>
      <c r="H61" s="42">
        <v>0.4521</v>
      </c>
      <c r="I61" s="42">
        <v>0.5</v>
      </c>
      <c r="J61" s="44">
        <f t="shared" si="20"/>
        <v>0.5</v>
      </c>
      <c r="K61" s="39">
        <v>0</v>
      </c>
      <c r="L61" s="46">
        <f t="shared" si="21"/>
        <v>4.7899999999999998E-2</v>
      </c>
      <c r="M61" s="46">
        <f t="shared" si="22"/>
        <v>10.595001105950011</v>
      </c>
      <c r="N61" s="51">
        <v>15</v>
      </c>
      <c r="O61" s="37">
        <v>7.5</v>
      </c>
      <c r="P61" s="72">
        <f t="shared" si="24"/>
        <v>0</v>
      </c>
      <c r="Q61" s="49">
        <f t="shared" si="23"/>
        <v>1.2123893805309733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393529351.59999996</v>
      </c>
      <c r="E62" s="39">
        <v>0</v>
      </c>
      <c r="F62" s="40" t="s">
        <v>34</v>
      </c>
      <c r="G62" s="71">
        <v>0.49440000000000001</v>
      </c>
      <c r="H62" s="42">
        <v>0.69089999999999996</v>
      </c>
      <c r="I62" s="42">
        <v>0.7</v>
      </c>
      <c r="J62" s="44">
        <f t="shared" si="20"/>
        <v>0.7</v>
      </c>
      <c r="K62" s="39">
        <v>0</v>
      </c>
      <c r="L62" s="46">
        <f t="shared" si="21"/>
        <v>9.099999999999997E-3</v>
      </c>
      <c r="M62" s="46">
        <f t="shared" si="22"/>
        <v>1.3171225937183382</v>
      </c>
      <c r="N62" s="51">
        <v>159515</v>
      </c>
      <c r="O62" s="37">
        <v>111666.46</v>
      </c>
      <c r="P62" s="72">
        <f t="shared" si="24"/>
        <v>0</v>
      </c>
      <c r="Q62" s="49">
        <f t="shared" si="23"/>
        <v>0.41585760517799342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0</v>
      </c>
      <c r="M63" s="46">
        <f t="shared" si="22"/>
        <v>0</v>
      </c>
      <c r="N63" s="51">
        <v>100</v>
      </c>
      <c r="O63" s="37">
        <v>25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1">
        <v>75</v>
      </c>
      <c r="O65" s="37">
        <v>9</v>
      </c>
      <c r="P65" s="72">
        <f t="shared" si="24"/>
        <v>0</v>
      </c>
      <c r="Q65" s="49">
        <f t="shared" si="23"/>
        <v>1.7906976744186047</v>
      </c>
      <c r="T65" s="53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4446237</v>
      </c>
      <c r="O66" s="63">
        <f>SUM(O50:O65)</f>
        <v>1773187.12</v>
      </c>
      <c r="P66" s="80"/>
      <c r="Q66" s="64"/>
    </row>
    <row r="67" spans="1:20" ht="12.75" hidden="1" x14ac:dyDescent="0.25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75" x14ac:dyDescent="0.25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45551291.949000001</v>
      </c>
      <c r="E71" s="39">
        <f>C71*K71</f>
        <v>45551291.949000001</v>
      </c>
      <c r="F71" s="92" t="s">
        <v>159</v>
      </c>
      <c r="G71" s="92">
        <v>0.24</v>
      </c>
      <c r="H71" s="93">
        <v>0.32700000000000001</v>
      </c>
      <c r="I71" s="93">
        <v>0.32700000000000001</v>
      </c>
      <c r="J71" s="94">
        <f>I71</f>
        <v>0.32700000000000001</v>
      </c>
      <c r="K71" s="94">
        <f>J71</f>
        <v>0.32700000000000001</v>
      </c>
      <c r="L71" s="46">
        <f>I71-H71</f>
        <v>0</v>
      </c>
      <c r="M71" s="46">
        <f>((I71-H71)/H71)*100</f>
        <v>0</v>
      </c>
      <c r="N71" s="95">
        <v>0</v>
      </c>
      <c r="O71" s="96">
        <v>0</v>
      </c>
      <c r="P71" s="72">
        <f>(R71)/J71</f>
        <v>0</v>
      </c>
      <c r="Q71" s="49">
        <f>J71/G71-1</f>
        <v>0.36250000000000004</v>
      </c>
      <c r="T71" s="53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81166837.675000012</v>
      </c>
      <c r="E72" s="39">
        <f>C72*K72</f>
        <v>81166837.675000012</v>
      </c>
      <c r="F72" s="92" t="s">
        <v>159</v>
      </c>
      <c r="G72" s="92">
        <v>0.1</v>
      </c>
      <c r="H72" s="93">
        <v>0.14960000000000001</v>
      </c>
      <c r="I72" s="93">
        <v>0.15010000000000001</v>
      </c>
      <c r="J72" s="94">
        <f>I72</f>
        <v>0.15010000000000001</v>
      </c>
      <c r="K72" s="94">
        <f>J72</f>
        <v>0.15010000000000001</v>
      </c>
      <c r="L72" s="46">
        <f>I72-H72</f>
        <v>5.0000000000000044E-4</v>
      </c>
      <c r="M72" s="46">
        <f>((I72-H72)/H72)*100</f>
        <v>0.33422459893048151</v>
      </c>
      <c r="N72" s="51">
        <v>9406</v>
      </c>
      <c r="O72" s="96">
        <v>1411.92</v>
      </c>
      <c r="P72" s="97">
        <f>(R72)/J72</f>
        <v>2.5263157894736838E-2</v>
      </c>
      <c r="Q72" s="49">
        <f>J72/G72-1</f>
        <v>0.50100000000000011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9406</v>
      </c>
      <c r="O73" s="63">
        <f>SUM(O71:O72)</f>
        <v>1411.92</v>
      </c>
      <c r="P73" s="90"/>
      <c r="Q73" s="64"/>
    </row>
    <row r="74" spans="1:20" ht="12.75" x14ac:dyDescent="0.25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7715578.4150999999</v>
      </c>
      <c r="E75" s="39">
        <f>C75*K75</f>
        <v>7715578.4150999999</v>
      </c>
      <c r="F75" s="92" t="s">
        <v>137</v>
      </c>
      <c r="G75" s="92">
        <v>0.1394</v>
      </c>
      <c r="H75" s="93">
        <v>0.1198</v>
      </c>
      <c r="I75" s="93">
        <v>0.1201</v>
      </c>
      <c r="J75" s="94">
        <f>I75</f>
        <v>0.1201</v>
      </c>
      <c r="K75" s="94">
        <f>J75</f>
        <v>0.1201</v>
      </c>
      <c r="L75" s="46">
        <f>I75-H75</f>
        <v>2.9999999999999472E-4</v>
      </c>
      <c r="M75" s="46">
        <f>((I75-H75)/H75)*100</f>
        <v>0.25041736227044631</v>
      </c>
      <c r="N75" s="95">
        <v>16200</v>
      </c>
      <c r="O75" s="96">
        <v>1944.95</v>
      </c>
      <c r="P75" s="72">
        <f>(R75)/J75</f>
        <v>0</v>
      </c>
      <c r="Q75" s="49">
        <f>J75/G75-1</f>
        <v>-0.13845050215208032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75" x14ac:dyDescent="0.25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163214.31058759073</v>
      </c>
      <c r="E78" s="39">
        <f>C78*K78</f>
        <v>135915.69705237501</v>
      </c>
      <c r="F78" s="40" t="s">
        <v>137</v>
      </c>
      <c r="G78" s="71">
        <v>0.105</v>
      </c>
      <c r="H78" s="42">
        <v>0.14000000000000001</v>
      </c>
      <c r="I78" s="42">
        <v>0.137188</v>
      </c>
      <c r="J78" s="44">
        <f>I78/$J$5</f>
        <v>5.1481923460848554E-3</v>
      </c>
      <c r="K78" s="45">
        <f>I78/$K$4</f>
        <v>4.2871250000000001E-3</v>
      </c>
      <c r="L78" s="46">
        <f>I78-H78</f>
        <v>-2.8120000000000089E-3</v>
      </c>
      <c r="M78" s="98">
        <f>((I78-H78)/H78)*100</f>
        <v>-2.0085714285714351</v>
      </c>
      <c r="N78" s="37">
        <v>1600</v>
      </c>
      <c r="O78" s="37">
        <v>219.5</v>
      </c>
      <c r="P78" s="40">
        <v>0</v>
      </c>
      <c r="Q78" s="49">
        <f>I78/G78-1</f>
        <v>0.30655238095238113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408775.36457043356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3.0021240027319328E-3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100211</v>
      </c>
      <c r="O79" s="37">
        <v>8016.9049999999997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1468846.9231981628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4.5031860040978993E-3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426014.53403282817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6.3795135058053565E-2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101811</v>
      </c>
      <c r="O82" s="63">
        <f>SUM(O78:O81)</f>
        <v>8236.4049999999988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29475443.200939663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8.0025367947823084E-2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0</v>
      </c>
      <c r="O84" s="109">
        <v>0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79336620.464541152</v>
      </c>
      <c r="E85" s="39">
        <f>C85*K85</f>
        <v>66067074.837968744</v>
      </c>
      <c r="F85" s="40" t="s">
        <v>177</v>
      </c>
      <c r="G85" s="40">
        <v>1.44347</v>
      </c>
      <c r="H85" s="42">
        <v>1.073205</v>
      </c>
      <c r="I85" s="42">
        <v>1.1483029999999999</v>
      </c>
      <c r="J85" s="44">
        <f>I85/$J$5</f>
        <v>4.3091849983863575E-2</v>
      </c>
      <c r="K85" s="45">
        <f>I85/$K$4</f>
        <v>3.5884468749999995E-2</v>
      </c>
      <c r="L85" s="46">
        <f>I85-H85</f>
        <v>7.5097999999999887E-2</v>
      </c>
      <c r="M85" s="46">
        <f>((I85-H85)/H85*100)</f>
        <v>6.9975447374918955</v>
      </c>
      <c r="N85" s="109">
        <v>13721</v>
      </c>
      <c r="O85" s="109">
        <v>15756.11</v>
      </c>
      <c r="P85" s="48">
        <f>(R85)/J85</f>
        <v>5.0496787694537075E-2</v>
      </c>
      <c r="Q85" s="49">
        <f>I85/G85-1</f>
        <v>-0.20448433289226664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25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">
      <c r="A89" s="35" t="s">
        <v>99</v>
      </c>
      <c r="B89" s="117">
        <v>0.51280900000000007</v>
      </c>
      <c r="D89" s="117">
        <v>6.8759547910974677</v>
      </c>
      <c r="E89" s="35" t="s">
        <v>40</v>
      </c>
      <c r="F89" s="118">
        <v>145.07380000000001</v>
      </c>
      <c r="H89" s="119">
        <v>-14.825854640011126</v>
      </c>
      <c r="J89" s="35" t="s">
        <v>142</v>
      </c>
      <c r="K89" s="52">
        <v>0.5</v>
      </c>
      <c r="L89" s="120">
        <v>10.595001105950011</v>
      </c>
      <c r="M89" s="60" t="s">
        <v>121</v>
      </c>
      <c r="N89" s="118">
        <v>33.1494</v>
      </c>
      <c r="O89" s="119">
        <v>-14.647654505990213</v>
      </c>
      <c r="Q89" s="16"/>
    </row>
    <row r="90" spans="1:243" ht="15" customHeight="1" x14ac:dyDescent="0.2">
      <c r="A90" s="35" t="s">
        <v>77</v>
      </c>
      <c r="B90" s="117">
        <v>2.5</v>
      </c>
      <c r="D90" s="117">
        <v>3.7344398340248901</v>
      </c>
      <c r="E90" s="35" t="s">
        <v>75</v>
      </c>
      <c r="F90" s="118">
        <v>3.0230770000000002</v>
      </c>
      <c r="H90" s="119">
        <v>-13.398535346706423</v>
      </c>
      <c r="J90" s="35" t="s">
        <v>138</v>
      </c>
      <c r="K90" s="52">
        <v>0.93959999999999999</v>
      </c>
      <c r="L90" s="120">
        <v>4.307282415630544</v>
      </c>
      <c r="M90" s="35" t="s">
        <v>133</v>
      </c>
      <c r="N90" s="118">
        <v>2.2499999999999999E-2</v>
      </c>
      <c r="O90" s="119">
        <v>-10.000000000000009</v>
      </c>
      <c r="Q90" s="16"/>
    </row>
    <row r="91" spans="1:243" ht="15" customHeight="1" x14ac:dyDescent="0.2">
      <c r="A91" s="35" t="s">
        <v>93</v>
      </c>
      <c r="B91" s="117">
        <v>4.2728160000000006</v>
      </c>
      <c r="C91" s="117"/>
      <c r="D91" s="117">
        <v>1.7336416188274368</v>
      </c>
      <c r="E91" s="35" t="s">
        <v>103</v>
      </c>
      <c r="F91" s="118">
        <v>2</v>
      </c>
      <c r="H91" s="119">
        <v>-13.043478260869559</v>
      </c>
      <c r="J91" s="35" t="s">
        <v>125</v>
      </c>
      <c r="K91" s="52">
        <v>2.4799999999999999E-2</v>
      </c>
      <c r="L91" s="120">
        <v>3.3333333333333277</v>
      </c>
      <c r="M91" s="35" t="s">
        <v>119</v>
      </c>
      <c r="N91" s="118">
        <v>0.1555</v>
      </c>
      <c r="O91" s="119">
        <v>-1.1443102352193237</v>
      </c>
      <c r="Q91" s="16"/>
    </row>
    <row r="92" spans="1:243" ht="15" customHeight="1" x14ac:dyDescent="0.2">
      <c r="A92" s="35" t="s">
        <v>52</v>
      </c>
      <c r="B92" s="117">
        <v>28.194000000000003</v>
      </c>
      <c r="C92" s="117"/>
      <c r="D92" s="117">
        <v>0.24782839039551044</v>
      </c>
      <c r="E92" s="35" t="s">
        <v>90</v>
      </c>
      <c r="F92" s="118">
        <v>1.3019800000000001</v>
      </c>
      <c r="H92" s="119">
        <v>-8.3220494491140702</v>
      </c>
      <c r="J92" s="35" t="s">
        <v>127</v>
      </c>
      <c r="K92" s="52">
        <v>0.16009999999999999</v>
      </c>
      <c r="L92" s="120">
        <v>3.0244530244530128</v>
      </c>
      <c r="M92" s="35" t="s">
        <v>140</v>
      </c>
      <c r="N92" s="118">
        <v>1.4115</v>
      </c>
      <c r="O92" s="119">
        <v>-0.69649641198818202</v>
      </c>
      <c r="Q92" s="16"/>
    </row>
    <row r="93" spans="1:243" ht="15" customHeight="1" x14ac:dyDescent="0.2">
      <c r="A93" s="35" t="s">
        <v>68</v>
      </c>
      <c r="B93" s="117">
        <v>9.0175000000000005E-2</v>
      </c>
      <c r="C93" s="117"/>
      <c r="D93" s="117">
        <v>0.15438269136789753</v>
      </c>
      <c r="E93" s="35" t="s">
        <v>45</v>
      </c>
      <c r="F93" s="118">
        <v>38.424999999999997</v>
      </c>
      <c r="G93" s="118"/>
      <c r="H93" s="119">
        <v>-1.0093567733558755</v>
      </c>
      <c r="J93" s="35" t="s">
        <v>144</v>
      </c>
      <c r="K93" s="52">
        <v>0.7</v>
      </c>
      <c r="L93" s="120">
        <v>1.3171225937183382</v>
      </c>
      <c r="M93" s="35" t="s">
        <v>131</v>
      </c>
      <c r="N93" s="118">
        <v>0.14949999999999999</v>
      </c>
      <c r="O93" s="119">
        <v>-0.33333333333333365</v>
      </c>
      <c r="Q93" s="16"/>
    </row>
    <row r="94" spans="1:243" ht="15.75" customHeight="1" thickBot="1" x14ac:dyDescent="0.25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75" thickBot="1" x14ac:dyDescent="0.25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2"/>
      <c r="J102" s="132"/>
      <c r="K102" s="132"/>
      <c r="O102" s="132"/>
      <c r="P102" s="132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2"/>
      <c r="J105" s="132"/>
      <c r="K105" s="132"/>
      <c r="O105" s="132"/>
      <c r="P105" s="132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2"/>
      <c r="J107" s="132"/>
      <c r="K107" s="132"/>
      <c r="O107" s="132"/>
      <c r="P107" s="132"/>
    </row>
  </sheetData>
  <sheetProtection algorithmName="SHA-512" hashValue="fVE+z3Vvp7U0pE2RxwD6Q5SlXkUQLm810sO0v/V2dfGlW3GeJJ8KcVNbzU5ymjYDk3KhlXw+LFWmybAVJdSDsA==" saltValue="9LJHdOYJOvAdBwYQjkaMT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2026-09-18T13:40:35Z</dcterms:created>
  <dcterms:modified xsi:type="dcterms:W3CDTF">2026-09-18T13:41:26Z</dcterms:modified>
</cp:coreProperties>
</file>