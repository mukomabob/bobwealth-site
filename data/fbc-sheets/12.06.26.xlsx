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June/12.06.26/"/>
    </mc:Choice>
  </mc:AlternateContent>
  <xr:revisionPtr revIDLastSave="0" documentId="8_{7C06B7E3-AE00-47A7-93C8-961BBA2F98FF}" xr6:coauthVersionLast="47" xr6:coauthVersionMax="47" xr10:uidLastSave="{00000000-0000-0000-0000-000000000000}"/>
  <bookViews>
    <workbookView xWindow="-108" yWindow="-108" windowWidth="23256" windowHeight="12456" xr2:uid="{C4D16F46-C5DF-4135-931E-08505DFE080B}"/>
  </bookViews>
  <sheets>
    <sheet name="Price Sheet" sheetId="1" r:id="rId1"/>
  </sheets>
  <definedNames>
    <definedName name="_xlnm._FilterDatabase" localSheetId="0" hidden="1">'Price Sheet'!$9:$47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5" i="1" l="1"/>
  <c r="N85" i="1"/>
  <c r="Q84" i="1"/>
  <c r="M84" i="1"/>
  <c r="L84" i="1"/>
  <c r="K84" i="1"/>
  <c r="J84" i="1"/>
  <c r="D84" i="1" s="1"/>
  <c r="E84" i="1"/>
  <c r="Q83" i="1"/>
  <c r="M83" i="1"/>
  <c r="L83" i="1"/>
  <c r="K83" i="1"/>
  <c r="E83" i="1" s="1"/>
  <c r="J83" i="1"/>
  <c r="D83" i="1" s="1"/>
  <c r="O81" i="1"/>
  <c r="N81" i="1"/>
  <c r="Q80" i="1"/>
  <c r="M80" i="1"/>
  <c r="L80" i="1"/>
  <c r="K80" i="1"/>
  <c r="E80" i="1" s="1"/>
  <c r="J80" i="1"/>
  <c r="D80" i="1"/>
  <c r="Q79" i="1"/>
  <c r="M79" i="1"/>
  <c r="L79" i="1"/>
  <c r="K79" i="1"/>
  <c r="E79" i="1" s="1"/>
  <c r="J79" i="1"/>
  <c r="D79" i="1" s="1"/>
  <c r="Q78" i="1"/>
  <c r="M78" i="1"/>
  <c r="L78" i="1"/>
  <c r="K78" i="1"/>
  <c r="J78" i="1"/>
  <c r="D78" i="1" s="1"/>
  <c r="E78" i="1"/>
  <c r="Q77" i="1"/>
  <c r="M77" i="1"/>
  <c r="L77" i="1"/>
  <c r="K77" i="1"/>
  <c r="E77" i="1" s="1"/>
  <c r="J77" i="1"/>
  <c r="D77" i="1"/>
  <c r="M74" i="1"/>
  <c r="L74" i="1"/>
  <c r="J74" i="1"/>
  <c r="Q74" i="1" s="1"/>
  <c r="D74" i="1"/>
  <c r="O72" i="1"/>
  <c r="N72" i="1"/>
  <c r="M71" i="1"/>
  <c r="L71" i="1"/>
  <c r="J71" i="1"/>
  <c r="K71" i="1" s="1"/>
  <c r="E71" i="1" s="1"/>
  <c r="Q70" i="1"/>
  <c r="M70" i="1"/>
  <c r="L70" i="1"/>
  <c r="J70" i="1"/>
  <c r="D70" i="1" s="1"/>
  <c r="M67" i="1"/>
  <c r="L67" i="1"/>
  <c r="D67" i="1"/>
  <c r="O65" i="1"/>
  <c r="N65" i="1"/>
  <c r="M64" i="1"/>
  <c r="L64" i="1"/>
  <c r="J64" i="1"/>
  <c r="D64" i="1" s="1"/>
  <c r="M63" i="1"/>
  <c r="L63" i="1"/>
  <c r="J63" i="1"/>
  <c r="Q63" i="1" s="1"/>
  <c r="D63" i="1"/>
  <c r="M62" i="1"/>
  <c r="L62" i="1"/>
  <c r="J62" i="1"/>
  <c r="D62" i="1" s="1"/>
  <c r="M61" i="1"/>
  <c r="L61" i="1"/>
  <c r="J61" i="1"/>
  <c r="Q61" i="1" s="1"/>
  <c r="D61" i="1"/>
  <c r="M60" i="1"/>
  <c r="L60" i="1"/>
  <c r="J60" i="1"/>
  <c r="D60" i="1" s="1"/>
  <c r="M59" i="1"/>
  <c r="L59" i="1"/>
  <c r="J59" i="1"/>
  <c r="Q59" i="1" s="1"/>
  <c r="M58" i="1"/>
  <c r="L58" i="1"/>
  <c r="J58" i="1"/>
  <c r="D58" i="1" s="1"/>
  <c r="M57" i="1"/>
  <c r="L57" i="1"/>
  <c r="J57" i="1"/>
  <c r="Q57" i="1" s="1"/>
  <c r="M56" i="1"/>
  <c r="L56" i="1"/>
  <c r="J56" i="1"/>
  <c r="D56" i="1" s="1"/>
  <c r="M55" i="1"/>
  <c r="L55" i="1"/>
  <c r="J55" i="1"/>
  <c r="Q55" i="1" s="1"/>
  <c r="M54" i="1"/>
  <c r="L54" i="1"/>
  <c r="J54" i="1"/>
  <c r="D54" i="1" s="1"/>
  <c r="M53" i="1"/>
  <c r="L53" i="1"/>
  <c r="J53" i="1"/>
  <c r="Q53" i="1" s="1"/>
  <c r="D53" i="1"/>
  <c r="M52" i="1"/>
  <c r="L52" i="1"/>
  <c r="J52" i="1"/>
  <c r="D52" i="1" s="1"/>
  <c r="M51" i="1"/>
  <c r="L51" i="1"/>
  <c r="J51" i="1"/>
  <c r="Q51" i="1" s="1"/>
  <c r="O48" i="1"/>
  <c r="N48" i="1"/>
  <c r="Q47" i="1"/>
  <c r="M47" i="1"/>
  <c r="L47" i="1"/>
  <c r="K47" i="1"/>
  <c r="E47" i="1" s="1"/>
  <c r="J47" i="1"/>
  <c r="D47" i="1"/>
  <c r="Q46" i="1"/>
  <c r="M46" i="1"/>
  <c r="L46" i="1"/>
  <c r="K46" i="1"/>
  <c r="E46" i="1" s="1"/>
  <c r="J46" i="1"/>
  <c r="P46" i="1" s="1"/>
  <c r="Q45" i="1"/>
  <c r="M45" i="1"/>
  <c r="L45" i="1"/>
  <c r="K45" i="1"/>
  <c r="E45" i="1" s="1"/>
  <c r="J45" i="1"/>
  <c r="P45" i="1" s="1"/>
  <c r="Q44" i="1"/>
  <c r="M44" i="1"/>
  <c r="L44" i="1"/>
  <c r="K44" i="1"/>
  <c r="E44" i="1" s="1"/>
  <c r="J44" i="1"/>
  <c r="P44" i="1" s="1"/>
  <c r="D44" i="1"/>
  <c r="Q43" i="1"/>
  <c r="M43" i="1"/>
  <c r="L43" i="1"/>
  <c r="K43" i="1"/>
  <c r="E43" i="1" s="1"/>
  <c r="J43" i="1"/>
  <c r="P43" i="1" s="1"/>
  <c r="Q42" i="1"/>
  <c r="M42" i="1"/>
  <c r="L42" i="1"/>
  <c r="K42" i="1"/>
  <c r="E42" i="1" s="1"/>
  <c r="J42" i="1"/>
  <c r="P42" i="1" s="1"/>
  <c r="Q41" i="1"/>
  <c r="M41" i="1"/>
  <c r="L41" i="1"/>
  <c r="K41" i="1"/>
  <c r="E41" i="1" s="1"/>
  <c r="J41" i="1"/>
  <c r="P41" i="1" s="1"/>
  <c r="D41" i="1"/>
  <c r="Q40" i="1"/>
  <c r="M40" i="1"/>
  <c r="L40" i="1"/>
  <c r="K40" i="1"/>
  <c r="E40" i="1" s="1"/>
  <c r="J40" i="1"/>
  <c r="P40" i="1" s="1"/>
  <c r="Q39" i="1"/>
  <c r="M39" i="1"/>
  <c r="L39" i="1"/>
  <c r="K39" i="1"/>
  <c r="E39" i="1" s="1"/>
  <c r="J39" i="1"/>
  <c r="P39" i="1" s="1"/>
  <c r="D39" i="1"/>
  <c r="Q38" i="1"/>
  <c r="M38" i="1"/>
  <c r="L38" i="1"/>
  <c r="K38" i="1"/>
  <c r="E38" i="1" s="1"/>
  <c r="J38" i="1"/>
  <c r="D38" i="1" s="1"/>
  <c r="Q37" i="1"/>
  <c r="M37" i="1"/>
  <c r="L37" i="1"/>
  <c r="K37" i="1"/>
  <c r="E37" i="1" s="1"/>
  <c r="J37" i="1"/>
  <c r="D37" i="1" s="1"/>
  <c r="Q36" i="1"/>
  <c r="M36" i="1"/>
  <c r="L36" i="1"/>
  <c r="K36" i="1"/>
  <c r="E36" i="1" s="1"/>
  <c r="J36" i="1"/>
  <c r="D36" i="1" s="1"/>
  <c r="Q35" i="1"/>
  <c r="M35" i="1"/>
  <c r="L35" i="1"/>
  <c r="K35" i="1"/>
  <c r="E35" i="1" s="1"/>
  <c r="J35" i="1"/>
  <c r="D35" i="1" s="1"/>
  <c r="Q34" i="1"/>
  <c r="M34" i="1"/>
  <c r="L34" i="1"/>
  <c r="K34" i="1"/>
  <c r="E34" i="1" s="1"/>
  <c r="J34" i="1"/>
  <c r="D34" i="1" s="1"/>
  <c r="Q33" i="1"/>
  <c r="M33" i="1"/>
  <c r="L33" i="1"/>
  <c r="K33" i="1"/>
  <c r="E33" i="1" s="1"/>
  <c r="J33" i="1"/>
  <c r="D33" i="1" s="1"/>
  <c r="Q32" i="1"/>
  <c r="M32" i="1"/>
  <c r="L32" i="1"/>
  <c r="K32" i="1"/>
  <c r="E32" i="1" s="1"/>
  <c r="J32" i="1"/>
  <c r="D32" i="1" s="1"/>
  <c r="K31" i="1"/>
  <c r="E31" i="1" s="1"/>
  <c r="J31" i="1"/>
  <c r="D31" i="1" s="1"/>
  <c r="Q29" i="1"/>
  <c r="M29" i="1"/>
  <c r="L29" i="1"/>
  <c r="K29" i="1"/>
  <c r="E29" i="1" s="1"/>
  <c r="J29" i="1"/>
  <c r="D29" i="1" s="1"/>
  <c r="Q28" i="1"/>
  <c r="M28" i="1"/>
  <c r="L28" i="1"/>
  <c r="K28" i="1"/>
  <c r="E28" i="1" s="1"/>
  <c r="J28" i="1"/>
  <c r="D28" i="1" s="1"/>
  <c r="Q27" i="1"/>
  <c r="M27" i="1"/>
  <c r="L27" i="1"/>
  <c r="K27" i="1"/>
  <c r="E27" i="1" s="1"/>
  <c r="J27" i="1"/>
  <c r="D27" i="1" s="1"/>
  <c r="Q26" i="1"/>
  <c r="M26" i="1"/>
  <c r="L26" i="1"/>
  <c r="K26" i="1"/>
  <c r="E26" i="1" s="1"/>
  <c r="J26" i="1"/>
  <c r="D26" i="1" s="1"/>
  <c r="Q25" i="1"/>
  <c r="M25" i="1"/>
  <c r="L25" i="1"/>
  <c r="K25" i="1"/>
  <c r="E25" i="1" s="1"/>
  <c r="J25" i="1"/>
  <c r="D25" i="1" s="1"/>
  <c r="Q24" i="1"/>
  <c r="M24" i="1"/>
  <c r="L24" i="1"/>
  <c r="K24" i="1"/>
  <c r="E24" i="1" s="1"/>
  <c r="J24" i="1"/>
  <c r="D24" i="1" s="1"/>
  <c r="Q23" i="1"/>
  <c r="M23" i="1"/>
  <c r="L23" i="1"/>
  <c r="K23" i="1"/>
  <c r="E23" i="1" s="1"/>
  <c r="J23" i="1"/>
  <c r="D23" i="1" s="1"/>
  <c r="Q22" i="1"/>
  <c r="M22" i="1"/>
  <c r="L22" i="1"/>
  <c r="K22" i="1"/>
  <c r="E22" i="1" s="1"/>
  <c r="J22" i="1"/>
  <c r="D22" i="1" s="1"/>
  <c r="Q21" i="1"/>
  <c r="M21" i="1"/>
  <c r="L21" i="1"/>
  <c r="K21" i="1"/>
  <c r="E21" i="1" s="1"/>
  <c r="J21" i="1"/>
  <c r="D21" i="1" s="1"/>
  <c r="Q20" i="1"/>
  <c r="M20" i="1"/>
  <c r="L20" i="1"/>
  <c r="K20" i="1"/>
  <c r="J20" i="1"/>
  <c r="D20" i="1" s="1"/>
  <c r="E20" i="1"/>
  <c r="Q19" i="1"/>
  <c r="M19" i="1"/>
  <c r="L19" i="1"/>
  <c r="K19" i="1"/>
  <c r="E19" i="1" s="1"/>
  <c r="J19" i="1"/>
  <c r="D19" i="1" s="1"/>
  <c r="E18" i="1"/>
  <c r="D18" i="1"/>
  <c r="Q17" i="1"/>
  <c r="M17" i="1"/>
  <c r="L17" i="1"/>
  <c r="K17" i="1"/>
  <c r="E17" i="1" s="1"/>
  <c r="J17" i="1"/>
  <c r="P17" i="1" s="1"/>
  <c r="Q16" i="1"/>
  <c r="M16" i="1"/>
  <c r="L16" i="1"/>
  <c r="K16" i="1"/>
  <c r="E16" i="1" s="1"/>
  <c r="J16" i="1"/>
  <c r="P16" i="1" s="1"/>
  <c r="Q15" i="1"/>
  <c r="M15" i="1"/>
  <c r="L15" i="1"/>
  <c r="K15" i="1"/>
  <c r="E15" i="1" s="1"/>
  <c r="J15" i="1"/>
  <c r="P15" i="1" s="1"/>
  <c r="Q14" i="1"/>
  <c r="M14" i="1"/>
  <c r="L14" i="1"/>
  <c r="K14" i="1"/>
  <c r="J14" i="1"/>
  <c r="P14" i="1" s="1"/>
  <c r="E14" i="1"/>
  <c r="Q13" i="1"/>
  <c r="M13" i="1"/>
  <c r="L13" i="1"/>
  <c r="K13" i="1"/>
  <c r="E13" i="1" s="1"/>
  <c r="J13" i="1"/>
  <c r="P13" i="1" s="1"/>
  <c r="D13" i="1"/>
  <c r="Q12" i="1"/>
  <c r="M12" i="1"/>
  <c r="L12" i="1"/>
  <c r="K12" i="1"/>
  <c r="E12" i="1" s="1"/>
  <c r="J12" i="1"/>
  <c r="P12" i="1" s="1"/>
  <c r="Q11" i="1"/>
  <c r="M11" i="1"/>
  <c r="L11" i="1"/>
  <c r="K11" i="1"/>
  <c r="E11" i="1" s="1"/>
  <c r="J11" i="1"/>
  <c r="P11" i="1" s="1"/>
  <c r="D11" i="1"/>
  <c r="Q10" i="1"/>
  <c r="M10" i="1"/>
  <c r="L10" i="1"/>
  <c r="K10" i="1"/>
  <c r="E10" i="1" s="1"/>
  <c r="J10" i="1"/>
  <c r="D10" i="1" s="1"/>
  <c r="Q9" i="1"/>
  <c r="M9" i="1"/>
  <c r="L9" i="1"/>
  <c r="K9" i="1"/>
  <c r="E9" i="1" s="1"/>
  <c r="J9" i="1"/>
  <c r="P9" i="1" s="1"/>
  <c r="D9" i="1" l="1"/>
  <c r="P19" i="1"/>
  <c r="D15" i="1"/>
  <c r="D14" i="1"/>
  <c r="D16" i="1"/>
  <c r="D45" i="1"/>
  <c r="P54" i="1"/>
  <c r="P26" i="1"/>
  <c r="Q54" i="1"/>
  <c r="P64" i="1"/>
  <c r="P61" i="1"/>
  <c r="P52" i="1"/>
  <c r="Q52" i="1"/>
  <c r="P25" i="1"/>
  <c r="P59" i="1"/>
  <c r="P23" i="1"/>
  <c r="D42" i="1"/>
  <c r="P28" i="1"/>
  <c r="Q64" i="1"/>
  <c r="D51" i="1"/>
  <c r="Q56" i="1"/>
  <c r="P10" i="1"/>
  <c r="P32" i="1"/>
  <c r="P34" i="1"/>
  <c r="P57" i="1"/>
  <c r="P62" i="1"/>
  <c r="Q62" i="1"/>
  <c r="P29" i="1"/>
  <c r="P55" i="1"/>
  <c r="P60" i="1"/>
  <c r="Q60" i="1"/>
  <c r="P51" i="1"/>
  <c r="P58" i="1"/>
  <c r="P20" i="1"/>
  <c r="P22" i="1"/>
  <c r="Q58" i="1"/>
  <c r="P35" i="1"/>
  <c r="P37" i="1"/>
  <c r="P56" i="1"/>
  <c r="D59" i="1"/>
  <c r="P63" i="1"/>
  <c r="D12" i="1"/>
  <c r="D17" i="1"/>
  <c r="D57" i="1"/>
  <c r="P70" i="1"/>
  <c r="D55" i="1"/>
  <c r="P84" i="1"/>
  <c r="P21" i="1"/>
  <c r="P24" i="1"/>
  <c r="P27" i="1"/>
  <c r="P33" i="1"/>
  <c r="P36" i="1"/>
  <c r="P71" i="1"/>
  <c r="P83" i="1"/>
  <c r="D40" i="1"/>
  <c r="D43" i="1"/>
  <c r="D46" i="1"/>
  <c r="K70" i="1"/>
  <c r="E70" i="1" s="1"/>
  <c r="Q71" i="1"/>
  <c r="D71" i="1"/>
  <c r="K74" i="1"/>
  <c r="E74" i="1" s="1"/>
  <c r="P74" i="1"/>
</calcChain>
</file>

<file path=xl/sharedStrings.xml><?xml version="1.0" encoding="utf-8"?>
<sst xmlns="http://schemas.openxmlformats.org/spreadsheetml/2006/main" count="266" uniqueCount="182">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</sst>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3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166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5" borderId="0" xfId="5" applyFont="1" applyFill="1" applyBorder="1"/>
    <xf numFmtId="164" fontId="4" fillId="3" borderId="0" xfId="2" applyNumberFormat="1" applyFont="1" applyFill="1" applyAlignment="1"/>
    <xf numFmtId="164" fontId="15" fillId="6" borderId="0" xfId="5" applyFont="1" applyFill="1" applyBorder="1"/>
    <xf numFmtId="164" fontId="15" fillId="7" borderId="0" xfId="5" applyFont="1" applyFill="1" applyBorder="1"/>
    <xf numFmtId="166" fontId="15" fillId="5" borderId="0" xfId="5" applyNumberFormat="1" applyFont="1" applyFill="1" applyBorder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7" fontId="15" fillId="8" borderId="0" xfId="3" applyNumberFormat="1" applyFont="1" applyFill="1" applyBorder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Border="1" applyAlignment="1">
      <alignment horizontal="left"/>
    </xf>
    <xf numFmtId="164" fontId="26" fillId="5" borderId="0" xfId="3" applyFont="1" applyFill="1" applyBorder="1" applyAlignment="1">
      <alignment horizontal="left"/>
    </xf>
    <xf numFmtId="171" fontId="26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" xfId="3" xr:uid="{E35A1F49-4306-4809-8681-AD2BA46EBF07}"/>
    <cellStyle name="Comma 5 2 2 2 2 2 2 2 2" xfId="4" xr:uid="{85AB2976-D8C4-4AB2-8B72-D370C33BEFD3}"/>
    <cellStyle name="Comma 6 2 2 2" xfId="5" xr:uid="{818BA1A2-DB99-472A-8D36-941A58B9AA2E}"/>
    <cellStyle name="Hyperlink 2" xfId="8" xr:uid="{A0DBDEF2-12E4-4955-B04F-A54A0C15EE66}"/>
    <cellStyle name="Normal" xfId="0" builtinId="0"/>
    <cellStyle name="Normal 2" xfId="2" xr:uid="{B0A4A4C6-5CB1-421C-9037-5C1E6A6DA23F}"/>
    <cellStyle name="Normal 20" xfId="7" xr:uid="{870DB139-DBB5-481B-9763-E40684023E6A}"/>
    <cellStyle name="Percent" xfId="1" builtinId="5"/>
    <cellStyle name="Percent 3" xfId="6" xr:uid="{1F730C40-EBFC-453C-85F3-BBB19AF4AA72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E4C9F4FC-566F-4CA4-9062-6BDDD6EF3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4490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7420B69E-7710-45FF-9295-19E61014D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00456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97CD7-9CB4-43F4-A41B-438A32440CCA}">
  <dimension ref="A1:II106"/>
  <sheetViews>
    <sheetView tabSelected="1" zoomScale="73" zoomScaleNormal="60" workbookViewId="0">
      <selection activeCell="M27" sqref="M27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5.10937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26.769200000000001</v>
      </c>
      <c r="K5" s="22"/>
      <c r="L5" s="141" t="s">
        <v>12</v>
      </c>
      <c r="M5" s="142"/>
      <c r="N5" s="23" t="s">
        <v>13</v>
      </c>
      <c r="O5" s="24"/>
      <c r="P5" s="24"/>
      <c r="Q5" s="25"/>
    </row>
    <row r="6" spans="1:18" ht="6.6" customHeight="1" x14ac:dyDescent="0.3">
      <c r="A6" s="131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4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x14ac:dyDescent="0.25">
      <c r="A9" s="35" t="s">
        <v>32</v>
      </c>
      <c r="B9" s="36" t="s">
        <v>33</v>
      </c>
      <c r="C9" s="37">
        <v>124748059</v>
      </c>
      <c r="D9" s="38">
        <f>C9*J9</f>
        <v>73630117.157031208</v>
      </c>
      <c r="E9" s="39">
        <f>C9*K9</f>
        <v>62572042.29206349</v>
      </c>
      <c r="F9" s="40" t="s">
        <v>34</v>
      </c>
      <c r="G9" s="41">
        <v>8.9894999999999996</v>
      </c>
      <c r="H9" s="42">
        <v>15.8</v>
      </c>
      <c r="I9" s="42">
        <v>15.8</v>
      </c>
      <c r="J9" s="43">
        <f>(I9/$J$5)</f>
        <v>0.5902305634834063</v>
      </c>
      <c r="K9" s="44">
        <f>I9/$K$4</f>
        <v>0.50158730158730158</v>
      </c>
      <c r="L9" s="45">
        <f>I9-H9</f>
        <v>0</v>
      </c>
      <c r="M9" s="45">
        <f>((I9-H9)/H9)*100</f>
        <v>0</v>
      </c>
      <c r="N9" s="46">
        <v>0</v>
      </c>
      <c r="O9" s="37">
        <v>0</v>
      </c>
      <c r="P9" s="47">
        <f>(R9)/J9</f>
        <v>2.541379746835443E-2</v>
      </c>
      <c r="Q9" s="48">
        <f>I9/G9-1</f>
        <v>0.75760609600089013</v>
      </c>
      <c r="R9" s="49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>C10*J10</f>
        <v>3890789.3429762558</v>
      </c>
      <c r="E10" s="39">
        <f>C10*K10</f>
        <v>3306454.5422222218</v>
      </c>
      <c r="F10" s="40" t="s">
        <v>34</v>
      </c>
      <c r="G10" s="41">
        <v>3.1600000000000003E-2</v>
      </c>
      <c r="H10" s="42">
        <v>6.4947999999999992E-2</v>
      </c>
      <c r="I10" s="42">
        <v>6.4000000000000001E-2</v>
      </c>
      <c r="J10" s="43">
        <f>I10/$J$5</f>
        <v>2.3908073457555696E-3</v>
      </c>
      <c r="K10" s="44">
        <f>I10/$K$4</f>
        <v>2.0317460317460317E-3</v>
      </c>
      <c r="L10" s="45">
        <f>I10-H10</f>
        <v>-9.4799999999999052E-4</v>
      </c>
      <c r="M10" s="45">
        <f>((I10-H10)/H10)*100</f>
        <v>-1.4596292418550081</v>
      </c>
      <c r="N10" s="46">
        <v>6600</v>
      </c>
      <c r="O10" s="37">
        <v>422.4</v>
      </c>
      <c r="P10" s="50">
        <f>(R10)/J10</f>
        <v>0</v>
      </c>
      <c r="Q10" s="48">
        <f>I10/G10-1</f>
        <v>1.0253164556962022</v>
      </c>
      <c r="R10" s="49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>C11*J11</f>
        <v>3591254.8369021108</v>
      </c>
      <c r="E11" s="39">
        <f>C11*K11</f>
        <v>3051905.3644444444</v>
      </c>
      <c r="F11" s="40" t="s">
        <v>39</v>
      </c>
      <c r="G11" s="41">
        <v>7.8E-2</v>
      </c>
      <c r="H11" s="42">
        <v>0.22</v>
      </c>
      <c r="I11" s="42">
        <v>0.22</v>
      </c>
      <c r="J11" s="43">
        <f>I11/$J$5</f>
        <v>8.2184002510347701E-3</v>
      </c>
      <c r="K11" s="44">
        <f>I11/$K$4</f>
        <v>6.9841269841269841E-3</v>
      </c>
      <c r="L11" s="45">
        <f>I11-H11</f>
        <v>0</v>
      </c>
      <c r="M11" s="45">
        <f>((I11-H11)/H11)*100</f>
        <v>0</v>
      </c>
      <c r="N11" s="46">
        <v>0</v>
      </c>
      <c r="O11" s="37">
        <v>0</v>
      </c>
      <c r="P11" s="50">
        <f>(R11)/J11</f>
        <v>0</v>
      </c>
      <c r="Q11" s="48">
        <f>I11/G11-1</f>
        <v>1.8205128205128207</v>
      </c>
      <c r="R11" s="49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>C12*J12</f>
        <v>168133118.0315437</v>
      </c>
      <c r="E12" s="39">
        <f>C12*K12</f>
        <v>142882192.48285714</v>
      </c>
      <c r="F12" s="40" t="s">
        <v>34</v>
      </c>
      <c r="G12" s="41">
        <v>97.381</v>
      </c>
      <c r="H12" s="42">
        <v>189.68240000000003</v>
      </c>
      <c r="I12" s="42">
        <v>218.13</v>
      </c>
      <c r="J12" s="43">
        <f>I12/$J$5</f>
        <v>8.1485438489009745</v>
      </c>
      <c r="K12" s="44">
        <f>I12/$K$4</f>
        <v>6.9247619047619047</v>
      </c>
      <c r="L12" s="45">
        <f>I12-H12</f>
        <v>28.447599999999966</v>
      </c>
      <c r="M12" s="45">
        <f>((I12-H12)/H12)*100</f>
        <v>14.997490542085066</v>
      </c>
      <c r="N12" s="46">
        <v>34900</v>
      </c>
      <c r="O12" s="37">
        <v>7612737</v>
      </c>
      <c r="P12" s="50">
        <f>(R12)/J12</f>
        <v>0</v>
      </c>
      <c r="Q12" s="48">
        <f>I12/G12-1</f>
        <v>1.2399646748338999</v>
      </c>
      <c r="R12" s="49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>C13*J13</f>
        <v>4568366.331455553</v>
      </c>
      <c r="E13" s="39">
        <f>C13*K13</f>
        <v>3882270.222222222</v>
      </c>
      <c r="F13" s="40" t="s">
        <v>44</v>
      </c>
      <c r="G13" s="41">
        <v>13.6</v>
      </c>
      <c r="H13" s="42">
        <v>14</v>
      </c>
      <c r="I13" s="42">
        <v>14</v>
      </c>
      <c r="J13" s="43">
        <f>I13/$J$5</f>
        <v>0.52298910688403089</v>
      </c>
      <c r="K13" s="44">
        <f>I13/$K$4</f>
        <v>0.44444444444444442</v>
      </c>
      <c r="L13" s="45">
        <f>I13-H13</f>
        <v>0</v>
      </c>
      <c r="M13" s="45">
        <f>((I13-H13)/H13)*100</f>
        <v>0</v>
      </c>
      <c r="N13" s="46">
        <v>0</v>
      </c>
      <c r="O13" s="37">
        <v>0</v>
      </c>
      <c r="P13" s="50">
        <f>(R13)/J13</f>
        <v>0</v>
      </c>
      <c r="Q13" s="48">
        <f>I13/G13-1</f>
        <v>2.941176470588247E-2</v>
      </c>
      <c r="R13" s="49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>C14*J14</f>
        <v>377871907.374053</v>
      </c>
      <c r="E14" s="39">
        <f>C14*K14</f>
        <v>321121544.85325396</v>
      </c>
      <c r="F14" s="40" t="s">
        <v>47</v>
      </c>
      <c r="G14" s="41">
        <v>11.5</v>
      </c>
      <c r="H14" s="42">
        <v>18.18</v>
      </c>
      <c r="I14" s="42">
        <v>19.3535</v>
      </c>
      <c r="J14" s="43">
        <f>I14/$J$5</f>
        <v>0.72297640572000654</v>
      </c>
      <c r="K14" s="44">
        <f>I14/$K$4</f>
        <v>0.61439682539682539</v>
      </c>
      <c r="L14" s="45">
        <f>I14-H14</f>
        <v>1.1735000000000007</v>
      </c>
      <c r="M14" s="45">
        <f>((I14-H14)/H14)*100</f>
        <v>6.4548954895489592</v>
      </c>
      <c r="N14" s="46">
        <v>5000</v>
      </c>
      <c r="O14" s="37">
        <v>96767.6</v>
      </c>
      <c r="P14" s="50">
        <f>(R14)/J14</f>
        <v>0</v>
      </c>
      <c r="Q14" s="48">
        <f>I14/G14-1</f>
        <v>0.68291304347826087</v>
      </c>
      <c r="R14" s="49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>C15*J15</f>
        <v>23767809.646907639</v>
      </c>
      <c r="E15" s="39">
        <f>C15*K15</f>
        <v>20198261.904761903</v>
      </c>
      <c r="F15" s="40" t="s">
        <v>34</v>
      </c>
      <c r="G15" s="41">
        <v>5.39</v>
      </c>
      <c r="H15" s="42">
        <v>6</v>
      </c>
      <c r="I15" s="42">
        <v>6</v>
      </c>
      <c r="J15" s="43">
        <f>I15/$J$5</f>
        <v>0.22413818866458465</v>
      </c>
      <c r="K15" s="44">
        <f>I15/$K$4</f>
        <v>0.19047619047619047</v>
      </c>
      <c r="L15" s="45">
        <f>I15-H15</f>
        <v>0</v>
      </c>
      <c r="M15" s="45">
        <f>((I15-H15)/H15)*100</f>
        <v>0</v>
      </c>
      <c r="N15" s="46">
        <v>0</v>
      </c>
      <c r="O15" s="37">
        <v>0</v>
      </c>
      <c r="P15" s="50">
        <f>(R15)/J15</f>
        <v>0</v>
      </c>
      <c r="Q15" s="48">
        <f>I15/G15-1</f>
        <v>0.1131725417439704</v>
      </c>
      <c r="R15" s="49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>C16*J16</f>
        <v>40120831.926243588</v>
      </c>
      <c r="E16" s="39">
        <f>C16*K16</f>
        <v>34095319.809523806</v>
      </c>
      <c r="F16" s="40" t="s">
        <v>34</v>
      </c>
      <c r="G16" s="41">
        <v>1.9</v>
      </c>
      <c r="H16" s="42">
        <v>3</v>
      </c>
      <c r="I16" s="42">
        <v>3</v>
      </c>
      <c r="J16" s="43">
        <f>I16/$J$5</f>
        <v>0.11206909433229233</v>
      </c>
      <c r="K16" s="44">
        <f>I16/$K$4</f>
        <v>9.5238095238095233E-2</v>
      </c>
      <c r="L16" s="45">
        <f>I16-H16</f>
        <v>0</v>
      </c>
      <c r="M16" s="45">
        <f>((I16-H16)/H16)*100</f>
        <v>0</v>
      </c>
      <c r="N16" s="46">
        <v>0</v>
      </c>
      <c r="O16" s="37">
        <v>0</v>
      </c>
      <c r="P16" s="50">
        <f>(R16)/J16</f>
        <v>0</v>
      </c>
      <c r="Q16" s="48">
        <f>I16/G16-1</f>
        <v>0.57894736842105265</v>
      </c>
      <c r="R16" s="49"/>
    </row>
    <row r="17" spans="1:19" x14ac:dyDescent="0.25">
      <c r="A17" s="35" t="s">
        <v>52</v>
      </c>
      <c r="B17" s="36" t="s">
        <v>53</v>
      </c>
      <c r="C17" s="37">
        <v>1341613815</v>
      </c>
      <c r="D17" s="38">
        <f>C17*J17</f>
        <v>1503604616.8485048</v>
      </c>
      <c r="E17" s="39">
        <f>C17*K17</f>
        <v>1277787070.1378095</v>
      </c>
      <c r="F17" s="40" t="s">
        <v>34</v>
      </c>
      <c r="G17" s="41">
        <v>20.701700000000002</v>
      </c>
      <c r="H17" s="42">
        <v>30.000700000000002</v>
      </c>
      <c r="I17" s="42">
        <v>30.0014</v>
      </c>
      <c r="J17" s="43">
        <f>I17/$J$5</f>
        <v>1.1207432422336117</v>
      </c>
      <c r="K17" s="44">
        <f>I17/$K$4</f>
        <v>0.95242539682539684</v>
      </c>
      <c r="L17" s="45">
        <f>I17-H17</f>
        <v>6.9999999999836859E-4</v>
      </c>
      <c r="M17" s="45">
        <f>((I17-H17)/H17)*100</f>
        <v>2.3332788901537917E-3</v>
      </c>
      <c r="N17" s="46">
        <v>200100</v>
      </c>
      <c r="O17" s="37">
        <v>6003287.5499999998</v>
      </c>
      <c r="P17" s="47">
        <f>(R17)/J17</f>
        <v>4.4613251381602201E-2</v>
      </c>
      <c r="Q17" s="48">
        <f>I17/G17-1</f>
        <v>0.44922397677485404</v>
      </c>
      <c r="R17" s="49">
        <v>0.05</v>
      </c>
      <c r="S17" s="51"/>
    </row>
    <row r="18" spans="1:19" hidden="1" x14ac:dyDescent="0.25">
      <c r="A18" s="35" t="s">
        <v>54</v>
      </c>
      <c r="B18" s="36" t="s">
        <v>55</v>
      </c>
      <c r="C18" s="37">
        <v>2992163203</v>
      </c>
      <c r="D18" s="38">
        <f>C18*J18</f>
        <v>0</v>
      </c>
      <c r="E18" s="39">
        <f>C18*K18</f>
        <v>0</v>
      </c>
      <c r="F18" s="40" t="s">
        <v>56</v>
      </c>
      <c r="G18" s="41">
        <v>6.1399460000000001</v>
      </c>
      <c r="H18" s="42"/>
      <c r="I18" s="42"/>
      <c r="J18" s="43"/>
      <c r="K18" s="44"/>
      <c r="L18" s="45"/>
      <c r="M18" s="45"/>
      <c r="N18" s="46" t="s">
        <v>57</v>
      </c>
      <c r="O18" s="37" t="s">
        <v>57</v>
      </c>
      <c r="P18" s="50"/>
      <c r="Q18" s="48"/>
      <c r="R18" s="49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>C19*J19</f>
        <v>275035793.19315857</v>
      </c>
      <c r="E19" s="39">
        <f>C19*K19</f>
        <v>233729782.70305717</v>
      </c>
      <c r="F19" s="40" t="s">
        <v>47</v>
      </c>
      <c r="G19" s="41">
        <v>12.45</v>
      </c>
      <c r="H19" s="42">
        <v>10.999000000000001</v>
      </c>
      <c r="I19" s="42">
        <v>10.956900000000001</v>
      </c>
      <c r="J19" s="43">
        <f>I19/$J$5</f>
        <v>0.40930995322983132</v>
      </c>
      <c r="K19" s="44">
        <f>I19/$K$4</f>
        <v>0.34783809523809528</v>
      </c>
      <c r="L19" s="45">
        <f>I19-H19</f>
        <v>-4.2099999999999582E-2</v>
      </c>
      <c r="M19" s="45">
        <f>((I19-H19)/H19)*100</f>
        <v>-0.38276206927902151</v>
      </c>
      <c r="N19" s="46">
        <v>10800</v>
      </c>
      <c r="O19" s="37">
        <v>118335</v>
      </c>
      <c r="P19" s="50">
        <f>(R19)/J19</f>
        <v>0</v>
      </c>
      <c r="Q19" s="48">
        <f>I19/G19-1</f>
        <v>-0.11992771084337339</v>
      </c>
      <c r="R19" s="49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>C20*J20</f>
        <v>2402731.6219946807</v>
      </c>
      <c r="E20" s="39">
        <f>C20*K20</f>
        <v>2041879.4709682541</v>
      </c>
      <c r="F20" s="40" t="s">
        <v>47</v>
      </c>
      <c r="G20" s="41">
        <v>0.35</v>
      </c>
      <c r="H20" s="42">
        <v>0.59050000000000002</v>
      </c>
      <c r="I20" s="42">
        <v>0.59050000000000002</v>
      </c>
      <c r="J20" s="43">
        <f>I20/$J$5</f>
        <v>2.2058933401072876E-2</v>
      </c>
      <c r="K20" s="44">
        <f>I20/$K$4</f>
        <v>1.8746031746031747E-2</v>
      </c>
      <c r="L20" s="45">
        <f>I20-H20</f>
        <v>0</v>
      </c>
      <c r="M20" s="45">
        <f>((I20-H20)/H20)*100</f>
        <v>0</v>
      </c>
      <c r="N20" s="46">
        <v>0</v>
      </c>
      <c r="O20" s="37">
        <v>0</v>
      </c>
      <c r="P20" s="50">
        <f>(R20)/J20</f>
        <v>0</v>
      </c>
      <c r="Q20" s="48">
        <f>I20/G20-1</f>
        <v>0.68714285714285728</v>
      </c>
      <c r="R20" s="49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>C21*J21</f>
        <v>55300751.001150571</v>
      </c>
      <c r="E21" s="39">
        <f>C21*K21</f>
        <v>46995455.990476191</v>
      </c>
      <c r="F21" s="40" t="s">
        <v>47</v>
      </c>
      <c r="G21" s="41">
        <v>2.85</v>
      </c>
      <c r="H21" s="42">
        <v>2.145</v>
      </c>
      <c r="I21" s="42">
        <v>2.145</v>
      </c>
      <c r="J21" s="43">
        <f>I21/$J$5</f>
        <v>8.012940244758901E-2</v>
      </c>
      <c r="K21" s="44">
        <f>I21/$K$4</f>
        <v>6.8095238095238098E-2</v>
      </c>
      <c r="L21" s="45">
        <f>I21-H21</f>
        <v>0</v>
      </c>
      <c r="M21" s="45">
        <f>((I21-H21)/H21)*100</f>
        <v>0</v>
      </c>
      <c r="N21" s="46">
        <v>0</v>
      </c>
      <c r="O21" s="37">
        <v>0</v>
      </c>
      <c r="P21" s="50">
        <f>(R21)/J21</f>
        <v>0</v>
      </c>
      <c r="Q21" s="48">
        <f>I21/G21-1</f>
        <v>-0.24736842105263157</v>
      </c>
      <c r="R21" s="49"/>
    </row>
    <row r="22" spans="1:19" x14ac:dyDescent="0.25">
      <c r="A22" s="35" t="s">
        <v>64</v>
      </c>
      <c r="B22" s="36" t="s">
        <v>65</v>
      </c>
      <c r="C22" s="37">
        <v>1236075493</v>
      </c>
      <c r="D22" s="38">
        <f>C22*J22</f>
        <v>41557758.308055528</v>
      </c>
      <c r="E22" s="39">
        <f>C22*K22</f>
        <v>35316442.657142855</v>
      </c>
      <c r="F22" s="40" t="s">
        <v>66</v>
      </c>
      <c r="G22" s="41">
        <v>0.88420599999999994</v>
      </c>
      <c r="H22" s="42">
        <v>0.9</v>
      </c>
      <c r="I22" s="42">
        <v>0.9</v>
      </c>
      <c r="J22" s="43">
        <f>I22/$J$5</f>
        <v>3.3620728299687701E-2</v>
      </c>
      <c r="K22" s="44">
        <f>I22/$K$4</f>
        <v>2.8571428571428571E-2</v>
      </c>
      <c r="L22" s="45">
        <f>I22-H22</f>
        <v>0</v>
      </c>
      <c r="M22" s="45">
        <f>((I22-H22)/H22)*100</f>
        <v>0</v>
      </c>
      <c r="N22" s="46">
        <v>0</v>
      </c>
      <c r="O22" s="37">
        <v>0</v>
      </c>
      <c r="P22" s="50">
        <f>(R22)/J22</f>
        <v>0</v>
      </c>
      <c r="Q22" s="48">
        <f>I22/G22-1</f>
        <v>1.7862353342999349E-2</v>
      </c>
      <c r="R22" s="49"/>
    </row>
    <row r="23" spans="1:19" x14ac:dyDescent="0.25">
      <c r="A23" s="35" t="s">
        <v>67</v>
      </c>
      <c r="B23" s="36" t="s">
        <v>68</v>
      </c>
      <c r="C23" s="37">
        <v>536588623</v>
      </c>
      <c r="D23" s="38">
        <f>C23*J23</f>
        <v>2255062.5378233194</v>
      </c>
      <c r="E23" s="39">
        <f>C23*K23</f>
        <v>1916387.9392857142</v>
      </c>
      <c r="F23" s="40" t="s">
        <v>44</v>
      </c>
      <c r="G23" s="41">
        <v>0.1</v>
      </c>
      <c r="H23" s="42">
        <v>0.1125</v>
      </c>
      <c r="I23" s="42">
        <v>0.1125</v>
      </c>
      <c r="J23" s="43">
        <f>I23/$J$5</f>
        <v>4.2025910374609626E-3</v>
      </c>
      <c r="K23" s="44">
        <f>I23/$K$4</f>
        <v>3.5714285714285713E-3</v>
      </c>
      <c r="L23" s="45">
        <f>I23-H23</f>
        <v>0</v>
      </c>
      <c r="M23" s="45">
        <f>((I23-H23)/H23)*100</f>
        <v>0</v>
      </c>
      <c r="N23" s="46">
        <v>0</v>
      </c>
      <c r="O23" s="37">
        <v>0</v>
      </c>
      <c r="P23" s="50">
        <f>(R23)/J23</f>
        <v>0</v>
      </c>
      <c r="Q23" s="48">
        <f>I23/G23-1</f>
        <v>0.125</v>
      </c>
      <c r="R23" s="49"/>
    </row>
    <row r="24" spans="1:19" x14ac:dyDescent="0.25">
      <c r="A24" s="35" t="s">
        <v>69</v>
      </c>
      <c r="B24" s="36" t="s">
        <v>70</v>
      </c>
      <c r="C24" s="37">
        <v>193020564</v>
      </c>
      <c r="D24" s="38">
        <f>C24*J24</f>
        <v>62010700.745633028</v>
      </c>
      <c r="E24" s="39">
        <f>C24*K24</f>
        <v>52697677.790476188</v>
      </c>
      <c r="F24" s="40" t="s">
        <v>34</v>
      </c>
      <c r="G24" s="41">
        <v>8.1687659999999997</v>
      </c>
      <c r="H24" s="42">
        <v>8.2484830000000002</v>
      </c>
      <c r="I24" s="42">
        <v>8.6</v>
      </c>
      <c r="J24" s="43">
        <f>I24/$J$5</f>
        <v>0.32126473708590464</v>
      </c>
      <c r="K24" s="44">
        <f>I24/$K$4</f>
        <v>0.27301587301587299</v>
      </c>
      <c r="L24" s="45">
        <f>I24-H24</f>
        <v>0.35151699999999941</v>
      </c>
      <c r="M24" s="45">
        <f>((I24-H24)/H24)*100</f>
        <v>4.2615957382708967</v>
      </c>
      <c r="N24" s="46">
        <v>200</v>
      </c>
      <c r="O24" s="37">
        <v>1720</v>
      </c>
      <c r="P24" s="50">
        <f>(R24)/J24</f>
        <v>0</v>
      </c>
      <c r="Q24" s="48">
        <f>I24/G24-1</f>
        <v>5.2790592850866291E-2</v>
      </c>
      <c r="R24" s="49"/>
      <c r="S24" s="5" t="s">
        <v>71</v>
      </c>
    </row>
    <row r="25" spans="1:19" x14ac:dyDescent="0.25">
      <c r="A25" s="35" t="s">
        <v>72</v>
      </c>
      <c r="B25" s="36" t="s">
        <v>73</v>
      </c>
      <c r="C25" s="37">
        <v>1687584009</v>
      </c>
      <c r="D25" s="38">
        <f>C25*J25</f>
        <v>105280146.40071423</v>
      </c>
      <c r="E25" s="39">
        <f>C25*K25</f>
        <v>89468739.5247619</v>
      </c>
      <c r="F25" s="40" t="s">
        <v>66</v>
      </c>
      <c r="G25" s="41">
        <v>1.6675</v>
      </c>
      <c r="H25" s="42">
        <v>1.67</v>
      </c>
      <c r="I25" s="42">
        <v>1.67</v>
      </c>
      <c r="J25" s="43">
        <f>I25/$J$5</f>
        <v>6.2385129178309393E-2</v>
      </c>
      <c r="K25" s="44">
        <f>I25/$K$4</f>
        <v>5.3015873015873016E-2</v>
      </c>
      <c r="L25" s="45">
        <f>I25-H25</f>
        <v>0</v>
      </c>
      <c r="M25" s="45">
        <f>((I25-H25)/H25)*100</f>
        <v>0</v>
      </c>
      <c r="N25" s="46">
        <v>0</v>
      </c>
      <c r="O25" s="37">
        <v>0</v>
      </c>
      <c r="P25" s="50">
        <f>(R25)/J25</f>
        <v>0</v>
      </c>
      <c r="Q25" s="48">
        <f>I25/G25-1</f>
        <v>1.4992503748125774E-3</v>
      </c>
      <c r="R25" s="49"/>
    </row>
    <row r="26" spans="1:19" x14ac:dyDescent="0.25">
      <c r="A26" s="35" t="s">
        <v>74</v>
      </c>
      <c r="B26" s="36" t="s">
        <v>75</v>
      </c>
      <c r="C26" s="37">
        <v>239388107</v>
      </c>
      <c r="D26" s="38">
        <f>C26*J26</f>
        <v>27126094.346137762</v>
      </c>
      <c r="E26" s="39">
        <f>C26*K26</f>
        <v>23052185.548274003</v>
      </c>
      <c r="F26" s="40" t="s">
        <v>44</v>
      </c>
      <c r="G26" s="41">
        <v>1.7994999999999999</v>
      </c>
      <c r="H26" s="42">
        <v>3.0333330000000003</v>
      </c>
      <c r="I26" s="42">
        <v>3.0333330000000003</v>
      </c>
      <c r="J26" s="43">
        <f>I26/$J$5</f>
        <v>0.11331429403941844</v>
      </c>
      <c r="K26" s="44">
        <f>I26/$K$4</f>
        <v>9.6296285714285723E-2</v>
      </c>
      <c r="L26" s="45">
        <f>I26-H26</f>
        <v>0</v>
      </c>
      <c r="M26" s="45">
        <f>((I26-H26)/H26)*100</f>
        <v>0</v>
      </c>
      <c r="N26" s="46">
        <v>0</v>
      </c>
      <c r="O26" s="37">
        <v>0</v>
      </c>
      <c r="P26" s="50">
        <f>(R26)/J26</f>
        <v>0</v>
      </c>
      <c r="Q26" s="48">
        <f>I26/G26-1</f>
        <v>0.6856532370102808</v>
      </c>
      <c r="R26" s="49"/>
    </row>
    <row r="27" spans="1:19" x14ac:dyDescent="0.25">
      <c r="A27" s="35" t="s">
        <v>76</v>
      </c>
      <c r="B27" s="36" t="s">
        <v>77</v>
      </c>
      <c r="C27" s="37">
        <v>256150741</v>
      </c>
      <c r="D27" s="38">
        <f>C27*J27</f>
        <v>25835923.400774024</v>
      </c>
      <c r="E27" s="39">
        <f>C27*K27</f>
        <v>21955777.800000001</v>
      </c>
      <c r="F27" s="40" t="s">
        <v>34</v>
      </c>
      <c r="G27" s="41">
        <v>3.1361369999999997</v>
      </c>
      <c r="H27" s="42">
        <v>2.8944999999999999</v>
      </c>
      <c r="I27" s="42">
        <v>2.7</v>
      </c>
      <c r="J27" s="43">
        <f>I27/$J$5</f>
        <v>0.10086218489906311</v>
      </c>
      <c r="K27" s="44">
        <f>I27/$K$4</f>
        <v>8.5714285714285715E-2</v>
      </c>
      <c r="L27" s="45">
        <f>I27-H27</f>
        <v>-0.19449999999999967</v>
      </c>
      <c r="M27" s="45">
        <f>((I27-H27)/H27)*100</f>
        <v>-6.7196406978752705</v>
      </c>
      <c r="N27" s="46">
        <v>50000</v>
      </c>
      <c r="O27" s="37">
        <v>135000</v>
      </c>
      <c r="P27" s="50">
        <f>(R27)/J27</f>
        <v>0</v>
      </c>
      <c r="Q27" s="48">
        <f>I27/G27-1</f>
        <v>-0.13906822310377376</v>
      </c>
      <c r="R27" s="49"/>
    </row>
    <row r="28" spans="1:19" x14ac:dyDescent="0.25">
      <c r="A28" s="35" t="s">
        <v>78</v>
      </c>
      <c r="B28" s="36" t="s">
        <v>79</v>
      </c>
      <c r="C28" s="37">
        <v>755648101</v>
      </c>
      <c r="D28" s="38">
        <f>C28*J28</f>
        <v>24346879.514983639</v>
      </c>
      <c r="E28" s="39">
        <f>C28*K28</f>
        <v>20690364.670238096</v>
      </c>
      <c r="F28" s="40" t="s">
        <v>44</v>
      </c>
      <c r="G28" s="41">
        <v>0.8</v>
      </c>
      <c r="H28" s="42">
        <v>0.86250000000000004</v>
      </c>
      <c r="I28" s="42">
        <v>0.86250000000000004</v>
      </c>
      <c r="J28" s="43">
        <f>I28/$J$5</f>
        <v>3.2219864620534049E-2</v>
      </c>
      <c r="K28" s="44">
        <f>I28/$K$4</f>
        <v>2.7380952380952381E-2</v>
      </c>
      <c r="L28" s="45">
        <f>I28-H28</f>
        <v>0</v>
      </c>
      <c r="M28" s="45">
        <f>((I28-H28)/H28)*100</f>
        <v>0</v>
      </c>
      <c r="N28" s="46">
        <v>0</v>
      </c>
      <c r="O28" s="37">
        <v>0</v>
      </c>
      <c r="P28" s="50">
        <f>(R28)/J28</f>
        <v>0</v>
      </c>
      <c r="Q28" s="48">
        <f>I28/G28-1</f>
        <v>7.8125E-2</v>
      </c>
      <c r="R28" s="49"/>
    </row>
    <row r="29" spans="1:19" x14ac:dyDescent="0.25">
      <c r="A29" s="35" t="s">
        <v>80</v>
      </c>
      <c r="B29" s="36" t="s">
        <v>81</v>
      </c>
      <c r="C29" s="37">
        <v>404171689</v>
      </c>
      <c r="D29" s="38">
        <f>C29*J29</f>
        <v>82809493.433462754</v>
      </c>
      <c r="E29" s="39">
        <f>C29*K29</f>
        <v>70372821.956160367</v>
      </c>
      <c r="F29" s="40" t="s">
        <v>47</v>
      </c>
      <c r="G29" s="41">
        <v>5.15</v>
      </c>
      <c r="H29" s="42">
        <v>5.35</v>
      </c>
      <c r="I29" s="42">
        <v>5.4846590000000006</v>
      </c>
      <c r="J29" s="43">
        <f>I29/$J$5</f>
        <v>0.20488692228381872</v>
      </c>
      <c r="K29" s="44">
        <f>I29/$K$4</f>
        <v>0.17411615873015876</v>
      </c>
      <c r="L29" s="45">
        <f>I29-H29</f>
        <v>0.13465900000000097</v>
      </c>
      <c r="M29" s="45">
        <f>((I29-H29)/H29)*100</f>
        <v>2.516990654205626</v>
      </c>
      <c r="N29" s="46">
        <v>26400</v>
      </c>
      <c r="O29" s="37">
        <v>144795</v>
      </c>
      <c r="P29" s="50">
        <f>(R29)/J29</f>
        <v>0</v>
      </c>
      <c r="Q29" s="48">
        <f>I29/G29-1</f>
        <v>6.4982330097087315E-2</v>
      </c>
      <c r="R29" s="49"/>
    </row>
    <row r="30" spans="1:19" hidden="1" x14ac:dyDescent="0.25">
      <c r="A30" s="35"/>
      <c r="B30" s="36" t="s">
        <v>82</v>
      </c>
      <c r="C30" s="37"/>
      <c r="D30" s="38"/>
      <c r="E30" s="39"/>
      <c r="F30" s="40"/>
      <c r="G30" s="41"/>
      <c r="H30" s="42"/>
      <c r="I30" s="42"/>
      <c r="J30" s="43"/>
      <c r="K30" s="44"/>
      <c r="L30" s="45"/>
      <c r="M30" s="45"/>
      <c r="N30" s="46"/>
      <c r="O30" s="37"/>
      <c r="P30" s="50"/>
      <c r="Q30" s="48"/>
      <c r="R30" s="49"/>
    </row>
    <row r="31" spans="1:19" x14ac:dyDescent="0.25">
      <c r="A31" s="35" t="s">
        <v>83</v>
      </c>
      <c r="B31" s="36" t="s">
        <v>84</v>
      </c>
      <c r="C31" s="37">
        <v>3171161098</v>
      </c>
      <c r="D31" s="38">
        <f>C31*J31</f>
        <v>0</v>
      </c>
      <c r="E31" s="39">
        <f>C31*K31</f>
        <v>0</v>
      </c>
      <c r="F31" s="40" t="s">
        <v>34</v>
      </c>
      <c r="G31" s="41">
        <v>0.13000100000000001</v>
      </c>
      <c r="H31" s="50">
        <v>0</v>
      </c>
      <c r="I31" s="50"/>
      <c r="J31" s="52">
        <f>I31/$J$5</f>
        <v>0</v>
      </c>
      <c r="K31" s="53">
        <f>I31/$K$4</f>
        <v>0</v>
      </c>
      <c r="L31" s="45">
        <v>0</v>
      </c>
      <c r="M31" s="45">
        <v>0</v>
      </c>
      <c r="N31" s="54" t="s">
        <v>85</v>
      </c>
      <c r="O31" s="54" t="s">
        <v>85</v>
      </c>
      <c r="P31" s="54" t="s">
        <v>85</v>
      </c>
      <c r="Q31" s="48">
        <v>0</v>
      </c>
      <c r="R31" s="49"/>
    </row>
    <row r="32" spans="1:19" x14ac:dyDescent="0.25">
      <c r="A32" s="35" t="s">
        <v>86</v>
      </c>
      <c r="B32" s="36" t="s">
        <v>87</v>
      </c>
      <c r="C32" s="37">
        <v>259866270</v>
      </c>
      <c r="D32" s="38">
        <f>C32*J32</f>
        <v>12562807.938545417</v>
      </c>
      <c r="E32" s="39">
        <f>C32*K32</f>
        <v>10676073.595825713</v>
      </c>
      <c r="F32" s="40" t="s">
        <v>39</v>
      </c>
      <c r="G32" s="41">
        <v>1.4</v>
      </c>
      <c r="H32" s="42">
        <v>1.2941130000000001</v>
      </c>
      <c r="I32" s="42">
        <v>1.2941130000000001</v>
      </c>
      <c r="J32" s="43">
        <f>I32/$J$5</f>
        <v>4.8343357291215278E-2</v>
      </c>
      <c r="K32" s="44">
        <f>I32/$K$4</f>
        <v>4.108295238095238E-2</v>
      </c>
      <c r="L32" s="45">
        <f>I32-H32</f>
        <v>0</v>
      </c>
      <c r="M32" s="45">
        <f>((I32-H32)/H32)*100</f>
        <v>0</v>
      </c>
      <c r="N32" s="46">
        <v>0</v>
      </c>
      <c r="O32" s="37">
        <v>0</v>
      </c>
      <c r="P32" s="50">
        <f>(R32)/J32</f>
        <v>0</v>
      </c>
      <c r="Q32" s="48">
        <f>I32/G32-1</f>
        <v>-7.56335714285713E-2</v>
      </c>
      <c r="R32" s="49"/>
    </row>
    <row r="33" spans="1:18" x14ac:dyDescent="0.25">
      <c r="A33" s="35" t="s">
        <v>88</v>
      </c>
      <c r="B33" s="36" t="s">
        <v>89</v>
      </c>
      <c r="C33" s="37">
        <v>122029470</v>
      </c>
      <c r="D33" s="38">
        <f>C33*J33</f>
        <v>3874790.7856790638</v>
      </c>
      <c r="E33" s="39">
        <f>C33*K33</f>
        <v>3292858.7142857141</v>
      </c>
      <c r="F33" s="40" t="s">
        <v>39</v>
      </c>
      <c r="G33" s="41">
        <v>0.65</v>
      </c>
      <c r="H33" s="42">
        <v>0.85</v>
      </c>
      <c r="I33" s="42">
        <v>0.85</v>
      </c>
      <c r="J33" s="43">
        <f>I33/$J$5</f>
        <v>3.175291006081616E-2</v>
      </c>
      <c r="K33" s="44">
        <f>I33/$K$4</f>
        <v>2.6984126984126982E-2</v>
      </c>
      <c r="L33" s="45">
        <f>I33-H33</f>
        <v>0</v>
      </c>
      <c r="M33" s="45">
        <f>((I33-H33)/H33)*100</f>
        <v>0</v>
      </c>
      <c r="N33" s="46">
        <v>0</v>
      </c>
      <c r="O33" s="37">
        <v>0</v>
      </c>
      <c r="P33" s="50">
        <f>(R33)/J33</f>
        <v>0</v>
      </c>
      <c r="Q33" s="48">
        <f>I33/G33-1</f>
        <v>0.30769230769230771</v>
      </c>
      <c r="R33" s="49"/>
    </row>
    <row r="34" spans="1:18" x14ac:dyDescent="0.25">
      <c r="A34" s="35" t="s">
        <v>90</v>
      </c>
      <c r="B34" s="36" t="s">
        <v>91</v>
      </c>
      <c r="C34" s="37">
        <v>2495495543</v>
      </c>
      <c r="D34" s="38">
        <f>C34*J34</f>
        <v>158478491.06809318</v>
      </c>
      <c r="E34" s="39">
        <f>C34*K34</f>
        <v>134677537.24126983</v>
      </c>
      <c r="F34" s="40" t="s">
        <v>92</v>
      </c>
      <c r="G34" s="41">
        <v>1.44</v>
      </c>
      <c r="H34" s="42">
        <v>1.7</v>
      </c>
      <c r="I34" s="42">
        <v>1.7</v>
      </c>
      <c r="J34" s="43">
        <f>I34/$J$5</f>
        <v>6.350582012163232E-2</v>
      </c>
      <c r="K34" s="44">
        <f>I34/$K$4</f>
        <v>5.3968253968253964E-2</v>
      </c>
      <c r="L34" s="45">
        <f>I34-H34</f>
        <v>0</v>
      </c>
      <c r="M34" s="45">
        <f>((I34-H34)/H34)*100</f>
        <v>0</v>
      </c>
      <c r="N34" s="46">
        <v>0</v>
      </c>
      <c r="O34" s="37">
        <v>0</v>
      </c>
      <c r="P34" s="50">
        <f>(R34)/J34</f>
        <v>0</v>
      </c>
      <c r="Q34" s="48">
        <f>I34/G34-1</f>
        <v>0.18055555555555558</v>
      </c>
      <c r="R34" s="49"/>
    </row>
    <row r="35" spans="1:18" x14ac:dyDescent="0.25">
      <c r="A35" s="35" t="s">
        <v>93</v>
      </c>
      <c r="B35" s="36" t="s">
        <v>94</v>
      </c>
      <c r="C35" s="37">
        <v>253492983</v>
      </c>
      <c r="D35" s="38">
        <f>C35*J35</f>
        <v>37120739.258550867</v>
      </c>
      <c r="E35" s="39">
        <f>C35*K35</f>
        <v>31545793.439999998</v>
      </c>
      <c r="F35" s="40" t="s">
        <v>34</v>
      </c>
      <c r="G35" s="41">
        <v>3.6056249999999999</v>
      </c>
      <c r="H35" s="42">
        <v>3.91</v>
      </c>
      <c r="I35" s="42">
        <v>3.92</v>
      </c>
      <c r="J35" s="43">
        <f>I35/$J$5</f>
        <v>0.14643694992752865</v>
      </c>
      <c r="K35" s="44">
        <f>I35/$K$4</f>
        <v>0.12444444444444444</v>
      </c>
      <c r="L35" s="45">
        <f>I35-H35</f>
        <v>9.9999999999997868E-3</v>
      </c>
      <c r="M35" s="45">
        <f>((I35-H35)/H35)*100</f>
        <v>0.25575447570331938</v>
      </c>
      <c r="N35" s="46">
        <v>20600</v>
      </c>
      <c r="O35" s="37">
        <v>80752</v>
      </c>
      <c r="P35" s="50">
        <f>(R35)/J35</f>
        <v>0</v>
      </c>
      <c r="Q35" s="48">
        <f>I35/G35-1</f>
        <v>8.7190154272837495E-2</v>
      </c>
      <c r="R35" s="49"/>
    </row>
    <row r="36" spans="1:18" x14ac:dyDescent="0.25">
      <c r="A36" s="35" t="s">
        <v>95</v>
      </c>
      <c r="B36" s="36" t="s">
        <v>96</v>
      </c>
      <c r="C36" s="37">
        <v>4715084056</v>
      </c>
      <c r="D36" s="38">
        <f>C36*J36</f>
        <v>7104190.0852714302</v>
      </c>
      <c r="E36" s="39">
        <f>C36*K36</f>
        <v>6037253.4993856503</v>
      </c>
      <c r="F36" s="40" t="s">
        <v>34</v>
      </c>
      <c r="G36" s="41">
        <v>2.5099999999999997E-2</v>
      </c>
      <c r="H36" s="42">
        <v>0.04</v>
      </c>
      <c r="I36" s="42">
        <v>4.0332999999999994E-2</v>
      </c>
      <c r="J36" s="43">
        <f>I36/$J$5</f>
        <v>1.5066942605681153E-3</v>
      </c>
      <c r="K36" s="44">
        <f>I36/$K$4</f>
        <v>1.2804126984126982E-3</v>
      </c>
      <c r="L36" s="45">
        <f>I36-H36</f>
        <v>3.3299999999999302E-4</v>
      </c>
      <c r="M36" s="45">
        <f>((I36-H36)/H36)*100</f>
        <v>0.83249999999998259</v>
      </c>
      <c r="N36" s="46">
        <v>3000</v>
      </c>
      <c r="O36" s="37">
        <v>121</v>
      </c>
      <c r="P36" s="50">
        <f>(R36)/J36</f>
        <v>0</v>
      </c>
      <c r="Q36" s="48">
        <f>I36/G36-1</f>
        <v>0.60689243027888429</v>
      </c>
      <c r="R36" s="49"/>
    </row>
    <row r="37" spans="1:18" x14ac:dyDescent="0.25">
      <c r="A37" s="35" t="s">
        <v>97</v>
      </c>
      <c r="B37" s="36" t="s">
        <v>98</v>
      </c>
      <c r="C37" s="37">
        <v>261064590</v>
      </c>
      <c r="D37" s="38">
        <f>C37*J37</f>
        <v>48663064.901430383</v>
      </c>
      <c r="E37" s="39">
        <f>C37*K37</f>
        <v>41354644.982837141</v>
      </c>
      <c r="F37" s="40" t="s">
        <v>92</v>
      </c>
      <c r="G37" s="41">
        <v>0.61</v>
      </c>
      <c r="H37" s="42">
        <v>4.9898430000000005</v>
      </c>
      <c r="I37" s="42">
        <v>4.9898430000000005</v>
      </c>
      <c r="J37" s="43">
        <f>I37/$J$5</f>
        <v>0.18640239529010955</v>
      </c>
      <c r="K37" s="44">
        <f>I37/$K$4</f>
        <v>0.15840771428571429</v>
      </c>
      <c r="L37" s="45">
        <f>I37-H37</f>
        <v>0</v>
      </c>
      <c r="M37" s="45">
        <f>((I37-H37)/H37)*100</f>
        <v>0</v>
      </c>
      <c r="N37" s="46">
        <v>0</v>
      </c>
      <c r="O37" s="37">
        <v>0</v>
      </c>
      <c r="P37" s="50">
        <f>(R37)/J37</f>
        <v>0</v>
      </c>
      <c r="Q37" s="48">
        <f>I37/G37-1</f>
        <v>7.1800704918032796</v>
      </c>
      <c r="R37" s="49"/>
    </row>
    <row r="38" spans="1:18" x14ac:dyDescent="0.25">
      <c r="A38" s="35" t="s">
        <v>99</v>
      </c>
      <c r="B38" s="36" t="s">
        <v>100</v>
      </c>
      <c r="C38" s="37">
        <v>4194797929</v>
      </c>
      <c r="D38" s="38">
        <f>C38*J38</f>
        <v>23505360.240500275</v>
      </c>
      <c r="E38" s="39">
        <f>C38*K38</f>
        <v>19975228.233333331</v>
      </c>
      <c r="F38" s="40" t="s">
        <v>56</v>
      </c>
      <c r="G38" s="41">
        <v>0.11650199999999999</v>
      </c>
      <c r="H38" s="42">
        <v>0.14966599999999999</v>
      </c>
      <c r="I38" s="42">
        <v>0.15</v>
      </c>
      <c r="J38" s="43">
        <f>I38/$J$5</f>
        <v>5.6034547166146165E-3</v>
      </c>
      <c r="K38" s="44">
        <f>I38/$K$4</f>
        <v>4.7619047619047615E-3</v>
      </c>
      <c r="L38" s="45">
        <f>I38-H38</f>
        <v>3.3400000000000096E-4</v>
      </c>
      <c r="M38" s="45">
        <f>((I38-H38)/H38)*100</f>
        <v>0.22316357756604774</v>
      </c>
      <c r="N38" s="46">
        <v>30100</v>
      </c>
      <c r="O38" s="37">
        <v>4515</v>
      </c>
      <c r="P38" s="50">
        <v>0</v>
      </c>
      <c r="Q38" s="48">
        <f>I38/G38-1</f>
        <v>0.2875315445228408</v>
      </c>
      <c r="R38" s="49"/>
    </row>
    <row r="39" spans="1:18" x14ac:dyDescent="0.25">
      <c r="A39" s="35" t="s">
        <v>101</v>
      </c>
      <c r="B39" s="36" t="s">
        <v>102</v>
      </c>
      <c r="C39" s="37">
        <v>362927587</v>
      </c>
      <c r="D39" s="38">
        <f>C39*J39</f>
        <v>101337033.68876077</v>
      </c>
      <c r="E39" s="39">
        <f>C39*K39</f>
        <v>86117819.753053173</v>
      </c>
      <c r="F39" s="40" t="s">
        <v>34</v>
      </c>
      <c r="G39" s="41">
        <v>2.6005000000000003</v>
      </c>
      <c r="H39" s="42">
        <v>7.4745249999999999</v>
      </c>
      <c r="I39" s="42">
        <v>7.4745249999999999</v>
      </c>
      <c r="J39" s="43">
        <f>I39/$J$5</f>
        <v>0.27922108243802579</v>
      </c>
      <c r="K39" s="44">
        <f>I39/$K$4</f>
        <v>0.23728650793650793</v>
      </c>
      <c r="L39" s="45">
        <f>I39-H39</f>
        <v>0</v>
      </c>
      <c r="M39" s="45">
        <f>((I39-H39)/H39)*100</f>
        <v>0</v>
      </c>
      <c r="N39" s="46">
        <v>0</v>
      </c>
      <c r="O39" s="37">
        <v>0</v>
      </c>
      <c r="P39" s="50">
        <f>(R39)/J39</f>
        <v>0</v>
      </c>
      <c r="Q39" s="48">
        <f>I39/G39-1</f>
        <v>1.8742645645068254</v>
      </c>
      <c r="R39" s="49"/>
    </row>
    <row r="40" spans="1:18" x14ac:dyDescent="0.25">
      <c r="A40" s="35" t="s">
        <v>103</v>
      </c>
      <c r="B40" s="36" t="s">
        <v>104</v>
      </c>
      <c r="C40" s="37">
        <v>4315726499</v>
      </c>
      <c r="D40" s="38">
        <f>C40*J40</f>
        <v>16117471.181732288</v>
      </c>
      <c r="E40" s="39">
        <f>C40*K40</f>
        <v>13696882.843111999</v>
      </c>
      <c r="F40" s="40" t="s">
        <v>39</v>
      </c>
      <c r="G40" s="41">
        <v>0.1</v>
      </c>
      <c r="H40" s="42">
        <v>0.1</v>
      </c>
      <c r="I40" s="42">
        <v>9.9971999999999991E-2</v>
      </c>
      <c r="J40" s="43">
        <f>I40/$J$5</f>
        <v>3.7345904995293093E-3</v>
      </c>
      <c r="K40" s="44">
        <f>I40/$K$4</f>
        <v>3.1737142857142854E-3</v>
      </c>
      <c r="L40" s="45">
        <f>I40-H40</f>
        <v>-2.8000000000014125E-5</v>
      </c>
      <c r="M40" s="45">
        <f>((I40-H40)/H40)*100</f>
        <v>-2.8000000000014125E-2</v>
      </c>
      <c r="N40" s="46">
        <v>191000</v>
      </c>
      <c r="O40" s="37">
        <v>19094.599999999999</v>
      </c>
      <c r="P40" s="50">
        <f>(R40)/J40</f>
        <v>0</v>
      </c>
      <c r="Q40" s="48">
        <f>I40/G40-1</f>
        <v>-2.80000000000169E-4</v>
      </c>
      <c r="R40" s="49"/>
    </row>
    <row r="41" spans="1:18" x14ac:dyDescent="0.25">
      <c r="A41" s="35" t="s">
        <v>105</v>
      </c>
      <c r="B41" s="36" t="s">
        <v>106</v>
      </c>
      <c r="C41" s="37">
        <v>106474237</v>
      </c>
      <c r="D41" s="38">
        <f>C41*J41</f>
        <v>6363984.6988329869</v>
      </c>
      <c r="E41" s="39">
        <f>C41*K41</f>
        <v>5408215.2126984131</v>
      </c>
      <c r="F41" s="40" t="s">
        <v>44</v>
      </c>
      <c r="G41" s="41">
        <v>1.7452379999999998</v>
      </c>
      <c r="H41" s="42">
        <v>1.6</v>
      </c>
      <c r="I41" s="42">
        <v>1.6</v>
      </c>
      <c r="J41" s="43">
        <f>I41/$J$5</f>
        <v>5.9770183643889245E-2</v>
      </c>
      <c r="K41" s="44">
        <f>I41/$K$4</f>
        <v>5.0793650793650794E-2</v>
      </c>
      <c r="L41" s="45">
        <f>I41-H41</f>
        <v>0</v>
      </c>
      <c r="M41" s="45">
        <f>((I41-H41)/H41)*100</f>
        <v>0</v>
      </c>
      <c r="N41" s="46">
        <v>0</v>
      </c>
      <c r="O41" s="37">
        <v>0</v>
      </c>
      <c r="P41" s="50">
        <f>(R41)/J41</f>
        <v>0</v>
      </c>
      <c r="Q41" s="48">
        <f>I41/G41-1</f>
        <v>-8.3219595264370727E-2</v>
      </c>
      <c r="R41" s="49">
        <v>0</v>
      </c>
    </row>
    <row r="42" spans="1:18" x14ac:dyDescent="0.25">
      <c r="A42" s="35" t="s">
        <v>107</v>
      </c>
      <c r="B42" s="36" t="s">
        <v>108</v>
      </c>
      <c r="C42" s="37">
        <v>1778001428</v>
      </c>
      <c r="D42" s="38">
        <f>C42*J42</f>
        <v>2656786.7967664329</v>
      </c>
      <c r="E42" s="39">
        <f>C42*K42</f>
        <v>2257779.591111111</v>
      </c>
      <c r="F42" s="40" t="s">
        <v>39</v>
      </c>
      <c r="G42" s="41">
        <v>0.03</v>
      </c>
      <c r="H42" s="42">
        <v>0.04</v>
      </c>
      <c r="I42" s="42">
        <v>0.04</v>
      </c>
      <c r="J42" s="43">
        <f>I42/$J$5</f>
        <v>1.494254591097231E-3</v>
      </c>
      <c r="K42" s="44">
        <f>I42/$K$4</f>
        <v>1.2698412698412698E-3</v>
      </c>
      <c r="L42" s="45">
        <f>I42-H42</f>
        <v>0</v>
      </c>
      <c r="M42" s="45">
        <f>((I42-H42)/H42)*100</f>
        <v>0</v>
      </c>
      <c r="N42" s="46">
        <v>0</v>
      </c>
      <c r="O42" s="37">
        <v>0</v>
      </c>
      <c r="P42" s="50">
        <f>(R42)/J42</f>
        <v>0</v>
      </c>
      <c r="Q42" s="48">
        <f>I42/G42-1</f>
        <v>0.33333333333333348</v>
      </c>
      <c r="R42" s="49">
        <v>0</v>
      </c>
    </row>
    <row r="43" spans="1:18" x14ac:dyDescent="0.25">
      <c r="A43" s="35" t="s">
        <v>109</v>
      </c>
      <c r="B43" s="36" t="s">
        <v>110</v>
      </c>
      <c r="C43" s="37">
        <v>175190642</v>
      </c>
      <c r="D43" s="38">
        <f>C43*J43</f>
        <v>34031324.746350281</v>
      </c>
      <c r="E43" s="39">
        <f>C43*K43</f>
        <v>28920359.949206349</v>
      </c>
      <c r="F43" s="40" t="s">
        <v>47</v>
      </c>
      <c r="G43" s="41">
        <v>4.5</v>
      </c>
      <c r="H43" s="42">
        <v>5.2</v>
      </c>
      <c r="I43" s="42">
        <v>5.2</v>
      </c>
      <c r="J43" s="43">
        <f>I43/$J$5</f>
        <v>0.19425309684264006</v>
      </c>
      <c r="K43" s="44">
        <f>I43/$K$4</f>
        <v>0.16507936507936508</v>
      </c>
      <c r="L43" s="45">
        <f>I43-H43</f>
        <v>0</v>
      </c>
      <c r="M43" s="45">
        <f>((I43-H43)/H43)*100</f>
        <v>0</v>
      </c>
      <c r="N43" s="46">
        <v>0</v>
      </c>
      <c r="O43" s="37">
        <v>0</v>
      </c>
      <c r="P43" s="50">
        <f>(R43)/J43</f>
        <v>0</v>
      </c>
      <c r="Q43" s="48">
        <f>I43/G43-1</f>
        <v>0.15555555555555567</v>
      </c>
      <c r="R43" s="49">
        <v>0</v>
      </c>
    </row>
    <row r="44" spans="1:18" x14ac:dyDescent="0.25">
      <c r="A44" s="35" t="s">
        <v>111</v>
      </c>
      <c r="B44" s="36" t="s">
        <v>112</v>
      </c>
      <c r="C44" s="37">
        <v>463337661</v>
      </c>
      <c r="D44" s="38">
        <f>C44*J44</f>
        <v>311.55499222987612</v>
      </c>
      <c r="E44" s="39">
        <f>C44*K44</f>
        <v>264.76437771428573</v>
      </c>
      <c r="F44" s="40" t="s">
        <v>44</v>
      </c>
      <c r="G44" s="41">
        <v>1.8E-5</v>
      </c>
      <c r="H44" s="42">
        <v>1.8E-5</v>
      </c>
      <c r="I44" s="42">
        <v>1.8E-5</v>
      </c>
      <c r="J44" s="43">
        <f>I44/$J$5</f>
        <v>6.72414565993754E-7</v>
      </c>
      <c r="K44" s="44">
        <f>I44/$K$4</f>
        <v>5.7142857142857149E-7</v>
      </c>
      <c r="L44" s="45">
        <f>I44-H44</f>
        <v>0</v>
      </c>
      <c r="M44" s="45">
        <f>((I44-H44)/H44)*100</f>
        <v>0</v>
      </c>
      <c r="N44" s="46">
        <v>0</v>
      </c>
      <c r="O44" s="37">
        <v>0</v>
      </c>
      <c r="P44" s="50">
        <f>(R44)/J44</f>
        <v>0</v>
      </c>
      <c r="Q44" s="48">
        <f>I44/G44-1</f>
        <v>0</v>
      </c>
      <c r="R44" s="49">
        <v>0</v>
      </c>
    </row>
    <row r="45" spans="1:18" x14ac:dyDescent="0.25">
      <c r="A45" s="35" t="s">
        <v>113</v>
      </c>
      <c r="B45" s="36" t="s">
        <v>114</v>
      </c>
      <c r="C45" s="37">
        <v>576000000</v>
      </c>
      <c r="D45" s="38">
        <f>C45*J45</f>
        <v>1510512.0810483689</v>
      </c>
      <c r="E45" s="39">
        <f>C45*K45</f>
        <v>1283657.142857143</v>
      </c>
      <c r="F45" s="40" t="s">
        <v>56</v>
      </c>
      <c r="G45" s="41">
        <v>7.0000000000000007E-2</v>
      </c>
      <c r="H45" s="42">
        <v>7.0199999999999999E-2</v>
      </c>
      <c r="I45" s="42">
        <v>7.0199999999999999E-2</v>
      </c>
      <c r="J45" s="43">
        <f>I45/$J$5</f>
        <v>2.6224168073756405E-3</v>
      </c>
      <c r="K45" s="44">
        <f>I45/$K$4</f>
        <v>2.2285714285714287E-3</v>
      </c>
      <c r="L45" s="45">
        <f>I45-H45</f>
        <v>0</v>
      </c>
      <c r="M45" s="45">
        <f>((I45-H45)/H45)*100</f>
        <v>0</v>
      </c>
      <c r="N45" s="46">
        <v>0</v>
      </c>
      <c r="O45" s="37">
        <v>0</v>
      </c>
      <c r="P45" s="50">
        <f>(R45)/J45</f>
        <v>0</v>
      </c>
      <c r="Q45" s="48">
        <f>I45/G45-1</f>
        <v>2.8571428571426694E-3</v>
      </c>
      <c r="R45" s="49"/>
    </row>
    <row r="46" spans="1:18" x14ac:dyDescent="0.25">
      <c r="A46" s="35" t="s">
        <v>115</v>
      </c>
      <c r="B46" s="36" t="s">
        <v>116</v>
      </c>
      <c r="C46" s="37">
        <v>1818218786</v>
      </c>
      <c r="D46" s="38">
        <f>C46*J46</f>
        <v>44828549.181895614</v>
      </c>
      <c r="E46" s="39">
        <f>C46*K46</f>
        <v>38096012.659047626</v>
      </c>
      <c r="F46" s="40" t="s">
        <v>47</v>
      </c>
      <c r="G46" s="41">
        <v>0.9998999999999999</v>
      </c>
      <c r="H46" s="42">
        <v>0.67994399999999999</v>
      </c>
      <c r="I46" s="42">
        <v>0.66</v>
      </c>
      <c r="J46" s="43">
        <f>I46/$J$5</f>
        <v>2.4655200753104314E-2</v>
      </c>
      <c r="K46" s="44">
        <f>I46/$K$4</f>
        <v>2.0952380952380955E-2</v>
      </c>
      <c r="L46" s="45">
        <f>I46-H46</f>
        <v>-1.9943999999999962E-2</v>
      </c>
      <c r="M46" s="45">
        <f>((I46-H46)/H46)*100</f>
        <v>-2.9331827326956281</v>
      </c>
      <c r="N46" s="46">
        <v>6900</v>
      </c>
      <c r="O46" s="37">
        <v>4554</v>
      </c>
      <c r="P46" s="50">
        <f>(R46)/J46</f>
        <v>0</v>
      </c>
      <c r="Q46" s="48">
        <f>I46/G46-1</f>
        <v>-0.33993399339933983</v>
      </c>
      <c r="R46" s="49">
        <v>0</v>
      </c>
    </row>
    <row r="47" spans="1:18" x14ac:dyDescent="0.25">
      <c r="A47" s="35" t="s">
        <v>117</v>
      </c>
      <c r="B47" s="36" t="s">
        <v>118</v>
      </c>
      <c r="C47" s="37">
        <v>102712520</v>
      </c>
      <c r="D47" s="38">
        <f>C47*J47</f>
        <v>4604359.6371949846</v>
      </c>
      <c r="E47" s="39">
        <f>C47*K47</f>
        <v>3912857.9047619044</v>
      </c>
      <c r="F47" s="40" t="s">
        <v>47</v>
      </c>
      <c r="G47" s="41">
        <v>1.4503460000000001</v>
      </c>
      <c r="H47" s="42">
        <v>1.2</v>
      </c>
      <c r="I47" s="42">
        <v>1.2</v>
      </c>
      <c r="J47" s="43">
        <f>I47/$J$5</f>
        <v>4.4827637732916932E-2</v>
      </c>
      <c r="K47" s="44">
        <f>I47/$K$4</f>
        <v>3.8095238095238092E-2</v>
      </c>
      <c r="L47" s="45">
        <f>I47-H47</f>
        <v>0</v>
      </c>
      <c r="M47" s="45">
        <f>((I47-H47)/H47)*100</f>
        <v>0</v>
      </c>
      <c r="N47" s="46">
        <v>0</v>
      </c>
      <c r="O47" s="37">
        <v>0</v>
      </c>
      <c r="P47" s="50">
        <v>0</v>
      </c>
      <c r="Q47" s="48">
        <f>I47/G47-1</f>
        <v>-0.17261122518350802</v>
      </c>
      <c r="R47" s="49"/>
    </row>
    <row r="48" spans="1:18" ht="13.8" thickBot="1" x14ac:dyDescent="0.4">
      <c r="A48" s="55"/>
      <c r="B48" s="56" t="s">
        <v>82</v>
      </c>
      <c r="C48" s="57"/>
      <c r="D48" s="58"/>
      <c r="E48" s="58"/>
      <c r="F48" s="59"/>
      <c r="G48" s="59"/>
      <c r="H48" s="45"/>
      <c r="I48" s="45"/>
      <c r="J48" s="45"/>
      <c r="K48" s="45"/>
      <c r="L48" s="45"/>
      <c r="M48" s="45"/>
      <c r="N48" s="59">
        <f>SUM(N9:N47)</f>
        <v>585600</v>
      </c>
      <c r="O48" s="60">
        <f>SUM(O9:O47)</f>
        <v>14222101.15</v>
      </c>
      <c r="P48" s="60"/>
      <c r="Q48" s="61"/>
    </row>
    <row r="49" spans="1:20" ht="13.2" x14ac:dyDescent="0.35">
      <c r="A49" s="62"/>
      <c r="B49" s="63" t="s">
        <v>82</v>
      </c>
      <c r="C49" s="64"/>
      <c r="D49" s="64"/>
      <c r="E49" s="64"/>
      <c r="F49" s="65"/>
      <c r="G49" s="65"/>
      <c r="H49" s="66"/>
      <c r="I49" s="66"/>
      <c r="J49" s="66"/>
      <c r="K49" s="66"/>
      <c r="L49" s="66"/>
      <c r="M49" s="66"/>
      <c r="N49" s="65"/>
      <c r="O49" s="65"/>
      <c r="P49" s="65"/>
      <c r="Q49" s="67"/>
    </row>
    <row r="50" spans="1:20" ht="12.6" x14ac:dyDescent="0.3">
      <c r="A50" s="127" t="s">
        <v>119</v>
      </c>
      <c r="B50" s="128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30"/>
    </row>
    <row r="51" spans="1:20" ht="11.4" customHeight="1" x14ac:dyDescent="0.25">
      <c r="A51" s="35" t="s">
        <v>120</v>
      </c>
      <c r="B51" s="36" t="s">
        <v>121</v>
      </c>
      <c r="C51" s="40">
        <v>554920308</v>
      </c>
      <c r="D51" s="38">
        <f>C51*J51</f>
        <v>82183697.614800006</v>
      </c>
      <c r="E51" s="39">
        <v>0</v>
      </c>
      <c r="F51" s="40" t="s">
        <v>92</v>
      </c>
      <c r="G51" s="68">
        <v>0.1</v>
      </c>
      <c r="H51" s="42">
        <v>0.15590000000000001</v>
      </c>
      <c r="I51" s="42">
        <v>0.14810000000000001</v>
      </c>
      <c r="J51" s="43">
        <f>I51</f>
        <v>0.14810000000000001</v>
      </c>
      <c r="K51" s="39">
        <v>0</v>
      </c>
      <c r="L51" s="45">
        <f>I51-H51</f>
        <v>-7.8000000000000014E-3</v>
      </c>
      <c r="M51" s="45">
        <f>((I51-H51)/H51)*100</f>
        <v>-5.0032071840923678</v>
      </c>
      <c r="N51" s="46">
        <v>1592</v>
      </c>
      <c r="O51" s="37">
        <v>235.8</v>
      </c>
      <c r="P51" s="69">
        <f>(R51)/J51</f>
        <v>0</v>
      </c>
      <c r="Q51" s="48">
        <f>J51/G51-1</f>
        <v>0.48100000000000009</v>
      </c>
      <c r="T51" s="51"/>
    </row>
    <row r="52" spans="1:20" x14ac:dyDescent="0.25">
      <c r="A52" s="35" t="s">
        <v>122</v>
      </c>
      <c r="B52" s="36" t="s">
        <v>123</v>
      </c>
      <c r="C52" s="40">
        <v>1057685</v>
      </c>
      <c r="D52" s="38">
        <f>C52*J52</f>
        <v>67836214.002499998</v>
      </c>
      <c r="E52" s="39">
        <v>0</v>
      </c>
      <c r="F52" s="40" t="s">
        <v>39</v>
      </c>
      <c r="G52" s="68">
        <v>39.9</v>
      </c>
      <c r="H52" s="42">
        <v>53.956600000000002</v>
      </c>
      <c r="I52" s="42">
        <v>64.136499999999998</v>
      </c>
      <c r="J52" s="43">
        <f>I52</f>
        <v>64.136499999999998</v>
      </c>
      <c r="K52" s="39">
        <v>0</v>
      </c>
      <c r="L52" s="45">
        <f>I52-H52</f>
        <v>10.179899999999996</v>
      </c>
      <c r="M52" s="45">
        <f>((I52-H52)/H52)*100</f>
        <v>18.866830007821093</v>
      </c>
      <c r="N52" s="46">
        <v>1129</v>
      </c>
      <c r="O52" s="37">
        <v>72410.100000000006</v>
      </c>
      <c r="P52" s="70">
        <f>(R52)/J52</f>
        <v>8.7313776086939583E-3</v>
      </c>
      <c r="Q52" s="48">
        <f>J52/G52-1</f>
        <v>0.60743107769423554</v>
      </c>
      <c r="R52" s="51">
        <v>0.56000000000000005</v>
      </c>
      <c r="T52" s="51"/>
    </row>
    <row r="53" spans="1:20" x14ac:dyDescent="0.25">
      <c r="A53" s="35" t="s">
        <v>124</v>
      </c>
      <c r="B53" s="36" t="s">
        <v>125</v>
      </c>
      <c r="C53" s="40">
        <v>2992163203</v>
      </c>
      <c r="D53" s="38">
        <f>C53*J53</f>
        <v>742355690.66429996</v>
      </c>
      <c r="E53" s="39"/>
      <c r="F53" s="40" t="s">
        <v>56</v>
      </c>
      <c r="G53" s="68">
        <v>0.33</v>
      </c>
      <c r="H53" s="42">
        <v>0.24779999999999999</v>
      </c>
      <c r="I53" s="42">
        <v>0.24809999999999999</v>
      </c>
      <c r="J53" s="43">
        <f>I53</f>
        <v>0.24809999999999999</v>
      </c>
      <c r="K53" s="39">
        <v>0</v>
      </c>
      <c r="L53" s="45">
        <f>I53-H53</f>
        <v>2.9999999999999472E-4</v>
      </c>
      <c r="M53" s="45">
        <f>((I53-H53)/H53)*100</f>
        <v>0.12106537530266132</v>
      </c>
      <c r="N53" s="46">
        <v>19782</v>
      </c>
      <c r="O53" s="37">
        <v>4908.7700000000004</v>
      </c>
      <c r="P53" s="69">
        <v>0</v>
      </c>
      <c r="Q53" s="48">
        <f>J53/G53-1</f>
        <v>-0.24818181818181828</v>
      </c>
      <c r="R53" s="51"/>
      <c r="T53" s="51"/>
    </row>
    <row r="54" spans="1:20" x14ac:dyDescent="0.25">
      <c r="A54" s="35" t="s">
        <v>126</v>
      </c>
      <c r="B54" s="36" t="s">
        <v>127</v>
      </c>
      <c r="C54" s="40">
        <v>609740943</v>
      </c>
      <c r="D54" s="38">
        <f>C54*J54</f>
        <v>15670342.235100001</v>
      </c>
      <c r="E54" s="39">
        <v>0</v>
      </c>
      <c r="F54" s="40" t="s">
        <v>34</v>
      </c>
      <c r="G54" s="68">
        <v>2.3E-2</v>
      </c>
      <c r="H54" s="42">
        <v>2.5700000000000001E-2</v>
      </c>
      <c r="I54" s="42">
        <v>2.5700000000000001E-2</v>
      </c>
      <c r="J54" s="43">
        <f>I54</f>
        <v>2.5700000000000001E-2</v>
      </c>
      <c r="K54" s="39">
        <v>0</v>
      </c>
      <c r="L54" s="45">
        <f>I54-H54</f>
        <v>0</v>
      </c>
      <c r="M54" s="45">
        <f>((I54-H54)/H54)*100</f>
        <v>0</v>
      </c>
      <c r="N54" s="46">
        <v>0</v>
      </c>
      <c r="O54" s="37">
        <v>0</v>
      </c>
      <c r="P54" s="69">
        <f>(R54)/J54</f>
        <v>0</v>
      </c>
      <c r="Q54" s="48">
        <f>J54/G54-1</f>
        <v>0.11739130434782608</v>
      </c>
      <c r="T54" s="51"/>
    </row>
    <row r="55" spans="1:20" x14ac:dyDescent="0.25">
      <c r="A55" s="35" t="s">
        <v>128</v>
      </c>
      <c r="B55" s="36" t="s">
        <v>129</v>
      </c>
      <c r="C55" s="40">
        <v>2161875929</v>
      </c>
      <c r="D55" s="38">
        <f>C55*J55</f>
        <v>261586987.40899998</v>
      </c>
      <c r="E55" s="39">
        <v>0</v>
      </c>
      <c r="F55" s="40" t="s">
        <v>47</v>
      </c>
      <c r="G55" s="68">
        <v>9.0200000000000002E-2</v>
      </c>
      <c r="H55" s="42">
        <v>0.1212</v>
      </c>
      <c r="I55" s="42">
        <v>0.121</v>
      </c>
      <c r="J55" s="43">
        <f>I55</f>
        <v>0.121</v>
      </c>
      <c r="K55" s="39">
        <v>0</v>
      </c>
      <c r="L55" s="45">
        <f>I55-H55</f>
        <v>-2.0000000000000573E-4</v>
      </c>
      <c r="M55" s="71">
        <f>((I55-H55)/H55)*100</f>
        <v>-0.16501650165016973</v>
      </c>
      <c r="N55" s="46">
        <v>42656</v>
      </c>
      <c r="O55" s="37">
        <v>5163.5</v>
      </c>
      <c r="P55" s="69">
        <f>(R55)/J55</f>
        <v>0</v>
      </c>
      <c r="Q55" s="48">
        <f>J55/G55-1</f>
        <v>0.3414634146341462</v>
      </c>
      <c r="R55" s="51"/>
      <c r="T55" s="51"/>
    </row>
    <row r="56" spans="1:20" x14ac:dyDescent="0.25">
      <c r="A56" s="35" t="s">
        <v>130</v>
      </c>
      <c r="B56" s="36" t="s">
        <v>131</v>
      </c>
      <c r="C56" s="40">
        <v>575926450</v>
      </c>
      <c r="D56" s="38">
        <f>C56*J56</f>
        <v>755961058.26999998</v>
      </c>
      <c r="E56" s="39">
        <v>0</v>
      </c>
      <c r="F56" s="40" t="s">
        <v>34</v>
      </c>
      <c r="G56" s="68">
        <v>0.95750000000000002</v>
      </c>
      <c r="H56" s="42">
        <v>1.4601999999999999</v>
      </c>
      <c r="I56" s="42">
        <v>1.3126</v>
      </c>
      <c r="J56" s="43">
        <f>I56</f>
        <v>1.3126</v>
      </c>
      <c r="K56" s="39">
        <v>0</v>
      </c>
      <c r="L56" s="45">
        <f>I56-H56</f>
        <v>-0.14759999999999995</v>
      </c>
      <c r="M56" s="45">
        <f>((I56-H56)/H56)*100</f>
        <v>-10.108204355567727</v>
      </c>
      <c r="N56" s="46">
        <v>397583</v>
      </c>
      <c r="O56" s="37">
        <v>521874.13</v>
      </c>
      <c r="P56" s="70">
        <f>(R56)/J56</f>
        <v>3.5806795672710653E-2</v>
      </c>
      <c r="Q56" s="48">
        <f>J56/G56-1</f>
        <v>0.37086161879895552</v>
      </c>
      <c r="R56" s="51">
        <v>4.7E-2</v>
      </c>
      <c r="T56" s="51"/>
    </row>
    <row r="57" spans="1:20" x14ac:dyDescent="0.25">
      <c r="A57" s="35" t="s">
        <v>132</v>
      </c>
      <c r="B57" s="36" t="s">
        <v>133</v>
      </c>
      <c r="C57" s="40">
        <v>164208222</v>
      </c>
      <c r="D57" s="38">
        <f>C57*J57</f>
        <v>24384920.967</v>
      </c>
      <c r="E57" s="39">
        <v>0</v>
      </c>
      <c r="F57" s="40" t="s">
        <v>34</v>
      </c>
      <c r="G57" s="68">
        <v>0.1595</v>
      </c>
      <c r="H57" s="42">
        <v>0.1502</v>
      </c>
      <c r="I57" s="42">
        <v>0.14849999999999999</v>
      </c>
      <c r="J57" s="43">
        <f>I57</f>
        <v>0.14849999999999999</v>
      </c>
      <c r="K57" s="39">
        <v>0</v>
      </c>
      <c r="L57" s="45">
        <f>I57-H57</f>
        <v>-1.7000000000000071E-3</v>
      </c>
      <c r="M57" s="45">
        <f>((I57-H57)/H57)*100</f>
        <v>-1.1318242343541991</v>
      </c>
      <c r="N57" s="46">
        <v>40</v>
      </c>
      <c r="O57" s="37">
        <v>5.94</v>
      </c>
      <c r="P57" s="69">
        <f>(R57)/J57</f>
        <v>0</v>
      </c>
      <c r="Q57" s="48">
        <f>J57/G57-1</f>
        <v>-6.8965517241379337E-2</v>
      </c>
      <c r="T57" s="51"/>
    </row>
    <row r="58" spans="1:20" x14ac:dyDescent="0.25">
      <c r="A58" s="35" t="s">
        <v>134</v>
      </c>
      <c r="B58" s="36" t="s">
        <v>135</v>
      </c>
      <c r="C58" s="40">
        <v>794581116</v>
      </c>
      <c r="D58" s="38">
        <f>C58*J58</f>
        <v>16129996.6548</v>
      </c>
      <c r="E58" s="39">
        <v>0</v>
      </c>
      <c r="F58" s="40" t="s">
        <v>92</v>
      </c>
      <c r="G58" s="68">
        <v>1.6799999999999999E-2</v>
      </c>
      <c r="H58" s="42">
        <v>0.02</v>
      </c>
      <c r="I58" s="42">
        <v>2.0299999999999999E-2</v>
      </c>
      <c r="J58" s="43">
        <f>I58</f>
        <v>2.0299999999999999E-2</v>
      </c>
      <c r="K58" s="39">
        <v>0</v>
      </c>
      <c r="L58" s="45">
        <f>I58-H58</f>
        <v>2.9999999999999818E-4</v>
      </c>
      <c r="M58" s="71">
        <f>((I58-H58)/H58)*100</f>
        <v>1.4999999999999909</v>
      </c>
      <c r="N58" s="46">
        <v>35928</v>
      </c>
      <c r="O58" s="37">
        <v>728.44</v>
      </c>
      <c r="P58" s="69">
        <f>(R58)/J58</f>
        <v>0</v>
      </c>
      <c r="Q58" s="48">
        <f>J58/G58-1</f>
        <v>0.20833333333333326</v>
      </c>
      <c r="T58" s="51"/>
    </row>
    <row r="59" spans="1:20" x14ac:dyDescent="0.25">
      <c r="A59" s="35" t="s">
        <v>136</v>
      </c>
      <c r="B59" s="36" t="s">
        <v>137</v>
      </c>
      <c r="C59" s="40">
        <v>161273</v>
      </c>
      <c r="D59" s="38">
        <f>C59*J59</f>
        <v>2564240.7000000002</v>
      </c>
      <c r="E59" s="39">
        <v>0</v>
      </c>
      <c r="F59" s="40" t="s">
        <v>138</v>
      </c>
      <c r="G59" s="68">
        <v>19.5</v>
      </c>
      <c r="H59" s="42">
        <v>15</v>
      </c>
      <c r="I59" s="42">
        <v>15.9</v>
      </c>
      <c r="J59" s="43">
        <f>I59</f>
        <v>15.9</v>
      </c>
      <c r="K59" s="39">
        <v>0</v>
      </c>
      <c r="L59" s="45">
        <f>I59-H59</f>
        <v>0.90000000000000036</v>
      </c>
      <c r="M59" s="45">
        <f>((I59-H59)/H59)*100</f>
        <v>6.0000000000000027</v>
      </c>
      <c r="N59" s="46">
        <v>1</v>
      </c>
      <c r="O59" s="37">
        <v>15.9</v>
      </c>
      <c r="P59" s="69">
        <f>(R59)/J59</f>
        <v>0</v>
      </c>
      <c r="Q59" s="48">
        <f>J59/G59-1</f>
        <v>-0.18461538461538463</v>
      </c>
      <c r="T59" s="51"/>
    </row>
    <row r="60" spans="1:20" x14ac:dyDescent="0.25">
      <c r="A60" s="35" t="s">
        <v>139</v>
      </c>
      <c r="B60" s="36" t="s">
        <v>140</v>
      </c>
      <c r="C60" s="40">
        <v>805090451</v>
      </c>
      <c r="D60" s="38">
        <f>C60*J60</f>
        <v>821514296.20039999</v>
      </c>
      <c r="E60" s="39">
        <v>0</v>
      </c>
      <c r="F60" s="40" t="s">
        <v>92</v>
      </c>
      <c r="G60" s="68">
        <v>0.59499999999999997</v>
      </c>
      <c r="H60" s="42">
        <v>1.0054000000000001</v>
      </c>
      <c r="I60" s="42">
        <v>1.0204</v>
      </c>
      <c r="J60" s="43">
        <f>I60</f>
        <v>1.0204</v>
      </c>
      <c r="K60" s="39">
        <v>0</v>
      </c>
      <c r="L60" s="45">
        <f>I60-H60</f>
        <v>1.4999999999999902E-2</v>
      </c>
      <c r="M60" s="45">
        <f>((I60-H60)/H60)*100</f>
        <v>1.491943505072598</v>
      </c>
      <c r="N60" s="46">
        <v>522535</v>
      </c>
      <c r="O60" s="37">
        <v>533207.68999999994</v>
      </c>
      <c r="P60" s="69">
        <f>(R60)/J60</f>
        <v>0</v>
      </c>
      <c r="Q60" s="48">
        <f>J60/G60-1</f>
        <v>0.7149579831932773</v>
      </c>
      <c r="R60" s="51"/>
      <c r="T60" s="51"/>
    </row>
    <row r="61" spans="1:20" x14ac:dyDescent="0.25">
      <c r="A61" s="35" t="s">
        <v>141</v>
      </c>
      <c r="B61" s="36" t="s">
        <v>142</v>
      </c>
      <c r="C61" s="40">
        <v>260714518</v>
      </c>
      <c r="D61" s="38">
        <f>C61*J61</f>
        <v>78214355.399999991</v>
      </c>
      <c r="E61" s="39">
        <v>0</v>
      </c>
      <c r="F61" s="40" t="s">
        <v>34</v>
      </c>
      <c r="G61" s="68">
        <v>0.22600000000000001</v>
      </c>
      <c r="H61" s="42">
        <v>0.27800000000000002</v>
      </c>
      <c r="I61" s="42">
        <v>0.3</v>
      </c>
      <c r="J61" s="43">
        <f>I61</f>
        <v>0.3</v>
      </c>
      <c r="K61" s="39">
        <v>0</v>
      </c>
      <c r="L61" s="45">
        <f>I61-H61</f>
        <v>2.1999999999999964E-2</v>
      </c>
      <c r="M61" s="45">
        <f>((I61-H61)/H61)*100</f>
        <v>7.9136690647481887</v>
      </c>
      <c r="N61" s="46">
        <v>100</v>
      </c>
      <c r="O61" s="37">
        <v>30</v>
      </c>
      <c r="P61" s="69">
        <f>(R61)/J61</f>
        <v>0</v>
      </c>
      <c r="Q61" s="48">
        <f>J61/G61-1</f>
        <v>0.32743362831858391</v>
      </c>
      <c r="T61" s="51"/>
    </row>
    <row r="62" spans="1:20" x14ac:dyDescent="0.25">
      <c r="A62" s="35" t="s">
        <v>143</v>
      </c>
      <c r="B62" s="36" t="s">
        <v>144</v>
      </c>
      <c r="C62" s="40">
        <v>562184788</v>
      </c>
      <c r="D62" s="38">
        <f>C62*J62</f>
        <v>376776244.91760004</v>
      </c>
      <c r="E62" s="39">
        <v>0</v>
      </c>
      <c r="F62" s="40" t="s">
        <v>34</v>
      </c>
      <c r="G62" s="68">
        <v>0.49440000000000001</v>
      </c>
      <c r="H62" s="42">
        <v>0.68469999999999998</v>
      </c>
      <c r="I62" s="42">
        <v>0.67020000000000002</v>
      </c>
      <c r="J62" s="43">
        <f>I62</f>
        <v>0.67020000000000002</v>
      </c>
      <c r="K62" s="39">
        <v>0</v>
      </c>
      <c r="L62" s="45">
        <f>I62-H62</f>
        <v>-1.4499999999999957E-2</v>
      </c>
      <c r="M62" s="45">
        <f>((I62-H62)/H62)*100</f>
        <v>-2.1177157879363162</v>
      </c>
      <c r="N62" s="46">
        <v>159210</v>
      </c>
      <c r="O62" s="37">
        <v>106696.58</v>
      </c>
      <c r="P62" s="69">
        <f>(R62)/J62</f>
        <v>0</v>
      </c>
      <c r="Q62" s="48">
        <f>J62/G62-1</f>
        <v>0.35558252427184467</v>
      </c>
      <c r="R62" s="51"/>
      <c r="T62" s="51"/>
    </row>
    <row r="63" spans="1:20" x14ac:dyDescent="0.25">
      <c r="A63" s="35" t="s">
        <v>145</v>
      </c>
      <c r="B63" s="36" t="s">
        <v>146</v>
      </c>
      <c r="C63" s="40">
        <v>30000000</v>
      </c>
      <c r="D63" s="38">
        <f>C63*J63</f>
        <v>300000000</v>
      </c>
      <c r="E63" s="39">
        <v>0</v>
      </c>
      <c r="F63" s="40" t="s">
        <v>66</v>
      </c>
      <c r="G63" s="68">
        <v>10</v>
      </c>
      <c r="H63" s="42">
        <v>10</v>
      </c>
      <c r="I63" s="42">
        <v>10</v>
      </c>
      <c r="J63" s="43">
        <f>I63</f>
        <v>10</v>
      </c>
      <c r="K63" s="39">
        <v>0</v>
      </c>
      <c r="L63" s="45">
        <f>I63-H63</f>
        <v>0</v>
      </c>
      <c r="M63" s="45">
        <f>((I63-H63)/H63)*100</f>
        <v>0</v>
      </c>
      <c r="N63" s="46">
        <v>0</v>
      </c>
      <c r="O63" s="37">
        <v>0</v>
      </c>
      <c r="P63" s="69">
        <f>(R63)/J63</f>
        <v>0</v>
      </c>
      <c r="Q63" s="48">
        <f>J63/G63-1</f>
        <v>0</v>
      </c>
      <c r="T63" s="51"/>
    </row>
    <row r="64" spans="1:20" x14ac:dyDescent="0.25">
      <c r="A64" s="35" t="s">
        <v>147</v>
      </c>
      <c r="B64" s="36" t="s">
        <v>148</v>
      </c>
      <c r="C64" s="40">
        <v>344580486</v>
      </c>
      <c r="D64" s="38">
        <f>C64*J64</f>
        <v>19020842.827199999</v>
      </c>
      <c r="E64" s="39">
        <v>0</v>
      </c>
      <c r="F64" s="40" t="s">
        <v>44</v>
      </c>
      <c r="G64" s="68">
        <v>4.2999999999999997E-2</v>
      </c>
      <c r="H64" s="42">
        <v>5.2200000000000003E-2</v>
      </c>
      <c r="I64" s="42">
        <v>5.5199999999999999E-2</v>
      </c>
      <c r="J64" s="43">
        <f>I64</f>
        <v>5.5199999999999999E-2</v>
      </c>
      <c r="K64" s="39">
        <v>0</v>
      </c>
      <c r="L64" s="45">
        <f>I64-H64</f>
        <v>2.9999999999999957E-3</v>
      </c>
      <c r="M64" s="45">
        <f>((I64-H64)/H64)*100</f>
        <v>5.7471264367816008</v>
      </c>
      <c r="N64" s="46">
        <v>31439</v>
      </c>
      <c r="O64" s="37">
        <v>1735.43</v>
      </c>
      <c r="P64" s="69">
        <f>(R64)/J64</f>
        <v>0</v>
      </c>
      <c r="Q64" s="48">
        <f>J64/G64-1</f>
        <v>0.28372093023255829</v>
      </c>
      <c r="T64" s="51"/>
    </row>
    <row r="65" spans="1:20" ht="13.2" x14ac:dyDescent="0.35">
      <c r="A65" s="72"/>
      <c r="B65" s="36" t="s">
        <v>82</v>
      </c>
      <c r="C65" s="40"/>
      <c r="D65" s="73"/>
      <c r="E65" s="73"/>
      <c r="F65" s="40"/>
      <c r="G65" s="40"/>
      <c r="H65" s="42"/>
      <c r="I65" s="42"/>
      <c r="J65" s="42"/>
      <c r="K65" s="42"/>
      <c r="L65" s="45"/>
      <c r="M65" s="74"/>
      <c r="N65" s="59">
        <f>SUM(N51:N64)</f>
        <v>1211995</v>
      </c>
      <c r="O65" s="60">
        <f>SUM(O51:O64)</f>
        <v>1247012.28</v>
      </c>
      <c r="P65" s="75"/>
      <c r="Q65" s="61"/>
    </row>
    <row r="66" spans="1:20" ht="12.6" hidden="1" x14ac:dyDescent="0.3">
      <c r="A66" s="131" t="s">
        <v>149</v>
      </c>
      <c r="B66" s="132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4"/>
    </row>
    <row r="67" spans="1:20" ht="12.6" hidden="1" thickBot="1" x14ac:dyDescent="0.3">
      <c r="A67" s="76" t="s">
        <v>150</v>
      </c>
      <c r="B67" s="77" t="s">
        <v>151</v>
      </c>
      <c r="C67" s="78">
        <v>20000</v>
      </c>
      <c r="D67" s="79">
        <f>C67*J67</f>
        <v>0</v>
      </c>
      <c r="E67" s="79"/>
      <c r="F67" s="78" t="s">
        <v>152</v>
      </c>
      <c r="G67" s="78"/>
      <c r="H67" s="80">
        <v>100</v>
      </c>
      <c r="I67" s="80"/>
      <c r="J67" s="80"/>
      <c r="K67" s="80"/>
      <c r="L67" s="81">
        <f>I67-H67</f>
        <v>-100</v>
      </c>
      <c r="M67" s="82">
        <f>((I67-H67)/H67)*100</f>
        <v>-100</v>
      </c>
      <c r="N67" s="83" t="s">
        <v>57</v>
      </c>
      <c r="O67" s="83" t="s">
        <v>57</v>
      </c>
      <c r="P67" s="83"/>
      <c r="Q67" s="84">
        <v>100</v>
      </c>
    </row>
    <row r="68" spans="1:20" ht="12.6" thickBot="1" x14ac:dyDescent="0.3">
      <c r="A68" s="35"/>
      <c r="B68" s="36" t="s">
        <v>82</v>
      </c>
      <c r="C68" s="40"/>
      <c r="D68" s="37"/>
      <c r="E68" s="37"/>
      <c r="F68" s="40"/>
      <c r="G68" s="40"/>
      <c r="H68" s="42"/>
      <c r="I68" s="42"/>
      <c r="J68" s="42"/>
      <c r="K68" s="42"/>
      <c r="L68" s="45"/>
      <c r="M68" s="74"/>
      <c r="N68" s="85"/>
      <c r="O68" s="85"/>
      <c r="P68" s="85"/>
      <c r="Q68" s="61"/>
    </row>
    <row r="69" spans="1:20" ht="12.6" x14ac:dyDescent="0.3">
      <c r="A69" s="131" t="s">
        <v>153</v>
      </c>
      <c r="B69" s="132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4"/>
    </row>
    <row r="70" spans="1:20" x14ac:dyDescent="0.25">
      <c r="A70" s="35" t="s">
        <v>154</v>
      </c>
      <c r="B70" s="86" t="s">
        <v>155</v>
      </c>
      <c r="C70" s="87">
        <v>139300587</v>
      </c>
      <c r="D70" s="38">
        <f>C70*J70</f>
        <v>50120351.202600002</v>
      </c>
      <c r="E70" s="39">
        <f>C70*K70</f>
        <v>50120351.202600002</v>
      </c>
      <c r="F70" s="87" t="s">
        <v>156</v>
      </c>
      <c r="G70" s="87">
        <v>0.24</v>
      </c>
      <c r="H70" s="88">
        <v>0.36</v>
      </c>
      <c r="I70" s="88">
        <v>0.35980000000000001</v>
      </c>
      <c r="J70" s="89">
        <f>I70</f>
        <v>0.35980000000000001</v>
      </c>
      <c r="K70" s="89">
        <f>J70</f>
        <v>0.35980000000000001</v>
      </c>
      <c r="L70" s="45">
        <f>I70-H70</f>
        <v>-1.9999999999997797E-4</v>
      </c>
      <c r="M70" s="45">
        <f>((I70-H70)/H70)*100</f>
        <v>-5.5555555555549439E-2</v>
      </c>
      <c r="N70" s="90">
        <v>2919087</v>
      </c>
      <c r="O70" s="91">
        <v>1050383.4099999999</v>
      </c>
      <c r="P70" s="69">
        <f>(R70)/J70</f>
        <v>0</v>
      </c>
      <c r="Q70" s="48">
        <f>J70/G70-1</f>
        <v>0.49916666666666676</v>
      </c>
      <c r="T70" s="51"/>
    </row>
    <row r="71" spans="1:20" x14ac:dyDescent="0.25">
      <c r="A71" s="35" t="s">
        <v>157</v>
      </c>
      <c r="B71" s="86" t="s">
        <v>158</v>
      </c>
      <c r="C71" s="87">
        <v>471351750</v>
      </c>
      <c r="D71" s="38">
        <f>C71*J71</f>
        <v>69618653.474999994</v>
      </c>
      <c r="E71" s="39">
        <f>C71*K71</f>
        <v>69618653.474999994</v>
      </c>
      <c r="F71" s="87" t="s">
        <v>156</v>
      </c>
      <c r="G71" s="87">
        <v>0.1</v>
      </c>
      <c r="H71" s="88">
        <v>0.1492</v>
      </c>
      <c r="I71" s="88">
        <v>0.1477</v>
      </c>
      <c r="J71" s="89">
        <f>I71</f>
        <v>0.1477</v>
      </c>
      <c r="K71" s="89">
        <f>J71</f>
        <v>0.1477</v>
      </c>
      <c r="L71" s="45">
        <f>I71-H71</f>
        <v>-1.5000000000000013E-3</v>
      </c>
      <c r="M71" s="45">
        <f>((I71-H71)/H71)*100</f>
        <v>-1.0053619302949071</v>
      </c>
      <c r="N71" s="46">
        <v>34566</v>
      </c>
      <c r="O71" s="91">
        <v>5106.1000000000004</v>
      </c>
      <c r="P71" s="92">
        <f>(R71)/J71</f>
        <v>2.5673662830060933E-2</v>
      </c>
      <c r="Q71" s="48">
        <f>J71/G71-1</f>
        <v>0.47699999999999987</v>
      </c>
      <c r="R71" s="5">
        <v>3.7919999999999998E-3</v>
      </c>
      <c r="T71" s="51"/>
    </row>
    <row r="72" spans="1:20" ht="13.8" thickBot="1" x14ac:dyDescent="0.4">
      <c r="A72" s="35"/>
      <c r="B72" s="36" t="s">
        <v>82</v>
      </c>
      <c r="C72" s="40"/>
      <c r="D72" s="37"/>
      <c r="E72" s="37"/>
      <c r="F72" s="40"/>
      <c r="G72" s="40"/>
      <c r="H72" s="42"/>
      <c r="I72" s="42"/>
      <c r="J72" s="42"/>
      <c r="K72" s="42"/>
      <c r="L72" s="45"/>
      <c r="M72" s="74"/>
      <c r="N72" s="59">
        <f>SUM(N70:N71)</f>
        <v>2953653</v>
      </c>
      <c r="O72" s="60">
        <f>SUM(O70:O71)</f>
        <v>1055489.51</v>
      </c>
      <c r="P72" s="85"/>
      <c r="Q72" s="61"/>
    </row>
    <row r="73" spans="1:20" ht="12.6" x14ac:dyDescent="0.3">
      <c r="A73" s="131" t="s">
        <v>159</v>
      </c>
      <c r="B73" s="132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4"/>
    </row>
    <row r="74" spans="1:20" x14ac:dyDescent="0.25">
      <c r="A74" s="35" t="s">
        <v>160</v>
      </c>
      <c r="B74" s="86" t="s">
        <v>161</v>
      </c>
      <c r="C74" s="87">
        <v>20819695</v>
      </c>
      <c r="D74" s="38">
        <f>C74*J74</f>
        <v>2814822.7639999995</v>
      </c>
      <c r="E74" s="39">
        <f>C74*K74</f>
        <v>2814822.7639999995</v>
      </c>
      <c r="F74" s="87" t="s">
        <v>138</v>
      </c>
      <c r="G74" s="87">
        <v>0.1394</v>
      </c>
      <c r="H74" s="88">
        <v>0.1351</v>
      </c>
      <c r="I74" s="88">
        <v>0.13519999999999999</v>
      </c>
      <c r="J74" s="89">
        <f>I74</f>
        <v>0.13519999999999999</v>
      </c>
      <c r="K74" s="89">
        <f>J74</f>
        <v>0.13519999999999999</v>
      </c>
      <c r="L74" s="45">
        <f>I74-H74</f>
        <v>9.9999999999988987E-5</v>
      </c>
      <c r="M74" s="45">
        <f>((I74-H74)/H74)*100</f>
        <v>7.4019245003692821E-2</v>
      </c>
      <c r="N74" s="90">
        <v>161733</v>
      </c>
      <c r="O74" s="91">
        <v>21858.25</v>
      </c>
      <c r="P74" s="69">
        <f>(R74)/J74</f>
        <v>0</v>
      </c>
      <c r="Q74" s="48">
        <f>J74/G74-1</f>
        <v>-3.0129124820659992E-2</v>
      </c>
    </row>
    <row r="75" spans="1:20" ht="13.2" x14ac:dyDescent="0.35">
      <c r="A75" s="35"/>
      <c r="B75" s="36" t="s">
        <v>82</v>
      </c>
      <c r="C75" s="40"/>
      <c r="D75" s="37"/>
      <c r="E75" s="37"/>
      <c r="F75" s="40"/>
      <c r="G75" s="40"/>
      <c r="H75" s="42"/>
      <c r="I75" s="42"/>
      <c r="J75" s="42"/>
      <c r="K75" s="42"/>
      <c r="L75" s="45"/>
      <c r="M75" s="74"/>
      <c r="N75" s="59"/>
      <c r="O75" s="60"/>
      <c r="P75" s="85"/>
      <c r="Q75" s="61"/>
    </row>
    <row r="76" spans="1:20" ht="12.6" x14ac:dyDescent="0.3">
      <c r="A76" s="127" t="s">
        <v>162</v>
      </c>
      <c r="B76" s="128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30"/>
    </row>
    <row r="77" spans="1:20" x14ac:dyDescent="0.25">
      <c r="A77" s="35" t="s">
        <v>163</v>
      </c>
      <c r="B77" s="36" t="s">
        <v>164</v>
      </c>
      <c r="C77" s="40">
        <v>45396463</v>
      </c>
      <c r="D77" s="38">
        <f>C77*J77</f>
        <v>118709.27820031976</v>
      </c>
      <c r="E77" s="39">
        <f>C77*K77</f>
        <v>100881.02888888889</v>
      </c>
      <c r="F77" s="40" t="s">
        <v>138</v>
      </c>
      <c r="G77" s="68">
        <v>0.105</v>
      </c>
      <c r="H77" s="42">
        <v>6.8333000000000005E-2</v>
      </c>
      <c r="I77" s="42">
        <v>7.0000000000000007E-2</v>
      </c>
      <c r="J77" s="43">
        <f>I77/$J$5</f>
        <v>2.6149455344201544E-3</v>
      </c>
      <c r="K77" s="44">
        <f>I77/$K$4</f>
        <v>2.2222222222222222E-3</v>
      </c>
      <c r="L77" s="45">
        <f>I77-H77</f>
        <v>1.6670000000000018E-3</v>
      </c>
      <c r="M77" s="93">
        <f>((I77-H77)/H77)*100</f>
        <v>2.4395240952394914</v>
      </c>
      <c r="N77" s="37">
        <v>1130</v>
      </c>
      <c r="O77" s="37">
        <v>79.099999999999994</v>
      </c>
      <c r="P77" s="40">
        <v>0</v>
      </c>
      <c r="Q77" s="48">
        <f>I77/G77-1</f>
        <v>-0.33333333333333326</v>
      </c>
    </row>
    <row r="78" spans="1:20" x14ac:dyDescent="0.25">
      <c r="A78" s="35" t="s">
        <v>165</v>
      </c>
      <c r="B78" s="36" t="s">
        <v>166</v>
      </c>
      <c r="C78" s="40">
        <v>136162052</v>
      </c>
      <c r="D78" s="38">
        <f>C78*J78</f>
        <v>305191.15700132982</v>
      </c>
      <c r="E78" s="39">
        <f>C78*K78</f>
        <v>259356.28952380954</v>
      </c>
      <c r="F78" s="40" t="s">
        <v>138</v>
      </c>
      <c r="G78" s="68">
        <v>4.2500000000000003E-2</v>
      </c>
      <c r="H78" s="42">
        <v>0.06</v>
      </c>
      <c r="I78" s="42">
        <v>0.06</v>
      </c>
      <c r="J78" s="43">
        <f>I78/$J$5</f>
        <v>2.2413818866458463E-3</v>
      </c>
      <c r="K78" s="44">
        <f>I78/$K$4</f>
        <v>1.9047619047619048E-3</v>
      </c>
      <c r="L78" s="45">
        <f>I78-H78</f>
        <v>0</v>
      </c>
      <c r="M78" s="93">
        <f>((I78-H78)/H78)*100</f>
        <v>0</v>
      </c>
      <c r="N78" s="37">
        <v>0</v>
      </c>
      <c r="O78" s="37">
        <v>0</v>
      </c>
      <c r="P78" s="40">
        <v>0</v>
      </c>
      <c r="Q78" s="48">
        <f>I78/G78-1</f>
        <v>0.41176470588235281</v>
      </c>
    </row>
    <row r="79" spans="1:20" x14ac:dyDescent="0.25">
      <c r="A79" s="35" t="s">
        <v>167</v>
      </c>
      <c r="B79" s="36" t="s">
        <v>168</v>
      </c>
      <c r="C79" s="40">
        <v>494417400</v>
      </c>
      <c r="D79" s="38">
        <f>C79*J79</f>
        <v>1846963.6746708904</v>
      </c>
      <c r="E79" s="39">
        <f>C79*K79</f>
        <v>1569579.0476190476</v>
      </c>
      <c r="F79" s="40" t="s">
        <v>138</v>
      </c>
      <c r="G79" s="68">
        <v>6.0499999999999998E-2</v>
      </c>
      <c r="H79" s="42">
        <v>0.1</v>
      </c>
      <c r="I79" s="42">
        <v>0.1</v>
      </c>
      <c r="J79" s="43">
        <f>I79/$J$5</f>
        <v>3.7356364777430778E-3</v>
      </c>
      <c r="K79" s="44">
        <f>I79/$K$4</f>
        <v>3.1746031746031746E-3</v>
      </c>
      <c r="L79" s="45">
        <f>I79-H79</f>
        <v>0</v>
      </c>
      <c r="M79" s="93">
        <f>((I79-H79)/H79)*100</f>
        <v>0</v>
      </c>
      <c r="N79" s="37">
        <v>0</v>
      </c>
      <c r="O79" s="37">
        <v>0</v>
      </c>
      <c r="P79" s="40">
        <v>0</v>
      </c>
      <c r="Q79" s="48">
        <f>I79/G79-1</f>
        <v>0.65289256198347112</v>
      </c>
    </row>
    <row r="80" spans="1:20" x14ac:dyDescent="0.25">
      <c r="A80" s="35" t="s">
        <v>169</v>
      </c>
      <c r="B80" s="36" t="s">
        <v>170</v>
      </c>
      <c r="C80" s="37">
        <v>41156692</v>
      </c>
      <c r="D80" s="38">
        <f>C80*J80</f>
        <v>2383069.8190457691</v>
      </c>
      <c r="E80" s="39">
        <f>C80*K80</f>
        <v>2025170.5587301587</v>
      </c>
      <c r="F80" s="40" t="s">
        <v>138</v>
      </c>
      <c r="G80" s="68">
        <v>1.85</v>
      </c>
      <c r="H80" s="42">
        <v>1.55</v>
      </c>
      <c r="I80" s="42">
        <v>1.55</v>
      </c>
      <c r="J80" s="43">
        <f>I80/$J$5</f>
        <v>5.7902365405017704E-2</v>
      </c>
      <c r="K80" s="44">
        <f>I80/$K$4</f>
        <v>4.9206349206349205E-2</v>
      </c>
      <c r="L80" s="45">
        <f>I80-H80</f>
        <v>0</v>
      </c>
      <c r="M80" s="93">
        <f>((I80-H80)/H80)*100</f>
        <v>0</v>
      </c>
      <c r="N80" s="37">
        <v>25</v>
      </c>
      <c r="O80" s="37">
        <v>38.75</v>
      </c>
      <c r="P80" s="40">
        <v>0</v>
      </c>
      <c r="Q80" s="48">
        <f>I80/G80-1</f>
        <v>-0.16216216216216217</v>
      </c>
    </row>
    <row r="81" spans="1:243" ht="13.8" thickBot="1" x14ac:dyDescent="0.4">
      <c r="A81" s="35"/>
      <c r="B81" s="36" t="s">
        <v>82</v>
      </c>
      <c r="C81" s="37"/>
      <c r="D81" s="37"/>
      <c r="E81" s="37"/>
      <c r="F81" s="40"/>
      <c r="G81" s="40"/>
      <c r="H81" s="42"/>
      <c r="I81" s="42"/>
      <c r="J81" s="42"/>
      <c r="K81" s="42"/>
      <c r="L81" s="45"/>
      <c r="M81" s="45"/>
      <c r="N81" s="59">
        <f>SUM(N77:N80)</f>
        <v>1155</v>
      </c>
      <c r="O81" s="60">
        <f>SUM(O77:O80)</f>
        <v>117.85</v>
      </c>
      <c r="P81" s="75"/>
      <c r="Q81" s="61"/>
      <c r="DU81" s="94"/>
      <c r="DV81" s="94"/>
      <c r="DW81" s="95"/>
      <c r="DX81" s="96"/>
      <c r="DY81" s="96"/>
      <c r="DZ81" s="97"/>
      <c r="EA81" s="97"/>
      <c r="EB81" s="98"/>
      <c r="EC81" s="98"/>
      <c r="ED81" s="99"/>
      <c r="EE81" s="99"/>
      <c r="EF81" s="97"/>
      <c r="EG81" s="100"/>
      <c r="EH81" s="101"/>
      <c r="EI81" s="95"/>
      <c r="EJ81" s="94"/>
      <c r="EK81" s="94"/>
      <c r="EL81" s="95"/>
      <c r="EM81" s="96"/>
      <c r="EN81" s="96"/>
      <c r="EO81" s="97"/>
      <c r="EP81" s="97"/>
      <c r="EQ81" s="98"/>
      <c r="ER81" s="98"/>
      <c r="ES81" s="99"/>
      <c r="ET81" s="99"/>
      <c r="EU81" s="97"/>
      <c r="EV81" s="100"/>
      <c r="EW81" s="101"/>
      <c r="EX81" s="95"/>
      <c r="EY81" s="94"/>
      <c r="EZ81" s="94"/>
      <c r="FA81" s="95"/>
      <c r="FB81" s="96"/>
      <c r="FC81" s="96"/>
      <c r="FD81" s="97"/>
      <c r="FE81" s="97"/>
      <c r="FF81" s="98"/>
      <c r="FG81" s="98"/>
      <c r="FH81" s="99"/>
      <c r="FI81" s="99"/>
      <c r="FJ81" s="97"/>
      <c r="FK81" s="100"/>
      <c r="FL81" s="101"/>
      <c r="FM81" s="95"/>
      <c r="FN81" s="94"/>
      <c r="FO81" s="94"/>
      <c r="FP81" s="95"/>
      <c r="FQ81" s="96"/>
      <c r="FR81" s="96"/>
      <c r="FS81" s="97"/>
      <c r="FT81" s="97"/>
      <c r="FU81" s="98"/>
      <c r="FV81" s="98"/>
      <c r="FW81" s="99"/>
      <c r="FX81" s="99"/>
      <c r="FY81" s="97"/>
      <c r="FZ81" s="100"/>
      <c r="GA81" s="101"/>
      <c r="GB81" s="95"/>
      <c r="GC81" s="94"/>
      <c r="GD81" s="94"/>
      <c r="GE81" s="95"/>
      <c r="GF81" s="96"/>
      <c r="GG81" s="96"/>
      <c r="GH81" s="97"/>
      <c r="GI81" s="97"/>
      <c r="GJ81" s="98"/>
      <c r="GK81" s="98"/>
      <c r="GL81" s="99"/>
      <c r="GM81" s="99"/>
      <c r="GN81" s="97"/>
      <c r="GO81" s="100"/>
      <c r="GP81" s="101"/>
      <c r="GQ81" s="95"/>
      <c r="GR81" s="94"/>
      <c r="GS81" s="94"/>
      <c r="GT81" s="95"/>
      <c r="GU81" s="96"/>
      <c r="GV81" s="96"/>
      <c r="GW81" s="97"/>
      <c r="GX81" s="97"/>
      <c r="GY81" s="98"/>
      <c r="GZ81" s="98"/>
      <c r="HA81" s="99"/>
      <c r="HB81" s="99"/>
      <c r="HC81" s="97"/>
      <c r="HD81" s="100"/>
      <c r="HE81" s="101"/>
      <c r="HF81" s="95"/>
      <c r="HG81" s="94"/>
      <c r="HH81" s="94"/>
      <c r="HI81" s="95"/>
      <c r="HJ81" s="96"/>
      <c r="HK81" s="96"/>
      <c r="HL81" s="97"/>
      <c r="HM81" s="97"/>
      <c r="HN81" s="98"/>
      <c r="HO81" s="98"/>
      <c r="HP81" s="99"/>
      <c r="HQ81" s="99"/>
      <c r="HR81" s="97"/>
      <c r="HS81" s="100"/>
      <c r="HT81" s="101"/>
      <c r="HU81" s="95"/>
      <c r="HV81" s="94"/>
      <c r="HW81" s="94"/>
      <c r="HX81" s="95"/>
      <c r="HY81" s="96"/>
      <c r="HZ81" s="96"/>
      <c r="IA81" s="97"/>
      <c r="IB81" s="97"/>
      <c r="IC81" s="98"/>
      <c r="ID81" s="98"/>
      <c r="IE81" s="99"/>
      <c r="IF81" s="99"/>
      <c r="IG81" s="97"/>
      <c r="IH81" s="100"/>
      <c r="II81" s="101"/>
    </row>
    <row r="82" spans="1:243" ht="13.2" thickTop="1" x14ac:dyDescent="0.3">
      <c r="A82" s="131" t="s">
        <v>171</v>
      </c>
      <c r="B82" s="132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4"/>
    </row>
    <row r="83" spans="1:243" x14ac:dyDescent="0.25">
      <c r="A83" s="35" t="s">
        <v>172</v>
      </c>
      <c r="B83" s="36" t="s">
        <v>173</v>
      </c>
      <c r="C83" s="40">
        <v>368326244</v>
      </c>
      <c r="D83" s="38">
        <f>C83*J83</f>
        <v>30442516.580622502</v>
      </c>
      <c r="E83" s="39">
        <f>C83*K83</f>
        <v>25870533.804761905</v>
      </c>
      <c r="F83" s="40" t="s">
        <v>174</v>
      </c>
      <c r="G83" s="40">
        <v>1.3</v>
      </c>
      <c r="H83" s="42">
        <v>2.2124999999999999</v>
      </c>
      <c r="I83" s="42">
        <v>2.2124999999999999</v>
      </c>
      <c r="J83" s="43">
        <f>I83/$J$5</f>
        <v>8.2650957070065589E-2</v>
      </c>
      <c r="K83" s="44">
        <f>I83/$K$4</f>
        <v>7.0238095238095238E-2</v>
      </c>
      <c r="L83" s="45">
        <f>I83-H83</f>
        <v>0</v>
      </c>
      <c r="M83" s="45">
        <f>((I83-H83)/H83*100)</f>
        <v>0</v>
      </c>
      <c r="N83" s="50">
        <v>0</v>
      </c>
      <c r="O83" s="37">
        <v>0</v>
      </c>
      <c r="P83" s="50">
        <f>(R83)/J83</f>
        <v>0</v>
      </c>
      <c r="Q83" s="48">
        <f>I83/G83-1</f>
        <v>0.70192307692307687</v>
      </c>
      <c r="R83" s="51"/>
    </row>
    <row r="84" spans="1:243" s="102" customFormat="1" ht="12.6" thickBot="1" x14ac:dyDescent="0.3">
      <c r="A84" s="35" t="s">
        <v>175</v>
      </c>
      <c r="B84" s="36" t="s">
        <v>176</v>
      </c>
      <c r="C84" s="40">
        <v>1841105000</v>
      </c>
      <c r="D84" s="38">
        <f>C84*J84</f>
        <v>78491739.807315871</v>
      </c>
      <c r="E84" s="39">
        <f>C84*K84</f>
        <v>66703526.388888888</v>
      </c>
      <c r="F84" s="40" t="s">
        <v>174</v>
      </c>
      <c r="G84" s="40">
        <v>1.44347</v>
      </c>
      <c r="H84" s="42">
        <v>1.1650640000000001</v>
      </c>
      <c r="I84" s="42">
        <v>1.1412500000000001</v>
      </c>
      <c r="J84" s="43">
        <f>I84/$J$5</f>
        <v>4.2632951302242879E-2</v>
      </c>
      <c r="K84" s="44">
        <f>I84/$K$4</f>
        <v>3.6230158730158731E-2</v>
      </c>
      <c r="L84" s="45">
        <f>I84-H84</f>
        <v>-2.3814000000000002E-2</v>
      </c>
      <c r="M84" s="45">
        <f>((I84-H84)/H84*100)</f>
        <v>-2.0440078828287542</v>
      </c>
      <c r="N84" s="50">
        <v>4693</v>
      </c>
      <c r="O84" s="37">
        <v>5353.2974999999997</v>
      </c>
      <c r="P84" s="47">
        <f>(R84)/J84</f>
        <v>5.1040332267250819E-2</v>
      </c>
      <c r="Q84" s="48">
        <f>I84/G84-1</f>
        <v>-0.20937047531296105</v>
      </c>
      <c r="R84" s="51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3.8" thickBot="1" x14ac:dyDescent="0.4">
      <c r="A85" s="76"/>
      <c r="B85" s="77" t="s">
        <v>82</v>
      </c>
      <c r="C85" s="78"/>
      <c r="D85" s="103"/>
      <c r="E85" s="79"/>
      <c r="F85" s="78"/>
      <c r="G85" s="78"/>
      <c r="H85" s="80"/>
      <c r="I85" s="80"/>
      <c r="J85" s="80"/>
      <c r="K85" s="80"/>
      <c r="L85" s="81"/>
      <c r="M85" s="81"/>
      <c r="N85" s="59">
        <f>SUM(N83:N84)</f>
        <v>4693</v>
      </c>
      <c r="O85" s="60">
        <f>SUM(O83:O84)</f>
        <v>5353.2974999999997</v>
      </c>
      <c r="P85" s="104"/>
      <c r="Q85" s="84"/>
    </row>
    <row r="86" spans="1:243" ht="12.6" thickBot="1" x14ac:dyDescent="0.3">
      <c r="A86" s="105"/>
      <c r="B86" s="106"/>
      <c r="C86" s="106"/>
      <c r="D86" s="106"/>
      <c r="E86" s="106"/>
      <c r="F86" s="107"/>
      <c r="G86" s="107"/>
      <c r="H86" s="57"/>
      <c r="M86" s="108"/>
      <c r="N86" s="108"/>
      <c r="O86" s="57"/>
      <c r="P86" s="57"/>
      <c r="Q86" s="109"/>
    </row>
    <row r="87" spans="1:243" ht="12.6" thickBot="1" x14ac:dyDescent="0.3">
      <c r="A87" s="135" t="s">
        <v>177</v>
      </c>
      <c r="B87" s="136"/>
      <c r="C87" s="136"/>
      <c r="D87" s="137"/>
      <c r="E87" s="135" t="s">
        <v>178</v>
      </c>
      <c r="F87" s="136"/>
      <c r="G87" s="136"/>
      <c r="H87" s="137"/>
      <c r="L87" s="138" t="s">
        <v>179</v>
      </c>
      <c r="M87" s="139"/>
      <c r="N87" s="140"/>
      <c r="O87" s="138" t="s">
        <v>180</v>
      </c>
      <c r="P87" s="139"/>
      <c r="Q87" s="140"/>
    </row>
    <row r="88" spans="1:243" x14ac:dyDescent="0.25">
      <c r="A88" s="35" t="s">
        <v>40</v>
      </c>
      <c r="B88" s="110">
        <v>218.13</v>
      </c>
      <c r="D88" s="110">
        <v>14.997490542085066</v>
      </c>
      <c r="E88" s="35" t="s">
        <v>76</v>
      </c>
      <c r="F88" s="111">
        <v>2.7</v>
      </c>
      <c r="H88" s="112">
        <v>-6.7196406978752705</v>
      </c>
      <c r="L88" s="35" t="s">
        <v>122</v>
      </c>
      <c r="M88" s="50">
        <v>64.136499999999998</v>
      </c>
      <c r="N88" s="113">
        <v>18.866830007821093</v>
      </c>
      <c r="O88" s="35" t="s">
        <v>130</v>
      </c>
      <c r="P88" s="111">
        <v>1.3126</v>
      </c>
      <c r="Q88" s="114">
        <v>-10.108204355567727</v>
      </c>
    </row>
    <row r="89" spans="1:243" x14ac:dyDescent="0.25">
      <c r="A89" s="35" t="s">
        <v>45</v>
      </c>
      <c r="B89" s="110">
        <v>19.3535</v>
      </c>
      <c r="D89" s="110">
        <v>6.4548954895489592</v>
      </c>
      <c r="E89" s="35" t="s">
        <v>115</v>
      </c>
      <c r="F89" s="111">
        <v>0.66</v>
      </c>
      <c r="H89" s="112">
        <v>-2.9331827326956281</v>
      </c>
      <c r="L89" s="35" t="s">
        <v>141</v>
      </c>
      <c r="M89" s="50">
        <v>0.3</v>
      </c>
      <c r="N89" s="113">
        <v>7.9136690647481887</v>
      </c>
      <c r="O89" s="35" t="s">
        <v>120</v>
      </c>
      <c r="P89" s="111">
        <v>0.14810000000000001</v>
      </c>
      <c r="Q89" s="114">
        <v>-5.0032071840923678</v>
      </c>
    </row>
    <row r="90" spans="1:243" x14ac:dyDescent="0.25">
      <c r="A90" s="35" t="s">
        <v>69</v>
      </c>
      <c r="B90" s="110">
        <v>8.6</v>
      </c>
      <c r="C90" s="110"/>
      <c r="D90" s="110">
        <v>4.2615957382708967</v>
      </c>
      <c r="E90" s="35" t="s">
        <v>35</v>
      </c>
      <c r="F90" s="111">
        <v>6.4000000000000001E-2</v>
      </c>
      <c r="H90" s="112">
        <v>-1.4596292418550081</v>
      </c>
      <c r="L90" s="35" t="s">
        <v>136</v>
      </c>
      <c r="M90" s="50">
        <v>15.9</v>
      </c>
      <c r="N90" s="113">
        <v>6.0000000000000027</v>
      </c>
      <c r="O90" s="35" t="s">
        <v>143</v>
      </c>
      <c r="P90" s="111">
        <v>0.67020000000000002</v>
      </c>
      <c r="Q90" s="114">
        <v>-2.1177157879363162</v>
      </c>
    </row>
    <row r="91" spans="1:243" x14ac:dyDescent="0.25">
      <c r="A91" s="35" t="s">
        <v>80</v>
      </c>
      <c r="B91" s="110">
        <v>5.4846590000000006</v>
      </c>
      <c r="C91" s="110"/>
      <c r="D91" s="110">
        <v>2.516990654205626</v>
      </c>
      <c r="E91" s="35" t="s">
        <v>58</v>
      </c>
      <c r="F91" s="111">
        <v>10.956900000000001</v>
      </c>
      <c r="G91" s="111"/>
      <c r="H91" s="112">
        <v>-0.38276206927902151</v>
      </c>
      <c r="L91" s="35" t="s">
        <v>147</v>
      </c>
      <c r="M91" s="50">
        <v>5.5199999999999999E-2</v>
      </c>
      <c r="N91" s="113">
        <v>5.7471264367816008</v>
      </c>
      <c r="O91" s="35" t="s">
        <v>132</v>
      </c>
      <c r="P91" s="111">
        <v>0.14849999999999999</v>
      </c>
      <c r="Q91" s="114">
        <v>-1.1318242343541991</v>
      </c>
    </row>
    <row r="92" spans="1:243" x14ac:dyDescent="0.25">
      <c r="A92" s="35" t="s">
        <v>95</v>
      </c>
      <c r="B92" s="110">
        <v>4.0332999999999994E-2</v>
      </c>
      <c r="C92" s="110"/>
      <c r="D92" s="110">
        <v>0.83249999999998259</v>
      </c>
      <c r="E92" s="35" t="s">
        <v>103</v>
      </c>
      <c r="F92" s="111">
        <v>9.9971999999999991E-2</v>
      </c>
      <c r="G92" s="111"/>
      <c r="H92" s="112">
        <v>-2.8000000000014125E-2</v>
      </c>
      <c r="L92" s="35" t="s">
        <v>134</v>
      </c>
      <c r="M92" s="50">
        <v>2.0299999999999999E-2</v>
      </c>
      <c r="N92" s="113">
        <v>1.4999999999999909</v>
      </c>
      <c r="O92" s="35" t="s">
        <v>128</v>
      </c>
      <c r="P92" s="111">
        <v>0.121</v>
      </c>
      <c r="Q92" s="114">
        <v>-0.16501650165016973</v>
      </c>
    </row>
    <row r="93" spans="1:243" ht="12.6" thickBot="1" x14ac:dyDescent="0.3">
      <c r="A93" s="115"/>
      <c r="B93" s="116"/>
      <c r="C93" s="116"/>
      <c r="D93" s="116"/>
      <c r="E93" s="115"/>
      <c r="F93" s="116"/>
      <c r="G93" s="116"/>
      <c r="H93" s="117"/>
      <c r="L93" s="115"/>
      <c r="M93" s="116"/>
      <c r="N93" s="117"/>
      <c r="O93" s="116"/>
      <c r="P93" s="116"/>
      <c r="Q93" s="117"/>
    </row>
    <row r="94" spans="1:243" x14ac:dyDescent="0.25">
      <c r="A94" s="118"/>
      <c r="B94" s="119"/>
      <c r="C94" s="119"/>
      <c r="D94" s="119"/>
      <c r="E94" s="108"/>
      <c r="F94" s="108"/>
      <c r="G94" s="108"/>
      <c r="H94" s="108"/>
      <c r="I94" s="108"/>
      <c r="J94" s="108"/>
      <c r="K94" s="108"/>
      <c r="L94" s="108"/>
      <c r="M94" s="119"/>
      <c r="Q94" s="16"/>
    </row>
    <row r="95" spans="1:243" x14ac:dyDescent="0.25">
      <c r="A95" s="12" t="s">
        <v>181</v>
      </c>
      <c r="B95" s="120"/>
      <c r="C95" s="120"/>
      <c r="D95" s="120"/>
      <c r="E95" s="120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18"/>
      <c r="B96" s="119"/>
      <c r="C96" s="119"/>
      <c r="D96" s="119"/>
      <c r="E96" s="119"/>
      <c r="F96" s="108"/>
      <c r="G96" s="108"/>
      <c r="H96" s="119"/>
      <c r="I96" s="108"/>
      <c r="J96" s="108"/>
      <c r="K96" s="108"/>
      <c r="L96" s="108"/>
      <c r="M96" s="119"/>
      <c r="Q96" s="16"/>
    </row>
    <row r="97" spans="1:17" ht="12.6" thickBot="1" x14ac:dyDescent="0.3">
      <c r="A97" s="121"/>
      <c r="B97" s="122"/>
      <c r="C97" s="122"/>
      <c r="D97" s="122"/>
      <c r="E97" s="122"/>
      <c r="F97" s="123"/>
      <c r="G97" s="123"/>
      <c r="H97" s="123"/>
      <c r="I97" s="124"/>
      <c r="J97" s="124"/>
      <c r="K97" s="124"/>
      <c r="L97" s="124"/>
      <c r="M97" s="124"/>
      <c r="N97" s="124"/>
      <c r="O97" s="124"/>
      <c r="P97" s="124"/>
      <c r="Q97" s="125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26"/>
      <c r="J101" s="126"/>
      <c r="K101" s="126"/>
      <c r="O101" s="126"/>
      <c r="P101" s="126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26"/>
      <c r="J104" s="126"/>
      <c r="K104" s="126"/>
      <c r="O104" s="126"/>
      <c r="P104" s="126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26"/>
      <c r="J106" s="126"/>
      <c r="K106" s="126"/>
      <c r="O106" s="126"/>
      <c r="P106" s="126"/>
    </row>
  </sheetData>
  <sheetProtection algorithmName="SHA-512" hashValue="OrH0JBZzPWJ4w/X2NvIh6uze2rOSC+TuY83NWlhFSS+OOGiVESy1uMfxud3rlKZnSdbYNs7S9DKZNt3D9NRSsg==" saltValue="SrR1rHOvvdkV57qhCOi/aw==" spinCount="100000" sheet="1"/>
  <sortState xmlns:xlrd2="http://schemas.microsoft.com/office/spreadsheetml/2017/richdata2" ref="A9:II47">
    <sortCondition ref="A9:A47"/>
  </sortState>
  <mergeCells count="12">
    <mergeCell ref="A73:Q73"/>
    <mergeCell ref="L5:M5"/>
    <mergeCell ref="A6:Q6"/>
    <mergeCell ref="A50:Q50"/>
    <mergeCell ref="A66:Q66"/>
    <mergeCell ref="A69:Q69"/>
    <mergeCell ref="A76:Q76"/>
    <mergeCell ref="A82:Q82"/>
    <mergeCell ref="A87:D87"/>
    <mergeCell ref="E87:H87"/>
    <mergeCell ref="L87:N87"/>
    <mergeCell ref="O87:Q87"/>
  </mergeCells>
  <conditionalFormatting sqref="A9:A11">
    <cfRule type="duplicateValues" dxfId="41" priority="46" stopIfTrue="1"/>
  </conditionalFormatting>
  <conditionalFormatting sqref="A29:A34">
    <cfRule type="duplicateValues" dxfId="40" priority="47" stopIfTrue="1"/>
  </conditionalFormatting>
  <conditionalFormatting sqref="A91:A92">
    <cfRule type="duplicateValues" dxfId="39" priority="48" stopIfTrue="1"/>
  </conditionalFormatting>
  <conditionalFormatting sqref="E91:E92">
    <cfRule type="duplicateValues" dxfId="38" priority="1" stopIfTrue="1"/>
  </conditionalFormatting>
  <conditionalFormatting sqref="L9:M26 L28:M47 L51:M64">
    <cfRule type="cellIs" dxfId="37" priority="42" stopIfTrue="1" operator="lessThan">
      <formula>0</formula>
    </cfRule>
    <cfRule type="cellIs" dxfId="36" priority="43" stopIfTrue="1" operator="greaterThan">
      <formula>0</formula>
    </cfRule>
    <cfRule type="cellIs" dxfId="35" priority="44" stopIfTrue="1" operator="greaterThan">
      <formula>0</formula>
    </cfRule>
    <cfRule type="cellIs" priority="45" stopIfTrue="1" operator="greaterThan">
      <formula>0</formula>
    </cfRule>
  </conditionalFormatting>
  <conditionalFormatting sqref="L9:M47 L51:M64">
    <cfRule type="cellIs" dxfId="34" priority="20" stopIfTrue="1" operator="lessThan">
      <formula>0</formula>
    </cfRule>
    <cfRule type="cellIs" dxfId="33" priority="24" stopIfTrue="1" operator="greaterThan">
      <formula>0</formula>
    </cfRule>
  </conditionalFormatting>
  <conditionalFormatting sqref="L27:M27">
    <cfRule type="cellIs" dxfId="32" priority="21" stopIfTrue="1" operator="greaterThan">
      <formula>0</formula>
    </cfRule>
    <cfRule type="cellIs" dxfId="31" priority="22" stopIfTrue="1" operator="lessThan">
      <formula>0</formula>
    </cfRule>
    <cfRule type="cellIs" dxfId="30" priority="23" stopIfTrue="1" operator="greaterThan">
      <formula>0</formula>
    </cfRule>
    <cfRule type="cellIs" priority="25" stopIfTrue="1" operator="greaterThan">
      <formula>0</formula>
    </cfRule>
  </conditionalFormatting>
  <conditionalFormatting sqref="L70:M71">
    <cfRule type="cellIs" dxfId="29" priority="10" stopIfTrue="1" operator="lessThan">
      <formula>0</formula>
    </cfRule>
    <cfRule type="cellIs" dxfId="28" priority="11" stopIfTrue="1" operator="greaterThan">
      <formula>0</formula>
    </cfRule>
    <cfRule type="cellIs" dxfId="27" priority="12" stopIfTrue="1" operator="lessThan">
      <formula>0</formula>
    </cfRule>
    <cfRule type="cellIs" dxfId="26" priority="13" stopIfTrue="1" operator="greaterThan">
      <formula>0</formula>
    </cfRule>
    <cfRule type="cellIs" dxfId="25" priority="14" stopIfTrue="1" operator="greaterThan">
      <formula>0</formula>
    </cfRule>
    <cfRule type="cellIs" priority="15" stopIfTrue="1" operator="greaterThan">
      <formula>0</formula>
    </cfRule>
  </conditionalFormatting>
  <conditionalFormatting sqref="L74:M74">
    <cfRule type="cellIs" dxfId="24" priority="2" stopIfTrue="1" operator="lessThan">
      <formula>0</formula>
    </cfRule>
    <cfRule type="cellIs" dxfId="23" priority="3" stopIfTrue="1" operator="greaterThan">
      <formula>0</formula>
    </cfRule>
    <cfRule type="cellIs" dxfId="22" priority="4" stopIfTrue="1" operator="lessThan">
      <formula>0</formula>
    </cfRule>
    <cfRule type="cellIs" dxfId="21" priority="5" stopIfTrue="1" operator="greaterThan">
      <formula>0</formula>
    </cfRule>
    <cfRule type="cellIs" dxfId="20" priority="6" stopIfTrue="1" operator="greaterThan">
      <formula>0</formula>
    </cfRule>
    <cfRule type="cellIs" priority="7" stopIfTrue="1" operator="greaterThan">
      <formula>0</formula>
    </cfRule>
  </conditionalFormatting>
  <conditionalFormatting sqref="L77:M80">
    <cfRule type="cellIs" dxfId="19" priority="36" stopIfTrue="1" operator="lessThan">
      <formula>0</formula>
    </cfRule>
    <cfRule type="cellIs" dxfId="18" priority="37" stopIfTrue="1" operator="greaterThan">
      <formula>0</formula>
    </cfRule>
    <cfRule type="cellIs" dxfId="17" priority="38" stopIfTrue="1" operator="lessThan">
      <formula>0</formula>
    </cfRule>
    <cfRule type="cellIs" dxfId="16" priority="39" stopIfTrue="1" operator="greaterThan">
      <formula>0</formula>
    </cfRule>
    <cfRule type="cellIs" dxfId="15" priority="40" stopIfTrue="1" operator="greaterThan">
      <formula>0</formula>
    </cfRule>
    <cfRule type="cellIs" priority="41" stopIfTrue="1" operator="greaterThan">
      <formula>0</formula>
    </cfRule>
  </conditionalFormatting>
  <conditionalFormatting sqref="L83:M84">
    <cfRule type="cellIs" dxfId="14" priority="30" stopIfTrue="1" operator="lessThan">
      <formula>0</formula>
    </cfRule>
    <cfRule type="cellIs" dxfId="13" priority="31" stopIfTrue="1" operator="greaterThan">
      <formula>0</formula>
    </cfRule>
    <cfRule type="cellIs" dxfId="12" priority="32" stopIfTrue="1" operator="lessThan">
      <formula>0</formula>
    </cfRule>
    <cfRule type="cellIs" dxfId="11" priority="33" stopIfTrue="1" operator="greaterThan">
      <formula>0</formula>
    </cfRule>
    <cfRule type="cellIs" dxfId="10" priority="34" stopIfTrue="1" operator="greaterThan">
      <formula>0</formula>
    </cfRule>
    <cfRule type="cellIs" priority="35" stopIfTrue="1" operator="greaterThan">
      <formula>0</formula>
    </cfRule>
  </conditionalFormatting>
  <conditionalFormatting sqref="Q9:Q47 Q51:Q64">
    <cfRule type="cellIs" dxfId="9" priority="18" stopIfTrue="1" operator="greaterThan">
      <formula>0</formula>
    </cfRule>
    <cfRule type="cellIs" dxfId="8" priority="19" stopIfTrue="1" operator="lessThan">
      <formula>0</formula>
    </cfRule>
  </conditionalFormatting>
  <conditionalFormatting sqref="Q70:Q71">
    <cfRule type="cellIs" dxfId="7" priority="16" stopIfTrue="1" operator="greaterThan">
      <formula>0</formula>
    </cfRule>
    <cfRule type="cellIs" dxfId="6" priority="17" stopIfTrue="1" operator="lessThan">
      <formula>0</formula>
    </cfRule>
  </conditionalFormatting>
  <conditionalFormatting sqref="Q74">
    <cfRule type="cellIs" dxfId="5" priority="8" stopIfTrue="1" operator="greaterThan">
      <formula>0</formula>
    </cfRule>
    <cfRule type="cellIs" dxfId="4" priority="9" stopIfTrue="1" operator="lessThan">
      <formula>0</formula>
    </cfRule>
  </conditionalFormatting>
  <conditionalFormatting sqref="Q77:Q80">
    <cfRule type="cellIs" dxfId="3" priority="28" stopIfTrue="1" operator="greaterThan">
      <formula>0</formula>
    </cfRule>
    <cfRule type="cellIs" dxfId="2" priority="29" stopIfTrue="1" operator="lessThan">
      <formula>0</formula>
    </cfRule>
  </conditionalFormatting>
  <conditionalFormatting sqref="Q83:Q84">
    <cfRule type="cellIs" dxfId="1" priority="26" stopIfTrue="1" operator="greaterThan">
      <formula>0</formula>
    </cfRule>
    <cfRule type="cellIs" dxfId="0" priority="27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2026-06-12T13:46:47Z</dcterms:created>
  <dcterms:modified xsi:type="dcterms:W3CDTF">2026-06-12T13:54:03Z</dcterms:modified>
</cp:coreProperties>
</file>