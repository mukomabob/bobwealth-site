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9.05.26/"/>
    </mc:Choice>
  </mc:AlternateContent>
  <xr:revisionPtr revIDLastSave="0" documentId="8_{4E1A301A-60B2-424D-AC53-D0CC79F07749}" xr6:coauthVersionLast="47" xr6:coauthVersionMax="47" xr10:uidLastSave="{00000000-0000-0000-0000-000000000000}"/>
  <bookViews>
    <workbookView xWindow="-108" yWindow="-108" windowWidth="23256" windowHeight="12456" xr2:uid="{17E7E7A6-4AB4-49E3-A9EB-FD7F5301CC17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/>
  <c r="M74" i="1"/>
  <c r="L74" i="1"/>
  <c r="J74" i="1"/>
  <c r="Q74" i="1" s="1"/>
  <c r="D74" i="1"/>
  <c r="O72" i="1"/>
  <c r="N72" i="1"/>
  <c r="M71" i="1"/>
  <c r="L71" i="1"/>
  <c r="J71" i="1"/>
  <c r="D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D42" i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D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D16" i="1"/>
  <c r="Q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D14" i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J9" i="1"/>
  <c r="P9" i="1" s="1"/>
  <c r="E9" i="1"/>
  <c r="D46" i="1" l="1"/>
  <c r="P13" i="1"/>
  <c r="D40" i="1"/>
  <c r="D55" i="1"/>
  <c r="D59" i="1"/>
  <c r="D61" i="1"/>
  <c r="D52" i="1"/>
  <c r="D63" i="1"/>
  <c r="D53" i="1"/>
  <c r="D12" i="1"/>
  <c r="D28" i="1"/>
  <c r="D39" i="1"/>
  <c r="D19" i="1"/>
  <c r="P44" i="1"/>
  <c r="D43" i="1"/>
  <c r="D9" i="1"/>
  <c r="D11" i="1"/>
  <c r="D45" i="1"/>
  <c r="P10" i="1"/>
  <c r="P83" i="1"/>
  <c r="P61" i="1"/>
  <c r="P55" i="1"/>
  <c r="P27" i="1"/>
  <c r="P33" i="1"/>
  <c r="P21" i="1"/>
  <c r="P59" i="1"/>
  <c r="D34" i="1"/>
  <c r="D57" i="1"/>
  <c r="D22" i="1"/>
  <c r="P41" i="1"/>
  <c r="P57" i="1"/>
  <c r="P63" i="1"/>
  <c r="K71" i="1"/>
  <c r="E71" i="1" s="1"/>
  <c r="P24" i="1"/>
  <c r="Q71" i="1"/>
  <c r="D37" i="1"/>
  <c r="P51" i="1"/>
  <c r="P36" i="1"/>
  <c r="P71" i="1"/>
  <c r="D51" i="1"/>
  <c r="P56" i="1"/>
  <c r="P60" i="1"/>
  <c r="P64" i="1"/>
  <c r="P23" i="1"/>
  <c r="P26" i="1"/>
  <c r="P29" i="1"/>
  <c r="P35" i="1"/>
  <c r="P52" i="1"/>
  <c r="Q56" i="1"/>
  <c r="Q60" i="1"/>
  <c r="Q64" i="1"/>
  <c r="Q70" i="1"/>
  <c r="P15" i="1"/>
  <c r="K74" i="1"/>
  <c r="E74" i="1" s="1"/>
  <c r="K70" i="1"/>
  <c r="E70" i="1" s="1"/>
  <c r="P20" i="1"/>
  <c r="P54" i="1"/>
  <c r="P58" i="1"/>
  <c r="P62" i="1"/>
  <c r="P32" i="1"/>
  <c r="Q54" i="1"/>
  <c r="Q58" i="1"/>
  <c r="Q62" i="1"/>
  <c r="P70" i="1"/>
  <c r="P74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<sst xmlns="http://schemas.openxmlformats.org/spreadsheetml/2006/main" count="266" uniqueCount="182">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</sst>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CC8FDE7B-DDA4-47C0-B9FC-0B57299FBB6C}"/>
    <cellStyle name="Comma 5 2 2 2 2 2 2 2 2" xfId="4" xr:uid="{696D0B0A-77C3-46B8-9EBC-DA95B3DC9AA5}"/>
    <cellStyle name="Comma 6 2 2 2" xfId="5" xr:uid="{876B603D-B3AA-46A0-A6EC-92F93B329AC9}"/>
    <cellStyle name="Hyperlink 2" xfId="8" xr:uid="{862560DF-3A5B-464B-9ED8-D1AE88E994B7}"/>
    <cellStyle name="Normal" xfId="0" builtinId="0"/>
    <cellStyle name="Normal 2" xfId="2" xr:uid="{369CD2E1-D602-4745-9C5B-50C0B7255410}"/>
    <cellStyle name="Normal 20" xfId="7" xr:uid="{0AEC4436-6C88-46FA-AA64-5D3AAE8906FF}"/>
    <cellStyle name="Percent" xfId="1" builtinId="5"/>
    <cellStyle name="Percent 3" xfId="6" xr:uid="{53D3F3DA-FC72-418F-BE93-A14D6E3D96BE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EC448FA-8EEF-4567-8313-619A3BD9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A32B577-156E-44C2-B231-7E32C27F6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FC85-32CD-45BD-B6B9-BD4BBA50585E}">
  <dimension ref="A1:II106"/>
  <sheetViews>
    <sheetView tabSelected="1" zoomScale="60" zoomScaleNormal="60" workbookViewId="0">
      <selection activeCell="V94" sqref="V9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26.918099999999999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73222825.243980825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0.5869656476497227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2.5555158227848099E-2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3627437.8838030915</v>
      </c>
      <c r="E10" s="39">
        <f>C10*K10</f>
        <v>3254791.19</v>
      </c>
      <c r="F10" s="40" t="s">
        <v>34</v>
      </c>
      <c r="G10" s="41">
        <v>3.1600000000000003E-2</v>
      </c>
      <c r="H10" s="42">
        <v>0.06</v>
      </c>
      <c r="I10" s="42">
        <v>0.06</v>
      </c>
      <c r="J10" s="43">
        <f>I10/$J$5</f>
        <v>2.2289834720875543E-3</v>
      </c>
      <c r="K10" s="44">
        <f>I10/$K$4</f>
        <v>2E-3</v>
      </c>
      <c r="L10" s="45">
        <f>I10-H10</f>
        <v>0</v>
      </c>
      <c r="M10" s="45">
        <f>((I10-H10)/H10)*100</f>
        <v>0</v>
      </c>
      <c r="N10" s="46">
        <v>23700</v>
      </c>
      <c r="O10" s="37">
        <v>1422</v>
      </c>
      <c r="P10" s="50">
        <f>(R10)/J10</f>
        <v>0</v>
      </c>
      <c r="Q10" s="48">
        <f>I10/G10-1</f>
        <v>0.89873417721518956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3571389.4732540557</v>
      </c>
      <c r="E11" s="39">
        <f>C11*K11</f>
        <v>3204500.6326666665</v>
      </c>
      <c r="F11" s="40" t="s">
        <v>39</v>
      </c>
      <c r="G11" s="41">
        <v>7.8E-2</v>
      </c>
      <c r="H11" s="42">
        <v>0.21979199999999999</v>
      </c>
      <c r="I11" s="42">
        <v>0.22</v>
      </c>
      <c r="J11" s="43">
        <f>I11/$J$5</f>
        <v>8.1729393976543666E-3</v>
      </c>
      <c r="K11" s="44">
        <f>I11/$K$4</f>
        <v>7.3333333333333332E-3</v>
      </c>
      <c r="L11" s="45">
        <f>I11-H11</f>
        <v>2.0800000000001373E-4</v>
      </c>
      <c r="M11" s="45">
        <f>((I11-H11)/H11)*100</f>
        <v>9.4634927567888619E-2</v>
      </c>
      <c r="N11" s="46">
        <v>100</v>
      </c>
      <c r="O11" s="37">
        <v>22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141807569.19104618</v>
      </c>
      <c r="E12" s="39">
        <f>C12*K12</f>
        <v>127239677.60805002</v>
      </c>
      <c r="F12" s="40" t="s">
        <v>34</v>
      </c>
      <c r="G12" s="41">
        <v>97.381</v>
      </c>
      <c r="H12" s="42">
        <v>185.93919999999997</v>
      </c>
      <c r="I12" s="42">
        <v>184.99950000000001</v>
      </c>
      <c r="J12" s="43">
        <f>I12/$J$5</f>
        <v>6.8726804640743593</v>
      </c>
      <c r="K12" s="44">
        <f>I12/$K$4</f>
        <v>6.1666500000000006</v>
      </c>
      <c r="L12" s="45">
        <f>I12-H12</f>
        <v>-0.93969999999995935</v>
      </c>
      <c r="M12" s="45">
        <f>((I12-H12)/H12)*100</f>
        <v>-0.50538025333009906</v>
      </c>
      <c r="N12" s="46">
        <v>1500</v>
      </c>
      <c r="O12" s="37">
        <v>277499.25</v>
      </c>
      <c r="P12" s="50">
        <f>(R12)/J12</f>
        <v>0</v>
      </c>
      <c r="Q12" s="48">
        <f>I12/G12-1</f>
        <v>0.89974943777533611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4705511.6651621033</v>
      </c>
      <c r="E13" s="39">
        <f>C13*K13</f>
        <v>4222114.4517999999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0.53868958061675976</v>
      </c>
      <c r="K13" s="44">
        <f>I13/$K$4</f>
        <v>0.48334999999999995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339792765.36976981</v>
      </c>
      <c r="E14" s="39">
        <f>C14*K14</f>
        <v>304885854.58333337</v>
      </c>
      <c r="F14" s="40" t="s">
        <v>47</v>
      </c>
      <c r="G14" s="41">
        <v>11.5</v>
      </c>
      <c r="H14" s="42">
        <v>16.05</v>
      </c>
      <c r="I14" s="42">
        <v>17.5</v>
      </c>
      <c r="J14" s="43">
        <f>I14/$J$5</f>
        <v>0.65012017935887012</v>
      </c>
      <c r="K14" s="44">
        <f>I14/$K$4</f>
        <v>0.58333333333333337</v>
      </c>
      <c r="L14" s="45">
        <f>I14-H14</f>
        <v>1.4499999999999993</v>
      </c>
      <c r="M14" s="45">
        <f>((I14-H14)/H14)*100</f>
        <v>9.0342679127725809</v>
      </c>
      <c r="N14" s="46">
        <v>100</v>
      </c>
      <c r="O14" s="37">
        <v>1750</v>
      </c>
      <c r="P14" s="50">
        <f>(R14)/J14</f>
        <v>0</v>
      </c>
      <c r="Q14" s="48">
        <f>I14/G14-1</f>
        <v>0.52173913043478271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23636335.774070237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0.22289834720875545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31427033.388463527</v>
      </c>
      <c r="E16" s="39">
        <f>C16*K16</f>
        <v>28198534.248466667</v>
      </c>
      <c r="F16" s="40" t="s">
        <v>34</v>
      </c>
      <c r="G16" s="41">
        <v>1.9</v>
      </c>
      <c r="H16" s="42">
        <v>2.78</v>
      </c>
      <c r="I16" s="42">
        <v>2.363</v>
      </c>
      <c r="J16" s="43">
        <f>I16/$J$5</f>
        <v>8.7784799075714862E-2</v>
      </c>
      <c r="K16" s="44">
        <f>I16/$K$4</f>
        <v>7.8766666666666665E-2</v>
      </c>
      <c r="L16" s="45">
        <f>I16-H16</f>
        <v>-0.41699999999999982</v>
      </c>
      <c r="M16" s="45">
        <f>((I16-H16)/H16)*100</f>
        <v>-14.999999999999995</v>
      </c>
      <c r="N16" s="46">
        <v>1100</v>
      </c>
      <c r="O16" s="37">
        <v>2599.3000000000002</v>
      </c>
      <c r="P16" s="50">
        <f>(R16)/J16</f>
        <v>0</v>
      </c>
      <c r="Q16" s="48">
        <f>I16/G16-1</f>
        <v>0.24368421052631595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1495491632.9897914</v>
      </c>
      <c r="E17" s="39">
        <f>C17*K17</f>
        <v>1341859777.5327501</v>
      </c>
      <c r="F17" s="40" t="s">
        <v>34</v>
      </c>
      <c r="G17" s="41">
        <v>20.701700000000002</v>
      </c>
      <c r="H17" s="42">
        <v>30.2425</v>
      </c>
      <c r="I17" s="42">
        <v>30.005500000000001</v>
      </c>
      <c r="J17" s="43">
        <f>I17/$J$5</f>
        <v>1.1146960595287188</v>
      </c>
      <c r="K17" s="44">
        <f>I17/$K$4</f>
        <v>1.0001833333333334</v>
      </c>
      <c r="L17" s="45">
        <f>I17-H17</f>
        <v>-0.23699999999999832</v>
      </c>
      <c r="M17" s="45">
        <f>((I17-H17)/H17)*100</f>
        <v>-0.78366537157972505</v>
      </c>
      <c r="N17" s="46">
        <v>143500</v>
      </c>
      <c r="O17" s="37">
        <v>4305795</v>
      </c>
      <c r="P17" s="47">
        <f>(R17)/J17</f>
        <v>4.4855276532635678E-2</v>
      </c>
      <c r="Q17" s="48">
        <f>I17/G17-1</f>
        <v>0.44942202814261623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233141444.73834497</v>
      </c>
      <c r="E19" s="39">
        <f>C19*K19</f>
        <v>209190824.1203748</v>
      </c>
      <c r="F19" s="40" t="s">
        <v>47</v>
      </c>
      <c r="G19" s="41">
        <v>12.45</v>
      </c>
      <c r="H19" s="42">
        <v>10.047800000000001</v>
      </c>
      <c r="I19" s="42">
        <v>9.3395719999999987</v>
      </c>
      <c r="J19" s="43">
        <f>I19/$J$5</f>
        <v>0.34696252707286174</v>
      </c>
      <c r="K19" s="44">
        <f>I19/$K$4</f>
        <v>0.31131906666666664</v>
      </c>
      <c r="L19" s="45">
        <f>I19-H19</f>
        <v>-0.70822800000000186</v>
      </c>
      <c r="M19" s="45">
        <f>((I19-H19)/H19)*100</f>
        <v>-7.048587750552378</v>
      </c>
      <c r="N19" s="46">
        <v>161100</v>
      </c>
      <c r="O19" s="37">
        <v>1504605</v>
      </c>
      <c r="P19" s="50">
        <f>(R19)/J19</f>
        <v>0</v>
      </c>
      <c r="Q19" s="48">
        <f>I19/G19-1</f>
        <v>-0.24983357429718878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2389440.6862111371</v>
      </c>
      <c r="E20" s="39">
        <f>C20*K20</f>
        <v>2143973.4445166667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2.1936912337795017E-2</v>
      </c>
      <c r="K20" s="44">
        <f>I20/$K$4</f>
        <v>1.9683333333333334E-2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42449024.623618305</v>
      </c>
      <c r="E21" s="39">
        <f>C21*K21</f>
        <v>38088236.324033998</v>
      </c>
      <c r="F21" s="40" t="s">
        <v>47</v>
      </c>
      <c r="G21" s="41">
        <v>2.85</v>
      </c>
      <c r="H21" s="42">
        <v>1.6</v>
      </c>
      <c r="I21" s="42">
        <v>1.655667</v>
      </c>
      <c r="J21" s="43">
        <f>I21/$J$5</f>
        <v>6.1507572971346416E-2</v>
      </c>
      <c r="K21" s="44">
        <f>I21/$K$4</f>
        <v>5.5188899999999999E-2</v>
      </c>
      <c r="L21" s="45">
        <f>I21-H21</f>
        <v>5.5666999999999911E-2</v>
      </c>
      <c r="M21" s="45">
        <f>((I21-H21)/H21)*100</f>
        <v>3.4791874999999943</v>
      </c>
      <c r="N21" s="46">
        <v>1800</v>
      </c>
      <c r="O21" s="37">
        <v>2980.2</v>
      </c>
      <c r="P21" s="50">
        <f>(R21)/J21</f>
        <v>0</v>
      </c>
      <c r="Q21" s="48">
        <f>I21/G21-1</f>
        <v>-0.41906421052631582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48251169.648084998</v>
      </c>
      <c r="E22" s="39">
        <f>C22*K22</f>
        <v>43294326.990137227</v>
      </c>
      <c r="F22" s="40" t="s">
        <v>66</v>
      </c>
      <c r="G22" s="41">
        <v>0.88420599999999994</v>
      </c>
      <c r="H22" s="42">
        <v>1.1499999999999999</v>
      </c>
      <c r="I22" s="42">
        <v>1.0507689999999998</v>
      </c>
      <c r="J22" s="43">
        <f>I22/$J$5</f>
        <v>3.9035778899699454E-2</v>
      </c>
      <c r="K22" s="44">
        <f>I22/$K$4</f>
        <v>3.5025633333333327E-2</v>
      </c>
      <c r="L22" s="45">
        <f>I22-H22</f>
        <v>-9.9231000000000069E-2</v>
      </c>
      <c r="M22" s="45">
        <f>((I22-H22)/H22)*100</f>
        <v>-8.6287826086956585</v>
      </c>
      <c r="N22" s="46">
        <v>5200</v>
      </c>
      <c r="O22" s="37">
        <v>5464</v>
      </c>
      <c r="P22" s="50">
        <f>(R22)/J22</f>
        <v>0</v>
      </c>
      <c r="Q22" s="48">
        <f>I22/G22-1</f>
        <v>0.18837578573318869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2192753.1486249031</v>
      </c>
      <c r="E23" s="39">
        <f>C23*K23</f>
        <v>1967491.6176666666</v>
      </c>
      <c r="F23" s="40" t="s">
        <v>44</v>
      </c>
      <c r="G23" s="41">
        <v>0.1</v>
      </c>
      <c r="H23" s="42">
        <v>0.1195</v>
      </c>
      <c r="I23" s="42">
        <v>0.11</v>
      </c>
      <c r="J23" s="43">
        <f>I23/$J$5</f>
        <v>4.0864696988271833E-3</v>
      </c>
      <c r="K23" s="44">
        <f>I23/$K$4</f>
        <v>3.6666666666666666E-3</v>
      </c>
      <c r="L23" s="45">
        <f>I23-H23</f>
        <v>-9.4999999999999946E-3</v>
      </c>
      <c r="M23" s="45">
        <f>((I23-H23)/H23)*100</f>
        <v>-7.9497907949790756</v>
      </c>
      <c r="N23" s="46">
        <v>100</v>
      </c>
      <c r="O23" s="37">
        <v>11</v>
      </c>
      <c r="P23" s="50">
        <f>(R23)/J23</f>
        <v>0</v>
      </c>
      <c r="Q23" s="48">
        <f>I23/G23-1</f>
        <v>9.9999999999999867E-2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71710193.151894078</v>
      </c>
      <c r="E24" s="39">
        <f>C24*K24</f>
        <v>64343405.009399995</v>
      </c>
      <c r="F24" s="40" t="s">
        <v>34</v>
      </c>
      <c r="G24" s="41">
        <v>8.1687659999999997</v>
      </c>
      <c r="H24" s="42">
        <v>10.000499999999999</v>
      </c>
      <c r="I24" s="42">
        <v>10.000499999999999</v>
      </c>
      <c r="J24" s="43">
        <f>I24/$J$5</f>
        <v>0.37151582021019314</v>
      </c>
      <c r="K24" s="44">
        <f>I24/$K$4</f>
        <v>0.33334999999999998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0.22423631672152178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82316278.036599919</v>
      </c>
      <c r="E25" s="39">
        <f>C25*K25</f>
        <v>73859926.793899998</v>
      </c>
      <c r="F25" s="40" t="s">
        <v>66</v>
      </c>
      <c r="G25" s="41">
        <v>1.6675</v>
      </c>
      <c r="H25" s="42">
        <v>1.312292</v>
      </c>
      <c r="I25" s="42">
        <v>1.3130000000000002</v>
      </c>
      <c r="J25" s="43">
        <f>I25/$J$5</f>
        <v>4.8777588314182656E-2</v>
      </c>
      <c r="K25" s="44">
        <f>I25/$K$4</f>
        <v>4.3766666666666669E-2</v>
      </c>
      <c r="L25" s="45">
        <f>I25-H25</f>
        <v>7.0800000000015295E-4</v>
      </c>
      <c r="M25" s="45">
        <f>((I25-H25)/H25)*100</f>
        <v>5.395140715634577E-2</v>
      </c>
      <c r="N25" s="46">
        <v>5600</v>
      </c>
      <c r="O25" s="37">
        <v>7352.8</v>
      </c>
      <c r="P25" s="50">
        <f>(R25)/J25</f>
        <v>0</v>
      </c>
      <c r="Q25" s="48">
        <f>I25/G25-1</f>
        <v>-0.21259370314842563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26679606.69586635</v>
      </c>
      <c r="E26" s="39">
        <f>C26*K26</f>
        <v>23938810.700000003</v>
      </c>
      <c r="F26" s="40" t="s">
        <v>44</v>
      </c>
      <c r="G26" s="41">
        <v>1.7994999999999999</v>
      </c>
      <c r="H26" s="42">
        <v>3.43</v>
      </c>
      <c r="I26" s="42">
        <v>3</v>
      </c>
      <c r="J26" s="43">
        <f>I26/$J$5</f>
        <v>0.11144917360437773</v>
      </c>
      <c r="K26" s="44">
        <f>I26/$K$4</f>
        <v>0.1</v>
      </c>
      <c r="L26" s="45">
        <f>I26-H26</f>
        <v>-0.43000000000000016</v>
      </c>
      <c r="M26" s="45">
        <f>((I26-H26)/H26)*100</f>
        <v>-12.536443148688051</v>
      </c>
      <c r="N26" s="46">
        <v>100</v>
      </c>
      <c r="O26" s="37">
        <v>300</v>
      </c>
      <c r="P26" s="50">
        <f>(R26)/J26</f>
        <v>0</v>
      </c>
      <c r="Q26" s="48">
        <f>I26/G26-1</f>
        <v>0.66712975826618526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28547788.402598996</v>
      </c>
      <c r="E27" s="39">
        <f>C27*K27</f>
        <v>25615074.100000001</v>
      </c>
      <c r="F27" s="40" t="s">
        <v>34</v>
      </c>
      <c r="G27" s="41">
        <v>3.1361369999999997</v>
      </c>
      <c r="H27" s="42">
        <v>3</v>
      </c>
      <c r="I27" s="42">
        <v>3</v>
      </c>
      <c r="J27" s="43">
        <f>I27/$J$5</f>
        <v>0.11144917360437773</v>
      </c>
      <c r="K27" s="44">
        <f>I27/$K$4</f>
        <v>0.1</v>
      </c>
      <c r="L27" s="45">
        <f>I27-H27</f>
        <v>0</v>
      </c>
      <c r="M27" s="45">
        <f>((I27-H27)/H27)*100</f>
        <v>0</v>
      </c>
      <c r="N27" s="46">
        <v>300</v>
      </c>
      <c r="O27" s="37">
        <v>900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24142022.165754642</v>
      </c>
      <c r="E28" s="39">
        <f>C28*K28</f>
        <v>21661912.228666667</v>
      </c>
      <c r="F28" s="40" t="s">
        <v>44</v>
      </c>
      <c r="G28" s="41">
        <v>0.8</v>
      </c>
      <c r="H28" s="42">
        <v>0.97250000000000003</v>
      </c>
      <c r="I28" s="42">
        <v>0.86</v>
      </c>
      <c r="J28" s="43">
        <f>I28/$J$5</f>
        <v>3.1948763099921618E-2</v>
      </c>
      <c r="K28" s="44">
        <f>I28/$K$4</f>
        <v>2.8666666666666667E-2</v>
      </c>
      <c r="L28" s="45">
        <f>I28-H28</f>
        <v>-0.11250000000000004</v>
      </c>
      <c r="M28" s="45">
        <f>((I28-H28)/H28)*100</f>
        <v>-11.568123393316201</v>
      </c>
      <c r="N28" s="46">
        <v>6000</v>
      </c>
      <c r="O28" s="37">
        <v>5160</v>
      </c>
      <c r="P28" s="50">
        <f>(R28)/J28</f>
        <v>0</v>
      </c>
      <c r="Q28" s="48">
        <f>I28/G28-1</f>
        <v>7.4999999999999956E-2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78828201.432006344</v>
      </c>
      <c r="E29" s="39">
        <f>C29*K29</f>
        <v>70730180.298896328</v>
      </c>
      <c r="F29" s="40" t="s">
        <v>47</v>
      </c>
      <c r="G29" s="41">
        <v>5.15</v>
      </c>
      <c r="H29" s="42">
        <v>5.2500099999999996</v>
      </c>
      <c r="I29" s="42">
        <v>5.2500099999999996</v>
      </c>
      <c r="J29" s="43">
        <f>I29/$J$5</f>
        <v>0.19503642530490636</v>
      </c>
      <c r="K29" s="44">
        <f>I29/$K$4</f>
        <v>0.17500033333333331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1.9419417475728062E-2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11898506.12691832</v>
      </c>
      <c r="E32" s="39">
        <f>C32*K32</f>
        <v>10676172.592499999</v>
      </c>
      <c r="F32" s="40" t="s">
        <v>39</v>
      </c>
      <c r="G32" s="41">
        <v>1.4</v>
      </c>
      <c r="H32" s="42">
        <v>1.2324999999999999</v>
      </c>
      <c r="I32" s="42">
        <v>1.2324999999999999</v>
      </c>
      <c r="J32" s="43">
        <f>I32/$J$5</f>
        <v>4.578703548913185E-2</v>
      </c>
      <c r="K32" s="44">
        <f>I32/$K$4</f>
        <v>4.1083333333333333E-2</v>
      </c>
      <c r="L32" s="45">
        <f>I32-H32</f>
        <v>0</v>
      </c>
      <c r="M32" s="45">
        <f>((I32-H32)/H32)*100</f>
        <v>0</v>
      </c>
      <c r="N32" s="46">
        <v>11800</v>
      </c>
      <c r="O32" s="37">
        <v>14543.5</v>
      </c>
      <c r="P32" s="50">
        <f>(R32)/J32</f>
        <v>0</v>
      </c>
      <c r="Q32" s="48">
        <f>I32/G32-1</f>
        <v>-0.11964285714285716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3400020.8967200508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2.7862293401094432E-2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157601852.40042946</v>
      </c>
      <c r="E34" s="39">
        <f>C34*K34</f>
        <v>141411414.10333332</v>
      </c>
      <c r="F34" s="40" t="s">
        <v>92</v>
      </c>
      <c r="G34" s="41">
        <v>1.44</v>
      </c>
      <c r="H34" s="42">
        <v>1.7250000000000001</v>
      </c>
      <c r="I34" s="42">
        <v>1.7</v>
      </c>
      <c r="J34" s="43">
        <f>I34/$J$5</f>
        <v>6.315453170914738E-2</v>
      </c>
      <c r="K34" s="44">
        <f>I34/$K$4</f>
        <v>5.6666666666666664E-2</v>
      </c>
      <c r="L34" s="45">
        <f>I34-H34</f>
        <v>-2.5000000000000133E-2</v>
      </c>
      <c r="M34" s="45">
        <f>((I34-H34)/H34)*100</f>
        <v>-1.4492753623188481</v>
      </c>
      <c r="N34" s="46">
        <v>1500</v>
      </c>
      <c r="O34" s="37">
        <v>2550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37857121.849610485</v>
      </c>
      <c r="E35" s="39">
        <f>C35*K35</f>
        <v>33968059.721999995</v>
      </c>
      <c r="F35" s="40" t="s">
        <v>34</v>
      </c>
      <c r="G35" s="41">
        <v>3.6056249999999999</v>
      </c>
      <c r="H35" s="42">
        <v>4.0199999999999996</v>
      </c>
      <c r="I35" s="42">
        <v>4.0199999999999996</v>
      </c>
      <c r="J35" s="43">
        <f>I35/$J$5</f>
        <v>0.14934189262986614</v>
      </c>
      <c r="K35" s="44">
        <f>I35/$K$4</f>
        <v>0.13399999999999998</v>
      </c>
      <c r="L35" s="45">
        <f>I35-H35</f>
        <v>0</v>
      </c>
      <c r="M35" s="45">
        <f>((I35-H35)/H35)*100</f>
        <v>0</v>
      </c>
      <c r="N35" s="46">
        <v>0</v>
      </c>
      <c r="O35" s="37">
        <v>0</v>
      </c>
      <c r="P35" s="50">
        <f>(R35)/J35</f>
        <v>0</v>
      </c>
      <c r="Q35" s="48">
        <f>I35/G35-1</f>
        <v>0.11492459698387925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6148258.9917416163</v>
      </c>
      <c r="E36" s="39">
        <f>C36*K36</f>
        <v>5516648.34552</v>
      </c>
      <c r="F36" s="40" t="s">
        <v>34</v>
      </c>
      <c r="G36" s="41">
        <v>2.5099999999999997E-2</v>
      </c>
      <c r="H36" s="42">
        <v>3.7400999999999997E-2</v>
      </c>
      <c r="I36" s="42">
        <v>3.5099999999999999E-2</v>
      </c>
      <c r="J36" s="43">
        <f>I36/$J$5</f>
        <v>1.3039553311712194E-3</v>
      </c>
      <c r="K36" s="44">
        <f>I36/$K$4</f>
        <v>1.17E-3</v>
      </c>
      <c r="L36" s="45">
        <f>I36-H36</f>
        <v>-2.3009999999999975E-3</v>
      </c>
      <c r="M36" s="45">
        <f>((I36-H36)/H36)*100</f>
        <v>-6.1522419186652701</v>
      </c>
      <c r="N36" s="46">
        <v>500</v>
      </c>
      <c r="O36" s="37">
        <v>17.55</v>
      </c>
      <c r="P36" s="50">
        <f>(R36)/J36</f>
        <v>0</v>
      </c>
      <c r="Q36" s="48">
        <f>I36/G36-1</f>
        <v>0.39840637450199212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57960808.038480058</v>
      </c>
      <c r="E37" s="39">
        <f>C37*K37</f>
        <v>52006494.228687003</v>
      </c>
      <c r="F37" s="40" t="s">
        <v>92</v>
      </c>
      <c r="G37" s="41">
        <v>0.61</v>
      </c>
      <c r="H37" s="42">
        <v>5.6465560000000004</v>
      </c>
      <c r="I37" s="42">
        <v>5.9762789999999999</v>
      </c>
      <c r="J37" s="43">
        <f>I37/$J$5</f>
        <v>0.22201711859306564</v>
      </c>
      <c r="K37" s="44">
        <f>I37/$K$4</f>
        <v>0.19920930000000001</v>
      </c>
      <c r="L37" s="45">
        <f>I37-H37</f>
        <v>0.32972299999999954</v>
      </c>
      <c r="M37" s="45">
        <f>((I37-H37)/H37)*100</f>
        <v>5.8393647384352434</v>
      </c>
      <c r="N37" s="46">
        <v>4300</v>
      </c>
      <c r="O37" s="37">
        <v>25698</v>
      </c>
      <c r="P37" s="50">
        <f>(R37)/J37</f>
        <v>0</v>
      </c>
      <c r="Q37" s="48">
        <f>I37/G37-1</f>
        <v>8.7971786885245908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22596160.193512913</v>
      </c>
      <c r="E38" s="39">
        <f>C38*K38</f>
        <v>20274856.656833332</v>
      </c>
      <c r="F38" s="40" t="s">
        <v>56</v>
      </c>
      <c r="G38" s="41">
        <v>0.11650199999999999</v>
      </c>
      <c r="H38" s="42">
        <v>0.14336199999999999</v>
      </c>
      <c r="I38" s="42">
        <v>0.14499999999999999</v>
      </c>
      <c r="J38" s="43">
        <f>I38/$J$5</f>
        <v>5.3867100575449231E-3</v>
      </c>
      <c r="K38" s="44">
        <f>I38/$K$4</f>
        <v>4.8333333333333327E-3</v>
      </c>
      <c r="L38" s="45">
        <f>I38-H38</f>
        <v>1.6380000000000006E-3</v>
      </c>
      <c r="M38" s="45">
        <f>((I38-H38)/H38)*100</f>
        <v>1.1425621852373715</v>
      </c>
      <c r="N38" s="46">
        <v>10400</v>
      </c>
      <c r="O38" s="37">
        <v>1508</v>
      </c>
      <c r="P38" s="50">
        <v>0</v>
      </c>
      <c r="Q38" s="48">
        <f>I38/G38-1</f>
        <v>0.2446138263720794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80895959.2987618</v>
      </c>
      <c r="E39" s="39">
        <f>C39*K39</f>
        <v>72585517.400000006</v>
      </c>
      <c r="F39" s="40" t="s">
        <v>34</v>
      </c>
      <c r="G39" s="41">
        <v>2.6005000000000003</v>
      </c>
      <c r="H39" s="42">
        <v>6.3</v>
      </c>
      <c r="I39" s="42">
        <v>6</v>
      </c>
      <c r="J39" s="43">
        <f>I39/$J$5</f>
        <v>0.22289834720875545</v>
      </c>
      <c r="K39" s="44">
        <f>I39/$K$4</f>
        <v>0.2</v>
      </c>
      <c r="L39" s="45">
        <f>I39-H39</f>
        <v>-0.29999999999999982</v>
      </c>
      <c r="M39" s="45">
        <f>((I39-H39)/H39)*100</f>
        <v>-4.7619047619047592</v>
      </c>
      <c r="N39" s="46">
        <v>10000</v>
      </c>
      <c r="O39" s="37">
        <v>60000</v>
      </c>
      <c r="P39" s="50">
        <f>(R39)/J39</f>
        <v>0</v>
      </c>
      <c r="Q39" s="48">
        <f>I39/G39-1</f>
        <v>1.3072486060373003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14461590.164603001</v>
      </c>
      <c r="E40" s="39">
        <f>C40*K40</f>
        <v>12975951.006993333</v>
      </c>
      <c r="F40" s="40" t="s">
        <v>39</v>
      </c>
      <c r="G40" s="41">
        <v>0.1</v>
      </c>
      <c r="H40" s="42">
        <v>9.0175999999999992E-2</v>
      </c>
      <c r="I40" s="42">
        <v>9.0200000000000002E-2</v>
      </c>
      <c r="J40" s="43">
        <f>I40/$J$5</f>
        <v>3.3509051530382903E-3</v>
      </c>
      <c r="K40" s="44">
        <f>I40/$K$4</f>
        <v>3.0066666666666666E-3</v>
      </c>
      <c r="L40" s="45">
        <f>I40-H40</f>
        <v>2.4000000000010124E-5</v>
      </c>
      <c r="M40" s="45">
        <f>((I40-H40)/H40)*100</f>
        <v>2.6614620298094978E-2</v>
      </c>
      <c r="N40" s="46">
        <v>300</v>
      </c>
      <c r="O40" s="37">
        <v>27.06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5933232.8619033294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5.5724586802188864E-2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2428411.4592196327</v>
      </c>
      <c r="E42" s="39">
        <f>C42*K42</f>
        <v>2178940.7500140001</v>
      </c>
      <c r="F42" s="40" t="s">
        <v>39</v>
      </c>
      <c r="G42" s="41">
        <v>0.03</v>
      </c>
      <c r="H42" s="42">
        <v>3.4155999999999999E-2</v>
      </c>
      <c r="I42" s="42">
        <v>3.6764999999999999E-2</v>
      </c>
      <c r="J42" s="43">
        <f>I42/$J$5</f>
        <v>1.365809622521649E-3</v>
      </c>
      <c r="K42" s="44">
        <f>I42/$K$4</f>
        <v>1.2255E-3</v>
      </c>
      <c r="L42" s="45">
        <f>I42-H42</f>
        <v>2.6090000000000002E-3</v>
      </c>
      <c r="M42" s="45">
        <f>((I42-H42)/H42)*100</f>
        <v>7.63848225787563</v>
      </c>
      <c r="N42" s="46">
        <v>5100</v>
      </c>
      <c r="O42" s="37">
        <v>187.5</v>
      </c>
      <c r="P42" s="50">
        <f>(R42)/J42</f>
        <v>0</v>
      </c>
      <c r="Q42" s="48">
        <f>I42/G42-1</f>
        <v>0.22550000000000003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33844326.865687549</v>
      </c>
      <c r="E43" s="39">
        <f>C43*K43</f>
        <v>30367499.166775465</v>
      </c>
      <c r="F43" s="40" t="s">
        <v>47</v>
      </c>
      <c r="G43" s="41">
        <v>4.5</v>
      </c>
      <c r="H43" s="42">
        <v>5.2001919999999995</v>
      </c>
      <c r="I43" s="42">
        <v>5.2001919999999995</v>
      </c>
      <c r="J43" s="43">
        <f>I43/$J$5</f>
        <v>0.19318570032803206</v>
      </c>
      <c r="K43" s="44">
        <f>I43/$K$4</f>
        <v>0.17333973333333333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309.8315965094119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6.6869504162626637E-7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1502156.5415092448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2.6079106623424389E-3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46606965.660280623</v>
      </c>
      <c r="E46" s="39">
        <f>C46*K46</f>
        <v>41819032.078000002</v>
      </c>
      <c r="F46" s="40" t="s">
        <v>47</v>
      </c>
      <c r="G46" s="41">
        <v>0.9998999999999999</v>
      </c>
      <c r="H46" s="42">
        <v>0.65</v>
      </c>
      <c r="I46" s="42">
        <v>0.69</v>
      </c>
      <c r="J46" s="43">
        <f>I46/$J$5</f>
        <v>2.5633309929006875E-2</v>
      </c>
      <c r="K46" s="44">
        <f>I46/$K$4</f>
        <v>2.3E-2</v>
      </c>
      <c r="L46" s="45">
        <f>I46-H46</f>
        <v>3.9999999999999925E-2</v>
      </c>
      <c r="M46" s="45">
        <f>((I46-H46)/H46)*100</f>
        <v>6.1538461538461418</v>
      </c>
      <c r="N46" s="46">
        <v>300</v>
      </c>
      <c r="O46" s="37">
        <v>207</v>
      </c>
      <c r="P46" s="50">
        <f>(R46)/J46</f>
        <v>0</v>
      </c>
      <c r="Q46" s="48">
        <f>I46/G46-1</f>
        <v>-0.30993099309930994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4550272.1254471894</v>
      </c>
      <c r="E47" s="39">
        <f>C47*K47</f>
        <v>4082822.6699999995</v>
      </c>
      <c r="F47" s="40" t="s">
        <v>47</v>
      </c>
      <c r="G47" s="41">
        <v>1.4503460000000001</v>
      </c>
      <c r="H47" s="42">
        <v>1.19</v>
      </c>
      <c r="I47" s="42">
        <v>1.1924999999999999</v>
      </c>
      <c r="J47" s="43">
        <f>I47/$J$5</f>
        <v>4.4301046507740145E-2</v>
      </c>
      <c r="K47" s="44">
        <f>I47/$K$4</f>
        <v>3.9749999999999994E-2</v>
      </c>
      <c r="L47" s="45">
        <f>I47-H47</f>
        <v>2.4999999999999467E-3</v>
      </c>
      <c r="M47" s="45">
        <f>((I47-H47)/H47)*100</f>
        <v>0.21008403361344091</v>
      </c>
      <c r="N47" s="46">
        <v>100</v>
      </c>
      <c r="O47" s="37">
        <v>119.25</v>
      </c>
      <c r="P47" s="50">
        <v>0</v>
      </c>
      <c r="Q47" s="48">
        <f>I47/G47-1</f>
        <v>-0.1777824050261112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394500</v>
      </c>
      <c r="O48" s="59">
        <f>SUM(O9:O47)</f>
        <v>6220718.4099999992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77799827.18159999</v>
      </c>
      <c r="E51" s="39">
        <v>0</v>
      </c>
      <c r="F51" s="40" t="s">
        <v>92</v>
      </c>
      <c r="G51" s="67">
        <v>0.1</v>
      </c>
      <c r="H51" s="42">
        <v>0.13100000000000001</v>
      </c>
      <c r="I51" s="42">
        <v>0.14019999999999999</v>
      </c>
      <c r="J51" s="43">
        <f>I51</f>
        <v>0.14019999999999999</v>
      </c>
      <c r="K51" s="39">
        <v>0</v>
      </c>
      <c r="L51" s="45">
        <f>I51-H51</f>
        <v>9.199999999999986E-3</v>
      </c>
      <c r="M51" s="45">
        <f>((I51-H51)/H51)*100</f>
        <v>7.0229007633587681</v>
      </c>
      <c r="N51" s="46">
        <v>525</v>
      </c>
      <c r="O51" s="37">
        <v>73.61</v>
      </c>
      <c r="P51" s="68">
        <f>(R51)/J51</f>
        <v>0</v>
      </c>
      <c r="Q51" s="48">
        <f>J51/G51-1</f>
        <v>0.40199999999999991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49355283.997500002</v>
      </c>
      <c r="E52" s="39">
        <v>0</v>
      </c>
      <c r="F52" s="40" t="s">
        <v>39</v>
      </c>
      <c r="G52" s="67">
        <v>39.9</v>
      </c>
      <c r="H52" s="42">
        <v>58.158799999999999</v>
      </c>
      <c r="I52" s="42">
        <v>46.663499999999999</v>
      </c>
      <c r="J52" s="43">
        <f>I52</f>
        <v>46.663499999999999</v>
      </c>
      <c r="K52" s="39">
        <v>0</v>
      </c>
      <c r="L52" s="45">
        <f>I52-H52</f>
        <v>-11.4953</v>
      </c>
      <c r="M52" s="45">
        <f>((I52-H52)/H52)*100</f>
        <v>-19.765366548140609</v>
      </c>
      <c r="N52" s="46">
        <v>4356</v>
      </c>
      <c r="O52" s="37">
        <v>203266.15</v>
      </c>
      <c r="P52" s="70">
        <f>(R52)/J52</f>
        <v>1.2000814340973139E-2</v>
      </c>
      <c r="Q52" s="48">
        <f>J52/G52-1</f>
        <v>0.16951127819548883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791127950.87320006</v>
      </c>
      <c r="E53" s="39"/>
      <c r="F53" s="40" t="s">
        <v>56</v>
      </c>
      <c r="G53" s="67">
        <v>0.33</v>
      </c>
      <c r="H53" s="42">
        <v>0.26779999999999998</v>
      </c>
      <c r="I53" s="42">
        <v>0.26440000000000002</v>
      </c>
      <c r="J53" s="43">
        <f>I53</f>
        <v>0.26440000000000002</v>
      </c>
      <c r="K53" s="39">
        <v>0</v>
      </c>
      <c r="L53" s="45">
        <f>I53-H53</f>
        <v>-3.3999999999999586E-3</v>
      </c>
      <c r="M53" s="45">
        <f>((I53-H53)/H53)*100</f>
        <v>-1.269604182225526</v>
      </c>
      <c r="N53" s="46">
        <v>35790</v>
      </c>
      <c r="O53" s="37">
        <v>9463.93</v>
      </c>
      <c r="P53" s="68">
        <v>0</v>
      </c>
      <c r="Q53" s="48">
        <f>J53/G53-1</f>
        <v>-0.19878787878787874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27560290.623599999</v>
      </c>
      <c r="E54" s="39">
        <v>0</v>
      </c>
      <c r="F54" s="40" t="s">
        <v>34</v>
      </c>
      <c r="G54" s="67">
        <v>2.3E-2</v>
      </c>
      <c r="H54" s="42">
        <v>3.7999999999999999E-2</v>
      </c>
      <c r="I54" s="42">
        <v>4.5199999999999997E-2</v>
      </c>
      <c r="J54" s="43">
        <f>I54</f>
        <v>4.5199999999999997E-2</v>
      </c>
      <c r="K54" s="39">
        <v>0</v>
      </c>
      <c r="L54" s="45">
        <f>I54-H54</f>
        <v>7.1999999999999981E-3</v>
      </c>
      <c r="M54" s="45">
        <f>((I54-H54)/H54)*100</f>
        <v>18.947368421052627</v>
      </c>
      <c r="N54" s="46">
        <v>221610</v>
      </c>
      <c r="O54" s="37">
        <v>10025.620000000001</v>
      </c>
      <c r="P54" s="68">
        <f>(R54)/J54</f>
        <v>0</v>
      </c>
      <c r="Q54" s="48">
        <f>J54/G54-1</f>
        <v>0.9652173913043478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320822387.86360002</v>
      </c>
      <c r="E55" s="39">
        <v>0</v>
      </c>
      <c r="F55" s="40" t="s">
        <v>47</v>
      </c>
      <c r="G55" s="67">
        <v>9.0200000000000002E-2</v>
      </c>
      <c r="H55" s="42">
        <v>0.1275</v>
      </c>
      <c r="I55" s="42">
        <v>0.1484</v>
      </c>
      <c r="J55" s="43">
        <f>I55</f>
        <v>0.1484</v>
      </c>
      <c r="K55" s="39">
        <v>0</v>
      </c>
      <c r="L55" s="45">
        <f>I55-H55</f>
        <v>2.0900000000000002E-2</v>
      </c>
      <c r="M55" s="71">
        <f>((I55-H55)/H55)*100</f>
        <v>16.3921568627451</v>
      </c>
      <c r="N55" s="46">
        <v>1410350</v>
      </c>
      <c r="O55" s="37">
        <v>209314.75</v>
      </c>
      <c r="P55" s="68">
        <f>(R55)/J55</f>
        <v>0</v>
      </c>
      <c r="Q55" s="48">
        <f>J55/G55-1</f>
        <v>0.64523281596452331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748704385</v>
      </c>
      <c r="E56" s="39">
        <v>0</v>
      </c>
      <c r="F56" s="40" t="s">
        <v>34</v>
      </c>
      <c r="G56" s="67">
        <v>0.95750000000000002</v>
      </c>
      <c r="H56" s="42">
        <v>1.3029999999999999</v>
      </c>
      <c r="I56" s="42">
        <v>1.3</v>
      </c>
      <c r="J56" s="43">
        <f>I56</f>
        <v>1.3</v>
      </c>
      <c r="K56" s="39">
        <v>0</v>
      </c>
      <c r="L56" s="45">
        <f>I56-H56</f>
        <v>-2.9999999999998916E-3</v>
      </c>
      <c r="M56" s="45">
        <f>((I56-H56)/H56)*100</f>
        <v>-0.23023791250958492</v>
      </c>
      <c r="N56" s="46">
        <v>2696</v>
      </c>
      <c r="O56" s="37">
        <v>3504.8</v>
      </c>
      <c r="P56" s="70">
        <f>(R56)/J56</f>
        <v>3.6153846153846154E-2</v>
      </c>
      <c r="Q56" s="48">
        <f>J56/G56-1</f>
        <v>0.35770234986945182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24713337.410999998</v>
      </c>
      <c r="E57" s="39">
        <v>0</v>
      </c>
      <c r="F57" s="40" t="s">
        <v>34</v>
      </c>
      <c r="G57" s="67">
        <v>0.1595</v>
      </c>
      <c r="H57" s="42">
        <v>0.15049999999999999</v>
      </c>
      <c r="I57" s="42">
        <v>0.15049999999999999</v>
      </c>
      <c r="J57" s="43">
        <f>I57</f>
        <v>0.15049999999999999</v>
      </c>
      <c r="K57" s="39">
        <v>0</v>
      </c>
      <c r="L57" s="45">
        <f>I57-H57</f>
        <v>0</v>
      </c>
      <c r="M57" s="45">
        <f>((I57-H57)/H57)*100</f>
        <v>0</v>
      </c>
      <c r="N57" s="46">
        <v>25099</v>
      </c>
      <c r="O57" s="37">
        <v>3777.6</v>
      </c>
      <c r="P57" s="68">
        <f>(R57)/J57</f>
        <v>0</v>
      </c>
      <c r="Q57" s="48">
        <f>J57/G57-1</f>
        <v>-5.6426332288401326E-2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7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4837</v>
      </c>
      <c r="O58" s="37">
        <v>96.74</v>
      </c>
      <c r="P58" s="68">
        <f>(R58)/J58</f>
        <v>0</v>
      </c>
      <c r="Q58" s="48">
        <f>J58/G58-1</f>
        <v>0.19047619047619047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18</v>
      </c>
      <c r="I59" s="42">
        <v>18</v>
      </c>
      <c r="J59" s="43">
        <f>I59</f>
        <v>18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865794271.00539994</v>
      </c>
      <c r="E60" s="39">
        <v>0</v>
      </c>
      <c r="F60" s="40" t="s">
        <v>92</v>
      </c>
      <c r="G60" s="67">
        <v>0.59499999999999997</v>
      </c>
      <c r="H60" s="42">
        <v>1.1194</v>
      </c>
      <c r="I60" s="42">
        <v>1.0753999999999999</v>
      </c>
      <c r="J60" s="43">
        <f>I60</f>
        <v>1.0753999999999999</v>
      </c>
      <c r="K60" s="39">
        <v>0</v>
      </c>
      <c r="L60" s="45">
        <f>I60-H60</f>
        <v>-4.4000000000000039E-2</v>
      </c>
      <c r="M60" s="45">
        <f>((I60-H60)/H60)*100</f>
        <v>-3.9306771484723995</v>
      </c>
      <c r="N60" s="46">
        <v>82974</v>
      </c>
      <c r="O60" s="37">
        <v>89228.08</v>
      </c>
      <c r="P60" s="68">
        <f>(R60)/J60</f>
        <v>0</v>
      </c>
      <c r="Q60" s="48">
        <f>J60/G60-1</f>
        <v>0.80739495798319316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79517927.989999995</v>
      </c>
      <c r="E61" s="39">
        <v>0</v>
      </c>
      <c r="F61" s="40" t="s">
        <v>34</v>
      </c>
      <c r="G61" s="67">
        <v>0.22600000000000001</v>
      </c>
      <c r="H61" s="42">
        <v>0.31</v>
      </c>
      <c r="I61" s="42">
        <v>0.30499999999999999</v>
      </c>
      <c r="J61" s="43">
        <f>I61</f>
        <v>0.30499999999999999</v>
      </c>
      <c r="K61" s="39">
        <v>0</v>
      </c>
      <c r="L61" s="45">
        <f>I61-H61</f>
        <v>-5.0000000000000044E-3</v>
      </c>
      <c r="M61" s="45">
        <f>((I61-H61)/H61)*100</f>
        <v>-1.6129032258064528</v>
      </c>
      <c r="N61" s="46">
        <v>316</v>
      </c>
      <c r="O61" s="37">
        <v>96.36</v>
      </c>
      <c r="P61" s="68">
        <f>(R61)/J61</f>
        <v>0</v>
      </c>
      <c r="Q61" s="48">
        <f>J61/G61-1</f>
        <v>0.34955752212389379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376382715.56599998</v>
      </c>
      <c r="E62" s="39">
        <v>0</v>
      </c>
      <c r="F62" s="40" t="s">
        <v>34</v>
      </c>
      <c r="G62" s="67">
        <v>0.49440000000000001</v>
      </c>
      <c r="H62" s="42">
        <v>0.63560000000000005</v>
      </c>
      <c r="I62" s="42">
        <v>0.66949999999999998</v>
      </c>
      <c r="J62" s="43">
        <f>I62</f>
        <v>0.66949999999999998</v>
      </c>
      <c r="K62" s="39">
        <v>0</v>
      </c>
      <c r="L62" s="45">
        <f>I62-H62</f>
        <v>3.389999999999993E-2</v>
      </c>
      <c r="M62" s="45">
        <f>((I62-H62)/H62)*100</f>
        <v>5.3335431088734939</v>
      </c>
      <c r="N62" s="46">
        <v>161</v>
      </c>
      <c r="O62" s="37">
        <v>107.79</v>
      </c>
      <c r="P62" s="68">
        <f>(R62)/J62</f>
        <v>0</v>
      </c>
      <c r="Q62" s="48">
        <f>J62/G62-1</f>
        <v>0.35416666666666652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39626755.890000001</v>
      </c>
      <c r="E64" s="39">
        <v>0</v>
      </c>
      <c r="F64" s="40" t="s">
        <v>44</v>
      </c>
      <c r="G64" s="67">
        <v>4.2999999999999997E-2</v>
      </c>
      <c r="H64" s="42">
        <v>9.6000000000000002E-2</v>
      </c>
      <c r="I64" s="42">
        <v>0.115</v>
      </c>
      <c r="J64" s="43">
        <f>I64</f>
        <v>0.115</v>
      </c>
      <c r="K64" s="39">
        <v>0</v>
      </c>
      <c r="L64" s="45">
        <f>I64-H64</f>
        <v>1.9000000000000003E-2</v>
      </c>
      <c r="M64" s="45">
        <f>((I64-H64)/H64)*100</f>
        <v>19.791666666666668</v>
      </c>
      <c r="N64" s="46">
        <v>439</v>
      </c>
      <c r="O64" s="37">
        <v>50.48</v>
      </c>
      <c r="P64" s="68">
        <f>(R64)/J64</f>
        <v>0</v>
      </c>
      <c r="Q64" s="48">
        <f>J64/G64-1</f>
        <v>1.6744186046511631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1789153</v>
      </c>
      <c r="O65" s="59">
        <f>SUM(O51:O64)</f>
        <v>529005.90999999992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55720234.800000004</v>
      </c>
      <c r="E70" s="39">
        <f>C70*K70</f>
        <v>55720234.800000004</v>
      </c>
      <c r="F70" s="87" t="s">
        <v>156</v>
      </c>
      <c r="G70" s="87">
        <v>0.24</v>
      </c>
      <c r="H70" s="88">
        <v>0.42</v>
      </c>
      <c r="I70" s="88">
        <v>0.4</v>
      </c>
      <c r="J70" s="89">
        <f>I70</f>
        <v>0.4</v>
      </c>
      <c r="K70" s="89">
        <f>J70</f>
        <v>0.4</v>
      </c>
      <c r="L70" s="45">
        <f>I70-H70</f>
        <v>-1.9999999999999962E-2</v>
      </c>
      <c r="M70" s="45">
        <f>((I70-H70)/H70)*100</f>
        <v>-4.761904761904753</v>
      </c>
      <c r="N70" s="90">
        <v>14</v>
      </c>
      <c r="O70" s="91">
        <v>5.6</v>
      </c>
      <c r="P70" s="68">
        <f>(R70)/J70</f>
        <v>0</v>
      </c>
      <c r="Q70" s="48">
        <f>J70/G70-1</f>
        <v>0.66666666666666674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70561356.974999994</v>
      </c>
      <c r="E71" s="39">
        <f>C71*K71</f>
        <v>70561356.974999994</v>
      </c>
      <c r="F71" s="87" t="s">
        <v>156</v>
      </c>
      <c r="G71" s="87">
        <v>0.1</v>
      </c>
      <c r="H71" s="88">
        <v>0.15</v>
      </c>
      <c r="I71" s="88">
        <v>0.1497</v>
      </c>
      <c r="J71" s="89">
        <f>I71</f>
        <v>0.1497</v>
      </c>
      <c r="K71" s="89">
        <f>J71</f>
        <v>0.1497</v>
      </c>
      <c r="L71" s="45">
        <f>I71-H71</f>
        <v>-2.9999999999999472E-4</v>
      </c>
      <c r="M71" s="45">
        <f>((I71-H71)/H71)*100</f>
        <v>-0.19999999999999649</v>
      </c>
      <c r="N71" s="46">
        <v>4862</v>
      </c>
      <c r="O71" s="91">
        <v>727.8</v>
      </c>
      <c r="P71" s="92">
        <f>(R71)/J71</f>
        <v>2.533066132264529E-2</v>
      </c>
      <c r="Q71" s="48">
        <f>J71/G71-1</f>
        <v>0.49699999999999989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4876</v>
      </c>
      <c r="O72" s="59">
        <f>SUM(O70:O71)</f>
        <v>733.4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2977216.3849999998</v>
      </c>
      <c r="E74" s="39">
        <f>C74*K74</f>
        <v>2977216.3849999998</v>
      </c>
      <c r="F74" s="87" t="s">
        <v>138</v>
      </c>
      <c r="G74" s="87">
        <v>0.1394</v>
      </c>
      <c r="H74" s="88">
        <v>0.155</v>
      </c>
      <c r="I74" s="88">
        <v>0.14299999999999999</v>
      </c>
      <c r="J74" s="89">
        <f>I74</f>
        <v>0.14299999999999999</v>
      </c>
      <c r="K74" s="89">
        <f>J74</f>
        <v>0.14299999999999999</v>
      </c>
      <c r="L74" s="45">
        <f>I74-H74</f>
        <v>-1.2000000000000011E-2</v>
      </c>
      <c r="M74" s="45">
        <f>((I74-H74)/H74)*100</f>
        <v>-7.7419354838709751</v>
      </c>
      <c r="N74" s="90">
        <v>2860</v>
      </c>
      <c r="O74" s="91">
        <v>409.03</v>
      </c>
      <c r="P74" s="68">
        <f>(R74)/J74</f>
        <v>0</v>
      </c>
      <c r="Q74" s="48">
        <f>J74/G74-1</f>
        <v>2.582496413199431E-2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110632.17585193604</v>
      </c>
      <c r="E77" s="39">
        <f>C77*K77</f>
        <v>99266.932426666652</v>
      </c>
      <c r="F77" s="40" t="s">
        <v>138</v>
      </c>
      <c r="G77" s="67">
        <v>0.105</v>
      </c>
      <c r="H77" s="42">
        <v>6.5599999999999992E-2</v>
      </c>
      <c r="I77" s="42">
        <v>6.5599999999999992E-2</v>
      </c>
      <c r="J77" s="43">
        <f>I77/$J$5</f>
        <v>2.4370219294823927E-3</v>
      </c>
      <c r="K77" s="44">
        <f>I77/$K$4</f>
        <v>2.1866666666666662E-3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278211.04981406563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2.0432348494135917E-3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62</v>
      </c>
      <c r="O78" s="37">
        <v>3.72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1836747.0215208356</v>
      </c>
      <c r="E79" s="39">
        <f>C79*K79</f>
        <v>1648058</v>
      </c>
      <c r="F79" s="40" t="s">
        <v>138</v>
      </c>
      <c r="G79" s="67">
        <v>6.0499999999999998E-2</v>
      </c>
      <c r="H79" s="42">
        <v>0.1</v>
      </c>
      <c r="I79" s="42">
        <v>0.1</v>
      </c>
      <c r="J79" s="43">
        <f>I79/$J$5</f>
        <v>3.7149724534792576E-3</v>
      </c>
      <c r="K79" s="44">
        <f>I79/$K$4</f>
        <v>3.3333333333333335E-3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2369887.644373117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5.7582073028928496E-2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62</v>
      </c>
      <c r="O81" s="59">
        <f>SUM(O77:O80)</f>
        <v>3.72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27783775.171427406</v>
      </c>
      <c r="E83" s="39">
        <f>C83*K83</f>
        <v>24929547.948066667</v>
      </c>
      <c r="F83" s="40" t="s">
        <v>174</v>
      </c>
      <c r="G83" s="40">
        <v>1.3</v>
      </c>
      <c r="H83" s="42">
        <v>2</v>
      </c>
      <c r="I83" s="42">
        <v>2.0305</v>
      </c>
      <c r="J83" s="43">
        <f>I83/$J$5</f>
        <v>7.5432515667896327E-2</v>
      </c>
      <c r="K83" s="44">
        <f>I83/$K$4</f>
        <v>6.7683333333333331E-2</v>
      </c>
      <c r="L83" s="45">
        <f>I83-H83</f>
        <v>3.0499999999999972E-2</v>
      </c>
      <c r="M83" s="45">
        <f>((I83-H83)/H83*100)</f>
        <v>1.5249999999999986</v>
      </c>
      <c r="N83" s="50">
        <v>1000</v>
      </c>
      <c r="O83" s="37">
        <v>2030.5</v>
      </c>
      <c r="P83" s="50">
        <f>(R83)/J83</f>
        <v>0</v>
      </c>
      <c r="Q83" s="48">
        <f>I83/G83-1</f>
        <v>0.56192307692307675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76909450.990968898</v>
      </c>
      <c r="E84" s="39">
        <f>C84*K84</f>
        <v>69008543.090666652</v>
      </c>
      <c r="F84" s="40" t="s">
        <v>174</v>
      </c>
      <c r="G84" s="40">
        <v>1.44347</v>
      </c>
      <c r="H84" s="42">
        <v>1.149583</v>
      </c>
      <c r="I84" s="42">
        <v>1.1244639999999999</v>
      </c>
      <c r="J84" s="43">
        <f>I84/$J$5</f>
        <v>4.1773527849290996E-2</v>
      </c>
      <c r="K84" s="44">
        <f>I84/$K$4</f>
        <v>3.7482133333333327E-2</v>
      </c>
      <c r="L84" s="45">
        <f>I84-H84</f>
        <v>-2.5119000000000113E-2</v>
      </c>
      <c r="M84" s="45">
        <f>((I84-H84)/H84*100)</f>
        <v>-2.1850531888519673</v>
      </c>
      <c r="N84" s="50">
        <v>18695</v>
      </c>
      <c r="O84" s="37">
        <v>21043.5</v>
      </c>
      <c r="P84" s="47">
        <f>(R84)/J84</f>
        <v>5.209040538425419E-2</v>
      </c>
      <c r="Q84" s="48">
        <f>I84/G84-1</f>
        <v>-0.22099939728570739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19695</v>
      </c>
      <c r="O85" s="59">
        <f>SUM(O83:O84)</f>
        <v>23074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45</v>
      </c>
      <c r="B88" s="110">
        <v>17.5</v>
      </c>
      <c r="D88" s="110">
        <v>9.0342679127725809</v>
      </c>
      <c r="E88" s="35" t="s">
        <v>50</v>
      </c>
      <c r="F88" s="111">
        <v>2.363</v>
      </c>
      <c r="H88" s="112">
        <v>-14.999999999999995</v>
      </c>
      <c r="L88" s="35" t="s">
        <v>147</v>
      </c>
      <c r="M88" s="50">
        <v>0.115</v>
      </c>
      <c r="N88" s="113">
        <v>19.791666666666668</v>
      </c>
      <c r="O88" s="35" t="s">
        <v>122</v>
      </c>
      <c r="P88" s="111">
        <v>46.663499999999999</v>
      </c>
      <c r="Q88" s="114">
        <v>-19.765366548140609</v>
      </c>
    </row>
    <row r="89" spans="1:243" x14ac:dyDescent="0.25">
      <c r="A89" s="35" t="s">
        <v>107</v>
      </c>
      <c r="B89" s="110">
        <v>3.6764999999999999E-2</v>
      </c>
      <c r="D89" s="110">
        <v>7.63848225787563</v>
      </c>
      <c r="E89" s="35" t="s">
        <v>74</v>
      </c>
      <c r="F89" s="111">
        <v>3</v>
      </c>
      <c r="H89" s="112">
        <v>-12.536443148688051</v>
      </c>
      <c r="L89" s="35" t="s">
        <v>126</v>
      </c>
      <c r="M89" s="50">
        <v>4.5199999999999997E-2</v>
      </c>
      <c r="N89" s="113">
        <v>18.947368421052627</v>
      </c>
      <c r="O89" s="35" t="s">
        <v>139</v>
      </c>
      <c r="P89" s="111">
        <v>1.0753999999999999</v>
      </c>
      <c r="Q89" s="114">
        <v>-3.9306771484723995</v>
      </c>
    </row>
    <row r="90" spans="1:243" x14ac:dyDescent="0.25">
      <c r="A90" s="35" t="s">
        <v>115</v>
      </c>
      <c r="B90" s="110">
        <v>0.69</v>
      </c>
      <c r="C90" s="110"/>
      <c r="D90" s="110">
        <v>6.1538461538461418</v>
      </c>
      <c r="E90" s="35" t="s">
        <v>78</v>
      </c>
      <c r="F90" s="111">
        <v>0.86</v>
      </c>
      <c r="H90" s="112">
        <v>-11.568123393316201</v>
      </c>
      <c r="L90" s="35" t="s">
        <v>128</v>
      </c>
      <c r="M90" s="50">
        <v>0.1484</v>
      </c>
      <c r="N90" s="113">
        <v>16.3921568627451</v>
      </c>
      <c r="O90" s="35" t="s">
        <v>141</v>
      </c>
      <c r="P90" s="111">
        <v>0.30499999999999999</v>
      </c>
      <c r="Q90" s="114">
        <v>-1.6129032258064528</v>
      </c>
    </row>
    <row r="91" spans="1:243" x14ac:dyDescent="0.25">
      <c r="A91" s="35" t="s">
        <v>97</v>
      </c>
      <c r="B91" s="110">
        <v>5.9762789999999999</v>
      </c>
      <c r="C91" s="110"/>
      <c r="D91" s="110">
        <v>5.8393647384352434</v>
      </c>
      <c r="E91" s="35" t="s">
        <v>64</v>
      </c>
      <c r="F91" s="111">
        <v>1.0507689999999998</v>
      </c>
      <c r="G91" s="111"/>
      <c r="H91" s="112">
        <v>-8.6287826086956585</v>
      </c>
      <c r="L91" s="35" t="s">
        <v>120</v>
      </c>
      <c r="M91" s="50">
        <v>0.14019999999999999</v>
      </c>
      <c r="N91" s="113">
        <v>7.0229007633587681</v>
      </c>
      <c r="O91" s="35" t="s">
        <v>124</v>
      </c>
      <c r="P91" s="111">
        <v>0.26440000000000002</v>
      </c>
      <c r="Q91" s="114">
        <v>-1.269604182225526</v>
      </c>
    </row>
    <row r="92" spans="1:243" x14ac:dyDescent="0.25">
      <c r="A92" s="35" t="s">
        <v>62</v>
      </c>
      <c r="B92" s="110">
        <v>1.655667</v>
      </c>
      <c r="C92" s="110"/>
      <c r="D92" s="110">
        <v>3.4791874999999943</v>
      </c>
      <c r="E92" s="35" t="s">
        <v>67</v>
      </c>
      <c r="F92" s="111">
        <v>0.11</v>
      </c>
      <c r="G92" s="111"/>
      <c r="H92" s="112">
        <v>-7.9497907949790756</v>
      </c>
      <c r="L92" s="35" t="s">
        <v>143</v>
      </c>
      <c r="M92" s="50">
        <v>0.66949999999999998</v>
      </c>
      <c r="N92" s="113">
        <v>5.3335431088734939</v>
      </c>
      <c r="O92" s="35" t="s">
        <v>130</v>
      </c>
      <c r="P92" s="111">
        <v>1.3</v>
      </c>
      <c r="Q92" s="114">
        <v>-0.23023791250958492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C9+vi5dwpRwQr4j4ZZ7aL2cf9LvutwD0DyyNFU8bwvMH0kYqij81kGctz9mQO0V/NbnjxfM68xY4MXZdQ4fEXA==" saltValue="Zx/gEzcDMz/rbuN2/a5j6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2026-05-29T13:45:24Z</dcterms:created>
  <dcterms:modified xsi:type="dcterms:W3CDTF">2026-05-29T13:51:13Z</dcterms:modified>
</cp:coreProperties>
</file>