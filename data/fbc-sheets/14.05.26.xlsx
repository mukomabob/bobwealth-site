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4.05.26/"/>
    </mc:Choice>
  </mc:AlternateContent>
  <xr:revisionPtr revIDLastSave="0" documentId="8_{1771092A-96BE-40ED-9715-3842C1ABA6EA}" xr6:coauthVersionLast="47" xr6:coauthVersionMax="47" xr10:uidLastSave="{00000000-0000-0000-0000-000000000000}"/>
  <bookViews>
    <workbookView xWindow="-108" yWindow="-108" windowWidth="23256" windowHeight="12456" xr2:uid="{245BAEFC-6075-4A27-A1EF-81C1F71BCB8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I84" i="1"/>
  <c r="L84" i="1" s="1"/>
  <c r="N85" i="1"/>
  <c r="Q84" i="1"/>
  <c r="M84" i="1"/>
  <c r="Q83" i="1"/>
  <c r="M83" i="1"/>
  <c r="L83" i="1"/>
  <c r="K83" i="1"/>
  <c r="E83" i="1" s="1"/>
  <c r="J83" i="1"/>
  <c r="P83" i="1" s="1"/>
  <c r="D83" i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D78" i="1" s="1"/>
  <c r="E78" i="1"/>
  <c r="Q77" i="1"/>
  <c r="M77" i="1"/>
  <c r="L77" i="1"/>
  <c r="K77" i="1"/>
  <c r="E77" i="1" s="1"/>
  <c r="J77" i="1"/>
  <c r="D77" i="1" s="1"/>
  <c r="M74" i="1"/>
  <c r="L74" i="1"/>
  <c r="J74" i="1"/>
  <c r="Q74" i="1" s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Q11" i="1"/>
  <c r="M11" i="1"/>
  <c r="L11" i="1"/>
  <c r="K11" i="1"/>
  <c r="J11" i="1"/>
  <c r="P11" i="1" s="1"/>
  <c r="E11" i="1"/>
  <c r="Q10" i="1"/>
  <c r="M10" i="1"/>
  <c r="L10" i="1"/>
  <c r="K10" i="1"/>
  <c r="E10" i="1" s="1"/>
  <c r="J10" i="1"/>
  <c r="P10" i="1" s="1"/>
  <c r="Q9" i="1"/>
  <c r="M9" i="1"/>
  <c r="L9" i="1"/>
  <c r="K9" i="1"/>
  <c r="J9" i="1"/>
  <c r="P9" i="1" s="1"/>
  <c r="E9" i="1"/>
  <c r="D9" i="1"/>
  <c r="D51" i="1" l="1"/>
  <c r="D42" i="1"/>
  <c r="D71" i="1"/>
  <c r="D19" i="1"/>
  <c r="D28" i="1"/>
  <c r="D21" i="1"/>
  <c r="P33" i="1"/>
  <c r="D46" i="1"/>
  <c r="D10" i="1"/>
  <c r="D27" i="1"/>
  <c r="P44" i="1"/>
  <c r="D43" i="1"/>
  <c r="D45" i="1"/>
  <c r="P16" i="1"/>
  <c r="D12" i="1"/>
  <c r="D25" i="1"/>
  <c r="D40" i="1"/>
  <c r="P41" i="1"/>
  <c r="D17" i="1"/>
  <c r="D52" i="1"/>
  <c r="P24" i="1"/>
  <c r="D11" i="1"/>
  <c r="D22" i="1"/>
  <c r="D37" i="1"/>
  <c r="D39" i="1"/>
  <c r="D53" i="1"/>
  <c r="J84" i="1"/>
  <c r="P84" i="1" s="1"/>
  <c r="K84" i="1"/>
  <c r="E84" i="1" s="1"/>
  <c r="D84" i="1"/>
  <c r="P20" i="1"/>
  <c r="P23" i="1"/>
  <c r="P26" i="1"/>
  <c r="P29" i="1"/>
  <c r="P32" i="1"/>
  <c r="P35" i="1"/>
  <c r="P52" i="1"/>
  <c r="Q54" i="1"/>
  <c r="Q56" i="1"/>
  <c r="Q58" i="1"/>
  <c r="Q60" i="1"/>
  <c r="Q62" i="1"/>
  <c r="Q64" i="1"/>
  <c r="P70" i="1"/>
  <c r="D55" i="1"/>
  <c r="D57" i="1"/>
  <c r="D59" i="1"/>
  <c r="D61" i="1"/>
  <c r="D63" i="1"/>
  <c r="Q70" i="1"/>
  <c r="P60" i="1"/>
  <c r="K74" i="1"/>
  <c r="E74" i="1" s="1"/>
  <c r="K70" i="1"/>
  <c r="E70" i="1" s="1"/>
  <c r="P54" i="1"/>
  <c r="P56" i="1"/>
  <c r="P58" i="1"/>
  <c r="P62" i="1"/>
  <c r="P55" i="1"/>
  <c r="P57" i="1"/>
  <c r="P59" i="1"/>
  <c r="P61" i="1"/>
  <c r="P63" i="1"/>
  <c r="P51" i="1"/>
  <c r="P74" i="1"/>
  <c r="P64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<sst xmlns="http://schemas.openxmlformats.org/spreadsheetml/2006/main" count="266" uniqueCount="182">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</sst>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EC48A447-71D6-4EC2-8442-41134A98B7D8}"/>
    <cellStyle name="Comma 5 2 2 2 2 2 2 2 2" xfId="4" xr:uid="{8A090D68-C9D7-46C1-A6A9-FFF5456390C5}"/>
    <cellStyle name="Comma 6 2 2 2" xfId="5" xr:uid="{C1165E3E-7A81-4EFE-8A14-6ADD9F136642}"/>
    <cellStyle name="Hyperlink 2" xfId="8" xr:uid="{BEC4CF18-C9BE-4828-BB59-B9419A818E09}"/>
    <cellStyle name="Normal" xfId="0" builtinId="0"/>
    <cellStyle name="Normal 2" xfId="2" xr:uid="{B048BD3E-62E8-42D6-AB3A-98672A0A21AD}"/>
    <cellStyle name="Normal 20" xfId="7" xr:uid="{7729BE13-067A-48F5-B519-934F28065C10}"/>
    <cellStyle name="Percent" xfId="1" builtinId="5"/>
    <cellStyle name="Percent 3" xfId="6" xr:uid="{A106CC1B-0600-4ABD-AE11-7BA921A7CD6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EA4C087-0C85-4065-95BB-C49E14F63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1175658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8FBE346-ED91-4A73-9E26-120A204F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5991499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EE04-AA48-426A-BA79-B38286AE3C9F}">
  <dimension ref="A1:II106"/>
  <sheetViews>
    <sheetView tabSelected="1" zoomScale="70" zoomScaleNormal="70" workbookViewId="0">
      <selection activeCell="T56" sqref="T5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25.835100000000001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76292305.127520308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0.61157107965519775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2.4526993670886076E-2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4314928.0729511399</v>
      </c>
      <c r="E10" s="39">
        <f>C10*K10</f>
        <v>3715886.6085833325</v>
      </c>
      <c r="F10" s="40" t="s">
        <v>34</v>
      </c>
      <c r="G10" s="41">
        <v>3.1600000000000003E-2</v>
      </c>
      <c r="H10" s="42">
        <v>6.8499999999999991E-2</v>
      </c>
      <c r="I10" s="42">
        <v>6.8499999999999991E-2</v>
      </c>
      <c r="J10" s="43">
        <f>I10/$J$5</f>
        <v>2.6514315795177876E-3</v>
      </c>
      <c r="K10" s="44">
        <f>I10/$K$4</f>
        <v>2.283333333333333E-3</v>
      </c>
      <c r="L10" s="45">
        <f>I10-H10</f>
        <v>0</v>
      </c>
      <c r="M10" s="45">
        <f>((I10-H10)/H10)*100</f>
        <v>0</v>
      </c>
      <c r="N10" s="46">
        <v>900</v>
      </c>
      <c r="O10" s="37">
        <v>61.65</v>
      </c>
      <c r="P10" s="50">
        <f>(R10)/J10</f>
        <v>0</v>
      </c>
      <c r="Q10" s="48">
        <f>I10/G10-1</f>
        <v>1.1677215189873413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3300058.5088663483</v>
      </c>
      <c r="E11" s="39">
        <f>C11*K11</f>
        <v>2841911.3860804336</v>
      </c>
      <c r="F11" s="40" t="s">
        <v>39</v>
      </c>
      <c r="G11" s="41">
        <v>7.8E-2</v>
      </c>
      <c r="H11" s="42">
        <v>0.195107</v>
      </c>
      <c r="I11" s="42">
        <v>0.195107</v>
      </c>
      <c r="J11" s="43">
        <f>I11/$J$5</f>
        <v>7.5520125720434598E-3</v>
      </c>
      <c r="K11" s="44">
        <f>I11/$K$4</f>
        <v>6.5035666666666669E-3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1.5013717948717948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115798986.26482578</v>
      </c>
      <c r="E12" s="39">
        <f>C12*K12</f>
        <v>99722613.001680017</v>
      </c>
      <c r="F12" s="40" t="s">
        <v>34</v>
      </c>
      <c r="G12" s="41">
        <v>97.381</v>
      </c>
      <c r="H12" s="42">
        <v>145</v>
      </c>
      <c r="I12" s="42">
        <v>144.99120000000002</v>
      </c>
      <c r="J12" s="43">
        <f>I12/$J$5</f>
        <v>5.6121787800318179</v>
      </c>
      <c r="K12" s="44">
        <f>I12/$K$4</f>
        <v>4.8330400000000004</v>
      </c>
      <c r="L12" s="45">
        <f>I12-H12</f>
        <v>-8.7999999999794909E-3</v>
      </c>
      <c r="M12" s="45">
        <f>((I12-H12)/H12)*100</f>
        <v>-6.068965517227235E-3</v>
      </c>
      <c r="N12" s="46">
        <v>11300</v>
      </c>
      <c r="O12" s="37">
        <v>1638400</v>
      </c>
      <c r="P12" s="50">
        <f>(R12)/J12</f>
        <v>0</v>
      </c>
      <c r="Q12" s="48">
        <f>I12/G12-1</f>
        <v>0.48890646019244022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4395769.2870552074</v>
      </c>
      <c r="E13" s="39">
        <f>C13*K13</f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>I13/$J$5</f>
        <v>0.50323010168336868</v>
      </c>
      <c r="K13" s="44">
        <f>I13/$K$4</f>
        <v>0.43336666666666662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323690771.08275175</v>
      </c>
      <c r="E14" s="39">
        <f>C14*K14</f>
        <v>278752781.33333331</v>
      </c>
      <c r="F14" s="40" t="s">
        <v>47</v>
      </c>
      <c r="G14" s="41">
        <v>11.5</v>
      </c>
      <c r="H14" s="42">
        <v>15.478599999999998</v>
      </c>
      <c r="I14" s="42">
        <v>16</v>
      </c>
      <c r="J14" s="43">
        <f>I14/$J$5</f>
        <v>0.61931248572678255</v>
      </c>
      <c r="K14" s="44">
        <f>I14/$K$4</f>
        <v>0.53333333333333333</v>
      </c>
      <c r="L14" s="45">
        <f>I14-H14</f>
        <v>0.52140000000000164</v>
      </c>
      <c r="M14" s="45">
        <f>((I14-H14)/H14)*100</f>
        <v>3.3685217009290356</v>
      </c>
      <c r="N14" s="46">
        <v>301800</v>
      </c>
      <c r="O14" s="37">
        <v>4828800</v>
      </c>
      <c r="P14" s="50">
        <f>(R14)/J14</f>
        <v>0</v>
      </c>
      <c r="Q14" s="48">
        <f>I14/G14-1</f>
        <v>0.39130434782608692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24627164.206834886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0.23224218214754344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37448948.087872699</v>
      </c>
      <c r="E16" s="39">
        <f>C16*K16</f>
        <v>32249910.624833334</v>
      </c>
      <c r="F16" s="40" t="s">
        <v>34</v>
      </c>
      <c r="G16" s="41">
        <v>1.9</v>
      </c>
      <c r="H16" s="42">
        <v>2.41</v>
      </c>
      <c r="I16" s="42">
        <v>2.7025000000000001</v>
      </c>
      <c r="J16" s="43">
        <f>I16/$J$5</f>
        <v>0.10460574954228936</v>
      </c>
      <c r="K16" s="44">
        <f>I16/$K$4</f>
        <v>9.0083333333333335E-2</v>
      </c>
      <c r="L16" s="45">
        <f>I16-H16</f>
        <v>0.29249999999999998</v>
      </c>
      <c r="M16" s="45">
        <f>((I16-H16)/H16)*100</f>
        <v>12.136929460580911</v>
      </c>
      <c r="N16" s="46">
        <v>100</v>
      </c>
      <c r="O16" s="37">
        <v>270.25</v>
      </c>
      <c r="P16" s="50">
        <f>(R16)/J16</f>
        <v>0</v>
      </c>
      <c r="Q16" s="48">
        <f>I16/G16-1</f>
        <v>0.42236842105263173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1524261612.3810048</v>
      </c>
      <c r="E17" s="39">
        <f>C17*K17</f>
        <v>1312648372.7341499</v>
      </c>
      <c r="F17" s="40" t="s">
        <v>34</v>
      </c>
      <c r="G17" s="41">
        <v>20.701700000000002</v>
      </c>
      <c r="H17" s="42">
        <v>28.105500000000003</v>
      </c>
      <c r="I17" s="42">
        <v>29.3523</v>
      </c>
      <c r="J17" s="43">
        <f>I17/$J$5</f>
        <v>1.13614036717489</v>
      </c>
      <c r="K17" s="44">
        <f>I17/$K$4</f>
        <v>0.97841</v>
      </c>
      <c r="L17" s="45">
        <f>I17-H17</f>
        <v>1.2467999999999968</v>
      </c>
      <c r="M17" s="45">
        <f>((I17-H17)/H17)*100</f>
        <v>4.4361423920584819</v>
      </c>
      <c r="N17" s="46">
        <v>44700</v>
      </c>
      <c r="O17" s="37">
        <v>1312048.8999999999</v>
      </c>
      <c r="P17" s="47">
        <f>(R17)/J17</f>
        <v>4.4008646681861392E-2</v>
      </c>
      <c r="Q17" s="48">
        <f>I17/G17-1</f>
        <v>0.41786906389330336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298275948.52850187</v>
      </c>
      <c r="E19" s="39">
        <f>C19*K19</f>
        <v>256866298.59428999</v>
      </c>
      <c r="F19" s="40" t="s">
        <v>47</v>
      </c>
      <c r="G19" s="41">
        <v>12.45</v>
      </c>
      <c r="H19" s="42">
        <v>11.4681</v>
      </c>
      <c r="I19" s="42">
        <v>11.4681</v>
      </c>
      <c r="J19" s="43">
        <f>I19/$J$5</f>
        <v>0.44389609484770715</v>
      </c>
      <c r="K19" s="44">
        <f>I19/$K$4</f>
        <v>0.38227</v>
      </c>
      <c r="L19" s="45">
        <f>I19-H19</f>
        <v>0</v>
      </c>
      <c r="M19" s="45">
        <f>((I19-H19)/H19)*100</f>
        <v>0</v>
      </c>
      <c r="N19" s="46">
        <v>0</v>
      </c>
      <c r="O19" s="37">
        <v>0</v>
      </c>
      <c r="P19" s="50">
        <f>(R19)/J19</f>
        <v>0</v>
      </c>
      <c r="Q19" s="48">
        <f>I19/G19-1</f>
        <v>-7.8867469879518093E-2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2439066.9997903239</v>
      </c>
      <c r="E20" s="39">
        <f>C20*K20</f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>I20/$J$5</f>
        <v>2.2392520253453636E-2</v>
      </c>
      <c r="K20" s="44">
        <f>I20/$K$4</f>
        <v>1.9283766666666667E-2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53426776.749461003</v>
      </c>
      <c r="E21" s="39">
        <f>C21*K21</f>
        <v>46009537.333333336</v>
      </c>
      <c r="F21" s="40" t="s">
        <v>47</v>
      </c>
      <c r="G21" s="41">
        <v>2.85</v>
      </c>
      <c r="H21" s="42">
        <v>2.3497499999999998</v>
      </c>
      <c r="I21" s="42">
        <v>2</v>
      </c>
      <c r="J21" s="43">
        <f>I21/$J$5</f>
        <v>7.7414060715847818E-2</v>
      </c>
      <c r="K21" s="44">
        <f>I21/$K$4</f>
        <v>6.6666666666666666E-2</v>
      </c>
      <c r="L21" s="45">
        <f>I21-H21</f>
        <v>-0.34974999999999978</v>
      </c>
      <c r="M21" s="45">
        <f>((I21-H21)/H21)*100</f>
        <v>-14.884562187466743</v>
      </c>
      <c r="N21" s="46">
        <v>300</v>
      </c>
      <c r="O21" s="37">
        <v>600</v>
      </c>
      <c r="P21" s="50">
        <f>(R21)/J21</f>
        <v>0</v>
      </c>
      <c r="Q21" s="48">
        <f>I21/G21-1</f>
        <v>-0.29824561403508776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50237052.213848606</v>
      </c>
      <c r="E22" s="39">
        <f>C22*K22</f>
        <v>43262642.255000003</v>
      </c>
      <c r="F22" s="40" t="s">
        <v>66</v>
      </c>
      <c r="G22" s="41">
        <v>0.88420599999999994</v>
      </c>
      <c r="H22" s="42">
        <v>1.052217</v>
      </c>
      <c r="I22" s="42">
        <v>1.05</v>
      </c>
      <c r="J22" s="43">
        <f>I22/$J$5</f>
        <v>4.0642381875820109E-2</v>
      </c>
      <c r="K22" s="44">
        <f>I22/$K$4</f>
        <v>3.5000000000000003E-2</v>
      </c>
      <c r="L22" s="45">
        <f>I22-H22</f>
        <v>-2.2169999999999135E-3</v>
      </c>
      <c r="M22" s="45">
        <f>((I22-H22)/H22)*100</f>
        <v>-0.21069798340075416</v>
      </c>
      <c r="N22" s="46">
        <v>400</v>
      </c>
      <c r="O22" s="37">
        <v>420</v>
      </c>
      <c r="P22" s="50">
        <f>(R22)/J22</f>
        <v>0</v>
      </c>
      <c r="Q22" s="48">
        <f>I22/G22-1</f>
        <v>0.18750607890016591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2492370.2544213105</v>
      </c>
      <c r="E23" s="39">
        <f>C23*K23</f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>I23/$J$5</f>
        <v>4.6448436429508688E-3</v>
      </c>
      <c r="K23" s="44">
        <f>I23/$K$4</f>
        <v>4.0000000000000001E-3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71649314.644030795</v>
      </c>
      <c r="E24" s="39">
        <f>C24*K24</f>
        <v>61702240.291999996</v>
      </c>
      <c r="F24" s="40" t="s">
        <v>34</v>
      </c>
      <c r="G24" s="41">
        <v>8.1687659999999997</v>
      </c>
      <c r="H24" s="42">
        <v>9.59</v>
      </c>
      <c r="I24" s="42">
        <v>9.59</v>
      </c>
      <c r="J24" s="43">
        <f>I24/$J$5</f>
        <v>0.3712004211324903</v>
      </c>
      <c r="K24" s="44">
        <f>I24/$K$4</f>
        <v>0.31966666666666665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0.17398392853951261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84591168.280943364</v>
      </c>
      <c r="E25" s="39">
        <f>C25*K25</f>
        <v>72847376.388500005</v>
      </c>
      <c r="F25" s="40" t="s">
        <v>66</v>
      </c>
      <c r="G25" s="41">
        <v>1.6675</v>
      </c>
      <c r="H25" s="42">
        <v>1.3</v>
      </c>
      <c r="I25" s="42">
        <v>1.2949999999999999</v>
      </c>
      <c r="J25" s="43">
        <f>I25/$J$5</f>
        <v>5.0125604313511457E-2</v>
      </c>
      <c r="K25" s="44">
        <f>I25/$K$4</f>
        <v>4.3166666666666666E-2</v>
      </c>
      <c r="L25" s="45">
        <f>I25-H25</f>
        <v>-5.0000000000001155E-3</v>
      </c>
      <c r="M25" s="45">
        <f>((I25-H25)/H25)*100</f>
        <v>-0.38461538461539346</v>
      </c>
      <c r="N25" s="46">
        <v>300</v>
      </c>
      <c r="O25" s="37">
        <v>388.5</v>
      </c>
      <c r="P25" s="50">
        <f>(R25)/J25</f>
        <v>0</v>
      </c>
      <c r="Q25" s="48">
        <f>I25/G25-1</f>
        <v>-0.22338830584707647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32338349.510162532</v>
      </c>
      <c r="E26" s="39">
        <f>C26*K26</f>
        <v>27848816.447666667</v>
      </c>
      <c r="F26" s="40" t="s">
        <v>44</v>
      </c>
      <c r="G26" s="41">
        <v>1.7994999999999999</v>
      </c>
      <c r="H26" s="42">
        <v>3.49</v>
      </c>
      <c r="I26" s="42">
        <v>3.49</v>
      </c>
      <c r="J26" s="43">
        <f>I26/$J$5</f>
        <v>0.13508753594915446</v>
      </c>
      <c r="K26" s="44">
        <f>I26/$K$4</f>
        <v>0.11633333333333334</v>
      </c>
      <c r="L26" s="45">
        <f>I26-H26</f>
        <v>0</v>
      </c>
      <c r="M26" s="45">
        <f>((I26-H26)/H26)*100</f>
        <v>0</v>
      </c>
      <c r="N26" s="46">
        <v>700</v>
      </c>
      <c r="O26" s="37">
        <v>2443</v>
      </c>
      <c r="P26" s="50">
        <f>(R26)/J26</f>
        <v>0</v>
      </c>
      <c r="Q26" s="48">
        <f>I26/G26-1</f>
        <v>0.93942761878299552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29744503.524275113</v>
      </c>
      <c r="E27" s="39">
        <f>C27*K27</f>
        <v>25615074.100000001</v>
      </c>
      <c r="F27" s="40" t="s">
        <v>34</v>
      </c>
      <c r="G27" s="41">
        <v>3.1361369999999997</v>
      </c>
      <c r="H27" s="42">
        <v>3.1288029999999996</v>
      </c>
      <c r="I27" s="42">
        <v>3</v>
      </c>
      <c r="J27" s="43">
        <f>I27/$J$5</f>
        <v>0.11612109107377172</v>
      </c>
      <c r="K27" s="44">
        <f>I27/$K$4</f>
        <v>0.1</v>
      </c>
      <c r="L27" s="45">
        <f>I27-H27</f>
        <v>-0.12880299999999956</v>
      </c>
      <c r="M27" s="45">
        <f>((I27-H27)/H27)*100</f>
        <v>-4.1166861576136169</v>
      </c>
      <c r="N27" s="46">
        <v>4900</v>
      </c>
      <c r="O27" s="37">
        <v>14700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24949306.569473311</v>
      </c>
      <c r="E28" s="39">
        <f>C28*K28</f>
        <v>21485594.338433333</v>
      </c>
      <c r="F28" s="40" t="s">
        <v>44</v>
      </c>
      <c r="G28" s="41">
        <v>0.8</v>
      </c>
      <c r="H28" s="42">
        <v>0.85299999999999998</v>
      </c>
      <c r="I28" s="42">
        <v>0.85299999999999998</v>
      </c>
      <c r="J28" s="43">
        <f>I28/$J$5</f>
        <v>3.3017096895309093E-2</v>
      </c>
      <c r="K28" s="44">
        <f>I28/$K$4</f>
        <v>2.8433333333333331E-2</v>
      </c>
      <c r="L28" s="45">
        <f>I28-H28</f>
        <v>0</v>
      </c>
      <c r="M28" s="45">
        <f>((I28-H28)/H28)*100</f>
        <v>0</v>
      </c>
      <c r="N28" s="46">
        <v>5000</v>
      </c>
      <c r="O28" s="37">
        <v>4265</v>
      </c>
      <c r="P28" s="50">
        <f>(R28)/J28</f>
        <v>0</v>
      </c>
      <c r="Q28" s="48">
        <f>I28/G28-1</f>
        <v>6.624999999999992E-2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81358108.489787146</v>
      </c>
      <c r="E29" s="39">
        <f>C29*K29</f>
        <v>70063162.288149998</v>
      </c>
      <c r="F29" s="40" t="s">
        <v>47</v>
      </c>
      <c r="G29" s="41">
        <v>5.15</v>
      </c>
      <c r="H29" s="42">
        <v>5.2004999999999999</v>
      </c>
      <c r="I29" s="42">
        <v>5.2004999999999999</v>
      </c>
      <c r="J29" s="43">
        <f>I29/$J$5</f>
        <v>0.20129591137638328</v>
      </c>
      <c r="K29" s="44">
        <f>I29/$K$4</f>
        <v>0.17335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9.8058252427184467E-3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14333578.532693895</v>
      </c>
      <c r="E32" s="39">
        <f>C32*K32</f>
        <v>12343647.824999999</v>
      </c>
      <c r="F32" s="40" t="s">
        <v>39</v>
      </c>
      <c r="G32" s="41">
        <v>1.4</v>
      </c>
      <c r="H32" s="42">
        <v>1.425</v>
      </c>
      <c r="I32" s="42">
        <v>1.425</v>
      </c>
      <c r="J32" s="43">
        <f>I32/$J$5</f>
        <v>5.5157518260041574E-2</v>
      </c>
      <c r="K32" s="44">
        <f>I32/$K$4</f>
        <v>4.7500000000000001E-2</v>
      </c>
      <c r="L32" s="45">
        <f>I32-H32</f>
        <v>0</v>
      </c>
      <c r="M32" s="45">
        <f>((I32-H32)/H32)*100</f>
        <v>0</v>
      </c>
      <c r="N32" s="46">
        <v>1000</v>
      </c>
      <c r="O32" s="37">
        <v>1425</v>
      </c>
      <c r="P32" s="50">
        <f>(R32)/J32</f>
        <v>0</v>
      </c>
      <c r="Q32" s="48">
        <f>I32/G32-1</f>
        <v>1.7857142857143016E-2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3542548.7998885233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2.903027276844293E-2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167106273.61186913</v>
      </c>
      <c r="E34" s="39">
        <f>C34*K34</f>
        <v>143906909.64633334</v>
      </c>
      <c r="F34" s="40" t="s">
        <v>92</v>
      </c>
      <c r="G34" s="41">
        <v>1.44</v>
      </c>
      <c r="H34" s="42">
        <v>1.74</v>
      </c>
      <c r="I34" s="42">
        <v>1.73</v>
      </c>
      <c r="J34" s="43">
        <f>I34/$J$5</f>
        <v>6.6963162519208363E-2</v>
      </c>
      <c r="K34" s="44">
        <f>I34/$K$4</f>
        <v>5.7666666666666665E-2</v>
      </c>
      <c r="L34" s="45">
        <f>I34-H34</f>
        <v>-1.0000000000000009E-2</v>
      </c>
      <c r="M34" s="45">
        <f>((I34-H34)/H34)*100</f>
        <v>-0.57471264367816144</v>
      </c>
      <c r="N34" s="46">
        <v>100</v>
      </c>
      <c r="O34" s="37">
        <v>173</v>
      </c>
      <c r="P34" s="50">
        <f>(R34)/J34</f>
        <v>0</v>
      </c>
      <c r="Q34" s="48">
        <f>I34/G34-1</f>
        <v>0.20138888888888884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38857316.510623805</v>
      </c>
      <c r="E35" s="39">
        <f>C35*K35</f>
        <v>33462755.259453904</v>
      </c>
      <c r="F35" s="40" t="s">
        <v>34</v>
      </c>
      <c r="G35" s="41">
        <v>3.6056249999999999</v>
      </c>
      <c r="H35" s="42">
        <v>3.9601990000000002</v>
      </c>
      <c r="I35" s="42">
        <v>3.9601990000000002</v>
      </c>
      <c r="J35" s="43">
        <f>I35/$J$5</f>
        <v>0.15328754291641991</v>
      </c>
      <c r="K35" s="44">
        <f>I35/$K$4</f>
        <v>0.13200663333333335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9.8339122898249309E-2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6971763.64477784</v>
      </c>
      <c r="E36" s="39">
        <f>C36*K36</f>
        <v>6003873.6979733333</v>
      </c>
      <c r="F36" s="40" t="s">
        <v>34</v>
      </c>
      <c r="G36" s="41">
        <v>2.5099999999999997E-2</v>
      </c>
      <c r="H36" s="42">
        <v>3.3224000000000004E-2</v>
      </c>
      <c r="I36" s="42">
        <v>3.8199999999999998E-2</v>
      </c>
      <c r="J36" s="43">
        <f>I36/$J$5</f>
        <v>1.4786085596726931E-3</v>
      </c>
      <c r="K36" s="44">
        <f>I36/$K$4</f>
        <v>1.2733333333333333E-3</v>
      </c>
      <c r="L36" s="45">
        <f>I36-H36</f>
        <v>4.9759999999999943E-3</v>
      </c>
      <c r="M36" s="45">
        <f>((I36-H36)/H36)*100</f>
        <v>14.977124969901256</v>
      </c>
      <c r="N36" s="46">
        <v>145000</v>
      </c>
      <c r="O36" s="37">
        <v>5539</v>
      </c>
      <c r="P36" s="50">
        <f>(R36)/J36</f>
        <v>0</v>
      </c>
      <c r="Q36" s="48">
        <f>I36/G36-1</f>
        <v>0.52191235059760954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38048892.526469797</v>
      </c>
      <c r="E37" s="39">
        <f>C37*K37</f>
        <v>32766564.77702</v>
      </c>
      <c r="F37" s="40" t="s">
        <v>92</v>
      </c>
      <c r="G37" s="41">
        <v>0.61</v>
      </c>
      <c r="H37" s="42">
        <v>3.3760729999999999</v>
      </c>
      <c r="I37" s="42">
        <v>3.7653400000000001</v>
      </c>
      <c r="J37" s="43">
        <f>I37/$J$5</f>
        <v>0.14574512968790521</v>
      </c>
      <c r="K37" s="44">
        <f>I37/$K$4</f>
        <v>0.12551133333333334</v>
      </c>
      <c r="L37" s="45">
        <f>I37-H37</f>
        <v>0.38926700000000025</v>
      </c>
      <c r="M37" s="45">
        <f>((I37-H37)/H37)*100</f>
        <v>11.530171296651472</v>
      </c>
      <c r="N37" s="46">
        <v>42100</v>
      </c>
      <c r="O37" s="37">
        <v>158520.79999999999</v>
      </c>
      <c r="P37" s="50">
        <f>(R37)/J37</f>
        <v>0</v>
      </c>
      <c r="Q37" s="48">
        <f>I37/G37-1</f>
        <v>5.1726885245901641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21107862.201810718</v>
      </c>
      <c r="E38" s="39">
        <f>C38*K38</f>
        <v>18177457.692333333</v>
      </c>
      <c r="F38" s="40" t="s">
        <v>56</v>
      </c>
      <c r="G38" s="41">
        <v>0.11650199999999999</v>
      </c>
      <c r="H38" s="42">
        <v>0.13</v>
      </c>
      <c r="I38" s="42">
        <v>0.13</v>
      </c>
      <c r="J38" s="43">
        <f>I38/$J$5</f>
        <v>5.0319139465301085E-3</v>
      </c>
      <c r="K38" s="44">
        <f>I38/$K$4</f>
        <v>4.3333333333333331E-3</v>
      </c>
      <c r="L38" s="45">
        <f>I38-H38</f>
        <v>0</v>
      </c>
      <c r="M38" s="45">
        <f>((I38-H38)/H38)*100</f>
        <v>0</v>
      </c>
      <c r="N38" s="46">
        <v>600</v>
      </c>
      <c r="O38" s="37">
        <v>78</v>
      </c>
      <c r="P38" s="50">
        <v>0</v>
      </c>
      <c r="Q38" s="48">
        <f>I38/G38-1</f>
        <v>0.11586067191979543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84287094.766422421</v>
      </c>
      <c r="E39" s="39">
        <f>C39*K39</f>
        <v>72585517.400000006</v>
      </c>
      <c r="F39" s="40" t="s">
        <v>34</v>
      </c>
      <c r="G39" s="41">
        <v>2.6005000000000003</v>
      </c>
      <c r="H39" s="42">
        <v>6</v>
      </c>
      <c r="I39" s="42">
        <v>6</v>
      </c>
      <c r="J39" s="43">
        <f>I39/$J$5</f>
        <v>0.23224218214754344</v>
      </c>
      <c r="K39" s="44">
        <f>I39/$K$4</f>
        <v>0.2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1.3072486060373003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15067815.886518728</v>
      </c>
      <c r="E40" s="39">
        <f>C40*K40</f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3.4913741382847367E-3</v>
      </c>
      <c r="K40" s="44">
        <f>I40/$K$4</f>
        <v>3.0066666666666666E-3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7212277.6668176241</v>
      </c>
      <c r="E41" s="39">
        <f>C41*K41</f>
        <v>6210997.1583333332</v>
      </c>
      <c r="F41" s="40" t="s">
        <v>44</v>
      </c>
      <c r="G41" s="41">
        <v>1.7452379999999998</v>
      </c>
      <c r="H41" s="42">
        <v>1.75</v>
      </c>
      <c r="I41" s="42">
        <v>1.75</v>
      </c>
      <c r="J41" s="43">
        <f>I41/$J$5</f>
        <v>6.7737303126366846E-2</v>
      </c>
      <c r="K41" s="44">
        <f>I41/$K$4</f>
        <v>5.8333333333333334E-2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2.7285676795945069E-3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2752846.2100011227</v>
      </c>
      <c r="E42" s="39">
        <f>C42*K42</f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1.5482812143169564E-3</v>
      </c>
      <c r="K42" s="44">
        <f>I42/$K$4</f>
        <v>1.3333333333333333E-3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35939880.34108635</v>
      </c>
      <c r="E43" s="39">
        <f>C43*K43</f>
        <v>30950346.753333334</v>
      </c>
      <c r="F43" s="40" t="s">
        <v>47</v>
      </c>
      <c r="G43" s="41">
        <v>4.5</v>
      </c>
      <c r="H43" s="42">
        <v>5.3</v>
      </c>
      <c r="I43" s="42">
        <v>5.3</v>
      </c>
      <c r="J43" s="43">
        <f>I43/$J$5</f>
        <v>0.2051472608969967</v>
      </c>
      <c r="K43" s="44">
        <f>I43/$K$4</f>
        <v>0.17666666666666667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0.17777777777777781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322.81964838533622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6.9672654644263039E-7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1565126.5139287247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2.7172335311262583E-3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45742646.465892836</v>
      </c>
      <c r="E46" s="39">
        <f>C46*K46</f>
        <v>39392194.85703294</v>
      </c>
      <c r="F46" s="40" t="s">
        <v>47</v>
      </c>
      <c r="G46" s="41">
        <v>0.9998999999999999</v>
      </c>
      <c r="H46" s="42">
        <v>0.74950000000000006</v>
      </c>
      <c r="I46" s="42">
        <v>0.64995800000000004</v>
      </c>
      <c r="J46" s="43">
        <f>I46/$J$5</f>
        <v>2.515794403737551E-2</v>
      </c>
      <c r="K46" s="44">
        <f>I46/$K$4</f>
        <v>2.1665266666666669E-2</v>
      </c>
      <c r="L46" s="45">
        <f>I46-H46</f>
        <v>-9.9542000000000019E-2</v>
      </c>
      <c r="M46" s="45">
        <f>((I46-H46)/H46)*100</f>
        <v>-13.281120747164779</v>
      </c>
      <c r="N46" s="46">
        <v>14300</v>
      </c>
      <c r="O46" s="37">
        <v>9294.4</v>
      </c>
      <c r="P46" s="50">
        <f>(R46)/J46</f>
        <v>0</v>
      </c>
      <c r="Q46" s="48">
        <f>I46/G46-1</f>
        <v>-0.34997699769976987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4002651.8529287674</v>
      </c>
      <c r="E47" s="39">
        <f>C47*K47</f>
        <v>3446963.6961866668</v>
      </c>
      <c r="F47" s="40" t="s">
        <v>47</v>
      </c>
      <c r="G47" s="41">
        <v>1.4503460000000001</v>
      </c>
      <c r="H47" s="42">
        <v>1.0001390000000001</v>
      </c>
      <c r="I47" s="42">
        <v>1.00678</v>
      </c>
      <c r="J47" s="43">
        <f>I47/$J$5</f>
        <v>3.8969464023750636E-2</v>
      </c>
      <c r="K47" s="44">
        <f>I47/$K$4</f>
        <v>3.3559333333333337E-2</v>
      </c>
      <c r="L47" s="45">
        <f>I47-H47</f>
        <v>6.640999999999897E-3</v>
      </c>
      <c r="M47" s="45">
        <f>((I47-H47)/H47)*100</f>
        <v>0.66400770292928246</v>
      </c>
      <c r="N47" s="46">
        <v>29500</v>
      </c>
      <c r="O47" s="37">
        <v>29700</v>
      </c>
      <c r="P47" s="50">
        <v>0</v>
      </c>
      <c r="Q47" s="48">
        <f>I47/G47-1</f>
        <v>-0.30583460774187687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603000</v>
      </c>
      <c r="O48" s="59">
        <f>SUM(O9:O47)</f>
        <v>8007127.5000000009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69476022.5616</v>
      </c>
      <c r="E51" s="39">
        <v>0</v>
      </c>
      <c r="F51" s="40" t="s">
        <v>92</v>
      </c>
      <c r="G51" s="67">
        <v>0.1</v>
      </c>
      <c r="H51" s="42">
        <v>0.13009999999999999</v>
      </c>
      <c r="I51" s="42">
        <v>0.12520000000000001</v>
      </c>
      <c r="J51" s="43">
        <f>I51</f>
        <v>0.12520000000000001</v>
      </c>
      <c r="K51" s="39">
        <v>0</v>
      </c>
      <c r="L51" s="45">
        <f>I51-H51</f>
        <v>-4.8999999999999877E-3</v>
      </c>
      <c r="M51" s="45">
        <f>((I51-H51)/H51)*100</f>
        <v>-3.7663335895464938</v>
      </c>
      <c r="N51" s="46">
        <v>168201</v>
      </c>
      <c r="O51" s="37">
        <v>21058.39</v>
      </c>
      <c r="P51" s="68">
        <f>(R51)/J51</f>
        <v>0</v>
      </c>
      <c r="Q51" s="48">
        <f>J51/G51-1</f>
        <v>0.252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62403415</v>
      </c>
      <c r="E52" s="39">
        <v>0</v>
      </c>
      <c r="F52" s="40" t="s">
        <v>39</v>
      </c>
      <c r="G52" s="67">
        <v>39.9</v>
      </c>
      <c r="H52" s="42">
        <v>59</v>
      </c>
      <c r="I52" s="42">
        <v>59</v>
      </c>
      <c r="J52" s="43">
        <f>I52</f>
        <v>59</v>
      </c>
      <c r="K52" s="39">
        <v>0</v>
      </c>
      <c r="L52" s="45">
        <f>I52-H52</f>
        <v>0</v>
      </c>
      <c r="M52" s="45">
        <f>((I52-H52)/H52)*100</f>
        <v>0</v>
      </c>
      <c r="N52" s="46">
        <v>1</v>
      </c>
      <c r="O52" s="37">
        <v>59</v>
      </c>
      <c r="P52" s="70">
        <f>(R52)/J52</f>
        <v>9.4915254237288148E-3</v>
      </c>
      <c r="Q52" s="48">
        <f>J52/G52-1</f>
        <v>0.47869674185463662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760907102.5229001</v>
      </c>
      <c r="E53" s="39"/>
      <c r="F53" s="40" t="s">
        <v>56</v>
      </c>
      <c r="G53" s="67">
        <v>0.33</v>
      </c>
      <c r="H53" s="42">
        <v>0.24329999999999999</v>
      </c>
      <c r="I53" s="42">
        <v>0.25430000000000003</v>
      </c>
      <c r="J53" s="43">
        <f>I53</f>
        <v>0.25430000000000003</v>
      </c>
      <c r="K53" s="39">
        <v>0</v>
      </c>
      <c r="L53" s="45">
        <f>I53-H53</f>
        <v>1.1000000000000038E-2</v>
      </c>
      <c r="M53" s="45">
        <f>((I53-H53)/H53)*100</f>
        <v>4.5211672831894933</v>
      </c>
      <c r="N53" s="46">
        <v>86540</v>
      </c>
      <c r="O53" s="37">
        <v>22003.08</v>
      </c>
      <c r="P53" s="68">
        <v>0</v>
      </c>
      <c r="Q53" s="48">
        <f>J53/G53-1</f>
        <v>-0.22939393939393937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18292228.289999999</v>
      </c>
      <c r="E54" s="39">
        <v>0</v>
      </c>
      <c r="F54" s="40" t="s">
        <v>34</v>
      </c>
      <c r="G54" s="67">
        <v>2.3E-2</v>
      </c>
      <c r="H54" s="42">
        <v>2.8000000000000001E-2</v>
      </c>
      <c r="I54" s="42">
        <v>0.03</v>
      </c>
      <c r="J54" s="43">
        <f>I54</f>
        <v>0.03</v>
      </c>
      <c r="K54" s="39">
        <v>0</v>
      </c>
      <c r="L54" s="45">
        <f>I54-H54</f>
        <v>1.9999999999999983E-3</v>
      </c>
      <c r="M54" s="45">
        <f>((I54-H54)/H54)*100</f>
        <v>7.142857142857137</v>
      </c>
      <c r="N54" s="46">
        <v>180</v>
      </c>
      <c r="O54" s="37">
        <v>5.4</v>
      </c>
      <c r="P54" s="68">
        <f>(R54)/J54</f>
        <v>0</v>
      </c>
      <c r="Q54" s="48">
        <f>J54/G54-1</f>
        <v>0.30434782608695654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238454914.96869999</v>
      </c>
      <c r="E55" s="39">
        <v>0</v>
      </c>
      <c r="F55" s="40" t="s">
        <v>47</v>
      </c>
      <c r="G55" s="67">
        <v>9.0200000000000002E-2</v>
      </c>
      <c r="H55" s="42">
        <v>0.112</v>
      </c>
      <c r="I55" s="42">
        <v>0.1103</v>
      </c>
      <c r="J55" s="43">
        <f>I55</f>
        <v>0.1103</v>
      </c>
      <c r="K55" s="39">
        <v>0</v>
      </c>
      <c r="L55" s="45">
        <f>I55-H55</f>
        <v>-1.7000000000000071E-3</v>
      </c>
      <c r="M55" s="71">
        <f>((I55-H55)/H55)*100</f>
        <v>-1.517857142857149</v>
      </c>
      <c r="N55" s="46">
        <v>39292</v>
      </c>
      <c r="O55" s="37">
        <v>4333.9399999999996</v>
      </c>
      <c r="P55" s="68">
        <f>(R55)/J55</f>
        <v>0</v>
      </c>
      <c r="Q55" s="48">
        <f>J55/G55-1</f>
        <v>0.22283813747228365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718007505.21499991</v>
      </c>
      <c r="E56" s="39">
        <v>0</v>
      </c>
      <c r="F56" s="40" t="s">
        <v>34</v>
      </c>
      <c r="G56" s="67">
        <v>0.95750000000000002</v>
      </c>
      <c r="H56" s="42">
        <v>1.2242999999999999</v>
      </c>
      <c r="I56" s="42">
        <v>1.2466999999999999</v>
      </c>
      <c r="J56" s="43">
        <f>I56</f>
        <v>1.2466999999999999</v>
      </c>
      <c r="K56" s="39">
        <v>0</v>
      </c>
      <c r="L56" s="45">
        <f>I56-H56</f>
        <v>2.2399999999999975E-2</v>
      </c>
      <c r="M56" s="45">
        <f>((I56-H56)/H56)*100</f>
        <v>1.8296169239565447</v>
      </c>
      <c r="N56" s="46">
        <v>45981</v>
      </c>
      <c r="O56" s="37">
        <v>57326.46</v>
      </c>
      <c r="P56" s="70">
        <f>(R56)/J56</f>
        <v>3.7699526750621645E-2</v>
      </c>
      <c r="Q56" s="48">
        <f>J56/G56-1</f>
        <v>0.30203655352480396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24713337.410999998</v>
      </c>
      <c r="E57" s="39">
        <v>0</v>
      </c>
      <c r="F57" s="40" t="s">
        <v>34</v>
      </c>
      <c r="G57" s="67">
        <v>0.1595</v>
      </c>
      <c r="H57" s="42">
        <v>0.15029999999999999</v>
      </c>
      <c r="I57" s="42">
        <v>0.15049999999999999</v>
      </c>
      <c r="J57" s="43">
        <f>I57</f>
        <v>0.15049999999999999</v>
      </c>
      <c r="K57" s="39">
        <v>0</v>
      </c>
      <c r="L57" s="45">
        <f>I57-H57</f>
        <v>2.0000000000000573E-4</v>
      </c>
      <c r="M57" s="45">
        <f>((I57-H57)/H57)*100</f>
        <v>0.13306719893546623</v>
      </c>
      <c r="N57" s="46">
        <v>1170</v>
      </c>
      <c r="O57" s="37">
        <v>176.08</v>
      </c>
      <c r="P57" s="68">
        <f>(R57)/J57</f>
        <v>0</v>
      </c>
      <c r="Q57" s="48">
        <f>J57/G57-1</f>
        <v>-5.6426332288401326E-2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14223001.976399999</v>
      </c>
      <c r="E58" s="39">
        <v>0</v>
      </c>
      <c r="F58" s="40" t="s">
        <v>92</v>
      </c>
      <c r="G58" s="67">
        <v>1.6799999999999999E-2</v>
      </c>
      <c r="H58" s="42">
        <v>1.7999999999999999E-2</v>
      </c>
      <c r="I58" s="42">
        <v>1.7899999999999999E-2</v>
      </c>
      <c r="J58" s="43">
        <f>I58</f>
        <v>1.7899999999999999E-2</v>
      </c>
      <c r="K58" s="39">
        <v>0</v>
      </c>
      <c r="L58" s="45">
        <f>I58-H58</f>
        <v>-9.9999999999999395E-5</v>
      </c>
      <c r="M58" s="71">
        <f>((I58-H58)/H58)*100</f>
        <v>-0.55555555555555225</v>
      </c>
      <c r="N58" s="46">
        <v>29892</v>
      </c>
      <c r="O58" s="37">
        <v>534.89</v>
      </c>
      <c r="P58" s="68">
        <f>(R58)/J58</f>
        <v>0</v>
      </c>
      <c r="Q58" s="48">
        <f>J58/G58-1</f>
        <v>6.5476190476190466E-2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3144823.5</v>
      </c>
      <c r="E59" s="39">
        <v>0</v>
      </c>
      <c r="F59" s="40" t="s">
        <v>138</v>
      </c>
      <c r="G59" s="67">
        <v>19.5</v>
      </c>
      <c r="H59" s="42">
        <v>19.5</v>
      </c>
      <c r="I59" s="42">
        <v>19.5</v>
      </c>
      <c r="J59" s="43">
        <f>I59</f>
        <v>19.5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0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772001233.46389997</v>
      </c>
      <c r="E60" s="39">
        <v>0</v>
      </c>
      <c r="F60" s="40" t="s">
        <v>92</v>
      </c>
      <c r="G60" s="67">
        <v>0.59499999999999997</v>
      </c>
      <c r="H60" s="42">
        <v>0.95309999999999995</v>
      </c>
      <c r="I60" s="42">
        <v>0.95889999999999997</v>
      </c>
      <c r="J60" s="43">
        <f>I60</f>
        <v>0.95889999999999997</v>
      </c>
      <c r="K60" s="39">
        <v>0</v>
      </c>
      <c r="L60" s="45">
        <f>I60-H60</f>
        <v>5.8000000000000274E-3</v>
      </c>
      <c r="M60" s="45">
        <f>((I60-H60)/H60)*100</f>
        <v>0.608540551883331</v>
      </c>
      <c r="N60" s="46">
        <v>104920</v>
      </c>
      <c r="O60" s="37">
        <v>100602.88</v>
      </c>
      <c r="P60" s="68">
        <f>(R60)/J60</f>
        <v>0</v>
      </c>
      <c r="Q60" s="48">
        <f>J60/G60-1</f>
        <v>0.61159663865546232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69741133.564999998</v>
      </c>
      <c r="E61" s="39">
        <v>0</v>
      </c>
      <c r="F61" s="40" t="s">
        <v>34</v>
      </c>
      <c r="G61" s="67">
        <v>0.22600000000000001</v>
      </c>
      <c r="H61" s="42">
        <v>0.3</v>
      </c>
      <c r="I61" s="42">
        <v>0.26750000000000002</v>
      </c>
      <c r="J61" s="43">
        <f>I61</f>
        <v>0.26750000000000002</v>
      </c>
      <c r="K61" s="39">
        <v>0</v>
      </c>
      <c r="L61" s="45">
        <f>I61-H61</f>
        <v>-3.2499999999999973E-2</v>
      </c>
      <c r="M61" s="45">
        <f>((I61-H61)/H61)*100</f>
        <v>-10.833333333333325</v>
      </c>
      <c r="N61" s="46">
        <v>23461</v>
      </c>
      <c r="O61" s="37">
        <v>6275.72</v>
      </c>
      <c r="P61" s="68">
        <f>(R61)/J61</f>
        <v>0</v>
      </c>
      <c r="Q61" s="48">
        <f>J61/G61-1</f>
        <v>0.1836283185840708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340290452.17639995</v>
      </c>
      <c r="E62" s="39">
        <v>0</v>
      </c>
      <c r="F62" s="40" t="s">
        <v>34</v>
      </c>
      <c r="G62" s="67">
        <v>0.49440000000000001</v>
      </c>
      <c r="H62" s="42">
        <v>0.60299999999999998</v>
      </c>
      <c r="I62" s="42">
        <v>0.60529999999999995</v>
      </c>
      <c r="J62" s="43">
        <f>I62</f>
        <v>0.60529999999999995</v>
      </c>
      <c r="K62" s="39">
        <v>0</v>
      </c>
      <c r="L62" s="45">
        <f>I62-H62</f>
        <v>2.2999999999999687E-3</v>
      </c>
      <c r="M62" s="45">
        <f>((I62-H62)/H62)*100</f>
        <v>0.38142620232171953</v>
      </c>
      <c r="N62" s="46">
        <v>10416</v>
      </c>
      <c r="O62" s="37">
        <v>6305.04</v>
      </c>
      <c r="P62" s="68">
        <f>(R62)/J62</f>
        <v>0</v>
      </c>
      <c r="Q62" s="48">
        <f>J62/G62-1</f>
        <v>0.22431229773462769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17401314.543000001</v>
      </c>
      <c r="E64" s="39">
        <v>0</v>
      </c>
      <c r="F64" s="40" t="s">
        <v>44</v>
      </c>
      <c r="G64" s="67">
        <v>4.2999999999999997E-2</v>
      </c>
      <c r="H64" s="42">
        <v>6.0499999999999998E-2</v>
      </c>
      <c r="I64" s="42">
        <v>5.0500000000000003E-2</v>
      </c>
      <c r="J64" s="43">
        <f>I64</f>
        <v>5.0500000000000003E-2</v>
      </c>
      <c r="K64" s="39">
        <v>0</v>
      </c>
      <c r="L64" s="45">
        <f>I64-H64</f>
        <v>-9.999999999999995E-3</v>
      </c>
      <c r="M64" s="45">
        <f>((I64-H64)/H64)*100</f>
        <v>-16.528925619834702</v>
      </c>
      <c r="N64" s="46">
        <v>31700</v>
      </c>
      <c r="O64" s="37">
        <v>1601.51</v>
      </c>
      <c r="P64" s="68">
        <f>(R64)/J64</f>
        <v>0</v>
      </c>
      <c r="Q64" s="48">
        <f>J64/G64-1</f>
        <v>0.17441860465116288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541754</v>
      </c>
      <c r="O65" s="59">
        <f>SUM(O51:O64)</f>
        <v>220282.39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41901616.569600001</v>
      </c>
      <c r="E70" s="39">
        <f>C70*K70</f>
        <v>41901616.569600001</v>
      </c>
      <c r="F70" s="87" t="s">
        <v>156</v>
      </c>
      <c r="G70" s="87">
        <v>0.24</v>
      </c>
      <c r="H70" s="88">
        <v>0.30080000000000001</v>
      </c>
      <c r="I70" s="88">
        <v>0.30080000000000001</v>
      </c>
      <c r="J70" s="89">
        <f>I70</f>
        <v>0.30080000000000001</v>
      </c>
      <c r="K70" s="89">
        <f>J70</f>
        <v>0.30080000000000001</v>
      </c>
      <c r="L70" s="45">
        <f>I70-H70</f>
        <v>0</v>
      </c>
      <c r="M70" s="45">
        <f>((I70-H70)/H70)*100</f>
        <v>0</v>
      </c>
      <c r="N70" s="90">
        <v>0</v>
      </c>
      <c r="O70" s="91">
        <v>0</v>
      </c>
      <c r="P70" s="68">
        <f>(R70)/J70</f>
        <v>0</v>
      </c>
      <c r="Q70" s="48">
        <f>J70/G70-1</f>
        <v>0.25333333333333341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75416280</v>
      </c>
      <c r="E71" s="39">
        <f>C71*K71</f>
        <v>75416280</v>
      </c>
      <c r="F71" s="87" t="s">
        <v>156</v>
      </c>
      <c r="G71" s="87">
        <v>0.1</v>
      </c>
      <c r="H71" s="88">
        <v>0.14779999999999999</v>
      </c>
      <c r="I71" s="88">
        <v>0.16</v>
      </c>
      <c r="J71" s="89">
        <f>I71</f>
        <v>0.16</v>
      </c>
      <c r="K71" s="89">
        <f>J71</f>
        <v>0.16</v>
      </c>
      <c r="L71" s="45">
        <f>I71-H71</f>
        <v>1.2200000000000016E-2</v>
      </c>
      <c r="M71" s="45">
        <f>((I71-H71)/H71)*100</f>
        <v>8.254397834912055</v>
      </c>
      <c r="N71" s="46">
        <v>175</v>
      </c>
      <c r="O71" s="91">
        <v>28</v>
      </c>
      <c r="P71" s="92">
        <f>(R71)/J71</f>
        <v>2.3699999999999999E-2</v>
      </c>
      <c r="Q71" s="48">
        <f>J71/G71-1</f>
        <v>0.59999999999999987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175</v>
      </c>
      <c r="O72" s="59">
        <f>SUM(O70:O71)</f>
        <v>28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2987626.2324999999</v>
      </c>
      <c r="E74" s="39">
        <f>C74*K74</f>
        <v>2987626.2324999999</v>
      </c>
      <c r="F74" s="87" t="s">
        <v>138</v>
      </c>
      <c r="G74" s="87">
        <v>0.1394</v>
      </c>
      <c r="H74" s="88">
        <v>0.14000000000000001</v>
      </c>
      <c r="I74" s="88">
        <v>0.14349999999999999</v>
      </c>
      <c r="J74" s="89">
        <f>I74</f>
        <v>0.14349999999999999</v>
      </c>
      <c r="K74" s="89">
        <f>J74</f>
        <v>0.14349999999999999</v>
      </c>
      <c r="L74" s="45">
        <f>I74-H74</f>
        <v>3.4999999999999754E-3</v>
      </c>
      <c r="M74" s="45">
        <f>((I74-H74)/H74)*100</f>
        <v>2.4999999999999822</v>
      </c>
      <c r="N74" s="90">
        <v>1401</v>
      </c>
      <c r="O74" s="91">
        <v>201.11</v>
      </c>
      <c r="P74" s="68">
        <f>(R74)/J74</f>
        <v>0</v>
      </c>
      <c r="Q74" s="48">
        <f>J74/G74-1</f>
        <v>2.9411764705882248E-2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175716.22714833697</v>
      </c>
      <c r="E77" s="39">
        <f>C77*K77</f>
        <v>151321.54333333333</v>
      </c>
      <c r="F77" s="40" t="s">
        <v>138</v>
      </c>
      <c r="G77" s="67">
        <v>0.105</v>
      </c>
      <c r="H77" s="42">
        <v>0.1</v>
      </c>
      <c r="I77" s="42">
        <v>0.1</v>
      </c>
      <c r="J77" s="43">
        <f>I77/$J$5</f>
        <v>3.8707030357923913E-3</v>
      </c>
      <c r="K77" s="44">
        <f>I77/$K$4</f>
        <v>3.3333333333333335E-3</v>
      </c>
      <c r="L77" s="45">
        <f>I77-H77</f>
        <v>0</v>
      </c>
      <c r="M77" s="93">
        <f>((I77-H77)/H77)*100</f>
        <v>0</v>
      </c>
      <c r="N77" s="37">
        <v>2500</v>
      </c>
      <c r="O77" s="37">
        <v>250</v>
      </c>
      <c r="P77" s="40">
        <v>0</v>
      </c>
      <c r="Q77" s="48">
        <f>I77/G77-1</f>
        <v>-4.7619047619047561E-2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289873.57741986675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2.128886669685815E-3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500</v>
      </c>
      <c r="O78" s="37">
        <v>27.5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1818055.784572152</v>
      </c>
      <c r="E79" s="39">
        <f>C79*K79</f>
        <v>1565655.0999999999</v>
      </c>
      <c r="F79" s="40" t="s">
        <v>138</v>
      </c>
      <c r="G79" s="67">
        <v>6.0499999999999998E-2</v>
      </c>
      <c r="H79" s="42">
        <v>9.5000000000000001E-2</v>
      </c>
      <c r="I79" s="42">
        <v>9.5000000000000001E-2</v>
      </c>
      <c r="J79" s="43">
        <f>I79/$J$5</f>
        <v>3.6771678840027714E-3</v>
      </c>
      <c r="K79" s="44">
        <f>I79/$K$4</f>
        <v>3.1666666666666666E-3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0.57024793388429762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2564815.8559479159</v>
      </c>
      <c r="E80" s="39">
        <f>C80*K80</f>
        <v>2208742.4706666665</v>
      </c>
      <c r="F80" s="40" t="s">
        <v>138</v>
      </c>
      <c r="G80" s="67">
        <v>1.85</v>
      </c>
      <c r="H80" s="42">
        <v>1.61</v>
      </c>
      <c r="I80" s="42">
        <v>1.61</v>
      </c>
      <c r="J80" s="43">
        <f>I80/$J$5</f>
        <v>6.2318318876257495E-2</v>
      </c>
      <c r="K80" s="44">
        <f>I80/$K$4</f>
        <v>5.3666666666666668E-2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-0.12972972972972974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3000</v>
      </c>
      <c r="O81" s="59">
        <f>SUM(O77:O80)</f>
        <v>277.5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28513630.216256179</v>
      </c>
      <c r="E83" s="39">
        <f>C83*K83</f>
        <v>24555082.933333334</v>
      </c>
      <c r="F83" s="40" t="s">
        <v>174</v>
      </c>
      <c r="G83" s="40">
        <v>1.3</v>
      </c>
      <c r="H83" s="42">
        <v>2.3494999999999999</v>
      </c>
      <c r="I83" s="42">
        <v>2</v>
      </c>
      <c r="J83" s="43">
        <f>I83/$J$5</f>
        <v>7.7414060715847818E-2</v>
      </c>
      <c r="K83" s="44">
        <f>I83/$K$4</f>
        <v>6.6666666666666666E-2</v>
      </c>
      <c r="L83" s="45">
        <f>I83-H83</f>
        <v>-0.34949999999999992</v>
      </c>
      <c r="M83" s="45">
        <f>((I83-H83)/H83*100)</f>
        <v>-14.875505426686525</v>
      </c>
      <c r="N83" s="50">
        <v>1837</v>
      </c>
      <c r="O83" s="37">
        <v>3686.95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78472102.366741374</v>
      </c>
      <c r="E84" s="39">
        <f>C84*K84</f>
        <v>67577820.395166665</v>
      </c>
      <c r="F84" s="40" t="s">
        <v>174</v>
      </c>
      <c r="G84" s="40">
        <v>1.44347</v>
      </c>
      <c r="H84" s="42">
        <v>1.0888899999999999</v>
      </c>
      <c r="I84" s="42">
        <f>110.1151/100</f>
        <v>1.101151</v>
      </c>
      <c r="J84" s="43">
        <f>I84/$J$5</f>
        <v>4.2622285185658269E-2</v>
      </c>
      <c r="K84" s="44">
        <f>I84/$K$4</f>
        <v>3.6705033333333331E-2</v>
      </c>
      <c r="L84" s="45">
        <f>I84-H84</f>
        <v>1.2261000000000077E-2</v>
      </c>
      <c r="M84" s="45">
        <f>((I84-H84)/H84*100)</f>
        <v>1.1260090550928081</v>
      </c>
      <c r="N84" s="50">
        <v>15200</v>
      </c>
      <c r="O84" s="37">
        <v>16737.5</v>
      </c>
      <c r="P84" s="47">
        <f>(R84)/J84</f>
        <v>5.1053104978336303E-2</v>
      </c>
      <c r="Q84" s="48">
        <f>I84/G84-1</f>
        <v>-0.23715006200336686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17037</v>
      </c>
      <c r="O85" s="59">
        <f>SUM(O83:O84)</f>
        <v>20424.45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6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95</v>
      </c>
      <c r="B88" s="110">
        <v>3.8199999999999998E-2</v>
      </c>
      <c r="C88" s="110"/>
      <c r="D88" s="110">
        <v>14.977124969901256</v>
      </c>
      <c r="E88" s="35" t="s">
        <v>62</v>
      </c>
      <c r="F88" s="111">
        <v>2</v>
      </c>
      <c r="G88" s="111"/>
      <c r="H88" s="112">
        <v>-14.884562187466743</v>
      </c>
      <c r="L88" s="35" t="s">
        <v>126</v>
      </c>
      <c r="M88" s="50">
        <v>0.03</v>
      </c>
      <c r="N88" s="113">
        <v>7.142857142857137</v>
      </c>
      <c r="O88" s="35" t="s">
        <v>147</v>
      </c>
      <c r="P88" s="111">
        <v>5.0500000000000003E-2</v>
      </c>
      <c r="Q88" s="114">
        <v>-16.528925619834702</v>
      </c>
    </row>
    <row r="89" spans="1:243" x14ac:dyDescent="0.25">
      <c r="A89" s="35" t="s">
        <v>50</v>
      </c>
      <c r="B89" s="110">
        <v>2.7025000000000001</v>
      </c>
      <c r="C89" s="110"/>
      <c r="D89" s="110">
        <v>12.136929460580911</v>
      </c>
      <c r="E89" s="35" t="s">
        <v>115</v>
      </c>
      <c r="F89" s="111">
        <v>0.64995800000000004</v>
      </c>
      <c r="G89" s="111"/>
      <c r="H89" s="112">
        <v>-13.281120747164779</v>
      </c>
      <c r="L89" s="35" t="s">
        <v>124</v>
      </c>
      <c r="M89" s="50">
        <v>0.25430000000000003</v>
      </c>
      <c r="N89" s="113">
        <v>4.5211672831894933</v>
      </c>
      <c r="O89" s="35" t="s">
        <v>141</v>
      </c>
      <c r="P89" s="111">
        <v>0.26750000000000002</v>
      </c>
      <c r="Q89" s="114">
        <v>-10.833333333333325</v>
      </c>
    </row>
    <row r="90" spans="1:243" x14ac:dyDescent="0.25">
      <c r="A90" s="35" t="s">
        <v>97</v>
      </c>
      <c r="B90" s="110">
        <v>3.7653400000000001</v>
      </c>
      <c r="C90" s="110"/>
      <c r="D90" s="110">
        <v>11.530171296651472</v>
      </c>
      <c r="E90" s="35" t="s">
        <v>76</v>
      </c>
      <c r="F90" s="111">
        <v>3</v>
      </c>
      <c r="G90" s="111"/>
      <c r="H90" s="112">
        <v>-4.1166861576136169</v>
      </c>
      <c r="L90" s="35" t="s">
        <v>130</v>
      </c>
      <c r="M90" s="50">
        <v>1.2466999999999999</v>
      </c>
      <c r="N90" s="113">
        <v>1.8296169239565447</v>
      </c>
      <c r="O90" s="35" t="s">
        <v>120</v>
      </c>
      <c r="P90" s="111">
        <v>0.12520000000000001</v>
      </c>
      <c r="Q90" s="114">
        <v>-3.7663335895464938</v>
      </c>
    </row>
    <row r="91" spans="1:243" x14ac:dyDescent="0.25">
      <c r="A91" s="35" t="s">
        <v>52</v>
      </c>
      <c r="B91" s="110">
        <v>29.3523</v>
      </c>
      <c r="C91" s="110"/>
      <c r="D91" s="110">
        <v>4.4361423920584819</v>
      </c>
      <c r="E91" s="35" t="s">
        <v>90</v>
      </c>
      <c r="F91" s="111">
        <v>1.73</v>
      </c>
      <c r="G91" s="111"/>
      <c r="H91" s="112">
        <v>-0.57471264367816144</v>
      </c>
      <c r="L91" s="35" t="s">
        <v>139</v>
      </c>
      <c r="M91" s="50">
        <v>0.95889999999999997</v>
      </c>
      <c r="N91" s="113">
        <v>0.608540551883331</v>
      </c>
      <c r="O91" s="35" t="s">
        <v>128</v>
      </c>
      <c r="P91" s="111">
        <v>0.1103</v>
      </c>
      <c r="Q91" s="114">
        <v>-1.517857142857149</v>
      </c>
    </row>
    <row r="92" spans="1:243" x14ac:dyDescent="0.25">
      <c r="A92" s="35" t="s">
        <v>45</v>
      </c>
      <c r="B92" s="110">
        <v>16</v>
      </c>
      <c r="C92" s="110"/>
      <c r="D92" s="110">
        <v>3.3685217009290356</v>
      </c>
      <c r="E92" s="35" t="s">
        <v>72</v>
      </c>
      <c r="F92" s="111">
        <v>1.2949999999999999</v>
      </c>
      <c r="G92" s="111"/>
      <c r="H92" s="112">
        <v>-0.38461538461539346</v>
      </c>
      <c r="L92" s="35" t="s">
        <v>143</v>
      </c>
      <c r="M92" s="50">
        <v>0.60529999999999995</v>
      </c>
      <c r="N92" s="113">
        <v>0.38142620232171953</v>
      </c>
      <c r="O92" s="35" t="s">
        <v>134</v>
      </c>
      <c r="P92" s="111">
        <v>1.7899999999999999E-2</v>
      </c>
      <c r="Q92" s="114">
        <v>-0.55555555555555225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FcxLi2qCpJPIwE2ClaKfj40KP61rRK2UQvUPr3bLzVjt3e5ULVU8zwiHXLEWJ/VIJUiJcKIK5NmxSdsdWlBUTA==" saltValue="vBYxjyP2Vp9SDPQ+J9PDEA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6" stopIfTrue="1"/>
  </conditionalFormatting>
  <conditionalFormatting sqref="A29:A34">
    <cfRule type="duplicateValues" dxfId="39" priority="47" stopIfTrue="1"/>
  </conditionalFormatting>
  <conditionalFormatting sqref="A88:A90">
    <cfRule type="duplicateValues" dxfId="38" priority="9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2026-05-14T14:06:03Z</dcterms:created>
  <dcterms:modified xsi:type="dcterms:W3CDTF">2026-05-14T14:20:23Z</dcterms:modified>
</cp:coreProperties>
</file>