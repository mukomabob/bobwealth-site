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sokisit_fbc_co_zw/Documents/Desktop/ANALYSIS CORNER/PRICE SHEET SYSTEM/28.08.26/"/>
    </mc:Choice>
  </mc:AlternateContent>
  <xr:revisionPtr revIDLastSave="3" documentId="8_{33F21E8A-4B5E-43EC-94E1-96980A15AAD7}" xr6:coauthVersionLast="47" xr6:coauthVersionMax="47" xr10:uidLastSave="{1A30B68F-4B8D-4253-B5FD-B1F659FB1AAA}"/>
  <bookViews>
    <workbookView xWindow="-120" yWindow="-120" windowWidth="29040" windowHeight="15720" xr2:uid="{F653CBAB-F318-4C54-A09E-70CAA4A845EF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E85" i="1" s="1"/>
  <c r="J85" i="1"/>
  <c r="P85" i="1" s="1"/>
  <c r="D85" i="1"/>
  <c r="Q84" i="1"/>
  <c r="M84" i="1"/>
  <c r="L84" i="1"/>
  <c r="K84" i="1"/>
  <c r="J84" i="1"/>
  <c r="D84" i="1" s="1"/>
  <c r="E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E80" i="1" s="1"/>
  <c r="J80" i="1"/>
  <c r="D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5" i="1"/>
  <c r="P75" i="1"/>
  <c r="M75" i="1"/>
  <c r="L75" i="1"/>
  <c r="J75" i="1"/>
  <c r="K75" i="1" s="1"/>
  <c r="E75" i="1" s="1"/>
  <c r="O73" i="1"/>
  <c r="N73" i="1"/>
  <c r="Q72" i="1"/>
  <c r="P72" i="1"/>
  <c r="M72" i="1"/>
  <c r="L72" i="1"/>
  <c r="J72" i="1"/>
  <c r="K72" i="1" s="1"/>
  <c r="E72" i="1" s="1"/>
  <c r="D72" i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Q64" i="1"/>
  <c r="M64" i="1"/>
  <c r="L64" i="1"/>
  <c r="J64" i="1"/>
  <c r="P64" i="1" s="1"/>
  <c r="M63" i="1"/>
  <c r="L63" i="1"/>
  <c r="J63" i="1"/>
  <c r="Q63" i="1" s="1"/>
  <c r="D63" i="1"/>
  <c r="Q62" i="1"/>
  <c r="M62" i="1"/>
  <c r="L62" i="1"/>
  <c r="J62" i="1"/>
  <c r="P62" i="1" s="1"/>
  <c r="M61" i="1"/>
  <c r="L61" i="1"/>
  <c r="J61" i="1"/>
  <c r="Q61" i="1" s="1"/>
  <c r="D61" i="1"/>
  <c r="Q60" i="1"/>
  <c r="M60" i="1"/>
  <c r="L60" i="1"/>
  <c r="J60" i="1"/>
  <c r="P60" i="1" s="1"/>
  <c r="M59" i="1"/>
  <c r="L59" i="1"/>
  <c r="J59" i="1"/>
  <c r="Q59" i="1" s="1"/>
  <c r="D59" i="1"/>
  <c r="Q58" i="1"/>
  <c r="M58" i="1"/>
  <c r="L58" i="1"/>
  <c r="J58" i="1"/>
  <c r="P58" i="1" s="1"/>
  <c r="M57" i="1"/>
  <c r="L57" i="1"/>
  <c r="J57" i="1"/>
  <c r="Q57" i="1" s="1"/>
  <c r="D57" i="1"/>
  <c r="Q56" i="1"/>
  <c r="M56" i="1"/>
  <c r="L56" i="1"/>
  <c r="J56" i="1"/>
  <c r="P56" i="1" s="1"/>
  <c r="M55" i="1"/>
  <c r="L55" i="1"/>
  <c r="J55" i="1"/>
  <c r="Q55" i="1" s="1"/>
  <c r="D55" i="1"/>
  <c r="Q54" i="1"/>
  <c r="M54" i="1"/>
  <c r="L54" i="1"/>
  <c r="J54" i="1"/>
  <c r="P54" i="1" s="1"/>
  <c r="M53" i="1"/>
  <c r="L53" i="1"/>
  <c r="J53" i="1"/>
  <c r="Q53" i="1" s="1"/>
  <c r="D53" i="1"/>
  <c r="Q52" i="1"/>
  <c r="M52" i="1"/>
  <c r="L52" i="1"/>
  <c r="J52" i="1"/>
  <c r="D52" i="1"/>
  <c r="M51" i="1"/>
  <c r="L51" i="1"/>
  <c r="J51" i="1"/>
  <c r="Q51" i="1" s="1"/>
  <c r="D51" i="1"/>
  <c r="Q50" i="1"/>
  <c r="P50" i="1"/>
  <c r="M50" i="1"/>
  <c r="L50" i="1"/>
  <c r="J50" i="1"/>
  <c r="D50" i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J44" i="1"/>
  <c r="D44" i="1" s="1"/>
  <c r="E44" i="1"/>
  <c r="Q43" i="1"/>
  <c r="M43" i="1"/>
  <c r="L43" i="1"/>
  <c r="K43" i="1"/>
  <c r="J43" i="1"/>
  <c r="D43" i="1" s="1"/>
  <c r="E43" i="1"/>
  <c r="Q42" i="1"/>
  <c r="M42" i="1"/>
  <c r="L42" i="1"/>
  <c r="K42" i="1"/>
  <c r="J42" i="1"/>
  <c r="D42" i="1" s="1"/>
  <c r="E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D40" i="1" s="1"/>
  <c r="E40" i="1"/>
  <c r="Q39" i="1"/>
  <c r="M39" i="1"/>
  <c r="L39" i="1"/>
  <c r="K39" i="1"/>
  <c r="J39" i="1"/>
  <c r="D39" i="1" s="1"/>
  <c r="E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D37" i="1" s="1"/>
  <c r="E37" i="1"/>
  <c r="Q36" i="1"/>
  <c r="M36" i="1"/>
  <c r="L36" i="1"/>
  <c r="K36" i="1"/>
  <c r="J36" i="1"/>
  <c r="P36" i="1" s="1"/>
  <c r="E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D34" i="1" s="1"/>
  <c r="E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Q26" i="1"/>
  <c r="M26" i="1"/>
  <c r="L26" i="1"/>
  <c r="K26" i="1"/>
  <c r="J26" i="1"/>
  <c r="P26" i="1" s="1"/>
  <c r="E26" i="1"/>
  <c r="Q25" i="1"/>
  <c r="M25" i="1"/>
  <c r="L25" i="1"/>
  <c r="K25" i="1"/>
  <c r="J25" i="1"/>
  <c r="P25" i="1" s="1"/>
  <c r="E25" i="1"/>
  <c r="R24" i="1"/>
  <c r="Q24" i="1"/>
  <c r="M24" i="1"/>
  <c r="L24" i="1"/>
  <c r="K24" i="1"/>
  <c r="J24" i="1"/>
  <c r="D24" i="1" s="1"/>
  <c r="E24" i="1"/>
  <c r="Q23" i="1"/>
  <c r="M23" i="1"/>
  <c r="L23" i="1"/>
  <c r="K23" i="1"/>
  <c r="J23" i="1"/>
  <c r="D23" i="1" s="1"/>
  <c r="E23" i="1"/>
  <c r="Q22" i="1"/>
  <c r="L22" i="1"/>
  <c r="K22" i="1"/>
  <c r="J22" i="1"/>
  <c r="D22" i="1" s="1"/>
  <c r="E22" i="1"/>
  <c r="Q21" i="1"/>
  <c r="M21" i="1"/>
  <c r="L21" i="1"/>
  <c r="K21" i="1"/>
  <c r="E21" i="1" s="1"/>
  <c r="J21" i="1"/>
  <c r="P21" i="1" s="1"/>
  <c r="D21" i="1"/>
  <c r="Q20" i="1"/>
  <c r="M20" i="1"/>
  <c r="L20" i="1"/>
  <c r="K20" i="1"/>
  <c r="E20" i="1" s="1"/>
  <c r="J20" i="1"/>
  <c r="P20" i="1" s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Q16" i="1"/>
  <c r="M16" i="1"/>
  <c r="L16" i="1"/>
  <c r="K16" i="1"/>
  <c r="J16" i="1"/>
  <c r="D16" i="1" s="1"/>
  <c r="E16" i="1"/>
  <c r="Q15" i="1"/>
  <c r="M15" i="1"/>
  <c r="L15" i="1"/>
  <c r="K15" i="1"/>
  <c r="J15" i="1"/>
  <c r="D15" i="1" s="1"/>
  <c r="E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D13" i="1" s="1"/>
  <c r="E13" i="1"/>
  <c r="Q12" i="1"/>
  <c r="M12" i="1"/>
  <c r="L12" i="1"/>
  <c r="K12" i="1"/>
  <c r="J12" i="1"/>
  <c r="D12" i="1" s="1"/>
  <c r="E12" i="1"/>
  <c r="Q11" i="1"/>
  <c r="P11" i="1"/>
  <c r="M11" i="1"/>
  <c r="L11" i="1"/>
  <c r="K11" i="1"/>
  <c r="J11" i="1"/>
  <c r="E11" i="1"/>
  <c r="D11" i="1"/>
  <c r="Q10" i="1"/>
  <c r="M10" i="1"/>
  <c r="L10" i="1"/>
  <c r="K10" i="1"/>
  <c r="J10" i="1"/>
  <c r="D10" i="1" s="1"/>
  <c r="E10" i="1"/>
  <c r="Q9" i="1"/>
  <c r="M9" i="1"/>
  <c r="L9" i="1"/>
  <c r="K9" i="1"/>
  <c r="J9" i="1"/>
  <c r="D9" i="1" s="1"/>
  <c r="E9" i="1"/>
  <c r="D26" i="1" l="1"/>
  <c r="P16" i="1"/>
  <c r="D25" i="1"/>
  <c r="D36" i="1"/>
  <c r="D17" i="1"/>
  <c r="P34" i="1"/>
  <c r="P13" i="1"/>
  <c r="P84" i="1"/>
  <c r="P44" i="1"/>
  <c r="P24" i="1"/>
  <c r="P10" i="1"/>
  <c r="P43" i="1"/>
  <c r="P23" i="1"/>
  <c r="D27" i="1"/>
  <c r="P40" i="1"/>
  <c r="K71" i="1"/>
  <c r="E71" i="1" s="1"/>
  <c r="P9" i="1"/>
  <c r="P12" i="1"/>
  <c r="P15" i="1"/>
  <c r="P39" i="1"/>
  <c r="P42" i="1"/>
  <c r="P53" i="1"/>
  <c r="P55" i="1"/>
  <c r="P57" i="1"/>
  <c r="P59" i="1"/>
  <c r="P61" i="1"/>
  <c r="P63" i="1"/>
  <c r="P65" i="1"/>
  <c r="P51" i="1"/>
  <c r="P71" i="1"/>
  <c r="D75" i="1"/>
  <c r="D54" i="1"/>
  <c r="D56" i="1"/>
  <c r="D58" i="1"/>
  <c r="D60" i="1"/>
  <c r="D62" i="1"/>
  <c r="D64" i="1"/>
</calcChain>
</file>

<file path=xl/sharedStrings.xml><?xml version="1.0" encoding="utf-8"?>
<sst xmlns="http://schemas.openxmlformats.org/spreadsheetml/2006/main" count="270" uniqueCount="185">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</sst>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0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164" fontId="15" fillId="5" borderId="0" xfId="1" applyFont="1" applyFill="1" applyBorder="1"/>
    <xf numFmtId="164" fontId="15" fillId="5" borderId="0" xfId="1" applyFont="1" applyFill="1" applyBorder="1" applyAlignment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 2 2" xfId="4" xr:uid="{95D53F34-D1EB-4C8D-B041-4D8F8D514EDE}"/>
    <cellStyle name="Comma 5 2 2 2 2 2 2 2 2 2 2" xfId="5" xr:uid="{93839A62-7B97-4119-BB3D-EFD06BA32633}"/>
    <cellStyle name="Comma 6 2 2 2 2 2" xfId="6" xr:uid="{75937B06-05C0-4726-97B7-5C0E178FEF6D}"/>
    <cellStyle name="Hyperlink 2" xfId="9" xr:uid="{9E7E68CF-5AC6-45BC-AC17-43FB84723C7C}"/>
    <cellStyle name="Normal" xfId="0" builtinId="0"/>
    <cellStyle name="Normal 2" xfId="3" xr:uid="{4437330A-1BDD-4CC0-A806-BEB2FBB6A03C}"/>
    <cellStyle name="Normal 20" xfId="8" xr:uid="{D7AAC26C-0BA0-45CD-B32A-604EEA4C0875}"/>
    <cellStyle name="Percent" xfId="2" builtinId="5"/>
    <cellStyle name="Percent 3" xfId="7" xr:uid="{27200C45-7E79-4B1D-8710-F9333E4CD718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A5A3A31-CE87-4708-B2AD-A121B111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153E265A-CA5E-47DE-9C28-7FF2AC5F4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534E-634C-48D3-B247-A23F9163658A}">
  <dimension ref="A1:II107"/>
  <sheetViews>
    <sheetView tabSelected="1" zoomScale="60" zoomScaleNormal="60" workbookViewId="0">
      <selection activeCell="L34" sqref="L34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5.140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26.498699999999999</v>
      </c>
      <c r="K5" s="22"/>
      <c r="L5" s="147" t="s">
        <v>12</v>
      </c>
      <c r="M5" s="148"/>
      <c r="N5" s="23" t="s">
        <v>13</v>
      </c>
      <c r="O5" s="24"/>
      <c r="P5" s="24"/>
      <c r="Q5" s="25"/>
    </row>
    <row r="6" spans="1:19" ht="6.6" customHeight="1" x14ac:dyDescent="0.25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80829613.156177476</v>
      </c>
      <c r="E9" s="39">
        <f t="shared" ref="E9:E45" si="1">C9*K9</f>
        <v>67996180.004495233</v>
      </c>
      <c r="F9" s="40" t="s">
        <v>34</v>
      </c>
      <c r="G9" s="41">
        <v>8.9894999999999996</v>
      </c>
      <c r="H9" s="42">
        <v>16.75</v>
      </c>
      <c r="I9" s="43">
        <v>16.994399999999999</v>
      </c>
      <c r="J9" s="44">
        <f>(I9/$J$5)</f>
        <v>0.64132957465837948</v>
      </c>
      <c r="K9" s="45">
        <f t="shared" ref="K9:K17" si="2">I9/$K$4</f>
        <v>0.53950476190476182</v>
      </c>
      <c r="L9" s="46">
        <f t="shared" ref="L9:L17" si="3">I9-H9</f>
        <v>0.24439999999999884</v>
      </c>
      <c r="M9" s="46">
        <f t="shared" ref="M9:M17" si="4">((I9-H9)/H9)*100</f>
        <v>1.4591044776119333</v>
      </c>
      <c r="N9" s="47">
        <v>13300</v>
      </c>
      <c r="O9" s="37">
        <v>226025</v>
      </c>
      <c r="P9" s="48">
        <f t="shared" ref="P9:P17" si="5">(R9)/J9</f>
        <v>2.3388910464623641E-2</v>
      </c>
      <c r="Q9" s="49">
        <f t="shared" ref="Q9:Q17" si="6">I9/G9-1</f>
        <v>0.89047221758718509</v>
      </c>
      <c r="R9" s="50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3272638.1470170235</v>
      </c>
      <c r="E10" s="39">
        <f t="shared" si="1"/>
        <v>2753036.7132177777</v>
      </c>
      <c r="F10" s="40" t="s">
        <v>34</v>
      </c>
      <c r="G10" s="41">
        <v>3.1600000000000003E-2</v>
      </c>
      <c r="H10" s="42">
        <v>6.0041999999999998E-2</v>
      </c>
      <c r="I10" s="43">
        <v>5.3288000000000002E-2</v>
      </c>
      <c r="J10" s="44">
        <f t="shared" ref="J10:J17" si="7">I10/$J$5</f>
        <v>2.0109665757188089E-3</v>
      </c>
      <c r="K10" s="45">
        <f t="shared" si="2"/>
        <v>1.6916825396825397E-3</v>
      </c>
      <c r="L10" s="46">
        <f t="shared" si="3"/>
        <v>-6.7539999999999961E-3</v>
      </c>
      <c r="M10" s="46">
        <f t="shared" si="4"/>
        <v>-11.248792511908325</v>
      </c>
      <c r="N10" s="51">
        <v>29200</v>
      </c>
      <c r="O10" s="37">
        <v>1556</v>
      </c>
      <c r="P10" s="52">
        <f t="shared" si="5"/>
        <v>0</v>
      </c>
      <c r="Q10" s="49">
        <f t="shared" si="6"/>
        <v>0.6863291139240506</v>
      </c>
      <c r="R10" s="50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3957724.9510353338</v>
      </c>
      <c r="E11" s="39">
        <f t="shared" si="1"/>
        <v>3329351.3066666666</v>
      </c>
      <c r="F11" s="40" t="s">
        <v>39</v>
      </c>
      <c r="G11" s="41">
        <v>7.8E-2</v>
      </c>
      <c r="H11" s="42">
        <v>0.24</v>
      </c>
      <c r="I11" s="43">
        <v>0.24</v>
      </c>
      <c r="J11" s="44">
        <f t="shared" si="7"/>
        <v>9.0570480816040029E-3</v>
      </c>
      <c r="K11" s="45">
        <f t="shared" si="2"/>
        <v>7.619047619047619E-3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2.0769230769230766</v>
      </c>
      <c r="R11" s="50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140159066.67119518</v>
      </c>
      <c r="E12" s="39">
        <f t="shared" si="1"/>
        <v>117905811.42857143</v>
      </c>
      <c r="F12" s="40" t="s">
        <v>34</v>
      </c>
      <c r="G12" s="41">
        <v>97.381</v>
      </c>
      <c r="H12" s="42">
        <v>179.99950000000001</v>
      </c>
      <c r="I12" s="43">
        <v>180</v>
      </c>
      <c r="J12" s="44">
        <f t="shared" si="7"/>
        <v>6.7927860612030022</v>
      </c>
      <c r="K12" s="45">
        <f t="shared" si="2"/>
        <v>5.7142857142857144</v>
      </c>
      <c r="L12" s="46">
        <f t="shared" si="3"/>
        <v>4.9999999998817657E-4</v>
      </c>
      <c r="M12" s="46">
        <f t="shared" si="4"/>
        <v>2.7777854937829081E-4</v>
      </c>
      <c r="N12" s="51">
        <v>100</v>
      </c>
      <c r="O12" s="37">
        <v>18000</v>
      </c>
      <c r="P12" s="52">
        <f t="shared" si="5"/>
        <v>0</v>
      </c>
      <c r="Q12" s="49">
        <f t="shared" si="6"/>
        <v>0.84840985407831093</v>
      </c>
      <c r="R12" s="50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8241072.2035420602</v>
      </c>
      <c r="E13" s="39">
        <f t="shared" si="1"/>
        <v>6932625.3968253965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0.943442508500417</v>
      </c>
      <c r="K13" s="45">
        <f t="shared" si="2"/>
        <v>0.79365079365079361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680479440.21782196</v>
      </c>
      <c r="E14" s="39">
        <f t="shared" si="1"/>
        <v>572438747.38095248</v>
      </c>
      <c r="F14" s="40" t="s">
        <v>47</v>
      </c>
      <c r="G14" s="41">
        <v>11.5</v>
      </c>
      <c r="H14" s="42">
        <v>39.950000000000003</v>
      </c>
      <c r="I14" s="43">
        <v>34.5</v>
      </c>
      <c r="J14" s="44">
        <f t="shared" si="7"/>
        <v>1.3019506617305754</v>
      </c>
      <c r="K14" s="45">
        <f t="shared" si="2"/>
        <v>1.0952380952380953</v>
      </c>
      <c r="L14" s="46">
        <f t="shared" si="3"/>
        <v>-5.4500000000000028</v>
      </c>
      <c r="M14" s="46">
        <f t="shared" si="4"/>
        <v>-13.642052565707141</v>
      </c>
      <c r="N14" s="51">
        <v>200000</v>
      </c>
      <c r="O14" s="37">
        <v>6900000</v>
      </c>
      <c r="P14" s="52">
        <f t="shared" si="5"/>
        <v>0</v>
      </c>
      <c r="Q14" s="49">
        <f t="shared" si="6"/>
        <v>2</v>
      </c>
      <c r="R14" s="50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27611997.47534785</v>
      </c>
      <c r="E15" s="39">
        <f t="shared" si="1"/>
        <v>23228001.19047619</v>
      </c>
      <c r="F15" s="40" t="s">
        <v>34</v>
      </c>
      <c r="G15" s="41">
        <v>5.39</v>
      </c>
      <c r="H15" s="42">
        <v>6.9</v>
      </c>
      <c r="I15" s="43">
        <v>6.9</v>
      </c>
      <c r="J15" s="44">
        <f t="shared" si="7"/>
        <v>0.26039013234611513</v>
      </c>
      <c r="K15" s="45">
        <f t="shared" si="2"/>
        <v>0.21904761904761905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0.28014842300556597</v>
      </c>
      <c r="R15" s="50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67550645.503364325</v>
      </c>
      <c r="E16" s="39">
        <f t="shared" si="1"/>
        <v>56825533.015873015</v>
      </c>
      <c r="F16" s="40" t="s">
        <v>34</v>
      </c>
      <c r="G16" s="41">
        <v>1.9</v>
      </c>
      <c r="H16" s="42">
        <v>4.5</v>
      </c>
      <c r="I16" s="43">
        <v>5</v>
      </c>
      <c r="J16" s="44">
        <f t="shared" si="7"/>
        <v>0.18868850170008342</v>
      </c>
      <c r="K16" s="45">
        <f t="shared" si="2"/>
        <v>0.15873015873015872</v>
      </c>
      <c r="L16" s="46">
        <f t="shared" si="3"/>
        <v>0.5</v>
      </c>
      <c r="M16" s="46">
        <f t="shared" si="4"/>
        <v>11.111111111111111</v>
      </c>
      <c r="N16" s="51">
        <v>900</v>
      </c>
      <c r="O16" s="37">
        <v>4500</v>
      </c>
      <c r="P16" s="52">
        <f t="shared" si="5"/>
        <v>0.26498699999999997</v>
      </c>
      <c r="Q16" s="49">
        <f t="shared" si="6"/>
        <v>1.6315789473684212</v>
      </c>
      <c r="R16" s="50">
        <v>0.05</v>
      </c>
      <c r="S16" s="53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1621972470.7457347</v>
      </c>
      <c r="E17" s="39">
        <f t="shared" si="1"/>
        <v>1364449584.4619048</v>
      </c>
      <c r="F17" s="40" t="s">
        <v>34</v>
      </c>
      <c r="G17" s="41">
        <v>20.701700000000002</v>
      </c>
      <c r="H17" s="42">
        <v>31.7986</v>
      </c>
      <c r="I17" s="43">
        <v>31.89</v>
      </c>
      <c r="J17" s="44">
        <f t="shared" si="7"/>
        <v>1.203455263843132</v>
      </c>
      <c r="K17" s="45">
        <f t="shared" si="2"/>
        <v>1.0123809523809524</v>
      </c>
      <c r="L17" s="46">
        <f t="shared" si="3"/>
        <v>9.1400000000000148E-2</v>
      </c>
      <c r="M17" s="46">
        <f t="shared" si="4"/>
        <v>0.28743403797651518</v>
      </c>
      <c r="N17" s="51">
        <v>2500</v>
      </c>
      <c r="O17" s="37">
        <v>79725</v>
      </c>
      <c r="P17" s="48">
        <f t="shared" si="5"/>
        <v>0</v>
      </c>
      <c r="Q17" s="49">
        <f t="shared" si="6"/>
        <v>0.54045319949569337</v>
      </c>
      <c r="R17" s="50"/>
    </row>
    <row r="18" spans="1:19" ht="11.25" hidden="1" customHeight="1" x14ac:dyDescent="0.2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342330907.34639812</v>
      </c>
      <c r="E19" s="39">
        <f t="shared" si="1"/>
        <v>287978540.14285713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0.50945895459022517</v>
      </c>
      <c r="K19" s="45">
        <f t="shared" ref="K19:K45" si="9">I19/$K$4</f>
        <v>0.42857142857142855</v>
      </c>
      <c r="L19" s="46">
        <f t="shared" ref="L19:L29" si="10">I19-H19</f>
        <v>0</v>
      </c>
      <c r="M19" s="46">
        <f>((I19-H19)/H19)*100</f>
        <v>0</v>
      </c>
      <c r="N19" s="51">
        <v>651200</v>
      </c>
      <c r="O19" s="37">
        <v>8791200</v>
      </c>
      <c r="P19" s="52">
        <f>(R19)/J19</f>
        <v>0</v>
      </c>
      <c r="Q19" s="49">
        <f t="shared" ref="Q19:Q29" si="11">I19/G19-1</f>
        <v>8.4337349397590522E-2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3781673.3545419215</v>
      </c>
      <c r="E20" s="39">
        <f t="shared" si="1"/>
        <v>3181251.6736507937</v>
      </c>
      <c r="F20" s="40" t="s">
        <v>47</v>
      </c>
      <c r="G20" s="41">
        <v>0.35</v>
      </c>
      <c r="H20" s="42">
        <v>0.92</v>
      </c>
      <c r="I20" s="43">
        <v>0.92</v>
      </c>
      <c r="J20" s="44">
        <f t="shared" si="8"/>
        <v>3.471868431281535E-2</v>
      </c>
      <c r="K20" s="45">
        <f t="shared" si="9"/>
        <v>2.9206349206349208E-2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1.628571428571429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87248780.166574225</v>
      </c>
      <c r="E21" s="39">
        <f t="shared" si="1"/>
        <v>73396166.698412701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8"/>
        <v>0.12642129613905589</v>
      </c>
      <c r="K21" s="45">
        <f t="shared" si="9"/>
        <v>0.10634920634920635</v>
      </c>
      <c r="L21" s="46">
        <f t="shared" si="10"/>
        <v>0</v>
      </c>
      <c r="M21" s="46">
        <f>((I21-H21)/H21)*100</f>
        <v>0</v>
      </c>
      <c r="N21" s="51">
        <v>0</v>
      </c>
      <c r="O21" s="37">
        <v>0</v>
      </c>
      <c r="P21" s="52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2095835.7383758447</v>
      </c>
      <c r="E23" s="39">
        <f t="shared" si="1"/>
        <v>1763076.9041428571</v>
      </c>
      <c r="F23" s="40" t="s">
        <v>44</v>
      </c>
      <c r="G23" s="41">
        <v>0.1</v>
      </c>
      <c r="H23" s="42">
        <v>0.10349399999999999</v>
      </c>
      <c r="I23" s="43">
        <v>0.10349999999999999</v>
      </c>
      <c r="J23" s="44">
        <f t="shared" si="8"/>
        <v>3.9058519851917261E-3</v>
      </c>
      <c r="K23" s="45">
        <f t="shared" si="9"/>
        <v>3.2857142857142855E-3</v>
      </c>
      <c r="L23" s="46">
        <f t="shared" si="10"/>
        <v>6.0000000000060005E-6</v>
      </c>
      <c r="M23" s="46">
        <f t="shared" ref="M23:M29" si="12">((I23-H23)/H23)*100</f>
        <v>5.7974375326163849E-3</v>
      </c>
      <c r="N23" s="51">
        <v>900</v>
      </c>
      <c r="O23" s="37">
        <v>93.15</v>
      </c>
      <c r="P23" s="52">
        <f t="shared" ref="P23:P29" si="13">(R23)/J23</f>
        <v>0</v>
      </c>
      <c r="Q23" s="49">
        <f t="shared" si="11"/>
        <v>3.499999999999992E-2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76613984.463222712</v>
      </c>
      <c r="E24" s="39">
        <f t="shared" si="1"/>
        <v>64449872.701447614</v>
      </c>
      <c r="F24" s="40" t="s">
        <v>34</v>
      </c>
      <c r="G24" s="41">
        <v>8.1687659999999997</v>
      </c>
      <c r="H24" s="42">
        <v>10.75</v>
      </c>
      <c r="I24" s="43">
        <v>10.517899999999999</v>
      </c>
      <c r="J24" s="44">
        <f t="shared" si="8"/>
        <v>0.39692135840626142</v>
      </c>
      <c r="K24" s="45">
        <f t="shared" si="9"/>
        <v>0.33390158730158725</v>
      </c>
      <c r="L24" s="46">
        <f t="shared" si="10"/>
        <v>-0.23210000000000086</v>
      </c>
      <c r="M24" s="46">
        <f t="shared" si="12"/>
        <v>-2.1590697674418684</v>
      </c>
      <c r="N24" s="51">
        <v>1400</v>
      </c>
      <c r="O24" s="37">
        <v>14725</v>
      </c>
      <c r="P24" s="48">
        <f t="shared" si="13"/>
        <v>3.779086129360424E-2</v>
      </c>
      <c r="Q24" s="49">
        <f t="shared" si="11"/>
        <v>0.28757513680768909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99612463.101856709</v>
      </c>
      <c r="E25" s="39">
        <f t="shared" si="1"/>
        <v>83796850.031656191</v>
      </c>
      <c r="F25" s="40" t="s">
        <v>66</v>
      </c>
      <c r="G25" s="41">
        <v>1.6675</v>
      </c>
      <c r="H25" s="42">
        <v>1.56413</v>
      </c>
      <c r="I25" s="43">
        <v>1.56413</v>
      </c>
      <c r="J25" s="44">
        <f t="shared" si="8"/>
        <v>5.9026669232830294E-2</v>
      </c>
      <c r="K25" s="45">
        <f t="shared" si="9"/>
        <v>4.9654920634920635E-2</v>
      </c>
      <c r="L25" s="46">
        <f t="shared" si="10"/>
        <v>0</v>
      </c>
      <c r="M25" s="46">
        <f t="shared" si="12"/>
        <v>0</v>
      </c>
      <c r="N25" s="51">
        <v>0</v>
      </c>
      <c r="O25" s="37">
        <v>0</v>
      </c>
      <c r="P25" s="52">
        <f t="shared" si="13"/>
        <v>0</v>
      </c>
      <c r="Q25" s="49">
        <f t="shared" si="11"/>
        <v>-6.1991004497751079E-2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23488287.282017607</v>
      </c>
      <c r="E26" s="39">
        <f t="shared" si="1"/>
        <v>19759018.355555557</v>
      </c>
      <c r="F26" s="40" t="s">
        <v>44</v>
      </c>
      <c r="G26" s="41">
        <v>1.7994999999999999</v>
      </c>
      <c r="H26" s="42">
        <v>2.6</v>
      </c>
      <c r="I26" s="43">
        <v>2.6</v>
      </c>
      <c r="J26" s="44">
        <f t="shared" si="8"/>
        <v>9.8118020884043367E-2</v>
      </c>
      <c r="K26" s="45">
        <f t="shared" si="9"/>
        <v>8.2539682539682538E-2</v>
      </c>
      <c r="L26" s="46">
        <f t="shared" si="10"/>
        <v>0</v>
      </c>
      <c r="M26" s="46">
        <f t="shared" si="12"/>
        <v>0</v>
      </c>
      <c r="N26" s="51">
        <v>5000</v>
      </c>
      <c r="O26" s="37">
        <v>13000</v>
      </c>
      <c r="P26" s="52">
        <f t="shared" si="13"/>
        <v>0</v>
      </c>
      <c r="Q26" s="49">
        <f t="shared" si="11"/>
        <v>0.44484579049736062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24166349.764328063</v>
      </c>
      <c r="E27" s="39">
        <f t="shared" si="1"/>
        <v>20329423.888888888</v>
      </c>
      <c r="F27" s="40" t="s">
        <v>34</v>
      </c>
      <c r="G27" s="41">
        <v>3.1361369999999997</v>
      </c>
      <c r="H27" s="42">
        <v>2.5142859999999998</v>
      </c>
      <c r="I27" s="43">
        <v>2.5</v>
      </c>
      <c r="J27" s="44">
        <f t="shared" si="8"/>
        <v>9.4344250850041708E-2</v>
      </c>
      <c r="K27" s="45">
        <f t="shared" si="9"/>
        <v>7.9365079365079361E-2</v>
      </c>
      <c r="L27" s="46">
        <f t="shared" si="10"/>
        <v>-1.4285999999999799E-2</v>
      </c>
      <c r="M27" s="46">
        <f t="shared" si="12"/>
        <v>-0.56819311725077415</v>
      </c>
      <c r="N27" s="51">
        <v>10100</v>
      </c>
      <c r="O27" s="37">
        <v>25250</v>
      </c>
      <c r="P27" s="52">
        <f t="shared" si="13"/>
        <v>0</v>
      </c>
      <c r="Q27" s="49">
        <f t="shared" si="11"/>
        <v>-0.20284094731830904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24595413.628310073</v>
      </c>
      <c r="E28" s="39">
        <f t="shared" si="1"/>
        <v>20690364.670238096</v>
      </c>
      <c r="F28" s="40" t="s">
        <v>44</v>
      </c>
      <c r="G28" s="41">
        <v>0.8</v>
      </c>
      <c r="H28" s="42">
        <v>1</v>
      </c>
      <c r="I28" s="43">
        <v>0.86250000000000004</v>
      </c>
      <c r="J28" s="44">
        <f t="shared" si="8"/>
        <v>3.2548766543264392E-2</v>
      </c>
      <c r="K28" s="45">
        <f t="shared" si="9"/>
        <v>2.7380952380952381E-2</v>
      </c>
      <c r="L28" s="46">
        <f t="shared" si="10"/>
        <v>-0.13749999999999996</v>
      </c>
      <c r="M28" s="46">
        <f t="shared" si="12"/>
        <v>-13.749999999999996</v>
      </c>
      <c r="N28" s="51">
        <v>600</v>
      </c>
      <c r="O28" s="37">
        <v>517.5</v>
      </c>
      <c r="P28" s="52">
        <f t="shared" si="13"/>
        <v>0</v>
      </c>
      <c r="Q28" s="49">
        <f t="shared" si="11"/>
        <v>7.8125E-2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100847257.68056546</v>
      </c>
      <c r="E29" s="39">
        <f t="shared" si="1"/>
        <v>84835594.51111111</v>
      </c>
      <c r="F29" s="40" t="s">
        <v>47</v>
      </c>
      <c r="G29" s="41">
        <v>5.15</v>
      </c>
      <c r="H29" s="42">
        <v>6.2</v>
      </c>
      <c r="I29" s="43">
        <v>5.95</v>
      </c>
      <c r="J29" s="44">
        <f t="shared" si="8"/>
        <v>0.22453931702309926</v>
      </c>
      <c r="K29" s="45">
        <f t="shared" si="9"/>
        <v>0.18888888888888888</v>
      </c>
      <c r="L29" s="46">
        <f t="shared" si="10"/>
        <v>-0.25</v>
      </c>
      <c r="M29" s="46">
        <f t="shared" si="12"/>
        <v>-4.032258064516129</v>
      </c>
      <c r="N29" s="51">
        <v>300</v>
      </c>
      <c r="O29" s="37">
        <v>1785</v>
      </c>
      <c r="P29" s="52">
        <f t="shared" si="13"/>
        <v>0</v>
      </c>
      <c r="Q29" s="49">
        <f t="shared" si="11"/>
        <v>0.15533980582524265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11768106.51088544</v>
      </c>
      <c r="E31" s="39">
        <f t="shared" si="1"/>
        <v>9899667.4285714272</v>
      </c>
      <c r="F31" s="40" t="s">
        <v>39</v>
      </c>
      <c r="G31" s="41">
        <v>1.4</v>
      </c>
      <c r="H31" s="42">
        <v>1.2</v>
      </c>
      <c r="I31" s="43">
        <v>1.2</v>
      </c>
      <c r="J31" s="44">
        <f t="shared" si="8"/>
        <v>4.5285240408020018E-2</v>
      </c>
      <c r="K31" s="45">
        <f t="shared" si="9"/>
        <v>3.8095238095238092E-2</v>
      </c>
      <c r="L31" s="46">
        <f t="shared" ref="L31:L45" si="14">I31-H31</f>
        <v>0</v>
      </c>
      <c r="M31" s="46">
        <f t="shared" ref="M31:M45" si="15">((I31-H31)/H31)*100</f>
        <v>0</v>
      </c>
      <c r="N31" s="51">
        <v>0</v>
      </c>
      <c r="O31" s="37">
        <v>0</v>
      </c>
      <c r="P31" s="52">
        <f t="shared" ref="P31:P36" si="16">(R31)/J31</f>
        <v>0</v>
      </c>
      <c r="Q31" s="49">
        <f t="shared" ref="Q31:Q45" si="17">I31/G31-1</f>
        <v>-0.14285714285714279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4513009.340080834</v>
      </c>
      <c r="E32" s="39">
        <f t="shared" si="1"/>
        <v>3796472.4</v>
      </c>
      <c r="F32" s="40" t="s">
        <v>39</v>
      </c>
      <c r="G32" s="41">
        <v>0.65</v>
      </c>
      <c r="H32" s="42">
        <v>0.98</v>
      </c>
      <c r="I32" s="43">
        <v>0.98</v>
      </c>
      <c r="J32" s="44">
        <f t="shared" si="8"/>
        <v>3.6982946333216346E-2</v>
      </c>
      <c r="K32" s="45">
        <f t="shared" si="9"/>
        <v>3.111111111111111E-2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0.50769230769230766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146468666.20078126</v>
      </c>
      <c r="E33" s="39">
        <f t="shared" si="1"/>
        <v>123213626.82713149</v>
      </c>
      <c r="F33" s="40" t="s">
        <v>92</v>
      </c>
      <c r="G33" s="41">
        <v>1.44</v>
      </c>
      <c r="H33" s="42">
        <v>1.5552940000000002</v>
      </c>
      <c r="I33" s="43">
        <v>1.5552940000000002</v>
      </c>
      <c r="J33" s="44">
        <f t="shared" si="8"/>
        <v>5.8693218912625911E-2</v>
      </c>
      <c r="K33" s="45">
        <f t="shared" si="9"/>
        <v>4.9374412698412702E-2</v>
      </c>
      <c r="L33" s="46">
        <f t="shared" si="14"/>
        <v>0</v>
      </c>
      <c r="M33" s="46">
        <f t="shared" si="15"/>
        <v>0</v>
      </c>
      <c r="N33" s="51">
        <v>0</v>
      </c>
      <c r="O33" s="37">
        <v>0</v>
      </c>
      <c r="P33" s="52">
        <f t="shared" si="16"/>
        <v>0</v>
      </c>
      <c r="Q33" s="49">
        <f t="shared" si="17"/>
        <v>8.0065277777777943E-2</v>
      </c>
      <c r="R33" s="50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52167904.44294773</v>
      </c>
      <c r="E34" s="39">
        <f t="shared" si="1"/>
        <v>43885131.728963137</v>
      </c>
      <c r="F34" s="40" t="s">
        <v>34</v>
      </c>
      <c r="G34" s="41">
        <v>3.6056249999999999</v>
      </c>
      <c r="H34" s="42">
        <v>5.5</v>
      </c>
      <c r="I34" s="43">
        <v>5.4533329999999998</v>
      </c>
      <c r="J34" s="44">
        <f t="shared" si="8"/>
        <v>0.20579624660832418</v>
      </c>
      <c r="K34" s="45">
        <f t="shared" si="9"/>
        <v>0.17312168253968252</v>
      </c>
      <c r="L34" s="46">
        <f t="shared" si="14"/>
        <v>-4.6667000000000236E-2</v>
      </c>
      <c r="M34" s="46">
        <f t="shared" si="15"/>
        <v>-0.84849090909091329</v>
      </c>
      <c r="N34" s="51">
        <v>6000</v>
      </c>
      <c r="O34" s="37">
        <v>32720</v>
      </c>
      <c r="P34" s="52">
        <f t="shared" si="16"/>
        <v>0</v>
      </c>
      <c r="Q34" s="49">
        <f t="shared" si="17"/>
        <v>0.5124515167273358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7142902.0767059522</v>
      </c>
      <c r="E35" s="39">
        <f t="shared" si="1"/>
        <v>6008813.3098415248</v>
      </c>
      <c r="F35" s="40" t="s">
        <v>34</v>
      </c>
      <c r="G35" s="41">
        <v>2.5099999999999997E-2</v>
      </c>
      <c r="H35" s="42">
        <v>3.8832999999999999E-2</v>
      </c>
      <c r="I35" s="43">
        <v>4.0143000000000005E-2</v>
      </c>
      <c r="J35" s="44">
        <f t="shared" si="8"/>
        <v>1.5149045047492898E-3</v>
      </c>
      <c r="K35" s="45">
        <f t="shared" si="9"/>
        <v>1.2743809523809526E-3</v>
      </c>
      <c r="L35" s="46">
        <f t="shared" si="14"/>
        <v>1.3100000000000056E-3</v>
      </c>
      <c r="M35" s="46">
        <f t="shared" si="15"/>
        <v>3.3734195143306098</v>
      </c>
      <c r="N35" s="51">
        <v>1400</v>
      </c>
      <c r="O35" s="37">
        <v>56.2</v>
      </c>
      <c r="P35" s="52">
        <f t="shared" si="16"/>
        <v>0</v>
      </c>
      <c r="Q35" s="49">
        <f t="shared" si="17"/>
        <v>0.59932270916334707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87367538.337239191</v>
      </c>
      <c r="E36" s="39">
        <f t="shared" si="1"/>
        <v>73496069.464666665</v>
      </c>
      <c r="F36" s="40" t="s">
        <v>92</v>
      </c>
      <c r="G36" s="41">
        <v>0.61</v>
      </c>
      <c r="H36" s="42">
        <v>4.4089999999999998</v>
      </c>
      <c r="I36" s="43">
        <v>4.4089999999999998</v>
      </c>
      <c r="J36" s="44">
        <f t="shared" si="8"/>
        <v>0.16638552079913355</v>
      </c>
      <c r="K36" s="45">
        <f t="shared" si="9"/>
        <v>0.13996825396825396</v>
      </c>
      <c r="L36" s="46">
        <f t="shared" si="14"/>
        <v>0</v>
      </c>
      <c r="M36" s="46">
        <f t="shared" si="15"/>
        <v>0</v>
      </c>
      <c r="N36" s="51">
        <v>0</v>
      </c>
      <c r="O36" s="37">
        <v>0</v>
      </c>
      <c r="P36" s="52">
        <f t="shared" si="16"/>
        <v>0</v>
      </c>
      <c r="Q36" s="49">
        <f t="shared" si="17"/>
        <v>6.2278688524590162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47495515.532301545</v>
      </c>
      <c r="E37" s="39">
        <f t="shared" si="1"/>
        <v>39954584.68050155</v>
      </c>
      <c r="F37" s="40" t="s">
        <v>56</v>
      </c>
      <c r="G37" s="41">
        <v>0.11650199999999999</v>
      </c>
      <c r="H37" s="42">
        <v>0.28654499999999999</v>
      </c>
      <c r="I37" s="43">
        <v>0.30003099999999999</v>
      </c>
      <c r="J37" s="44">
        <f t="shared" si="8"/>
        <v>1.1322479970715544E-2</v>
      </c>
      <c r="K37" s="45">
        <f t="shared" si="9"/>
        <v>9.52479365079365E-3</v>
      </c>
      <c r="L37" s="46">
        <f t="shared" si="14"/>
        <v>1.3485999999999998E-2</v>
      </c>
      <c r="M37" s="46">
        <f t="shared" si="15"/>
        <v>4.7064160952031964</v>
      </c>
      <c r="N37" s="51">
        <v>83500</v>
      </c>
      <c r="O37" s="37">
        <v>25052.6</v>
      </c>
      <c r="P37" s="52">
        <v>0</v>
      </c>
      <c r="Q37" s="49">
        <f t="shared" si="17"/>
        <v>1.5753291788982162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20363573.735672582</v>
      </c>
      <c r="E38" s="39">
        <f t="shared" si="1"/>
        <v>17130420.042840224</v>
      </c>
      <c r="F38" s="40" t="s">
        <v>39</v>
      </c>
      <c r="G38" s="41">
        <v>0.1</v>
      </c>
      <c r="H38" s="42">
        <v>0.12571399999999999</v>
      </c>
      <c r="I38" s="43">
        <v>0.12503300000000001</v>
      </c>
      <c r="J38" s="44">
        <f t="shared" si="8"/>
        <v>4.7184578866133059E-3</v>
      </c>
      <c r="K38" s="45">
        <f t="shared" si="9"/>
        <v>3.9693015873015873E-3</v>
      </c>
      <c r="L38" s="46">
        <f t="shared" si="14"/>
        <v>-6.8099999999998717E-4</v>
      </c>
      <c r="M38" s="46">
        <f t="shared" si="15"/>
        <v>-0.54170577660402763</v>
      </c>
      <c r="N38" s="51">
        <v>60500</v>
      </c>
      <c r="O38" s="37">
        <v>7564.5</v>
      </c>
      <c r="P38" s="52">
        <f t="shared" ref="P38:P44" si="18">(R38)/J38</f>
        <v>0</v>
      </c>
      <c r="Q38" s="49">
        <f t="shared" si="17"/>
        <v>0.25032999999999994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9241613.554627208</v>
      </c>
      <c r="E39" s="39">
        <f t="shared" si="1"/>
        <v>7774309.3682539668</v>
      </c>
      <c r="F39" s="40" t="s">
        <v>44</v>
      </c>
      <c r="G39" s="41">
        <v>1.7452379999999998</v>
      </c>
      <c r="H39" s="42">
        <v>2.2999999999999998</v>
      </c>
      <c r="I39" s="43">
        <v>2.2999999999999998</v>
      </c>
      <c r="J39" s="44">
        <f t="shared" si="8"/>
        <v>8.6796710782038364E-2</v>
      </c>
      <c r="K39" s="45">
        <f t="shared" si="9"/>
        <v>7.3015873015873006E-2</v>
      </c>
      <c r="L39" s="46">
        <f t="shared" si="14"/>
        <v>0</v>
      </c>
      <c r="M39" s="46">
        <f t="shared" si="15"/>
        <v>0</v>
      </c>
      <c r="N39" s="51">
        <v>15000</v>
      </c>
      <c r="O39" s="37">
        <v>34500</v>
      </c>
      <c r="P39" s="52">
        <f t="shared" si="18"/>
        <v>0</v>
      </c>
      <c r="Q39" s="49">
        <f t="shared" si="17"/>
        <v>0.31787183180746692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5166521.7522369018</v>
      </c>
      <c r="E40" s="39">
        <f t="shared" si="1"/>
        <v>4346225.712888889</v>
      </c>
      <c r="F40" s="40" t="s">
        <v>39</v>
      </c>
      <c r="G40" s="41">
        <v>0.03</v>
      </c>
      <c r="H40" s="42">
        <v>7.2867000000000001E-2</v>
      </c>
      <c r="I40" s="43">
        <v>7.6999999999999999E-2</v>
      </c>
      <c r="J40" s="44">
        <f t="shared" si="8"/>
        <v>2.9058029261812843E-3</v>
      </c>
      <c r="K40" s="45">
        <f t="shared" si="9"/>
        <v>2.4444444444444444E-3</v>
      </c>
      <c r="L40" s="46">
        <f t="shared" si="14"/>
        <v>4.1329999999999978E-3</v>
      </c>
      <c r="M40" s="46">
        <f t="shared" si="15"/>
        <v>5.6719777128192428</v>
      </c>
      <c r="N40" s="51">
        <v>7700</v>
      </c>
      <c r="O40" s="37">
        <v>592.9</v>
      </c>
      <c r="P40" s="52">
        <f t="shared" si="18"/>
        <v>0</v>
      </c>
      <c r="Q40" s="49">
        <f t="shared" si="17"/>
        <v>1.5666666666666669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46279043.651197985</v>
      </c>
      <c r="E41" s="39">
        <f t="shared" si="1"/>
        <v>38931253.777777776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0.26416390238011678</v>
      </c>
      <c r="K41" s="45">
        <f t="shared" si="9"/>
        <v>0.22222222222222221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314.73536052712024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6.7927860612030028E-7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1565057.9085011717</v>
      </c>
      <c r="E43" s="39">
        <f t="shared" si="1"/>
        <v>1316571.4285714286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2.7171144244812011E-3</v>
      </c>
      <c r="K43" s="45">
        <f t="shared" si="9"/>
        <v>2.2857142857142859E-3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52811005.76119817</v>
      </c>
      <c r="E44" s="39">
        <f t="shared" si="1"/>
        <v>44426126.932198793</v>
      </c>
      <c r="F44" s="40" t="s">
        <v>47</v>
      </c>
      <c r="G44" s="41">
        <v>0.9998999999999999</v>
      </c>
      <c r="H44" s="42">
        <v>0.6825</v>
      </c>
      <c r="I44" s="43">
        <v>0.76966699999999999</v>
      </c>
      <c r="J44" s="44">
        <f t="shared" si="8"/>
        <v>2.9045462607599618E-2</v>
      </c>
      <c r="K44" s="45">
        <f t="shared" si="9"/>
        <v>2.4433873015873016E-2</v>
      </c>
      <c r="L44" s="46">
        <f t="shared" si="14"/>
        <v>8.7166999999999994E-2</v>
      </c>
      <c r="M44" s="46">
        <f t="shared" si="15"/>
        <v>12.771721611721611</v>
      </c>
      <c r="N44" s="51">
        <v>4500</v>
      </c>
      <c r="O44" s="37">
        <v>3463.5</v>
      </c>
      <c r="P44" s="52">
        <f t="shared" si="18"/>
        <v>0</v>
      </c>
      <c r="Q44" s="49">
        <f t="shared" si="17"/>
        <v>-0.2302560256025602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10857435.914195037</v>
      </c>
      <c r="E45" s="39">
        <f t="shared" si="1"/>
        <v>9133585.303475555</v>
      </c>
      <c r="F45" s="40" t="s">
        <v>47</v>
      </c>
      <c r="G45" s="41">
        <v>1.4503460000000001</v>
      </c>
      <c r="H45" s="42">
        <v>2.7022029999999999</v>
      </c>
      <c r="I45" s="43">
        <v>2.8010989999999998</v>
      </c>
      <c r="J45" s="44">
        <f t="shared" si="8"/>
        <v>0.10570703468472038</v>
      </c>
      <c r="K45" s="45">
        <f t="shared" si="9"/>
        <v>8.8923777777777768E-2</v>
      </c>
      <c r="L45" s="46">
        <f t="shared" si="14"/>
        <v>9.8895999999999873E-2</v>
      </c>
      <c r="M45" s="46">
        <f t="shared" si="15"/>
        <v>3.6598286657220007</v>
      </c>
      <c r="N45" s="51">
        <v>18200</v>
      </c>
      <c r="O45" s="37">
        <v>50980</v>
      </c>
      <c r="P45" s="52">
        <v>0</v>
      </c>
      <c r="Q45" s="49">
        <f t="shared" si="17"/>
        <v>0.93133155812475055</v>
      </c>
      <c r="R45" s="50"/>
    </row>
    <row r="46" spans="1:18" ht="12" customHeight="1" x14ac:dyDescent="0.2">
      <c r="A46" s="35"/>
      <c r="B46" s="36"/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35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1112300</v>
      </c>
      <c r="O47" s="62">
        <f>SUM(O9:O45)</f>
        <v>16231306.35</v>
      </c>
      <c r="P47" s="63"/>
      <c r="Q47" s="64"/>
    </row>
    <row r="48" spans="1:18" ht="13.5" customHeight="1" x14ac:dyDescent="0.3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25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5" customHeight="1" x14ac:dyDescent="0.2">
      <c r="A50" s="35" t="s">
        <v>119</v>
      </c>
      <c r="B50" s="36" t="s">
        <v>120</v>
      </c>
      <c r="C50" s="40">
        <v>554920308</v>
      </c>
      <c r="D50" s="38">
        <f t="shared" ref="D50:D65" si="19">C50*J50</f>
        <v>76856462.658000007</v>
      </c>
      <c r="E50" s="39">
        <v>0</v>
      </c>
      <c r="F50" s="40" t="s">
        <v>92</v>
      </c>
      <c r="G50" s="71">
        <v>0.1</v>
      </c>
      <c r="H50" s="42">
        <v>0.13450000000000001</v>
      </c>
      <c r="I50" s="42">
        <v>0.13850000000000001</v>
      </c>
      <c r="J50" s="44">
        <f t="shared" ref="J50:J65" si="20">I50</f>
        <v>0.13850000000000001</v>
      </c>
      <c r="K50" s="39">
        <v>0</v>
      </c>
      <c r="L50" s="46">
        <f t="shared" ref="L50:L65" si="21">I50-H50</f>
        <v>4.0000000000000036E-3</v>
      </c>
      <c r="M50" s="46">
        <f t="shared" ref="M50:M65" si="22">((I50-H50)/H50)*100</f>
        <v>2.9739776951672887</v>
      </c>
      <c r="N50" s="51">
        <v>2270</v>
      </c>
      <c r="O50" s="37">
        <v>314.32</v>
      </c>
      <c r="P50" s="72">
        <f>(R50)/J50</f>
        <v>0</v>
      </c>
      <c r="Q50" s="49">
        <f t="shared" ref="Q50:Q65" si="23">J50/G50-1</f>
        <v>0.38500000000000001</v>
      </c>
      <c r="T50" s="53"/>
    </row>
    <row r="51" spans="1:20" ht="12" customHeight="1" x14ac:dyDescent="0.2">
      <c r="A51" s="35" t="s">
        <v>121</v>
      </c>
      <c r="B51" s="36" t="s">
        <v>122</v>
      </c>
      <c r="C51" s="40">
        <v>1057685</v>
      </c>
      <c r="D51" s="38">
        <f t="shared" si="19"/>
        <v>44521028.936499998</v>
      </c>
      <c r="E51" s="39">
        <v>0</v>
      </c>
      <c r="F51" s="40" t="s">
        <v>39</v>
      </c>
      <c r="G51" s="71">
        <v>39.9</v>
      </c>
      <c r="H51" s="42">
        <v>38.381300000000003</v>
      </c>
      <c r="I51" s="42">
        <v>42.0929</v>
      </c>
      <c r="J51" s="44">
        <f t="shared" si="20"/>
        <v>42.0929</v>
      </c>
      <c r="K51" s="39">
        <v>0</v>
      </c>
      <c r="L51" s="46">
        <f t="shared" si="21"/>
        <v>3.7115999999999971</v>
      </c>
      <c r="M51" s="46">
        <f t="shared" si="22"/>
        <v>9.6703342513150847</v>
      </c>
      <c r="N51" s="51">
        <v>26790</v>
      </c>
      <c r="O51" s="37">
        <v>1127669.45</v>
      </c>
      <c r="P51" s="73">
        <f>(R51)/J51</f>
        <v>1.330390635950481E-2</v>
      </c>
      <c r="Q51" s="49">
        <f t="shared" si="23"/>
        <v>5.4959899749373431E-2</v>
      </c>
      <c r="R51" s="53">
        <v>0.56000000000000005</v>
      </c>
      <c r="T51" s="53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686701455.08850002</v>
      </c>
      <c r="E52" s="39"/>
      <c r="F52" s="40" t="s">
        <v>56</v>
      </c>
      <c r="G52" s="71">
        <v>0.33</v>
      </c>
      <c r="H52" s="42">
        <v>0.22950000000000001</v>
      </c>
      <c r="I52" s="42">
        <v>0.22950000000000001</v>
      </c>
      <c r="J52" s="44">
        <f t="shared" si="20"/>
        <v>0.22950000000000001</v>
      </c>
      <c r="K52" s="39">
        <v>0</v>
      </c>
      <c r="L52" s="46">
        <f t="shared" si="21"/>
        <v>0</v>
      </c>
      <c r="M52" s="46">
        <f t="shared" si="22"/>
        <v>0</v>
      </c>
      <c r="N52" s="51">
        <v>2092579</v>
      </c>
      <c r="O52" s="37">
        <v>480252.73</v>
      </c>
      <c r="P52" s="72">
        <v>0</v>
      </c>
      <c r="Q52" s="49">
        <f t="shared" si="23"/>
        <v>-0.30454545454545456</v>
      </c>
      <c r="R52" s="53"/>
      <c r="T52" s="53"/>
    </row>
    <row r="53" spans="1:20" ht="12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14633782.632000001</v>
      </c>
      <c r="E53" s="39">
        <v>0</v>
      </c>
      <c r="F53" s="40" t="s">
        <v>34</v>
      </c>
      <c r="G53" s="71">
        <v>2.3E-2</v>
      </c>
      <c r="H53" s="42">
        <v>2.4E-2</v>
      </c>
      <c r="I53" s="42">
        <v>2.4E-2</v>
      </c>
      <c r="J53" s="44">
        <f t="shared" si="20"/>
        <v>2.4E-2</v>
      </c>
      <c r="K53" s="39">
        <v>0</v>
      </c>
      <c r="L53" s="46">
        <f t="shared" si="21"/>
        <v>0</v>
      </c>
      <c r="M53" s="46">
        <f t="shared" si="22"/>
        <v>0</v>
      </c>
      <c r="N53" s="51">
        <v>0</v>
      </c>
      <c r="O53" s="37">
        <v>0</v>
      </c>
      <c r="P53" s="72">
        <f t="shared" ref="P53:P65" si="24">(R53)/J53</f>
        <v>0</v>
      </c>
      <c r="Q53" s="49">
        <f t="shared" si="23"/>
        <v>4.3478260869565188E-2</v>
      </c>
      <c r="T53" s="53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309049248.25410002</v>
      </c>
      <c r="E54" s="39">
        <v>0</v>
      </c>
      <c r="F54" s="40" t="s">
        <v>47</v>
      </c>
      <c r="G54" s="71">
        <v>9.0200000000000002E-2</v>
      </c>
      <c r="H54" s="42">
        <v>0.14960000000000001</v>
      </c>
      <c r="I54" s="42">
        <v>0.1429</v>
      </c>
      <c r="J54" s="44">
        <f t="shared" si="20"/>
        <v>0.1429</v>
      </c>
      <c r="K54" s="39">
        <v>0</v>
      </c>
      <c r="L54" s="46">
        <f t="shared" si="21"/>
        <v>-6.7000000000000115E-3</v>
      </c>
      <c r="M54" s="74">
        <f t="shared" si="22"/>
        <v>-4.4786096256684571</v>
      </c>
      <c r="N54" s="51">
        <v>41055</v>
      </c>
      <c r="O54" s="37">
        <v>5865.52</v>
      </c>
      <c r="P54" s="72">
        <f t="shared" si="24"/>
        <v>0</v>
      </c>
      <c r="Q54" s="49">
        <f t="shared" si="23"/>
        <v>0.58425720620842569</v>
      </c>
      <c r="R54" s="53"/>
      <c r="T54" s="53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862449858.875</v>
      </c>
      <c r="E55" s="39">
        <v>0</v>
      </c>
      <c r="F55" s="40" t="s">
        <v>34</v>
      </c>
      <c r="G55" s="71">
        <v>0.95750000000000002</v>
      </c>
      <c r="H55" s="42">
        <v>1.4614</v>
      </c>
      <c r="I55" s="42">
        <v>1.4975000000000001</v>
      </c>
      <c r="J55" s="44">
        <f t="shared" si="20"/>
        <v>1.4975000000000001</v>
      </c>
      <c r="K55" s="39">
        <v>0</v>
      </c>
      <c r="L55" s="46">
        <f t="shared" si="21"/>
        <v>3.6100000000000021E-2</v>
      </c>
      <c r="M55" s="46">
        <f t="shared" si="22"/>
        <v>2.4702340221705228</v>
      </c>
      <c r="N55" s="51">
        <v>14172</v>
      </c>
      <c r="O55" s="37">
        <v>21222.82</v>
      </c>
      <c r="P55" s="73">
        <f t="shared" si="24"/>
        <v>3.1385642737896492E-2</v>
      </c>
      <c r="Q55" s="49">
        <f t="shared" si="23"/>
        <v>0.56396866840731064</v>
      </c>
      <c r="R55" s="53">
        <v>4.7E-2</v>
      </c>
      <c r="T55" s="53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24253554.389399998</v>
      </c>
      <c r="E56" s="39">
        <v>0</v>
      </c>
      <c r="F56" s="40" t="s">
        <v>34</v>
      </c>
      <c r="G56" s="71">
        <v>0.1595</v>
      </c>
      <c r="H56" s="42">
        <v>0.15</v>
      </c>
      <c r="I56" s="42">
        <v>0.1477</v>
      </c>
      <c r="J56" s="44">
        <f t="shared" si="20"/>
        <v>0.1477</v>
      </c>
      <c r="K56" s="39">
        <v>0</v>
      </c>
      <c r="L56" s="46">
        <f t="shared" si="21"/>
        <v>-2.2999999999999965E-3</v>
      </c>
      <c r="M56" s="46">
        <f t="shared" si="22"/>
        <v>-1.533333333333331</v>
      </c>
      <c r="N56" s="51">
        <v>852</v>
      </c>
      <c r="O56" s="37">
        <v>125.8</v>
      </c>
      <c r="P56" s="72">
        <f t="shared" si="24"/>
        <v>0</v>
      </c>
      <c r="Q56" s="49">
        <f t="shared" si="23"/>
        <v>-7.3981191222570519E-2</v>
      </c>
      <c r="T56" s="53"/>
    </row>
    <row r="57" spans="1:20" ht="12" customHeight="1" x14ac:dyDescent="0.2">
      <c r="A57" s="35" t="s">
        <v>133</v>
      </c>
      <c r="B57" s="36" t="s">
        <v>134</v>
      </c>
      <c r="C57" s="40">
        <v>953802800</v>
      </c>
      <c r="D57" s="38">
        <f t="shared" si="19"/>
        <v>19552957.400000002</v>
      </c>
      <c r="E57" s="39">
        <v>0</v>
      </c>
      <c r="F57" s="40" t="s">
        <v>92</v>
      </c>
      <c r="G57" s="71">
        <v>1.6799999999999999E-2</v>
      </c>
      <c r="H57" s="42">
        <v>2.0299999999999999E-2</v>
      </c>
      <c r="I57" s="42">
        <v>2.0500000000000001E-2</v>
      </c>
      <c r="J57" s="44">
        <f t="shared" si="20"/>
        <v>2.0500000000000001E-2</v>
      </c>
      <c r="K57" s="39">
        <v>0</v>
      </c>
      <c r="L57" s="46">
        <f t="shared" si="21"/>
        <v>2.0000000000000226E-4</v>
      </c>
      <c r="M57" s="74">
        <f t="shared" si="22"/>
        <v>0.98522167487685841</v>
      </c>
      <c r="N57" s="51">
        <v>1455</v>
      </c>
      <c r="O57" s="37">
        <v>29.82</v>
      </c>
      <c r="P57" s="72">
        <f t="shared" si="24"/>
        <v>0</v>
      </c>
      <c r="Q57" s="49">
        <f t="shared" si="23"/>
        <v>0.22023809523809534</v>
      </c>
      <c r="R57" s="53"/>
      <c r="T57" s="53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2354295.5085999998</v>
      </c>
      <c r="E58" s="39">
        <v>0</v>
      </c>
      <c r="F58" s="40" t="s">
        <v>137</v>
      </c>
      <c r="G58" s="71">
        <v>19.5</v>
      </c>
      <c r="H58" s="42">
        <v>14.5982</v>
      </c>
      <c r="I58" s="42">
        <v>14.5982</v>
      </c>
      <c r="J58" s="44">
        <f t="shared" si="20"/>
        <v>14.5982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-0.251374358974359</v>
      </c>
      <c r="T58" s="53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4228155044.1399999</v>
      </c>
      <c r="E59" s="39">
        <v>0</v>
      </c>
      <c r="F59" s="40" t="s">
        <v>47</v>
      </c>
      <c r="G59" s="71">
        <v>0.78169999999999995</v>
      </c>
      <c r="H59" s="75">
        <v>0.90029999999999999</v>
      </c>
      <c r="I59" s="42">
        <v>0.94</v>
      </c>
      <c r="J59" s="44">
        <f t="shared" si="20"/>
        <v>0.94</v>
      </c>
      <c r="K59" s="39">
        <v>0</v>
      </c>
      <c r="L59" s="46">
        <f t="shared" si="21"/>
        <v>3.9699999999999958E-2</v>
      </c>
      <c r="M59" s="46">
        <f t="shared" si="22"/>
        <v>4.4096412307008723</v>
      </c>
      <c r="N59" s="51">
        <v>548</v>
      </c>
      <c r="O59" s="76">
        <v>515.12</v>
      </c>
      <c r="P59" s="72">
        <f t="shared" si="24"/>
        <v>0</v>
      </c>
      <c r="Q59" s="49">
        <f t="shared" si="23"/>
        <v>0.20250735576308054</v>
      </c>
      <c r="R59" s="53"/>
      <c r="T59" s="53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1047020131.5254999</v>
      </c>
      <c r="E60" s="39">
        <v>0</v>
      </c>
      <c r="F60" s="40" t="s">
        <v>92</v>
      </c>
      <c r="G60" s="71">
        <v>0.59499999999999997</v>
      </c>
      <c r="H60" s="42">
        <v>1.3</v>
      </c>
      <c r="I60" s="42">
        <v>1.3005</v>
      </c>
      <c r="J60" s="44">
        <f t="shared" si="20"/>
        <v>1.3005</v>
      </c>
      <c r="K60" s="39">
        <v>0</v>
      </c>
      <c r="L60" s="46">
        <f t="shared" si="21"/>
        <v>4.9999999999994493E-4</v>
      </c>
      <c r="M60" s="46">
        <f t="shared" si="22"/>
        <v>3.8461538461534224E-2</v>
      </c>
      <c r="N60" s="51">
        <v>184726</v>
      </c>
      <c r="O60" s="37">
        <v>240234.76</v>
      </c>
      <c r="P60" s="72">
        <f t="shared" si="24"/>
        <v>0</v>
      </c>
      <c r="Q60" s="49">
        <f t="shared" si="23"/>
        <v>1.1857142857142859</v>
      </c>
      <c r="T60" s="53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109500097.56</v>
      </c>
      <c r="E61" s="39">
        <v>0</v>
      </c>
      <c r="F61" s="40" t="s">
        <v>34</v>
      </c>
      <c r="G61" s="71">
        <v>0.22600000000000001</v>
      </c>
      <c r="H61" s="42">
        <v>0.37469999999999998</v>
      </c>
      <c r="I61" s="42">
        <v>0.42</v>
      </c>
      <c r="J61" s="44">
        <f t="shared" si="20"/>
        <v>0.42</v>
      </c>
      <c r="K61" s="39">
        <v>0</v>
      </c>
      <c r="L61" s="46">
        <f t="shared" si="21"/>
        <v>4.5300000000000007E-2</v>
      </c>
      <c r="M61" s="46">
        <f t="shared" si="22"/>
        <v>12.089671737389915</v>
      </c>
      <c r="N61" s="51">
        <v>273</v>
      </c>
      <c r="O61" s="37">
        <v>114.66</v>
      </c>
      <c r="P61" s="72">
        <f t="shared" si="24"/>
        <v>0</v>
      </c>
      <c r="Q61" s="49">
        <f t="shared" si="23"/>
        <v>0.85840707964601748</v>
      </c>
      <c r="T61" s="53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403480022.34759998</v>
      </c>
      <c r="E62" s="39">
        <v>0</v>
      </c>
      <c r="F62" s="40" t="s">
        <v>34</v>
      </c>
      <c r="G62" s="71">
        <v>0.49440000000000001</v>
      </c>
      <c r="H62" s="42">
        <v>0.69410000000000005</v>
      </c>
      <c r="I62" s="42">
        <v>0.7177</v>
      </c>
      <c r="J62" s="44">
        <f t="shared" si="20"/>
        <v>0.7177</v>
      </c>
      <c r="K62" s="39">
        <v>0</v>
      </c>
      <c r="L62" s="46">
        <f t="shared" si="21"/>
        <v>2.3599999999999954E-2</v>
      </c>
      <c r="M62" s="46">
        <f t="shared" si="22"/>
        <v>3.4000864428756596</v>
      </c>
      <c r="N62" s="51">
        <v>246</v>
      </c>
      <c r="O62" s="37">
        <v>176.56</v>
      </c>
      <c r="P62" s="72">
        <f t="shared" si="24"/>
        <v>0</v>
      </c>
      <c r="Q62" s="49">
        <f t="shared" si="23"/>
        <v>0.45165857605177995</v>
      </c>
      <c r="R62" s="53"/>
      <c r="T62" s="53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84023251.06750001</v>
      </c>
      <c r="E63" s="39">
        <v>0</v>
      </c>
      <c r="F63" s="40" t="s">
        <v>34</v>
      </c>
      <c r="G63" s="71">
        <v>0.25950000000000001</v>
      </c>
      <c r="H63" s="42">
        <v>0.23069999999999999</v>
      </c>
      <c r="I63" s="42">
        <v>0.23050000000000001</v>
      </c>
      <c r="J63" s="44">
        <f t="shared" si="20"/>
        <v>0.23050000000000001</v>
      </c>
      <c r="K63" s="39">
        <v>0</v>
      </c>
      <c r="L63" s="46">
        <f t="shared" si="21"/>
        <v>-1.9999999999997797E-4</v>
      </c>
      <c r="M63" s="46">
        <f t="shared" si="22"/>
        <v>-8.6692674468997824E-2</v>
      </c>
      <c r="N63" s="51">
        <v>4586</v>
      </c>
      <c r="O63" s="37">
        <v>1057.02</v>
      </c>
      <c r="P63" s="72">
        <f t="shared" si="24"/>
        <v>0</v>
      </c>
      <c r="Q63" s="49">
        <f t="shared" si="23"/>
        <v>-0.11175337186897882</v>
      </c>
      <c r="R63" s="53"/>
      <c r="T63" s="53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39282175.403999999</v>
      </c>
      <c r="E65" s="39">
        <v>0</v>
      </c>
      <c r="F65" s="40" t="s">
        <v>44</v>
      </c>
      <c r="G65" s="71">
        <v>4.2999999999999997E-2</v>
      </c>
      <c r="H65" s="42">
        <v>0.1135</v>
      </c>
      <c r="I65" s="42">
        <v>0.114</v>
      </c>
      <c r="J65" s="44">
        <f t="shared" si="20"/>
        <v>0.114</v>
      </c>
      <c r="K65" s="39">
        <v>0</v>
      </c>
      <c r="L65" s="46">
        <f t="shared" si="21"/>
        <v>5.0000000000000044E-4</v>
      </c>
      <c r="M65" s="46">
        <f t="shared" si="22"/>
        <v>0.44052863436123385</v>
      </c>
      <c r="N65" s="51">
        <v>244</v>
      </c>
      <c r="O65" s="37">
        <v>27.81</v>
      </c>
      <c r="P65" s="72">
        <f t="shared" si="24"/>
        <v>0</v>
      </c>
      <c r="Q65" s="49">
        <f t="shared" si="23"/>
        <v>1.6511627906976747</v>
      </c>
      <c r="T65" s="53"/>
    </row>
    <row r="66" spans="1:20" ht="13.5" x14ac:dyDescent="0.3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2369796</v>
      </c>
      <c r="O66" s="63">
        <f>SUM(O50:O65)</f>
        <v>1877606.3900000004</v>
      </c>
      <c r="P66" s="80"/>
      <c r="Q66" s="64"/>
    </row>
    <row r="67" spans="1:20" ht="12.75" hidden="1" x14ac:dyDescent="0.25">
      <c r="A67" s="137" t="s">
        <v>152</v>
      </c>
      <c r="B67" s="138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40"/>
    </row>
    <row r="68" spans="1:20" ht="12.75" hidden="1" thickBot="1" x14ac:dyDescent="0.25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75" x14ac:dyDescent="0.25">
      <c r="A70" s="137" t="s">
        <v>156</v>
      </c>
      <c r="B70" s="138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40"/>
    </row>
    <row r="71" spans="1:20" x14ac:dyDescent="0.2">
      <c r="A71" s="35" t="s">
        <v>157</v>
      </c>
      <c r="B71" s="91" t="s">
        <v>158</v>
      </c>
      <c r="C71" s="92">
        <v>139300587</v>
      </c>
      <c r="D71" s="38">
        <f>C71*J71</f>
        <v>45551291.949000001</v>
      </c>
      <c r="E71" s="39">
        <f>C71*K71</f>
        <v>45551291.949000001</v>
      </c>
      <c r="F71" s="92" t="s">
        <v>159</v>
      </c>
      <c r="G71" s="92">
        <v>0.24</v>
      </c>
      <c r="H71" s="93">
        <v>0.32700000000000001</v>
      </c>
      <c r="I71" s="93">
        <v>0.32700000000000001</v>
      </c>
      <c r="J71" s="94">
        <f>I71</f>
        <v>0.32700000000000001</v>
      </c>
      <c r="K71" s="94">
        <f>J71</f>
        <v>0.32700000000000001</v>
      </c>
      <c r="L71" s="46">
        <f>I71-H71</f>
        <v>0</v>
      </c>
      <c r="M71" s="46">
        <f>((I71-H71)/H71)*100</f>
        <v>0</v>
      </c>
      <c r="N71" s="95">
        <v>0</v>
      </c>
      <c r="O71" s="96">
        <v>0</v>
      </c>
      <c r="P71" s="72">
        <f>(R71)/J71</f>
        <v>0</v>
      </c>
      <c r="Q71" s="49">
        <f>J71/G71-1</f>
        <v>0.36250000000000004</v>
      </c>
      <c r="T71" s="53"/>
    </row>
    <row r="72" spans="1:20" x14ac:dyDescent="0.2">
      <c r="A72" s="35" t="s">
        <v>160</v>
      </c>
      <c r="B72" s="91" t="s">
        <v>161</v>
      </c>
      <c r="C72" s="92">
        <v>471351750</v>
      </c>
      <c r="D72" s="38">
        <f>C72*J72</f>
        <v>65989245.000000007</v>
      </c>
      <c r="E72" s="39">
        <f>C72*K72</f>
        <v>65989245.000000007</v>
      </c>
      <c r="F72" s="92" t="s">
        <v>159</v>
      </c>
      <c r="G72" s="92">
        <v>0.1</v>
      </c>
      <c r="H72" s="93">
        <v>0.1401</v>
      </c>
      <c r="I72" s="93">
        <v>0.14000000000000001</v>
      </c>
      <c r="J72" s="94">
        <f>I72</f>
        <v>0.14000000000000001</v>
      </c>
      <c r="K72" s="94">
        <f>J72</f>
        <v>0.14000000000000001</v>
      </c>
      <c r="L72" s="46">
        <f>I72-H72</f>
        <v>-9.9999999999988987E-5</v>
      </c>
      <c r="M72" s="46">
        <f>((I72-H72)/H72)*100</f>
        <v>-7.1377587437536749E-2</v>
      </c>
      <c r="N72" s="51">
        <v>1165</v>
      </c>
      <c r="O72" s="96">
        <v>163.1</v>
      </c>
      <c r="P72" s="97">
        <f>(R72)/J72</f>
        <v>2.7085714285714282E-2</v>
      </c>
      <c r="Q72" s="49">
        <f>J72/G72-1</f>
        <v>0.40000000000000013</v>
      </c>
      <c r="R72" s="5">
        <v>3.7919999999999998E-3</v>
      </c>
      <c r="T72" s="53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1165</v>
      </c>
      <c r="O73" s="63">
        <f>SUM(O71:O72)</f>
        <v>163.1</v>
      </c>
      <c r="P73" s="90"/>
      <c r="Q73" s="64"/>
    </row>
    <row r="74" spans="1:20" ht="12.75" x14ac:dyDescent="0.25">
      <c r="A74" s="137" t="s">
        <v>162</v>
      </c>
      <c r="B74" s="138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40"/>
    </row>
    <row r="75" spans="1:20" x14ac:dyDescent="0.2">
      <c r="A75" s="35" t="s">
        <v>163</v>
      </c>
      <c r="B75" s="91" t="s">
        <v>164</v>
      </c>
      <c r="C75" s="92">
        <v>20819695</v>
      </c>
      <c r="D75" s="38">
        <f>C75*J75</f>
        <v>2290166.4500000002</v>
      </c>
      <c r="E75" s="39">
        <f>C75*K75</f>
        <v>2290166.4500000002</v>
      </c>
      <c r="F75" s="92" t="s">
        <v>137</v>
      </c>
      <c r="G75" s="92">
        <v>0.1394</v>
      </c>
      <c r="H75" s="93">
        <v>0.1101</v>
      </c>
      <c r="I75" s="93">
        <v>0.11</v>
      </c>
      <c r="J75" s="94">
        <f>I75</f>
        <v>0.11</v>
      </c>
      <c r="K75" s="94">
        <f>J75</f>
        <v>0.11</v>
      </c>
      <c r="L75" s="46">
        <f>I75-H75</f>
        <v>-1.0000000000000286E-4</v>
      </c>
      <c r="M75" s="46">
        <f>((I75-H75)/H75)*100</f>
        <v>-9.082652134423512E-2</v>
      </c>
      <c r="N75" s="95">
        <v>18670</v>
      </c>
      <c r="O75" s="96">
        <v>2053.6999999999998</v>
      </c>
      <c r="P75" s="72">
        <f>(R75)/J75</f>
        <v>0</v>
      </c>
      <c r="Q75" s="49">
        <f>J75/G75-1</f>
        <v>-0.21090387374461972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75" x14ac:dyDescent="0.25">
      <c r="A77" s="133" t="s">
        <v>165</v>
      </c>
      <c r="B77" s="134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6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143568.82564050311</v>
      </c>
      <c r="E78" s="39">
        <f>C78*K78</f>
        <v>120774.1980952381</v>
      </c>
      <c r="F78" s="40" t="s">
        <v>137</v>
      </c>
      <c r="G78" s="71">
        <v>0.105</v>
      </c>
      <c r="H78" s="42">
        <v>0.12</v>
      </c>
      <c r="I78" s="42">
        <v>0.12</v>
      </c>
      <c r="J78" s="44">
        <f>I78/$J$5</f>
        <v>4.5285240408020015E-3</v>
      </c>
      <c r="K78" s="45">
        <f>I78/$K$4</f>
        <v>3.8095238095238095E-3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0.14285714285714279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411075.41728462157</v>
      </c>
      <c r="E79" s="39">
        <f>C79*K79</f>
        <v>345808.38603174605</v>
      </c>
      <c r="F79" s="40" t="s">
        <v>137</v>
      </c>
      <c r="G79" s="71">
        <v>4.2500000000000003E-2</v>
      </c>
      <c r="H79" s="42">
        <v>0.08</v>
      </c>
      <c r="I79" s="42">
        <v>0.08</v>
      </c>
      <c r="J79" s="44">
        <f>I79/$J$5</f>
        <v>3.0190160272013347E-3</v>
      </c>
      <c r="K79" s="45">
        <f>I79/$K$4</f>
        <v>2.5396825396825397E-3</v>
      </c>
      <c r="L79" s="46">
        <f>I79-H79</f>
        <v>0</v>
      </c>
      <c r="M79" s="98">
        <f>((I79-H79)/H79)*100</f>
        <v>0</v>
      </c>
      <c r="N79" s="37">
        <v>150000</v>
      </c>
      <c r="O79" s="37">
        <v>12000</v>
      </c>
      <c r="P79" s="40">
        <v>0</v>
      </c>
      <c r="Q79" s="49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6677853</v>
      </c>
      <c r="D80" s="38">
        <f>C80*J80</f>
        <v>30430.578983459563</v>
      </c>
      <c r="E80" s="39">
        <f>C80*K80</f>
        <v>25599.072486000001</v>
      </c>
      <c r="F80" s="40" t="s">
        <v>137</v>
      </c>
      <c r="G80" s="71">
        <v>6.0499999999999998E-2</v>
      </c>
      <c r="H80" s="42">
        <v>0.120753</v>
      </c>
      <c r="I80" s="42">
        <v>0.120753</v>
      </c>
      <c r="J80" s="44">
        <f>I80/$J$5</f>
        <v>4.556940529158034E-3</v>
      </c>
      <c r="K80" s="45">
        <f>I80/$K$4</f>
        <v>3.8334285714285714E-3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0.99591735537190096</v>
      </c>
    </row>
    <row r="81" spans="1:243" x14ac:dyDescent="0.2">
      <c r="A81" s="35" t="s">
        <v>172</v>
      </c>
      <c r="B81" s="36" t="s">
        <v>173</v>
      </c>
      <c r="C81" s="37">
        <v>494417400</v>
      </c>
      <c r="D81" s="38">
        <f>C81*J81</f>
        <v>31718898.662953276</v>
      </c>
      <c r="E81" s="39">
        <f>C81*K81</f>
        <v>26682843.809523806</v>
      </c>
      <c r="F81" s="40" t="s">
        <v>137</v>
      </c>
      <c r="G81" s="71">
        <v>1.85</v>
      </c>
      <c r="H81" s="42">
        <v>1.7</v>
      </c>
      <c r="I81" s="42">
        <v>1.7</v>
      </c>
      <c r="J81" s="44">
        <f>I81/$J$5</f>
        <v>6.4154090578028358E-2</v>
      </c>
      <c r="K81" s="45">
        <f>I81/$K$4</f>
        <v>5.3968253968253964E-2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150000</v>
      </c>
      <c r="O82" s="63">
        <f>SUM(O78:O81)</f>
        <v>12000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5" thickTop="1" x14ac:dyDescent="0.25">
      <c r="A83" s="137" t="s">
        <v>174</v>
      </c>
      <c r="B83" s="138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40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29641292.415476985</v>
      </c>
      <c r="E84" s="39">
        <f>C84*K84</f>
        <v>24935102.07396825</v>
      </c>
      <c r="F84" s="40" t="s">
        <v>177</v>
      </c>
      <c r="G84" s="40">
        <v>1.3</v>
      </c>
      <c r="H84" s="42">
        <v>2.13</v>
      </c>
      <c r="I84" s="42">
        <v>2.1324999999999998</v>
      </c>
      <c r="J84" s="44">
        <f>I84/$J$5</f>
        <v>8.0475645975085566E-2</v>
      </c>
      <c r="K84" s="45">
        <f>I84/$K$4</f>
        <v>6.7698412698412688E-2</v>
      </c>
      <c r="L84" s="46">
        <f>I84-H84</f>
        <v>2.4999999999999467E-3</v>
      </c>
      <c r="M84" s="46">
        <f>((I84-H84)/H84*100)</f>
        <v>0.11737089201877685</v>
      </c>
      <c r="N84" s="108">
        <v>300</v>
      </c>
      <c r="O84" s="109">
        <v>639.75</v>
      </c>
      <c r="P84" s="52">
        <f>(R84)/J84</f>
        <v>0</v>
      </c>
      <c r="Q84" s="49">
        <f>I84/G84-1</f>
        <v>0.64038461538461511</v>
      </c>
      <c r="R84" s="53"/>
    </row>
    <row r="85" spans="1:243" s="110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75310655.464796379</v>
      </c>
      <c r="E85" s="39">
        <f>C85*K85</f>
        <v>63353475.109999999</v>
      </c>
      <c r="F85" s="40" t="s">
        <v>177</v>
      </c>
      <c r="G85" s="40">
        <v>1.44347</v>
      </c>
      <c r="H85" s="42">
        <v>1.070354</v>
      </c>
      <c r="I85" s="42">
        <v>1.083933</v>
      </c>
      <c r="J85" s="44">
        <f>I85/$J$5</f>
        <v>4.0905138742655299E-2</v>
      </c>
      <c r="K85" s="45">
        <f>I85/$K$4</f>
        <v>3.4410571428571429E-2</v>
      </c>
      <c r="L85" s="46">
        <f>I85-H85</f>
        <v>1.3579000000000008E-2</v>
      </c>
      <c r="M85" s="46">
        <f>((I85-H85)/H85*100)</f>
        <v>1.2686457003944496</v>
      </c>
      <c r="N85" s="109">
        <v>35600</v>
      </c>
      <c r="O85" s="109">
        <v>38588</v>
      </c>
      <c r="P85" s="48">
        <f>(R85)/J85</f>
        <v>5.3196250321744978E-2</v>
      </c>
      <c r="Q85" s="49">
        <f>I85/G85-1</f>
        <v>-0.24907826279728706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1"/>
      <c r="B86" s="82"/>
      <c r="C86" s="83"/>
      <c r="D86" s="111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75" thickBot="1" x14ac:dyDescent="0.25">
      <c r="A87" s="112"/>
      <c r="B87" s="113"/>
      <c r="C87" s="113"/>
      <c r="D87" s="113"/>
      <c r="E87" s="113"/>
      <c r="F87" s="114"/>
      <c r="G87" s="114"/>
      <c r="H87" s="60"/>
      <c r="M87" s="115"/>
      <c r="N87" s="115"/>
      <c r="O87" s="60"/>
      <c r="P87" s="60"/>
      <c r="Q87" s="116"/>
    </row>
    <row r="88" spans="1:243" ht="15" customHeight="1" thickBot="1" x14ac:dyDescent="0.25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3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">
      <c r="A89" s="35" t="s">
        <v>113</v>
      </c>
      <c r="B89" s="117">
        <v>0.76966699999999999</v>
      </c>
      <c r="D89" s="117">
        <v>12.771721611721611</v>
      </c>
      <c r="E89" s="35" t="s">
        <v>79</v>
      </c>
      <c r="F89" s="118">
        <v>0.86250000000000004</v>
      </c>
      <c r="H89" s="119">
        <v>-13.749999999999996</v>
      </c>
      <c r="J89" s="35" t="s">
        <v>142</v>
      </c>
      <c r="K89" s="52">
        <v>0.42</v>
      </c>
      <c r="L89" s="120">
        <v>12.089671737389915</v>
      </c>
      <c r="M89" s="60" t="s">
        <v>127</v>
      </c>
      <c r="N89" s="118">
        <v>0.1429</v>
      </c>
      <c r="O89" s="119">
        <v>-4.4786096256684571</v>
      </c>
      <c r="Q89" s="16"/>
    </row>
    <row r="90" spans="1:243" ht="15" customHeight="1" x14ac:dyDescent="0.2">
      <c r="A90" s="35" t="s">
        <v>50</v>
      </c>
      <c r="B90" s="117">
        <v>5</v>
      </c>
      <c r="D90" s="117">
        <v>11.111111111111111</v>
      </c>
      <c r="E90" s="35" t="s">
        <v>45</v>
      </c>
      <c r="F90" s="118">
        <v>34.5</v>
      </c>
      <c r="H90" s="119">
        <v>-13.642052565707141</v>
      </c>
      <c r="J90" s="35" t="s">
        <v>121</v>
      </c>
      <c r="K90" s="52">
        <v>42.0929</v>
      </c>
      <c r="L90" s="120">
        <v>9.6703342513150847</v>
      </c>
      <c r="M90" s="35" t="s">
        <v>131</v>
      </c>
      <c r="N90" s="118">
        <v>0.1477</v>
      </c>
      <c r="O90" s="119">
        <v>-1.533333333333331</v>
      </c>
      <c r="Q90" s="16"/>
    </row>
    <row r="91" spans="1:243" ht="15" customHeight="1" x14ac:dyDescent="0.2">
      <c r="A91" s="35" t="s">
        <v>105</v>
      </c>
      <c r="B91" s="117">
        <v>7.6999999999999999E-2</v>
      </c>
      <c r="C91" s="117"/>
      <c r="D91" s="117">
        <v>5.6719777128192428</v>
      </c>
      <c r="E91" s="35" t="s">
        <v>35</v>
      </c>
      <c r="F91" s="118">
        <v>5.3288000000000002E-2</v>
      </c>
      <c r="H91" s="119">
        <v>-11.248792511908325</v>
      </c>
      <c r="J91" s="35" t="s">
        <v>138</v>
      </c>
      <c r="K91" s="52">
        <v>0.94</v>
      </c>
      <c r="L91" s="120">
        <v>4.4096412307008723</v>
      </c>
      <c r="M91" s="35" t="s">
        <v>146</v>
      </c>
      <c r="N91" s="118">
        <v>0.23050000000000001</v>
      </c>
      <c r="O91" s="119">
        <v>-8.6692674468997824E-2</v>
      </c>
      <c r="Q91" s="16"/>
    </row>
    <row r="92" spans="1:243" ht="15" customHeight="1" x14ac:dyDescent="0.2">
      <c r="A92" s="35" t="s">
        <v>99</v>
      </c>
      <c r="B92" s="117">
        <v>0.30003099999999999</v>
      </c>
      <c r="C92" s="117"/>
      <c r="D92" s="117">
        <v>4.7064160952031964</v>
      </c>
      <c r="E92" s="35" t="s">
        <v>81</v>
      </c>
      <c r="F92" s="118">
        <v>5.95</v>
      </c>
      <c r="H92" s="119">
        <v>-4.032258064516129</v>
      </c>
      <c r="J92" s="35" t="s">
        <v>144</v>
      </c>
      <c r="K92" s="52">
        <v>0.7177</v>
      </c>
      <c r="L92" s="120">
        <v>3.4000864428756596</v>
      </c>
      <c r="M92" s="35" t="s">
        <v>140</v>
      </c>
      <c r="N92" s="118">
        <v>1.3005</v>
      </c>
      <c r="O92" s="119">
        <v>3.8461538461534224E-2</v>
      </c>
      <c r="Q92" s="16"/>
    </row>
    <row r="93" spans="1:243" ht="15" customHeight="1" x14ac:dyDescent="0.2">
      <c r="A93" s="35" t="s">
        <v>115</v>
      </c>
      <c r="B93" s="117">
        <v>2.8010989999999998</v>
      </c>
      <c r="C93" s="117"/>
      <c r="D93" s="117">
        <v>3.6598286657220007</v>
      </c>
      <c r="E93" s="35" t="s">
        <v>70</v>
      </c>
      <c r="F93" s="118">
        <v>10.517899999999999</v>
      </c>
      <c r="G93" s="118"/>
      <c r="H93" s="119">
        <v>-2.1590697674418684</v>
      </c>
      <c r="J93" s="35" t="s">
        <v>129</v>
      </c>
      <c r="K93" s="52">
        <v>1.4975000000000001</v>
      </c>
      <c r="L93" s="120">
        <v>2.4702340221705228</v>
      </c>
      <c r="M93" s="35" t="s">
        <v>150</v>
      </c>
      <c r="N93" s="118">
        <v>0.114</v>
      </c>
      <c r="O93" s="119">
        <v>0.44052863436123385</v>
      </c>
      <c r="Q93" s="16"/>
    </row>
    <row r="94" spans="1:243" ht="15.75" customHeight="1" thickBot="1" x14ac:dyDescent="0.25">
      <c r="A94" s="121"/>
      <c r="B94" s="122"/>
      <c r="C94" s="122"/>
      <c r="D94" s="122"/>
      <c r="E94" s="121"/>
      <c r="F94" s="122"/>
      <c r="G94" s="122"/>
      <c r="H94" s="123"/>
      <c r="J94" s="121"/>
      <c r="K94" s="122"/>
      <c r="L94" s="123"/>
      <c r="M94" s="122"/>
      <c r="N94" s="122"/>
      <c r="O94" s="123"/>
      <c r="Q94" s="16"/>
    </row>
    <row r="95" spans="1:243" x14ac:dyDescent="0.2">
      <c r="A95" s="124"/>
      <c r="B95" s="125"/>
      <c r="C95" s="125"/>
      <c r="D95" s="125"/>
      <c r="E95" s="115"/>
      <c r="F95" s="115"/>
      <c r="G95" s="115"/>
      <c r="H95" s="115"/>
      <c r="I95" s="115"/>
      <c r="J95" s="115"/>
      <c r="K95" s="115"/>
      <c r="L95" s="115"/>
      <c r="M95" s="125"/>
      <c r="Q95" s="16"/>
    </row>
    <row r="96" spans="1:243" x14ac:dyDescent="0.2">
      <c r="A96" s="12" t="s">
        <v>184</v>
      </c>
      <c r="B96" s="126"/>
      <c r="C96" s="126"/>
      <c r="D96" s="126"/>
      <c r="E96" s="126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4"/>
      <c r="B97" s="125"/>
      <c r="C97" s="125"/>
      <c r="D97" s="125"/>
      <c r="E97" s="125"/>
      <c r="F97" s="115"/>
      <c r="G97" s="115"/>
      <c r="H97" s="125"/>
      <c r="I97" s="115"/>
      <c r="J97" s="115"/>
      <c r="K97" s="115"/>
      <c r="L97" s="115"/>
      <c r="M97" s="125"/>
      <c r="Q97" s="16"/>
    </row>
    <row r="98" spans="1:17" ht="12.75" thickBot="1" x14ac:dyDescent="0.25">
      <c r="A98" s="127"/>
      <c r="B98" s="128"/>
      <c r="C98" s="128"/>
      <c r="D98" s="128"/>
      <c r="E98" s="128"/>
      <c r="F98" s="129"/>
      <c r="G98" s="129"/>
      <c r="H98" s="129"/>
      <c r="I98" s="130"/>
      <c r="J98" s="130"/>
      <c r="K98" s="130"/>
      <c r="L98" s="130"/>
      <c r="M98" s="130"/>
      <c r="N98" s="130"/>
      <c r="O98" s="130"/>
      <c r="P98" s="130"/>
      <c r="Q98" s="131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2"/>
      <c r="J102" s="132"/>
      <c r="K102" s="132"/>
      <c r="O102" s="132"/>
      <c r="P102" s="132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2"/>
      <c r="J105" s="132"/>
      <c r="K105" s="132"/>
      <c r="O105" s="132"/>
      <c r="P105" s="132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2"/>
      <c r="J107" s="132"/>
      <c r="K107" s="132"/>
      <c r="O107" s="132"/>
      <c r="P107" s="132"/>
    </row>
  </sheetData>
  <sheetProtection algorithmName="SHA-512" hashValue="kaL8U9R/q8QDaVTrAU4XgT84zwIHiDOpCVYZTWFQYrR6f1ASL6AXqjpijrhzNq6sVwXPSASUB5mfubFVaQW76g==" saltValue="ElD1vB+rOWsp7xaIMEfNEQ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Takunda E. Sokisi</cp:lastModifiedBy>
  <dcterms:created xsi:type="dcterms:W3CDTF">2026-08-28T13:16:23Z</dcterms:created>
  <dcterms:modified xsi:type="dcterms:W3CDTF">2026-08-28T13:18:57Z</dcterms:modified>
</cp:coreProperties>
</file>