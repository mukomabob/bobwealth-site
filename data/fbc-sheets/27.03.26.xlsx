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7.03.26/"/>
    </mc:Choice>
  </mc:AlternateContent>
  <xr:revisionPtr revIDLastSave="0" documentId="8_{8B8C1836-10CA-47E4-80AD-3204F499555A}" xr6:coauthVersionLast="47" xr6:coauthVersionMax="47" xr10:uidLastSave="{00000000-0000-0000-0000-000000000000}"/>
  <bookViews>
    <workbookView xWindow="-108" yWindow="-108" windowWidth="23256" windowHeight="12456" xr2:uid="{3ED77A66-5344-48D0-B975-A3E11A786412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7" i="1" l="1"/>
  <c r="O83" i="1"/>
  <c r="N83" i="1"/>
  <c r="Q82" i="1"/>
  <c r="M82" i="1"/>
  <c r="L82" i="1"/>
  <c r="K82" i="1"/>
  <c r="J82" i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K71" i="1"/>
  <c r="E71" i="1" s="1"/>
  <c r="J71" i="1"/>
  <c r="D71" i="1" s="1"/>
  <c r="M68" i="1"/>
  <c r="L68" i="1"/>
  <c r="D68" i="1"/>
  <c r="O66" i="1"/>
  <c r="N66" i="1"/>
  <c r="Q65" i="1"/>
  <c r="P65" i="1"/>
  <c r="M65" i="1"/>
  <c r="L65" i="1"/>
  <c r="J65" i="1"/>
  <c r="D65" i="1" s="1"/>
  <c r="M64" i="1"/>
  <c r="L64" i="1"/>
  <c r="J64" i="1"/>
  <c r="Q64" i="1" s="1"/>
  <c r="D64" i="1"/>
  <c r="Q63" i="1"/>
  <c r="P63" i="1"/>
  <c r="M63" i="1"/>
  <c r="L63" i="1"/>
  <c r="J63" i="1"/>
  <c r="D63" i="1" s="1"/>
  <c r="M62" i="1"/>
  <c r="L62" i="1"/>
  <c r="J62" i="1"/>
  <c r="Q62" i="1" s="1"/>
  <c r="D62" i="1"/>
  <c r="Q61" i="1"/>
  <c r="P61" i="1"/>
  <c r="M61" i="1"/>
  <c r="L61" i="1"/>
  <c r="J61" i="1"/>
  <c r="D61" i="1" s="1"/>
  <c r="M60" i="1"/>
  <c r="L60" i="1"/>
  <c r="J60" i="1"/>
  <c r="Q60" i="1" s="1"/>
  <c r="D60" i="1"/>
  <c r="Q59" i="1"/>
  <c r="P59" i="1"/>
  <c r="M59" i="1"/>
  <c r="L59" i="1"/>
  <c r="J59" i="1"/>
  <c r="D59" i="1" s="1"/>
  <c r="M58" i="1"/>
  <c r="L58" i="1"/>
  <c r="J58" i="1"/>
  <c r="P58" i="1" s="1"/>
  <c r="D58" i="1"/>
  <c r="Q57" i="1"/>
  <c r="M57" i="1"/>
  <c r="L57" i="1"/>
  <c r="J57" i="1"/>
  <c r="D57" i="1" s="1"/>
  <c r="M56" i="1"/>
  <c r="L56" i="1"/>
  <c r="J56" i="1"/>
  <c r="Q56" i="1" s="1"/>
  <c r="D56" i="1"/>
  <c r="Q55" i="1"/>
  <c r="P55" i="1"/>
  <c r="M55" i="1"/>
  <c r="L55" i="1"/>
  <c r="J55" i="1"/>
  <c r="D55" i="1" s="1"/>
  <c r="M54" i="1"/>
  <c r="L54" i="1"/>
  <c r="J54" i="1"/>
  <c r="P54" i="1" s="1"/>
  <c r="D54" i="1"/>
  <c r="Q53" i="1"/>
  <c r="P53" i="1"/>
  <c r="M53" i="1"/>
  <c r="L53" i="1"/>
  <c r="J53" i="1"/>
  <c r="D53" i="1" s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P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 s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 s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E19" i="1" s="1"/>
  <c r="J19" i="1"/>
  <c r="D19" i="1" s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E16" i="1" s="1"/>
  <c r="J16" i="1"/>
  <c r="D16" i="1" s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82" i="1" l="1"/>
  <c r="P15" i="1"/>
  <c r="K72" i="1"/>
  <c r="E72" i="1" s="1"/>
  <c r="P56" i="1"/>
  <c r="P60" i="1"/>
  <c r="P62" i="1"/>
  <c r="P64" i="1"/>
  <c r="Q54" i="1"/>
  <c r="Q58" i="1"/>
  <c r="P44" i="1"/>
  <c r="P12" i="1"/>
  <c r="D47" i="1"/>
</calcChain>
</file>

<file path=xl/sharedStrings.xml><?xml version="1.0" encoding="utf-8"?>
<sst xmlns="http://schemas.openxmlformats.org/spreadsheetml/2006/main" count="281" uniqueCount="196">
  <si>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</si>
  <si>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</si>
  <si>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</si>
  <si>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</si>
  <si>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</si>
  <si>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</si>
  <si>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</si>
  <si>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</si>
  <si>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</si>
  <si>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</si>
  <si>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</si>
  <si>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</si>
  <si>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</si>
  <si>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</si>
  <si>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</si>
  <si>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</si>
  <si>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</si>
  <si>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</si>
  <si>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</si>
  <si>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</si>
  <si>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</si>
  <si>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</si>
  <si>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</si>
  <si>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</si>
  <si>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</si>
  <si>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</si>
  <si>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</si>
  <si>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</si>
  <si>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</si>
  <si>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</si>
  <si>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</si>
  <si>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</si>
  <si>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</si>
  <si>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</si>
  <si>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</si>
  <si>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</si>
  <si>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</si>
  <si>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</si>
  <si>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</si>
  <si>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</si>
  <si>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</si>
  <si>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</si>
  <si>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</si>
  <si>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</si>
  <si>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</si>
  <si>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</si>
  <si>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</si>
  <si>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</si>
  <si>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</si>
  <si>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</si>
  <si>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</si>
  <si>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</si>
  <si>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</si>
  <si>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</si>
  <si>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</si>
  <si>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</si>
  <si>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</si>
  <si>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</si>
  <si>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</si>
  <si>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</si>
  <si>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</si>
  <si>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</si>
  <si>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</si>
  <si>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</si>
  <si>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</si>
  <si>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</si>
  <si>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</si>
  <si>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</si>
  <si>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</si>
  <si>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</si>
  <si>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</si>
  <si>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</si>
  <si>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</si>
  <si>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</si>
  <si>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</si>
  <si>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</si>
  <si>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</si>
  <si>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</si>
  <si>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</si>
  <si>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</si>
  <si>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</si>
  <si>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</si>
  <si>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</si>
  <si>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</si>
  <si>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</si>
  <si>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</si>
  <si>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</si>
  <si>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</si>
  <si>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</si>
  <si>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</si>
  <si>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</si>
  <si>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</si>
  <si>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</si>
  <si>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</si>
  <si>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</si>
  <si>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</si>
  <si>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</si>
  <si>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</si>
  <si>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</si>
  <si>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</si>
  <si>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</si>
  <si>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</si>
  <si>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</si>
  <si>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</si>
  <si>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</si>
  <si>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</si>
  <si>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</si>
  <si>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</si>
  <si>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</si>
  <si>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</si>
  <si>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</si>
  <si>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</si>
  <si>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</si>
  <si>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</si>
  <si>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</si>
  <si>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</si>
  <si>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</si>
  <si>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</si>
  <si>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</si>
  <si>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</si>
  <si>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</si>
  <si>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</si>
  <si>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</si>
  <si>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</si>
  <si>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</si>
  <si>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</si>
  <si>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</si>
  <si>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</si>
  <si>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</si>
  <si>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</si>
  <si>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</si>
  <si>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</si>
  <si>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</si>
  <si>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</si>
  <si>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</si>
  <si>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</si>
  <si>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</si>
  <si>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</si>
  <si>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</si>
  <si>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</si>
  <si>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</si>
  <si>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</si>
  <si>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</si>
  <si>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</si>
  <si>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</si>
  <si>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</si>
  <si>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</si>
  <si>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</si>
  <si>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</si>
  <si>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</si>
  <si>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</si>
  <si>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</si>
  <si>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</si>
  <si>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</si>
  <si>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</si>
  <si>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</si>
  <si>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</si>
  <si>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</si>
  <si>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</si>
  <si>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</si>
  <si>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</si>
  <si>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</si>
  <si>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</si>
  <si>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</si>
  <si>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</si>
  <si>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</si>
  <si>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</si>
  <si>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</si>
  <si>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</si>
  <si>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</si>
  <si>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</si>
  <si>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</si>
  <si>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</si>
  <si>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</si>
  <si>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</si>
  <si>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</si>
  <si>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</si>
  <si>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</si>
  <si>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</si>
  <si>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</si>
  <si>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</si>
  <si>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</si>
  <si>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</si>
  <si>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</si>
  <si>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</si>
  <si>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</si>
  <si>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</si>
  <si>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</si>
  <si>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</si>
  <si>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</si>
  <si>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</si>
  <si>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</si>
  <si>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</si>
  <si>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</si>
  <si>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</si>
  <si>
    <t>Div Yield-FY26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</si>
</sst>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0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6A857D61-6F18-4DD2-B87F-C1BECE38F66F}"/>
    <cellStyle name="Comma 5 2 2 2 2 2" xfId="4" xr:uid="{C56A294A-DE44-4CC5-B5D4-AE0D08CC26E7}"/>
    <cellStyle name="Comma 6" xfId="5" xr:uid="{147D7E0C-FCE9-4658-A36A-16951EFE466C}"/>
    <cellStyle name="Hyperlink 2" xfId="9" xr:uid="{26158C21-44D3-4915-98DA-E3EAE8A1E249}"/>
    <cellStyle name="Normal" xfId="0" builtinId="0"/>
    <cellStyle name="Normal 2" xfId="2" xr:uid="{2B021338-157E-4DE0-A8F1-A51F83C612BC}"/>
    <cellStyle name="Normal 20" xfId="8" xr:uid="{E321E261-CFEF-4360-A7C3-0D44F4A1045F}"/>
    <cellStyle name="Percent 3" xfId="6" xr:uid="{B47FB132-6873-4E5A-A49F-356DAFFE0556}"/>
    <cellStyle name="Percent 4" xfId="7" xr:uid="{9E923B43-365E-4F69-AB70-09975F6F7723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AAB5852-0E05-40DA-934A-670FDADBD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BCB910CB-B291-4672-ACBA-668195E2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6F89-0250-4BE4-94AE-12175ADF309C}">
  <dimension ref="A1:IO104"/>
  <sheetViews>
    <sheetView tabSelected="1" zoomScale="70" zoomScaleNormal="70" workbookViewId="0">
      <pane ySplit="7" topLeftCell="A10" activePane="bottomLeft" state="frozen"/>
      <selection pane="bottomLeft" activeCell="AU30" sqref="AU30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8.88671875" style="5" hidden="1" customWidth="1"/>
    <col min="22" max="22" width="13.44140625" style="5" hidden="1" customWidth="1"/>
    <col min="23" max="23" width="9.21875" style="5" hidden="1" customWidth="1"/>
    <col min="24" max="24" width="10" style="5" hidden="1" customWidth="1"/>
    <col min="25" max="32" width="9.21875" style="5" hidden="1" customWidth="1"/>
    <col min="33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25.374500000000001</v>
      </c>
      <c r="K5" s="23"/>
      <c r="L5" s="154" t="s">
        <v>12</v>
      </c>
      <c r="M5" s="155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4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7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195</v>
      </c>
      <c r="Q7" s="34" t="s">
        <v>29</v>
      </c>
      <c r="R7" s="33" t="s">
        <v>30</v>
      </c>
      <c r="S7" s="33" t="s">
        <v>31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32</v>
      </c>
      <c r="B10" s="37" t="s">
        <v>33</v>
      </c>
      <c r="C10" s="38">
        <v>124748059</v>
      </c>
      <c r="D10" s="39">
        <f t="shared" ref="D10:D30" si="0">C10*J10</f>
        <v>66822030.697274826</v>
      </c>
      <c r="E10" s="40">
        <f t="shared" ref="E10:E30" si="1">C10*K10</f>
        <v>56519187.26426667</v>
      </c>
      <c r="F10" s="41" t="s">
        <v>34</v>
      </c>
      <c r="G10" s="42">
        <v>8.9894999999999996</v>
      </c>
      <c r="H10" s="43">
        <v>13.592000000000001</v>
      </c>
      <c r="I10" s="43">
        <v>13.592000000000001</v>
      </c>
      <c r="J10" s="44">
        <f>(I10/$J$5)</f>
        <v>0.53565587499261069</v>
      </c>
      <c r="K10" s="45">
        <f t="shared" ref="K10:K30" si="2">I10/$K$4</f>
        <v>0.45306666666666667</v>
      </c>
      <c r="L10" s="46">
        <f t="shared" ref="L10:L30" si="3">I10-H10</f>
        <v>0</v>
      </c>
      <c r="M10" s="46">
        <f t="shared" ref="M10:M30" si="4">((I10-H10)/H10)*100</f>
        <v>0</v>
      </c>
      <c r="N10" s="47">
        <v>0</v>
      </c>
      <c r="O10" s="38">
        <v>0</v>
      </c>
      <c r="P10" s="54">
        <f t="shared" ref="P10:P30" si="5">(R10)/J10</f>
        <v>0</v>
      </c>
      <c r="Q10" s="48">
        <f t="shared" ref="Q10:Q30" si="6">I10/G10-1</f>
        <v>0.51198620612937318</v>
      </c>
      <c r="R10" s="49"/>
      <c r="T10" s="50"/>
      <c r="U10" s="50"/>
    </row>
    <row r="11" spans="1:22" ht="14.4" customHeight="1" x14ac:dyDescent="0.3">
      <c r="A11" s="36" t="s">
        <v>35</v>
      </c>
      <c r="B11" s="37" t="s">
        <v>36</v>
      </c>
      <c r="C11" s="38">
        <v>1627395595</v>
      </c>
      <c r="D11" s="39">
        <f t="shared" si="0"/>
        <v>2077014.5754231613</v>
      </c>
      <c r="E11" s="40">
        <f t="shared" si="1"/>
        <v>1756773.5448025002</v>
      </c>
      <c r="F11" s="41" t="s">
        <v>34</v>
      </c>
      <c r="G11" s="42">
        <v>3.1600000000000003E-2</v>
      </c>
      <c r="H11" s="43">
        <v>3.2385000000000004E-2</v>
      </c>
      <c r="I11" s="43">
        <v>3.2385000000000004E-2</v>
      </c>
      <c r="J11" s="44">
        <f t="shared" ref="J11:J30" si="7">I11/$J$5</f>
        <v>1.276281306035587E-3</v>
      </c>
      <c r="K11" s="45">
        <f t="shared" si="2"/>
        <v>1.0795000000000002E-3</v>
      </c>
      <c r="L11" s="46">
        <f t="shared" si="3"/>
        <v>0</v>
      </c>
      <c r="M11" s="46">
        <f t="shared" si="4"/>
        <v>0</v>
      </c>
      <c r="N11" s="47">
        <v>0</v>
      </c>
      <c r="O11" s="38">
        <v>0</v>
      </c>
      <c r="P11" s="54">
        <f t="shared" si="5"/>
        <v>0</v>
      </c>
      <c r="Q11" s="48">
        <f t="shared" si="6"/>
        <v>2.4841772151898756E-2</v>
      </c>
      <c r="R11" s="49"/>
      <c r="T11" s="51" t="s">
        <v>37</v>
      </c>
      <c r="U11" s="51" t="s">
        <v>38</v>
      </c>
    </row>
    <row r="12" spans="1:22" ht="14.4" customHeight="1" x14ac:dyDescent="0.3">
      <c r="A12" s="36" t="s">
        <v>39</v>
      </c>
      <c r="B12" s="37" t="s">
        <v>40</v>
      </c>
      <c r="C12" s="38">
        <v>436977359</v>
      </c>
      <c r="D12" s="39">
        <f t="shared" si="0"/>
        <v>4253617.1224260572</v>
      </c>
      <c r="E12" s="40">
        <f t="shared" si="1"/>
        <v>3597780.255766667</v>
      </c>
      <c r="F12" s="41" t="s">
        <v>41</v>
      </c>
      <c r="G12" s="42">
        <v>7.8E-2</v>
      </c>
      <c r="H12" s="43">
        <v>0.247</v>
      </c>
      <c r="I12" s="43">
        <v>0.247</v>
      </c>
      <c r="J12" s="44">
        <f t="shared" si="7"/>
        <v>9.7341819543242218E-3</v>
      </c>
      <c r="K12" s="45">
        <f t="shared" si="2"/>
        <v>8.2333333333333338E-3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54">
        <f t="shared" si="5"/>
        <v>0</v>
      </c>
      <c r="Q12" s="48">
        <f t="shared" si="6"/>
        <v>2.1666666666666665</v>
      </c>
      <c r="R12" s="49"/>
      <c r="T12" s="52" t="s">
        <v>42</v>
      </c>
      <c r="U12" s="53">
        <v>0.01</v>
      </c>
    </row>
    <row r="13" spans="1:22" ht="14.4" customHeight="1" x14ac:dyDescent="0.3">
      <c r="A13" s="36" t="s">
        <v>43</v>
      </c>
      <c r="B13" s="37" t="s">
        <v>44</v>
      </c>
      <c r="C13" s="38">
        <v>20633517</v>
      </c>
      <c r="D13" s="39">
        <f t="shared" si="0"/>
        <v>174007605.51228598</v>
      </c>
      <c r="E13" s="40">
        <f t="shared" si="1"/>
        <v>147178532.86905</v>
      </c>
      <c r="F13" s="41" t="s">
        <v>34</v>
      </c>
      <c r="G13" s="42">
        <v>97.381</v>
      </c>
      <c r="H13" s="43">
        <v>213.98950000000002</v>
      </c>
      <c r="I13" s="43">
        <v>213.98950000000002</v>
      </c>
      <c r="J13" s="44">
        <f t="shared" si="7"/>
        <v>8.4332499162545087</v>
      </c>
      <c r="K13" s="45">
        <f t="shared" si="2"/>
        <v>7.1329833333333337</v>
      </c>
      <c r="L13" s="46">
        <f t="shared" si="3"/>
        <v>0</v>
      </c>
      <c r="M13" s="46">
        <f t="shared" si="4"/>
        <v>0</v>
      </c>
      <c r="N13" s="47">
        <v>0</v>
      </c>
      <c r="O13" s="38">
        <v>0</v>
      </c>
      <c r="P13" s="54">
        <f t="shared" si="5"/>
        <v>0</v>
      </c>
      <c r="Q13" s="48">
        <f t="shared" si="6"/>
        <v>1.1974461137182821</v>
      </c>
      <c r="R13" s="49"/>
      <c r="T13" s="52" t="s">
        <v>45</v>
      </c>
      <c r="U13" s="53">
        <v>0.4</v>
      </c>
    </row>
    <row r="14" spans="1:22" ht="14.55" customHeight="1" x14ac:dyDescent="0.3">
      <c r="A14" s="36" t="s">
        <v>46</v>
      </c>
      <c r="B14" s="37" t="s">
        <v>47</v>
      </c>
      <c r="C14" s="38">
        <v>8735108</v>
      </c>
      <c r="D14" s="39">
        <f t="shared" si="0"/>
        <v>4475217.4032985866</v>
      </c>
      <c r="E14" s="40">
        <f t="shared" si="1"/>
        <v>3785213.4666666668</v>
      </c>
      <c r="F14" s="41" t="s">
        <v>48</v>
      </c>
      <c r="G14" s="42">
        <v>13.6</v>
      </c>
      <c r="H14" s="43">
        <v>13</v>
      </c>
      <c r="I14" s="43">
        <v>13</v>
      </c>
      <c r="J14" s="44">
        <f t="shared" si="7"/>
        <v>0.51232536601706435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4">
        <f t="shared" si="5"/>
        <v>0</v>
      </c>
      <c r="Q14" s="48">
        <f t="shared" si="6"/>
        <v>-4.4117647058823484E-2</v>
      </c>
      <c r="R14" s="49"/>
      <c r="T14" s="52" t="s">
        <v>49</v>
      </c>
      <c r="U14" s="53">
        <f>3.3/100</f>
        <v>3.3000000000000002E-2</v>
      </c>
    </row>
    <row r="15" spans="1:22" ht="14.4" customHeight="1" x14ac:dyDescent="0.3">
      <c r="A15" s="36" t="s">
        <v>50</v>
      </c>
      <c r="B15" s="37" t="s">
        <v>51</v>
      </c>
      <c r="C15" s="38">
        <v>522661465</v>
      </c>
      <c r="D15" s="39">
        <f t="shared" si="0"/>
        <v>339865383.45583165</v>
      </c>
      <c r="E15" s="40">
        <f t="shared" si="1"/>
        <v>287463805.75</v>
      </c>
      <c r="F15" s="41" t="s">
        <v>52</v>
      </c>
      <c r="G15" s="42">
        <v>11.5</v>
      </c>
      <c r="H15" s="43">
        <v>16.09</v>
      </c>
      <c r="I15" s="43">
        <v>16.5</v>
      </c>
      <c r="J15" s="44">
        <f t="shared" si="7"/>
        <v>0.65025911840627404</v>
      </c>
      <c r="K15" s="45">
        <f t="shared" si="2"/>
        <v>0.55000000000000004</v>
      </c>
      <c r="L15" s="46">
        <f t="shared" si="3"/>
        <v>0.41000000000000014</v>
      </c>
      <c r="M15" s="46">
        <f t="shared" si="4"/>
        <v>2.5481665630826611</v>
      </c>
      <c r="N15" s="47">
        <v>2300</v>
      </c>
      <c r="O15" s="38">
        <v>37950</v>
      </c>
      <c r="P15" s="54">
        <f t="shared" si="5"/>
        <v>0</v>
      </c>
      <c r="Q15" s="48">
        <f t="shared" si="6"/>
        <v>0.43478260869565211</v>
      </c>
      <c r="R15" s="49"/>
      <c r="T15" s="52" t="s">
        <v>53</v>
      </c>
      <c r="U15" s="53">
        <f>((0.63+0.6)/100)*2</f>
        <v>2.46E-2</v>
      </c>
      <c r="V15" s="55"/>
    </row>
    <row r="16" spans="1:22" ht="14.4" customHeight="1" x14ac:dyDescent="0.3">
      <c r="A16" s="36" t="s">
        <v>54</v>
      </c>
      <c r="B16" s="37" t="s">
        <v>55</v>
      </c>
      <c r="C16" s="38">
        <v>106040875</v>
      </c>
      <c r="D16" s="39">
        <f t="shared" si="0"/>
        <v>25868214.792409703</v>
      </c>
      <c r="E16" s="40">
        <f t="shared" si="1"/>
        <v>21879767.208333336</v>
      </c>
      <c r="F16" s="41" t="s">
        <v>34</v>
      </c>
      <c r="G16" s="42">
        <v>5.39</v>
      </c>
      <c r="H16" s="43">
        <v>6.19</v>
      </c>
      <c r="I16" s="43">
        <v>6.19</v>
      </c>
      <c r="J16" s="44">
        <f t="shared" si="7"/>
        <v>0.24394569351120218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54">
        <f t="shared" si="5"/>
        <v>0</v>
      </c>
      <c r="Q16" s="48">
        <f t="shared" si="6"/>
        <v>0.14842300556586285</v>
      </c>
      <c r="R16" s="49"/>
      <c r="T16" s="52" t="s">
        <v>56</v>
      </c>
      <c r="U16" s="53">
        <v>0.32</v>
      </c>
    </row>
    <row r="17" spans="1:25" ht="14.4" customHeight="1" x14ac:dyDescent="0.3">
      <c r="A17" s="36" t="s">
        <v>57</v>
      </c>
      <c r="B17" s="37" t="s">
        <v>58</v>
      </c>
      <c r="C17" s="38">
        <v>358000858</v>
      </c>
      <c r="D17" s="39">
        <f t="shared" si="0"/>
        <v>36884140.812918007</v>
      </c>
      <c r="E17" s="40">
        <f t="shared" si="1"/>
        <v>31197221.035246272</v>
      </c>
      <c r="F17" s="41" t="s">
        <v>34</v>
      </c>
      <c r="G17" s="42">
        <v>1.9</v>
      </c>
      <c r="H17" s="43">
        <v>2.75</v>
      </c>
      <c r="I17" s="43">
        <v>2.6142860000000003</v>
      </c>
      <c r="J17" s="44">
        <f t="shared" si="7"/>
        <v>0.1030280793710221</v>
      </c>
      <c r="K17" s="45">
        <f t="shared" si="2"/>
        <v>8.714286666666668E-2</v>
      </c>
      <c r="L17" s="46">
        <f t="shared" si="3"/>
        <v>-0.13571399999999967</v>
      </c>
      <c r="M17" s="46">
        <f t="shared" si="4"/>
        <v>-4.9350545454545331</v>
      </c>
      <c r="N17" s="47">
        <v>10500</v>
      </c>
      <c r="O17" s="38">
        <v>27450</v>
      </c>
      <c r="P17" s="54">
        <f t="shared" si="5"/>
        <v>0</v>
      </c>
      <c r="Q17" s="48">
        <f t="shared" si="6"/>
        <v>0.37594000000000016</v>
      </c>
      <c r="R17" s="49"/>
      <c r="T17" s="52" t="s">
        <v>59</v>
      </c>
      <c r="U17" s="53">
        <v>0.16400000000000001</v>
      </c>
      <c r="W17" s="56"/>
    </row>
    <row r="18" spans="1:25" ht="14.4" x14ac:dyDescent="0.3">
      <c r="A18" s="36" t="s">
        <v>49</v>
      </c>
      <c r="B18" s="37" t="s">
        <v>60</v>
      </c>
      <c r="C18" s="38">
        <v>1341613815</v>
      </c>
      <c r="D18" s="39">
        <f t="shared" si="0"/>
        <v>1412854251.4354372</v>
      </c>
      <c r="E18" s="40">
        <f t="shared" si="1"/>
        <v>1195015673.4349501</v>
      </c>
      <c r="F18" s="41" t="s">
        <v>34</v>
      </c>
      <c r="G18" s="42">
        <v>20.701700000000002</v>
      </c>
      <c r="H18" s="43">
        <v>27.0642</v>
      </c>
      <c r="I18" s="43">
        <v>26.721900000000002</v>
      </c>
      <c r="J18" s="44">
        <f t="shared" si="7"/>
        <v>1.0531005537054918</v>
      </c>
      <c r="K18" s="45">
        <f t="shared" si="2"/>
        <v>0.89073000000000002</v>
      </c>
      <c r="L18" s="46">
        <f t="shared" si="3"/>
        <v>-0.34229999999999805</v>
      </c>
      <c r="M18" s="46">
        <f t="shared" si="4"/>
        <v>-1.2647704347440458</v>
      </c>
      <c r="N18" s="47">
        <v>378900</v>
      </c>
      <c r="O18" s="38">
        <v>10124930</v>
      </c>
      <c r="P18" s="54">
        <f t="shared" si="5"/>
        <v>0</v>
      </c>
      <c r="Q18" s="48">
        <f t="shared" si="6"/>
        <v>0.29080703517102457</v>
      </c>
      <c r="R18" s="49"/>
      <c r="T18" s="52" t="s">
        <v>61</v>
      </c>
      <c r="U18" s="53">
        <v>2.3702520000000001E-2</v>
      </c>
      <c r="W18" s="56"/>
    </row>
    <row r="19" spans="1:25" ht="14.4" customHeight="1" x14ac:dyDescent="0.3">
      <c r="A19" s="36" t="s">
        <v>53</v>
      </c>
      <c r="B19" s="37" t="s">
        <v>62</v>
      </c>
      <c r="C19" s="38">
        <v>2992163203</v>
      </c>
      <c r="D19" s="39">
        <f t="shared" si="0"/>
        <v>1238160895.0521193</v>
      </c>
      <c r="E19" s="40">
        <f t="shared" si="1"/>
        <v>1047257121.05</v>
      </c>
      <c r="F19" s="41" t="s">
        <v>63</v>
      </c>
      <c r="G19" s="42">
        <v>6.1399460000000001</v>
      </c>
      <c r="H19" s="43">
        <v>10.508299999999998</v>
      </c>
      <c r="I19" s="43">
        <v>10.5</v>
      </c>
      <c r="J19" s="44">
        <f t="shared" si="7"/>
        <v>0.41380125716762889</v>
      </c>
      <c r="K19" s="45">
        <f t="shared" si="2"/>
        <v>0.35</v>
      </c>
      <c r="L19" s="46">
        <f t="shared" si="3"/>
        <v>-8.2999999999984198E-3</v>
      </c>
      <c r="M19" s="46">
        <f t="shared" si="4"/>
        <v>-7.8985183140930698E-2</v>
      </c>
      <c r="N19" s="47">
        <v>7300</v>
      </c>
      <c r="O19" s="38">
        <v>76650</v>
      </c>
      <c r="P19" s="54">
        <f t="shared" si="5"/>
        <v>0</v>
      </c>
      <c r="Q19" s="48">
        <f t="shared" si="6"/>
        <v>0.71011275994935463</v>
      </c>
      <c r="R19" s="49"/>
      <c r="S19" s="55"/>
      <c r="T19" s="52" t="s">
        <v>64</v>
      </c>
      <c r="U19" s="53">
        <v>0</v>
      </c>
      <c r="W19" s="56"/>
    </row>
    <row r="20" spans="1:25" ht="14.4" x14ac:dyDescent="0.3">
      <c r="A20" s="36" t="s">
        <v>65</v>
      </c>
      <c r="B20" s="37" t="s">
        <v>66</v>
      </c>
      <c r="C20" s="38">
        <v>671949927</v>
      </c>
      <c r="D20" s="39">
        <f t="shared" si="0"/>
        <v>264813070.99647284</v>
      </c>
      <c r="E20" s="40">
        <f t="shared" si="1"/>
        <v>223983309</v>
      </c>
      <c r="F20" s="41" t="s">
        <v>52</v>
      </c>
      <c r="G20" s="42">
        <v>12.45</v>
      </c>
      <c r="H20" s="43">
        <v>10</v>
      </c>
      <c r="I20" s="43">
        <v>10</v>
      </c>
      <c r="J20" s="44">
        <f t="shared" si="7"/>
        <v>0.39409643539774181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54">
        <f t="shared" si="5"/>
        <v>0</v>
      </c>
      <c r="Q20" s="48">
        <f t="shared" si="6"/>
        <v>-0.19678714859437751</v>
      </c>
      <c r="R20" s="49"/>
      <c r="T20" s="52" t="s">
        <v>67</v>
      </c>
      <c r="U20" s="53">
        <v>1.5</v>
      </c>
      <c r="W20" s="57"/>
    </row>
    <row r="21" spans="1:25" ht="14.4" x14ac:dyDescent="0.3">
      <c r="A21" s="36" t="s">
        <v>68</v>
      </c>
      <c r="B21" s="37" t="s">
        <v>69</v>
      </c>
      <c r="C21" s="38">
        <v>108923291</v>
      </c>
      <c r="D21" s="39">
        <f t="shared" si="0"/>
        <v>2566991.5867504776</v>
      </c>
      <c r="E21" s="40">
        <f t="shared" si="1"/>
        <v>2171204.267266667</v>
      </c>
      <c r="F21" s="41" t="s">
        <v>52</v>
      </c>
      <c r="G21" s="42">
        <v>0.35</v>
      </c>
      <c r="H21" s="43">
        <v>0.59799999999999998</v>
      </c>
      <c r="I21" s="43">
        <v>0.59799999999999998</v>
      </c>
      <c r="J21" s="44">
        <f t="shared" si="7"/>
        <v>2.3566966836784959E-2</v>
      </c>
      <c r="K21" s="45">
        <f t="shared" si="2"/>
        <v>1.9933333333333334E-2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4">
        <f t="shared" si="5"/>
        <v>0</v>
      </c>
      <c r="Q21" s="48">
        <f t="shared" si="6"/>
        <v>0.70857142857142863</v>
      </c>
      <c r="R21" s="49"/>
      <c r="T21" s="52" t="s">
        <v>70</v>
      </c>
      <c r="U21" s="53">
        <v>0.53</v>
      </c>
    </row>
    <row r="22" spans="1:25" ht="14.4" x14ac:dyDescent="0.3">
      <c r="A22" s="36" t="s">
        <v>59</v>
      </c>
      <c r="B22" s="37" t="s">
        <v>71</v>
      </c>
      <c r="C22" s="38">
        <v>690143060</v>
      </c>
      <c r="D22" s="39">
        <f t="shared" si="0"/>
        <v>113680701.01408896</v>
      </c>
      <c r="E22" s="40">
        <f t="shared" si="1"/>
        <v>96153031.596066684</v>
      </c>
      <c r="F22" s="41" t="s">
        <v>52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0.16472048710319417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4">
        <f t="shared" si="5"/>
        <v>0</v>
      </c>
      <c r="Q22" s="48">
        <f t="shared" si="6"/>
        <v>0.46656140350877195</v>
      </c>
      <c r="R22" s="49"/>
      <c r="T22" s="52" t="s">
        <v>72</v>
      </c>
      <c r="U22" s="53">
        <v>7.8354158426806306E-2</v>
      </c>
    </row>
    <row r="23" spans="1:25" ht="14.4" x14ac:dyDescent="0.3">
      <c r="A23" s="36" t="s">
        <v>73</v>
      </c>
      <c r="B23" s="37" t="s">
        <v>74</v>
      </c>
      <c r="C23" s="38">
        <v>1236075493</v>
      </c>
      <c r="D23" s="39">
        <f t="shared" si="0"/>
        <v>48713294.567380629</v>
      </c>
      <c r="E23" s="40">
        <f t="shared" si="1"/>
        <v>41202516.43333333</v>
      </c>
      <c r="F23" s="41" t="s">
        <v>75</v>
      </c>
      <c r="G23" s="42">
        <v>0.88420599999999994</v>
      </c>
      <c r="H23" s="43">
        <v>1.08</v>
      </c>
      <c r="I23" s="43">
        <v>1</v>
      </c>
      <c r="J23" s="44">
        <f t="shared" si="7"/>
        <v>3.9409643539774178E-2</v>
      </c>
      <c r="K23" s="45">
        <f t="shared" si="2"/>
        <v>3.3333333333333333E-2</v>
      </c>
      <c r="L23" s="46">
        <f t="shared" si="3"/>
        <v>-8.0000000000000071E-2</v>
      </c>
      <c r="M23" s="46">
        <f t="shared" si="4"/>
        <v>-7.4074074074074137</v>
      </c>
      <c r="N23" s="47">
        <v>100</v>
      </c>
      <c r="O23" s="38">
        <v>100</v>
      </c>
      <c r="P23" s="54">
        <f t="shared" si="5"/>
        <v>0</v>
      </c>
      <c r="Q23" s="48">
        <f t="shared" si="6"/>
        <v>0.13095817038111046</v>
      </c>
      <c r="R23" s="49"/>
      <c r="T23" s="52" t="s">
        <v>76</v>
      </c>
      <c r="U23" s="53">
        <v>0</v>
      </c>
    </row>
    <row r="24" spans="1:25" ht="14.4" x14ac:dyDescent="0.3">
      <c r="A24" s="36" t="s">
        <v>77</v>
      </c>
      <c r="B24" s="37" t="s">
        <v>78</v>
      </c>
      <c r="C24" s="38">
        <v>536588623</v>
      </c>
      <c r="D24" s="39">
        <f t="shared" si="0"/>
        <v>2125250.0191727919</v>
      </c>
      <c r="E24" s="40">
        <f t="shared" si="1"/>
        <v>1797571.88705</v>
      </c>
      <c r="F24" s="41" t="s">
        <v>48</v>
      </c>
      <c r="G24" s="42">
        <v>0.1</v>
      </c>
      <c r="H24" s="43">
        <v>0.10050000000000001</v>
      </c>
      <c r="I24" s="43">
        <v>0.10050000000000001</v>
      </c>
      <c r="J24" s="44">
        <f t="shared" si="7"/>
        <v>3.9606691757473056E-3</v>
      </c>
      <c r="K24" s="45">
        <f t="shared" si="2"/>
        <v>3.3500000000000001E-3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54">
        <f t="shared" si="5"/>
        <v>0</v>
      </c>
      <c r="Q24" s="48">
        <f t="shared" si="6"/>
        <v>4.9999999999998934E-3</v>
      </c>
      <c r="R24" s="49"/>
      <c r="T24" s="58" t="s">
        <v>79</v>
      </c>
      <c r="U24" s="59">
        <v>0.02</v>
      </c>
    </row>
    <row r="25" spans="1:25" ht="14.4" x14ac:dyDescent="0.3">
      <c r="A25" s="36" t="s">
        <v>80</v>
      </c>
      <c r="B25" s="37" t="s">
        <v>81</v>
      </c>
      <c r="C25" s="38">
        <v>193020564</v>
      </c>
      <c r="D25" s="39">
        <f t="shared" si="0"/>
        <v>65434309.701787218</v>
      </c>
      <c r="E25" s="40">
        <f t="shared" si="1"/>
        <v>55345429.717600003</v>
      </c>
      <c r="F25" s="41" t="s">
        <v>34</v>
      </c>
      <c r="G25" s="42">
        <v>8.1687659999999997</v>
      </c>
      <c r="H25" s="43">
        <v>7.48</v>
      </c>
      <c r="I25" s="43">
        <v>8.6020000000000003</v>
      </c>
      <c r="J25" s="44">
        <f t="shared" si="7"/>
        <v>0.33900175372913749</v>
      </c>
      <c r="K25" s="45">
        <f t="shared" si="2"/>
        <v>0.28673333333333334</v>
      </c>
      <c r="L25" s="46">
        <f t="shared" si="3"/>
        <v>1.1219999999999999</v>
      </c>
      <c r="M25" s="46">
        <f t="shared" si="4"/>
        <v>14.999999999999996</v>
      </c>
      <c r="N25" s="47">
        <v>200</v>
      </c>
      <c r="O25" s="38">
        <v>1720.4</v>
      </c>
      <c r="P25" s="54">
        <f t="shared" si="5"/>
        <v>0</v>
      </c>
      <c r="Q25" s="48">
        <f t="shared" si="6"/>
        <v>5.3035427872459628E-2</v>
      </c>
      <c r="R25" s="49"/>
      <c r="T25" s="53" t="s">
        <v>82</v>
      </c>
      <c r="U25" s="53">
        <v>0.13517000000000001</v>
      </c>
      <c r="Y25" s="5" t="s">
        <v>83</v>
      </c>
    </row>
    <row r="26" spans="1:25" ht="14.4" customHeight="1" x14ac:dyDescent="0.3">
      <c r="A26" s="36" t="s">
        <v>84</v>
      </c>
      <c r="B26" s="37" t="s">
        <v>85</v>
      </c>
      <c r="C26" s="38">
        <v>1687584009</v>
      </c>
      <c r="D26" s="39">
        <f t="shared" si="0"/>
        <v>76598736.18623586</v>
      </c>
      <c r="E26" s="40">
        <f t="shared" si="1"/>
        <v>64788487.711921401</v>
      </c>
      <c r="F26" s="41" t="s">
        <v>75</v>
      </c>
      <c r="G26" s="42">
        <v>1.6675</v>
      </c>
      <c r="H26" s="43">
        <v>1.0157609999999999</v>
      </c>
      <c r="I26" s="43">
        <v>1.1517379999999999</v>
      </c>
      <c r="J26" s="44">
        <f t="shared" si="7"/>
        <v>4.5389584031212432E-2</v>
      </c>
      <c r="K26" s="45">
        <f t="shared" si="2"/>
        <v>3.8391266666666667E-2</v>
      </c>
      <c r="L26" s="46">
        <f t="shared" si="3"/>
        <v>0.13597700000000001</v>
      </c>
      <c r="M26" s="46">
        <f t="shared" si="4"/>
        <v>13.386712031668871</v>
      </c>
      <c r="N26" s="47">
        <v>88000</v>
      </c>
      <c r="O26" s="38">
        <v>101352.98</v>
      </c>
      <c r="P26" s="54">
        <f t="shared" si="5"/>
        <v>0</v>
      </c>
      <c r="Q26" s="48">
        <f t="shared" si="6"/>
        <v>-0.30930254872563723</v>
      </c>
      <c r="R26" s="49"/>
      <c r="T26" s="53" t="s">
        <v>86</v>
      </c>
      <c r="U26" s="53">
        <v>3.7499999999999999E-2</v>
      </c>
    </row>
    <row r="27" spans="1:25" ht="13.2" customHeight="1" x14ac:dyDescent="0.25">
      <c r="A27" s="36" t="s">
        <v>87</v>
      </c>
      <c r="B27" s="37" t="s">
        <v>88</v>
      </c>
      <c r="C27" s="38">
        <v>239388107</v>
      </c>
      <c r="D27" s="39">
        <f t="shared" si="0"/>
        <v>15094719.943250114</v>
      </c>
      <c r="E27" s="40">
        <f t="shared" si="1"/>
        <v>12767365.706666667</v>
      </c>
      <c r="F27" s="41" t="s">
        <v>48</v>
      </c>
      <c r="G27" s="42">
        <v>1.7994999999999999</v>
      </c>
      <c r="H27" s="43">
        <v>1.6</v>
      </c>
      <c r="I27" s="43">
        <v>1.6</v>
      </c>
      <c r="J27" s="44">
        <f t="shared" si="7"/>
        <v>6.3055429663638696E-2</v>
      </c>
      <c r="K27" s="45">
        <f t="shared" si="2"/>
        <v>5.3333333333333337E-2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4">
        <f t="shared" si="5"/>
        <v>0</v>
      </c>
      <c r="Q27" s="48">
        <f t="shared" si="6"/>
        <v>-0.11086412892470121</v>
      </c>
      <c r="R27" s="49"/>
      <c r="T27" s="60" t="s">
        <v>43</v>
      </c>
      <c r="U27" s="60">
        <v>0.2</v>
      </c>
    </row>
    <row r="28" spans="1:25" ht="13.2" customHeight="1" x14ac:dyDescent="0.25">
      <c r="A28" s="36" t="s">
        <v>67</v>
      </c>
      <c r="B28" s="37" t="s">
        <v>89</v>
      </c>
      <c r="C28" s="38">
        <v>256150741</v>
      </c>
      <c r="D28" s="39">
        <f t="shared" si="0"/>
        <v>32303390.064828865</v>
      </c>
      <c r="E28" s="40">
        <f t="shared" si="1"/>
        <v>27322745.706666667</v>
      </c>
      <c r="F28" s="41" t="s">
        <v>34</v>
      </c>
      <c r="G28" s="42">
        <v>3.1361369999999997</v>
      </c>
      <c r="H28" s="43">
        <v>3.2</v>
      </c>
      <c r="I28" s="43">
        <v>3.2</v>
      </c>
      <c r="J28" s="44">
        <f t="shared" si="7"/>
        <v>0.12611085932727739</v>
      </c>
      <c r="K28" s="45">
        <f t="shared" si="2"/>
        <v>0.10666666666666667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54">
        <f t="shared" si="5"/>
        <v>0</v>
      </c>
      <c r="Q28" s="48">
        <f t="shared" si="6"/>
        <v>2.0363587432564501E-2</v>
      </c>
      <c r="R28" s="49"/>
      <c r="T28" s="60"/>
      <c r="U28" s="60"/>
    </row>
    <row r="29" spans="1:25" ht="13.2" customHeight="1" x14ac:dyDescent="0.25">
      <c r="A29" s="36" t="s">
        <v>90</v>
      </c>
      <c r="B29" s="37" t="s">
        <v>91</v>
      </c>
      <c r="C29" s="38">
        <v>755648101</v>
      </c>
      <c r="D29" s="39">
        <f t="shared" si="0"/>
        <v>22334866.72643796</v>
      </c>
      <c r="E29" s="40">
        <f t="shared" si="1"/>
        <v>18891202.525000002</v>
      </c>
      <c r="F29" s="41" t="s">
        <v>48</v>
      </c>
      <c r="G29" s="42">
        <v>0.8</v>
      </c>
      <c r="H29" s="43">
        <v>0.75</v>
      </c>
      <c r="I29" s="43">
        <v>0.75</v>
      </c>
      <c r="J29" s="44">
        <f t="shared" si="7"/>
        <v>2.9557232654830637E-2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54">
        <f t="shared" si="5"/>
        <v>0</v>
      </c>
      <c r="Q29" s="48">
        <f t="shared" si="6"/>
        <v>-6.25E-2</v>
      </c>
      <c r="R29" s="49"/>
      <c r="T29" s="60"/>
      <c r="U29" s="60"/>
    </row>
    <row r="30" spans="1:25" ht="14.4" customHeight="1" x14ac:dyDescent="0.3">
      <c r="A30" s="36" t="s">
        <v>92</v>
      </c>
      <c r="B30" s="37" t="s">
        <v>93</v>
      </c>
      <c r="C30" s="38">
        <v>404171689</v>
      </c>
      <c r="D30" s="39">
        <f t="shared" si="0"/>
        <v>79959876.205639511</v>
      </c>
      <c r="E30" s="40">
        <f t="shared" si="1"/>
        <v>67631395.959333315</v>
      </c>
      <c r="F30" s="41" t="s">
        <v>52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0.19783641056966636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54">
        <f t="shared" si="5"/>
        <v>0</v>
      </c>
      <c r="Q30" s="48">
        <f t="shared" si="6"/>
        <v>-2.5242718446602086E-2</v>
      </c>
      <c r="R30" s="49"/>
      <c r="T30" s="53" t="s">
        <v>94</v>
      </c>
      <c r="U30" s="53">
        <v>2.65</v>
      </c>
    </row>
    <row r="31" spans="1:25" ht="14.4" hidden="1" x14ac:dyDescent="0.3">
      <c r="A31" s="36"/>
      <c r="B31" s="37" t="s">
        <v>95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4"/>
      <c r="Q31" s="48"/>
      <c r="R31" s="49"/>
      <c r="T31" s="53"/>
      <c r="U31" s="53"/>
    </row>
    <row r="32" spans="1:25" ht="14.4" customHeight="1" x14ac:dyDescent="0.3">
      <c r="A32" s="36" t="s">
        <v>96</v>
      </c>
      <c r="B32" s="37" t="s">
        <v>97</v>
      </c>
      <c r="C32" s="38">
        <v>3171161098</v>
      </c>
      <c r="D32" s="39">
        <f t="shared" ref="D32:D48" si="8">C32*J32</f>
        <v>14208831.302134505</v>
      </c>
      <c r="E32" s="40">
        <f t="shared" ref="E32:E48" si="9">C32*K32</f>
        <v>12018066.3292004</v>
      </c>
      <c r="F32" s="41" t="s">
        <v>34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4.4806400126110859E-3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54">
        <f t="shared" ref="P32:P38" si="14">(R32)/J32</f>
        <v>0</v>
      </c>
      <c r="Q32" s="48">
        <f t="shared" ref="Q32:Q48" si="15">I32/G32-1</f>
        <v>-0.12543749663464132</v>
      </c>
      <c r="R32" s="49"/>
      <c r="T32" s="53" t="s">
        <v>98</v>
      </c>
      <c r="U32" s="53">
        <v>0.66100000000000003</v>
      </c>
    </row>
    <row r="33" spans="1:22" ht="14.4" customHeight="1" x14ac:dyDescent="0.3">
      <c r="A33" s="36" t="s">
        <v>99</v>
      </c>
      <c r="B33" s="37" t="s">
        <v>100</v>
      </c>
      <c r="C33" s="38">
        <v>259866270</v>
      </c>
      <c r="D33" s="39">
        <f t="shared" si="8"/>
        <v>12903958.706575498</v>
      </c>
      <c r="E33" s="40">
        <f t="shared" si="9"/>
        <v>10914383.34</v>
      </c>
      <c r="F33" s="41" t="s">
        <v>41</v>
      </c>
      <c r="G33" s="42">
        <v>1.4</v>
      </c>
      <c r="H33" s="43">
        <v>1.25</v>
      </c>
      <c r="I33" s="43">
        <v>1.26</v>
      </c>
      <c r="J33" s="44">
        <f t="shared" si="10"/>
        <v>4.9656150860115468E-2</v>
      </c>
      <c r="K33" s="45">
        <f t="shared" si="11"/>
        <v>4.2000000000000003E-2</v>
      </c>
      <c r="L33" s="46">
        <f t="shared" si="12"/>
        <v>1.0000000000000009E-2</v>
      </c>
      <c r="M33" s="46">
        <f t="shared" si="13"/>
        <v>0.80000000000000071</v>
      </c>
      <c r="N33" s="47">
        <v>3000</v>
      </c>
      <c r="O33" s="38">
        <v>3780</v>
      </c>
      <c r="P33" s="54">
        <f t="shared" si="14"/>
        <v>0</v>
      </c>
      <c r="Q33" s="48">
        <f t="shared" si="15"/>
        <v>-9.9999999999999978E-2</v>
      </c>
      <c r="R33" s="49"/>
      <c r="T33" s="53" t="s">
        <v>101</v>
      </c>
      <c r="U33" s="53">
        <v>1.06</v>
      </c>
    </row>
    <row r="34" spans="1:22" ht="14.4" customHeight="1" x14ac:dyDescent="0.3">
      <c r="A34" s="36" t="s">
        <v>102</v>
      </c>
      <c r="B34" s="37" t="s">
        <v>103</v>
      </c>
      <c r="C34" s="38">
        <v>122029470</v>
      </c>
      <c r="D34" s="39">
        <f t="shared" si="8"/>
        <v>3606853.4355356754</v>
      </c>
      <c r="E34" s="40">
        <f t="shared" si="9"/>
        <v>3050736.75</v>
      </c>
      <c r="F34" s="41" t="s">
        <v>41</v>
      </c>
      <c r="G34" s="42">
        <v>0.65</v>
      </c>
      <c r="H34" s="43">
        <v>0.75</v>
      </c>
      <c r="I34" s="43">
        <v>0.75</v>
      </c>
      <c r="J34" s="44">
        <f t="shared" si="10"/>
        <v>2.9557232654830637E-2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0</v>
      </c>
      <c r="O34" s="38">
        <v>0</v>
      </c>
      <c r="P34" s="54">
        <f t="shared" si="14"/>
        <v>0</v>
      </c>
      <c r="Q34" s="48">
        <f t="shared" si="15"/>
        <v>0.15384615384615374</v>
      </c>
      <c r="R34" s="49"/>
      <c r="T34" s="53" t="s">
        <v>104</v>
      </c>
      <c r="U34" s="53">
        <v>6.71</v>
      </c>
    </row>
    <row r="35" spans="1:22" ht="14.4" customHeight="1" x14ac:dyDescent="0.3">
      <c r="A35" s="36" t="s">
        <v>105</v>
      </c>
      <c r="B35" s="37" t="s">
        <v>106</v>
      </c>
      <c r="C35" s="38">
        <v>2495495543</v>
      </c>
      <c r="D35" s="39">
        <f t="shared" si="8"/>
        <v>169647867.413151</v>
      </c>
      <c r="E35" s="40">
        <f t="shared" si="9"/>
        <v>143490993.7225</v>
      </c>
      <c r="F35" s="41" t="s">
        <v>107</v>
      </c>
      <c r="G35" s="42">
        <v>1.44</v>
      </c>
      <c r="H35" s="43">
        <v>1.7250000000000001</v>
      </c>
      <c r="I35" s="43">
        <v>1.7250000000000001</v>
      </c>
      <c r="J35" s="44">
        <f t="shared" si="10"/>
        <v>6.7981635106110466E-2</v>
      </c>
      <c r="K35" s="45">
        <f t="shared" si="11"/>
        <v>5.7500000000000002E-2</v>
      </c>
      <c r="L35" s="46">
        <f t="shared" si="12"/>
        <v>0</v>
      </c>
      <c r="M35" s="46">
        <f t="shared" si="13"/>
        <v>0</v>
      </c>
      <c r="N35" s="47">
        <v>1500</v>
      </c>
      <c r="O35" s="38">
        <v>2587.5</v>
      </c>
      <c r="P35" s="54">
        <f t="shared" si="14"/>
        <v>0</v>
      </c>
      <c r="Q35" s="48">
        <f t="shared" si="15"/>
        <v>0.19791666666666674</v>
      </c>
      <c r="R35" s="49"/>
      <c r="T35" s="53" t="s">
        <v>108</v>
      </c>
      <c r="U35" s="53">
        <v>0.10181000000000001</v>
      </c>
    </row>
    <row r="36" spans="1:22" ht="14.4" customHeight="1" x14ac:dyDescent="0.3">
      <c r="A36" s="36" t="s">
        <v>109</v>
      </c>
      <c r="B36" s="37" t="s">
        <v>110</v>
      </c>
      <c r="C36" s="38">
        <v>253492983</v>
      </c>
      <c r="D36" s="39">
        <f t="shared" si="8"/>
        <v>39965267.433506072</v>
      </c>
      <c r="E36" s="40">
        <f t="shared" si="9"/>
        <v>33803289.283050001</v>
      </c>
      <c r="F36" s="41" t="s">
        <v>34</v>
      </c>
      <c r="G36" s="42">
        <v>3.6056249999999999</v>
      </c>
      <c r="H36" s="43">
        <v>4.0004999999999997</v>
      </c>
      <c r="I36" s="43">
        <v>4.0004999999999997</v>
      </c>
      <c r="J36" s="44">
        <f t="shared" si="10"/>
        <v>0.1576582789808666</v>
      </c>
      <c r="K36" s="45">
        <f t="shared" si="11"/>
        <v>0.13335</v>
      </c>
      <c r="L36" s="46">
        <f t="shared" si="12"/>
        <v>0</v>
      </c>
      <c r="M36" s="46">
        <f t="shared" si="13"/>
        <v>0</v>
      </c>
      <c r="N36" s="47">
        <v>0</v>
      </c>
      <c r="O36" s="38">
        <v>0</v>
      </c>
      <c r="P36" s="54">
        <f t="shared" si="14"/>
        <v>0</v>
      </c>
      <c r="Q36" s="48">
        <f t="shared" si="15"/>
        <v>0.10951638065522618</v>
      </c>
      <c r="R36" s="49"/>
      <c r="T36" s="53" t="s">
        <v>111</v>
      </c>
      <c r="U36" s="53">
        <v>0.56000000000000005</v>
      </c>
    </row>
    <row r="37" spans="1:22" x14ac:dyDescent="0.25">
      <c r="A37" s="36" t="s">
        <v>112</v>
      </c>
      <c r="B37" s="37" t="s">
        <v>113</v>
      </c>
      <c r="C37" s="38">
        <v>4715084056</v>
      </c>
      <c r="D37" s="39">
        <f t="shared" si="8"/>
        <v>5588158.3012901926</v>
      </c>
      <c r="E37" s="40">
        <f t="shared" si="9"/>
        <v>4726557.4272029325</v>
      </c>
      <c r="F37" s="41" t="s">
        <v>34</v>
      </c>
      <c r="G37" s="42">
        <v>2.5099999999999997E-2</v>
      </c>
      <c r="H37" s="43">
        <v>0.03</v>
      </c>
      <c r="I37" s="43">
        <v>3.0072999999999999E-2</v>
      </c>
      <c r="J37" s="44">
        <f t="shared" si="10"/>
        <v>1.1851662101716289E-3</v>
      </c>
      <c r="K37" s="45">
        <f t="shared" si="11"/>
        <v>1.0024333333333332E-3</v>
      </c>
      <c r="L37" s="46">
        <f t="shared" si="12"/>
        <v>7.3000000000000148E-5</v>
      </c>
      <c r="M37" s="46">
        <f t="shared" si="13"/>
        <v>0.24333333333333385</v>
      </c>
      <c r="N37" s="47">
        <v>109900</v>
      </c>
      <c r="O37" s="38">
        <v>3305</v>
      </c>
      <c r="P37" s="54">
        <f t="shared" si="14"/>
        <v>0</v>
      </c>
      <c r="Q37" s="48">
        <f t="shared" si="15"/>
        <v>0.19812749003984065</v>
      </c>
      <c r="R37" s="49"/>
      <c r="T37" s="5" t="s">
        <v>114</v>
      </c>
      <c r="U37" s="5">
        <v>83.33</v>
      </c>
    </row>
    <row r="38" spans="1:22" x14ac:dyDescent="0.25">
      <c r="A38" s="36" t="s">
        <v>115</v>
      </c>
      <c r="B38" s="37" t="s">
        <v>116</v>
      </c>
      <c r="C38" s="38">
        <v>261064590</v>
      </c>
      <c r="D38" s="39">
        <f t="shared" si="8"/>
        <v>11775145.254290726</v>
      </c>
      <c r="E38" s="40">
        <f t="shared" si="9"/>
        <v>9959614.1085000001</v>
      </c>
      <c r="F38" s="41" t="s">
        <v>107</v>
      </c>
      <c r="G38" s="42">
        <v>0.61</v>
      </c>
      <c r="H38" s="43">
        <v>1.1444700000000001</v>
      </c>
      <c r="I38" s="43">
        <v>1.1445000000000001</v>
      </c>
      <c r="J38" s="44">
        <f t="shared" si="10"/>
        <v>4.5104337031271556E-2</v>
      </c>
      <c r="K38" s="45">
        <f t="shared" si="11"/>
        <v>3.8150000000000003E-2</v>
      </c>
      <c r="L38" s="46">
        <f t="shared" si="12"/>
        <v>2.9999999999974492E-5</v>
      </c>
      <c r="M38" s="46">
        <f t="shared" si="13"/>
        <v>2.6213006893998523E-3</v>
      </c>
      <c r="N38" s="47">
        <v>6500</v>
      </c>
      <c r="O38" s="38">
        <v>7439.25</v>
      </c>
      <c r="P38" s="54">
        <f t="shared" si="14"/>
        <v>0</v>
      </c>
      <c r="Q38" s="48">
        <f t="shared" si="15"/>
        <v>0.87622950819672152</v>
      </c>
      <c r="R38" s="49"/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117</v>
      </c>
      <c r="B39" s="37" t="s">
        <v>118</v>
      </c>
      <c r="C39" s="38">
        <v>4194797929</v>
      </c>
      <c r="D39" s="39">
        <f t="shared" si="8"/>
        <v>19755201.186841115</v>
      </c>
      <c r="E39" s="40">
        <f t="shared" si="9"/>
        <v>16709278.417183334</v>
      </c>
      <c r="F39" s="41" t="s">
        <v>63</v>
      </c>
      <c r="G39" s="42">
        <v>0.11650199999999999</v>
      </c>
      <c r="H39" s="43">
        <v>0.119506</v>
      </c>
      <c r="I39" s="43">
        <v>0.1195</v>
      </c>
      <c r="J39" s="44">
        <f t="shared" si="10"/>
        <v>4.709452403003014E-3</v>
      </c>
      <c r="K39" s="45">
        <f t="shared" si="11"/>
        <v>3.9833333333333335E-3</v>
      </c>
      <c r="L39" s="46">
        <f t="shared" si="12"/>
        <v>-6.0000000000060005E-6</v>
      </c>
      <c r="M39" s="46">
        <f t="shared" si="13"/>
        <v>-5.0206684183271132E-3</v>
      </c>
      <c r="N39" s="47">
        <v>300</v>
      </c>
      <c r="O39" s="38">
        <v>35.85</v>
      </c>
      <c r="P39" s="54">
        <v>0</v>
      </c>
      <c r="Q39" s="48">
        <f t="shared" si="15"/>
        <v>2.5733463803196521E-2</v>
      </c>
      <c r="R39" s="49"/>
    </row>
    <row r="40" spans="1:22" ht="12" customHeight="1" x14ac:dyDescent="0.25">
      <c r="A40" s="36" t="s">
        <v>119</v>
      </c>
      <c r="B40" s="37" t="s">
        <v>120</v>
      </c>
      <c r="C40" s="38">
        <v>362927587</v>
      </c>
      <c r="D40" s="39">
        <f t="shared" si="8"/>
        <v>51385880.730562612</v>
      </c>
      <c r="E40" s="40">
        <f t="shared" si="9"/>
        <v>43463034.353255369</v>
      </c>
      <c r="F40" s="41" t="s">
        <v>34</v>
      </c>
      <c r="G40" s="42">
        <v>2.6005000000000003</v>
      </c>
      <c r="H40" s="43">
        <v>3.5927030000000002</v>
      </c>
      <c r="I40" s="43">
        <v>3.5927030000000002</v>
      </c>
      <c r="J40" s="44">
        <f t="shared" si="10"/>
        <v>0.14158714457427732</v>
      </c>
      <c r="K40" s="45">
        <f t="shared" si="11"/>
        <v>0.11975676666666667</v>
      </c>
      <c r="L40" s="46">
        <f t="shared" si="12"/>
        <v>0</v>
      </c>
      <c r="M40" s="46">
        <f t="shared" si="13"/>
        <v>0</v>
      </c>
      <c r="N40" s="47">
        <v>0</v>
      </c>
      <c r="O40" s="38">
        <v>0</v>
      </c>
      <c r="P40" s="54">
        <f t="shared" ref="P40:P47" si="16">(R40)/J40</f>
        <v>0</v>
      </c>
      <c r="Q40" s="48">
        <f t="shared" si="15"/>
        <v>0.38154316477600458</v>
      </c>
      <c r="R40" s="49"/>
    </row>
    <row r="41" spans="1:22" ht="12" customHeight="1" x14ac:dyDescent="0.25">
      <c r="A41" s="36" t="s">
        <v>121</v>
      </c>
      <c r="B41" s="37" t="s">
        <v>122</v>
      </c>
      <c r="C41" s="38">
        <v>4315726499</v>
      </c>
      <c r="D41" s="39">
        <f t="shared" si="8"/>
        <v>16157718.079371022</v>
      </c>
      <c r="E41" s="40">
        <f t="shared" si="9"/>
        <v>13666467.246833334</v>
      </c>
      <c r="F41" s="41" t="s">
        <v>41</v>
      </c>
      <c r="G41" s="42">
        <v>0.1</v>
      </c>
      <c r="H41" s="43">
        <v>9.5000000000000001E-2</v>
      </c>
      <c r="I41" s="43">
        <v>9.5000000000000001E-2</v>
      </c>
      <c r="J41" s="44">
        <f t="shared" si="10"/>
        <v>3.7439161362785474E-3</v>
      </c>
      <c r="K41" s="45">
        <f t="shared" si="11"/>
        <v>3.1666666666666666E-3</v>
      </c>
      <c r="L41" s="46">
        <f t="shared" si="12"/>
        <v>0</v>
      </c>
      <c r="M41" s="46">
        <f t="shared" si="13"/>
        <v>0</v>
      </c>
      <c r="N41" s="47">
        <v>0</v>
      </c>
      <c r="O41" s="38">
        <v>0</v>
      </c>
      <c r="P41" s="54">
        <f t="shared" si="16"/>
        <v>0</v>
      </c>
      <c r="Q41" s="48">
        <f t="shared" si="15"/>
        <v>-5.0000000000000044E-2</v>
      </c>
      <c r="R41" s="49"/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123</v>
      </c>
      <c r="B42" s="37" t="s">
        <v>124</v>
      </c>
      <c r="C42" s="38">
        <v>106474237</v>
      </c>
      <c r="D42" s="39">
        <f t="shared" si="8"/>
        <v>11329501.661116475</v>
      </c>
      <c r="E42" s="40">
        <f t="shared" si="9"/>
        <v>9582681.3300000019</v>
      </c>
      <c r="F42" s="41" t="s">
        <v>48</v>
      </c>
      <c r="G42" s="42">
        <v>1.7452379999999998</v>
      </c>
      <c r="H42" s="43">
        <v>2.7</v>
      </c>
      <c r="I42" s="43">
        <v>2.7</v>
      </c>
      <c r="J42" s="44">
        <f t="shared" si="10"/>
        <v>0.1064060375573903</v>
      </c>
      <c r="K42" s="45">
        <f t="shared" si="11"/>
        <v>9.0000000000000011E-2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4">
        <f t="shared" si="16"/>
        <v>0</v>
      </c>
      <c r="Q42" s="48">
        <f t="shared" si="15"/>
        <v>0.54706693299137443</v>
      </c>
      <c r="R42" s="49">
        <v>0</v>
      </c>
    </row>
    <row r="43" spans="1:22" ht="12" customHeight="1" x14ac:dyDescent="0.25">
      <c r="A43" s="36" t="s">
        <v>125</v>
      </c>
      <c r="B43" s="37" t="s">
        <v>126</v>
      </c>
      <c r="C43" s="38">
        <v>1778001428</v>
      </c>
      <c r="D43" s="39">
        <f t="shared" si="8"/>
        <v>2137147.2759660287</v>
      </c>
      <c r="E43" s="40">
        <f t="shared" si="9"/>
        <v>1807634.7851333332</v>
      </c>
      <c r="F43" s="41" t="s">
        <v>41</v>
      </c>
      <c r="G43" s="42">
        <v>0.03</v>
      </c>
      <c r="H43" s="43">
        <v>3.4500000000000003E-2</v>
      </c>
      <c r="I43" s="43">
        <v>3.0499999999999999E-2</v>
      </c>
      <c r="J43" s="44">
        <f t="shared" si="10"/>
        <v>1.2019941279631124E-3</v>
      </c>
      <c r="K43" s="45">
        <f t="shared" si="11"/>
        <v>1.0166666666666666E-3</v>
      </c>
      <c r="L43" s="46">
        <f t="shared" si="12"/>
        <v>-4.0000000000000036E-3</v>
      </c>
      <c r="M43" s="46">
        <f t="shared" si="13"/>
        <v>-11.594202898550735</v>
      </c>
      <c r="N43" s="47">
        <v>900</v>
      </c>
      <c r="O43" s="38">
        <v>27.45</v>
      </c>
      <c r="P43" s="54">
        <f t="shared" si="16"/>
        <v>0</v>
      </c>
      <c r="Q43" s="48">
        <f t="shared" si="15"/>
        <v>1.6666666666666607E-2</v>
      </c>
      <c r="R43" s="49">
        <v>0</v>
      </c>
    </row>
    <row r="44" spans="1:22" ht="12" customHeight="1" x14ac:dyDescent="0.25">
      <c r="A44" s="36" t="s">
        <v>127</v>
      </c>
      <c r="B44" s="37" t="s">
        <v>128</v>
      </c>
      <c r="C44" s="38">
        <v>175190642</v>
      </c>
      <c r="D44" s="39">
        <f t="shared" si="8"/>
        <v>29112715.47538726</v>
      </c>
      <c r="E44" s="40">
        <f t="shared" si="9"/>
        <v>24624019.961007133</v>
      </c>
      <c r="F44" s="41" t="s">
        <v>52</v>
      </c>
      <c r="G44" s="42">
        <v>4.5</v>
      </c>
      <c r="H44" s="43">
        <v>4.2166670000000002</v>
      </c>
      <c r="I44" s="43">
        <v>4.2166670000000002</v>
      </c>
      <c r="J44" s="44">
        <f t="shared" si="10"/>
        <v>0.16617734339592899</v>
      </c>
      <c r="K44" s="45">
        <f t="shared" si="11"/>
        <v>0.14055556666666666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4">
        <f t="shared" si="16"/>
        <v>0</v>
      </c>
      <c r="Q44" s="48">
        <f t="shared" si="15"/>
        <v>-6.2962888888888902E-2</v>
      </c>
      <c r="R44" s="49">
        <v>0</v>
      </c>
    </row>
    <row r="45" spans="1:22" ht="12" customHeight="1" x14ac:dyDescent="0.25">
      <c r="A45" s="36" t="s">
        <v>129</v>
      </c>
      <c r="B45" s="37" t="s">
        <v>130</v>
      </c>
      <c r="C45" s="38">
        <v>463337661</v>
      </c>
      <c r="D45" s="39">
        <f t="shared" si="8"/>
        <v>328.67949705412911</v>
      </c>
      <c r="E45" s="40">
        <f t="shared" si="9"/>
        <v>278.0025966</v>
      </c>
      <c r="F45" s="41" t="s">
        <v>48</v>
      </c>
      <c r="G45" s="42">
        <v>1.8E-5</v>
      </c>
      <c r="H45" s="43">
        <v>1.8E-5</v>
      </c>
      <c r="I45" s="43">
        <v>1.8E-5</v>
      </c>
      <c r="J45" s="44">
        <f t="shared" si="10"/>
        <v>7.0937358371593526E-7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54">
        <f t="shared" si="16"/>
        <v>0</v>
      </c>
      <c r="Q45" s="48">
        <f t="shared" si="15"/>
        <v>0</v>
      </c>
      <c r="R45" s="49">
        <v>0</v>
      </c>
      <c r="V45" s="61"/>
    </row>
    <row r="46" spans="1:22" ht="12" customHeight="1" x14ac:dyDescent="0.25">
      <c r="A46" s="36" t="s">
        <v>131</v>
      </c>
      <c r="B46" s="37" t="s">
        <v>132</v>
      </c>
      <c r="C46" s="38">
        <v>576000000</v>
      </c>
      <c r="D46" s="39">
        <f t="shared" si="8"/>
        <v>1815996.3743127943</v>
      </c>
      <c r="E46" s="40">
        <f t="shared" si="9"/>
        <v>1536000</v>
      </c>
      <c r="F46" s="41" t="s">
        <v>63</v>
      </c>
      <c r="G46" s="42">
        <v>7.0000000000000007E-2</v>
      </c>
      <c r="H46" s="43">
        <v>0.08</v>
      </c>
      <c r="I46" s="43">
        <v>0.08</v>
      </c>
      <c r="J46" s="44">
        <f t="shared" si="10"/>
        <v>3.1527714831819345E-3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54">
        <f t="shared" si="16"/>
        <v>0</v>
      </c>
      <c r="Q46" s="48">
        <f t="shared" si="15"/>
        <v>0.14285714285714279</v>
      </c>
      <c r="R46" s="49"/>
    </row>
    <row r="47" spans="1:22" ht="12" customHeight="1" x14ac:dyDescent="0.25">
      <c r="A47" s="36" t="s">
        <v>133</v>
      </c>
      <c r="B47" s="37" t="s">
        <v>134</v>
      </c>
      <c r="C47" s="38">
        <v>1818218786</v>
      </c>
      <c r="D47" s="39">
        <f t="shared" si="8"/>
        <v>53335946.370223649</v>
      </c>
      <c r="E47" s="40">
        <f t="shared" si="9"/>
        <v>45112432.372374669</v>
      </c>
      <c r="F47" s="41" t="s">
        <v>52</v>
      </c>
      <c r="G47" s="42">
        <v>0.9998999999999999</v>
      </c>
      <c r="H47" s="43">
        <v>0.74599599999999999</v>
      </c>
      <c r="I47" s="43">
        <v>0.74434</v>
      </c>
      <c r="J47" s="44">
        <f t="shared" si="10"/>
        <v>2.9334174072395514E-2</v>
      </c>
      <c r="K47" s="45">
        <f t="shared" si="11"/>
        <v>2.4811333333333335E-2</v>
      </c>
      <c r="L47" s="46">
        <f t="shared" si="12"/>
        <v>-1.6559999999999908E-3</v>
      </c>
      <c r="M47" s="46">
        <f t="shared" si="13"/>
        <v>-0.22198510447777076</v>
      </c>
      <c r="N47" s="47">
        <v>5300</v>
      </c>
      <c r="O47" s="38">
        <v>3945</v>
      </c>
      <c r="P47" s="54">
        <f t="shared" si="16"/>
        <v>0</v>
      </c>
      <c r="Q47" s="48">
        <f t="shared" si="15"/>
        <v>-0.25558555855585552</v>
      </c>
      <c r="R47" s="49">
        <v>0</v>
      </c>
    </row>
    <row r="48" spans="1:22" ht="12" customHeight="1" x14ac:dyDescent="0.25">
      <c r="A48" s="36" t="s">
        <v>135</v>
      </c>
      <c r="B48" s="37" t="s">
        <v>136</v>
      </c>
      <c r="C48" s="38">
        <v>102712520</v>
      </c>
      <c r="D48" s="39">
        <f t="shared" si="8"/>
        <v>4958633.1553331101</v>
      </c>
      <c r="E48" s="40">
        <f t="shared" si="9"/>
        <v>4194094.5666666673</v>
      </c>
      <c r="F48" s="41" t="s">
        <v>52</v>
      </c>
      <c r="G48" s="42">
        <v>1.4503460000000001</v>
      </c>
      <c r="H48" s="43">
        <v>1.35</v>
      </c>
      <c r="I48" s="43">
        <v>1.2250000000000001</v>
      </c>
      <c r="J48" s="44">
        <f t="shared" si="10"/>
        <v>4.8276813336223377E-2</v>
      </c>
      <c r="K48" s="45">
        <f t="shared" si="11"/>
        <v>4.083333333333334E-2</v>
      </c>
      <c r="L48" s="46">
        <f t="shared" si="12"/>
        <v>-0.125</v>
      </c>
      <c r="M48" s="46">
        <f t="shared" si="13"/>
        <v>-9.2592592592592595</v>
      </c>
      <c r="N48" s="47">
        <v>8000</v>
      </c>
      <c r="O48" s="38">
        <v>9800</v>
      </c>
      <c r="P48" s="54">
        <v>0</v>
      </c>
      <c r="Q48" s="48">
        <f t="shared" si="15"/>
        <v>-0.15537395904149776</v>
      </c>
      <c r="R48" s="49"/>
    </row>
    <row r="49" spans="1:26" ht="13.8" thickBot="1" x14ac:dyDescent="0.4">
      <c r="A49" s="62"/>
      <c r="B49" s="63" t="s">
        <v>95</v>
      </c>
      <c r="C49" s="64"/>
      <c r="D49" s="65"/>
      <c r="E49" s="65"/>
      <c r="F49" s="66"/>
      <c r="G49" s="66"/>
      <c r="H49" s="46"/>
      <c r="I49" s="46"/>
      <c r="J49" s="46"/>
      <c r="K49" s="46"/>
      <c r="L49" s="46"/>
      <c r="M49" s="46"/>
      <c r="N49" s="66">
        <f>SUM(N10:N48)</f>
        <v>622700</v>
      </c>
      <c r="O49" s="67">
        <f>SUM(O10:O48)</f>
        <v>10401073.43</v>
      </c>
      <c r="P49" s="67"/>
      <c r="Q49" s="68"/>
    </row>
    <row r="50" spans="1:26" ht="13.2" x14ac:dyDescent="0.35">
      <c r="A50" s="69"/>
      <c r="B50" s="70" t="s">
        <v>95</v>
      </c>
      <c r="C50" s="71"/>
      <c r="D50" s="71"/>
      <c r="E50" s="71"/>
      <c r="F50" s="72"/>
      <c r="G50" s="72"/>
      <c r="H50" s="73"/>
      <c r="I50" s="73"/>
      <c r="J50" s="73"/>
      <c r="K50" s="73"/>
      <c r="L50" s="73"/>
      <c r="M50" s="73"/>
      <c r="N50" s="72"/>
      <c r="O50" s="72"/>
      <c r="P50" s="72"/>
      <c r="Q50" s="74"/>
    </row>
    <row r="51" spans="1:26" ht="12.6" x14ac:dyDescent="0.3">
      <c r="A51" s="156" t="s">
        <v>137</v>
      </c>
      <c r="B51" s="157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9"/>
    </row>
    <row r="52" spans="1:26" x14ac:dyDescent="0.25">
      <c r="A52" s="36" t="s">
        <v>108</v>
      </c>
      <c r="B52" s="37" t="s">
        <v>138</v>
      </c>
      <c r="C52" s="41">
        <v>14779932</v>
      </c>
      <c r="D52" s="39">
        <f t="shared" ref="D52:D65" si="17">C52*J52</f>
        <v>62371313.039999999</v>
      </c>
      <c r="E52" s="40">
        <f>C52*K52</f>
        <v>0</v>
      </c>
      <c r="F52" s="41" t="s">
        <v>107</v>
      </c>
      <c r="G52" s="75">
        <v>4</v>
      </c>
      <c r="H52" s="43">
        <v>4.3982000000000001</v>
      </c>
      <c r="I52" s="43">
        <v>4.22</v>
      </c>
      <c r="J52" s="44">
        <f t="shared" ref="J52:J65" si="18">I52</f>
        <v>4.22</v>
      </c>
      <c r="K52" s="40">
        <v>0</v>
      </c>
      <c r="L52" s="46">
        <f t="shared" ref="L52:L65" si="19">I52-H52</f>
        <v>-0.17820000000000036</v>
      </c>
      <c r="M52" s="46">
        <f t="shared" ref="M52:M65" si="20">((I52-H52)/H52)*100</f>
        <v>-4.051657496248473</v>
      </c>
      <c r="N52" s="47">
        <v>16</v>
      </c>
      <c r="O52" s="38">
        <v>67.52</v>
      </c>
      <c r="P52" s="54">
        <v>0</v>
      </c>
      <c r="Q52" s="48">
        <f t="shared" ref="Q52:Q65" si="21">J52/G52-1</f>
        <v>5.4999999999999938E-2</v>
      </c>
      <c r="R52" s="55"/>
      <c r="X52" s="55"/>
      <c r="Z52" s="55"/>
    </row>
    <row r="53" spans="1:26" x14ac:dyDescent="0.25">
      <c r="A53" s="36" t="s">
        <v>139</v>
      </c>
      <c r="B53" s="37" t="s">
        <v>140</v>
      </c>
      <c r="C53" s="41">
        <v>554920933</v>
      </c>
      <c r="D53" s="39">
        <f t="shared" si="17"/>
        <v>74803341.768399999</v>
      </c>
      <c r="E53" s="40">
        <v>0</v>
      </c>
      <c r="F53" s="41" t="s">
        <v>107</v>
      </c>
      <c r="G53" s="75">
        <v>0.1</v>
      </c>
      <c r="H53" s="43">
        <v>0.1396</v>
      </c>
      <c r="I53" s="43">
        <v>0.1348</v>
      </c>
      <c r="J53" s="44">
        <f t="shared" si="18"/>
        <v>0.1348</v>
      </c>
      <c r="K53" s="40">
        <v>0</v>
      </c>
      <c r="L53" s="46">
        <f t="shared" si="19"/>
        <v>-4.7999999999999987E-3</v>
      </c>
      <c r="M53" s="46">
        <f t="shared" si="20"/>
        <v>-3.4383954154727787</v>
      </c>
      <c r="N53" s="47">
        <v>61624</v>
      </c>
      <c r="O53" s="38">
        <v>8304.27</v>
      </c>
      <c r="P53" s="41">
        <f t="shared" ref="P53:P65" si="22">(R53)/J53</f>
        <v>0</v>
      </c>
      <c r="Q53" s="48">
        <f t="shared" si="21"/>
        <v>0.34799999999999986</v>
      </c>
      <c r="X53" s="55"/>
      <c r="Z53" s="55"/>
    </row>
    <row r="54" spans="1:26" x14ac:dyDescent="0.25">
      <c r="A54" s="36" t="s">
        <v>111</v>
      </c>
      <c r="B54" s="37" t="s">
        <v>141</v>
      </c>
      <c r="C54" s="41">
        <v>1049554</v>
      </c>
      <c r="D54" s="39">
        <f t="shared" si="17"/>
        <v>72366748.299999997</v>
      </c>
      <c r="E54" s="40">
        <v>0</v>
      </c>
      <c r="F54" s="41" t="s">
        <v>41</v>
      </c>
      <c r="G54" s="75">
        <v>39.9</v>
      </c>
      <c r="H54" s="43">
        <v>68.986699999999999</v>
      </c>
      <c r="I54" s="43">
        <v>68.95</v>
      </c>
      <c r="J54" s="44">
        <f t="shared" si="18"/>
        <v>68.95</v>
      </c>
      <c r="K54" s="40">
        <v>0</v>
      </c>
      <c r="L54" s="46">
        <f t="shared" si="19"/>
        <v>-3.669999999999618E-2</v>
      </c>
      <c r="M54" s="46">
        <f t="shared" si="20"/>
        <v>-5.3198660031565766E-2</v>
      </c>
      <c r="N54" s="47">
        <v>5</v>
      </c>
      <c r="O54" s="38">
        <v>344.75</v>
      </c>
      <c r="P54" s="41">
        <f t="shared" si="22"/>
        <v>0</v>
      </c>
      <c r="Q54" s="48">
        <f t="shared" si="21"/>
        <v>0.72807017543859653</v>
      </c>
      <c r="R54" s="55"/>
      <c r="X54" s="55"/>
      <c r="Z54" s="55"/>
    </row>
    <row r="55" spans="1:26" x14ac:dyDescent="0.25">
      <c r="A55" s="36" t="s">
        <v>142</v>
      </c>
      <c r="B55" s="37" t="s">
        <v>143</v>
      </c>
      <c r="C55" s="41">
        <v>609740943</v>
      </c>
      <c r="D55" s="39">
        <f t="shared" si="17"/>
        <v>18292228.289999999</v>
      </c>
      <c r="E55" s="40">
        <v>0</v>
      </c>
      <c r="F55" s="41" t="s">
        <v>34</v>
      </c>
      <c r="G55" s="75">
        <v>2.3E-2</v>
      </c>
      <c r="H55" s="43">
        <v>0.03</v>
      </c>
      <c r="I55" s="43">
        <v>0.03</v>
      </c>
      <c r="J55" s="44">
        <f t="shared" si="18"/>
        <v>0.03</v>
      </c>
      <c r="K55" s="40">
        <v>0</v>
      </c>
      <c r="L55" s="46">
        <f t="shared" si="19"/>
        <v>0</v>
      </c>
      <c r="M55" s="46">
        <f t="shared" si="20"/>
        <v>0</v>
      </c>
      <c r="N55" s="47">
        <v>13300</v>
      </c>
      <c r="O55" s="38">
        <v>399</v>
      </c>
      <c r="P55" s="41">
        <f t="shared" si="22"/>
        <v>0</v>
      </c>
      <c r="Q55" s="48">
        <f t="shared" si="21"/>
        <v>0.30434782608695654</v>
      </c>
      <c r="X55" s="55"/>
      <c r="Z55" s="55"/>
    </row>
    <row r="56" spans="1:26" x14ac:dyDescent="0.25">
      <c r="A56" s="36" t="s">
        <v>144</v>
      </c>
      <c r="B56" s="37" t="s">
        <v>145</v>
      </c>
      <c r="C56" s="41">
        <v>2162005813</v>
      </c>
      <c r="D56" s="39">
        <f t="shared" si="17"/>
        <v>216200581.30000001</v>
      </c>
      <c r="E56" s="40">
        <v>0</v>
      </c>
      <c r="F56" s="41" t="s">
        <v>52</v>
      </c>
      <c r="G56" s="75">
        <v>9.0200000000000002E-2</v>
      </c>
      <c r="H56" s="43">
        <v>0.1</v>
      </c>
      <c r="I56" s="43">
        <v>0.1</v>
      </c>
      <c r="J56" s="44">
        <f t="shared" si="18"/>
        <v>0.1</v>
      </c>
      <c r="K56" s="40">
        <v>0</v>
      </c>
      <c r="L56" s="46">
        <f t="shared" si="19"/>
        <v>0</v>
      </c>
      <c r="M56" s="76">
        <f t="shared" si="20"/>
        <v>0</v>
      </c>
      <c r="N56" s="47">
        <v>84478</v>
      </c>
      <c r="O56" s="38">
        <v>8447.7999999999993</v>
      </c>
      <c r="P56" s="41">
        <f t="shared" si="22"/>
        <v>0</v>
      </c>
      <c r="Q56" s="48">
        <f t="shared" si="21"/>
        <v>0.10864745011086474</v>
      </c>
      <c r="R56" s="55"/>
      <c r="X56" s="55"/>
      <c r="Z56" s="55"/>
    </row>
    <row r="57" spans="1:26" x14ac:dyDescent="0.25">
      <c r="A57" s="36" t="s">
        <v>146</v>
      </c>
      <c r="B57" s="37" t="s">
        <v>147</v>
      </c>
      <c r="C57" s="41">
        <v>575927100</v>
      </c>
      <c r="D57" s="39">
        <f t="shared" si="17"/>
        <v>757632100.04999995</v>
      </c>
      <c r="E57" s="40">
        <v>0</v>
      </c>
      <c r="F57" s="41" t="s">
        <v>34</v>
      </c>
      <c r="G57" s="75">
        <v>0.95750000000000002</v>
      </c>
      <c r="H57" s="43">
        <v>1.353</v>
      </c>
      <c r="I57" s="43">
        <v>1.3154999999999999</v>
      </c>
      <c r="J57" s="44">
        <f t="shared" si="18"/>
        <v>1.3154999999999999</v>
      </c>
      <c r="K57" s="40">
        <v>0</v>
      </c>
      <c r="L57" s="46">
        <f t="shared" si="19"/>
        <v>-3.7500000000000089E-2</v>
      </c>
      <c r="M57" s="46">
        <f t="shared" si="20"/>
        <v>-2.7716186252771684</v>
      </c>
      <c r="N57" s="47">
        <v>38465</v>
      </c>
      <c r="O57" s="38">
        <v>50600.02</v>
      </c>
      <c r="P57" s="41">
        <f t="shared" si="22"/>
        <v>0</v>
      </c>
      <c r="Q57" s="48">
        <f t="shared" si="21"/>
        <v>0.37389033942558725</v>
      </c>
      <c r="R57" s="55"/>
      <c r="X57" s="55"/>
      <c r="Z57" s="55"/>
    </row>
    <row r="58" spans="1:26" x14ac:dyDescent="0.25">
      <c r="A58" s="36" t="s">
        <v>148</v>
      </c>
      <c r="B58" s="37" t="s">
        <v>149</v>
      </c>
      <c r="C58" s="41">
        <v>164208222</v>
      </c>
      <c r="D58" s="39">
        <f t="shared" si="17"/>
        <v>25123857.965999998</v>
      </c>
      <c r="E58" s="40">
        <v>0</v>
      </c>
      <c r="F58" s="41" t="s">
        <v>34</v>
      </c>
      <c r="G58" s="75">
        <v>0.1595</v>
      </c>
      <c r="H58" s="43">
        <v>0.15</v>
      </c>
      <c r="I58" s="43">
        <v>0.153</v>
      </c>
      <c r="J58" s="44">
        <f t="shared" si="18"/>
        <v>0.153</v>
      </c>
      <c r="K58" s="40">
        <v>0</v>
      </c>
      <c r="L58" s="46">
        <f t="shared" si="19"/>
        <v>3.0000000000000027E-3</v>
      </c>
      <c r="M58" s="46">
        <f t="shared" si="20"/>
        <v>2.0000000000000018</v>
      </c>
      <c r="N58" s="47">
        <v>45</v>
      </c>
      <c r="O58" s="38">
        <v>6.88</v>
      </c>
      <c r="P58" s="41">
        <f t="shared" si="22"/>
        <v>0</v>
      </c>
      <c r="Q58" s="48">
        <f t="shared" si="21"/>
        <v>-4.0752351097178674E-2</v>
      </c>
      <c r="X58" s="55"/>
      <c r="Z58" s="55"/>
    </row>
    <row r="59" spans="1:26" x14ac:dyDescent="0.25">
      <c r="A59" s="36" t="s">
        <v>150</v>
      </c>
      <c r="B59" s="37" t="s">
        <v>151</v>
      </c>
      <c r="C59" s="41">
        <v>370573735</v>
      </c>
      <c r="D59" s="39">
        <f t="shared" si="17"/>
        <v>6966786.2180000003</v>
      </c>
      <c r="E59" s="40">
        <v>0</v>
      </c>
      <c r="F59" s="41" t="s">
        <v>107</v>
      </c>
      <c r="G59" s="75">
        <v>1.6799999999999999E-2</v>
      </c>
      <c r="H59" s="43">
        <v>1.9099999999999999E-2</v>
      </c>
      <c r="I59" s="43">
        <v>1.8800000000000001E-2</v>
      </c>
      <c r="J59" s="44">
        <f t="shared" si="18"/>
        <v>1.8800000000000001E-2</v>
      </c>
      <c r="K59" s="40">
        <v>0</v>
      </c>
      <c r="L59" s="46">
        <f t="shared" si="19"/>
        <v>-2.9999999999999818E-4</v>
      </c>
      <c r="M59" s="76">
        <f t="shared" si="20"/>
        <v>-1.5706806282722419</v>
      </c>
      <c r="N59" s="47">
        <v>537209</v>
      </c>
      <c r="O59" s="38">
        <v>10108.1</v>
      </c>
      <c r="P59" s="41">
        <f t="shared" si="22"/>
        <v>0</v>
      </c>
      <c r="Q59" s="48">
        <f t="shared" si="21"/>
        <v>0.11904761904761907</v>
      </c>
      <c r="X59" s="55"/>
      <c r="Z59" s="55"/>
    </row>
    <row r="60" spans="1:26" x14ac:dyDescent="0.25">
      <c r="A60" s="36" t="s">
        <v>152</v>
      </c>
      <c r="B60" s="37" t="s">
        <v>153</v>
      </c>
      <c r="C60" s="41">
        <v>161273</v>
      </c>
      <c r="D60" s="39">
        <f t="shared" si="17"/>
        <v>2096549</v>
      </c>
      <c r="E60" s="40">
        <v>0</v>
      </c>
      <c r="F60" s="41" t="s">
        <v>154</v>
      </c>
      <c r="G60" s="75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8">
        <f t="shared" si="21"/>
        <v>-0.33333333333333337</v>
      </c>
      <c r="X60" s="55"/>
      <c r="Z60" s="55"/>
    </row>
    <row r="61" spans="1:26" x14ac:dyDescent="0.25">
      <c r="A61" s="36" t="s">
        <v>101</v>
      </c>
      <c r="B61" s="37" t="s">
        <v>155</v>
      </c>
      <c r="C61" s="41">
        <v>805091101</v>
      </c>
      <c r="D61" s="39">
        <f t="shared" si="17"/>
        <v>951295644.94159997</v>
      </c>
      <c r="E61" s="40">
        <v>0</v>
      </c>
      <c r="F61" s="41" t="s">
        <v>107</v>
      </c>
      <c r="G61" s="75">
        <v>0.59499999999999997</v>
      </c>
      <c r="H61" s="43">
        <v>1.0405</v>
      </c>
      <c r="I61" s="43">
        <v>1.1816</v>
      </c>
      <c r="J61" s="44">
        <f t="shared" si="18"/>
        <v>1.1816</v>
      </c>
      <c r="K61" s="40">
        <v>0</v>
      </c>
      <c r="L61" s="46">
        <f t="shared" si="19"/>
        <v>0.1411</v>
      </c>
      <c r="M61" s="46">
        <f t="shared" si="20"/>
        <v>13.560788082652572</v>
      </c>
      <c r="N61" s="47">
        <v>94655</v>
      </c>
      <c r="O61" s="38">
        <v>111840.67</v>
      </c>
      <c r="P61" s="41">
        <f t="shared" si="22"/>
        <v>0</v>
      </c>
      <c r="Q61" s="48">
        <f t="shared" si="21"/>
        <v>0.98588235294117643</v>
      </c>
      <c r="R61" s="55"/>
      <c r="X61" s="55"/>
      <c r="Z61" s="55"/>
    </row>
    <row r="62" spans="1:26" x14ac:dyDescent="0.25">
      <c r="A62" s="36" t="s">
        <v>156</v>
      </c>
      <c r="B62" s="37" t="s">
        <v>157</v>
      </c>
      <c r="C62" s="41">
        <v>260714518</v>
      </c>
      <c r="D62" s="39">
        <f t="shared" si="17"/>
        <v>72973993.588199988</v>
      </c>
      <c r="E62" s="40">
        <v>0</v>
      </c>
      <c r="F62" s="41" t="s">
        <v>34</v>
      </c>
      <c r="G62" s="75">
        <v>0.22600000000000001</v>
      </c>
      <c r="H62" s="43">
        <v>0.27929999999999999</v>
      </c>
      <c r="I62" s="43">
        <v>0.27989999999999998</v>
      </c>
      <c r="J62" s="44">
        <f t="shared" si="18"/>
        <v>0.27989999999999998</v>
      </c>
      <c r="K62" s="40">
        <v>0</v>
      </c>
      <c r="L62" s="46">
        <f t="shared" si="19"/>
        <v>5.9999999999998943E-4</v>
      </c>
      <c r="M62" s="46">
        <f t="shared" si="20"/>
        <v>0.21482277121374488</v>
      </c>
      <c r="N62" s="47">
        <v>3625</v>
      </c>
      <c r="O62" s="38">
        <v>1014.6</v>
      </c>
      <c r="P62" s="41">
        <f t="shared" si="22"/>
        <v>0</v>
      </c>
      <c r="Q62" s="48">
        <f t="shared" si="21"/>
        <v>0.23849557522123876</v>
      </c>
      <c r="X62" s="55"/>
      <c r="Z62" s="55"/>
    </row>
    <row r="63" spans="1:26" x14ac:dyDescent="0.25">
      <c r="A63" s="36" t="s">
        <v>158</v>
      </c>
      <c r="B63" s="37" t="s">
        <v>159</v>
      </c>
      <c r="C63" s="41">
        <v>562184788</v>
      </c>
      <c r="D63" s="39">
        <f t="shared" si="17"/>
        <v>410844643.0704</v>
      </c>
      <c r="E63" s="40">
        <v>0</v>
      </c>
      <c r="F63" s="41" t="s">
        <v>34</v>
      </c>
      <c r="G63" s="75">
        <v>0.49440000000000001</v>
      </c>
      <c r="H63" s="43">
        <v>0.73950000000000005</v>
      </c>
      <c r="I63" s="43">
        <v>0.73080000000000001</v>
      </c>
      <c r="J63" s="44">
        <f t="shared" si="18"/>
        <v>0.73080000000000001</v>
      </c>
      <c r="K63" s="40">
        <v>0</v>
      </c>
      <c r="L63" s="46">
        <f t="shared" si="19"/>
        <v>-8.700000000000041E-3</v>
      </c>
      <c r="M63" s="46">
        <f t="shared" si="20"/>
        <v>-1.1764705882352997</v>
      </c>
      <c r="N63" s="47">
        <v>5084</v>
      </c>
      <c r="O63" s="38">
        <v>3715.15</v>
      </c>
      <c r="P63" s="41">
        <f t="shared" si="22"/>
        <v>0</v>
      </c>
      <c r="Q63" s="48">
        <f t="shared" si="21"/>
        <v>0.47815533980582514</v>
      </c>
      <c r="R63" s="55"/>
      <c r="X63" s="55"/>
      <c r="Z63" s="55"/>
    </row>
    <row r="64" spans="1:26" x14ac:dyDescent="0.25">
      <c r="A64" s="36" t="s">
        <v>160</v>
      </c>
      <c r="B64" s="37" t="s">
        <v>161</v>
      </c>
      <c r="C64" s="41">
        <v>30000000</v>
      </c>
      <c r="D64" s="39">
        <f t="shared" si="17"/>
        <v>300000000</v>
      </c>
      <c r="E64" s="40">
        <v>0</v>
      </c>
      <c r="F64" s="41" t="s">
        <v>75</v>
      </c>
      <c r="G64" s="75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41">
        <f t="shared" si="22"/>
        <v>0</v>
      </c>
      <c r="Q64" s="48">
        <f t="shared" si="21"/>
        <v>0</v>
      </c>
      <c r="X64" s="55"/>
      <c r="Z64" s="55"/>
    </row>
    <row r="65" spans="1:249" x14ac:dyDescent="0.25">
      <c r="A65" s="36" t="s">
        <v>162</v>
      </c>
      <c r="B65" s="37" t="s">
        <v>163</v>
      </c>
      <c r="C65" s="41">
        <v>344580486</v>
      </c>
      <c r="D65" s="39">
        <f t="shared" si="17"/>
        <v>17366856.494399998</v>
      </c>
      <c r="E65" s="40">
        <v>0</v>
      </c>
      <c r="F65" s="41" t="s">
        <v>48</v>
      </c>
      <c r="G65" s="75">
        <v>4.2999999999999997E-2</v>
      </c>
      <c r="H65" s="43">
        <v>5.0200000000000002E-2</v>
      </c>
      <c r="I65" s="43">
        <v>5.04E-2</v>
      </c>
      <c r="J65" s="44">
        <f t="shared" si="18"/>
        <v>5.04E-2</v>
      </c>
      <c r="K65" s="40">
        <v>0</v>
      </c>
      <c r="L65" s="46">
        <f t="shared" si="19"/>
        <v>1.9999999999999879E-4</v>
      </c>
      <c r="M65" s="46">
        <f t="shared" si="20"/>
        <v>0.39840637450198957</v>
      </c>
      <c r="N65" s="47">
        <v>7000</v>
      </c>
      <c r="O65" s="38">
        <v>352.8</v>
      </c>
      <c r="P65" s="41">
        <f t="shared" si="22"/>
        <v>0</v>
      </c>
      <c r="Q65" s="48">
        <f t="shared" si="21"/>
        <v>0.17209302325581399</v>
      </c>
      <c r="X65" s="55"/>
      <c r="Z65" s="55"/>
    </row>
    <row r="66" spans="1:249" ht="13.2" x14ac:dyDescent="0.35">
      <c r="A66" s="77"/>
      <c r="B66" s="37" t="s">
        <v>95</v>
      </c>
      <c r="C66" s="41"/>
      <c r="D66" s="78"/>
      <c r="E66" s="78"/>
      <c r="F66" s="41"/>
      <c r="G66" s="41"/>
      <c r="H66" s="43"/>
      <c r="I66" s="43"/>
      <c r="J66" s="43"/>
      <c r="K66" s="43"/>
      <c r="L66" s="46"/>
      <c r="M66" s="79"/>
      <c r="N66" s="66">
        <f>SUM(N52:N65)</f>
        <v>845506</v>
      </c>
      <c r="O66" s="67">
        <f>SUM(O52:O65)</f>
        <v>195201.56</v>
      </c>
      <c r="P66" s="80"/>
      <c r="Q66" s="68"/>
    </row>
    <row r="67" spans="1:249" ht="12.6" hidden="1" x14ac:dyDescent="0.3">
      <c r="A67" s="144" t="s">
        <v>164</v>
      </c>
      <c r="B67" s="145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7"/>
    </row>
    <row r="68" spans="1:249" ht="12.6" hidden="1" thickBot="1" x14ac:dyDescent="0.3">
      <c r="A68" s="81" t="s">
        <v>165</v>
      </c>
      <c r="B68" s="82" t="s">
        <v>166</v>
      </c>
      <c r="C68" s="83">
        <v>20000</v>
      </c>
      <c r="D68" s="84">
        <f>C68*J68</f>
        <v>0</v>
      </c>
      <c r="E68" s="84"/>
      <c r="F68" s="83" t="s">
        <v>167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168</v>
      </c>
      <c r="O68" s="88" t="s">
        <v>168</v>
      </c>
      <c r="P68" s="88"/>
      <c r="Q68" s="89">
        <v>100</v>
      </c>
    </row>
    <row r="69" spans="1:249" ht="12.6" thickBot="1" x14ac:dyDescent="0.3">
      <c r="A69" s="36"/>
      <c r="B69" s="37" t="s">
        <v>95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79"/>
      <c r="N69" s="90"/>
      <c r="O69" s="90"/>
      <c r="P69" s="90"/>
      <c r="Q69" s="68"/>
    </row>
    <row r="70" spans="1:249" ht="12.6" x14ac:dyDescent="0.3">
      <c r="A70" s="144" t="s">
        <v>169</v>
      </c>
      <c r="B70" s="145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7"/>
    </row>
    <row r="71" spans="1:249" x14ac:dyDescent="0.25">
      <c r="A71" s="91" t="s">
        <v>170</v>
      </c>
      <c r="B71" s="92" t="s">
        <v>171</v>
      </c>
      <c r="C71" s="93">
        <v>139300587</v>
      </c>
      <c r="D71" s="94">
        <f>C71*J71</f>
        <v>50148211.32</v>
      </c>
      <c r="E71" s="95">
        <f>C71*K71</f>
        <v>50148211.32</v>
      </c>
      <c r="F71" s="93" t="s">
        <v>172</v>
      </c>
      <c r="G71" s="93">
        <v>0.24</v>
      </c>
      <c r="H71" s="96">
        <v>0.3619</v>
      </c>
      <c r="I71" s="96">
        <v>0.36</v>
      </c>
      <c r="J71" s="97">
        <f>I71</f>
        <v>0.36</v>
      </c>
      <c r="K71" s="97">
        <f>J71</f>
        <v>0.36</v>
      </c>
      <c r="L71" s="98">
        <f>I71-H71</f>
        <v>-1.9000000000000128E-3</v>
      </c>
      <c r="M71" s="98">
        <f>((I71-H71)/H71)*100</f>
        <v>-0.52500690798563499</v>
      </c>
      <c r="N71" s="99">
        <v>1310</v>
      </c>
      <c r="O71" s="100">
        <v>471.6</v>
      </c>
      <c r="P71" s="101">
        <v>0</v>
      </c>
      <c r="Q71" s="102">
        <f>J71/G71-1</f>
        <v>0.5</v>
      </c>
      <c r="Z71" s="55"/>
    </row>
    <row r="72" spans="1:249" x14ac:dyDescent="0.25">
      <c r="A72" s="91" t="s">
        <v>173</v>
      </c>
      <c r="B72" s="92" t="s">
        <v>174</v>
      </c>
      <c r="C72" s="93">
        <v>471351750</v>
      </c>
      <c r="D72" s="94">
        <f>C72*J72</f>
        <v>68534544.450000003</v>
      </c>
      <c r="E72" s="95">
        <f>C72*K72</f>
        <v>68534544.450000003</v>
      </c>
      <c r="F72" s="93" t="s">
        <v>172</v>
      </c>
      <c r="G72" s="93">
        <v>0.1</v>
      </c>
      <c r="H72" s="96">
        <v>0.14119999999999999</v>
      </c>
      <c r="I72" s="96">
        <v>0.1454</v>
      </c>
      <c r="J72" s="97">
        <f>I72</f>
        <v>0.1454</v>
      </c>
      <c r="K72" s="97">
        <f>J72</f>
        <v>0.1454</v>
      </c>
      <c r="L72" s="98">
        <f>I72-H72</f>
        <v>4.2000000000000093E-3</v>
      </c>
      <c r="M72" s="98">
        <f>((I72-H72)/H72)*100</f>
        <v>2.9745042492917912</v>
      </c>
      <c r="N72" s="47">
        <v>1336</v>
      </c>
      <c r="O72" s="100">
        <v>194.32</v>
      </c>
      <c r="P72" s="101">
        <v>0</v>
      </c>
      <c r="Q72" s="102">
        <f>J72/G72-1</f>
        <v>0.45399999999999996</v>
      </c>
      <c r="Z72" s="55"/>
    </row>
    <row r="73" spans="1:249" ht="13.2" x14ac:dyDescent="0.35">
      <c r="A73" s="91"/>
      <c r="B73" s="103" t="s">
        <v>95</v>
      </c>
      <c r="C73" s="104"/>
      <c r="D73" s="105"/>
      <c r="E73" s="105"/>
      <c r="F73" s="104"/>
      <c r="G73" s="104"/>
      <c r="H73" s="106"/>
      <c r="I73" s="106"/>
      <c r="J73" s="106"/>
      <c r="K73" s="106"/>
      <c r="L73" s="98"/>
      <c r="M73" s="107"/>
      <c r="N73" s="66">
        <f>SUM(N71:N72)</f>
        <v>2646</v>
      </c>
      <c r="O73" s="67">
        <f>SUM(O71:O72)</f>
        <v>665.92000000000007</v>
      </c>
      <c r="P73" s="108"/>
      <c r="Q73" s="98"/>
    </row>
    <row r="74" spans="1:249" ht="12.6" x14ac:dyDescent="0.3">
      <c r="A74" s="156" t="s">
        <v>175</v>
      </c>
      <c r="B74" s="157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9"/>
    </row>
    <row r="75" spans="1:249" x14ac:dyDescent="0.25">
      <c r="A75" s="36" t="s">
        <v>176</v>
      </c>
      <c r="B75" s="37" t="s">
        <v>177</v>
      </c>
      <c r="C75" s="41">
        <v>45396463</v>
      </c>
      <c r="D75" s="39">
        <f>C75*J75</f>
        <v>134179.38185974106</v>
      </c>
      <c r="E75" s="40">
        <f>C75*K75</f>
        <v>113491.1575</v>
      </c>
      <c r="F75" s="41" t="s">
        <v>154</v>
      </c>
      <c r="G75" s="75">
        <v>0.105</v>
      </c>
      <c r="H75" s="43">
        <v>7.4999999999999997E-2</v>
      </c>
      <c r="I75" s="43">
        <v>7.4999999999999997E-2</v>
      </c>
      <c r="J75" s="44">
        <f>I75/$J$5</f>
        <v>2.9557232654830634E-3</v>
      </c>
      <c r="K75" s="45">
        <f>I75/$K$4</f>
        <v>2.5000000000000001E-3</v>
      </c>
      <c r="L75" s="46">
        <f>I75-H75</f>
        <v>0</v>
      </c>
      <c r="M75" s="109">
        <f>((I75-H75)/H75)*100</f>
        <v>0</v>
      </c>
      <c r="N75" s="38">
        <v>0</v>
      </c>
      <c r="O75" s="38">
        <v>0</v>
      </c>
      <c r="P75" s="41">
        <v>0</v>
      </c>
      <c r="Q75" s="48">
        <f>I75/G75-1</f>
        <v>-0.2857142857142857</v>
      </c>
    </row>
    <row r="76" spans="1:249" x14ac:dyDescent="0.25">
      <c r="A76" s="36" t="s">
        <v>178</v>
      </c>
      <c r="B76" s="37" t="s">
        <v>179</v>
      </c>
      <c r="C76" s="41">
        <v>136162052</v>
      </c>
      <c r="D76" s="39">
        <f>C76*J76</f>
        <v>279037.09251413826</v>
      </c>
      <c r="E76" s="40">
        <f>C76*K76</f>
        <v>236014.22346666668</v>
      </c>
      <c r="F76" s="41" t="s">
        <v>154</v>
      </c>
      <c r="G76" s="75">
        <v>4.2500000000000003E-2</v>
      </c>
      <c r="H76" s="43">
        <v>5.2000000000000005E-2</v>
      </c>
      <c r="I76" s="43">
        <v>5.2000000000000005E-2</v>
      </c>
      <c r="J76" s="44">
        <f>I76/$J$5</f>
        <v>2.0493014640682577E-3</v>
      </c>
      <c r="K76" s="45">
        <f>I76/$K$4</f>
        <v>1.7333333333333335E-3</v>
      </c>
      <c r="L76" s="46">
        <f>I76-H76</f>
        <v>0</v>
      </c>
      <c r="M76" s="109">
        <f>((I76-H76)/H76)*100</f>
        <v>0</v>
      </c>
      <c r="N76" s="38">
        <v>31800</v>
      </c>
      <c r="O76" s="38">
        <v>1653.6</v>
      </c>
      <c r="P76" s="41">
        <v>0</v>
      </c>
      <c r="Q76" s="48">
        <f>I76/G76-1</f>
        <v>0.22352941176470598</v>
      </c>
    </row>
    <row r="77" spans="1:249" x14ac:dyDescent="0.25">
      <c r="A77" s="36" t="s">
        <v>180</v>
      </c>
      <c r="B77" s="37" t="s">
        <v>181</v>
      </c>
      <c r="C77" s="41">
        <v>494417400</v>
      </c>
      <c r="D77" s="39">
        <f>C77*J77</f>
        <v>1363936.9445703363</v>
      </c>
      <c r="E77" s="40">
        <f>C77*K77</f>
        <v>1153640.6000000001</v>
      </c>
      <c r="F77" s="41" t="s">
        <v>154</v>
      </c>
      <c r="G77" s="75">
        <v>6.0499999999999998E-2</v>
      </c>
      <c r="H77" s="43">
        <v>7.0000000000000007E-2</v>
      </c>
      <c r="I77" s="43">
        <v>7.0000000000000007E-2</v>
      </c>
      <c r="J77" s="44">
        <f>I77/$J$5</f>
        <v>2.7586750477841928E-3</v>
      </c>
      <c r="K77" s="45">
        <f>I77/$K$4</f>
        <v>2.3333333333333335E-3</v>
      </c>
      <c r="L77" s="46">
        <f>I77-H77</f>
        <v>0</v>
      </c>
      <c r="M77" s="109">
        <f>((I77-H77)/H77)*100</f>
        <v>0</v>
      </c>
      <c r="N77" s="38">
        <v>0</v>
      </c>
      <c r="O77" s="38">
        <v>0</v>
      </c>
      <c r="P77" s="41">
        <v>0</v>
      </c>
      <c r="Q77" s="48">
        <f>I77/G77-1</f>
        <v>0.1570247933884299</v>
      </c>
    </row>
    <row r="78" spans="1:249" x14ac:dyDescent="0.25">
      <c r="A78" s="36" t="s">
        <v>182</v>
      </c>
      <c r="B78" s="37" t="s">
        <v>183</v>
      </c>
      <c r="C78" s="38">
        <v>41156692</v>
      </c>
      <c r="D78" s="39">
        <f>C78*J78</f>
        <v>2919547.0097932965</v>
      </c>
      <c r="E78" s="40">
        <f>C78*K78</f>
        <v>2469401.52</v>
      </c>
      <c r="F78" s="41" t="s">
        <v>154</v>
      </c>
      <c r="G78" s="75">
        <v>1.85</v>
      </c>
      <c r="H78" s="43">
        <v>1.8</v>
      </c>
      <c r="I78" s="43">
        <v>1.8</v>
      </c>
      <c r="J78" s="44">
        <f>I78/$J$5</f>
        <v>7.0937358371593526E-2</v>
      </c>
      <c r="K78" s="45">
        <f>I78/$K$4</f>
        <v>6.0000000000000005E-2</v>
      </c>
      <c r="L78" s="46">
        <f>I78-H78</f>
        <v>0</v>
      </c>
      <c r="M78" s="109">
        <f>((I78-H78)/H78)*100</f>
        <v>0</v>
      </c>
      <c r="N78" s="38">
        <v>0</v>
      </c>
      <c r="O78" s="38">
        <v>0</v>
      </c>
      <c r="P78" s="41">
        <v>0</v>
      </c>
      <c r="Q78" s="48">
        <f>I78/G78-1</f>
        <v>-2.7027027027027084E-2</v>
      </c>
    </row>
    <row r="79" spans="1:249" ht="13.8" thickBot="1" x14ac:dyDescent="0.4">
      <c r="A79" s="36"/>
      <c r="B79" s="37" t="s">
        <v>95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6">
        <f>SUM(N75:N78)</f>
        <v>31800</v>
      </c>
      <c r="O79" s="67">
        <f>SUM(O75:O78)</f>
        <v>1653.6</v>
      </c>
      <c r="P79" s="80"/>
      <c r="Q79" s="68"/>
      <c r="EA79" s="110"/>
      <c r="EB79" s="110"/>
      <c r="EC79" s="111"/>
      <c r="ED79" s="112"/>
      <c r="EE79" s="112"/>
      <c r="EF79" s="113"/>
      <c r="EG79" s="113"/>
      <c r="EH79" s="114"/>
      <c r="EI79" s="114"/>
      <c r="EJ79" s="115"/>
      <c r="EK79" s="115"/>
      <c r="EL79" s="113"/>
      <c r="EM79" s="116"/>
      <c r="EN79" s="117"/>
      <c r="EO79" s="111"/>
      <c r="EP79" s="110"/>
      <c r="EQ79" s="110"/>
      <c r="ER79" s="111"/>
      <c r="ES79" s="112"/>
      <c r="ET79" s="112"/>
      <c r="EU79" s="113"/>
      <c r="EV79" s="113"/>
      <c r="EW79" s="114"/>
      <c r="EX79" s="114"/>
      <c r="EY79" s="115"/>
      <c r="EZ79" s="115"/>
      <c r="FA79" s="113"/>
      <c r="FB79" s="116"/>
      <c r="FC79" s="117"/>
      <c r="FD79" s="111"/>
      <c r="FE79" s="110"/>
      <c r="FF79" s="110"/>
      <c r="FG79" s="111"/>
      <c r="FH79" s="112"/>
      <c r="FI79" s="112"/>
      <c r="FJ79" s="113"/>
      <c r="FK79" s="113"/>
      <c r="FL79" s="114"/>
      <c r="FM79" s="114"/>
      <c r="FN79" s="115"/>
      <c r="FO79" s="115"/>
      <c r="FP79" s="113"/>
      <c r="FQ79" s="116"/>
      <c r="FR79" s="117"/>
      <c r="FS79" s="111"/>
      <c r="FT79" s="110"/>
      <c r="FU79" s="110"/>
      <c r="FV79" s="111"/>
      <c r="FW79" s="112"/>
      <c r="FX79" s="112"/>
      <c r="FY79" s="113"/>
      <c r="FZ79" s="113"/>
      <c r="GA79" s="114"/>
      <c r="GB79" s="114"/>
      <c r="GC79" s="115"/>
      <c r="GD79" s="115"/>
      <c r="GE79" s="113"/>
      <c r="GF79" s="116"/>
      <c r="GG79" s="117"/>
      <c r="GH79" s="111"/>
      <c r="GI79" s="110"/>
      <c r="GJ79" s="110"/>
      <c r="GK79" s="111"/>
      <c r="GL79" s="112"/>
      <c r="GM79" s="112"/>
      <c r="GN79" s="113"/>
      <c r="GO79" s="113"/>
      <c r="GP79" s="114"/>
      <c r="GQ79" s="114"/>
      <c r="GR79" s="115"/>
      <c r="GS79" s="115"/>
      <c r="GT79" s="113"/>
      <c r="GU79" s="116"/>
      <c r="GV79" s="117"/>
      <c r="GW79" s="111"/>
      <c r="GX79" s="110"/>
      <c r="GY79" s="110"/>
      <c r="GZ79" s="111"/>
      <c r="HA79" s="112"/>
      <c r="HB79" s="112"/>
      <c r="HC79" s="113"/>
      <c r="HD79" s="113"/>
      <c r="HE79" s="114"/>
      <c r="HF79" s="114"/>
      <c r="HG79" s="115"/>
      <c r="HH79" s="115"/>
      <c r="HI79" s="113"/>
      <c r="HJ79" s="116"/>
      <c r="HK79" s="117"/>
      <c r="HL79" s="111"/>
      <c r="HM79" s="110"/>
      <c r="HN79" s="110"/>
      <c r="HO79" s="111"/>
      <c r="HP79" s="112"/>
      <c r="HQ79" s="112"/>
      <c r="HR79" s="113"/>
      <c r="HS79" s="113"/>
      <c r="HT79" s="114"/>
      <c r="HU79" s="114"/>
      <c r="HV79" s="115"/>
      <c r="HW79" s="115"/>
      <c r="HX79" s="113"/>
      <c r="HY79" s="116"/>
      <c r="HZ79" s="117"/>
      <c r="IA79" s="111"/>
      <c r="IB79" s="110"/>
      <c r="IC79" s="110"/>
      <c r="ID79" s="111"/>
      <c r="IE79" s="112"/>
      <c r="IF79" s="112"/>
      <c r="IG79" s="113"/>
      <c r="IH79" s="113"/>
      <c r="II79" s="114"/>
      <c r="IJ79" s="114"/>
      <c r="IK79" s="115"/>
      <c r="IL79" s="115"/>
      <c r="IM79" s="113"/>
      <c r="IN79" s="116"/>
      <c r="IO79" s="117"/>
    </row>
    <row r="80" spans="1:249" ht="13.2" thickTop="1" x14ac:dyDescent="0.3">
      <c r="A80" s="144" t="s">
        <v>184</v>
      </c>
      <c r="B80" s="145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7"/>
    </row>
    <row r="81" spans="1:44" x14ac:dyDescent="0.25">
      <c r="A81" s="36" t="s">
        <v>185</v>
      </c>
      <c r="B81" s="37" t="s">
        <v>186</v>
      </c>
      <c r="C81" s="41">
        <v>368326244</v>
      </c>
      <c r="D81" s="39">
        <f>C81*J81</f>
        <v>30627928.622830003</v>
      </c>
      <c r="E81" s="40">
        <f>C81*K81</f>
        <v>25905612.494666666</v>
      </c>
      <c r="F81" s="41" t="s">
        <v>187</v>
      </c>
      <c r="G81" s="41">
        <v>1.3</v>
      </c>
      <c r="H81" s="43">
        <v>2.11</v>
      </c>
      <c r="I81" s="43">
        <v>2.11</v>
      </c>
      <c r="J81" s="44">
        <f>I81/$J$5</f>
        <v>8.315434786892352E-2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18">
        <v>0</v>
      </c>
      <c r="O81" s="38">
        <v>0</v>
      </c>
      <c r="P81" s="54">
        <f>(R81)/J81</f>
        <v>0</v>
      </c>
      <c r="Q81" s="48">
        <f>I81/G81-1</f>
        <v>0.62307692307692286</v>
      </c>
      <c r="R81" s="55">
        <v>0</v>
      </c>
    </row>
    <row r="82" spans="1:44" s="120" customFormat="1" ht="12.6" thickBot="1" x14ac:dyDescent="0.3">
      <c r="A82" s="36" t="s">
        <v>188</v>
      </c>
      <c r="B82" s="37" t="s">
        <v>189</v>
      </c>
      <c r="C82" s="41">
        <v>1841105000</v>
      </c>
      <c r="D82" s="39">
        <f>C82*J82</f>
        <v>76187260.519222036</v>
      </c>
      <c r="E82" s="40">
        <f>C82*K82</f>
        <v>64440454.734833322</v>
      </c>
      <c r="F82" s="41" t="s">
        <v>187</v>
      </c>
      <c r="G82" s="41">
        <v>1.44347</v>
      </c>
      <c r="H82" s="43">
        <v>1.170269</v>
      </c>
      <c r="I82" s="43">
        <v>1.0500289999999999</v>
      </c>
      <c r="J82" s="44">
        <f>I82/$J$5</f>
        <v>4.138126859642554E-2</v>
      </c>
      <c r="K82" s="45">
        <f>I82/$K$4</f>
        <v>3.5000966666666661E-2</v>
      </c>
      <c r="L82" s="46">
        <f>I82-H82</f>
        <v>-0.12024000000000012</v>
      </c>
      <c r="M82" s="46">
        <f>((I82-H82)/H82*100)</f>
        <v>-10.274560806105274</v>
      </c>
      <c r="N82" s="119">
        <v>2637300</v>
      </c>
      <c r="O82" s="38">
        <v>2769242.2</v>
      </c>
      <c r="P82" s="54">
        <f>(R82)/J82</f>
        <v>0</v>
      </c>
      <c r="Q82" s="48">
        <f>I82/G82-1</f>
        <v>-0.27256610805905224</v>
      </c>
      <c r="R82" s="5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1"/>
      <c r="B83" s="82" t="s">
        <v>95</v>
      </c>
      <c r="C83" s="83"/>
      <c r="D83" s="121"/>
      <c r="E83" s="84"/>
      <c r="F83" s="83"/>
      <c r="G83" s="83"/>
      <c r="H83" s="85"/>
      <c r="I83" s="85"/>
      <c r="J83" s="85"/>
      <c r="K83" s="85"/>
      <c r="L83" s="86"/>
      <c r="M83" s="86"/>
      <c r="N83" s="66">
        <f>SUM(N81:N82)</f>
        <v>2637300</v>
      </c>
      <c r="O83" s="67">
        <f>SUM(O81:O82)</f>
        <v>2769242.2</v>
      </c>
      <c r="P83" s="122"/>
      <c r="Q83" s="89"/>
    </row>
    <row r="84" spans="1:44" ht="12.6" thickBot="1" x14ac:dyDescent="0.3">
      <c r="A84" s="123"/>
      <c r="B84" s="124"/>
      <c r="C84" s="124"/>
      <c r="D84" s="124"/>
      <c r="E84" s="124"/>
      <c r="F84" s="125"/>
      <c r="G84" s="125"/>
      <c r="H84" s="64"/>
      <c r="M84" s="126"/>
      <c r="N84" s="126"/>
      <c r="O84" s="64"/>
      <c r="P84" s="64"/>
      <c r="Q84" s="127"/>
    </row>
    <row r="85" spans="1:44" ht="12.6" thickBot="1" x14ac:dyDescent="0.3">
      <c r="A85" s="148" t="s">
        <v>190</v>
      </c>
      <c r="B85" s="149"/>
      <c r="C85" s="149"/>
      <c r="D85" s="149"/>
      <c r="E85" s="148" t="s">
        <v>191</v>
      </c>
      <c r="F85" s="149"/>
      <c r="G85" s="149"/>
      <c r="H85" s="150"/>
      <c r="L85" s="151" t="s">
        <v>192</v>
      </c>
      <c r="M85" s="152"/>
      <c r="N85" s="153"/>
      <c r="O85" s="151" t="s">
        <v>193</v>
      </c>
      <c r="P85" s="152"/>
      <c r="Q85" s="153"/>
    </row>
    <row r="86" spans="1:44" x14ac:dyDescent="0.25">
      <c r="A86" s="36" t="s">
        <v>80</v>
      </c>
      <c r="B86" s="128">
        <v>8.6020000000000003</v>
      </c>
      <c r="C86" s="128"/>
      <c r="D86" s="128">
        <v>14.999999999999996</v>
      </c>
      <c r="E86" s="36" t="s">
        <v>125</v>
      </c>
      <c r="F86" s="129">
        <v>3.0499999999999999E-2</v>
      </c>
      <c r="G86" s="129"/>
      <c r="H86" s="130">
        <v>-11.594202898550735</v>
      </c>
      <c r="L86" s="36" t="s">
        <v>101</v>
      </c>
      <c r="M86" s="128">
        <v>1.1816</v>
      </c>
      <c r="N86" s="131">
        <v>13.560788082652572</v>
      </c>
      <c r="O86" s="36" t="s">
        <v>108</v>
      </c>
      <c r="P86" s="129">
        <v>4.22</v>
      </c>
      <c r="Q86" s="130">
        <v>-4.051657496248473</v>
      </c>
    </row>
    <row r="87" spans="1:44" x14ac:dyDescent="0.25">
      <c r="A87" s="36" t="s">
        <v>84</v>
      </c>
      <c r="B87" s="128">
        <v>1.1517379999999999</v>
      </c>
      <c r="C87" s="128"/>
      <c r="D87" s="128">
        <v>13.386712031668871</v>
      </c>
      <c r="E87" s="36" t="s">
        <v>135</v>
      </c>
      <c r="F87" s="129">
        <v>1.2250000000000001</v>
      </c>
      <c r="G87" s="129"/>
      <c r="H87" s="130">
        <v>-9.2592592592592595</v>
      </c>
      <c r="L87" s="36" t="s">
        <v>148</v>
      </c>
      <c r="M87" s="128">
        <v>0.153</v>
      </c>
      <c r="N87" s="131">
        <v>2.0000000000000018</v>
      </c>
      <c r="O87" s="36" t="s">
        <v>139</v>
      </c>
      <c r="P87" s="129">
        <v>0.1348</v>
      </c>
      <c r="Q87" s="130">
        <v>-3.4383954154727787</v>
      </c>
    </row>
    <row r="88" spans="1:44" x14ac:dyDescent="0.25">
      <c r="A88" s="36" t="s">
        <v>50</v>
      </c>
      <c r="B88" s="128">
        <v>16.5</v>
      </c>
      <c r="C88" s="128"/>
      <c r="D88" s="128">
        <v>2.5481665630826611</v>
      </c>
      <c r="E88" s="36" t="s">
        <v>73</v>
      </c>
      <c r="F88" s="129">
        <v>1</v>
      </c>
      <c r="G88" s="129"/>
      <c r="H88" s="130">
        <v>-7.4074074074074137</v>
      </c>
      <c r="L88" s="36" t="s">
        <v>162</v>
      </c>
      <c r="M88" s="128">
        <v>5.04E-2</v>
      </c>
      <c r="N88" s="131">
        <v>0.39840637450198957</v>
      </c>
      <c r="O88" s="36" t="s">
        <v>146</v>
      </c>
      <c r="P88" s="129">
        <v>1.3154999999999999</v>
      </c>
      <c r="Q88" s="130">
        <v>-2.7716186252771684</v>
      </c>
    </row>
    <row r="89" spans="1:44" x14ac:dyDescent="0.25">
      <c r="A89" s="36" t="s">
        <v>99</v>
      </c>
      <c r="B89" s="128">
        <v>1.26</v>
      </c>
      <c r="C89" s="128"/>
      <c r="D89" s="128">
        <v>0.80000000000000071</v>
      </c>
      <c r="E89" s="36" t="s">
        <v>57</v>
      </c>
      <c r="F89" s="129">
        <v>2.6142860000000003</v>
      </c>
      <c r="G89" s="129"/>
      <c r="H89" s="130">
        <v>-4.9350545454545331</v>
      </c>
      <c r="L89" s="36" t="s">
        <v>156</v>
      </c>
      <c r="M89" s="128">
        <v>0.27989999999999998</v>
      </c>
      <c r="N89" s="131">
        <v>0.21482277121374488</v>
      </c>
      <c r="O89" s="36" t="s">
        <v>150</v>
      </c>
      <c r="P89" s="129">
        <v>1.8800000000000001E-2</v>
      </c>
      <c r="Q89" s="130">
        <v>-1.5706806282722419</v>
      </c>
    </row>
    <row r="90" spans="1:44" x14ac:dyDescent="0.25">
      <c r="A90" s="36" t="s">
        <v>112</v>
      </c>
      <c r="B90" s="128">
        <v>3.0072999999999999E-2</v>
      </c>
      <c r="C90" s="128"/>
      <c r="D90" s="128">
        <v>0.24333333333333385</v>
      </c>
      <c r="E90" s="36" t="s">
        <v>49</v>
      </c>
      <c r="F90" s="129">
        <v>26.721900000000002</v>
      </c>
      <c r="G90" s="129"/>
      <c r="H90" s="130">
        <v>-1.2647704347440458</v>
      </c>
      <c r="L90" s="36"/>
      <c r="M90" s="128"/>
      <c r="N90" s="131"/>
      <c r="O90" s="36" t="s">
        <v>158</v>
      </c>
      <c r="P90" s="129">
        <v>0.73080000000000001</v>
      </c>
      <c r="Q90" s="132">
        <v>-1.1764705882352997</v>
      </c>
    </row>
    <row r="91" spans="1:44" ht="12.6" thickBot="1" x14ac:dyDescent="0.3">
      <c r="A91" s="133"/>
      <c r="B91" s="134"/>
      <c r="C91" s="134"/>
      <c r="D91" s="134"/>
      <c r="E91" s="133"/>
      <c r="F91" s="134"/>
      <c r="G91" s="134"/>
      <c r="H91" s="135"/>
      <c r="L91" s="133"/>
      <c r="M91" s="134"/>
      <c r="N91" s="135"/>
      <c r="O91" s="134"/>
      <c r="P91" s="134"/>
      <c r="Q91" s="135"/>
    </row>
    <row r="92" spans="1:44" x14ac:dyDescent="0.25">
      <c r="A92" s="136"/>
      <c r="B92" s="137"/>
      <c r="C92" s="137"/>
      <c r="D92" s="137"/>
      <c r="E92" s="126"/>
      <c r="F92" s="126"/>
      <c r="G92" s="126"/>
      <c r="H92" s="126"/>
      <c r="I92" s="126"/>
      <c r="J92" s="126"/>
      <c r="K92" s="126"/>
      <c r="L92" s="126"/>
      <c r="M92" s="137"/>
      <c r="Q92" s="16"/>
    </row>
    <row r="93" spans="1:44" x14ac:dyDescent="0.25">
      <c r="A93" s="12" t="s">
        <v>194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6"/>
      <c r="B94" s="137"/>
      <c r="C94" s="137"/>
      <c r="D94" s="137"/>
      <c r="E94" s="137"/>
      <c r="F94" s="126"/>
      <c r="G94" s="126"/>
      <c r="H94" s="137"/>
      <c r="I94" s="126"/>
      <c r="J94" s="126"/>
      <c r="K94" s="126"/>
      <c r="L94" s="126"/>
      <c r="M94" s="137"/>
      <c r="Q94" s="16"/>
    </row>
    <row r="95" spans="1:44" ht="12.6" thickBot="1" x14ac:dyDescent="0.3">
      <c r="A95" s="138"/>
      <c r="B95" s="139"/>
      <c r="C95" s="139"/>
      <c r="D95" s="139"/>
      <c r="E95" s="139"/>
      <c r="F95" s="140"/>
      <c r="G95" s="140"/>
      <c r="H95" s="140"/>
      <c r="I95" s="141"/>
      <c r="J95" s="141"/>
      <c r="K95" s="141"/>
      <c r="L95" s="141"/>
      <c r="M95" s="141"/>
      <c r="N95" s="141"/>
      <c r="O95" s="141"/>
      <c r="P95" s="141"/>
      <c r="Q95" s="142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3"/>
      <c r="J99" s="143"/>
      <c r="K99" s="143"/>
      <c r="O99" s="143"/>
      <c r="P99" s="143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3"/>
      <c r="J102" s="143"/>
      <c r="K102" s="143"/>
      <c r="O102" s="143"/>
      <c r="P102" s="143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3"/>
      <c r="J104" s="143"/>
      <c r="K104" s="143"/>
      <c r="O104" s="143"/>
      <c r="P104" s="143"/>
    </row>
  </sheetData>
  <sheetProtection algorithmName="SHA-512" hashValue="Ng66j+zw4nPRxI8V2VVr287kLwTZLMRH3FfDb1emAfUsKOMnGsiUED4ZNcwYq+KR4rokvw/p5cdtW/E4js2/gQ==" saltValue="Bxj1324+vNd6lqVxlqBeEw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2026-03-27T13:30:32Z</dcterms:created>
  <dcterms:modified xsi:type="dcterms:W3CDTF">2026-03-27T13:40:16Z</dcterms:modified>
</cp:coreProperties>
</file>