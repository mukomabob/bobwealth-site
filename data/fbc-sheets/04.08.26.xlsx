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sokisit_fbc_co_zw/Documents/Desktop/ANALYSIS CORNER/PRICE SHEET SYSTEM/04.08.26/"/>
    </mc:Choice>
  </mc:AlternateContent>
  <xr:revisionPtr revIDLastSave="0" documentId="8_{9F02B482-3122-4884-B170-1AEF3FE10F1D}" xr6:coauthVersionLast="47" xr6:coauthVersionMax="47" xr10:uidLastSave="{00000000-0000-0000-0000-000000000000}"/>
  <bookViews>
    <workbookView xWindow="-120" yWindow="-120" windowWidth="29040" windowHeight="15720" xr2:uid="{000CFFCC-BF53-47A4-B36C-250600E21628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P84" i="1"/>
  <c r="M84" i="1"/>
  <c r="L84" i="1"/>
  <c r="K84" i="1"/>
  <c r="E84" i="1" s="1"/>
  <c r="J84" i="1"/>
  <c r="D84" i="1"/>
  <c r="Q83" i="1"/>
  <c r="P83" i="1"/>
  <c r="M83" i="1"/>
  <c r="L83" i="1"/>
  <c r="K83" i="1"/>
  <c r="E83" i="1" s="1"/>
  <c r="J83" i="1"/>
  <c r="D83" i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4" i="1"/>
  <c r="P74" i="1"/>
  <c r="M74" i="1"/>
  <c r="L74" i="1"/>
  <c r="K74" i="1"/>
  <c r="E74" i="1" s="1"/>
  <c r="J74" i="1"/>
  <c r="D74" i="1" s="1"/>
  <c r="O72" i="1"/>
  <c r="N72" i="1"/>
  <c r="P71" i="1"/>
  <c r="M71" i="1"/>
  <c r="L71" i="1"/>
  <c r="K71" i="1"/>
  <c r="E71" i="1" s="1"/>
  <c r="J71" i="1"/>
  <c r="D71" i="1" s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P63" i="1"/>
  <c r="M63" i="1"/>
  <c r="L63" i="1"/>
  <c r="J63" i="1"/>
  <c r="D63" i="1" s="1"/>
  <c r="M62" i="1"/>
  <c r="L62" i="1"/>
  <c r="J62" i="1"/>
  <c r="Q62" i="1" s="1"/>
  <c r="D62" i="1"/>
  <c r="Q61" i="1"/>
  <c r="P61" i="1"/>
  <c r="M61" i="1"/>
  <c r="L61" i="1"/>
  <c r="J61" i="1"/>
  <c r="D61" i="1" s="1"/>
  <c r="M60" i="1"/>
  <c r="L60" i="1"/>
  <c r="J60" i="1"/>
  <c r="Q60" i="1" s="1"/>
  <c r="D60" i="1"/>
  <c r="Q59" i="1"/>
  <c r="P59" i="1"/>
  <c r="M59" i="1"/>
  <c r="L59" i="1"/>
  <c r="J59" i="1"/>
  <c r="D59" i="1" s="1"/>
  <c r="M58" i="1"/>
  <c r="L58" i="1"/>
  <c r="J58" i="1"/>
  <c r="Q58" i="1" s="1"/>
  <c r="D58" i="1"/>
  <c r="Q57" i="1"/>
  <c r="P57" i="1"/>
  <c r="M57" i="1"/>
  <c r="L57" i="1"/>
  <c r="J57" i="1"/>
  <c r="D57" i="1" s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D52" i="1"/>
  <c r="P51" i="1"/>
  <c r="M51" i="1"/>
  <c r="L51" i="1"/>
  <c r="J51" i="1"/>
  <c r="D51" i="1" s="1"/>
  <c r="Q50" i="1"/>
  <c r="M50" i="1"/>
  <c r="L50" i="1"/>
  <c r="J50" i="1"/>
  <c r="P50" i="1" s="1"/>
  <c r="D50" i="1"/>
  <c r="O47" i="1"/>
  <c r="N47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D44" i="1" s="1"/>
  <c r="Q43" i="1"/>
  <c r="P43" i="1"/>
  <c r="M43" i="1"/>
  <c r="L43" i="1"/>
  <c r="K43" i="1"/>
  <c r="J43" i="1"/>
  <c r="E43" i="1"/>
  <c r="D43" i="1"/>
  <c r="Q42" i="1"/>
  <c r="P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D41" i="1" s="1"/>
  <c r="Q40" i="1"/>
  <c r="P40" i="1"/>
  <c r="M40" i="1"/>
  <c r="L40" i="1"/>
  <c r="K40" i="1"/>
  <c r="J40" i="1"/>
  <c r="E40" i="1"/>
  <c r="D40" i="1"/>
  <c r="Q39" i="1"/>
  <c r="P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J37" i="1"/>
  <c r="E37" i="1"/>
  <c r="D37" i="1"/>
  <c r="Q36" i="1"/>
  <c r="P36" i="1"/>
  <c r="M36" i="1"/>
  <c r="L36" i="1"/>
  <c r="K36" i="1"/>
  <c r="E36" i="1" s="1"/>
  <c r="J36" i="1"/>
  <c r="D36" i="1" s="1"/>
  <c r="Q35" i="1"/>
  <c r="M35" i="1"/>
  <c r="L35" i="1"/>
  <c r="K35" i="1"/>
  <c r="J35" i="1"/>
  <c r="D35" i="1" s="1"/>
  <c r="E35" i="1"/>
  <c r="Q34" i="1"/>
  <c r="P34" i="1"/>
  <c r="M34" i="1"/>
  <c r="L34" i="1"/>
  <c r="K34" i="1"/>
  <c r="J34" i="1"/>
  <c r="E34" i="1"/>
  <c r="D34" i="1"/>
  <c r="Q33" i="1"/>
  <c r="P33" i="1"/>
  <c r="M33" i="1"/>
  <c r="L33" i="1"/>
  <c r="K33" i="1"/>
  <c r="E33" i="1" s="1"/>
  <c r="J33" i="1"/>
  <c r="D33" i="1" s="1"/>
  <c r="Q32" i="1"/>
  <c r="M32" i="1"/>
  <c r="L32" i="1"/>
  <c r="K32" i="1"/>
  <c r="J32" i="1"/>
  <c r="D32" i="1" s="1"/>
  <c r="E32" i="1"/>
  <c r="Q31" i="1"/>
  <c r="P31" i="1"/>
  <c r="M31" i="1"/>
  <c r="L31" i="1"/>
  <c r="K31" i="1"/>
  <c r="J31" i="1"/>
  <c r="E31" i="1"/>
  <c r="D31" i="1"/>
  <c r="K30" i="1"/>
  <c r="J30" i="1"/>
  <c r="D30" i="1" s="1"/>
  <c r="E30" i="1"/>
  <c r="Q29" i="1"/>
  <c r="P29" i="1"/>
  <c r="M29" i="1"/>
  <c r="L29" i="1"/>
  <c r="K29" i="1"/>
  <c r="J29" i="1"/>
  <c r="E29" i="1"/>
  <c r="D29" i="1"/>
  <c r="Q28" i="1"/>
  <c r="P28" i="1"/>
  <c r="M28" i="1"/>
  <c r="L28" i="1"/>
  <c r="K28" i="1"/>
  <c r="E28" i="1" s="1"/>
  <c r="J28" i="1"/>
  <c r="D28" i="1" s="1"/>
  <c r="Q27" i="1"/>
  <c r="M27" i="1"/>
  <c r="L27" i="1"/>
  <c r="K27" i="1"/>
  <c r="J27" i="1"/>
  <c r="D27" i="1" s="1"/>
  <c r="E27" i="1"/>
  <c r="Q26" i="1"/>
  <c r="P26" i="1"/>
  <c r="M26" i="1"/>
  <c r="L26" i="1"/>
  <c r="K26" i="1"/>
  <c r="J26" i="1"/>
  <c r="E26" i="1"/>
  <c r="D26" i="1"/>
  <c r="Q25" i="1"/>
  <c r="P25" i="1"/>
  <c r="M25" i="1"/>
  <c r="L25" i="1"/>
  <c r="K25" i="1"/>
  <c r="E25" i="1" s="1"/>
  <c r="J25" i="1"/>
  <c r="D25" i="1" s="1"/>
  <c r="R24" i="1"/>
  <c r="Q24" i="1"/>
  <c r="M24" i="1"/>
  <c r="L24" i="1"/>
  <c r="K24" i="1"/>
  <c r="E24" i="1" s="1"/>
  <c r="J24" i="1"/>
  <c r="D24" i="1" s="1"/>
  <c r="Q23" i="1"/>
  <c r="P23" i="1"/>
  <c r="M23" i="1"/>
  <c r="L23" i="1"/>
  <c r="K23" i="1"/>
  <c r="J23" i="1"/>
  <c r="E23" i="1"/>
  <c r="D23" i="1"/>
  <c r="Q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D17" i="1" s="1"/>
  <c r="Q16" i="1"/>
  <c r="P16" i="1"/>
  <c r="M16" i="1"/>
  <c r="L16" i="1"/>
  <c r="K16" i="1"/>
  <c r="J16" i="1"/>
  <c r="E16" i="1"/>
  <c r="D16" i="1"/>
  <c r="Q15" i="1"/>
  <c r="P15" i="1"/>
  <c r="M15" i="1"/>
  <c r="L15" i="1"/>
  <c r="K15" i="1"/>
  <c r="E15" i="1" s="1"/>
  <c r="J15" i="1"/>
  <c r="D15" i="1" s="1"/>
  <c r="Q14" i="1"/>
  <c r="M14" i="1"/>
  <c r="L14" i="1"/>
  <c r="K14" i="1"/>
  <c r="E14" i="1" s="1"/>
  <c r="J14" i="1"/>
  <c r="D14" i="1" s="1"/>
  <c r="Q13" i="1"/>
  <c r="P13" i="1"/>
  <c r="M13" i="1"/>
  <c r="L13" i="1"/>
  <c r="K13" i="1"/>
  <c r="J13" i="1"/>
  <c r="E13" i="1"/>
  <c r="D13" i="1"/>
  <c r="Q12" i="1"/>
  <c r="P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D11" i="1" s="1"/>
  <c r="Q10" i="1"/>
  <c r="P10" i="1"/>
  <c r="M10" i="1"/>
  <c r="L10" i="1"/>
  <c r="K10" i="1"/>
  <c r="J10" i="1"/>
  <c r="E10" i="1"/>
  <c r="D10" i="1"/>
  <c r="Q9" i="1"/>
  <c r="P9" i="1"/>
  <c r="M9" i="1"/>
  <c r="L9" i="1"/>
  <c r="K9" i="1"/>
  <c r="E9" i="1" s="1"/>
  <c r="J9" i="1"/>
  <c r="D9" i="1" s="1"/>
  <c r="Q51" i="1" l="1"/>
  <c r="P11" i="1"/>
  <c r="P14" i="1"/>
  <c r="P17" i="1"/>
  <c r="P24" i="1"/>
  <c r="P38" i="1"/>
  <c r="P41" i="1"/>
  <c r="P44" i="1"/>
  <c r="K70" i="1"/>
  <c r="E70" i="1" s="1"/>
  <c r="Q71" i="1"/>
  <c r="P27" i="1"/>
  <c r="P32" i="1"/>
  <c r="P35" i="1"/>
  <c r="P54" i="1"/>
  <c r="P56" i="1"/>
  <c r="P58" i="1"/>
  <c r="P60" i="1"/>
  <c r="P62" i="1"/>
  <c r="P64" i="1"/>
  <c r="P70" i="1"/>
  <c r="D19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<sst xmlns="http://schemas.openxmlformats.org/spreadsheetml/2006/main" count="267" uniqueCount="183">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</sst>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9A4116DB-154F-4175-ABC5-6CF92C088978}"/>
    <cellStyle name="Comma 5 2 2 2 2 2 2 2 2 2 2" xfId="5" xr:uid="{DA7DC9B9-333D-470B-A5EE-3365FE1FC04E}"/>
    <cellStyle name="Comma 6 2 2 2 2 2" xfId="6" xr:uid="{458E81DE-2205-4F0D-9E0F-50D4FDA0D11C}"/>
    <cellStyle name="Hyperlink 2" xfId="9" xr:uid="{55D4FC32-45EA-4EF2-ABFC-8C6E8660F88A}"/>
    <cellStyle name="Normal" xfId="0" builtinId="0"/>
    <cellStyle name="Normal 2" xfId="3" xr:uid="{E80E7836-8146-4974-BDAB-2449905E5811}"/>
    <cellStyle name="Normal 20" xfId="8" xr:uid="{155947BD-D2D5-4C9D-943A-BCD6F939335A}"/>
    <cellStyle name="Percent" xfId="2" builtinId="5"/>
    <cellStyle name="Percent 3" xfId="7" xr:uid="{7F733EA8-42DB-4875-A87B-6AF6620C5B6A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CB900F7-D89F-4C63-B189-F3C3D465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76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EDFCF96-F7E9-42A5-98C4-0A5FA7528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01218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D8CC-D405-481D-A5EA-3CE678D695B2}">
  <dimension ref="A1:II106"/>
  <sheetViews>
    <sheetView tabSelected="1" topLeftCell="A24" zoomScale="85" zoomScaleNormal="85" workbookViewId="0">
      <selection activeCell="S26" sqref="S26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17.7109375" style="5" bestFit="1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26.670300000000001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25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8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70884713.895231783</v>
      </c>
      <c r="E9" s="39">
        <f t="shared" ref="E9:E45" si="1">C9*K9</f>
        <v>60016399.523809522</v>
      </c>
      <c r="F9" s="40" t="s">
        <v>34</v>
      </c>
      <c r="G9" s="41">
        <v>8.9894999999999996</v>
      </c>
      <c r="H9" s="42">
        <v>15</v>
      </c>
      <c r="I9" s="43">
        <v>15</v>
      </c>
      <c r="J9" s="44">
        <f>(I9/$J$5)</f>
        <v>0.56242336981586261</v>
      </c>
      <c r="K9" s="45">
        <f t="shared" ref="K9:K17" si="2">I9/$K$4</f>
        <v>0.47619047619047616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2.6670299999999997E-2</v>
      </c>
      <c r="Q9" s="49">
        <f t="shared" ref="Q9:Q17" si="6">I9/G9-1</f>
        <v>0.66861338227932587</v>
      </c>
      <c r="R9" s="50">
        <v>1.4999999999999999E-2</v>
      </c>
    </row>
    <row r="10" spans="1:18" x14ac:dyDescent="0.2">
      <c r="A10" s="35" t="s">
        <v>35</v>
      </c>
      <c r="B10" s="36" t="s">
        <v>36</v>
      </c>
      <c r="C10" s="37">
        <v>1627395595</v>
      </c>
      <c r="D10" s="38">
        <f t="shared" si="0"/>
        <v>4637445.5937878462</v>
      </c>
      <c r="E10" s="39">
        <f t="shared" si="1"/>
        <v>3926414.7688888889</v>
      </c>
      <c r="F10" s="40" t="s">
        <v>34</v>
      </c>
      <c r="G10" s="41">
        <v>3.1600000000000003E-2</v>
      </c>
      <c r="H10" s="42">
        <v>7.5999999999999998E-2</v>
      </c>
      <c r="I10" s="43">
        <v>7.5999999999999998E-2</v>
      </c>
      <c r="J10" s="44">
        <f t="shared" ref="J10:J17" si="7">I10/$J$5</f>
        <v>2.8496117404003701E-3</v>
      </c>
      <c r="K10" s="45">
        <f t="shared" si="2"/>
        <v>2.4126984126984128E-3</v>
      </c>
      <c r="L10" s="46">
        <f t="shared" si="3"/>
        <v>0</v>
      </c>
      <c r="M10" s="46">
        <f t="shared" si="4"/>
        <v>0</v>
      </c>
      <c r="N10" s="47">
        <v>21200</v>
      </c>
      <c r="O10" s="37">
        <v>1611.2</v>
      </c>
      <c r="P10" s="51">
        <f t="shared" si="5"/>
        <v>0</v>
      </c>
      <c r="Q10" s="49">
        <f t="shared" si="6"/>
        <v>1.40506329113924</v>
      </c>
      <c r="R10" s="50"/>
    </row>
    <row r="11" spans="1:18" x14ac:dyDescent="0.2">
      <c r="A11" s="35" t="s">
        <v>37</v>
      </c>
      <c r="B11" s="36" t="s">
        <v>38</v>
      </c>
      <c r="C11" s="37">
        <v>436977359</v>
      </c>
      <c r="D11" s="38">
        <f t="shared" si="0"/>
        <v>3604572.0888029006</v>
      </c>
      <c r="E11" s="39">
        <f t="shared" si="1"/>
        <v>3051905.3644444444</v>
      </c>
      <c r="F11" s="40" t="s">
        <v>39</v>
      </c>
      <c r="G11" s="41">
        <v>7.8E-2</v>
      </c>
      <c r="H11" s="42">
        <v>0.219942</v>
      </c>
      <c r="I11" s="43">
        <v>0.22</v>
      </c>
      <c r="J11" s="44">
        <f t="shared" si="7"/>
        <v>8.2488760906326512E-3</v>
      </c>
      <c r="K11" s="45">
        <f t="shared" si="2"/>
        <v>6.9841269841269841E-3</v>
      </c>
      <c r="L11" s="46">
        <f t="shared" si="3"/>
        <v>5.8000000000002494E-5</v>
      </c>
      <c r="M11" s="46">
        <f t="shared" si="4"/>
        <v>2.6370588609725517E-2</v>
      </c>
      <c r="N11" s="47">
        <v>100</v>
      </c>
      <c r="O11" s="37">
        <v>22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">
      <c r="A12" s="35" t="s">
        <v>40</v>
      </c>
      <c r="B12" s="36" t="s">
        <v>41</v>
      </c>
      <c r="C12" s="37">
        <v>20633517</v>
      </c>
      <c r="D12" s="38">
        <f t="shared" si="0"/>
        <v>146908679.05985308</v>
      </c>
      <c r="E12" s="39">
        <f t="shared" si="1"/>
        <v>124384080.73428571</v>
      </c>
      <c r="F12" s="40" t="s">
        <v>34</v>
      </c>
      <c r="G12" s="41">
        <v>97.381</v>
      </c>
      <c r="H12" s="42">
        <v>189.89</v>
      </c>
      <c r="I12" s="43">
        <v>189.89</v>
      </c>
      <c r="J12" s="44">
        <f t="shared" si="7"/>
        <v>7.1199049129556089</v>
      </c>
      <c r="K12" s="45">
        <f t="shared" si="2"/>
        <v>6.028253968253968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">
      <c r="A13" s="35" t="s">
        <v>42</v>
      </c>
      <c r="B13" s="36" t="s">
        <v>43</v>
      </c>
      <c r="C13" s="37">
        <v>8735108</v>
      </c>
      <c r="D13" s="38">
        <f t="shared" si="0"/>
        <v>6222916.5776162995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0.71240293510009256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">
      <c r="A14" s="35" t="s">
        <v>45</v>
      </c>
      <c r="B14" s="36" t="s">
        <v>46</v>
      </c>
      <c r="C14" s="37">
        <v>522661465</v>
      </c>
      <c r="D14" s="38">
        <f t="shared" si="0"/>
        <v>793096046.48429143</v>
      </c>
      <c r="E14" s="39">
        <f t="shared" si="1"/>
        <v>671495539.31904757</v>
      </c>
      <c r="F14" s="40" t="s">
        <v>47</v>
      </c>
      <c r="G14" s="41">
        <v>11.5</v>
      </c>
      <c r="H14" s="42">
        <v>40.47</v>
      </c>
      <c r="I14" s="43">
        <v>40.47</v>
      </c>
      <c r="J14" s="44">
        <f t="shared" si="7"/>
        <v>1.5174182517631971</v>
      </c>
      <c r="K14" s="45">
        <f t="shared" si="2"/>
        <v>1.2847619047619048</v>
      </c>
      <c r="L14" s="46">
        <f t="shared" si="3"/>
        <v>0</v>
      </c>
      <c r="M14" s="46">
        <f t="shared" si="4"/>
        <v>0</v>
      </c>
      <c r="N14" s="47">
        <v>0</v>
      </c>
      <c r="O14" s="37">
        <v>0</v>
      </c>
      <c r="P14" s="51">
        <f t="shared" si="5"/>
        <v>0</v>
      </c>
      <c r="Q14" s="49">
        <f t="shared" si="6"/>
        <v>2.5191304347826087</v>
      </c>
      <c r="R14" s="50"/>
    </row>
    <row r="15" spans="1:18" x14ac:dyDescent="0.2">
      <c r="A15" s="35" t="s">
        <v>48</v>
      </c>
      <c r="B15" s="36" t="s">
        <v>49</v>
      </c>
      <c r="C15" s="37">
        <v>106040875</v>
      </c>
      <c r="D15" s="38">
        <f t="shared" si="0"/>
        <v>23855946.502289061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0.22496934792634501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">
      <c r="A16" s="35" t="s">
        <v>50</v>
      </c>
      <c r="B16" s="36" t="s">
        <v>51</v>
      </c>
      <c r="C16" s="37">
        <v>358000858</v>
      </c>
      <c r="D16" s="38">
        <f t="shared" si="0"/>
        <v>62337074.068682462</v>
      </c>
      <c r="E16" s="39">
        <f t="shared" si="1"/>
        <v>52779316.397904187</v>
      </c>
      <c r="F16" s="40" t="s">
        <v>34</v>
      </c>
      <c r="G16" s="41">
        <v>1.9</v>
      </c>
      <c r="H16" s="42">
        <v>5.0015970000000003</v>
      </c>
      <c r="I16" s="43">
        <v>4.6439789999999999</v>
      </c>
      <c r="J16" s="44">
        <f t="shared" si="7"/>
        <v>0.17412548790227331</v>
      </c>
      <c r="K16" s="45">
        <f t="shared" si="2"/>
        <v>0.14742790476190476</v>
      </c>
      <c r="L16" s="46">
        <f t="shared" si="3"/>
        <v>-0.35761800000000044</v>
      </c>
      <c r="M16" s="46">
        <f t="shared" si="4"/>
        <v>-7.150076265640763</v>
      </c>
      <c r="N16" s="47">
        <v>19100</v>
      </c>
      <c r="O16" s="37">
        <v>88700</v>
      </c>
      <c r="P16" s="51">
        <f t="shared" si="5"/>
        <v>0</v>
      </c>
      <c r="Q16" s="49">
        <f t="shared" si="6"/>
        <v>1.4441994736842108</v>
      </c>
      <c r="R16" s="50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1633266217.4178767</v>
      </c>
      <c r="E17" s="39">
        <f t="shared" si="1"/>
        <v>1382847618.9968255</v>
      </c>
      <c r="F17" s="40" t="s">
        <v>34</v>
      </c>
      <c r="G17" s="41">
        <v>20.701700000000002</v>
      </c>
      <c r="H17" s="42">
        <v>32.026399999999995</v>
      </c>
      <c r="I17" s="43">
        <v>32.32</v>
      </c>
      <c r="J17" s="44">
        <f t="shared" si="7"/>
        <v>1.2118348874965785</v>
      </c>
      <c r="K17" s="45">
        <f t="shared" si="2"/>
        <v>1.0260317460317461</v>
      </c>
      <c r="L17" s="46">
        <f t="shared" si="3"/>
        <v>0.29360000000000497</v>
      </c>
      <c r="M17" s="46">
        <f t="shared" si="4"/>
        <v>0.9167436864586872</v>
      </c>
      <c r="N17" s="47">
        <v>201700</v>
      </c>
      <c r="O17" s="37">
        <v>6518938.2999999998</v>
      </c>
      <c r="P17" s="48">
        <f t="shared" si="5"/>
        <v>4.1259746287128717E-2</v>
      </c>
      <c r="Q17" s="49">
        <f t="shared" si="6"/>
        <v>0.56122444050488585</v>
      </c>
      <c r="R17" s="50">
        <v>0.05</v>
      </c>
      <c r="S17" s="52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340067840.80701005</v>
      </c>
      <c r="E19" s="39">
        <f t="shared" si="1"/>
        <v>287927343.95794284</v>
      </c>
      <c r="F19" s="40" t="s">
        <v>47</v>
      </c>
      <c r="G19" s="41">
        <v>12.45</v>
      </c>
      <c r="H19" s="42">
        <v>11.966700000000001</v>
      </c>
      <c r="I19" s="43">
        <v>13.4976</v>
      </c>
      <c r="J19" s="44">
        <f t="shared" ref="J19:J45" si="8">I19/$J$5</f>
        <v>0.50609104509510583</v>
      </c>
      <c r="K19" s="45">
        <f t="shared" ref="K19:K45" si="9">I19/$K$4</f>
        <v>0.4284952380952381</v>
      </c>
      <c r="L19" s="46">
        <f t="shared" ref="L19:L29" si="10">I19-H19</f>
        <v>1.530899999999999</v>
      </c>
      <c r="M19" s="46">
        <f>((I19-H19)/H19)*100</f>
        <v>12.793000576600056</v>
      </c>
      <c r="N19" s="47">
        <v>449100</v>
      </c>
      <c r="O19" s="37">
        <v>6061750</v>
      </c>
      <c r="P19" s="51">
        <f>(R19)/J19</f>
        <v>0</v>
      </c>
      <c r="Q19" s="49">
        <f t="shared" ref="Q19:Q29" si="11">I19/G19-1</f>
        <v>8.414457831325306E-2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3287673.9014934218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3.0183387513451294E-2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86687410.752784938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0.12560788592554264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2484737.5147823608</v>
      </c>
      <c r="E23" s="39">
        <f t="shared" si="1"/>
        <v>2103768.0933492063</v>
      </c>
      <c r="F23" s="40" t="s">
        <v>44</v>
      </c>
      <c r="G23" s="41">
        <v>0.1</v>
      </c>
      <c r="H23" s="42">
        <v>0.1235</v>
      </c>
      <c r="I23" s="43">
        <v>0.1235</v>
      </c>
      <c r="J23" s="44">
        <f t="shared" si="8"/>
        <v>4.6306190781506013E-3</v>
      </c>
      <c r="K23" s="45">
        <f t="shared" si="9"/>
        <v>3.9206349206349208E-3</v>
      </c>
      <c r="L23" s="46">
        <f t="shared" si="10"/>
        <v>0</v>
      </c>
      <c r="M23" s="46">
        <f t="shared" ref="M23:M29" si="12">((I23-H23)/H23)*100</f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1"/>
        <v>0.23499999999999988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79610135.769001469</v>
      </c>
      <c r="E24" s="39">
        <f t="shared" si="1"/>
        <v>67404006.476190478</v>
      </c>
      <c r="F24" s="40" t="s">
        <v>34</v>
      </c>
      <c r="G24" s="41">
        <v>8.1687659999999997</v>
      </c>
      <c r="H24" s="42">
        <v>11.136900000000001</v>
      </c>
      <c r="I24" s="43">
        <v>11</v>
      </c>
      <c r="J24" s="44">
        <f t="shared" si="8"/>
        <v>0.41244380453163254</v>
      </c>
      <c r="K24" s="45">
        <f t="shared" si="9"/>
        <v>0.34920634920634919</v>
      </c>
      <c r="L24" s="46">
        <f t="shared" si="10"/>
        <v>-0.13690000000000069</v>
      </c>
      <c r="M24" s="46">
        <f t="shared" si="12"/>
        <v>-1.2292469179035519</v>
      </c>
      <c r="N24" s="47">
        <v>7500</v>
      </c>
      <c r="O24" s="37">
        <v>82500</v>
      </c>
      <c r="P24" s="48">
        <f t="shared" si="13"/>
        <v>3.6368590909090913E-2</v>
      </c>
      <c r="Q24" s="49">
        <f t="shared" si="11"/>
        <v>0.34659261876273595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113263644.43257107</v>
      </c>
      <c r="E25" s="39">
        <f t="shared" si="1"/>
        <v>95897630.987619057</v>
      </c>
      <c r="F25" s="40" t="s">
        <v>66</v>
      </c>
      <c r="G25" s="41">
        <v>1.6675</v>
      </c>
      <c r="H25" s="42">
        <v>1.8</v>
      </c>
      <c r="I25" s="43">
        <v>1.79</v>
      </c>
      <c r="J25" s="44">
        <f t="shared" si="8"/>
        <v>6.7115855464692939E-2</v>
      </c>
      <c r="K25" s="45">
        <f t="shared" si="9"/>
        <v>5.6825396825396828E-2</v>
      </c>
      <c r="L25" s="46">
        <f t="shared" si="10"/>
        <v>-1.0000000000000009E-2</v>
      </c>
      <c r="M25" s="46">
        <f t="shared" si="12"/>
        <v>-0.55555555555555602</v>
      </c>
      <c r="N25" s="47">
        <v>2700</v>
      </c>
      <c r="O25" s="37">
        <v>4833</v>
      </c>
      <c r="P25" s="51">
        <f t="shared" si="13"/>
        <v>0</v>
      </c>
      <c r="Q25" s="49">
        <f t="shared" si="11"/>
        <v>7.346326836581718E-2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23067885.81268302</v>
      </c>
      <c r="E26" s="39">
        <f t="shared" si="1"/>
        <v>19531029.682222221</v>
      </c>
      <c r="F26" s="40" t="s">
        <v>44</v>
      </c>
      <c r="G26" s="41">
        <v>1.7994999999999999</v>
      </c>
      <c r="H26" s="42">
        <v>2.57</v>
      </c>
      <c r="I26" s="43">
        <v>2.57</v>
      </c>
      <c r="J26" s="44">
        <f t="shared" si="8"/>
        <v>9.6361870695117785E-2</v>
      </c>
      <c r="K26" s="45">
        <f t="shared" si="9"/>
        <v>8.1587301587301583E-2</v>
      </c>
      <c r="L26" s="46">
        <f t="shared" si="10"/>
        <v>0</v>
      </c>
      <c r="M26" s="46">
        <f t="shared" si="12"/>
        <v>0</v>
      </c>
      <c r="N26" s="47">
        <v>100</v>
      </c>
      <c r="O26" s="37">
        <v>257</v>
      </c>
      <c r="P26" s="51">
        <f t="shared" si="13"/>
        <v>0</v>
      </c>
      <c r="Q26" s="49">
        <f t="shared" si="11"/>
        <v>0.42817449291469845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26411946.53790921</v>
      </c>
      <c r="E27" s="39">
        <f t="shared" si="1"/>
        <v>22362366.277777776</v>
      </c>
      <c r="F27" s="40" t="s">
        <v>34</v>
      </c>
      <c r="G27" s="41">
        <v>3.1361369999999997</v>
      </c>
      <c r="H27" s="42">
        <v>2.75</v>
      </c>
      <c r="I27" s="43">
        <v>2.75</v>
      </c>
      <c r="J27" s="44">
        <f t="shared" si="8"/>
        <v>0.10311095113290814</v>
      </c>
      <c r="K27" s="45">
        <f t="shared" si="9"/>
        <v>8.7301587301587297E-2</v>
      </c>
      <c r="L27" s="46">
        <f t="shared" si="10"/>
        <v>0</v>
      </c>
      <c r="M27" s="46">
        <f t="shared" si="12"/>
        <v>0</v>
      </c>
      <c r="N27" s="47">
        <v>2000</v>
      </c>
      <c r="O27" s="37">
        <v>5500</v>
      </c>
      <c r="P27" s="51">
        <f t="shared" si="13"/>
        <v>0</v>
      </c>
      <c r="Q27" s="49">
        <f t="shared" si="11"/>
        <v>-0.12312504205013997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27199625.687000144</v>
      </c>
      <c r="E28" s="39">
        <f t="shared" si="1"/>
        <v>23029275.459047619</v>
      </c>
      <c r="F28" s="40" t="s">
        <v>44</v>
      </c>
      <c r="G28" s="41">
        <v>0.8</v>
      </c>
      <c r="H28" s="42">
        <v>0.95</v>
      </c>
      <c r="I28" s="43">
        <v>0.96</v>
      </c>
      <c r="J28" s="44">
        <f t="shared" si="8"/>
        <v>3.5995095668215203E-2</v>
      </c>
      <c r="K28" s="45">
        <f t="shared" si="9"/>
        <v>3.0476190476190476E-2</v>
      </c>
      <c r="L28" s="46">
        <f t="shared" si="10"/>
        <v>1.0000000000000009E-2</v>
      </c>
      <c r="M28" s="46">
        <f t="shared" si="12"/>
        <v>1.0526315789473695</v>
      </c>
      <c r="N28" s="47">
        <v>2100</v>
      </c>
      <c r="O28" s="37">
        <v>2016</v>
      </c>
      <c r="P28" s="51">
        <f t="shared" si="13"/>
        <v>0</v>
      </c>
      <c r="Q28" s="49">
        <f t="shared" si="11"/>
        <v>0.19999999999999996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94464755.60011819</v>
      </c>
      <c r="E29" s="39">
        <f t="shared" si="1"/>
        <v>79981059.405772448</v>
      </c>
      <c r="F29" s="40" t="s">
        <v>47</v>
      </c>
      <c r="G29" s="41">
        <v>5.15</v>
      </c>
      <c r="H29" s="42">
        <v>5.6</v>
      </c>
      <c r="I29" s="43">
        <v>5.6095240000000004</v>
      </c>
      <c r="J29" s="44">
        <f t="shared" si="8"/>
        <v>0.2103284927428638</v>
      </c>
      <c r="K29" s="45">
        <f t="shared" si="9"/>
        <v>0.17808012698412701</v>
      </c>
      <c r="L29" s="46">
        <f t="shared" si="10"/>
        <v>9.5240000000007541E-3</v>
      </c>
      <c r="M29" s="46">
        <f t="shared" si="12"/>
        <v>0.17007142857144206</v>
      </c>
      <c r="N29" s="47">
        <v>6300</v>
      </c>
      <c r="O29" s="37">
        <v>35340</v>
      </c>
      <c r="P29" s="51">
        <f t="shared" si="13"/>
        <v>0</v>
      </c>
      <c r="Q29" s="49">
        <f t="shared" si="11"/>
        <v>8.9227961165048608E-2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13543683.996805433</v>
      </c>
      <c r="E31" s="39">
        <f t="shared" si="1"/>
        <v>11467114.77142857</v>
      </c>
      <c r="F31" s="40" t="s">
        <v>39</v>
      </c>
      <c r="G31" s="41">
        <v>1.4</v>
      </c>
      <c r="H31" s="42">
        <v>1.391667</v>
      </c>
      <c r="I31" s="43">
        <v>1.39</v>
      </c>
      <c r="J31" s="44">
        <f t="shared" si="8"/>
        <v>5.2117898936269925E-2</v>
      </c>
      <c r="K31" s="45">
        <f t="shared" si="9"/>
        <v>4.4126984126984126E-2</v>
      </c>
      <c r="L31" s="46">
        <f t="shared" ref="L31:L45" si="14">I31-H31</f>
        <v>-1.6670000000000851E-3</v>
      </c>
      <c r="M31" s="46">
        <f t="shared" ref="M31:M45" si="15">((I31-H31)/H31)*100</f>
        <v>-0.11978440244685583</v>
      </c>
      <c r="N31" s="47">
        <v>2300</v>
      </c>
      <c r="O31" s="37">
        <v>3197</v>
      </c>
      <c r="P31" s="51">
        <f t="shared" ref="P31:P36" si="16">(R31)/J31</f>
        <v>0</v>
      </c>
      <c r="Q31" s="49">
        <f t="shared" ref="Q31:Q45" si="17">I31/G31-1</f>
        <v>-7.1428571428571175E-3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3889159.4582738094</v>
      </c>
      <c r="E32" s="39">
        <f t="shared" si="1"/>
        <v>3292858.7142857141</v>
      </c>
      <c r="F32" s="40" t="s">
        <v>39</v>
      </c>
      <c r="G32" s="41">
        <v>0.65</v>
      </c>
      <c r="H32" s="42">
        <v>0.85</v>
      </c>
      <c r="I32" s="43">
        <v>0.85</v>
      </c>
      <c r="J32" s="44">
        <f t="shared" si="8"/>
        <v>3.1870657622898875E-2</v>
      </c>
      <c r="K32" s="45">
        <f t="shared" si="9"/>
        <v>2.6984126984126982E-2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0.30769230769230771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144222861.84034872</v>
      </c>
      <c r="E33" s="39">
        <f t="shared" si="1"/>
        <v>122110063.2425604</v>
      </c>
      <c r="F33" s="40" t="s">
        <v>92</v>
      </c>
      <c r="G33" s="41">
        <v>1.44</v>
      </c>
      <c r="H33" s="42">
        <v>1.5413640000000002</v>
      </c>
      <c r="I33" s="43">
        <v>1.5413640000000002</v>
      </c>
      <c r="J33" s="44">
        <f t="shared" si="8"/>
        <v>5.7793275666190483E-2</v>
      </c>
      <c r="K33" s="45">
        <f t="shared" si="9"/>
        <v>4.8932190476190483E-2</v>
      </c>
      <c r="L33" s="46">
        <f t="shared" si="14"/>
        <v>0</v>
      </c>
      <c r="M33" s="46">
        <f t="shared" si="15"/>
        <v>0</v>
      </c>
      <c r="N33" s="47">
        <v>0</v>
      </c>
      <c r="O33" s="37">
        <v>0</v>
      </c>
      <c r="P33" s="51">
        <f t="shared" si="16"/>
        <v>0</v>
      </c>
      <c r="Q33" s="49">
        <f t="shared" si="17"/>
        <v>7.0391666666666852E-2</v>
      </c>
      <c r="R33" s="50"/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50755054.469578519</v>
      </c>
      <c r="E34" s="39">
        <f t="shared" si="1"/>
        <v>42973096.165714286</v>
      </c>
      <c r="F34" s="40" t="s">
        <v>34</v>
      </c>
      <c r="G34" s="41">
        <v>3.6056249999999999</v>
      </c>
      <c r="H34" s="42">
        <v>5.3403719999999995</v>
      </c>
      <c r="I34" s="43">
        <v>5.34</v>
      </c>
      <c r="J34" s="44">
        <f t="shared" si="8"/>
        <v>0.20022271965444707</v>
      </c>
      <c r="K34" s="45">
        <f t="shared" si="9"/>
        <v>0.16952380952380952</v>
      </c>
      <c r="L34" s="46">
        <f t="shared" si="14"/>
        <v>-3.7199999999959488E-4</v>
      </c>
      <c r="M34" s="46">
        <f t="shared" si="15"/>
        <v>-6.9658068763673187E-3</v>
      </c>
      <c r="N34" s="47">
        <v>500</v>
      </c>
      <c r="O34" s="37">
        <v>2670</v>
      </c>
      <c r="P34" s="51">
        <f t="shared" si="16"/>
        <v>0</v>
      </c>
      <c r="Q34" s="49">
        <f t="shared" si="17"/>
        <v>0.48101924076963076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6714543.6101911115</v>
      </c>
      <c r="E35" s="39">
        <f t="shared" si="1"/>
        <v>5685044.2046628566</v>
      </c>
      <c r="F35" s="40" t="s">
        <v>34</v>
      </c>
      <c r="G35" s="41">
        <v>2.5099999999999997E-2</v>
      </c>
      <c r="H35" s="42">
        <v>3.9363999999999996E-2</v>
      </c>
      <c r="I35" s="43">
        <v>3.798E-2</v>
      </c>
      <c r="J35" s="44">
        <f t="shared" si="8"/>
        <v>1.424055972373764E-3</v>
      </c>
      <c r="K35" s="45">
        <f t="shared" si="9"/>
        <v>1.2057142857142857E-3</v>
      </c>
      <c r="L35" s="46">
        <f t="shared" si="14"/>
        <v>-1.3839999999999963E-3</v>
      </c>
      <c r="M35" s="46">
        <f t="shared" si="15"/>
        <v>-3.5159028554008644</v>
      </c>
      <c r="N35" s="47">
        <v>500</v>
      </c>
      <c r="O35" s="37">
        <v>18.989999999999998</v>
      </c>
      <c r="P35" s="51">
        <f t="shared" si="16"/>
        <v>0</v>
      </c>
      <c r="Q35" s="49">
        <f t="shared" si="17"/>
        <v>0.51314741035856581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80964300.8265284</v>
      </c>
      <c r="E36" s="39">
        <f t="shared" si="1"/>
        <v>68550545.788373336</v>
      </c>
      <c r="F36" s="40" t="s">
        <v>92</v>
      </c>
      <c r="G36" s="41">
        <v>0.61</v>
      </c>
      <c r="H36" s="42">
        <v>3.77</v>
      </c>
      <c r="I36" s="43">
        <v>4.1123200000000004</v>
      </c>
      <c r="J36" s="44">
        <f t="shared" si="8"/>
        <v>0.15419099147741122</v>
      </c>
      <c r="K36" s="45">
        <f t="shared" si="9"/>
        <v>0.13054984126984129</v>
      </c>
      <c r="L36" s="46">
        <f t="shared" si="14"/>
        <v>0.3423200000000004</v>
      </c>
      <c r="M36" s="46">
        <f t="shared" si="15"/>
        <v>9.0801061007957671</v>
      </c>
      <c r="N36" s="47">
        <v>12500</v>
      </c>
      <c r="O36" s="37">
        <v>51404</v>
      </c>
      <c r="P36" s="51">
        <f t="shared" si="16"/>
        <v>0</v>
      </c>
      <c r="Q36" s="49">
        <f t="shared" si="17"/>
        <v>5.7415081967213126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39345094.773252115</v>
      </c>
      <c r="E37" s="39">
        <f t="shared" si="1"/>
        <v>33312554.956541777</v>
      </c>
      <c r="F37" s="40" t="s">
        <v>56</v>
      </c>
      <c r="G37" s="41">
        <v>0.11650199999999999</v>
      </c>
      <c r="H37" s="42">
        <v>0.279229</v>
      </c>
      <c r="I37" s="43">
        <v>0.25015399999999999</v>
      </c>
      <c r="J37" s="44">
        <f t="shared" si="8"/>
        <v>9.379497043527819E-3</v>
      </c>
      <c r="K37" s="45">
        <f t="shared" si="9"/>
        <v>7.9413968253968254E-3</v>
      </c>
      <c r="L37" s="46">
        <f t="shared" si="14"/>
        <v>-2.9075000000000017E-2</v>
      </c>
      <c r="M37" s="46">
        <f t="shared" si="15"/>
        <v>-10.412600410415831</v>
      </c>
      <c r="N37" s="47">
        <v>5475300</v>
      </c>
      <c r="O37" s="37">
        <v>1369670.2</v>
      </c>
      <c r="P37" s="51">
        <v>0</v>
      </c>
      <c r="Q37" s="49">
        <f t="shared" si="17"/>
        <v>1.1472077732571115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20227212.006426621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4.6868614151321878E-3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7186031.9006535364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6.7490804377903515E-2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3000</v>
      </c>
      <c r="O39" s="37">
        <v>5400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3266632.5452657077</v>
      </c>
      <c r="E40" s="39">
        <f t="shared" si="1"/>
        <v>2765779.9991111113</v>
      </c>
      <c r="F40" s="40" t="s">
        <v>39</v>
      </c>
      <c r="G40" s="41">
        <v>0.03</v>
      </c>
      <c r="H40" s="42">
        <v>5.0999999999999997E-2</v>
      </c>
      <c r="I40" s="43">
        <v>4.9000000000000002E-2</v>
      </c>
      <c r="J40" s="44">
        <f t="shared" si="8"/>
        <v>1.8372496747318177E-3</v>
      </c>
      <c r="K40" s="45">
        <f t="shared" si="9"/>
        <v>1.5555555555555557E-3</v>
      </c>
      <c r="L40" s="46">
        <f t="shared" si="14"/>
        <v>-1.9999999999999948E-3</v>
      </c>
      <c r="M40" s="46">
        <f t="shared" si="15"/>
        <v>-3.9215686274509705</v>
      </c>
      <c r="N40" s="47">
        <v>500</v>
      </c>
      <c r="O40" s="37">
        <v>24.5</v>
      </c>
      <c r="P40" s="51">
        <f t="shared" si="18"/>
        <v>0</v>
      </c>
      <c r="Q40" s="49">
        <f t="shared" si="17"/>
        <v>0.63333333333333353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49265655.616922192</v>
      </c>
      <c r="E41" s="39">
        <f t="shared" si="1"/>
        <v>41712057.619047619</v>
      </c>
      <c r="F41" s="40" t="s">
        <v>47</v>
      </c>
      <c r="G41" s="41">
        <v>4.5</v>
      </c>
      <c r="H41" s="42">
        <v>7</v>
      </c>
      <c r="I41" s="43">
        <v>7.5</v>
      </c>
      <c r="J41" s="44">
        <f t="shared" si="8"/>
        <v>0.2812116849079313</v>
      </c>
      <c r="K41" s="45">
        <f t="shared" si="9"/>
        <v>0.23809523809523808</v>
      </c>
      <c r="L41" s="46">
        <f t="shared" si="14"/>
        <v>0.5</v>
      </c>
      <c r="M41" s="46">
        <f t="shared" si="15"/>
        <v>7.1428571428571423</v>
      </c>
      <c r="N41" s="47">
        <v>100</v>
      </c>
      <c r="O41" s="37">
        <v>750</v>
      </c>
      <c r="P41" s="51">
        <f t="shared" si="18"/>
        <v>0</v>
      </c>
      <c r="Q41" s="49">
        <f t="shared" si="17"/>
        <v>0.66666666666666674</v>
      </c>
      <c r="R41" s="50">
        <v>0</v>
      </c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312.71031439466373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6.749080437790351E-7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1727764.5920743297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2.9995913056846003E-3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60674785.043287851</v>
      </c>
      <c r="E44" s="39">
        <f t="shared" si="1"/>
        <v>51371895.858412698</v>
      </c>
      <c r="F44" s="40" t="s">
        <v>47</v>
      </c>
      <c r="G44" s="41">
        <v>0.9998999999999999</v>
      </c>
      <c r="H44" s="42">
        <v>0.89</v>
      </c>
      <c r="I44" s="43">
        <v>0.89</v>
      </c>
      <c r="J44" s="44">
        <f t="shared" si="8"/>
        <v>3.3370453275741181E-2</v>
      </c>
      <c r="K44" s="45">
        <f t="shared" si="9"/>
        <v>2.8253968253968254E-2</v>
      </c>
      <c r="L44" s="46">
        <f t="shared" si="14"/>
        <v>0</v>
      </c>
      <c r="M44" s="46">
        <f t="shared" si="15"/>
        <v>0</v>
      </c>
      <c r="N44" s="47">
        <v>100</v>
      </c>
      <c r="O44" s="37">
        <v>89</v>
      </c>
      <c r="P44" s="51">
        <f t="shared" si="18"/>
        <v>0</v>
      </c>
      <c r="Q44" s="49">
        <f t="shared" si="17"/>
        <v>-0.10991099109910984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5776792.1620679181</v>
      </c>
      <c r="E45" s="39">
        <f t="shared" si="1"/>
        <v>4891072.3809523806</v>
      </c>
      <c r="F45" s="40" t="s">
        <v>47</v>
      </c>
      <c r="G45" s="41">
        <v>1.4503460000000001</v>
      </c>
      <c r="H45" s="42">
        <v>1.35</v>
      </c>
      <c r="I45" s="43">
        <v>1.5</v>
      </c>
      <c r="J45" s="44">
        <f t="shared" si="8"/>
        <v>5.6242336981586254E-2</v>
      </c>
      <c r="K45" s="45">
        <f t="shared" si="9"/>
        <v>4.7619047619047616E-2</v>
      </c>
      <c r="L45" s="46">
        <f t="shared" si="14"/>
        <v>0.14999999999999991</v>
      </c>
      <c r="M45" s="46">
        <f t="shared" si="15"/>
        <v>11.111111111111104</v>
      </c>
      <c r="N45" s="47">
        <v>200</v>
      </c>
      <c r="O45" s="37">
        <v>300</v>
      </c>
      <c r="P45" s="51">
        <v>0</v>
      </c>
      <c r="Q45" s="49">
        <f t="shared" si="17"/>
        <v>3.4235968520615057E-2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6206900</v>
      </c>
      <c r="O47" s="61">
        <f>SUM(O9:O46)</f>
        <v>14234991.189999999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4" si="19">C50*J50</f>
        <v>82627633.861200005</v>
      </c>
      <c r="E50" s="39">
        <v>0</v>
      </c>
      <c r="F50" s="40" t="s">
        <v>92</v>
      </c>
      <c r="G50" s="70">
        <v>0.1</v>
      </c>
      <c r="H50" s="42">
        <v>0.1492</v>
      </c>
      <c r="I50" s="42">
        <v>0.1489</v>
      </c>
      <c r="J50" s="44">
        <f t="shared" ref="J50:J64" si="20">I50</f>
        <v>0.1489</v>
      </c>
      <c r="K50" s="39">
        <v>0</v>
      </c>
      <c r="L50" s="46">
        <f t="shared" ref="L50:L64" si="21">I50-H50</f>
        <v>-2.9999999999999472E-4</v>
      </c>
      <c r="M50" s="46">
        <f t="shared" ref="M50:M64" si="22">((I50-H50)/H50)*100</f>
        <v>-0.20107238605897768</v>
      </c>
      <c r="N50" s="47">
        <v>334419</v>
      </c>
      <c r="O50" s="37">
        <v>49801.53</v>
      </c>
      <c r="P50" s="71">
        <f>(R50)/J50</f>
        <v>0</v>
      </c>
      <c r="Q50" s="49">
        <f t="shared" ref="Q50:Q64" si="23">J50/G50-1</f>
        <v>0.48899999999999988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43365085</v>
      </c>
      <c r="E51" s="39">
        <v>0</v>
      </c>
      <c r="F51" s="40" t="s">
        <v>39</v>
      </c>
      <c r="G51" s="70">
        <v>39.9</v>
      </c>
      <c r="H51" s="42">
        <v>43.6477</v>
      </c>
      <c r="I51" s="42">
        <v>41</v>
      </c>
      <c r="J51" s="44">
        <f t="shared" si="20"/>
        <v>41</v>
      </c>
      <c r="K51" s="39">
        <v>0</v>
      </c>
      <c r="L51" s="46">
        <f t="shared" si="21"/>
        <v>-2.6477000000000004</v>
      </c>
      <c r="M51" s="46">
        <f t="shared" si="22"/>
        <v>-6.0660699189189815</v>
      </c>
      <c r="N51" s="47">
        <v>124</v>
      </c>
      <c r="O51" s="37">
        <v>5084</v>
      </c>
      <c r="P51" s="72">
        <f>(R51)/J51</f>
        <v>1.3658536585365855E-2</v>
      </c>
      <c r="Q51" s="49">
        <f t="shared" si="23"/>
        <v>2.7568922305764465E-2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675630451.23740005</v>
      </c>
      <c r="E52" s="39"/>
      <c r="F52" s="40" t="s">
        <v>56</v>
      </c>
      <c r="G52" s="70">
        <v>0.33</v>
      </c>
      <c r="H52" s="42">
        <v>0.22850000000000001</v>
      </c>
      <c r="I52" s="42">
        <v>0.2258</v>
      </c>
      <c r="J52" s="44">
        <f t="shared" si="20"/>
        <v>0.2258</v>
      </c>
      <c r="K52" s="39">
        <v>0</v>
      </c>
      <c r="L52" s="46">
        <f t="shared" si="21"/>
        <v>-2.7000000000000079E-3</v>
      </c>
      <c r="M52" s="46">
        <f t="shared" si="22"/>
        <v>-1.1816192560175087</v>
      </c>
      <c r="N52" s="47">
        <v>21025</v>
      </c>
      <c r="O52" s="37">
        <v>4747.99</v>
      </c>
      <c r="P52" s="71">
        <v>0</v>
      </c>
      <c r="Q52" s="49">
        <f t="shared" si="23"/>
        <v>-0.31575757575757579</v>
      </c>
      <c r="R52" s="52"/>
      <c r="T52" s="52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14694756.726299999</v>
      </c>
      <c r="E53" s="39">
        <v>0</v>
      </c>
      <c r="F53" s="40" t="s">
        <v>34</v>
      </c>
      <c r="G53" s="70">
        <v>2.3E-2</v>
      </c>
      <c r="H53" s="42">
        <v>2.5700000000000001E-2</v>
      </c>
      <c r="I53" s="42">
        <v>2.41E-2</v>
      </c>
      <c r="J53" s="44">
        <f t="shared" si="20"/>
        <v>2.41E-2</v>
      </c>
      <c r="K53" s="39">
        <v>0</v>
      </c>
      <c r="L53" s="46">
        <f t="shared" si="21"/>
        <v>-1.6000000000000007E-3</v>
      </c>
      <c r="M53" s="46">
        <f t="shared" si="22"/>
        <v>-6.2256809338521428</v>
      </c>
      <c r="N53" s="47">
        <v>53407</v>
      </c>
      <c r="O53" s="37">
        <v>1288.75</v>
      </c>
      <c r="P53" s="71">
        <f t="shared" ref="P53:P64" si="24">(R53)/J53</f>
        <v>0</v>
      </c>
      <c r="Q53" s="49">
        <f t="shared" si="23"/>
        <v>4.7826086956521685E-2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324404389.34999996</v>
      </c>
      <c r="E54" s="39">
        <v>0</v>
      </c>
      <c r="F54" s="40" t="s">
        <v>47</v>
      </c>
      <c r="G54" s="70">
        <v>9.0200000000000002E-2</v>
      </c>
      <c r="H54" s="42">
        <v>0.14699999999999999</v>
      </c>
      <c r="I54" s="42">
        <v>0.15</v>
      </c>
      <c r="J54" s="44">
        <f t="shared" si="20"/>
        <v>0.15</v>
      </c>
      <c r="K54" s="39">
        <v>0</v>
      </c>
      <c r="L54" s="46">
        <f t="shared" si="21"/>
        <v>3.0000000000000027E-3</v>
      </c>
      <c r="M54" s="73">
        <f t="shared" si="22"/>
        <v>2.0408163265306141</v>
      </c>
      <c r="N54" s="47">
        <v>402441</v>
      </c>
      <c r="O54" s="37">
        <v>60370.12</v>
      </c>
      <c r="P54" s="71">
        <f t="shared" si="24"/>
        <v>0</v>
      </c>
      <c r="Q54" s="49">
        <f t="shared" si="23"/>
        <v>0.662971175166297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866538936.66999996</v>
      </c>
      <c r="E55" s="39">
        <v>0</v>
      </c>
      <c r="F55" s="40" t="s">
        <v>34</v>
      </c>
      <c r="G55" s="70">
        <v>0.95750000000000002</v>
      </c>
      <c r="H55" s="42">
        <v>1.4806999999999999</v>
      </c>
      <c r="I55" s="42">
        <v>1.5045999999999999</v>
      </c>
      <c r="J55" s="44">
        <f t="shared" si="20"/>
        <v>1.5045999999999999</v>
      </c>
      <c r="K55" s="39">
        <v>0</v>
      </c>
      <c r="L55" s="46">
        <f t="shared" si="21"/>
        <v>2.3900000000000032E-2</v>
      </c>
      <c r="M55" s="46">
        <f t="shared" si="22"/>
        <v>1.6141014385088157</v>
      </c>
      <c r="N55" s="47">
        <v>71736</v>
      </c>
      <c r="O55" s="37">
        <v>107933.47</v>
      </c>
      <c r="P55" s="72">
        <f t="shared" si="24"/>
        <v>3.123753821613718E-2</v>
      </c>
      <c r="Q55" s="49">
        <f t="shared" si="23"/>
        <v>0.57138381201044375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0</v>
      </c>
      <c r="O56" s="37">
        <v>0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18122253.199999999</v>
      </c>
      <c r="E57" s="39">
        <v>0</v>
      </c>
      <c r="F57" s="40" t="s">
        <v>92</v>
      </c>
      <c r="G57" s="70">
        <v>1.6799999999999999E-2</v>
      </c>
      <c r="H57" s="42">
        <v>1.9199999999999998E-2</v>
      </c>
      <c r="I57" s="42">
        <v>1.9E-2</v>
      </c>
      <c r="J57" s="44">
        <f t="shared" si="20"/>
        <v>1.9E-2</v>
      </c>
      <c r="K57" s="39">
        <v>0</v>
      </c>
      <c r="L57" s="46">
        <f t="shared" si="21"/>
        <v>-1.9999999999999879E-4</v>
      </c>
      <c r="M57" s="73">
        <f t="shared" si="22"/>
        <v>-1.0416666666666605</v>
      </c>
      <c r="N57" s="47">
        <v>8042</v>
      </c>
      <c r="O57" s="37">
        <v>152.46</v>
      </c>
      <c r="P57" s="71">
        <f t="shared" si="24"/>
        <v>0</v>
      </c>
      <c r="Q57" s="49">
        <f t="shared" si="23"/>
        <v>0.13095238095238093</v>
      </c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2661004.5</v>
      </c>
      <c r="E58" s="39">
        <v>0</v>
      </c>
      <c r="F58" s="40" t="s">
        <v>137</v>
      </c>
      <c r="G58" s="70">
        <v>19.5</v>
      </c>
      <c r="H58" s="42">
        <v>16.5</v>
      </c>
      <c r="I58" s="42">
        <v>16.5</v>
      </c>
      <c r="J58" s="44">
        <f t="shared" si="20"/>
        <v>16.5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-0.15384615384615385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805090451</v>
      </c>
      <c r="D59" s="38">
        <f t="shared" si="19"/>
        <v>1128736812.302</v>
      </c>
      <c r="E59" s="39">
        <v>0</v>
      </c>
      <c r="F59" s="40" t="s">
        <v>92</v>
      </c>
      <c r="G59" s="70">
        <v>0.59499999999999997</v>
      </c>
      <c r="H59" s="42">
        <v>1.3993</v>
      </c>
      <c r="I59" s="42">
        <v>1.4019999999999999</v>
      </c>
      <c r="J59" s="44">
        <f t="shared" si="20"/>
        <v>1.4019999999999999</v>
      </c>
      <c r="K59" s="39">
        <v>0</v>
      </c>
      <c r="L59" s="46">
        <f t="shared" si="21"/>
        <v>2.6999999999999247E-3</v>
      </c>
      <c r="M59" s="46">
        <f t="shared" si="22"/>
        <v>0.19295361966697097</v>
      </c>
      <c r="N59" s="47">
        <v>285371</v>
      </c>
      <c r="O59" s="37">
        <v>400087.07</v>
      </c>
      <c r="P59" s="71">
        <f t="shared" si="24"/>
        <v>0</v>
      </c>
      <c r="Q59" s="49">
        <f t="shared" si="23"/>
        <v>1.3563025210084034</v>
      </c>
      <c r="R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260714518</v>
      </c>
      <c r="D60" s="38">
        <f t="shared" si="19"/>
        <v>92423296.630999997</v>
      </c>
      <c r="E60" s="39">
        <v>0</v>
      </c>
      <c r="F60" s="40" t="s">
        <v>34</v>
      </c>
      <c r="G60" s="70">
        <v>0.22600000000000001</v>
      </c>
      <c r="H60" s="42">
        <v>0.36</v>
      </c>
      <c r="I60" s="42">
        <v>0.35449999999999998</v>
      </c>
      <c r="J60" s="44">
        <f t="shared" si="20"/>
        <v>0.35449999999999998</v>
      </c>
      <c r="K60" s="39">
        <v>0</v>
      </c>
      <c r="L60" s="46">
        <f t="shared" si="21"/>
        <v>-5.5000000000000049E-3</v>
      </c>
      <c r="M60" s="46">
        <f t="shared" si="22"/>
        <v>-1.527777777777779</v>
      </c>
      <c r="N60" s="47">
        <v>14468</v>
      </c>
      <c r="O60" s="37">
        <v>5129.29</v>
      </c>
      <c r="P60" s="71">
        <f t="shared" si="24"/>
        <v>0</v>
      </c>
      <c r="Q60" s="49">
        <f t="shared" si="23"/>
        <v>0.56858407079646001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562184788</v>
      </c>
      <c r="D61" s="38">
        <f t="shared" si="19"/>
        <v>389312965.69</v>
      </c>
      <c r="E61" s="39">
        <v>0</v>
      </c>
      <c r="F61" s="40" t="s">
        <v>34</v>
      </c>
      <c r="G61" s="70">
        <v>0.49440000000000001</v>
      </c>
      <c r="H61" s="42">
        <v>0.69179999999999997</v>
      </c>
      <c r="I61" s="42">
        <v>0.6925</v>
      </c>
      <c r="J61" s="44">
        <f t="shared" si="20"/>
        <v>0.6925</v>
      </c>
      <c r="K61" s="39">
        <v>0</v>
      </c>
      <c r="L61" s="46">
        <f t="shared" si="21"/>
        <v>7.0000000000003393E-4</v>
      </c>
      <c r="M61" s="46">
        <f t="shared" si="22"/>
        <v>0.10118531367447729</v>
      </c>
      <c r="N61" s="47">
        <v>156337</v>
      </c>
      <c r="O61" s="37">
        <v>108264.87</v>
      </c>
      <c r="P61" s="71">
        <f t="shared" si="24"/>
        <v>0</v>
      </c>
      <c r="Q61" s="49">
        <f t="shared" si="23"/>
        <v>0.40068770226537209</v>
      </c>
      <c r="R61" s="52"/>
      <c r="T61" s="52"/>
    </row>
    <row r="62" spans="1:20" ht="12" customHeight="1" x14ac:dyDescent="0.2">
      <c r="A62" s="35" t="s">
        <v>144</v>
      </c>
      <c r="B62" s="36" t="s">
        <v>145</v>
      </c>
      <c r="C62" s="40">
        <v>364526035</v>
      </c>
      <c r="D62" s="38">
        <f t="shared" si="19"/>
        <v>89090162.953999996</v>
      </c>
      <c r="E62" s="39">
        <v>0</v>
      </c>
      <c r="F62" s="40" t="s">
        <v>34</v>
      </c>
      <c r="G62" s="70">
        <v>0.25950000000000001</v>
      </c>
      <c r="H62" s="42">
        <v>0.24440000000000001</v>
      </c>
      <c r="I62" s="42">
        <v>0.24440000000000001</v>
      </c>
      <c r="J62" s="44">
        <f t="shared" si="20"/>
        <v>0.24440000000000001</v>
      </c>
      <c r="K62" s="39">
        <v>0</v>
      </c>
      <c r="L62" s="46">
        <f t="shared" si="21"/>
        <v>0</v>
      </c>
      <c r="M62" s="46">
        <f t="shared" si="22"/>
        <v>0</v>
      </c>
      <c r="N62" s="47">
        <v>0</v>
      </c>
      <c r="O62" s="37">
        <v>0</v>
      </c>
      <c r="P62" s="71">
        <f t="shared" si="24"/>
        <v>0</v>
      </c>
      <c r="Q62" s="49">
        <f t="shared" si="23"/>
        <v>-5.8188824662813055E-2</v>
      </c>
      <c r="R62" s="52"/>
      <c r="T62" s="52"/>
    </row>
    <row r="63" spans="1:20" x14ac:dyDescent="0.2">
      <c r="A63" s="35" t="s">
        <v>146</v>
      </c>
      <c r="B63" s="36" t="s">
        <v>147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0</v>
      </c>
      <c r="O63" s="37">
        <v>0</v>
      </c>
      <c r="P63" s="71">
        <f t="shared" si="24"/>
        <v>0</v>
      </c>
      <c r="Q63" s="49">
        <f t="shared" si="23"/>
        <v>0</v>
      </c>
      <c r="T63" s="52"/>
    </row>
    <row r="64" spans="1:20" x14ac:dyDescent="0.2">
      <c r="A64" s="35" t="s">
        <v>148</v>
      </c>
      <c r="B64" s="36" t="s">
        <v>149</v>
      </c>
      <c r="C64" s="40">
        <v>344580486</v>
      </c>
      <c r="D64" s="38">
        <f t="shared" si="19"/>
        <v>35078293.474799998</v>
      </c>
      <c r="E64" s="39">
        <v>0</v>
      </c>
      <c r="F64" s="40" t="s">
        <v>44</v>
      </c>
      <c r="G64" s="70">
        <v>4.2999999999999997E-2</v>
      </c>
      <c r="H64" s="42">
        <v>0.1018</v>
      </c>
      <c r="I64" s="42">
        <v>0.1018</v>
      </c>
      <c r="J64" s="44">
        <f t="shared" si="20"/>
        <v>0.1018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1.3674418604651164</v>
      </c>
      <c r="T64" s="52"/>
    </row>
    <row r="65" spans="1:20" ht="13.5" x14ac:dyDescent="0.3">
      <c r="A65" s="74"/>
      <c r="B65" s="36" t="s">
        <v>117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1347370</v>
      </c>
      <c r="O65" s="62">
        <f>SUM(O50:O64)</f>
        <v>742859.55</v>
      </c>
      <c r="P65" s="77"/>
      <c r="Q65" s="63"/>
    </row>
    <row r="66" spans="1:20" ht="12.75" hidden="1" x14ac:dyDescent="0.25">
      <c r="A66" s="137" t="s">
        <v>150</v>
      </c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40"/>
    </row>
    <row r="67" spans="1:20" ht="12.75" hidden="1" thickBot="1" x14ac:dyDescent="0.25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75" thickBot="1" x14ac:dyDescent="0.25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75" x14ac:dyDescent="0.25">
      <c r="A69" s="137" t="s">
        <v>154</v>
      </c>
      <c r="B69" s="138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20" x14ac:dyDescent="0.2">
      <c r="A70" s="35" t="s">
        <v>155</v>
      </c>
      <c r="B70" s="88" t="s">
        <v>156</v>
      </c>
      <c r="C70" s="89">
        <v>139300587</v>
      </c>
      <c r="D70" s="38">
        <f>C70*J70</f>
        <v>53268544.468800001</v>
      </c>
      <c r="E70" s="39">
        <f>C70*K70</f>
        <v>53268544.468800001</v>
      </c>
      <c r="F70" s="89" t="s">
        <v>157</v>
      </c>
      <c r="G70" s="89">
        <v>0.24</v>
      </c>
      <c r="H70" s="90">
        <v>0.3886</v>
      </c>
      <c r="I70" s="90">
        <v>0.38240000000000002</v>
      </c>
      <c r="J70" s="91">
        <f>I70</f>
        <v>0.38240000000000002</v>
      </c>
      <c r="K70" s="91">
        <f>J70</f>
        <v>0.38240000000000002</v>
      </c>
      <c r="L70" s="46">
        <f>I70-H70</f>
        <v>-6.1999999999999833E-3</v>
      </c>
      <c r="M70" s="46">
        <f>((I70-H70)/H70)*100</f>
        <v>-1.5954709212557858</v>
      </c>
      <c r="N70" s="92">
        <v>252</v>
      </c>
      <c r="O70" s="93">
        <v>96.37</v>
      </c>
      <c r="P70" s="71">
        <f>(R70)/J70</f>
        <v>0</v>
      </c>
      <c r="Q70" s="49">
        <f>J70/G70-1</f>
        <v>0.59333333333333349</v>
      </c>
      <c r="T70" s="52"/>
    </row>
    <row r="71" spans="1:20" x14ac:dyDescent="0.2">
      <c r="A71" s="35" t="s">
        <v>158</v>
      </c>
      <c r="B71" s="88" t="s">
        <v>159</v>
      </c>
      <c r="C71" s="89">
        <v>471351750</v>
      </c>
      <c r="D71" s="38">
        <f>C71*J71</f>
        <v>70042870.050000012</v>
      </c>
      <c r="E71" s="39">
        <f>C71*K71</f>
        <v>70042870.050000012</v>
      </c>
      <c r="F71" s="89" t="s">
        <v>157</v>
      </c>
      <c r="G71" s="89">
        <v>0.1</v>
      </c>
      <c r="H71" s="90">
        <v>0.1497</v>
      </c>
      <c r="I71" s="90">
        <v>0.14860000000000001</v>
      </c>
      <c r="J71" s="91">
        <f>I71</f>
        <v>0.14860000000000001</v>
      </c>
      <c r="K71" s="91">
        <f>J71</f>
        <v>0.14860000000000001</v>
      </c>
      <c r="L71" s="46">
        <f>I71-H71</f>
        <v>-1.0999999999999899E-3</v>
      </c>
      <c r="M71" s="46">
        <f>((I71-H71)/H71)*100</f>
        <v>-0.73480293921175011</v>
      </c>
      <c r="N71" s="47">
        <v>31956</v>
      </c>
      <c r="O71" s="93">
        <v>4747.75</v>
      </c>
      <c r="P71" s="94">
        <f>(R71)/J71</f>
        <v>2.5518169582772542E-2</v>
      </c>
      <c r="Q71" s="49">
        <f>J71/G71-1</f>
        <v>0.48599999999999999</v>
      </c>
      <c r="R71" s="5">
        <v>3.7919999999999998E-3</v>
      </c>
      <c r="T71" s="52"/>
    </row>
    <row r="72" spans="1:20" ht="14.25" thickBot="1" x14ac:dyDescent="0.35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32208</v>
      </c>
      <c r="O72" s="62">
        <f>SUM(O70:O71)</f>
        <v>4844.12</v>
      </c>
      <c r="P72" s="87"/>
      <c r="Q72" s="63"/>
    </row>
    <row r="73" spans="1:20" ht="12.75" x14ac:dyDescent="0.25">
      <c r="A73" s="137" t="s">
        <v>160</v>
      </c>
      <c r="B73" s="138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40"/>
    </row>
    <row r="74" spans="1:20" x14ac:dyDescent="0.2">
      <c r="A74" s="35" t="s">
        <v>161</v>
      </c>
      <c r="B74" s="88" t="s">
        <v>162</v>
      </c>
      <c r="C74" s="89">
        <v>20819695</v>
      </c>
      <c r="D74" s="38">
        <f>C74*J74</f>
        <v>2637855.3565000002</v>
      </c>
      <c r="E74" s="39">
        <f>C74*K74</f>
        <v>2637855.3565000002</v>
      </c>
      <c r="F74" s="89" t="s">
        <v>137</v>
      </c>
      <c r="G74" s="89">
        <v>0.1394</v>
      </c>
      <c r="H74" s="90">
        <v>0.1265</v>
      </c>
      <c r="I74" s="90">
        <v>0.12670000000000001</v>
      </c>
      <c r="J74" s="91">
        <f>I74</f>
        <v>0.12670000000000001</v>
      </c>
      <c r="K74" s="91">
        <f>J74</f>
        <v>0.12670000000000001</v>
      </c>
      <c r="L74" s="46">
        <f>I74-H74</f>
        <v>2.0000000000000573E-4</v>
      </c>
      <c r="M74" s="46">
        <f>((I74-H74)/H74)*100</f>
        <v>0.1581027667984235</v>
      </c>
      <c r="N74" s="92">
        <v>180</v>
      </c>
      <c r="O74" s="93">
        <v>22.81</v>
      </c>
      <c r="P74" s="71">
        <f>(R74)/J74</f>
        <v>0</v>
      </c>
      <c r="Q74" s="49">
        <f>J74/G74-1</f>
        <v>-9.1104734576757496E-2</v>
      </c>
    </row>
    <row r="75" spans="1:20" ht="13.5" x14ac:dyDescent="0.3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75" x14ac:dyDescent="0.25">
      <c r="A76" s="133" t="s">
        <v>163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">
      <c r="A77" s="35" t="s">
        <v>164</v>
      </c>
      <c r="B77" s="36" t="s">
        <v>165</v>
      </c>
      <c r="C77" s="40">
        <v>31703227</v>
      </c>
      <c r="D77" s="38">
        <f>C77*J77</f>
        <v>95194.198213518408</v>
      </c>
      <c r="E77" s="39">
        <f>C77*K77</f>
        <v>80598.661098857148</v>
      </c>
      <c r="F77" s="40" t="s">
        <v>137</v>
      </c>
      <c r="G77" s="70">
        <v>0.105</v>
      </c>
      <c r="H77" s="42">
        <v>0.09</v>
      </c>
      <c r="I77" s="42">
        <v>8.0082E-2</v>
      </c>
      <c r="J77" s="44">
        <f>I77/$J$5</f>
        <v>3.0026658867729271E-3</v>
      </c>
      <c r="K77" s="45">
        <f>I77/$K$4</f>
        <v>2.5422857142857144E-3</v>
      </c>
      <c r="L77" s="46">
        <f>I77-H77</f>
        <v>-9.9179999999999963E-3</v>
      </c>
      <c r="M77" s="95">
        <f>((I77-H77)/H77)*100</f>
        <v>-11.019999999999996</v>
      </c>
      <c r="N77" s="37">
        <v>14600</v>
      </c>
      <c r="O77" s="37">
        <v>1169.2</v>
      </c>
      <c r="P77" s="40">
        <v>0</v>
      </c>
      <c r="Q77" s="49">
        <f>I77/G77-1</f>
        <v>-0.2373142857142857</v>
      </c>
    </row>
    <row r="78" spans="1:20" x14ac:dyDescent="0.2">
      <c r="A78" s="35" t="s">
        <v>166</v>
      </c>
      <c r="B78" s="36" t="s">
        <v>167</v>
      </c>
      <c r="C78" s="40">
        <v>136162052</v>
      </c>
      <c r="D78" s="38">
        <f>C78*J78</f>
        <v>408430.50734337443</v>
      </c>
      <c r="E78" s="39">
        <f>C78*K78</f>
        <v>345808.38603174605</v>
      </c>
      <c r="F78" s="40" t="s">
        <v>137</v>
      </c>
      <c r="G78" s="70">
        <v>4.2500000000000003E-2</v>
      </c>
      <c r="H78" s="42">
        <v>7.7503000000000002E-2</v>
      </c>
      <c r="I78" s="42">
        <v>0.08</v>
      </c>
      <c r="J78" s="44">
        <f>I78/$J$5</f>
        <v>2.9995913056846003E-3</v>
      </c>
      <c r="K78" s="45">
        <f>I78/$K$4</f>
        <v>2.5396825396825397E-3</v>
      </c>
      <c r="L78" s="46">
        <f>I78-H78</f>
        <v>2.4969999999999992E-3</v>
      </c>
      <c r="M78" s="95">
        <f>((I78-H78)/H78)*100</f>
        <v>3.2218107686154074</v>
      </c>
      <c r="N78" s="37">
        <v>100</v>
      </c>
      <c r="O78" s="37">
        <v>8</v>
      </c>
      <c r="P78" s="40">
        <v>0</v>
      </c>
      <c r="Q78" s="49">
        <f>I78/G78-1</f>
        <v>0.88235294117647056</v>
      </c>
    </row>
    <row r="79" spans="1:20" x14ac:dyDescent="0.2">
      <c r="A79" s="35" t="s">
        <v>168</v>
      </c>
      <c r="B79" s="36" t="s">
        <v>169</v>
      </c>
      <c r="C79" s="40">
        <v>6677853</v>
      </c>
      <c r="D79" s="38">
        <f>C79*J79</f>
        <v>32550.09842408972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4.8743358717374761E-3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">
      <c r="A80" s="35" t="s">
        <v>170</v>
      </c>
      <c r="B80" s="36" t="s">
        <v>171</v>
      </c>
      <c r="C80" s="37">
        <v>494417400</v>
      </c>
      <c r="D80" s="38">
        <f>C80*J80</f>
        <v>29475621.421581309</v>
      </c>
      <c r="E80" s="39">
        <f>C80*K80</f>
        <v>24956306.857142858</v>
      </c>
      <c r="F80" s="40" t="s">
        <v>137</v>
      </c>
      <c r="G80" s="70">
        <v>1.85</v>
      </c>
      <c r="H80" s="42">
        <v>1.55</v>
      </c>
      <c r="I80" s="42">
        <v>1.59</v>
      </c>
      <c r="J80" s="44">
        <f>I80/$J$5</f>
        <v>5.9616877200481436E-2</v>
      </c>
      <c r="K80" s="45">
        <f>I80/$K$4</f>
        <v>5.047619047619048E-2</v>
      </c>
      <c r="L80" s="46">
        <f>I80-H80</f>
        <v>4.0000000000000036E-2</v>
      </c>
      <c r="M80" s="95">
        <f>((I80-H80)/H80)*100</f>
        <v>2.5806451612903247</v>
      </c>
      <c r="N80" s="37">
        <v>820</v>
      </c>
      <c r="O80" s="37">
        <v>1303.8</v>
      </c>
      <c r="P80" s="40">
        <v>0</v>
      </c>
      <c r="Q80" s="49">
        <f>I80/G80-1</f>
        <v>-0.14054054054054055</v>
      </c>
    </row>
    <row r="81" spans="1:243" ht="15.75" thickBot="1" x14ac:dyDescent="0.35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15520</v>
      </c>
      <c r="O81" s="62">
        <f>SUM(O77:O80)</f>
        <v>2481</v>
      </c>
      <c r="P81" s="77"/>
      <c r="Q81" s="63"/>
      <c r="V81" s="96"/>
      <c r="W81" s="96"/>
      <c r="DU81" s="97"/>
      <c r="DV81" s="97"/>
      <c r="DW81" s="98"/>
      <c r="DX81" s="99"/>
      <c r="DY81" s="99"/>
      <c r="DZ81" s="100"/>
      <c r="EA81" s="100"/>
      <c r="EB81" s="101"/>
      <c r="EC81" s="101"/>
      <c r="ED81" s="102"/>
      <c r="EE81" s="102"/>
      <c r="EF81" s="100"/>
      <c r="EG81" s="103"/>
      <c r="EH81" s="104"/>
      <c r="EI81" s="98"/>
      <c r="EJ81" s="97"/>
      <c r="EK81" s="97"/>
      <c r="EL81" s="98"/>
      <c r="EM81" s="99"/>
      <c r="EN81" s="99"/>
      <c r="EO81" s="100"/>
      <c r="EP81" s="100"/>
      <c r="EQ81" s="101"/>
      <c r="ER81" s="101"/>
      <c r="ES81" s="102"/>
      <c r="ET81" s="102"/>
      <c r="EU81" s="100"/>
      <c r="EV81" s="103"/>
      <c r="EW81" s="104"/>
      <c r="EX81" s="98"/>
      <c r="EY81" s="97"/>
      <c r="EZ81" s="97"/>
      <c r="FA81" s="98"/>
      <c r="FB81" s="99"/>
      <c r="FC81" s="99"/>
      <c r="FD81" s="100"/>
      <c r="FE81" s="100"/>
      <c r="FF81" s="101"/>
      <c r="FG81" s="101"/>
      <c r="FH81" s="102"/>
      <c r="FI81" s="102"/>
      <c r="FJ81" s="100"/>
      <c r="FK81" s="103"/>
      <c r="FL81" s="104"/>
      <c r="FM81" s="98"/>
      <c r="FN81" s="97"/>
      <c r="FO81" s="97"/>
      <c r="FP81" s="98"/>
      <c r="FQ81" s="99"/>
      <c r="FR81" s="99"/>
      <c r="FS81" s="100"/>
      <c r="FT81" s="100"/>
      <c r="FU81" s="101"/>
      <c r="FV81" s="101"/>
      <c r="FW81" s="102"/>
      <c r="FX81" s="102"/>
      <c r="FY81" s="100"/>
      <c r="FZ81" s="103"/>
      <c r="GA81" s="104"/>
      <c r="GB81" s="98"/>
      <c r="GC81" s="97"/>
      <c r="GD81" s="97"/>
      <c r="GE81" s="98"/>
      <c r="GF81" s="99"/>
      <c r="GG81" s="99"/>
      <c r="GH81" s="100"/>
      <c r="GI81" s="100"/>
      <c r="GJ81" s="101"/>
      <c r="GK81" s="101"/>
      <c r="GL81" s="102"/>
      <c r="GM81" s="102"/>
      <c r="GN81" s="100"/>
      <c r="GO81" s="103"/>
      <c r="GP81" s="104"/>
      <c r="GQ81" s="98"/>
      <c r="GR81" s="97"/>
      <c r="GS81" s="97"/>
      <c r="GT81" s="98"/>
      <c r="GU81" s="99"/>
      <c r="GV81" s="99"/>
      <c r="GW81" s="100"/>
      <c r="GX81" s="100"/>
      <c r="GY81" s="101"/>
      <c r="GZ81" s="101"/>
      <c r="HA81" s="102"/>
      <c r="HB81" s="102"/>
      <c r="HC81" s="100"/>
      <c r="HD81" s="103"/>
      <c r="HE81" s="104"/>
      <c r="HF81" s="98"/>
      <c r="HG81" s="97"/>
      <c r="HH81" s="97"/>
      <c r="HI81" s="98"/>
      <c r="HJ81" s="99"/>
      <c r="HK81" s="99"/>
      <c r="HL81" s="100"/>
      <c r="HM81" s="100"/>
      <c r="HN81" s="101"/>
      <c r="HO81" s="101"/>
      <c r="HP81" s="102"/>
      <c r="HQ81" s="102"/>
      <c r="HR81" s="100"/>
      <c r="HS81" s="103"/>
      <c r="HT81" s="104"/>
      <c r="HU81" s="98"/>
      <c r="HV81" s="97"/>
      <c r="HW81" s="97"/>
      <c r="HX81" s="98"/>
      <c r="HY81" s="99"/>
      <c r="HZ81" s="99"/>
      <c r="IA81" s="100"/>
      <c r="IB81" s="100"/>
      <c r="IC81" s="101"/>
      <c r="ID81" s="101"/>
      <c r="IE81" s="102"/>
      <c r="IF81" s="102"/>
      <c r="IG81" s="100"/>
      <c r="IH81" s="103"/>
      <c r="II81" s="104"/>
    </row>
    <row r="82" spans="1:243" ht="13.5" thickTop="1" x14ac:dyDescent="0.25">
      <c r="A82" s="137" t="s">
        <v>172</v>
      </c>
      <c r="B82" s="138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40"/>
    </row>
    <row r="83" spans="1:243" x14ac:dyDescent="0.2">
      <c r="A83" s="35" t="s">
        <v>173</v>
      </c>
      <c r="B83" s="36" t="s">
        <v>174</v>
      </c>
      <c r="C83" s="40">
        <v>368326244</v>
      </c>
      <c r="D83" s="38">
        <f>C83*J83</f>
        <v>27379023.810380835</v>
      </c>
      <c r="E83" s="39">
        <f>C83*K83</f>
        <v>23181167.578730155</v>
      </c>
      <c r="F83" s="40" t="s">
        <v>175</v>
      </c>
      <c r="G83" s="40">
        <v>1.3</v>
      </c>
      <c r="H83" s="42">
        <v>1.98</v>
      </c>
      <c r="I83" s="42">
        <v>1.9824999999999999</v>
      </c>
      <c r="J83" s="44">
        <f>I83/$J$5</f>
        <v>7.4333622043996503E-2</v>
      </c>
      <c r="K83" s="45">
        <f>I83/$K$4</f>
        <v>6.2936507936507929E-2</v>
      </c>
      <c r="L83" s="46">
        <f>I83-H83</f>
        <v>2.4999999999999467E-3</v>
      </c>
      <c r="M83" s="46">
        <f>((I83-H83)/H83*100)</f>
        <v>0.12626262626262355</v>
      </c>
      <c r="N83" s="105">
        <v>100</v>
      </c>
      <c r="O83" s="106">
        <v>198.25</v>
      </c>
      <c r="P83" s="51">
        <f>(R83)/J83</f>
        <v>0</v>
      </c>
      <c r="Q83" s="49">
        <f>I83/G83-1</f>
        <v>0.52499999999999991</v>
      </c>
      <c r="R83" s="52"/>
    </row>
    <row r="84" spans="1:243" s="107" customFormat="1" ht="12.75" thickBot="1" x14ac:dyDescent="0.25">
      <c r="A84" s="35" t="s">
        <v>176</v>
      </c>
      <c r="B84" s="36" t="s">
        <v>177</v>
      </c>
      <c r="C84" s="40">
        <v>1841105000</v>
      </c>
      <c r="D84" s="38">
        <f>C84*J84</f>
        <v>73349640.31994389</v>
      </c>
      <c r="E84" s="39">
        <f>C84*K84</f>
        <v>62103394.038888879</v>
      </c>
      <c r="F84" s="40" t="s">
        <v>175</v>
      </c>
      <c r="G84" s="40">
        <v>1.44347</v>
      </c>
      <c r="H84" s="42">
        <v>1.100797</v>
      </c>
      <c r="I84" s="42">
        <v>1.0625449999999999</v>
      </c>
      <c r="J84" s="44">
        <f>I84/$J$5</f>
        <v>3.9840009298733041E-2</v>
      </c>
      <c r="K84" s="45">
        <f>I84/$K$4</f>
        <v>3.3731587301587297E-2</v>
      </c>
      <c r="L84" s="46">
        <f>I84-H84</f>
        <v>-3.8252000000000175E-2</v>
      </c>
      <c r="M84" s="46">
        <f>((I84-H84)/H84*100)</f>
        <v>-3.4749367957943358</v>
      </c>
      <c r="N84" s="105">
        <v>614801</v>
      </c>
      <c r="O84" s="106">
        <v>653313.91340000008</v>
      </c>
      <c r="P84" s="48">
        <f>(R84)/J84</f>
        <v>5.4618461147527879E-2</v>
      </c>
      <c r="Q84" s="49">
        <f>I84/G84-1</f>
        <v>-0.26389533554559508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75" thickBot="1" x14ac:dyDescent="0.25">
      <c r="A85" s="78"/>
      <c r="B85" s="79"/>
      <c r="C85" s="80"/>
      <c r="D85" s="108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75" thickBot="1" x14ac:dyDescent="0.25">
      <c r="A86" s="109"/>
      <c r="B86" s="110"/>
      <c r="C86" s="110"/>
      <c r="D86" s="110"/>
      <c r="E86" s="110"/>
      <c r="F86" s="111"/>
      <c r="G86" s="111"/>
      <c r="H86" s="59"/>
      <c r="M86" s="112"/>
      <c r="N86" s="112"/>
      <c r="O86" s="59"/>
      <c r="P86" s="59"/>
      <c r="Q86" s="113"/>
    </row>
    <row r="87" spans="1:243" ht="15" customHeight="1" thickBot="1" x14ac:dyDescent="0.25">
      <c r="A87" s="141" t="s">
        <v>178</v>
      </c>
      <c r="B87" s="142"/>
      <c r="C87" s="142"/>
      <c r="D87" s="143"/>
      <c r="E87" s="141" t="s">
        <v>179</v>
      </c>
      <c r="F87" s="142"/>
      <c r="G87" s="142"/>
      <c r="H87" s="143"/>
      <c r="I87" s="52"/>
      <c r="J87" s="114" t="s">
        <v>180</v>
      </c>
      <c r="K87" s="115"/>
      <c r="L87" s="116"/>
      <c r="M87" s="114" t="s">
        <v>181</v>
      </c>
      <c r="N87" s="115"/>
      <c r="O87" s="116"/>
    </row>
    <row r="88" spans="1:243" ht="15" customHeight="1" x14ac:dyDescent="0.2">
      <c r="A88" s="35" t="s">
        <v>58</v>
      </c>
      <c r="B88" s="117">
        <v>13.4976</v>
      </c>
      <c r="D88" s="117">
        <v>12.793000576600056</v>
      </c>
      <c r="E88" s="35" t="s">
        <v>99</v>
      </c>
      <c r="F88" s="118">
        <v>0.25015399999999999</v>
      </c>
      <c r="H88" s="119">
        <v>-10.412600410415831</v>
      </c>
      <c r="J88" s="35" t="s">
        <v>127</v>
      </c>
      <c r="K88" s="51">
        <v>0.15</v>
      </c>
      <c r="L88" s="120">
        <v>2.0408163265306141</v>
      </c>
      <c r="M88" s="59" t="s">
        <v>125</v>
      </c>
      <c r="N88" s="118">
        <v>2.41E-2</v>
      </c>
      <c r="O88" s="119">
        <v>-6.2256809338521428</v>
      </c>
    </row>
    <row r="89" spans="1:243" ht="15" customHeight="1" x14ac:dyDescent="0.2">
      <c r="A89" s="35" t="s">
        <v>115</v>
      </c>
      <c r="B89" s="117">
        <v>1.5</v>
      </c>
      <c r="D89" s="117">
        <v>11.111111111111104</v>
      </c>
      <c r="E89" s="35" t="s">
        <v>50</v>
      </c>
      <c r="F89" s="118">
        <v>4.6439789999999999</v>
      </c>
      <c r="H89" s="119">
        <v>-7.150076265640763</v>
      </c>
      <c r="J89" s="35" t="s">
        <v>129</v>
      </c>
      <c r="K89" s="51">
        <v>1.5045999999999999</v>
      </c>
      <c r="L89" s="120">
        <v>1.6141014385088157</v>
      </c>
      <c r="M89" s="59" t="s">
        <v>121</v>
      </c>
      <c r="N89" s="118">
        <v>41</v>
      </c>
      <c r="O89" s="119">
        <v>-6.0660699189189815</v>
      </c>
    </row>
    <row r="90" spans="1:243" ht="15" customHeight="1" x14ac:dyDescent="0.2">
      <c r="A90" s="35" t="s">
        <v>97</v>
      </c>
      <c r="B90" s="117">
        <v>4.1123200000000004</v>
      </c>
      <c r="C90" s="117"/>
      <c r="D90" s="117">
        <v>9.0801061007957671</v>
      </c>
      <c r="E90" s="35" t="s">
        <v>105</v>
      </c>
      <c r="F90" s="118">
        <v>4.9000000000000002E-2</v>
      </c>
      <c r="H90" s="119">
        <v>-3.9215686274509705</v>
      </c>
      <c r="J90" s="35" t="s">
        <v>138</v>
      </c>
      <c r="K90" s="51">
        <v>1.4019999999999999</v>
      </c>
      <c r="L90" s="120">
        <v>0.19295361966697097</v>
      </c>
      <c r="M90" s="35" t="s">
        <v>140</v>
      </c>
      <c r="N90" s="118">
        <v>0.35449999999999998</v>
      </c>
      <c r="O90" s="119">
        <v>-1.527777777777779</v>
      </c>
    </row>
    <row r="91" spans="1:243" ht="15" customHeight="1" x14ac:dyDescent="0.2">
      <c r="A91" s="35" t="s">
        <v>107</v>
      </c>
      <c r="B91" s="117">
        <v>7.5</v>
      </c>
      <c r="C91" s="117"/>
      <c r="D91" s="117">
        <v>7.1428571428571423</v>
      </c>
      <c r="E91" s="35" t="s">
        <v>95</v>
      </c>
      <c r="F91" s="118">
        <v>3.798E-2</v>
      </c>
      <c r="H91" s="119">
        <v>-3.5159028554008644</v>
      </c>
      <c r="J91" s="35" t="s">
        <v>142</v>
      </c>
      <c r="K91" s="51">
        <v>0.6925</v>
      </c>
      <c r="L91" s="120">
        <v>0.10118531367447729</v>
      </c>
      <c r="M91" s="35" t="s">
        <v>123</v>
      </c>
      <c r="N91" s="118">
        <v>0.2258</v>
      </c>
      <c r="O91" s="119">
        <v>-1.1816192560175087</v>
      </c>
    </row>
    <row r="92" spans="1:243" ht="15" customHeight="1" x14ac:dyDescent="0.2">
      <c r="A92" s="35" t="s">
        <v>79</v>
      </c>
      <c r="B92" s="117">
        <v>0.96</v>
      </c>
      <c r="C92" s="117"/>
      <c r="D92" s="117">
        <v>1.0526315789473695</v>
      </c>
      <c r="E92" s="35" t="s">
        <v>70</v>
      </c>
      <c r="F92" s="118">
        <v>11</v>
      </c>
      <c r="G92" s="118"/>
      <c r="H92" s="119">
        <v>-1.2292469179035519</v>
      </c>
      <c r="J92" s="35"/>
      <c r="K92" s="51"/>
      <c r="L92" s="120"/>
      <c r="M92" s="35" t="s">
        <v>133</v>
      </c>
      <c r="N92" s="118">
        <v>1.9E-2</v>
      </c>
      <c r="O92" s="119">
        <v>-1.0416666666666605</v>
      </c>
    </row>
    <row r="93" spans="1:243" ht="15.75" customHeight="1" thickBot="1" x14ac:dyDescent="0.25">
      <c r="A93" s="121"/>
      <c r="B93" s="122"/>
      <c r="C93" s="122"/>
      <c r="D93" s="122"/>
      <c r="E93" s="121"/>
      <c r="F93" s="122"/>
      <c r="G93" s="122"/>
      <c r="H93" s="123"/>
      <c r="J93" s="121"/>
      <c r="K93" s="122"/>
      <c r="L93" s="123"/>
      <c r="M93" s="122"/>
      <c r="N93" s="122"/>
      <c r="O93" s="123"/>
    </row>
    <row r="94" spans="1:243" x14ac:dyDescent="0.2">
      <c r="A94" s="124"/>
      <c r="B94" s="125"/>
      <c r="C94" s="125"/>
      <c r="D94" s="125"/>
      <c r="E94" s="112"/>
      <c r="F94" s="112"/>
      <c r="G94" s="112"/>
      <c r="H94" s="112"/>
      <c r="I94" s="112"/>
      <c r="J94" s="112"/>
      <c r="K94" s="112"/>
      <c r="L94" s="112"/>
      <c r="M94" s="125"/>
      <c r="Q94" s="16"/>
    </row>
    <row r="95" spans="1:243" x14ac:dyDescent="0.2">
      <c r="A95" s="12" t="s">
        <v>182</v>
      </c>
      <c r="B95" s="126"/>
      <c r="C95" s="126"/>
      <c r="D95" s="126"/>
      <c r="E95" s="126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">
      <c r="A96" s="124"/>
      <c r="B96" s="125"/>
      <c r="C96" s="125"/>
      <c r="D96" s="125"/>
      <c r="E96" s="125"/>
      <c r="F96" s="112"/>
      <c r="G96" s="112"/>
      <c r="H96" s="125"/>
      <c r="I96" s="112"/>
      <c r="J96" s="112"/>
      <c r="K96" s="112"/>
      <c r="L96" s="112"/>
      <c r="M96" s="125"/>
      <c r="Q96" s="16"/>
    </row>
    <row r="97" spans="1:17" ht="12.75" thickBot="1" x14ac:dyDescent="0.25">
      <c r="A97" s="127"/>
      <c r="B97" s="128"/>
      <c r="C97" s="128"/>
      <c r="D97" s="128"/>
      <c r="E97" s="128"/>
      <c r="F97" s="129"/>
      <c r="G97" s="129"/>
      <c r="H97" s="129"/>
      <c r="I97" s="130"/>
      <c r="J97" s="130"/>
      <c r="K97" s="130"/>
      <c r="L97" s="130"/>
      <c r="M97" s="130"/>
      <c r="N97" s="130"/>
      <c r="O97" s="130"/>
      <c r="P97" s="130"/>
      <c r="Q97" s="131"/>
    </row>
    <row r="98" spans="1:17" x14ac:dyDescent="0.2">
      <c r="I98" s="32"/>
      <c r="J98" s="32"/>
      <c r="K98" s="32"/>
      <c r="L98" s="32"/>
      <c r="M98" s="32"/>
      <c r="N98" s="32"/>
      <c r="O98" s="32"/>
      <c r="P98" s="32"/>
    </row>
    <row r="99" spans="1:17" x14ac:dyDescent="0.2">
      <c r="I99" s="32"/>
      <c r="J99" s="32"/>
      <c r="K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132"/>
      <c r="J101" s="132"/>
      <c r="K101" s="132"/>
      <c r="O101" s="132"/>
      <c r="P101" s="132"/>
    </row>
    <row r="103" spans="1:17" x14ac:dyDescent="0.2">
      <c r="I103" s="32"/>
      <c r="J103" s="32"/>
      <c r="K103" s="32"/>
      <c r="O103" s="32"/>
      <c r="P103" s="32"/>
    </row>
    <row r="104" spans="1:17" x14ac:dyDescent="0.2">
      <c r="I104" s="132"/>
      <c r="J104" s="132"/>
      <c r="K104" s="132"/>
      <c r="O104" s="132"/>
      <c r="P104" s="132"/>
    </row>
    <row r="105" spans="1:17" x14ac:dyDescent="0.2">
      <c r="I105" s="32"/>
      <c r="J105" s="32"/>
      <c r="K105" s="32"/>
      <c r="O105" s="32"/>
      <c r="P105" s="32"/>
    </row>
    <row r="106" spans="1:17" x14ac:dyDescent="0.2">
      <c r="I106" s="132"/>
      <c r="J106" s="132"/>
      <c r="K106" s="132"/>
      <c r="O106" s="132"/>
      <c r="P106" s="132"/>
    </row>
  </sheetData>
  <sheetProtection algorithmName="SHA-512" hashValue="MMja549Rq86NvVSVikV1vUzoFZq39NuQrtqSG0eRXvI9/ZSC3gB1Pr6L+sra7oxi8hLks1gr7A/ChqFOeRM//A==" saltValue="HgI94mOnurIWsJFVknYKjw==" spinCount="100000" sheet="1"/>
  <mergeCells count="10">
    <mergeCell ref="A76:Q76"/>
    <mergeCell ref="A82:Q82"/>
    <mergeCell ref="A87:D87"/>
    <mergeCell ref="E87:H87"/>
    <mergeCell ref="L5:M5"/>
    <mergeCell ref="A6:Q6"/>
    <mergeCell ref="A49:Q49"/>
    <mergeCell ref="A66:Q66"/>
    <mergeCell ref="A69:Q69"/>
    <mergeCell ref="A73:Q73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2026-08-04T13:49:34Z</dcterms:created>
  <dcterms:modified xsi:type="dcterms:W3CDTF">2026-08-04T13:50:59Z</dcterms:modified>
</cp:coreProperties>
</file>