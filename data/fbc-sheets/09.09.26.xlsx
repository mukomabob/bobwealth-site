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Sept/09.09.26/"/>
    </mc:Choice>
  </mc:AlternateContent>
  <xr:revisionPtr revIDLastSave="3" documentId="8_{019A1EDB-B359-4F78-83FB-6B379E7A998E}" xr6:coauthVersionLast="47" xr6:coauthVersionMax="47" xr10:uidLastSave="{4F2B9AFA-45F7-42EE-BC66-CCB2AE7C4049}"/>
  <bookViews>
    <workbookView xWindow="-108" yWindow="-108" windowWidth="23256" windowHeight="12456" xr2:uid="{B3794EE1-C5AD-4C94-9B49-B85340C1042F}"/>
  </bookViews>
  <sheets>
    <sheet name="Price Sheet" sheetId="1" r:id="rId1"/>
  </sheets>
  <definedNames>
    <definedName name="_xlnm._FilterDatabase" localSheetId="0" hidden="1">'Price Sheet'!$9:$45</definedName>
    <definedName name="_xlnm.Print_Area" localSheetId="0">'Price Sheet'!$A$1:$Q$98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85" i="1" l="1"/>
  <c r="P85" i="1"/>
  <c r="M85" i="1"/>
  <c r="L85" i="1"/>
  <c r="K85" i="1"/>
  <c r="J85" i="1"/>
  <c r="E85" i="1"/>
  <c r="D85" i="1"/>
  <c r="Q84" i="1"/>
  <c r="M84" i="1"/>
  <c r="L84" i="1"/>
  <c r="K84" i="1"/>
  <c r="J84" i="1"/>
  <c r="P84" i="1" s="1"/>
  <c r="E84" i="1"/>
  <c r="D84" i="1"/>
  <c r="O82" i="1"/>
  <c r="N82" i="1"/>
  <c r="Q81" i="1"/>
  <c r="M81" i="1"/>
  <c r="L81" i="1"/>
  <c r="K81" i="1"/>
  <c r="J81" i="1"/>
  <c r="E81" i="1"/>
  <c r="D81" i="1"/>
  <c r="Q80" i="1"/>
  <c r="M80" i="1"/>
  <c r="L80" i="1"/>
  <c r="K80" i="1"/>
  <c r="J80" i="1"/>
  <c r="E80" i="1"/>
  <c r="D80" i="1"/>
  <c r="Q79" i="1"/>
  <c r="M79" i="1"/>
  <c r="L79" i="1"/>
  <c r="K79" i="1"/>
  <c r="J79" i="1"/>
  <c r="E79" i="1"/>
  <c r="D79" i="1"/>
  <c r="Q78" i="1"/>
  <c r="M78" i="1"/>
  <c r="L78" i="1"/>
  <c r="K78" i="1"/>
  <c r="J78" i="1"/>
  <c r="E78" i="1"/>
  <c r="D78" i="1"/>
  <c r="M75" i="1"/>
  <c r="L75" i="1"/>
  <c r="J75" i="1"/>
  <c r="D75" i="1" s="1"/>
  <c r="O73" i="1"/>
  <c r="N73" i="1"/>
  <c r="M72" i="1"/>
  <c r="L72" i="1"/>
  <c r="J72" i="1"/>
  <c r="Q72" i="1" s="1"/>
  <c r="D72" i="1"/>
  <c r="M71" i="1"/>
  <c r="L71" i="1"/>
  <c r="J71" i="1"/>
  <c r="Q71" i="1" s="1"/>
  <c r="D71" i="1"/>
  <c r="M68" i="1"/>
  <c r="L68" i="1"/>
  <c r="D68" i="1"/>
  <c r="O66" i="1"/>
  <c r="N66" i="1"/>
  <c r="M65" i="1"/>
  <c r="L65" i="1"/>
  <c r="J65" i="1"/>
  <c r="Q65" i="1" s="1"/>
  <c r="D65" i="1"/>
  <c r="M64" i="1"/>
  <c r="L64" i="1"/>
  <c r="J64" i="1"/>
  <c r="D64" i="1" s="1"/>
  <c r="M63" i="1"/>
  <c r="L63" i="1"/>
  <c r="J63" i="1"/>
  <c r="Q63" i="1" s="1"/>
  <c r="D63" i="1"/>
  <c r="M62" i="1"/>
  <c r="L62" i="1"/>
  <c r="J62" i="1"/>
  <c r="D62" i="1" s="1"/>
  <c r="M61" i="1"/>
  <c r="L61" i="1"/>
  <c r="J61" i="1"/>
  <c r="Q61" i="1" s="1"/>
  <c r="D61" i="1"/>
  <c r="M60" i="1"/>
  <c r="L60" i="1"/>
  <c r="J60" i="1"/>
  <c r="D60" i="1" s="1"/>
  <c r="M59" i="1"/>
  <c r="L59" i="1"/>
  <c r="J59" i="1"/>
  <c r="Q59" i="1" s="1"/>
  <c r="D59" i="1"/>
  <c r="M58" i="1"/>
  <c r="L58" i="1"/>
  <c r="J58" i="1"/>
  <c r="D58" i="1" s="1"/>
  <c r="M57" i="1"/>
  <c r="L57" i="1"/>
  <c r="J57" i="1"/>
  <c r="Q57" i="1" s="1"/>
  <c r="D57" i="1"/>
  <c r="M56" i="1"/>
  <c r="L56" i="1"/>
  <c r="J56" i="1"/>
  <c r="D56" i="1" s="1"/>
  <c r="M55" i="1"/>
  <c r="L55" i="1"/>
  <c r="J55" i="1"/>
  <c r="Q55" i="1" s="1"/>
  <c r="D55" i="1"/>
  <c r="M54" i="1"/>
  <c r="L54" i="1"/>
  <c r="J54" i="1"/>
  <c r="D54" i="1" s="1"/>
  <c r="M53" i="1"/>
  <c r="L53" i="1"/>
  <c r="J53" i="1"/>
  <c r="Q53" i="1" s="1"/>
  <c r="D53" i="1"/>
  <c r="M52" i="1"/>
  <c r="L52" i="1"/>
  <c r="J52" i="1"/>
  <c r="Q52" i="1" s="1"/>
  <c r="D52" i="1"/>
  <c r="M51" i="1"/>
  <c r="L51" i="1"/>
  <c r="J51" i="1"/>
  <c r="Q51" i="1" s="1"/>
  <c r="D51" i="1"/>
  <c r="M50" i="1"/>
  <c r="L50" i="1"/>
  <c r="J50" i="1"/>
  <c r="Q50" i="1" s="1"/>
  <c r="D50" i="1"/>
  <c r="O47" i="1"/>
  <c r="N47" i="1"/>
  <c r="Q45" i="1"/>
  <c r="M45" i="1"/>
  <c r="L45" i="1"/>
  <c r="K45" i="1"/>
  <c r="J45" i="1"/>
  <c r="E45" i="1"/>
  <c r="D45" i="1"/>
  <c r="Q44" i="1"/>
  <c r="P44" i="1"/>
  <c r="M44" i="1"/>
  <c r="L44" i="1"/>
  <c r="K44" i="1"/>
  <c r="J44" i="1"/>
  <c r="E44" i="1"/>
  <c r="D44" i="1"/>
  <c r="Q43" i="1"/>
  <c r="M43" i="1"/>
  <c r="L43" i="1"/>
  <c r="K43" i="1"/>
  <c r="J43" i="1"/>
  <c r="D43" i="1" s="1"/>
  <c r="E43" i="1"/>
  <c r="Q42" i="1"/>
  <c r="M42" i="1"/>
  <c r="L42" i="1"/>
  <c r="K42" i="1"/>
  <c r="J42" i="1"/>
  <c r="P42" i="1" s="1"/>
  <c r="E42" i="1"/>
  <c r="D42" i="1"/>
  <c r="Q41" i="1"/>
  <c r="P41" i="1"/>
  <c r="M41" i="1"/>
  <c r="L41" i="1"/>
  <c r="K41" i="1"/>
  <c r="J41" i="1"/>
  <c r="E41" i="1"/>
  <c r="D41" i="1"/>
  <c r="Q40" i="1"/>
  <c r="M40" i="1"/>
  <c r="L40" i="1"/>
  <c r="K40" i="1"/>
  <c r="J40" i="1"/>
  <c r="D40" i="1" s="1"/>
  <c r="E40" i="1"/>
  <c r="Q39" i="1"/>
  <c r="M39" i="1"/>
  <c r="L39" i="1"/>
  <c r="K39" i="1"/>
  <c r="J39" i="1"/>
  <c r="P39" i="1" s="1"/>
  <c r="E39" i="1"/>
  <c r="D39" i="1"/>
  <c r="Q38" i="1"/>
  <c r="P38" i="1"/>
  <c r="M38" i="1"/>
  <c r="L38" i="1"/>
  <c r="K38" i="1"/>
  <c r="J38" i="1"/>
  <c r="E38" i="1"/>
  <c r="D38" i="1"/>
  <c r="Q37" i="1"/>
  <c r="M37" i="1"/>
  <c r="L37" i="1"/>
  <c r="K37" i="1"/>
  <c r="J37" i="1"/>
  <c r="E37" i="1"/>
  <c r="D37" i="1"/>
  <c r="Q36" i="1"/>
  <c r="M36" i="1"/>
  <c r="L36" i="1"/>
  <c r="K36" i="1"/>
  <c r="J36" i="1"/>
  <c r="P36" i="1" s="1"/>
  <c r="E36" i="1"/>
  <c r="D36" i="1"/>
  <c r="Q35" i="1"/>
  <c r="P35" i="1"/>
  <c r="M35" i="1"/>
  <c r="L35" i="1"/>
  <c r="K35" i="1"/>
  <c r="J35" i="1"/>
  <c r="E35" i="1"/>
  <c r="D35" i="1"/>
  <c r="Q34" i="1"/>
  <c r="M34" i="1"/>
  <c r="L34" i="1"/>
  <c r="K34" i="1"/>
  <c r="J34" i="1"/>
  <c r="P34" i="1" s="1"/>
  <c r="E34" i="1"/>
  <c r="D34" i="1"/>
  <c r="Q33" i="1"/>
  <c r="M33" i="1"/>
  <c r="L33" i="1"/>
  <c r="K33" i="1"/>
  <c r="J33" i="1"/>
  <c r="P33" i="1" s="1"/>
  <c r="E33" i="1"/>
  <c r="D33" i="1"/>
  <c r="Q32" i="1"/>
  <c r="P32" i="1"/>
  <c r="M32" i="1"/>
  <c r="L32" i="1"/>
  <c r="K32" i="1"/>
  <c r="J32" i="1"/>
  <c r="E32" i="1"/>
  <c r="D32" i="1"/>
  <c r="Q31" i="1"/>
  <c r="M31" i="1"/>
  <c r="L31" i="1"/>
  <c r="K31" i="1"/>
  <c r="J31" i="1"/>
  <c r="P31" i="1" s="1"/>
  <c r="E31" i="1"/>
  <c r="D31" i="1"/>
  <c r="K30" i="1"/>
  <c r="J30" i="1"/>
  <c r="E30" i="1"/>
  <c r="D30" i="1"/>
  <c r="Q29" i="1"/>
  <c r="M29" i="1"/>
  <c r="L29" i="1"/>
  <c r="K29" i="1"/>
  <c r="J29" i="1"/>
  <c r="P29" i="1" s="1"/>
  <c r="E29" i="1"/>
  <c r="D29" i="1"/>
  <c r="Q28" i="1"/>
  <c r="M28" i="1"/>
  <c r="L28" i="1"/>
  <c r="K28" i="1"/>
  <c r="J28" i="1"/>
  <c r="P28" i="1" s="1"/>
  <c r="E28" i="1"/>
  <c r="D28" i="1"/>
  <c r="Q27" i="1"/>
  <c r="P27" i="1"/>
  <c r="M27" i="1"/>
  <c r="L27" i="1"/>
  <c r="K27" i="1"/>
  <c r="J27" i="1"/>
  <c r="E27" i="1"/>
  <c r="D27" i="1"/>
  <c r="Q26" i="1"/>
  <c r="M26" i="1"/>
  <c r="L26" i="1"/>
  <c r="K26" i="1"/>
  <c r="J26" i="1"/>
  <c r="P26" i="1" s="1"/>
  <c r="E26" i="1"/>
  <c r="D26" i="1"/>
  <c r="Q25" i="1"/>
  <c r="M25" i="1"/>
  <c r="L25" i="1"/>
  <c r="K25" i="1"/>
  <c r="J25" i="1"/>
  <c r="P25" i="1" s="1"/>
  <c r="E25" i="1"/>
  <c r="D25" i="1"/>
  <c r="R24" i="1"/>
  <c r="Q24" i="1"/>
  <c r="P24" i="1"/>
  <c r="M24" i="1"/>
  <c r="L24" i="1"/>
  <c r="K24" i="1"/>
  <c r="J24" i="1"/>
  <c r="E24" i="1"/>
  <c r="D24" i="1"/>
  <c r="Q23" i="1"/>
  <c r="M23" i="1"/>
  <c r="L23" i="1"/>
  <c r="K23" i="1"/>
  <c r="J23" i="1"/>
  <c r="D23" i="1" s="1"/>
  <c r="E23" i="1"/>
  <c r="Q22" i="1"/>
  <c r="L22" i="1"/>
  <c r="K22" i="1"/>
  <c r="J22" i="1"/>
  <c r="E22" i="1"/>
  <c r="D22" i="1"/>
  <c r="Q21" i="1"/>
  <c r="P21" i="1"/>
  <c r="M21" i="1"/>
  <c r="L21" i="1"/>
  <c r="K21" i="1"/>
  <c r="E21" i="1" s="1"/>
  <c r="J21" i="1"/>
  <c r="D21" i="1"/>
  <c r="Q20" i="1"/>
  <c r="M20" i="1"/>
  <c r="L20" i="1"/>
  <c r="K20" i="1"/>
  <c r="J20" i="1"/>
  <c r="P20" i="1" s="1"/>
  <c r="E20" i="1"/>
  <c r="D20" i="1"/>
  <c r="Q19" i="1"/>
  <c r="M19" i="1"/>
  <c r="L19" i="1"/>
  <c r="K19" i="1"/>
  <c r="J19" i="1"/>
  <c r="P19" i="1" s="1"/>
  <c r="E19" i="1"/>
  <c r="D19" i="1"/>
  <c r="E18" i="1"/>
  <c r="D18" i="1"/>
  <c r="Q17" i="1"/>
  <c r="P17" i="1"/>
  <c r="M17" i="1"/>
  <c r="L17" i="1"/>
  <c r="K17" i="1"/>
  <c r="J17" i="1"/>
  <c r="E17" i="1"/>
  <c r="D17" i="1"/>
  <c r="Q16" i="1"/>
  <c r="M16" i="1"/>
  <c r="L16" i="1"/>
  <c r="K16" i="1"/>
  <c r="J16" i="1"/>
  <c r="D16" i="1" s="1"/>
  <c r="E16" i="1"/>
  <c r="Q15" i="1"/>
  <c r="M15" i="1"/>
  <c r="L15" i="1"/>
  <c r="K15" i="1"/>
  <c r="J15" i="1"/>
  <c r="P15" i="1" s="1"/>
  <c r="E15" i="1"/>
  <c r="D15" i="1"/>
  <c r="Q14" i="1"/>
  <c r="P14" i="1"/>
  <c r="M14" i="1"/>
  <c r="L14" i="1"/>
  <c r="K14" i="1"/>
  <c r="J14" i="1"/>
  <c r="E14" i="1"/>
  <c r="D14" i="1"/>
  <c r="Q13" i="1"/>
  <c r="M13" i="1"/>
  <c r="L13" i="1"/>
  <c r="K13" i="1"/>
  <c r="J13" i="1"/>
  <c r="D13" i="1" s="1"/>
  <c r="E13" i="1"/>
  <c r="Q12" i="1"/>
  <c r="M12" i="1"/>
  <c r="L12" i="1"/>
  <c r="K12" i="1"/>
  <c r="J12" i="1"/>
  <c r="P12" i="1" s="1"/>
  <c r="E12" i="1"/>
  <c r="D12" i="1"/>
  <c r="Q11" i="1"/>
  <c r="P11" i="1"/>
  <c r="M11" i="1"/>
  <c r="L11" i="1"/>
  <c r="K11" i="1"/>
  <c r="J11" i="1"/>
  <c r="E11" i="1"/>
  <c r="D11" i="1"/>
  <c r="Q10" i="1"/>
  <c r="M10" i="1"/>
  <c r="L10" i="1"/>
  <c r="K10" i="1"/>
  <c r="J10" i="1"/>
  <c r="D10" i="1" s="1"/>
  <c r="E10" i="1"/>
  <c r="Q9" i="1"/>
  <c r="M9" i="1"/>
  <c r="L9" i="1"/>
  <c r="K9" i="1"/>
  <c r="J9" i="1"/>
  <c r="P9" i="1" s="1"/>
  <c r="E9" i="1"/>
  <c r="D9" i="1"/>
  <c r="K75" i="1" l="1"/>
  <c r="E75" i="1" s="1"/>
  <c r="P54" i="1"/>
  <c r="P56" i="1"/>
  <c r="P58" i="1"/>
  <c r="P60" i="1"/>
  <c r="P62" i="1"/>
  <c r="P64" i="1"/>
  <c r="K72" i="1"/>
  <c r="E72" i="1" s="1"/>
  <c r="P50" i="1"/>
  <c r="Q54" i="1"/>
  <c r="Q56" i="1"/>
  <c r="Q58" i="1"/>
  <c r="Q60" i="1"/>
  <c r="Q62" i="1"/>
  <c r="Q64" i="1"/>
  <c r="P75" i="1"/>
  <c r="P10" i="1"/>
  <c r="P13" i="1"/>
  <c r="P16" i="1"/>
  <c r="P23" i="1"/>
  <c r="P40" i="1"/>
  <c r="P43" i="1"/>
  <c r="Q75" i="1"/>
  <c r="P72" i="1"/>
  <c r="K71" i="1"/>
  <c r="E71" i="1" s="1"/>
  <c r="P53" i="1"/>
  <c r="P55" i="1"/>
  <c r="P57" i="1"/>
  <c r="P59" i="1"/>
  <c r="P61" i="1"/>
  <c r="P63" i="1"/>
  <c r="P65" i="1"/>
  <c r="P51" i="1"/>
  <c r="P71" i="1"/>
</calcChain>
</file>

<file path=xl/sharedStrings.xml><?xml version="1.0" encoding="utf-8"?>
<sst xmlns="http://schemas.openxmlformats.org/spreadsheetml/2006/main" count="270" uniqueCount="185">
  <si>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</si>
  <si>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</si>
  <si>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</si>
  <si>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</si>
  <si>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</si>
  <si>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</si>
  <si>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</si>
  <si>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</si>
  <si>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</si>
  <si>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</si>
  <si>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</si>
  <si>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</si>
  <si>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</si>
  <si>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</si>
  <si>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</si>
  <si>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</si>
  <si>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</si>
  <si>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</si>
  <si>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</si>
  <si>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</si>
  <si>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</si>
  <si>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</si>
  <si>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</si>
  <si>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</si>
  <si>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</si>
  <si>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</si>
  <si>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</si>
  <si>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</si>
  <si>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</si>
  <si>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</si>
  <si>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</si>
  <si>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</si>
  <si>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</si>
  <si>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</si>
  <si>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</si>
  <si>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</si>
  <si>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</si>
  <si>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</si>
  <si>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</si>
  <si>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</si>
  <si>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</si>
  <si>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</si>
  <si>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</si>
  <si>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</si>
  <si>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</si>
  <si>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</si>
  <si>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</si>
  <si>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</si>
  <si>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</si>
  <si>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</si>
  <si>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</si>
  <si>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</si>
  <si>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</si>
  <si>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</si>
  <si>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</si>
  <si>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</si>
  <si>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</si>
  <si>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</si>
  <si>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</si>
  <si>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</si>
  <si>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</si>
  <si>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</si>
  <si>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</si>
  <si>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</si>
  <si>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</si>
  <si>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</si>
  <si>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</si>
  <si>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>Delisted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</si>
  <si>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</si>
  <si>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</si>
  <si>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</si>
  <si>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</si>
  <si>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</si>
  <si>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</si>
  <si>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</si>
  <si>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</si>
  <si>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</si>
  <si>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</si>
  <si>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</si>
  <si>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</si>
  <si>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</si>
  <si>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</si>
  <si>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</si>
  <si>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</si>
  <si>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</si>
  <si>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</si>
  <si>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</si>
  <si>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</si>
  <si>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</si>
  <si>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</si>
  <si>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</si>
  <si>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</si>
  <si>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</si>
  <si>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</si>
  <si>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</si>
  <si>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</si>
  <si>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</si>
  <si>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</si>
  <si>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</si>
  <si>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</si>
  <si>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</si>
  <si>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</si>
  <si>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</si>
  <si>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</si>
  <si>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</si>
  <si>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</si>
  <si>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</si>
  <si>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</si>
  <si>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</si>
  <si>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</si>
  <si>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</si>
  <si>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</si>
  <si>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</si>
  <si>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</si>
  <si>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</si>
  <si>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</si>
  <si>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</si>
  <si>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/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</si>
  <si>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</si>
  <si>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</si>
  <si>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</si>
  <si>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</si>
  <si>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</si>
  <si>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</si>
  <si>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</si>
  <si>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</si>
  <si>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</si>
  <si>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</si>
  <si>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</si>
  <si>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</si>
  <si>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</si>
  <si>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</si>
  <si>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</si>
  <si>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</si>
  <si>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</si>
  <si>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</si>
  <si>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</si>
  <si>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</si>
  <si>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Old Mutual Limited</t>
  </si>
  <si>
    <t>ZAE000255360</t>
  </si>
  <si>
    <t>Padenga</t>
  </si>
  <si>
    <t>ZWVX09010013</t>
  </si>
  <si>
    <t>Seedco Int</t>
  </si>
  <si>
    <t>BW0000002005</t>
  </si>
  <si>
    <t>Simbisa</t>
  </si>
  <si>
    <t>ZWVX09010039</t>
  </si>
  <si>
    <t>TSL</t>
  </si>
  <si>
    <t>ZWVX09010138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</si>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</sst>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-* #,##0_-;\-* #,##0_-;_-* &quot;-&quot;??_-;_-@_-"/>
    <numFmt numFmtId="172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11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  <fill>
      <patternFill patternType="solid">
        <fgColor rgb="FFF9FAFB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E1E1E1"/>
      </left>
      <right style="thin">
        <color rgb="FFE1E1E1"/>
      </right>
      <top style="thin">
        <color rgb="FFE1E1E1"/>
      </top>
      <bottom style="thin">
        <color rgb="FFE1E1E1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49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Border="1" applyAlignment="1"/>
    <xf numFmtId="166" fontId="15" fillId="5" borderId="0" xfId="4" applyNumberFormat="1" applyFont="1" applyFill="1" applyBorder="1" applyAlignment="1"/>
    <xf numFmtId="164" fontId="15" fillId="6" borderId="0" xfId="4" applyFont="1" applyFill="1" applyBorder="1" applyAlignment="1"/>
    <xf numFmtId="164" fontId="15" fillId="7" borderId="0" xfId="4" applyFont="1" applyFill="1" applyBorder="1" applyAlignment="1"/>
    <xf numFmtId="164" fontId="15" fillId="5" borderId="0" xfId="4" applyFont="1" applyFill="1" applyBorder="1" applyAlignment="1"/>
    <xf numFmtId="167" fontId="15" fillId="5" borderId="0" xfId="4" applyNumberFormat="1" applyFont="1" applyFill="1" applyBorder="1" applyAlignment="1"/>
    <xf numFmtId="168" fontId="15" fillId="5" borderId="0" xfId="3" applyNumberFormat="1" applyFont="1" applyFill="1" applyBorder="1"/>
    <xf numFmtId="168" fontId="15" fillId="8" borderId="0" xfId="3" applyNumberFormat="1" applyFont="1" applyFill="1" applyBorder="1"/>
    <xf numFmtId="168" fontId="15" fillId="6" borderId="0" xfId="3" applyNumberFormat="1" applyFont="1" applyFill="1" applyBorder="1"/>
    <xf numFmtId="168" fontId="15" fillId="7" borderId="0" xfId="3" applyNumberFormat="1" applyFont="1" applyFill="1" applyBorder="1"/>
    <xf numFmtId="167" fontId="15" fillId="5" borderId="0" xfId="3" applyNumberFormat="1" applyFont="1" applyFill="1" applyBorder="1"/>
    <xf numFmtId="0" fontId="15" fillId="5" borderId="0" xfId="5" applyNumberFormat="1" applyFont="1" applyFill="1" applyBorder="1"/>
    <xf numFmtId="9" fontId="15" fillId="5" borderId="0" xfId="1" applyFont="1" applyFill="1" applyBorder="1"/>
    <xf numFmtId="10" fontId="15" fillId="5" borderId="6" xfId="6" applyNumberFormat="1" applyFont="1" applyFill="1" applyBorder="1" applyAlignment="1"/>
    <xf numFmtId="169" fontId="4" fillId="3" borderId="0" xfId="2" applyNumberFormat="1" applyFont="1" applyFill="1" applyAlignment="1"/>
    <xf numFmtId="166" fontId="15" fillId="5" borderId="0" xfId="5" applyNumberFormat="1" applyFont="1" applyFill="1" applyBorder="1"/>
    <xf numFmtId="164" fontId="15" fillId="5" borderId="0" xfId="5" applyFont="1" applyFill="1" applyBorder="1"/>
    <xf numFmtId="164" fontId="4" fillId="3" borderId="0" xfId="2" applyNumberFormat="1" applyFont="1" applyFill="1" applyAlignment="1"/>
    <xf numFmtId="166" fontId="15" fillId="5" borderId="0" xfId="5" applyNumberFormat="1" applyFont="1" applyFill="1" applyBorder="1" applyAlignment="1">
      <alignment horizontal="right"/>
    </xf>
    <xf numFmtId="164" fontId="15" fillId="8" borderId="0" xfId="5" applyFont="1" applyFill="1" applyBorder="1"/>
    <xf numFmtId="164" fontId="15" fillId="6" borderId="0" xfId="5" applyFont="1" applyFill="1" applyBorder="1"/>
    <xf numFmtId="164" fontId="15" fillId="7" borderId="0" xfId="5" applyFont="1" applyFill="1" applyBorder="1"/>
    <xf numFmtId="164" fontId="16" fillId="5" borderId="5" xfId="3" applyFont="1" applyFill="1" applyBorder="1"/>
    <xf numFmtId="49" fontId="15" fillId="5" borderId="0" xfId="3" applyNumberFormat="1" applyFont="1" applyFill="1" applyBorder="1"/>
    <xf numFmtId="164" fontId="15" fillId="5" borderId="0" xfId="3" applyFont="1" applyFill="1" applyBorder="1"/>
    <xf numFmtId="164" fontId="17" fillId="5" borderId="0" xfId="3" applyFont="1" applyFill="1" applyBorder="1"/>
    <xf numFmtId="166" fontId="18" fillId="5" borderId="0" xfId="3" applyNumberFormat="1" applyFont="1" applyFill="1" applyBorder="1"/>
    <xf numFmtId="164" fontId="18" fillId="5" borderId="0" xfId="3" applyFont="1" applyFill="1" applyBorder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Border="1" applyAlignment="1"/>
    <xf numFmtId="164" fontId="15" fillId="5" borderId="0" xfId="4" applyFont="1" applyFill="1" applyBorder="1" applyAlignment="1">
      <alignment horizontal="right"/>
    </xf>
    <xf numFmtId="9" fontId="15" fillId="5" borderId="0" xfId="1" applyFont="1" applyFill="1" applyBorder="1" applyAlignment="1">
      <alignment horizontal="right"/>
    </xf>
    <xf numFmtId="167" fontId="15" fillId="9" borderId="0" xfId="3" applyNumberFormat="1" applyFont="1" applyFill="1" applyBorder="1"/>
    <xf numFmtId="171" fontId="15" fillId="5" borderId="0" xfId="5" applyNumberFormat="1" applyFont="1" applyFill="1" applyBorder="1"/>
    <xf numFmtId="164" fontId="15" fillId="5" borderId="0" xfId="5" applyFont="1" applyFill="1" applyBorder="1" applyAlignment="1"/>
    <xf numFmtId="0" fontId="4" fillId="3" borderId="5" xfId="2" applyFont="1" applyFill="1" applyBorder="1" applyAlignment="1"/>
    <xf numFmtId="166" fontId="17" fillId="5" borderId="0" xfId="4" applyNumberFormat="1" applyFont="1" applyFill="1" applyBorder="1" applyAlignment="1"/>
    <xf numFmtId="167" fontId="15" fillId="5" borderId="0" xfId="3" applyNumberFormat="1" applyFont="1" applyFill="1" applyBorder="1" applyAlignment="1">
      <alignment horizontal="center"/>
    </xf>
    <xf numFmtId="164" fontId="19" fillId="5" borderId="0" xfId="3" applyFont="1" applyFill="1" applyBorder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 applyBorder="1"/>
    <xf numFmtId="49" fontId="6" fillId="5" borderId="0" xfId="4" applyNumberFormat="1" applyFont="1" applyFill="1" applyBorder="1" applyAlignment="1"/>
    <xf numFmtId="164" fontId="6" fillId="5" borderId="0" xfId="4" applyFont="1" applyFill="1" applyBorder="1" applyAlignment="1"/>
    <xf numFmtId="168" fontId="6" fillId="5" borderId="0" xfId="3" applyNumberFormat="1" applyFont="1" applyFill="1" applyBorder="1"/>
    <xf numFmtId="168" fontId="6" fillId="6" borderId="0" xfId="3" applyNumberFormat="1" applyFont="1" applyFill="1" applyBorder="1"/>
    <xf numFmtId="164" fontId="6" fillId="5" borderId="0" xfId="5" applyFont="1" applyFill="1" applyBorder="1"/>
    <xf numFmtId="166" fontId="6" fillId="5" borderId="0" xfId="3" applyNumberFormat="1" applyFont="1" applyFill="1" applyBorder="1"/>
    <xf numFmtId="9" fontId="20" fillId="5" borderId="0" xfId="1" applyFont="1" applyFill="1" applyBorder="1"/>
    <xf numFmtId="172" fontId="15" fillId="5" borderId="0" xfId="3" applyNumberFormat="1" applyFont="1" applyFill="1" applyBorder="1"/>
    <xf numFmtId="0" fontId="0" fillId="10" borderId="11" xfId="0" applyFill="1" applyBorder="1" applyAlignment="1">
      <alignment horizontal="right" vertical="center"/>
    </xf>
    <xf numFmtId="166" fontId="15" fillId="5" borderId="12" xfId="4" applyNumberFormat="1" applyFont="1" applyFill="1" applyBorder="1" applyAlignment="1"/>
    <xf numFmtId="164" fontId="15" fillId="5" borderId="12" xfId="4" applyFont="1" applyFill="1" applyBorder="1" applyAlignment="1"/>
    <xf numFmtId="168" fontId="15" fillId="5" borderId="12" xfId="3" applyNumberFormat="1" applyFont="1" applyFill="1" applyBorder="1"/>
    <xf numFmtId="167" fontId="15" fillId="5" borderId="12" xfId="3" applyNumberFormat="1" applyFont="1" applyFill="1" applyBorder="1"/>
    <xf numFmtId="166" fontId="15" fillId="5" borderId="12" xfId="3" applyNumberFormat="1" applyFont="1" applyFill="1" applyBorder="1"/>
    <xf numFmtId="164" fontId="15" fillId="5" borderId="12" xfId="3" applyFont="1" applyFill="1" applyBorder="1"/>
    <xf numFmtId="167" fontId="15" fillId="5" borderId="13" xfId="3" applyNumberFormat="1" applyFont="1" applyFill="1" applyBorder="1"/>
    <xf numFmtId="164" fontId="15" fillId="5" borderId="14" xfId="3" applyFont="1" applyFill="1" applyBorder="1" applyAlignment="1">
      <alignment horizontal="left"/>
    </xf>
    <xf numFmtId="0" fontId="15" fillId="5" borderId="0" xfId="4" applyNumberFormat="1" applyFont="1" applyFill="1" applyBorder="1" applyAlignment="1"/>
    <xf numFmtId="166" fontId="15" fillId="5" borderId="0" xfId="5" applyNumberFormat="1" applyFont="1" applyFill="1" applyBorder="1" applyAlignment="1"/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15" fillId="5" borderId="5" xfId="3" applyFont="1" applyFill="1" applyBorder="1"/>
    <xf numFmtId="0" fontId="21" fillId="3" borderId="0" xfId="2" applyFont="1" applyFill="1" applyAlignment="1"/>
    <xf numFmtId="166" fontId="15" fillId="5" borderId="0" xfId="4" applyNumberFormat="1" applyFont="1" applyFill="1" applyBorder="1" applyAlignment="1">
      <alignment horizontal="right"/>
    </xf>
    <xf numFmtId="164" fontId="15" fillId="5" borderId="0" xfId="3" applyFont="1" applyFill="1" applyBorder="1" applyAlignment="1">
      <alignment horizontal="left"/>
    </xf>
    <xf numFmtId="164" fontId="15" fillId="5" borderId="6" xfId="3" applyFont="1" applyFill="1" applyBorder="1"/>
    <xf numFmtId="164" fontId="24" fillId="5" borderId="0" xfId="3" applyFont="1" applyFill="1" applyBorder="1" applyAlignment="1">
      <alignment horizontal="left"/>
    </xf>
    <xf numFmtId="164" fontId="25" fillId="5" borderId="0" xfId="3" applyFont="1" applyFill="1" applyBorder="1" applyAlignment="1">
      <alignment horizontal="left"/>
    </xf>
    <xf numFmtId="172" fontId="25" fillId="5" borderId="6" xfId="5" applyNumberFormat="1" applyFont="1" applyFill="1" applyBorder="1" applyAlignment="1">
      <alignment horizontal="left"/>
    </xf>
    <xf numFmtId="164" fontId="24" fillId="5" borderId="6" xfId="3" applyFont="1" applyFill="1" applyBorder="1" applyAlignment="1">
      <alignment horizontal="left"/>
    </xf>
    <xf numFmtId="0" fontId="26" fillId="2" borderId="9" xfId="7" applyFont="1" applyFill="1" applyBorder="1" applyAlignment="1">
      <alignment horizontal="center"/>
    </xf>
    <xf numFmtId="0" fontId="26" fillId="2" borderId="8" xfId="7" applyFont="1" applyFill="1" applyBorder="1" applyAlignment="1">
      <alignment horizontal="center"/>
    </xf>
    <xf numFmtId="0" fontId="26" fillId="2" borderId="10" xfId="7" applyFont="1" applyFill="1" applyBorder="1" applyAlignment="1">
      <alignment horizontal="center"/>
    </xf>
    <xf numFmtId="0" fontId="27" fillId="3" borderId="5" xfId="2" applyFont="1" applyFill="1" applyBorder="1" applyAlignment="1"/>
    <xf numFmtId="0" fontId="27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29" fillId="3" borderId="0" xfId="8" applyFont="1" applyFill="1" applyAlignment="1" applyProtection="1"/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22" fillId="2" borderId="15" xfId="7" applyFont="1" applyFill="1" applyBorder="1" applyAlignment="1">
      <alignment horizontal="center"/>
    </xf>
    <xf numFmtId="0" fontId="22" fillId="2" borderId="3" xfId="7" applyFont="1" applyFill="1" applyBorder="1" applyAlignment="1">
      <alignment horizontal="center"/>
    </xf>
    <xf numFmtId="0" fontId="22" fillId="2" borderId="16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6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</cellXfs>
  <cellStyles count="9">
    <cellStyle name="Comma 2 2 2 2 2 2 2 2 2 2 2 2 2" xfId="3" xr:uid="{3E675957-D48A-4CB6-97B9-EF32CFB57C00}"/>
    <cellStyle name="Comma 5 2 2 2 2 2 2 2 2 2 2 2" xfId="4" xr:uid="{0457800D-8D8E-45F4-80D3-47174794B8AC}"/>
    <cellStyle name="Comma 6 2 2 2 2 2 2" xfId="5" xr:uid="{5958E1A0-99B6-44D4-886D-082050509DB0}"/>
    <cellStyle name="Hyperlink 2" xfId="8" xr:uid="{521D3CED-3A41-44F8-9692-F297772AF394}"/>
    <cellStyle name="Normal" xfId="0" builtinId="0"/>
    <cellStyle name="Normal 2" xfId="2" xr:uid="{CED29691-C28D-48C5-B982-44EDBC5C3550}"/>
    <cellStyle name="Normal 20" xfId="7" xr:uid="{12648EF7-11DD-40BC-BEA6-74F2CDA89984}"/>
    <cellStyle name="Percent" xfId="1" builtinId="5"/>
    <cellStyle name="Percent 3" xfId="6" xr:uid="{EF41AFC7-D630-41F6-817D-0E107532019D}"/>
  </cellStyles>
  <dxfs count="4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261620</xdr:colOff>
      <xdr:row>1</xdr:row>
      <xdr:rowOff>15240</xdr:rowOff>
    </xdr:from>
    <xdr:to>
      <xdr:col>16</xdr:col>
      <xdr:colOff>1046480</xdr:colOff>
      <xdr:row>4</xdr:row>
      <xdr:rowOff>160020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DE3149EF-5983-4DC0-9657-E402B67836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8648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5</xdr:col>
      <xdr:colOff>1143000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B6364E51-AAFC-4648-9FBA-3F1F6243E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0055"/>
          <a:ext cx="6522721" cy="6201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22799-8C7C-4C8F-8A24-2913EE0D798A}">
  <dimension ref="A1:II107"/>
  <sheetViews>
    <sheetView tabSelected="1" zoomScale="70" zoomScaleNormal="70" workbookViewId="0">
      <selection activeCell="I103" sqref="I103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6.33203125" style="5" hidden="1" customWidth="1"/>
    <col min="4" max="4" width="23.33203125" style="5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0" width="19.5546875" style="5" customWidth="1"/>
    <col min="11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6.109375" style="5" hidden="1" customWidth="1"/>
    <col min="17" max="17" width="15.33203125" style="5" customWidth="1"/>
    <col min="18" max="18" width="8.88671875" style="5" hidden="1" customWidth="1"/>
    <col min="19" max="19" width="12.44140625" style="5" bestFit="1" customWidth="1"/>
    <col min="20" max="22" width="9.33203125" style="5" customWidth="1"/>
    <col min="23" max="23" width="9.88671875" style="5" bestFit="1" customWidth="1"/>
    <col min="24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8.88671875" style="5"/>
  </cols>
  <sheetData>
    <row r="1" spans="1:19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9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9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9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32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9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26.690799999999999</v>
      </c>
      <c r="K5" s="22"/>
      <c r="L5" s="147" t="s">
        <v>12</v>
      </c>
      <c r="M5" s="148"/>
      <c r="N5" s="23" t="s">
        <v>13</v>
      </c>
      <c r="O5" s="24"/>
      <c r="P5" s="24"/>
      <c r="Q5" s="25"/>
    </row>
    <row r="6" spans="1:19" ht="6.6" customHeight="1" x14ac:dyDescent="0.3">
      <c r="A6" s="137"/>
      <c r="B6" s="139"/>
      <c r="C6" s="139"/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39"/>
      <c r="O6" s="139"/>
      <c r="P6" s="139"/>
      <c r="Q6" s="140"/>
    </row>
    <row r="7" spans="1:19" s="32" customFormat="1" ht="27.75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9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9" ht="12.75" customHeight="1" x14ac:dyDescent="0.25">
      <c r="A9" s="35" t="s">
        <v>32</v>
      </c>
      <c r="B9" s="36" t="s">
        <v>33</v>
      </c>
      <c r="C9" s="37">
        <v>126034439</v>
      </c>
      <c r="D9" s="38">
        <f t="shared" ref="D9:D45" si="0">C9*J9</f>
        <v>81454811.124057725</v>
      </c>
      <c r="E9" s="39">
        <f t="shared" ref="E9:E45" si="1">C9*K9</f>
        <v>67940439.7734375</v>
      </c>
      <c r="F9" s="40" t="s">
        <v>34</v>
      </c>
      <c r="G9" s="41">
        <v>8.9894999999999996</v>
      </c>
      <c r="H9" s="42">
        <v>17.25</v>
      </c>
      <c r="I9" s="43">
        <v>17.25</v>
      </c>
      <c r="J9" s="44">
        <f>(I9/$J$5)</f>
        <v>0.64629010745275528</v>
      </c>
      <c r="K9" s="45">
        <f t="shared" ref="K9:K17" si="2">I9/$K$4</f>
        <v>0.5390625</v>
      </c>
      <c r="L9" s="46">
        <f t="shared" ref="L9:L17" si="3">I9-H9</f>
        <v>0</v>
      </c>
      <c r="M9" s="46">
        <f t="shared" ref="M9:M17" si="4">((I9-H9)/H9)*100</f>
        <v>0</v>
      </c>
      <c r="N9" s="47">
        <v>1600</v>
      </c>
      <c r="O9" s="37">
        <v>27600</v>
      </c>
      <c r="P9" s="48">
        <f t="shared" ref="P9:P17" si="5">(R9)/J9</f>
        <v>2.3209391304347824E-2</v>
      </c>
      <c r="Q9" s="49">
        <f t="shared" ref="Q9:Q17" si="6">I9/G9-1</f>
        <v>0.91890538962122492</v>
      </c>
      <c r="R9" s="50">
        <v>1.4999999999999999E-2</v>
      </c>
    </row>
    <row r="10" spans="1:19" x14ac:dyDescent="0.25">
      <c r="A10" s="35" t="s">
        <v>35</v>
      </c>
      <c r="B10" s="36" t="s">
        <v>36</v>
      </c>
      <c r="C10" s="37">
        <v>1627395595</v>
      </c>
      <c r="D10" s="38">
        <f t="shared" si="0"/>
        <v>2948735.3607006907</v>
      </c>
      <c r="E10" s="39">
        <f t="shared" si="1"/>
        <v>2459503.3051684373</v>
      </c>
      <c r="F10" s="40" t="s">
        <v>34</v>
      </c>
      <c r="G10" s="41">
        <v>3.1600000000000003E-2</v>
      </c>
      <c r="H10" s="42">
        <v>0.05</v>
      </c>
      <c r="I10" s="43">
        <v>4.8361999999999995E-2</v>
      </c>
      <c r="J10" s="44">
        <f t="shared" ref="J10:J17" si="7">I10/$J$5</f>
        <v>1.8119351986452259E-3</v>
      </c>
      <c r="K10" s="45">
        <f t="shared" si="2"/>
        <v>1.5113124999999999E-3</v>
      </c>
      <c r="L10" s="46">
        <f t="shared" si="3"/>
        <v>-1.6380000000000075E-3</v>
      </c>
      <c r="M10" s="46">
        <f t="shared" si="4"/>
        <v>-3.2760000000000149</v>
      </c>
      <c r="N10" s="51">
        <v>20000</v>
      </c>
      <c r="O10" s="37">
        <v>967.23</v>
      </c>
      <c r="P10" s="52">
        <f t="shared" si="5"/>
        <v>0</v>
      </c>
      <c r="Q10" s="49">
        <f t="shared" si="6"/>
        <v>0.53044303797468317</v>
      </c>
      <c r="R10" s="50"/>
    </row>
    <row r="11" spans="1:19" x14ac:dyDescent="0.25">
      <c r="A11" s="35" t="s">
        <v>37</v>
      </c>
      <c r="B11" s="36" t="s">
        <v>38</v>
      </c>
      <c r="C11" s="37">
        <v>436977359</v>
      </c>
      <c r="D11" s="38">
        <f t="shared" si="0"/>
        <v>3560873.9933797414</v>
      </c>
      <c r="E11" s="39">
        <f t="shared" si="1"/>
        <v>2970080.4869531249</v>
      </c>
      <c r="F11" s="40" t="s">
        <v>39</v>
      </c>
      <c r="G11" s="41">
        <v>7.8E-2</v>
      </c>
      <c r="H11" s="42">
        <v>0.2175</v>
      </c>
      <c r="I11" s="43">
        <v>0.2175</v>
      </c>
      <c r="J11" s="44">
        <f t="shared" si="7"/>
        <v>8.1488752678825667E-3</v>
      </c>
      <c r="K11" s="45">
        <f t="shared" si="2"/>
        <v>6.796875E-3</v>
      </c>
      <c r="L11" s="46">
        <f t="shared" si="3"/>
        <v>0</v>
      </c>
      <c r="M11" s="46">
        <f t="shared" si="4"/>
        <v>0</v>
      </c>
      <c r="N11" s="51">
        <v>0</v>
      </c>
      <c r="O11" s="37">
        <v>0</v>
      </c>
      <c r="P11" s="52">
        <f t="shared" si="5"/>
        <v>0</v>
      </c>
      <c r="Q11" s="49">
        <f t="shared" si="6"/>
        <v>1.7884615384615383</v>
      </c>
      <c r="R11" s="50"/>
    </row>
    <row r="12" spans="1:19" x14ac:dyDescent="0.25">
      <c r="A12" s="35" t="s">
        <v>40</v>
      </c>
      <c r="B12" s="36" t="s">
        <v>41</v>
      </c>
      <c r="C12" s="37">
        <v>20633517</v>
      </c>
      <c r="D12" s="38">
        <f t="shared" si="0"/>
        <v>131419736.0139074</v>
      </c>
      <c r="E12" s="39">
        <f t="shared" si="1"/>
        <v>109615559.0625</v>
      </c>
      <c r="F12" s="40" t="s">
        <v>34</v>
      </c>
      <c r="G12" s="41">
        <v>97.381</v>
      </c>
      <c r="H12" s="42">
        <v>170</v>
      </c>
      <c r="I12" s="43">
        <v>170</v>
      </c>
      <c r="J12" s="44">
        <f t="shared" si="7"/>
        <v>6.369235841563385</v>
      </c>
      <c r="K12" s="45">
        <f t="shared" si="2"/>
        <v>5.3125</v>
      </c>
      <c r="L12" s="46">
        <f t="shared" si="3"/>
        <v>0</v>
      </c>
      <c r="M12" s="46">
        <f t="shared" si="4"/>
        <v>0</v>
      </c>
      <c r="N12" s="51">
        <v>0</v>
      </c>
      <c r="O12" s="37">
        <v>0</v>
      </c>
      <c r="P12" s="52">
        <f t="shared" si="5"/>
        <v>0</v>
      </c>
      <c r="Q12" s="49">
        <f t="shared" si="6"/>
        <v>0.74572041774062692</v>
      </c>
      <c r="R12" s="50"/>
    </row>
    <row r="13" spans="1:19" x14ac:dyDescent="0.25">
      <c r="A13" s="35" t="s">
        <v>42</v>
      </c>
      <c r="B13" s="36" t="s">
        <v>43</v>
      </c>
      <c r="C13" s="37">
        <v>8735108</v>
      </c>
      <c r="D13" s="38">
        <f t="shared" si="0"/>
        <v>8181759.2578716269</v>
      </c>
      <c r="E13" s="39">
        <f t="shared" si="1"/>
        <v>6824303.125</v>
      </c>
      <c r="F13" s="40" t="s">
        <v>44</v>
      </c>
      <c r="G13" s="41">
        <v>13.6</v>
      </c>
      <c r="H13" s="42">
        <v>25</v>
      </c>
      <c r="I13" s="43">
        <v>25</v>
      </c>
      <c r="J13" s="44">
        <f t="shared" si="7"/>
        <v>0.93665232964167433</v>
      </c>
      <c r="K13" s="45">
        <f t="shared" si="2"/>
        <v>0.78125</v>
      </c>
      <c r="L13" s="46">
        <f t="shared" si="3"/>
        <v>0</v>
      </c>
      <c r="M13" s="46">
        <f t="shared" si="4"/>
        <v>0</v>
      </c>
      <c r="N13" s="51">
        <v>0</v>
      </c>
      <c r="O13" s="37">
        <v>0</v>
      </c>
      <c r="P13" s="52">
        <f t="shared" si="5"/>
        <v>0</v>
      </c>
      <c r="Q13" s="49">
        <f t="shared" si="6"/>
        <v>0.83823529411764719</v>
      </c>
      <c r="R13" s="50"/>
    </row>
    <row r="14" spans="1:19" x14ac:dyDescent="0.25">
      <c r="A14" s="35" t="s">
        <v>45</v>
      </c>
      <c r="B14" s="36" t="s">
        <v>46</v>
      </c>
      <c r="C14" s="37">
        <v>522661465</v>
      </c>
      <c r="D14" s="38">
        <f t="shared" si="0"/>
        <v>763701242.93764138</v>
      </c>
      <c r="E14" s="39">
        <f t="shared" si="1"/>
        <v>636993660.46875</v>
      </c>
      <c r="F14" s="40" t="s">
        <v>47</v>
      </c>
      <c r="G14" s="41">
        <v>11.5</v>
      </c>
      <c r="H14" s="42">
        <v>39</v>
      </c>
      <c r="I14" s="43">
        <v>39</v>
      </c>
      <c r="J14" s="44">
        <f t="shared" si="7"/>
        <v>1.4611776342410119</v>
      </c>
      <c r="K14" s="45">
        <f t="shared" si="2"/>
        <v>1.21875</v>
      </c>
      <c r="L14" s="46">
        <f t="shared" si="3"/>
        <v>0</v>
      </c>
      <c r="M14" s="46">
        <f t="shared" si="4"/>
        <v>0</v>
      </c>
      <c r="N14" s="51">
        <v>12446997</v>
      </c>
      <c r="O14" s="37">
        <v>516548875.5</v>
      </c>
      <c r="P14" s="52">
        <f t="shared" si="5"/>
        <v>0</v>
      </c>
      <c r="Q14" s="49">
        <f t="shared" si="6"/>
        <v>2.3913043478260869</v>
      </c>
      <c r="R14" s="50"/>
    </row>
    <row r="15" spans="1:19" x14ac:dyDescent="0.25">
      <c r="A15" s="35" t="s">
        <v>48</v>
      </c>
      <c r="B15" s="36" t="s">
        <v>49</v>
      </c>
      <c r="C15" s="37">
        <v>106040875</v>
      </c>
      <c r="D15" s="38">
        <f t="shared" si="0"/>
        <v>27415253.867905796</v>
      </c>
      <c r="E15" s="39">
        <f t="shared" si="1"/>
        <v>22866720.560546871</v>
      </c>
      <c r="F15" s="40" t="s">
        <v>34</v>
      </c>
      <c r="G15" s="41">
        <v>5.39</v>
      </c>
      <c r="H15" s="42">
        <v>6.9004999999999992</v>
      </c>
      <c r="I15" s="43">
        <v>6.9004999999999992</v>
      </c>
      <c r="J15" s="44">
        <f t="shared" si="7"/>
        <v>0.25853477602769492</v>
      </c>
      <c r="K15" s="45">
        <f t="shared" si="2"/>
        <v>0.21564062499999997</v>
      </c>
      <c r="L15" s="46">
        <f t="shared" si="3"/>
        <v>0</v>
      </c>
      <c r="M15" s="46">
        <f t="shared" si="4"/>
        <v>0</v>
      </c>
      <c r="N15" s="51">
        <v>0</v>
      </c>
      <c r="O15" s="37">
        <v>0</v>
      </c>
      <c r="P15" s="52">
        <f t="shared" si="5"/>
        <v>0</v>
      </c>
      <c r="Q15" s="49">
        <f t="shared" si="6"/>
        <v>0.28024118738404447</v>
      </c>
      <c r="R15" s="50"/>
    </row>
    <row r="16" spans="1:19" x14ac:dyDescent="0.25">
      <c r="A16" s="35" t="s">
        <v>50</v>
      </c>
      <c r="B16" s="36" t="s">
        <v>51</v>
      </c>
      <c r="C16" s="37">
        <v>358000858</v>
      </c>
      <c r="D16" s="38">
        <f t="shared" si="0"/>
        <v>80404864.348858416</v>
      </c>
      <c r="E16" s="39">
        <f t="shared" si="1"/>
        <v>67064692.292578444</v>
      </c>
      <c r="F16" s="40" t="s">
        <v>34</v>
      </c>
      <c r="G16" s="41">
        <v>1.9</v>
      </c>
      <c r="H16" s="42">
        <v>5.9945950000000003</v>
      </c>
      <c r="I16" s="43">
        <v>5.9945950000000003</v>
      </c>
      <c r="J16" s="44">
        <f t="shared" si="7"/>
        <v>0.22459405488033332</v>
      </c>
      <c r="K16" s="45">
        <f t="shared" si="2"/>
        <v>0.18733109375000001</v>
      </c>
      <c r="L16" s="46">
        <f t="shared" si="3"/>
        <v>0</v>
      </c>
      <c r="M16" s="46">
        <f t="shared" si="4"/>
        <v>0</v>
      </c>
      <c r="N16" s="51">
        <v>0</v>
      </c>
      <c r="O16" s="37">
        <v>0</v>
      </c>
      <c r="P16" s="52">
        <f t="shared" si="5"/>
        <v>0.22262388034554459</v>
      </c>
      <c r="Q16" s="49">
        <f t="shared" si="6"/>
        <v>2.1550500000000001</v>
      </c>
      <c r="R16" s="50">
        <v>0.05</v>
      </c>
      <c r="S16" s="53"/>
    </row>
    <row r="17" spans="1:19" x14ac:dyDescent="0.25">
      <c r="A17" s="35" t="s">
        <v>52</v>
      </c>
      <c r="B17" s="36" t="s">
        <v>53</v>
      </c>
      <c r="C17" s="37">
        <v>1347762995</v>
      </c>
      <c r="D17" s="38">
        <f t="shared" si="0"/>
        <v>1350333211.5707097</v>
      </c>
      <c r="E17" s="39">
        <f t="shared" si="1"/>
        <v>1126296052.6059844</v>
      </c>
      <c r="F17" s="40" t="s">
        <v>34</v>
      </c>
      <c r="G17" s="41">
        <v>20.701700000000002</v>
      </c>
      <c r="H17" s="42">
        <v>26.7227</v>
      </c>
      <c r="I17" s="43">
        <v>26.741700000000002</v>
      </c>
      <c r="J17" s="44">
        <f t="shared" si="7"/>
        <v>1.0019070241431505</v>
      </c>
      <c r="K17" s="45">
        <f t="shared" si="2"/>
        <v>0.83567812500000005</v>
      </c>
      <c r="L17" s="46">
        <f t="shared" si="3"/>
        <v>1.9000000000001904E-2</v>
      </c>
      <c r="M17" s="46">
        <f t="shared" si="4"/>
        <v>7.1100599864541772E-2</v>
      </c>
      <c r="N17" s="51">
        <v>78800</v>
      </c>
      <c r="O17" s="37">
        <v>2107247.15</v>
      </c>
      <c r="P17" s="48">
        <f t="shared" si="5"/>
        <v>0</v>
      </c>
      <c r="Q17" s="49">
        <f t="shared" si="6"/>
        <v>0.29176347836168026</v>
      </c>
      <c r="R17" s="50"/>
    </row>
    <row r="18" spans="1:19" ht="11.25" hidden="1" customHeight="1" x14ac:dyDescent="0.25">
      <c r="A18" s="35" t="s">
        <v>54</v>
      </c>
      <c r="B18" s="36" t="s">
        <v>55</v>
      </c>
      <c r="C18" s="37"/>
      <c r="D18" s="38">
        <f t="shared" si="0"/>
        <v>0</v>
      </c>
      <c r="E18" s="39">
        <f t="shared" si="1"/>
        <v>0</v>
      </c>
      <c r="F18" s="40" t="s">
        <v>56</v>
      </c>
      <c r="G18" s="41">
        <v>6.1399460000000001</v>
      </c>
      <c r="H18" s="42"/>
      <c r="I18" s="43"/>
      <c r="J18" s="44"/>
      <c r="K18" s="45"/>
      <c r="L18" s="46"/>
      <c r="M18" s="46"/>
      <c r="N18" s="51" t="s">
        <v>57</v>
      </c>
      <c r="O18" s="37" t="s">
        <v>57</v>
      </c>
      <c r="P18" s="52"/>
      <c r="Q18" s="49"/>
      <c r="R18" s="50"/>
    </row>
    <row r="19" spans="1:19" x14ac:dyDescent="0.25">
      <c r="A19" s="35" t="s">
        <v>58</v>
      </c>
      <c r="B19" s="36" t="s">
        <v>59</v>
      </c>
      <c r="C19" s="37">
        <v>671949927</v>
      </c>
      <c r="D19" s="38">
        <f t="shared" si="0"/>
        <v>339867070.84463555</v>
      </c>
      <c r="E19" s="39">
        <f t="shared" si="1"/>
        <v>283478875.453125</v>
      </c>
      <c r="F19" s="40" t="s">
        <v>47</v>
      </c>
      <c r="G19" s="41">
        <v>12.45</v>
      </c>
      <c r="H19" s="42">
        <v>13.455</v>
      </c>
      <c r="I19" s="43">
        <v>13.5</v>
      </c>
      <c r="J19" s="44">
        <f t="shared" ref="J19:J45" si="8">I19/$J$5</f>
        <v>0.50579225800650407</v>
      </c>
      <c r="K19" s="45">
        <f t="shared" ref="K19:K45" si="9">I19/$K$4</f>
        <v>0.421875</v>
      </c>
      <c r="L19" s="46">
        <f t="shared" ref="L19:L29" si="10">I19-H19</f>
        <v>4.4999999999999929E-2</v>
      </c>
      <c r="M19" s="46">
        <f>((I19-H19)/H19)*100</f>
        <v>0.33444816053511656</v>
      </c>
      <c r="N19" s="51">
        <v>29700</v>
      </c>
      <c r="O19" s="37">
        <v>400950</v>
      </c>
      <c r="P19" s="52">
        <f>(R19)/J19</f>
        <v>0</v>
      </c>
      <c r="Q19" s="49">
        <f t="shared" ref="Q19:Q29" si="11">I19/G19-1</f>
        <v>8.4337349397590522E-2</v>
      </c>
      <c r="R19" s="50"/>
    </row>
    <row r="20" spans="1:19" x14ac:dyDescent="0.25">
      <c r="A20" s="35" t="s">
        <v>60</v>
      </c>
      <c r="B20" s="36" t="s">
        <v>61</v>
      </c>
      <c r="C20" s="37">
        <v>108923291</v>
      </c>
      <c r="D20" s="38">
        <f t="shared" si="0"/>
        <v>3795265.0587468343</v>
      </c>
      <c r="E20" s="39">
        <f t="shared" si="1"/>
        <v>3165583.1446875003</v>
      </c>
      <c r="F20" s="40" t="s">
        <v>47</v>
      </c>
      <c r="G20" s="41">
        <v>0.35</v>
      </c>
      <c r="H20" s="42">
        <v>0.93</v>
      </c>
      <c r="I20" s="43">
        <v>0.93</v>
      </c>
      <c r="J20" s="44">
        <f t="shared" si="8"/>
        <v>3.4843466662670283E-2</v>
      </c>
      <c r="K20" s="45">
        <f t="shared" si="9"/>
        <v>2.9062500000000002E-2</v>
      </c>
      <c r="L20" s="46">
        <f t="shared" si="10"/>
        <v>0</v>
      </c>
      <c r="M20" s="46">
        <f>((I20-H20)/H20)*100</f>
        <v>0</v>
      </c>
      <c r="N20" s="51">
        <v>0</v>
      </c>
      <c r="O20" s="37">
        <v>0</v>
      </c>
      <c r="P20" s="52">
        <f>(R20)/J20</f>
        <v>0</v>
      </c>
      <c r="Q20" s="49">
        <f t="shared" si="11"/>
        <v>1.6571428571428575</v>
      </c>
      <c r="R20" s="50"/>
    </row>
    <row r="21" spans="1:19" x14ac:dyDescent="0.25">
      <c r="A21" s="35" t="s">
        <v>62</v>
      </c>
      <c r="B21" s="36" t="s">
        <v>63</v>
      </c>
      <c r="C21" s="37">
        <v>690143060</v>
      </c>
      <c r="D21" s="38">
        <f t="shared" si="0"/>
        <v>77183038.129243031</v>
      </c>
      <c r="E21" s="39">
        <f t="shared" si="1"/>
        <v>64377407.315624997</v>
      </c>
      <c r="F21" s="40" t="s">
        <v>47</v>
      </c>
      <c r="G21" s="41">
        <v>2.85</v>
      </c>
      <c r="H21" s="42">
        <v>2.9849999999999999</v>
      </c>
      <c r="I21" s="43">
        <v>2.9849999999999999</v>
      </c>
      <c r="J21" s="44">
        <f t="shared" si="8"/>
        <v>0.11183628815921591</v>
      </c>
      <c r="K21" s="45">
        <f t="shared" si="9"/>
        <v>9.3281249999999996E-2</v>
      </c>
      <c r="L21" s="46">
        <f t="shared" si="10"/>
        <v>0</v>
      </c>
      <c r="M21" s="46">
        <f>((I21-H21)/H21)*100</f>
        <v>0</v>
      </c>
      <c r="N21" s="51">
        <v>2100</v>
      </c>
      <c r="O21" s="37">
        <v>6268.5</v>
      </c>
      <c r="P21" s="52">
        <f>(R21)/J21</f>
        <v>0</v>
      </c>
      <c r="Q21" s="49">
        <f t="shared" si="11"/>
        <v>4.7368421052631504E-2</v>
      </c>
      <c r="R21" s="50"/>
    </row>
    <row r="22" spans="1:19" ht="12" hidden="1" customHeight="1" x14ac:dyDescent="0.25">
      <c r="A22" s="35" t="s">
        <v>64</v>
      </c>
      <c r="B22" s="36" t="s">
        <v>65</v>
      </c>
      <c r="C22" s="37"/>
      <c r="D22" s="38">
        <f t="shared" si="0"/>
        <v>0</v>
      </c>
      <c r="E22" s="39">
        <f t="shared" si="1"/>
        <v>0</v>
      </c>
      <c r="F22" s="40" t="s">
        <v>66</v>
      </c>
      <c r="G22" s="41">
        <v>0.88420599999999994</v>
      </c>
      <c r="H22" s="42">
        <v>0</v>
      </c>
      <c r="I22" s="43"/>
      <c r="J22" s="44">
        <f t="shared" si="8"/>
        <v>0</v>
      </c>
      <c r="K22" s="45">
        <f t="shared" si="9"/>
        <v>0</v>
      </c>
      <c r="L22" s="46">
        <f t="shared" si="10"/>
        <v>0</v>
      </c>
      <c r="M22" s="46">
        <v>0</v>
      </c>
      <c r="N22" s="54" t="s">
        <v>57</v>
      </c>
      <c r="O22" s="54" t="s">
        <v>57</v>
      </c>
      <c r="P22" s="54" t="s">
        <v>67</v>
      </c>
      <c r="Q22" s="49">
        <f t="shared" si="11"/>
        <v>-1</v>
      </c>
      <c r="R22" s="50"/>
    </row>
    <row r="23" spans="1:19" x14ac:dyDescent="0.25">
      <c r="A23" s="35" t="s">
        <v>68</v>
      </c>
      <c r="B23" s="36" t="s">
        <v>69</v>
      </c>
      <c r="C23" s="37">
        <v>536588623</v>
      </c>
      <c r="D23" s="38">
        <f t="shared" si="0"/>
        <v>1970180.176465299</v>
      </c>
      <c r="E23" s="39">
        <f t="shared" si="1"/>
        <v>1643302.6579375002</v>
      </c>
      <c r="F23" s="40" t="s">
        <v>44</v>
      </c>
      <c r="G23" s="41">
        <v>0.1</v>
      </c>
      <c r="H23" s="42">
        <v>8.5999999999999993E-2</v>
      </c>
      <c r="I23" s="43">
        <v>9.8000000000000004E-2</v>
      </c>
      <c r="J23" s="44">
        <f t="shared" si="8"/>
        <v>3.6716771321953635E-3</v>
      </c>
      <c r="K23" s="45">
        <f t="shared" si="9"/>
        <v>3.0625000000000001E-3</v>
      </c>
      <c r="L23" s="46">
        <f t="shared" si="10"/>
        <v>1.2000000000000011E-2</v>
      </c>
      <c r="M23" s="46">
        <f t="shared" ref="M23:M29" si="12">((I23-H23)/H23)*100</f>
        <v>13.953488372093037</v>
      </c>
      <c r="N23" s="51">
        <v>6000</v>
      </c>
      <c r="O23" s="37">
        <v>588</v>
      </c>
      <c r="P23" s="52">
        <f t="shared" ref="P23:P29" si="13">(R23)/J23</f>
        <v>0</v>
      </c>
      <c r="Q23" s="49">
        <f t="shared" si="11"/>
        <v>-2.0000000000000018E-2</v>
      </c>
      <c r="R23" s="50"/>
    </row>
    <row r="24" spans="1:19" x14ac:dyDescent="0.25">
      <c r="A24" s="35" t="s">
        <v>70</v>
      </c>
      <c r="B24" s="36" t="s">
        <v>71</v>
      </c>
      <c r="C24" s="37">
        <v>193020564</v>
      </c>
      <c r="D24" s="38">
        <f t="shared" si="0"/>
        <v>77376580.191466734</v>
      </c>
      <c r="E24" s="39">
        <f t="shared" si="1"/>
        <v>64538838.330449998</v>
      </c>
      <c r="F24" s="40" t="s">
        <v>34</v>
      </c>
      <c r="G24" s="41">
        <v>8.1687659999999997</v>
      </c>
      <c r="H24" s="42">
        <v>10.7</v>
      </c>
      <c r="I24" s="43">
        <v>10.6996</v>
      </c>
      <c r="J24" s="44">
        <f t="shared" si="8"/>
        <v>0.40087221064936235</v>
      </c>
      <c r="K24" s="45">
        <f t="shared" si="9"/>
        <v>0.33436250000000001</v>
      </c>
      <c r="L24" s="46">
        <f t="shared" si="10"/>
        <v>-3.9999999999906777E-4</v>
      </c>
      <c r="M24" s="46">
        <f t="shared" si="12"/>
        <v>-3.7383177570006337E-3</v>
      </c>
      <c r="N24" s="51">
        <v>1100</v>
      </c>
      <c r="O24" s="37">
        <v>11769.6</v>
      </c>
      <c r="P24" s="48">
        <f t="shared" si="13"/>
        <v>3.7418408164791202E-2</v>
      </c>
      <c r="Q24" s="49">
        <f t="shared" si="11"/>
        <v>0.30981839851943382</v>
      </c>
      <c r="R24" s="50">
        <f>(1.5/100)</f>
        <v>1.4999999999999999E-2</v>
      </c>
      <c r="S24" s="5" t="s">
        <v>72</v>
      </c>
    </row>
    <row r="25" spans="1:19" x14ac:dyDescent="0.25">
      <c r="A25" s="35" t="s">
        <v>73</v>
      </c>
      <c r="B25" s="36" t="s">
        <v>74</v>
      </c>
      <c r="C25" s="37">
        <v>1687584009</v>
      </c>
      <c r="D25" s="38">
        <f t="shared" si="0"/>
        <v>105589390.1655252</v>
      </c>
      <c r="E25" s="39">
        <f t="shared" si="1"/>
        <v>88070790.469687492</v>
      </c>
      <c r="F25" s="40" t="s">
        <v>66</v>
      </c>
      <c r="G25" s="41">
        <v>1.6675</v>
      </c>
      <c r="H25" s="42">
        <v>1.67</v>
      </c>
      <c r="I25" s="43">
        <v>1.67</v>
      </c>
      <c r="J25" s="44">
        <f t="shared" si="8"/>
        <v>6.2568375620063843E-2</v>
      </c>
      <c r="K25" s="45">
        <f t="shared" si="9"/>
        <v>5.2187499999999998E-2</v>
      </c>
      <c r="L25" s="46">
        <f t="shared" si="10"/>
        <v>0</v>
      </c>
      <c r="M25" s="46">
        <f t="shared" si="12"/>
        <v>0</v>
      </c>
      <c r="N25" s="51">
        <v>0</v>
      </c>
      <c r="O25" s="37">
        <v>0</v>
      </c>
      <c r="P25" s="52">
        <f t="shared" si="13"/>
        <v>0</v>
      </c>
      <c r="Q25" s="49">
        <f t="shared" si="11"/>
        <v>1.4992503748125774E-3</v>
      </c>
      <c r="R25" s="50"/>
    </row>
    <row r="26" spans="1:19" x14ac:dyDescent="0.25">
      <c r="A26" s="35" t="s">
        <v>75</v>
      </c>
      <c r="B26" s="36" t="s">
        <v>76</v>
      </c>
      <c r="C26" s="37">
        <v>239388107</v>
      </c>
      <c r="D26" s="38">
        <f t="shared" si="0"/>
        <v>20628555.386125557</v>
      </c>
      <c r="E26" s="39">
        <f t="shared" si="1"/>
        <v>17206020.190624997</v>
      </c>
      <c r="F26" s="40" t="s">
        <v>44</v>
      </c>
      <c r="G26" s="41">
        <v>1.7994999999999999</v>
      </c>
      <c r="H26" s="42">
        <v>2.2999999999999998</v>
      </c>
      <c r="I26" s="43">
        <v>2.2999999999999998</v>
      </c>
      <c r="J26" s="44">
        <f t="shared" si="8"/>
        <v>8.617201432703403E-2</v>
      </c>
      <c r="K26" s="45">
        <f t="shared" si="9"/>
        <v>7.1874999999999994E-2</v>
      </c>
      <c r="L26" s="46">
        <f t="shared" si="10"/>
        <v>0</v>
      </c>
      <c r="M26" s="46">
        <f t="shared" si="12"/>
        <v>0</v>
      </c>
      <c r="N26" s="51">
        <v>0</v>
      </c>
      <c r="O26" s="37">
        <v>0</v>
      </c>
      <c r="P26" s="52">
        <f t="shared" si="13"/>
        <v>0</v>
      </c>
      <c r="Q26" s="49">
        <f t="shared" si="11"/>
        <v>0.2781328146707418</v>
      </c>
      <c r="R26" s="50"/>
    </row>
    <row r="27" spans="1:19" x14ac:dyDescent="0.25">
      <c r="A27" s="35" t="s">
        <v>77</v>
      </c>
      <c r="B27" s="36" t="s">
        <v>78</v>
      </c>
      <c r="C27" s="37">
        <v>256150741</v>
      </c>
      <c r="D27" s="38">
        <f t="shared" si="0"/>
        <v>23128691.751839586</v>
      </c>
      <c r="E27" s="39">
        <f t="shared" si="1"/>
        <v>19291352.681562502</v>
      </c>
      <c r="F27" s="40" t="s">
        <v>34</v>
      </c>
      <c r="G27" s="41">
        <v>3.1361369999999997</v>
      </c>
      <c r="H27" s="42">
        <v>2.4</v>
      </c>
      <c r="I27" s="43">
        <v>2.41</v>
      </c>
      <c r="J27" s="44">
        <f t="shared" si="8"/>
        <v>9.0293284577457403E-2</v>
      </c>
      <c r="K27" s="45">
        <f t="shared" si="9"/>
        <v>7.5312500000000004E-2</v>
      </c>
      <c r="L27" s="46">
        <f t="shared" si="10"/>
        <v>1.0000000000000231E-2</v>
      </c>
      <c r="M27" s="46">
        <f t="shared" si="12"/>
        <v>0.41666666666667629</v>
      </c>
      <c r="N27" s="51">
        <v>500</v>
      </c>
      <c r="O27" s="37">
        <v>1205</v>
      </c>
      <c r="P27" s="52">
        <f t="shared" si="13"/>
        <v>0</v>
      </c>
      <c r="Q27" s="49">
        <f t="shared" si="11"/>
        <v>-0.23153867321484989</v>
      </c>
      <c r="R27" s="50"/>
    </row>
    <row r="28" spans="1:19" x14ac:dyDescent="0.25">
      <c r="A28" s="35" t="s">
        <v>79</v>
      </c>
      <c r="B28" s="36" t="s">
        <v>80</v>
      </c>
      <c r="C28" s="37">
        <v>755648101</v>
      </c>
      <c r="D28" s="38">
        <f t="shared" si="0"/>
        <v>25480063.950874459</v>
      </c>
      <c r="E28" s="39">
        <f t="shared" si="1"/>
        <v>21252602.840624999</v>
      </c>
      <c r="F28" s="40" t="s">
        <v>44</v>
      </c>
      <c r="G28" s="41">
        <v>0.8</v>
      </c>
      <c r="H28" s="42">
        <v>0.88</v>
      </c>
      <c r="I28" s="43">
        <v>0.9</v>
      </c>
      <c r="J28" s="44">
        <f t="shared" si="8"/>
        <v>3.3719483867100275E-2</v>
      </c>
      <c r="K28" s="45">
        <f t="shared" si="9"/>
        <v>2.8125000000000001E-2</v>
      </c>
      <c r="L28" s="46">
        <f t="shared" si="10"/>
        <v>2.0000000000000018E-2</v>
      </c>
      <c r="M28" s="46">
        <f t="shared" si="12"/>
        <v>2.2727272727272747</v>
      </c>
      <c r="N28" s="51">
        <v>61300</v>
      </c>
      <c r="O28" s="37">
        <v>55170</v>
      </c>
      <c r="P28" s="52">
        <f t="shared" si="13"/>
        <v>0</v>
      </c>
      <c r="Q28" s="49">
        <f t="shared" si="11"/>
        <v>0.125</v>
      </c>
      <c r="R28" s="50"/>
    </row>
    <row r="29" spans="1:19" x14ac:dyDescent="0.25">
      <c r="A29" s="35" t="s">
        <v>81</v>
      </c>
      <c r="B29" s="36" t="s">
        <v>82</v>
      </c>
      <c r="C29" s="37">
        <v>449129618</v>
      </c>
      <c r="D29" s="38">
        <f t="shared" si="0"/>
        <v>114592769.74013518</v>
      </c>
      <c r="E29" s="39">
        <f t="shared" si="1"/>
        <v>95580396.830624998</v>
      </c>
      <c r="F29" s="40" t="s">
        <v>47</v>
      </c>
      <c r="G29" s="41">
        <v>5.15</v>
      </c>
      <c r="H29" s="42">
        <v>6.81</v>
      </c>
      <c r="I29" s="43">
        <v>6.81</v>
      </c>
      <c r="J29" s="44">
        <f t="shared" si="8"/>
        <v>0.25514409459439208</v>
      </c>
      <c r="K29" s="45">
        <f t="shared" si="9"/>
        <v>0.21281249999999999</v>
      </c>
      <c r="L29" s="46">
        <f t="shared" si="10"/>
        <v>0</v>
      </c>
      <c r="M29" s="46">
        <f t="shared" si="12"/>
        <v>0</v>
      </c>
      <c r="N29" s="51">
        <v>0</v>
      </c>
      <c r="O29" s="37">
        <v>0</v>
      </c>
      <c r="P29" s="52">
        <f t="shared" si="13"/>
        <v>0</v>
      </c>
      <c r="Q29" s="49">
        <f t="shared" si="11"/>
        <v>0.32233009708737836</v>
      </c>
      <c r="R29" s="50"/>
    </row>
    <row r="30" spans="1:19" ht="12" hidden="1" customHeight="1" x14ac:dyDescent="0.25">
      <c r="A30" s="35" t="s">
        <v>83</v>
      </c>
      <c r="B30" s="36" t="s">
        <v>84</v>
      </c>
      <c r="C30" s="37"/>
      <c r="D30" s="38">
        <f t="shared" si="0"/>
        <v>0</v>
      </c>
      <c r="E30" s="39">
        <f t="shared" si="1"/>
        <v>0</v>
      </c>
      <c r="F30" s="40" t="s">
        <v>34</v>
      </c>
      <c r="G30" s="41">
        <v>0.13000100000000001</v>
      </c>
      <c r="H30" s="52">
        <v>0</v>
      </c>
      <c r="I30" s="55"/>
      <c r="J30" s="56">
        <f t="shared" si="8"/>
        <v>0</v>
      </c>
      <c r="K30" s="57">
        <f t="shared" si="9"/>
        <v>0</v>
      </c>
      <c r="L30" s="46">
        <v>0</v>
      </c>
      <c r="M30" s="46">
        <v>0</v>
      </c>
      <c r="N30" s="54" t="s">
        <v>57</v>
      </c>
      <c r="O30" s="54" t="s">
        <v>57</v>
      </c>
      <c r="P30" s="54" t="s">
        <v>85</v>
      </c>
      <c r="Q30" s="49">
        <v>0</v>
      </c>
      <c r="R30" s="50"/>
    </row>
    <row r="31" spans="1:19" ht="12" customHeight="1" x14ac:dyDescent="0.25">
      <c r="A31" s="35" t="s">
        <v>86</v>
      </c>
      <c r="B31" s="36" t="s">
        <v>87</v>
      </c>
      <c r="C31" s="37">
        <v>259866270</v>
      </c>
      <c r="D31" s="38">
        <f t="shared" si="0"/>
        <v>15061491.0295585</v>
      </c>
      <c r="E31" s="39">
        <f t="shared" si="1"/>
        <v>12562601.399116874</v>
      </c>
      <c r="F31" s="40" t="s">
        <v>39</v>
      </c>
      <c r="G31" s="41">
        <v>1.4</v>
      </c>
      <c r="H31" s="42">
        <v>1.5449999999999999</v>
      </c>
      <c r="I31" s="43">
        <v>1.5469619999999999</v>
      </c>
      <c r="J31" s="44">
        <f t="shared" si="8"/>
        <v>5.7958622446685752E-2</v>
      </c>
      <c r="K31" s="45">
        <f t="shared" si="9"/>
        <v>4.8342562499999998E-2</v>
      </c>
      <c r="L31" s="46">
        <f t="shared" ref="L31:L45" si="14">I31-H31</f>
        <v>1.9620000000000193E-3</v>
      </c>
      <c r="M31" s="46">
        <f t="shared" ref="M31:M45" si="15">((I31-H31)/H31)*100</f>
        <v>0.12699029126213718</v>
      </c>
      <c r="N31" s="51">
        <v>7900</v>
      </c>
      <c r="O31" s="37">
        <v>12221</v>
      </c>
      <c r="P31" s="52">
        <f t="shared" ref="P31:P36" si="16">(R31)/J31</f>
        <v>0</v>
      </c>
      <c r="Q31" s="49">
        <f t="shared" ref="Q31:Q45" si="17">I31/G31-1</f>
        <v>0.1049728571428572</v>
      </c>
      <c r="R31" s="50"/>
    </row>
    <row r="32" spans="1:19" x14ac:dyDescent="0.25">
      <c r="A32" s="35" t="s">
        <v>88</v>
      </c>
      <c r="B32" s="36" t="s">
        <v>89</v>
      </c>
      <c r="C32" s="37">
        <v>122029470</v>
      </c>
      <c r="D32" s="38">
        <f t="shared" si="0"/>
        <v>4480528.1445292011</v>
      </c>
      <c r="E32" s="39">
        <f t="shared" si="1"/>
        <v>3737152.5187499998</v>
      </c>
      <c r="F32" s="40" t="s">
        <v>39</v>
      </c>
      <c r="G32" s="41">
        <v>0.65</v>
      </c>
      <c r="H32" s="42">
        <v>0.98</v>
      </c>
      <c r="I32" s="43">
        <v>0.98</v>
      </c>
      <c r="J32" s="44">
        <f t="shared" si="8"/>
        <v>3.6716771321953633E-2</v>
      </c>
      <c r="K32" s="45">
        <f t="shared" si="9"/>
        <v>3.0624999999999999E-2</v>
      </c>
      <c r="L32" s="46">
        <f t="shared" si="14"/>
        <v>0</v>
      </c>
      <c r="M32" s="46">
        <f t="shared" si="15"/>
        <v>0</v>
      </c>
      <c r="N32" s="51">
        <v>0</v>
      </c>
      <c r="O32" s="37">
        <v>0</v>
      </c>
      <c r="P32" s="52">
        <f t="shared" si="16"/>
        <v>0</v>
      </c>
      <c r="Q32" s="49">
        <f t="shared" si="17"/>
        <v>0.50769230769230766</v>
      </c>
      <c r="R32" s="50"/>
    </row>
    <row r="33" spans="1:18" x14ac:dyDescent="0.25">
      <c r="A33" s="35" t="s">
        <v>90</v>
      </c>
      <c r="B33" s="36" t="s">
        <v>91</v>
      </c>
      <c r="C33" s="37">
        <v>2495495543</v>
      </c>
      <c r="D33" s="38">
        <f t="shared" si="0"/>
        <v>132791725.34301327</v>
      </c>
      <c r="E33" s="39">
        <f t="shared" si="1"/>
        <v>110759918.21204057</v>
      </c>
      <c r="F33" s="40" t="s">
        <v>92</v>
      </c>
      <c r="G33" s="41">
        <v>1.44</v>
      </c>
      <c r="H33" s="42">
        <v>1.4202860000000002</v>
      </c>
      <c r="I33" s="43">
        <v>1.4202860000000002</v>
      </c>
      <c r="J33" s="44">
        <f t="shared" si="8"/>
        <v>5.321256762629821E-2</v>
      </c>
      <c r="K33" s="45">
        <f t="shared" si="9"/>
        <v>4.4383937500000005E-2</v>
      </c>
      <c r="L33" s="46">
        <f t="shared" si="14"/>
        <v>0</v>
      </c>
      <c r="M33" s="46">
        <f t="shared" si="15"/>
        <v>0</v>
      </c>
      <c r="N33" s="51">
        <v>0</v>
      </c>
      <c r="O33" s="37">
        <v>0</v>
      </c>
      <c r="P33" s="52">
        <f t="shared" si="16"/>
        <v>0</v>
      </c>
      <c r="Q33" s="49">
        <f t="shared" si="17"/>
        <v>-1.3690277777777649E-2</v>
      </c>
      <c r="R33" s="50">
        <v>0</v>
      </c>
    </row>
    <row r="34" spans="1:18" x14ac:dyDescent="0.25">
      <c r="A34" s="35" t="s">
        <v>93</v>
      </c>
      <c r="B34" s="36" t="s">
        <v>94</v>
      </c>
      <c r="C34" s="37">
        <v>253492983</v>
      </c>
      <c r="D34" s="38">
        <f t="shared" si="0"/>
        <v>36466223.249161959</v>
      </c>
      <c r="E34" s="39">
        <f t="shared" si="1"/>
        <v>30416020.984335374</v>
      </c>
      <c r="F34" s="40" t="s">
        <v>34</v>
      </c>
      <c r="G34" s="41">
        <v>3.6056249999999999</v>
      </c>
      <c r="H34" s="42">
        <v>4.5</v>
      </c>
      <c r="I34" s="43">
        <v>3.839604</v>
      </c>
      <c r="J34" s="44">
        <f t="shared" si="8"/>
        <v>0.14385496126005964</v>
      </c>
      <c r="K34" s="45">
        <f t="shared" si="9"/>
        <v>0.119987625</v>
      </c>
      <c r="L34" s="46">
        <f t="shared" si="14"/>
        <v>-0.66039599999999998</v>
      </c>
      <c r="M34" s="46">
        <f t="shared" si="15"/>
        <v>-14.675466666666667</v>
      </c>
      <c r="N34" s="51">
        <v>10100</v>
      </c>
      <c r="O34" s="37">
        <v>38780</v>
      </c>
      <c r="P34" s="52">
        <f t="shared" si="16"/>
        <v>0</v>
      </c>
      <c r="Q34" s="49">
        <f t="shared" si="17"/>
        <v>6.4892771710868491E-2</v>
      </c>
      <c r="R34" s="50"/>
    </row>
    <row r="35" spans="1:18" x14ac:dyDescent="0.25">
      <c r="A35" s="35" t="s">
        <v>95</v>
      </c>
      <c r="B35" s="36" t="s">
        <v>96</v>
      </c>
      <c r="C35" s="37">
        <v>4715084056</v>
      </c>
      <c r="D35" s="38">
        <f t="shared" si="0"/>
        <v>8932952.7574951667</v>
      </c>
      <c r="E35" s="39">
        <f t="shared" si="1"/>
        <v>7450864.2331172498</v>
      </c>
      <c r="F35" s="40" t="s">
        <v>34</v>
      </c>
      <c r="G35" s="41">
        <v>2.5099999999999997E-2</v>
      </c>
      <c r="H35" s="42">
        <v>5.0199999999999995E-2</v>
      </c>
      <c r="I35" s="43">
        <v>5.0567000000000001E-2</v>
      </c>
      <c r="J35" s="44">
        <f t="shared" si="8"/>
        <v>1.8945479341196218E-3</v>
      </c>
      <c r="K35" s="45">
        <f t="shared" si="9"/>
        <v>1.58021875E-3</v>
      </c>
      <c r="L35" s="46">
        <f t="shared" si="14"/>
        <v>3.6700000000000621E-4</v>
      </c>
      <c r="M35" s="46">
        <f t="shared" si="15"/>
        <v>0.73107569721116783</v>
      </c>
      <c r="N35" s="51">
        <v>3000</v>
      </c>
      <c r="O35" s="37">
        <v>151.69999999999999</v>
      </c>
      <c r="P35" s="52">
        <f t="shared" si="16"/>
        <v>0</v>
      </c>
      <c r="Q35" s="49">
        <f t="shared" si="17"/>
        <v>1.0146215139442232</v>
      </c>
      <c r="R35" s="50"/>
    </row>
    <row r="36" spans="1:18" x14ac:dyDescent="0.25">
      <c r="A36" s="35" t="s">
        <v>97</v>
      </c>
      <c r="B36" s="36" t="s">
        <v>98</v>
      </c>
      <c r="C36" s="37">
        <v>525090993</v>
      </c>
      <c r="D36" s="38">
        <f t="shared" si="0"/>
        <v>69259885.208845302</v>
      </c>
      <c r="E36" s="39">
        <f t="shared" si="1"/>
        <v>57768804.504132755</v>
      </c>
      <c r="F36" s="40" t="s">
        <v>92</v>
      </c>
      <c r="G36" s="41">
        <v>0.61</v>
      </c>
      <c r="H36" s="42">
        <v>3.5134719999999997</v>
      </c>
      <c r="I36" s="43">
        <v>3.5205360000000003</v>
      </c>
      <c r="J36" s="44">
        <f t="shared" si="8"/>
        <v>0.13190072983949527</v>
      </c>
      <c r="K36" s="45">
        <f t="shared" si="9"/>
        <v>0.11001675000000001</v>
      </c>
      <c r="L36" s="46">
        <f t="shared" si="14"/>
        <v>7.0640000000006253E-3</v>
      </c>
      <c r="M36" s="46">
        <f t="shared" si="15"/>
        <v>0.20105468323073661</v>
      </c>
      <c r="N36" s="51">
        <v>5600</v>
      </c>
      <c r="O36" s="37">
        <v>19715</v>
      </c>
      <c r="P36" s="52">
        <f t="shared" si="16"/>
        <v>0</v>
      </c>
      <c r="Q36" s="49">
        <f t="shared" si="17"/>
        <v>4.7713704918032791</v>
      </c>
      <c r="R36" s="50"/>
    </row>
    <row r="37" spans="1:18" x14ac:dyDescent="0.25">
      <c r="A37" s="35" t="s">
        <v>99</v>
      </c>
      <c r="B37" s="36" t="s">
        <v>100</v>
      </c>
      <c r="C37" s="37">
        <v>4194797929</v>
      </c>
      <c r="D37" s="38">
        <f t="shared" si="0"/>
        <v>62800639.338240527</v>
      </c>
      <c r="E37" s="39">
        <f t="shared" si="1"/>
        <v>52381228.264034696</v>
      </c>
      <c r="F37" s="40" t="s">
        <v>56</v>
      </c>
      <c r="G37" s="41">
        <v>0.11650199999999999</v>
      </c>
      <c r="H37" s="42">
        <v>0.37312499999999998</v>
      </c>
      <c r="I37" s="43">
        <v>0.39959000000000006</v>
      </c>
      <c r="J37" s="44">
        <f t="shared" si="8"/>
        <v>1.4971076176060668E-2</v>
      </c>
      <c r="K37" s="45">
        <f t="shared" si="9"/>
        <v>1.2487187500000002E-2</v>
      </c>
      <c r="L37" s="46">
        <f t="shared" si="14"/>
        <v>2.6465000000000072E-2</v>
      </c>
      <c r="M37" s="46">
        <f t="shared" si="15"/>
        <v>7.0927973199330179</v>
      </c>
      <c r="N37" s="51">
        <v>7200</v>
      </c>
      <c r="O37" s="37">
        <v>2877.05</v>
      </c>
      <c r="P37" s="52">
        <v>0</v>
      </c>
      <c r="Q37" s="49">
        <f t="shared" si="17"/>
        <v>2.429898199172547</v>
      </c>
      <c r="R37" s="50"/>
    </row>
    <row r="38" spans="1:18" x14ac:dyDescent="0.25">
      <c r="A38" s="35" t="s">
        <v>101</v>
      </c>
      <c r="B38" s="36" t="s">
        <v>102</v>
      </c>
      <c r="C38" s="37">
        <v>4315726499</v>
      </c>
      <c r="D38" s="38">
        <f t="shared" si="0"/>
        <v>22510795.010426104</v>
      </c>
      <c r="E38" s="39">
        <f t="shared" si="1"/>
        <v>18775972.733258784</v>
      </c>
      <c r="F38" s="40" t="s">
        <v>39</v>
      </c>
      <c r="G38" s="41">
        <v>0.1</v>
      </c>
      <c r="H38" s="42">
        <v>0.13921900000000001</v>
      </c>
      <c r="I38" s="43">
        <v>0.13921900000000001</v>
      </c>
      <c r="J38" s="44">
        <f t="shared" si="8"/>
        <v>5.2159920272153706E-3</v>
      </c>
      <c r="K38" s="45">
        <f t="shared" si="9"/>
        <v>4.3505937500000003E-3</v>
      </c>
      <c r="L38" s="46">
        <f t="shared" si="14"/>
        <v>0</v>
      </c>
      <c r="M38" s="46">
        <f t="shared" si="15"/>
        <v>0</v>
      </c>
      <c r="N38" s="51">
        <v>0</v>
      </c>
      <c r="O38" s="37">
        <v>0</v>
      </c>
      <c r="P38" s="52">
        <f t="shared" ref="P38:P44" si="18">(R38)/J38</f>
        <v>0</v>
      </c>
      <c r="Q38" s="49">
        <f t="shared" si="17"/>
        <v>0.39219000000000004</v>
      </c>
      <c r="R38" s="50"/>
    </row>
    <row r="39" spans="1:18" x14ac:dyDescent="0.25">
      <c r="A39" s="35" t="s">
        <v>103</v>
      </c>
      <c r="B39" s="36" t="s">
        <v>104</v>
      </c>
      <c r="C39" s="37">
        <v>106474237</v>
      </c>
      <c r="D39" s="38">
        <f t="shared" si="0"/>
        <v>7978347.3706295807</v>
      </c>
      <c r="E39" s="39">
        <f t="shared" si="1"/>
        <v>6654639.8125</v>
      </c>
      <c r="F39" s="40" t="s">
        <v>44</v>
      </c>
      <c r="G39" s="41">
        <v>1.7452379999999998</v>
      </c>
      <c r="H39" s="42">
        <v>2</v>
      </c>
      <c r="I39" s="43">
        <v>2</v>
      </c>
      <c r="J39" s="44">
        <f t="shared" si="8"/>
        <v>7.4932186371333948E-2</v>
      </c>
      <c r="K39" s="45">
        <f t="shared" si="9"/>
        <v>6.25E-2</v>
      </c>
      <c r="L39" s="46">
        <f t="shared" si="14"/>
        <v>0</v>
      </c>
      <c r="M39" s="46">
        <f t="shared" si="15"/>
        <v>0</v>
      </c>
      <c r="N39" s="51">
        <v>0</v>
      </c>
      <c r="O39" s="37">
        <v>0</v>
      </c>
      <c r="P39" s="52">
        <f t="shared" si="18"/>
        <v>0</v>
      </c>
      <c r="Q39" s="49">
        <f t="shared" si="17"/>
        <v>0.14597550591953667</v>
      </c>
      <c r="R39" s="50">
        <v>0</v>
      </c>
    </row>
    <row r="40" spans="1:18" x14ac:dyDescent="0.25">
      <c r="A40" s="35" t="s">
        <v>105</v>
      </c>
      <c r="B40" s="36" t="s">
        <v>106</v>
      </c>
      <c r="C40" s="37">
        <v>1778001428</v>
      </c>
      <c r="D40" s="38">
        <f t="shared" si="0"/>
        <v>4689679.6098730648</v>
      </c>
      <c r="E40" s="39">
        <f t="shared" si="1"/>
        <v>3911603.1416000002</v>
      </c>
      <c r="F40" s="40" t="s">
        <v>39</v>
      </c>
      <c r="G40" s="41">
        <v>0.03</v>
      </c>
      <c r="H40" s="42">
        <v>7.0400000000000004E-2</v>
      </c>
      <c r="I40" s="43">
        <v>7.0400000000000004E-2</v>
      </c>
      <c r="J40" s="44">
        <f t="shared" si="8"/>
        <v>2.6376129602709549E-3</v>
      </c>
      <c r="K40" s="45">
        <f t="shared" si="9"/>
        <v>2.2000000000000001E-3</v>
      </c>
      <c r="L40" s="46">
        <f t="shared" si="14"/>
        <v>0</v>
      </c>
      <c r="M40" s="46">
        <f t="shared" si="15"/>
        <v>0</v>
      </c>
      <c r="N40" s="51">
        <v>0</v>
      </c>
      <c r="O40" s="37">
        <v>0</v>
      </c>
      <c r="P40" s="52">
        <f t="shared" si="18"/>
        <v>0</v>
      </c>
      <c r="Q40" s="49">
        <f t="shared" si="17"/>
        <v>1.3466666666666667</v>
      </c>
      <c r="R40" s="50">
        <v>0</v>
      </c>
    </row>
    <row r="41" spans="1:18" x14ac:dyDescent="0.25">
      <c r="A41" s="35" t="s">
        <v>107</v>
      </c>
      <c r="B41" s="36" t="s">
        <v>108</v>
      </c>
      <c r="C41" s="37">
        <v>175190642</v>
      </c>
      <c r="D41" s="38">
        <f t="shared" si="0"/>
        <v>45945962.429001756</v>
      </c>
      <c r="E41" s="39">
        <f t="shared" si="1"/>
        <v>38322952.9375</v>
      </c>
      <c r="F41" s="40" t="s">
        <v>47</v>
      </c>
      <c r="G41" s="41">
        <v>4.5</v>
      </c>
      <c r="H41" s="42">
        <v>7</v>
      </c>
      <c r="I41" s="43">
        <v>7</v>
      </c>
      <c r="J41" s="44">
        <f t="shared" si="8"/>
        <v>0.26226265229966883</v>
      </c>
      <c r="K41" s="45">
        <f t="shared" si="9"/>
        <v>0.21875</v>
      </c>
      <c r="L41" s="46">
        <f t="shared" si="14"/>
        <v>0</v>
      </c>
      <c r="M41" s="46">
        <f t="shared" si="15"/>
        <v>0</v>
      </c>
      <c r="N41" s="51">
        <v>0</v>
      </c>
      <c r="O41" s="37">
        <v>0</v>
      </c>
      <c r="P41" s="52">
        <f t="shared" si="18"/>
        <v>0</v>
      </c>
      <c r="Q41" s="49">
        <f t="shared" si="17"/>
        <v>0.55555555555555558</v>
      </c>
      <c r="R41" s="50"/>
    </row>
    <row r="42" spans="1:18" ht="12" customHeight="1" x14ac:dyDescent="0.25">
      <c r="A42" s="35" t="s">
        <v>109</v>
      </c>
      <c r="B42" s="36" t="s">
        <v>110</v>
      </c>
      <c r="C42" s="37">
        <v>463337661</v>
      </c>
      <c r="D42" s="38">
        <f t="shared" si="0"/>
        <v>312.47013570218951</v>
      </c>
      <c r="E42" s="39">
        <f t="shared" si="1"/>
        <v>260.62743431249999</v>
      </c>
      <c r="F42" s="40" t="s">
        <v>44</v>
      </c>
      <c r="G42" s="41">
        <v>1.8E-5</v>
      </c>
      <c r="H42" s="42">
        <v>1.8E-5</v>
      </c>
      <c r="I42" s="43">
        <v>1.8E-5</v>
      </c>
      <c r="J42" s="44">
        <f t="shared" si="8"/>
        <v>6.7438967734200553E-7</v>
      </c>
      <c r="K42" s="45">
        <f t="shared" si="9"/>
        <v>5.6250000000000001E-7</v>
      </c>
      <c r="L42" s="46">
        <f t="shared" si="14"/>
        <v>0</v>
      </c>
      <c r="M42" s="46">
        <f t="shared" si="15"/>
        <v>0</v>
      </c>
      <c r="N42" s="51">
        <v>0</v>
      </c>
      <c r="O42" s="37">
        <v>0</v>
      </c>
      <c r="P42" s="52">
        <f t="shared" si="18"/>
        <v>0</v>
      </c>
      <c r="Q42" s="49">
        <f t="shared" si="17"/>
        <v>0</v>
      </c>
      <c r="R42" s="50">
        <v>0</v>
      </c>
    </row>
    <row r="43" spans="1:18" ht="12" customHeight="1" x14ac:dyDescent="0.25">
      <c r="A43" s="35" t="s">
        <v>111</v>
      </c>
      <c r="B43" s="36" t="s">
        <v>112</v>
      </c>
      <c r="C43" s="37">
        <v>576000000</v>
      </c>
      <c r="D43" s="38">
        <f t="shared" si="0"/>
        <v>1553793.8165959809</v>
      </c>
      <c r="E43" s="39">
        <f t="shared" si="1"/>
        <v>1296000.0000000002</v>
      </c>
      <c r="F43" s="40" t="s">
        <v>56</v>
      </c>
      <c r="G43" s="41">
        <v>7.0000000000000007E-2</v>
      </c>
      <c r="H43" s="42">
        <v>7.2000000000000008E-2</v>
      </c>
      <c r="I43" s="43">
        <v>7.2000000000000008E-2</v>
      </c>
      <c r="J43" s="44">
        <f t="shared" si="8"/>
        <v>2.6975587093680223E-3</v>
      </c>
      <c r="K43" s="45">
        <f t="shared" si="9"/>
        <v>2.2500000000000003E-3</v>
      </c>
      <c r="L43" s="46">
        <f t="shared" si="14"/>
        <v>0</v>
      </c>
      <c r="M43" s="46">
        <f t="shared" si="15"/>
        <v>0</v>
      </c>
      <c r="N43" s="51">
        <v>0</v>
      </c>
      <c r="O43" s="37">
        <v>0</v>
      </c>
      <c r="P43" s="52">
        <f t="shared" si="18"/>
        <v>0</v>
      </c>
      <c r="Q43" s="49">
        <f t="shared" si="17"/>
        <v>2.8571428571428692E-2</v>
      </c>
      <c r="R43" s="50"/>
    </row>
    <row r="44" spans="1:18" ht="12" customHeight="1" x14ac:dyDescent="0.25">
      <c r="A44" s="35" t="s">
        <v>113</v>
      </c>
      <c r="B44" s="36" t="s">
        <v>114</v>
      </c>
      <c r="C44" s="37">
        <v>1818218786</v>
      </c>
      <c r="D44" s="38">
        <f t="shared" si="0"/>
        <v>51091165.851154707</v>
      </c>
      <c r="E44" s="39">
        <f t="shared" si="1"/>
        <v>42614502.796875</v>
      </c>
      <c r="F44" s="40" t="s">
        <v>47</v>
      </c>
      <c r="G44" s="41">
        <v>0.9998999999999999</v>
      </c>
      <c r="H44" s="42">
        <v>0.75010499999999991</v>
      </c>
      <c r="I44" s="43">
        <v>0.75</v>
      </c>
      <c r="J44" s="44">
        <f t="shared" si="8"/>
        <v>2.809956988925023E-2</v>
      </c>
      <c r="K44" s="45">
        <f t="shared" si="9"/>
        <v>2.34375E-2</v>
      </c>
      <c r="L44" s="46">
        <f t="shared" si="14"/>
        <v>-1.0499999999991072E-4</v>
      </c>
      <c r="M44" s="46">
        <f t="shared" si="15"/>
        <v>-1.3998040274349689E-2</v>
      </c>
      <c r="N44" s="51">
        <v>300</v>
      </c>
      <c r="O44" s="37">
        <v>225</v>
      </c>
      <c r="P44" s="52">
        <f t="shared" si="18"/>
        <v>0</v>
      </c>
      <c r="Q44" s="49">
        <f t="shared" si="17"/>
        <v>-0.24992499249924982</v>
      </c>
      <c r="R44" s="50">
        <v>0</v>
      </c>
    </row>
    <row r="45" spans="1:18" ht="12" customHeight="1" x14ac:dyDescent="0.25">
      <c r="A45" s="35" t="s">
        <v>115</v>
      </c>
      <c r="B45" s="36" t="s">
        <v>116</v>
      </c>
      <c r="C45" s="37">
        <v>102712520</v>
      </c>
      <c r="D45" s="38">
        <f t="shared" si="0"/>
        <v>14527094.092346426</v>
      </c>
      <c r="E45" s="39">
        <f t="shared" si="1"/>
        <v>12116867.59375</v>
      </c>
      <c r="F45" s="40" t="s">
        <v>47</v>
      </c>
      <c r="G45" s="41">
        <v>1.4503460000000001</v>
      </c>
      <c r="H45" s="42">
        <v>3.5482440000000004</v>
      </c>
      <c r="I45" s="43">
        <v>3.7749999999999999</v>
      </c>
      <c r="J45" s="44">
        <f t="shared" si="8"/>
        <v>0.14143450177589281</v>
      </c>
      <c r="K45" s="45">
        <f t="shared" si="9"/>
        <v>0.11796875</v>
      </c>
      <c r="L45" s="46">
        <f t="shared" si="14"/>
        <v>0.22675599999999951</v>
      </c>
      <c r="M45" s="46">
        <f t="shared" si="15"/>
        <v>6.3906540812863915</v>
      </c>
      <c r="N45" s="51">
        <v>400</v>
      </c>
      <c r="O45" s="37">
        <v>1510</v>
      </c>
      <c r="P45" s="52">
        <v>0</v>
      </c>
      <c r="Q45" s="49">
        <f t="shared" si="17"/>
        <v>1.6028271874435478</v>
      </c>
      <c r="R45" s="50"/>
    </row>
    <row r="46" spans="1:18" ht="12" customHeight="1" x14ac:dyDescent="0.25">
      <c r="A46" s="35"/>
      <c r="B46" s="36" t="s">
        <v>117</v>
      </c>
      <c r="C46" s="37"/>
      <c r="D46" s="38"/>
      <c r="E46" s="39"/>
      <c r="F46" s="40"/>
      <c r="G46" s="41"/>
      <c r="H46" s="42"/>
      <c r="I46" s="43"/>
      <c r="J46" s="44"/>
      <c r="K46" s="45"/>
      <c r="L46" s="46"/>
      <c r="M46" s="46"/>
      <c r="N46" s="51"/>
      <c r="O46" s="37"/>
      <c r="P46" s="52"/>
      <c r="Q46" s="49"/>
      <c r="R46" s="50"/>
    </row>
    <row r="47" spans="1:18" ht="14.25" customHeight="1" thickBot="1" x14ac:dyDescent="0.4">
      <c r="A47" s="58"/>
      <c r="B47" s="59" t="s">
        <v>117</v>
      </c>
      <c r="C47" s="60"/>
      <c r="D47" s="61"/>
      <c r="E47" s="61"/>
      <c r="F47" s="62"/>
      <c r="G47" s="62"/>
      <c r="H47" s="46"/>
      <c r="I47" s="46"/>
      <c r="J47" s="46"/>
      <c r="K47" s="46"/>
      <c r="L47" s="46"/>
      <c r="M47" s="46"/>
      <c r="N47" s="62">
        <f>SUM(N9:N45)</f>
        <v>12682597</v>
      </c>
      <c r="O47" s="62">
        <f>SUM(O9:O45)</f>
        <v>519236120.73000002</v>
      </c>
      <c r="P47" s="63"/>
      <c r="Q47" s="64"/>
    </row>
    <row r="48" spans="1:18" ht="13.5" customHeight="1" x14ac:dyDescent="0.35">
      <c r="A48" s="65"/>
      <c r="B48" s="66" t="s">
        <v>117</v>
      </c>
      <c r="C48" s="67"/>
      <c r="D48" s="67"/>
      <c r="E48" s="67"/>
      <c r="F48" s="68"/>
      <c r="G48" s="68"/>
      <c r="H48" s="69"/>
      <c r="I48" s="69"/>
      <c r="J48" s="69"/>
      <c r="K48" s="69"/>
      <c r="L48" s="69"/>
      <c r="M48" s="69"/>
      <c r="N48" s="68"/>
      <c r="O48" s="68"/>
      <c r="P48" s="68"/>
      <c r="Q48" s="70"/>
    </row>
    <row r="49" spans="1:20" ht="12.75" customHeight="1" x14ac:dyDescent="0.3">
      <c r="A49" s="133" t="s">
        <v>118</v>
      </c>
      <c r="B49" s="134"/>
      <c r="C49" s="135"/>
      <c r="D49" s="135"/>
      <c r="E49" s="135"/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36"/>
    </row>
    <row r="50" spans="1:20" ht="11.4" customHeight="1" x14ac:dyDescent="0.25">
      <c r="A50" s="35" t="s">
        <v>119</v>
      </c>
      <c r="B50" s="36" t="s">
        <v>120</v>
      </c>
      <c r="C50" s="40">
        <v>566299374</v>
      </c>
      <c r="D50" s="38">
        <f t="shared" ref="D50:D65" si="19">C50*J50</f>
        <v>80980810.481999993</v>
      </c>
      <c r="E50" s="39">
        <v>0</v>
      </c>
      <c r="F50" s="40" t="s">
        <v>92</v>
      </c>
      <c r="G50" s="71">
        <v>0.1</v>
      </c>
      <c r="H50" s="42">
        <v>0.1401</v>
      </c>
      <c r="I50" s="42">
        <v>0.14299999999999999</v>
      </c>
      <c r="J50" s="44">
        <f t="shared" ref="J50:J65" si="20">I50</f>
        <v>0.14299999999999999</v>
      </c>
      <c r="K50" s="39">
        <v>0</v>
      </c>
      <c r="L50" s="46">
        <f t="shared" ref="L50:L65" si="21">I50-H50</f>
        <v>2.8999999999999859E-3</v>
      </c>
      <c r="M50" s="46">
        <f t="shared" ref="M50:M65" si="22">((I50-H50)/H50)*100</f>
        <v>2.0699500356887839</v>
      </c>
      <c r="N50" s="51">
        <v>24985</v>
      </c>
      <c r="O50" s="37">
        <v>3573.12</v>
      </c>
      <c r="P50" s="72">
        <f>(R50)/J50</f>
        <v>0</v>
      </c>
      <c r="Q50" s="49">
        <f t="shared" ref="Q50:Q65" si="23">J50/G50-1</f>
        <v>0.42999999999999972</v>
      </c>
      <c r="T50" s="53"/>
    </row>
    <row r="51" spans="1:20" ht="12" customHeight="1" x14ac:dyDescent="0.25">
      <c r="A51" s="35" t="s">
        <v>121</v>
      </c>
      <c r="B51" s="36" t="s">
        <v>122</v>
      </c>
      <c r="C51" s="40">
        <v>1111906</v>
      </c>
      <c r="D51" s="38">
        <f t="shared" si="19"/>
        <v>43311740.846199997</v>
      </c>
      <c r="E51" s="39">
        <v>0</v>
      </c>
      <c r="F51" s="40" t="s">
        <v>39</v>
      </c>
      <c r="G51" s="71">
        <v>39.9</v>
      </c>
      <c r="H51" s="42">
        <v>39.693100000000001</v>
      </c>
      <c r="I51" s="42">
        <v>38.9527</v>
      </c>
      <c r="J51" s="44">
        <f t="shared" si="20"/>
        <v>38.9527</v>
      </c>
      <c r="K51" s="39">
        <v>0</v>
      </c>
      <c r="L51" s="46">
        <f t="shared" si="21"/>
        <v>-0.74040000000000106</v>
      </c>
      <c r="M51" s="46">
        <f t="shared" si="22"/>
        <v>-1.8653116032761388</v>
      </c>
      <c r="N51" s="51">
        <v>1412</v>
      </c>
      <c r="O51" s="37">
        <v>55001.2</v>
      </c>
      <c r="P51" s="73">
        <f>(R51)/J51</f>
        <v>1.4376410364364987E-2</v>
      </c>
      <c r="Q51" s="49">
        <f t="shared" si="23"/>
        <v>-2.3741854636591397E-2</v>
      </c>
      <c r="R51" s="53">
        <v>0.56000000000000005</v>
      </c>
      <c r="T51" s="53"/>
    </row>
    <row r="52" spans="1:20" ht="12" customHeight="1" x14ac:dyDescent="0.25">
      <c r="A52" s="35" t="s">
        <v>123</v>
      </c>
      <c r="B52" s="36" t="s">
        <v>124</v>
      </c>
      <c r="C52" s="40">
        <v>2992163203</v>
      </c>
      <c r="D52" s="38">
        <f t="shared" si="19"/>
        <v>684906157.16670001</v>
      </c>
      <c r="E52" s="39"/>
      <c r="F52" s="40" t="s">
        <v>56</v>
      </c>
      <c r="G52" s="71">
        <v>0.33</v>
      </c>
      <c r="H52" s="42">
        <v>0.22450000000000001</v>
      </c>
      <c r="I52" s="42">
        <v>0.22889999999999999</v>
      </c>
      <c r="J52" s="44">
        <f t="shared" si="20"/>
        <v>0.22889999999999999</v>
      </c>
      <c r="K52" s="39">
        <v>0</v>
      </c>
      <c r="L52" s="46">
        <f t="shared" si="21"/>
        <v>4.3999999999999873E-3</v>
      </c>
      <c r="M52" s="46">
        <f t="shared" si="22"/>
        <v>1.9599109131403063</v>
      </c>
      <c r="N52" s="51">
        <v>32280</v>
      </c>
      <c r="O52" s="37">
        <v>7389.2</v>
      </c>
      <c r="P52" s="72">
        <v>0</v>
      </c>
      <c r="Q52" s="49">
        <f t="shared" si="23"/>
        <v>-0.30636363636363639</v>
      </c>
      <c r="R52" s="53"/>
      <c r="T52" s="53"/>
    </row>
    <row r="53" spans="1:20" ht="12" customHeight="1" x14ac:dyDescent="0.25">
      <c r="A53" s="35" t="s">
        <v>125</v>
      </c>
      <c r="B53" s="36" t="s">
        <v>126</v>
      </c>
      <c r="C53" s="40">
        <v>609740943</v>
      </c>
      <c r="D53" s="38">
        <f t="shared" si="19"/>
        <v>14572808.537700001</v>
      </c>
      <c r="E53" s="39">
        <v>0</v>
      </c>
      <c r="F53" s="40" t="s">
        <v>34</v>
      </c>
      <c r="G53" s="71">
        <v>2.3E-2</v>
      </c>
      <c r="H53" s="42">
        <v>2.1499999999999998E-2</v>
      </c>
      <c r="I53" s="42">
        <v>2.3900000000000001E-2</v>
      </c>
      <c r="J53" s="44">
        <f t="shared" si="20"/>
        <v>2.3900000000000001E-2</v>
      </c>
      <c r="K53" s="39">
        <v>0</v>
      </c>
      <c r="L53" s="46">
        <f t="shared" si="21"/>
        <v>2.4000000000000028E-3</v>
      </c>
      <c r="M53" s="46">
        <f t="shared" si="22"/>
        <v>11.162790697674433</v>
      </c>
      <c r="N53" s="51">
        <v>17197</v>
      </c>
      <c r="O53" s="37">
        <v>411.2</v>
      </c>
      <c r="P53" s="72">
        <f t="shared" ref="P53:P65" si="24">(R53)/J53</f>
        <v>0</v>
      </c>
      <c r="Q53" s="49">
        <f t="shared" si="23"/>
        <v>3.9130434782608692E-2</v>
      </c>
      <c r="T53" s="53"/>
    </row>
    <row r="54" spans="1:20" ht="12" customHeight="1" x14ac:dyDescent="0.25">
      <c r="A54" s="35" t="s">
        <v>127</v>
      </c>
      <c r="B54" s="36" t="s">
        <v>128</v>
      </c>
      <c r="C54" s="40">
        <v>2162695929</v>
      </c>
      <c r="D54" s="38">
        <f t="shared" si="19"/>
        <v>387987649.66259998</v>
      </c>
      <c r="E54" s="39">
        <v>0</v>
      </c>
      <c r="F54" s="40" t="s">
        <v>47</v>
      </c>
      <c r="G54" s="71">
        <v>9.0200000000000002E-2</v>
      </c>
      <c r="H54" s="42">
        <v>0.15049999999999999</v>
      </c>
      <c r="I54" s="42">
        <v>0.1794</v>
      </c>
      <c r="J54" s="44">
        <f t="shared" si="20"/>
        <v>0.1794</v>
      </c>
      <c r="K54" s="39">
        <v>0</v>
      </c>
      <c r="L54" s="46">
        <f t="shared" si="21"/>
        <v>2.8900000000000009E-2</v>
      </c>
      <c r="M54" s="74">
        <f t="shared" si="22"/>
        <v>19.202657807308977</v>
      </c>
      <c r="N54" s="51">
        <v>791114</v>
      </c>
      <c r="O54" s="37">
        <v>141918.15</v>
      </c>
      <c r="P54" s="72">
        <f t="shared" si="24"/>
        <v>0</v>
      </c>
      <c r="Q54" s="49">
        <f t="shared" si="23"/>
        <v>0.98891352549889144</v>
      </c>
      <c r="R54" s="53"/>
      <c r="T54" s="53"/>
    </row>
    <row r="55" spans="1:20" ht="12" customHeight="1" x14ac:dyDescent="0.25">
      <c r="A55" s="35" t="s">
        <v>129</v>
      </c>
      <c r="B55" s="36" t="s">
        <v>130</v>
      </c>
      <c r="C55" s="40">
        <v>575926450</v>
      </c>
      <c r="D55" s="38">
        <f t="shared" si="19"/>
        <v>863371341.19500005</v>
      </c>
      <c r="E55" s="39">
        <v>0</v>
      </c>
      <c r="F55" s="40" t="s">
        <v>34</v>
      </c>
      <c r="G55" s="71">
        <v>0.95750000000000002</v>
      </c>
      <c r="H55" s="42">
        <v>1.4997</v>
      </c>
      <c r="I55" s="42">
        <v>1.4991000000000001</v>
      </c>
      <c r="J55" s="44">
        <f t="shared" si="20"/>
        <v>1.4991000000000001</v>
      </c>
      <c r="K55" s="39">
        <v>0</v>
      </c>
      <c r="L55" s="46">
        <f t="shared" si="21"/>
        <v>-5.9999999999993392E-4</v>
      </c>
      <c r="M55" s="46">
        <f t="shared" si="22"/>
        <v>-4.000800160031566E-2</v>
      </c>
      <c r="N55" s="51">
        <v>10772</v>
      </c>
      <c r="O55" s="37">
        <v>16148.8</v>
      </c>
      <c r="P55" s="73">
        <f t="shared" si="24"/>
        <v>3.1352144620105396E-2</v>
      </c>
      <c r="Q55" s="49">
        <f t="shared" si="23"/>
        <v>0.56563968668407316</v>
      </c>
      <c r="R55" s="53">
        <v>4.7E-2</v>
      </c>
      <c r="T55" s="53"/>
    </row>
    <row r="56" spans="1:20" ht="12" customHeight="1" x14ac:dyDescent="0.25">
      <c r="A56" s="35" t="s">
        <v>131</v>
      </c>
      <c r="B56" s="36" t="s">
        <v>132</v>
      </c>
      <c r="C56" s="40">
        <v>164208222</v>
      </c>
      <c r="D56" s="38">
        <f t="shared" si="19"/>
        <v>21379910.5044</v>
      </c>
      <c r="E56" s="39">
        <v>0</v>
      </c>
      <c r="F56" s="40" t="s">
        <v>34</v>
      </c>
      <c r="G56" s="71">
        <v>0.1595</v>
      </c>
      <c r="H56" s="42">
        <v>0.13020000000000001</v>
      </c>
      <c r="I56" s="42">
        <v>0.13020000000000001</v>
      </c>
      <c r="J56" s="44">
        <f t="shared" si="20"/>
        <v>0.13020000000000001</v>
      </c>
      <c r="K56" s="39">
        <v>0</v>
      </c>
      <c r="L56" s="46">
        <f t="shared" si="21"/>
        <v>0</v>
      </c>
      <c r="M56" s="46">
        <f t="shared" si="22"/>
        <v>0</v>
      </c>
      <c r="N56" s="51">
        <v>0</v>
      </c>
      <c r="O56" s="37">
        <v>0</v>
      </c>
      <c r="P56" s="72">
        <f t="shared" si="24"/>
        <v>0</v>
      </c>
      <c r="Q56" s="49">
        <f t="shared" si="23"/>
        <v>-0.18369905956112853</v>
      </c>
      <c r="T56" s="53"/>
    </row>
    <row r="57" spans="1:20" ht="12" customHeight="1" x14ac:dyDescent="0.25">
      <c r="A57" s="35" t="s">
        <v>133</v>
      </c>
      <c r="B57" s="36" t="s">
        <v>134</v>
      </c>
      <c r="C57" s="40">
        <v>985088926</v>
      </c>
      <c r="D57" s="38">
        <f t="shared" si="19"/>
        <v>25513803.183399998</v>
      </c>
      <c r="E57" s="39">
        <v>0</v>
      </c>
      <c r="F57" s="40" t="s">
        <v>92</v>
      </c>
      <c r="G57" s="71">
        <v>1.6799999999999999E-2</v>
      </c>
      <c r="H57" s="42">
        <v>2.5100000000000001E-2</v>
      </c>
      <c r="I57" s="42">
        <v>2.5899999999999999E-2</v>
      </c>
      <c r="J57" s="44">
        <f t="shared" si="20"/>
        <v>2.5899999999999999E-2</v>
      </c>
      <c r="K57" s="39">
        <v>0</v>
      </c>
      <c r="L57" s="46">
        <f t="shared" si="21"/>
        <v>7.9999999999999863E-4</v>
      </c>
      <c r="M57" s="74">
        <f t="shared" si="22"/>
        <v>3.1872509960159308</v>
      </c>
      <c r="N57" s="51">
        <v>16901</v>
      </c>
      <c r="O57" s="37">
        <v>437.06</v>
      </c>
      <c r="P57" s="72">
        <f t="shared" si="24"/>
        <v>0</v>
      </c>
      <c r="Q57" s="49">
        <f t="shared" si="23"/>
        <v>0.54166666666666674</v>
      </c>
      <c r="R57" s="53"/>
      <c r="T57" s="53"/>
    </row>
    <row r="58" spans="1:20" ht="12" customHeight="1" x14ac:dyDescent="0.25">
      <c r="A58" s="35" t="s">
        <v>135</v>
      </c>
      <c r="B58" s="36" t="s">
        <v>136</v>
      </c>
      <c r="C58" s="40">
        <v>161273</v>
      </c>
      <c r="D58" s="38">
        <f t="shared" si="19"/>
        <v>2354295.5085999998</v>
      </c>
      <c r="E58" s="39">
        <v>0</v>
      </c>
      <c r="F58" s="40" t="s">
        <v>137</v>
      </c>
      <c r="G58" s="71">
        <v>19.5</v>
      </c>
      <c r="H58" s="42">
        <v>14.5982</v>
      </c>
      <c r="I58" s="42">
        <v>14.5982</v>
      </c>
      <c r="J58" s="44">
        <f t="shared" si="20"/>
        <v>14.5982</v>
      </c>
      <c r="K58" s="39">
        <v>0</v>
      </c>
      <c r="L58" s="46">
        <f t="shared" si="21"/>
        <v>0</v>
      </c>
      <c r="M58" s="46">
        <f t="shared" si="22"/>
        <v>0</v>
      </c>
      <c r="N58" s="51">
        <v>0</v>
      </c>
      <c r="O58" s="37">
        <v>0</v>
      </c>
      <c r="P58" s="72">
        <f t="shared" si="24"/>
        <v>0</v>
      </c>
      <c r="Q58" s="49">
        <f t="shared" si="23"/>
        <v>-0.251374358974359</v>
      </c>
      <c r="T58" s="53"/>
    </row>
    <row r="59" spans="1:20" ht="12" customHeight="1" x14ac:dyDescent="0.25">
      <c r="A59" s="35" t="s">
        <v>138</v>
      </c>
      <c r="B59" s="36" t="s">
        <v>139</v>
      </c>
      <c r="C59" s="40">
        <v>4498037281</v>
      </c>
      <c r="D59" s="38">
        <f t="shared" si="19"/>
        <v>4063526879.6553998</v>
      </c>
      <c r="E59" s="39">
        <v>0</v>
      </c>
      <c r="F59" s="40" t="s">
        <v>47</v>
      </c>
      <c r="G59" s="71">
        <v>0.78169999999999995</v>
      </c>
      <c r="H59" s="52">
        <v>0.90490000000000004</v>
      </c>
      <c r="I59" s="42">
        <v>0.90339999999999998</v>
      </c>
      <c r="J59" s="44">
        <f t="shared" si="20"/>
        <v>0.90339999999999998</v>
      </c>
      <c r="K59" s="39">
        <v>0</v>
      </c>
      <c r="L59" s="46">
        <f t="shared" si="21"/>
        <v>-1.5000000000000568E-3</v>
      </c>
      <c r="M59" s="46">
        <f t="shared" si="22"/>
        <v>-0.16576417283678382</v>
      </c>
      <c r="N59" s="75">
        <v>258032</v>
      </c>
      <c r="O59" s="76">
        <v>233119.01</v>
      </c>
      <c r="P59" s="72">
        <f t="shared" si="24"/>
        <v>0</v>
      </c>
      <c r="Q59" s="49">
        <f t="shared" si="23"/>
        <v>0.15568632467698618</v>
      </c>
      <c r="R59" s="53"/>
      <c r="S59" s="53"/>
      <c r="T59" s="53"/>
    </row>
    <row r="60" spans="1:20" ht="12" customHeight="1" x14ac:dyDescent="0.25">
      <c r="A60" s="35" t="s">
        <v>140</v>
      </c>
      <c r="B60" s="36" t="s">
        <v>141</v>
      </c>
      <c r="C60" s="40">
        <v>805090451</v>
      </c>
      <c r="D60" s="38">
        <f t="shared" si="19"/>
        <v>1091541633.4657998</v>
      </c>
      <c r="E60" s="39">
        <v>0</v>
      </c>
      <c r="F60" s="40" t="s">
        <v>92</v>
      </c>
      <c r="G60" s="71">
        <v>0.59499999999999997</v>
      </c>
      <c r="H60" s="42">
        <v>1.3871</v>
      </c>
      <c r="I60" s="42">
        <v>1.3557999999999999</v>
      </c>
      <c r="J60" s="44">
        <f t="shared" si="20"/>
        <v>1.3557999999999999</v>
      </c>
      <c r="K60" s="39">
        <v>0</v>
      </c>
      <c r="L60" s="46">
        <f t="shared" si="21"/>
        <v>-3.1300000000000106E-2</v>
      </c>
      <c r="M60" s="46">
        <f t="shared" si="22"/>
        <v>-2.2565063802177279</v>
      </c>
      <c r="N60" s="51">
        <v>57689</v>
      </c>
      <c r="O60" s="37">
        <v>78215.42</v>
      </c>
      <c r="P60" s="72">
        <f t="shared" si="24"/>
        <v>0</v>
      </c>
      <c r="Q60" s="49">
        <f t="shared" si="23"/>
        <v>1.278655462184874</v>
      </c>
      <c r="T60" s="53"/>
    </row>
    <row r="61" spans="1:20" ht="12" customHeight="1" x14ac:dyDescent="0.25">
      <c r="A61" s="35" t="s">
        <v>142</v>
      </c>
      <c r="B61" s="36" t="s">
        <v>143</v>
      </c>
      <c r="C61" s="40">
        <v>260714518</v>
      </c>
      <c r="D61" s="38">
        <f t="shared" si="19"/>
        <v>107675095.934</v>
      </c>
      <c r="E61" s="39">
        <v>0</v>
      </c>
      <c r="F61" s="40" t="s">
        <v>34</v>
      </c>
      <c r="G61" s="71">
        <v>0.22600000000000001</v>
      </c>
      <c r="H61" s="42">
        <v>0.45</v>
      </c>
      <c r="I61" s="42">
        <v>0.41299999999999998</v>
      </c>
      <c r="J61" s="44">
        <f t="shared" si="20"/>
        <v>0.41299999999999998</v>
      </c>
      <c r="K61" s="39">
        <v>0</v>
      </c>
      <c r="L61" s="46">
        <f t="shared" si="21"/>
        <v>-3.7000000000000033E-2</v>
      </c>
      <c r="M61" s="46">
        <f t="shared" si="22"/>
        <v>-8.2222222222222285</v>
      </c>
      <c r="N61" s="51">
        <v>4893</v>
      </c>
      <c r="O61" s="37">
        <v>2020.98</v>
      </c>
      <c r="P61" s="72">
        <f t="shared" si="24"/>
        <v>0</v>
      </c>
      <c r="Q61" s="49">
        <f t="shared" si="23"/>
        <v>0.82743362831858391</v>
      </c>
      <c r="T61" s="53"/>
    </row>
    <row r="62" spans="1:20" ht="12" customHeight="1" x14ac:dyDescent="0.25">
      <c r="A62" s="35" t="s">
        <v>144</v>
      </c>
      <c r="B62" s="36" t="s">
        <v>145</v>
      </c>
      <c r="C62" s="40">
        <v>562184788</v>
      </c>
      <c r="D62" s="38">
        <f t="shared" si="19"/>
        <v>410057584.36720002</v>
      </c>
      <c r="E62" s="39">
        <v>0</v>
      </c>
      <c r="F62" s="40" t="s">
        <v>34</v>
      </c>
      <c r="G62" s="71">
        <v>0.49440000000000001</v>
      </c>
      <c r="H62" s="42">
        <v>0.72370000000000001</v>
      </c>
      <c r="I62" s="42">
        <v>0.72940000000000005</v>
      </c>
      <c r="J62" s="44">
        <f t="shared" si="20"/>
        <v>0.72940000000000005</v>
      </c>
      <c r="K62" s="39">
        <v>0</v>
      </c>
      <c r="L62" s="46">
        <f t="shared" si="21"/>
        <v>5.7000000000000384E-3</v>
      </c>
      <c r="M62" s="46">
        <f t="shared" si="22"/>
        <v>0.78761917921791325</v>
      </c>
      <c r="N62" s="51">
        <v>4889</v>
      </c>
      <c r="O62" s="37">
        <v>3566.06</v>
      </c>
      <c r="P62" s="72">
        <f t="shared" si="24"/>
        <v>0</v>
      </c>
      <c r="Q62" s="49">
        <f t="shared" si="23"/>
        <v>0.47532362459546929</v>
      </c>
      <c r="R62" s="53"/>
      <c r="T62" s="53"/>
    </row>
    <row r="63" spans="1:20" ht="12" customHeight="1" x14ac:dyDescent="0.25">
      <c r="A63" s="35" t="s">
        <v>146</v>
      </c>
      <c r="B63" s="36" t="s">
        <v>147</v>
      </c>
      <c r="C63" s="40">
        <v>364526035</v>
      </c>
      <c r="D63" s="38">
        <f t="shared" si="19"/>
        <v>91131508.75</v>
      </c>
      <c r="E63" s="39">
        <v>0</v>
      </c>
      <c r="F63" s="40" t="s">
        <v>34</v>
      </c>
      <c r="G63" s="71">
        <v>0.25950000000000001</v>
      </c>
      <c r="H63" s="42">
        <v>0.2422</v>
      </c>
      <c r="I63" s="42">
        <v>0.25</v>
      </c>
      <c r="J63" s="44">
        <f t="shared" si="20"/>
        <v>0.25</v>
      </c>
      <c r="K63" s="39">
        <v>0</v>
      </c>
      <c r="L63" s="46">
        <f t="shared" si="21"/>
        <v>7.8000000000000014E-3</v>
      </c>
      <c r="M63" s="46">
        <f t="shared" si="22"/>
        <v>3.2204789430222958</v>
      </c>
      <c r="N63" s="51">
        <v>254</v>
      </c>
      <c r="O63" s="37">
        <v>63.5</v>
      </c>
      <c r="P63" s="72">
        <f t="shared" si="24"/>
        <v>0</v>
      </c>
      <c r="Q63" s="49">
        <f t="shared" si="23"/>
        <v>-3.6608863198458574E-2</v>
      </c>
      <c r="R63" s="53"/>
      <c r="T63" s="53"/>
    </row>
    <row r="64" spans="1:20" x14ac:dyDescent="0.25">
      <c r="A64" s="35" t="s">
        <v>148</v>
      </c>
      <c r="B64" s="36" t="s">
        <v>149</v>
      </c>
      <c r="C64" s="40">
        <v>30000000</v>
      </c>
      <c r="D64" s="38">
        <f t="shared" si="19"/>
        <v>300000000</v>
      </c>
      <c r="E64" s="39">
        <v>0</v>
      </c>
      <c r="F64" s="40" t="s">
        <v>66</v>
      </c>
      <c r="G64" s="71">
        <v>10</v>
      </c>
      <c r="H64" s="42">
        <v>10</v>
      </c>
      <c r="I64" s="42">
        <v>10</v>
      </c>
      <c r="J64" s="44">
        <f t="shared" si="20"/>
        <v>10</v>
      </c>
      <c r="K64" s="39">
        <v>0</v>
      </c>
      <c r="L64" s="46">
        <f t="shared" si="21"/>
        <v>0</v>
      </c>
      <c r="M64" s="46">
        <f t="shared" si="22"/>
        <v>0</v>
      </c>
      <c r="N64" s="51">
        <v>0</v>
      </c>
      <c r="O64" s="37">
        <v>0</v>
      </c>
      <c r="P64" s="72">
        <f t="shared" si="24"/>
        <v>0</v>
      </c>
      <c r="Q64" s="49">
        <f t="shared" si="23"/>
        <v>0</v>
      </c>
      <c r="T64" s="53"/>
    </row>
    <row r="65" spans="1:20" x14ac:dyDescent="0.25">
      <c r="A65" s="35" t="s">
        <v>150</v>
      </c>
      <c r="B65" s="36" t="s">
        <v>151</v>
      </c>
      <c r="C65" s="40">
        <v>344580486</v>
      </c>
      <c r="D65" s="38">
        <f t="shared" si="19"/>
        <v>38937594.917999998</v>
      </c>
      <c r="E65" s="39">
        <v>0</v>
      </c>
      <c r="F65" s="40" t="s">
        <v>44</v>
      </c>
      <c r="G65" s="71">
        <v>4.2999999999999997E-2</v>
      </c>
      <c r="H65" s="42">
        <v>0.113</v>
      </c>
      <c r="I65" s="42">
        <v>0.113</v>
      </c>
      <c r="J65" s="44">
        <f t="shared" si="20"/>
        <v>0.113</v>
      </c>
      <c r="K65" s="39">
        <v>0</v>
      </c>
      <c r="L65" s="46">
        <f t="shared" si="21"/>
        <v>0</v>
      </c>
      <c r="M65" s="46">
        <f t="shared" si="22"/>
        <v>0</v>
      </c>
      <c r="N65" s="51">
        <v>60</v>
      </c>
      <c r="O65" s="37">
        <v>6.78</v>
      </c>
      <c r="P65" s="72">
        <f t="shared" si="24"/>
        <v>0</v>
      </c>
      <c r="Q65" s="49">
        <f t="shared" si="23"/>
        <v>1.6279069767441863</v>
      </c>
      <c r="T65" s="53"/>
    </row>
    <row r="66" spans="1:20" ht="13.2" x14ac:dyDescent="0.35">
      <c r="A66" s="77"/>
      <c r="B66" s="36" t="s">
        <v>117</v>
      </c>
      <c r="C66" s="40"/>
      <c r="D66" s="78"/>
      <c r="E66" s="78"/>
      <c r="F66" s="40"/>
      <c r="G66" s="40"/>
      <c r="H66" s="42"/>
      <c r="I66" s="42"/>
      <c r="J66" s="42"/>
      <c r="K66" s="42"/>
      <c r="L66" s="46"/>
      <c r="M66" s="79"/>
      <c r="N66" s="62">
        <f>SUM(N50:N65)</f>
        <v>1220478</v>
      </c>
      <c r="O66" s="63">
        <f>SUM(O50:O65)</f>
        <v>541870.4800000001</v>
      </c>
      <c r="P66" s="80"/>
      <c r="Q66" s="64"/>
    </row>
    <row r="67" spans="1:20" ht="12.6" hidden="1" x14ac:dyDescent="0.3">
      <c r="A67" s="137" t="s">
        <v>152</v>
      </c>
      <c r="B67" s="138"/>
      <c r="C67" s="139"/>
      <c r="D67" s="139"/>
      <c r="E67" s="139"/>
      <c r="F67" s="139"/>
      <c r="G67" s="139"/>
      <c r="H67" s="139"/>
      <c r="I67" s="139"/>
      <c r="J67" s="139"/>
      <c r="K67" s="139"/>
      <c r="L67" s="139"/>
      <c r="M67" s="139"/>
      <c r="N67" s="139"/>
      <c r="O67" s="139"/>
      <c r="P67" s="139"/>
      <c r="Q67" s="140"/>
    </row>
    <row r="68" spans="1:20" ht="12.6" hidden="1" thickBot="1" x14ac:dyDescent="0.3">
      <c r="A68" s="81" t="s">
        <v>153</v>
      </c>
      <c r="B68" s="82" t="s">
        <v>154</v>
      </c>
      <c r="C68" s="83">
        <v>20000</v>
      </c>
      <c r="D68" s="84">
        <f>C68*J68</f>
        <v>0</v>
      </c>
      <c r="E68" s="84"/>
      <c r="F68" s="83" t="s">
        <v>155</v>
      </c>
      <c r="G68" s="83"/>
      <c r="H68" s="85">
        <v>100</v>
      </c>
      <c r="I68" s="85"/>
      <c r="J68" s="85"/>
      <c r="K68" s="85"/>
      <c r="L68" s="86">
        <f>I68-H68</f>
        <v>-100</v>
      </c>
      <c r="M68" s="87">
        <f>((I68-H68)/H68)*100</f>
        <v>-100</v>
      </c>
      <c r="N68" s="88" t="s">
        <v>57</v>
      </c>
      <c r="O68" s="88" t="s">
        <v>57</v>
      </c>
      <c r="P68" s="88"/>
      <c r="Q68" s="89">
        <v>100</v>
      </c>
    </row>
    <row r="69" spans="1:20" ht="12.6" thickBot="1" x14ac:dyDescent="0.3">
      <c r="A69" s="35"/>
      <c r="B69" s="36" t="s">
        <v>117</v>
      </c>
      <c r="C69" s="40"/>
      <c r="D69" s="37"/>
      <c r="E69" s="37"/>
      <c r="F69" s="40"/>
      <c r="G69" s="40"/>
      <c r="H69" s="42"/>
      <c r="I69" s="42"/>
      <c r="J69" s="42"/>
      <c r="K69" s="42"/>
      <c r="L69" s="46"/>
      <c r="M69" s="79"/>
      <c r="N69" s="90"/>
      <c r="O69" s="90"/>
      <c r="P69" s="90"/>
      <c r="Q69" s="64"/>
    </row>
    <row r="70" spans="1:20" ht="12.6" x14ac:dyDescent="0.3">
      <c r="A70" s="137" t="s">
        <v>156</v>
      </c>
      <c r="B70" s="138"/>
      <c r="C70" s="139"/>
      <c r="D70" s="139"/>
      <c r="E70" s="139"/>
      <c r="F70" s="139"/>
      <c r="G70" s="139"/>
      <c r="H70" s="139"/>
      <c r="I70" s="139"/>
      <c r="J70" s="139"/>
      <c r="K70" s="139"/>
      <c r="L70" s="139"/>
      <c r="M70" s="139"/>
      <c r="N70" s="139"/>
      <c r="O70" s="139"/>
      <c r="P70" s="139"/>
      <c r="Q70" s="140"/>
    </row>
    <row r="71" spans="1:20" x14ac:dyDescent="0.25">
      <c r="A71" s="35" t="s">
        <v>157</v>
      </c>
      <c r="B71" s="91" t="s">
        <v>158</v>
      </c>
      <c r="C71" s="92">
        <v>139300587</v>
      </c>
      <c r="D71" s="38">
        <f>C71*J71</f>
        <v>45718452.653399996</v>
      </c>
      <c r="E71" s="39">
        <f>C71*K71</f>
        <v>45718452.653399996</v>
      </c>
      <c r="F71" s="92" t="s">
        <v>159</v>
      </c>
      <c r="G71" s="92">
        <v>0.24</v>
      </c>
      <c r="H71" s="93">
        <v>0.32900000000000001</v>
      </c>
      <c r="I71" s="93">
        <v>0.32819999999999999</v>
      </c>
      <c r="J71" s="94">
        <f>I71</f>
        <v>0.32819999999999999</v>
      </c>
      <c r="K71" s="94">
        <f>J71</f>
        <v>0.32819999999999999</v>
      </c>
      <c r="L71" s="46">
        <f>I71-H71</f>
        <v>-8.0000000000002292E-4</v>
      </c>
      <c r="M71" s="46">
        <f>((I71-H71)/H71)*100</f>
        <v>-0.24316109422493096</v>
      </c>
      <c r="N71" s="95">
        <v>721</v>
      </c>
      <c r="O71" s="96">
        <v>236.67</v>
      </c>
      <c r="P71" s="72">
        <f>(R71)/J71</f>
        <v>0</v>
      </c>
      <c r="Q71" s="49">
        <f>J71/G71-1</f>
        <v>0.36749999999999994</v>
      </c>
      <c r="T71" s="53"/>
    </row>
    <row r="72" spans="1:20" x14ac:dyDescent="0.25">
      <c r="A72" s="35" t="s">
        <v>160</v>
      </c>
      <c r="B72" s="91" t="s">
        <v>161</v>
      </c>
      <c r="C72" s="92">
        <v>540751750</v>
      </c>
      <c r="D72" s="38">
        <f>C72*J72</f>
        <v>85438776.5</v>
      </c>
      <c r="E72" s="39">
        <f>C72*K72</f>
        <v>85438776.5</v>
      </c>
      <c r="F72" s="92" t="s">
        <v>159</v>
      </c>
      <c r="G72" s="92">
        <v>0.1</v>
      </c>
      <c r="H72" s="93">
        <v>0.14940000000000001</v>
      </c>
      <c r="I72" s="93">
        <v>0.158</v>
      </c>
      <c r="J72" s="94">
        <f>I72</f>
        <v>0.158</v>
      </c>
      <c r="K72" s="94">
        <f>J72</f>
        <v>0.158</v>
      </c>
      <c r="L72" s="46">
        <f>I72-H72</f>
        <v>8.5999999999999965E-3</v>
      </c>
      <c r="M72" s="46">
        <f>((I72-H72)/H72)*100</f>
        <v>5.7563587684069581</v>
      </c>
      <c r="N72" s="51">
        <v>2403</v>
      </c>
      <c r="O72" s="96">
        <v>379.75</v>
      </c>
      <c r="P72" s="97">
        <f>(R72)/J72</f>
        <v>2.3999999999999997E-2</v>
      </c>
      <c r="Q72" s="49">
        <f>J72/G72-1</f>
        <v>0.57999999999999985</v>
      </c>
      <c r="R72" s="5">
        <v>3.7919999999999998E-3</v>
      </c>
      <c r="T72" s="53"/>
    </row>
    <row r="73" spans="1:20" ht="13.8" thickBot="1" x14ac:dyDescent="0.4">
      <c r="A73" s="35"/>
      <c r="B73" s="36" t="s">
        <v>117</v>
      </c>
      <c r="C73" s="40"/>
      <c r="D73" s="37"/>
      <c r="E73" s="37"/>
      <c r="F73" s="40"/>
      <c r="G73" s="40"/>
      <c r="H73" s="42"/>
      <c r="I73" s="42"/>
      <c r="J73" s="42"/>
      <c r="K73" s="42"/>
      <c r="L73" s="46"/>
      <c r="M73" s="79"/>
      <c r="N73" s="62">
        <f>SUM(N71:N72)</f>
        <v>3124</v>
      </c>
      <c r="O73" s="63">
        <f>SUM(O71:O72)</f>
        <v>616.41999999999996</v>
      </c>
      <c r="P73" s="90"/>
      <c r="Q73" s="64"/>
    </row>
    <row r="74" spans="1:20" ht="12.6" x14ac:dyDescent="0.3">
      <c r="A74" s="137" t="s">
        <v>162</v>
      </c>
      <c r="B74" s="138"/>
      <c r="C74" s="139"/>
      <c r="D74" s="139"/>
      <c r="E74" s="139"/>
      <c r="F74" s="139"/>
      <c r="G74" s="139"/>
      <c r="H74" s="139"/>
      <c r="I74" s="139"/>
      <c r="J74" s="139"/>
      <c r="K74" s="139"/>
      <c r="L74" s="139"/>
      <c r="M74" s="139"/>
      <c r="N74" s="139"/>
      <c r="O74" s="139"/>
      <c r="P74" s="139"/>
      <c r="Q74" s="140"/>
    </row>
    <row r="75" spans="1:20" x14ac:dyDescent="0.25">
      <c r="A75" s="35" t="s">
        <v>163</v>
      </c>
      <c r="B75" s="91" t="s">
        <v>164</v>
      </c>
      <c r="C75" s="92">
        <v>64242951</v>
      </c>
      <c r="D75" s="38">
        <f>C75*J75</f>
        <v>7760548.4808</v>
      </c>
      <c r="E75" s="39">
        <f>C75*K75</f>
        <v>7760548.4808</v>
      </c>
      <c r="F75" s="92" t="s">
        <v>137</v>
      </c>
      <c r="G75" s="92">
        <v>0.1394</v>
      </c>
      <c r="H75" s="93">
        <v>0.1172</v>
      </c>
      <c r="I75" s="93">
        <v>0.1208</v>
      </c>
      <c r="J75" s="94">
        <f>I75</f>
        <v>0.1208</v>
      </c>
      <c r="K75" s="94">
        <f>J75</f>
        <v>0.1208</v>
      </c>
      <c r="L75" s="46">
        <f>I75-H75</f>
        <v>3.600000000000006E-3</v>
      </c>
      <c r="M75" s="46">
        <f>((I75-H75)/H75)*100</f>
        <v>3.0716723549488107</v>
      </c>
      <c r="N75" s="95">
        <v>221</v>
      </c>
      <c r="O75" s="96">
        <v>26.7</v>
      </c>
      <c r="P75" s="72">
        <f>(R75)/J75</f>
        <v>0</v>
      </c>
      <c r="Q75" s="49">
        <f>J75/G75-1</f>
        <v>-0.13342898134863701</v>
      </c>
    </row>
    <row r="76" spans="1:20" ht="13.2" x14ac:dyDescent="0.35">
      <c r="A76" s="35"/>
      <c r="B76" s="36" t="s">
        <v>117</v>
      </c>
      <c r="C76" s="40"/>
      <c r="D76" s="37"/>
      <c r="E76" s="37"/>
      <c r="F76" s="40"/>
      <c r="G76" s="40"/>
      <c r="H76" s="42"/>
      <c r="I76" s="42"/>
      <c r="J76" s="42"/>
      <c r="K76" s="42"/>
      <c r="L76" s="46"/>
      <c r="M76" s="79"/>
      <c r="N76" s="62"/>
      <c r="O76" s="63"/>
      <c r="P76" s="90"/>
      <c r="Q76" s="64"/>
    </row>
    <row r="77" spans="1:20" ht="12.6" x14ac:dyDescent="0.3">
      <c r="A77" s="133" t="s">
        <v>165</v>
      </c>
      <c r="B77" s="134"/>
      <c r="C77" s="135"/>
      <c r="D77" s="135"/>
      <c r="E77" s="135"/>
      <c r="F77" s="135"/>
      <c r="G77" s="135"/>
      <c r="H77" s="135"/>
      <c r="I77" s="135"/>
      <c r="J77" s="135"/>
      <c r="K77" s="135"/>
      <c r="L77" s="135"/>
      <c r="M77" s="135"/>
      <c r="N77" s="135"/>
      <c r="O77" s="135"/>
      <c r="P77" s="135"/>
      <c r="Q77" s="136"/>
    </row>
    <row r="78" spans="1:20" x14ac:dyDescent="0.25">
      <c r="A78" s="35" t="s">
        <v>166</v>
      </c>
      <c r="B78" s="36" t="s">
        <v>167</v>
      </c>
      <c r="C78" s="40">
        <v>31703227</v>
      </c>
      <c r="D78" s="38">
        <f>C78*J78</f>
        <v>160352.46770422769</v>
      </c>
      <c r="E78" s="39">
        <f>C78*K78</f>
        <v>133747.98890625002</v>
      </c>
      <c r="F78" s="40" t="s">
        <v>137</v>
      </c>
      <c r="G78" s="71">
        <v>0.105</v>
      </c>
      <c r="H78" s="42">
        <v>0.13500000000000001</v>
      </c>
      <c r="I78" s="42">
        <v>0.13500000000000001</v>
      </c>
      <c r="J78" s="44">
        <f>I78/$J$5</f>
        <v>5.0579225800650414E-3</v>
      </c>
      <c r="K78" s="45">
        <f>I78/$K$4</f>
        <v>4.2187500000000003E-3</v>
      </c>
      <c r="L78" s="46">
        <f>I78-H78</f>
        <v>0</v>
      </c>
      <c r="M78" s="98">
        <f>((I78-H78)/H78)*100</f>
        <v>0</v>
      </c>
      <c r="N78" s="37">
        <v>0</v>
      </c>
      <c r="O78" s="37">
        <v>0</v>
      </c>
      <c r="P78" s="40">
        <v>0</v>
      </c>
      <c r="Q78" s="49">
        <f>I78/G78-1</f>
        <v>0.28571428571428581</v>
      </c>
    </row>
    <row r="79" spans="1:20" x14ac:dyDescent="0.25">
      <c r="A79" s="35" t="s">
        <v>168</v>
      </c>
      <c r="B79" s="36" t="s">
        <v>169</v>
      </c>
      <c r="C79" s="40">
        <v>136162052</v>
      </c>
      <c r="D79" s="38">
        <f>C79*J79</f>
        <v>433624.11092960875</v>
      </c>
      <c r="E79" s="39">
        <f>C79*K79</f>
        <v>361680.450625</v>
      </c>
      <c r="F79" s="40" t="s">
        <v>137</v>
      </c>
      <c r="G79" s="71">
        <v>4.2500000000000003E-2</v>
      </c>
      <c r="H79" s="42">
        <v>8.5000000000000006E-2</v>
      </c>
      <c r="I79" s="42">
        <v>8.5000000000000006E-2</v>
      </c>
      <c r="J79" s="44">
        <f>I79/$J$5</f>
        <v>3.1846179207816929E-3</v>
      </c>
      <c r="K79" s="45">
        <f>I79/$K$4</f>
        <v>2.6562500000000002E-3</v>
      </c>
      <c r="L79" s="46">
        <f>I79-H79</f>
        <v>0</v>
      </c>
      <c r="M79" s="98">
        <f>((I79-H79)/H79)*100</f>
        <v>0</v>
      </c>
      <c r="N79" s="37">
        <v>0</v>
      </c>
      <c r="O79" s="37">
        <v>0</v>
      </c>
      <c r="P79" s="40">
        <v>0</v>
      </c>
      <c r="Q79" s="49">
        <f>I79/G79-1</f>
        <v>1</v>
      </c>
    </row>
    <row r="80" spans="1:20" x14ac:dyDescent="0.25">
      <c r="A80" s="35" t="s">
        <v>170</v>
      </c>
      <c r="B80" s="36" t="s">
        <v>171</v>
      </c>
      <c r="C80" s="40">
        <v>326179492</v>
      </c>
      <c r="D80" s="38">
        <f>C80*J80</f>
        <v>1466480.5491030617</v>
      </c>
      <c r="E80" s="39">
        <f>C80*K80</f>
        <v>1223173.095</v>
      </c>
      <c r="F80" s="40" t="s">
        <v>137</v>
      </c>
      <c r="G80" s="71">
        <v>6.0499999999999998E-2</v>
      </c>
      <c r="H80" s="42">
        <v>0.12</v>
      </c>
      <c r="I80" s="42">
        <v>0.12</v>
      </c>
      <c r="J80" s="44">
        <f>I80/$J$5</f>
        <v>4.4959311822800364E-3</v>
      </c>
      <c r="K80" s="45">
        <f>I80/$K$4</f>
        <v>3.7499999999999999E-3</v>
      </c>
      <c r="L80" s="46">
        <f>I80-H80</f>
        <v>0</v>
      </c>
      <c r="M80" s="98">
        <f>((I80-H80)/H80)*100</f>
        <v>0</v>
      </c>
      <c r="N80" s="37">
        <v>39000</v>
      </c>
      <c r="O80" s="37">
        <v>4680</v>
      </c>
      <c r="P80" s="40">
        <v>0</v>
      </c>
      <c r="Q80" s="49">
        <f>I80/G80-1</f>
        <v>0.98347107438016534</v>
      </c>
    </row>
    <row r="81" spans="1:243" x14ac:dyDescent="0.25">
      <c r="A81" s="35" t="s">
        <v>172</v>
      </c>
      <c r="B81" s="36" t="s">
        <v>173</v>
      </c>
      <c r="C81" s="37">
        <v>6677853</v>
      </c>
      <c r="D81" s="38">
        <f>C81*J81</f>
        <v>425328.20672291575</v>
      </c>
      <c r="E81" s="39">
        <f>C81*K81</f>
        <v>354760.94062499999</v>
      </c>
      <c r="F81" s="40" t="s">
        <v>137</v>
      </c>
      <c r="G81" s="71">
        <v>1.85</v>
      </c>
      <c r="H81" s="42">
        <v>1.7</v>
      </c>
      <c r="I81" s="42">
        <v>1.7</v>
      </c>
      <c r="J81" s="44">
        <f>I81/$J$5</f>
        <v>6.3692358415633851E-2</v>
      </c>
      <c r="K81" s="45">
        <f>I81/$K$4</f>
        <v>5.3124999999999999E-2</v>
      </c>
      <c r="L81" s="46">
        <f>I81-H81</f>
        <v>0</v>
      </c>
      <c r="M81" s="98">
        <f>((I81-H81)/H81)*100</f>
        <v>0</v>
      </c>
      <c r="N81" s="37">
        <v>0</v>
      </c>
      <c r="O81" s="37">
        <v>0</v>
      </c>
      <c r="P81" s="40">
        <v>0</v>
      </c>
      <c r="Q81" s="49">
        <f>I81/G81-1</f>
        <v>-8.1081081081081141E-2</v>
      </c>
    </row>
    <row r="82" spans="1:243" ht="15" thickBot="1" x14ac:dyDescent="0.4">
      <c r="A82" s="35"/>
      <c r="B82" s="36" t="s">
        <v>117</v>
      </c>
      <c r="C82" s="37"/>
      <c r="D82" s="37"/>
      <c r="E82" s="37"/>
      <c r="F82" s="40"/>
      <c r="G82" s="40"/>
      <c r="H82" s="42"/>
      <c r="I82" s="42"/>
      <c r="J82" s="42"/>
      <c r="K82" s="42"/>
      <c r="L82" s="46"/>
      <c r="M82" s="46"/>
      <c r="N82" s="62">
        <f>SUM(N78:N81)</f>
        <v>39000</v>
      </c>
      <c r="O82" s="63">
        <f>SUM(O78:O81)</f>
        <v>4680</v>
      </c>
      <c r="P82" s="80"/>
      <c r="Q82" s="64"/>
      <c r="V82" s="99"/>
      <c r="W82" s="99"/>
      <c r="DU82" s="100"/>
      <c r="DV82" s="100"/>
      <c r="DW82" s="101"/>
      <c r="DX82" s="102"/>
      <c r="DY82" s="102"/>
      <c r="DZ82" s="103"/>
      <c r="EA82" s="103"/>
      <c r="EB82" s="104"/>
      <c r="EC82" s="104"/>
      <c r="ED82" s="105"/>
      <c r="EE82" s="105"/>
      <c r="EF82" s="103"/>
      <c r="EG82" s="106"/>
      <c r="EH82" s="107"/>
      <c r="EI82" s="101"/>
      <c r="EJ82" s="100"/>
      <c r="EK82" s="100"/>
      <c r="EL82" s="101"/>
      <c r="EM82" s="102"/>
      <c r="EN82" s="102"/>
      <c r="EO82" s="103"/>
      <c r="EP82" s="103"/>
      <c r="EQ82" s="104"/>
      <c r="ER82" s="104"/>
      <c r="ES82" s="105"/>
      <c r="ET82" s="105"/>
      <c r="EU82" s="103"/>
      <c r="EV82" s="106"/>
      <c r="EW82" s="107"/>
      <c r="EX82" s="101"/>
      <c r="EY82" s="100"/>
      <c r="EZ82" s="100"/>
      <c r="FA82" s="101"/>
      <c r="FB82" s="102"/>
      <c r="FC82" s="102"/>
      <c r="FD82" s="103"/>
      <c r="FE82" s="103"/>
      <c r="FF82" s="104"/>
      <c r="FG82" s="104"/>
      <c r="FH82" s="105"/>
      <c r="FI82" s="105"/>
      <c r="FJ82" s="103"/>
      <c r="FK82" s="106"/>
      <c r="FL82" s="107"/>
      <c r="FM82" s="101"/>
      <c r="FN82" s="100"/>
      <c r="FO82" s="100"/>
      <c r="FP82" s="101"/>
      <c r="FQ82" s="102"/>
      <c r="FR82" s="102"/>
      <c r="FS82" s="103"/>
      <c r="FT82" s="103"/>
      <c r="FU82" s="104"/>
      <c r="FV82" s="104"/>
      <c r="FW82" s="105"/>
      <c r="FX82" s="105"/>
      <c r="FY82" s="103"/>
      <c r="FZ82" s="106"/>
      <c r="GA82" s="107"/>
      <c r="GB82" s="101"/>
      <c r="GC82" s="100"/>
      <c r="GD82" s="100"/>
      <c r="GE82" s="101"/>
      <c r="GF82" s="102"/>
      <c r="GG82" s="102"/>
      <c r="GH82" s="103"/>
      <c r="GI82" s="103"/>
      <c r="GJ82" s="104"/>
      <c r="GK82" s="104"/>
      <c r="GL82" s="105"/>
      <c r="GM82" s="105"/>
      <c r="GN82" s="103"/>
      <c r="GO82" s="106"/>
      <c r="GP82" s="107"/>
      <c r="GQ82" s="101"/>
      <c r="GR82" s="100"/>
      <c r="GS82" s="100"/>
      <c r="GT82" s="101"/>
      <c r="GU82" s="102"/>
      <c r="GV82" s="102"/>
      <c r="GW82" s="103"/>
      <c r="GX82" s="103"/>
      <c r="GY82" s="104"/>
      <c r="GZ82" s="104"/>
      <c r="HA82" s="105"/>
      <c r="HB82" s="105"/>
      <c r="HC82" s="103"/>
      <c r="HD82" s="106"/>
      <c r="HE82" s="107"/>
      <c r="HF82" s="101"/>
      <c r="HG82" s="100"/>
      <c r="HH82" s="100"/>
      <c r="HI82" s="101"/>
      <c r="HJ82" s="102"/>
      <c r="HK82" s="102"/>
      <c r="HL82" s="103"/>
      <c r="HM82" s="103"/>
      <c r="HN82" s="104"/>
      <c r="HO82" s="104"/>
      <c r="HP82" s="105"/>
      <c r="HQ82" s="105"/>
      <c r="HR82" s="103"/>
      <c r="HS82" s="106"/>
      <c r="HT82" s="107"/>
      <c r="HU82" s="101"/>
      <c r="HV82" s="100"/>
      <c r="HW82" s="100"/>
      <c r="HX82" s="101"/>
      <c r="HY82" s="102"/>
      <c r="HZ82" s="102"/>
      <c r="IA82" s="103"/>
      <c r="IB82" s="103"/>
      <c r="IC82" s="104"/>
      <c r="ID82" s="104"/>
      <c r="IE82" s="105"/>
      <c r="IF82" s="105"/>
      <c r="IG82" s="103"/>
      <c r="IH82" s="106"/>
      <c r="II82" s="107"/>
    </row>
    <row r="83" spans="1:243" ht="13.2" thickTop="1" x14ac:dyDescent="0.3">
      <c r="A83" s="137" t="s">
        <v>174</v>
      </c>
      <c r="B83" s="138"/>
      <c r="C83" s="139"/>
      <c r="D83" s="139"/>
      <c r="E83" s="139"/>
      <c r="F83" s="139"/>
      <c r="G83" s="139"/>
      <c r="H83" s="139"/>
      <c r="I83" s="139"/>
      <c r="J83" s="139"/>
      <c r="K83" s="139"/>
      <c r="L83" s="139"/>
      <c r="M83" s="139"/>
      <c r="N83" s="139"/>
      <c r="O83" s="139"/>
      <c r="P83" s="139"/>
      <c r="Q83" s="140"/>
    </row>
    <row r="84" spans="1:243" x14ac:dyDescent="0.25">
      <c r="A84" s="35" t="s">
        <v>175</v>
      </c>
      <c r="B84" s="36" t="s">
        <v>176</v>
      </c>
      <c r="C84" s="40">
        <v>368326244</v>
      </c>
      <c r="D84" s="38">
        <f>C84*J84</f>
        <v>29427957.023768488</v>
      </c>
      <c r="E84" s="39">
        <f>C84*K84</f>
        <v>24545491.104062498</v>
      </c>
      <c r="F84" s="40" t="s">
        <v>177</v>
      </c>
      <c r="G84" s="40">
        <v>1.3</v>
      </c>
      <c r="H84" s="42">
        <v>2.1324999999999998</v>
      </c>
      <c r="I84" s="42">
        <v>2.1324999999999998</v>
      </c>
      <c r="J84" s="44">
        <f>I84/$J$5</f>
        <v>7.9896443718434809E-2</v>
      </c>
      <c r="K84" s="45">
        <f>I84/$K$4</f>
        <v>6.6640624999999995E-2</v>
      </c>
      <c r="L84" s="46">
        <f>I84-H84</f>
        <v>0</v>
      </c>
      <c r="M84" s="46">
        <f>((I84-H84)/H84*100)</f>
        <v>0</v>
      </c>
      <c r="N84" s="108">
        <v>41</v>
      </c>
      <c r="O84" s="109">
        <v>87.432500000000005</v>
      </c>
      <c r="P84" s="52">
        <f>(R84)/J84</f>
        <v>0</v>
      </c>
      <c r="Q84" s="49">
        <f>I84/G84-1</f>
        <v>0.64038461538461511</v>
      </c>
      <c r="R84" s="53"/>
    </row>
    <row r="85" spans="1:243" s="110" customFormat="1" ht="12.6" thickBot="1" x14ac:dyDescent="0.3">
      <c r="A85" s="35" t="s">
        <v>178</v>
      </c>
      <c r="B85" s="36" t="s">
        <v>179</v>
      </c>
      <c r="C85" s="40">
        <v>1841105000</v>
      </c>
      <c r="D85" s="38">
        <f>C85*J85</f>
        <v>74729377.808833003</v>
      </c>
      <c r="E85" s="39">
        <f>C85*K85</f>
        <v>62330839.913125001</v>
      </c>
      <c r="F85" s="40" t="s">
        <v>177</v>
      </c>
      <c r="G85" s="40">
        <v>1.44347</v>
      </c>
      <c r="H85" s="42">
        <v>1.0476829999999999</v>
      </c>
      <c r="I85" s="42">
        <v>1.083364</v>
      </c>
      <c r="J85" s="44">
        <f>I85/$J$5</f>
        <v>4.058941657799691E-2</v>
      </c>
      <c r="K85" s="45">
        <f>I85/$K$4</f>
        <v>3.3855125E-2</v>
      </c>
      <c r="L85" s="46">
        <f>I85-H85</f>
        <v>3.5681000000000074E-2</v>
      </c>
      <c r="M85" s="46">
        <f>((I85-H85)/H85*100)</f>
        <v>3.4057057335090937</v>
      </c>
      <c r="N85" s="109">
        <v>796638</v>
      </c>
      <c r="O85" s="109">
        <v>863040.26500000001</v>
      </c>
      <c r="P85" s="48">
        <f>(R85)/J85</f>
        <v>5.3610033931347174E-2</v>
      </c>
      <c r="Q85" s="49">
        <f>I85/G85-1</f>
        <v>-0.24947245180017596</v>
      </c>
      <c r="R85" s="53">
        <v>2.176E-3</v>
      </c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</row>
    <row r="86" spans="1:243" ht="12.6" thickBot="1" x14ac:dyDescent="0.3">
      <c r="A86" s="81"/>
      <c r="B86" s="82"/>
      <c r="C86" s="83"/>
      <c r="D86" s="111"/>
      <c r="E86" s="84"/>
      <c r="F86" s="83"/>
      <c r="G86" s="83"/>
      <c r="H86" s="85"/>
      <c r="I86" s="85"/>
      <c r="J86" s="85"/>
      <c r="K86" s="85"/>
      <c r="L86" s="86"/>
      <c r="M86" s="86"/>
      <c r="N86" s="86"/>
      <c r="O86" s="86"/>
      <c r="P86" s="86"/>
      <c r="Q86" s="89"/>
    </row>
    <row r="87" spans="1:243" ht="12.6" thickBot="1" x14ac:dyDescent="0.3">
      <c r="A87" s="112"/>
      <c r="B87" s="113"/>
      <c r="C87" s="113"/>
      <c r="D87" s="113"/>
      <c r="E87" s="113"/>
      <c r="F87" s="114"/>
      <c r="G87" s="114"/>
      <c r="H87" s="60"/>
      <c r="M87" s="115"/>
      <c r="N87" s="115"/>
      <c r="O87" s="60"/>
      <c r="P87" s="60"/>
      <c r="Q87" s="116"/>
    </row>
    <row r="88" spans="1:243" ht="15" customHeight="1" thickBot="1" x14ac:dyDescent="0.3">
      <c r="A88" s="141" t="s">
        <v>180</v>
      </c>
      <c r="B88" s="142"/>
      <c r="C88" s="142"/>
      <c r="D88" s="143"/>
      <c r="E88" s="141" t="s">
        <v>181</v>
      </c>
      <c r="F88" s="142"/>
      <c r="G88" s="142"/>
      <c r="H88" s="143"/>
      <c r="I88" s="53"/>
      <c r="J88" s="144" t="s">
        <v>182</v>
      </c>
      <c r="K88" s="145"/>
      <c r="L88" s="146"/>
      <c r="M88" s="144" t="s">
        <v>183</v>
      </c>
      <c r="N88" s="145"/>
      <c r="O88" s="146"/>
      <c r="Q88" s="16"/>
    </row>
    <row r="89" spans="1:243" ht="15" customHeight="1" x14ac:dyDescent="0.25">
      <c r="A89" s="35" t="s">
        <v>68</v>
      </c>
      <c r="B89" s="117">
        <v>9.8000000000000004E-2</v>
      </c>
      <c r="D89" s="117">
        <v>13.953488372093037</v>
      </c>
      <c r="E89" s="35" t="s">
        <v>93</v>
      </c>
      <c r="F89" s="118">
        <v>3.839604</v>
      </c>
      <c r="H89" s="119">
        <v>-14.675466666666667</v>
      </c>
      <c r="J89" s="35" t="s">
        <v>127</v>
      </c>
      <c r="K89" s="52">
        <v>0.1794</v>
      </c>
      <c r="L89" s="120">
        <v>19.202657807308977</v>
      </c>
      <c r="M89" s="60" t="s">
        <v>142</v>
      </c>
      <c r="N89" s="118">
        <v>0.41299999999999998</v>
      </c>
      <c r="O89" s="119">
        <v>-8.2222222222222285</v>
      </c>
      <c r="Q89" s="16"/>
    </row>
    <row r="90" spans="1:243" ht="15" customHeight="1" x14ac:dyDescent="0.25">
      <c r="A90" s="35" t="s">
        <v>99</v>
      </c>
      <c r="B90" s="117">
        <v>0.39959000000000006</v>
      </c>
      <c r="D90" s="117">
        <v>7.0927973199330179</v>
      </c>
      <c r="E90" s="35" t="s">
        <v>35</v>
      </c>
      <c r="F90" s="118">
        <v>4.8361999999999995E-2</v>
      </c>
      <c r="H90" s="119">
        <v>-3.2760000000000149</v>
      </c>
      <c r="J90" s="35" t="s">
        <v>125</v>
      </c>
      <c r="K90" s="52">
        <v>2.3900000000000001E-2</v>
      </c>
      <c r="L90" s="120">
        <v>11.162790697674433</v>
      </c>
      <c r="M90" s="35" t="s">
        <v>140</v>
      </c>
      <c r="N90" s="118">
        <v>1.3557999999999999</v>
      </c>
      <c r="O90" s="119">
        <v>-2.2565063802177279</v>
      </c>
      <c r="Q90" s="16"/>
    </row>
    <row r="91" spans="1:243" ht="15" customHeight="1" x14ac:dyDescent="0.25">
      <c r="A91" s="35" t="s">
        <v>115</v>
      </c>
      <c r="B91" s="117">
        <v>3.7749999999999999</v>
      </c>
      <c r="C91" s="117"/>
      <c r="D91" s="117">
        <v>6.3906540812863915</v>
      </c>
      <c r="E91" s="35" t="s">
        <v>113</v>
      </c>
      <c r="F91" s="118">
        <v>0.75</v>
      </c>
      <c r="H91" s="119">
        <v>-1.3998040274349689E-2</v>
      </c>
      <c r="J91" s="35" t="s">
        <v>146</v>
      </c>
      <c r="K91" s="52">
        <v>0.25</v>
      </c>
      <c r="L91" s="120">
        <v>3.2204789430222958</v>
      </c>
      <c r="M91" s="35" t="s">
        <v>121</v>
      </c>
      <c r="N91" s="118">
        <v>38.9527</v>
      </c>
      <c r="O91" s="119">
        <v>-1.8653116032761388</v>
      </c>
      <c r="Q91" s="16"/>
    </row>
    <row r="92" spans="1:243" ht="15" customHeight="1" x14ac:dyDescent="0.25">
      <c r="A92" s="35" t="s">
        <v>79</v>
      </c>
      <c r="B92" s="117">
        <v>0.9</v>
      </c>
      <c r="C92" s="117"/>
      <c r="D92" s="117">
        <v>2.2727272727272747</v>
      </c>
      <c r="E92" s="35" t="s">
        <v>70</v>
      </c>
      <c r="F92" s="118">
        <v>10.6996</v>
      </c>
      <c r="H92" s="119">
        <v>-3.7383177570006337E-3</v>
      </c>
      <c r="J92" s="35" t="s">
        <v>133</v>
      </c>
      <c r="K92" s="52">
        <v>2.5899999999999999E-2</v>
      </c>
      <c r="L92" s="120">
        <v>3.1872509960159308</v>
      </c>
      <c r="M92" s="35" t="s">
        <v>138</v>
      </c>
      <c r="N92" s="118">
        <v>0.90339999999999998</v>
      </c>
      <c r="O92" s="119">
        <v>-0.16576417283678382</v>
      </c>
      <c r="Q92" s="16"/>
    </row>
    <row r="93" spans="1:243" ht="15" customHeight="1" x14ac:dyDescent="0.25">
      <c r="A93" s="35" t="s">
        <v>95</v>
      </c>
      <c r="B93" s="117">
        <v>5.0567000000000001E-2</v>
      </c>
      <c r="C93" s="117"/>
      <c r="D93" s="117">
        <v>0.73107569721116783</v>
      </c>
      <c r="E93" s="35"/>
      <c r="F93" s="118"/>
      <c r="G93" s="118"/>
      <c r="H93" s="119"/>
      <c r="J93" s="35" t="s">
        <v>119</v>
      </c>
      <c r="K93" s="52">
        <v>0.14299999999999999</v>
      </c>
      <c r="L93" s="120">
        <v>2.0699500356887839</v>
      </c>
      <c r="M93" s="35" t="s">
        <v>129</v>
      </c>
      <c r="N93" s="118">
        <v>1.4991000000000001</v>
      </c>
      <c r="O93" s="119">
        <v>-4.000800160031566E-2</v>
      </c>
      <c r="Q93" s="16"/>
    </row>
    <row r="94" spans="1:243" ht="15.75" customHeight="1" thickBot="1" x14ac:dyDescent="0.3">
      <c r="A94" s="121"/>
      <c r="B94" s="122"/>
      <c r="C94" s="122"/>
      <c r="D94" s="122"/>
      <c r="E94" s="121"/>
      <c r="F94" s="122"/>
      <c r="G94" s="122"/>
      <c r="H94" s="123"/>
      <c r="J94" s="121"/>
      <c r="K94" s="122"/>
      <c r="L94" s="123"/>
      <c r="M94" s="122"/>
      <c r="N94" s="122"/>
      <c r="O94" s="123"/>
      <c r="Q94" s="16"/>
    </row>
    <row r="95" spans="1:243" x14ac:dyDescent="0.25">
      <c r="A95" s="124"/>
      <c r="B95" s="125"/>
      <c r="C95" s="125"/>
      <c r="D95" s="125"/>
      <c r="E95" s="115"/>
      <c r="F95" s="115"/>
      <c r="G95" s="115"/>
      <c r="H95" s="115"/>
      <c r="I95" s="115"/>
      <c r="J95" s="115"/>
      <c r="K95" s="115"/>
      <c r="L95" s="115"/>
      <c r="M95" s="125"/>
      <c r="Q95" s="16"/>
    </row>
    <row r="96" spans="1:243" x14ac:dyDescent="0.25">
      <c r="A96" s="12" t="s">
        <v>184</v>
      </c>
      <c r="B96" s="126"/>
      <c r="C96" s="126"/>
      <c r="D96" s="126"/>
      <c r="E96" s="126"/>
      <c r="F96" s="13"/>
      <c r="G96" s="13"/>
      <c r="H96" s="13"/>
      <c r="I96" s="13"/>
      <c r="J96" s="13"/>
      <c r="K96" s="13"/>
      <c r="L96" s="13"/>
      <c r="M96" s="13"/>
      <c r="Q96" s="16"/>
    </row>
    <row r="97" spans="1:17" x14ac:dyDescent="0.25">
      <c r="A97" s="124"/>
      <c r="B97" s="125"/>
      <c r="C97" s="125"/>
      <c r="D97" s="125"/>
      <c r="E97" s="125"/>
      <c r="F97" s="115"/>
      <c r="G97" s="115"/>
      <c r="H97" s="125"/>
      <c r="I97" s="115"/>
      <c r="J97" s="115"/>
      <c r="K97" s="115"/>
      <c r="L97" s="115"/>
      <c r="M97" s="125"/>
      <c r="Q97" s="16"/>
    </row>
    <row r="98" spans="1:17" ht="12.6" thickBot="1" x14ac:dyDescent="0.3">
      <c r="A98" s="127"/>
      <c r="B98" s="128"/>
      <c r="C98" s="128"/>
      <c r="D98" s="128"/>
      <c r="E98" s="128"/>
      <c r="F98" s="129"/>
      <c r="G98" s="129"/>
      <c r="H98" s="129"/>
      <c r="I98" s="130"/>
      <c r="J98" s="130"/>
      <c r="K98" s="130"/>
      <c r="L98" s="130"/>
      <c r="M98" s="130"/>
      <c r="N98" s="130"/>
      <c r="O98" s="130"/>
      <c r="P98" s="130"/>
      <c r="Q98" s="131"/>
    </row>
    <row r="99" spans="1:17" x14ac:dyDescent="0.25">
      <c r="I99" s="32"/>
      <c r="J99" s="32"/>
      <c r="K99" s="32"/>
      <c r="L99" s="32"/>
      <c r="M99" s="32"/>
      <c r="N99" s="32"/>
      <c r="O99" s="32"/>
      <c r="P99" s="32"/>
    </row>
    <row r="100" spans="1:17" x14ac:dyDescent="0.25">
      <c r="I100" s="32"/>
      <c r="J100" s="32"/>
      <c r="K100" s="32"/>
      <c r="O100" s="32"/>
      <c r="P100" s="32"/>
    </row>
    <row r="101" spans="1:17" x14ac:dyDescent="0.25">
      <c r="I101" s="32"/>
      <c r="J101" s="32"/>
      <c r="K101" s="32"/>
      <c r="O101" s="32"/>
      <c r="P101" s="32"/>
    </row>
    <row r="102" spans="1:17" x14ac:dyDescent="0.25">
      <c r="I102" s="132"/>
      <c r="J102" s="132"/>
      <c r="K102" s="132"/>
      <c r="O102" s="132"/>
      <c r="P102" s="132"/>
    </row>
    <row r="104" spans="1:17" x14ac:dyDescent="0.25">
      <c r="I104" s="32"/>
      <c r="J104" s="32"/>
      <c r="K104" s="32"/>
      <c r="O104" s="32"/>
      <c r="P104" s="32"/>
    </row>
    <row r="105" spans="1:17" x14ac:dyDescent="0.25">
      <c r="I105" s="132"/>
      <c r="J105" s="132"/>
      <c r="K105" s="132"/>
      <c r="O105" s="132"/>
      <c r="P105" s="132"/>
    </row>
    <row r="106" spans="1:17" x14ac:dyDescent="0.25">
      <c r="I106" s="32"/>
      <c r="J106" s="32"/>
      <c r="K106" s="32"/>
      <c r="O106" s="32"/>
      <c r="P106" s="32"/>
    </row>
    <row r="107" spans="1:17" x14ac:dyDescent="0.25">
      <c r="I107" s="132"/>
      <c r="J107" s="132"/>
      <c r="K107" s="132"/>
      <c r="O107" s="132"/>
      <c r="P107" s="132"/>
    </row>
  </sheetData>
  <sheetProtection algorithmName="SHA-512" hashValue="m7v9TyDupqtBi1bJjAQ8/zugUDgGx3d1fTfVmXRh3beMnQjsLPF8iNDToL9wQkDkvr3FPRbtUx6ZXR4/Ki4Pig==" saltValue="OOoOk8V/4BtjRzVVbhUgeg==" spinCount="100000" sheet="1"/>
  <mergeCells count="12">
    <mergeCell ref="A74:Q74"/>
    <mergeCell ref="L5:M5"/>
    <mergeCell ref="A6:Q6"/>
    <mergeCell ref="A49:Q49"/>
    <mergeCell ref="A67:Q67"/>
    <mergeCell ref="A70:Q70"/>
    <mergeCell ref="A77:Q77"/>
    <mergeCell ref="A83:Q83"/>
    <mergeCell ref="A88:D88"/>
    <mergeCell ref="E88:H88"/>
    <mergeCell ref="J88:L88"/>
    <mergeCell ref="M88:O88"/>
  </mergeCells>
  <conditionalFormatting sqref="A9:A11">
    <cfRule type="duplicateValues" dxfId="41" priority="45" stopIfTrue="1"/>
  </conditionalFormatting>
  <conditionalFormatting sqref="A29:A34">
    <cfRule type="duplicateValues" dxfId="40" priority="46" stopIfTrue="1"/>
  </conditionalFormatting>
  <conditionalFormatting sqref="A92:A93">
    <cfRule type="duplicateValues" dxfId="39" priority="47" stopIfTrue="1"/>
  </conditionalFormatting>
  <conditionalFormatting sqref="E93">
    <cfRule type="duplicateValues" dxfId="38" priority="48" stopIfTrue="1"/>
  </conditionalFormatting>
  <conditionalFormatting sqref="L9:M26 L28:M46 L50:M65">
    <cfRule type="cellIs" dxfId="37" priority="42" stopIfTrue="1" operator="greaterThan">
      <formula>0</formula>
    </cfRule>
    <cfRule type="cellIs" priority="44" stopIfTrue="1" operator="greaterThan">
      <formula>0</formula>
    </cfRule>
    <cfRule type="cellIs" dxfId="36" priority="43" stopIfTrue="1" operator="greaterThan">
      <formula>0</formula>
    </cfRule>
    <cfRule type="cellIs" dxfId="35" priority="41" stopIfTrue="1" operator="lessThan">
      <formula>0</formula>
    </cfRule>
  </conditionalFormatting>
  <conditionalFormatting sqref="L9:M46 L50:M65">
    <cfRule type="cellIs" dxfId="34" priority="23" stopIfTrue="1" operator="greaterThan">
      <formula>0</formula>
    </cfRule>
    <cfRule type="cellIs" dxfId="33" priority="19" stopIfTrue="1" operator="lessThan">
      <formula>0</formula>
    </cfRule>
  </conditionalFormatting>
  <conditionalFormatting sqref="L27:M27">
    <cfRule type="cellIs" dxfId="32" priority="20" stopIfTrue="1" operator="greaterThan">
      <formula>0</formula>
    </cfRule>
    <cfRule type="cellIs" dxfId="31" priority="21" stopIfTrue="1" operator="lessThan">
      <formula>0</formula>
    </cfRule>
    <cfRule type="cellIs" dxfId="30" priority="22" stopIfTrue="1" operator="greaterThan">
      <formula>0</formula>
    </cfRule>
    <cfRule type="cellIs" priority="24" stopIfTrue="1" operator="greaterThan">
      <formula>0</formula>
    </cfRule>
  </conditionalFormatting>
  <conditionalFormatting sqref="L71:M72">
    <cfRule type="cellIs" dxfId="29" priority="13" stopIfTrue="1" operator="greaterThan">
      <formula>0</formula>
    </cfRule>
    <cfRule type="cellIs" dxfId="28" priority="9" stopIfTrue="1" operator="lessThan">
      <formula>0</formula>
    </cfRule>
    <cfRule type="cellIs" dxfId="27" priority="10" stopIfTrue="1" operator="greaterThan">
      <formula>0</formula>
    </cfRule>
    <cfRule type="cellIs" dxfId="26" priority="11" stopIfTrue="1" operator="lessThan">
      <formula>0</formula>
    </cfRule>
    <cfRule type="cellIs" dxfId="25" priority="12" stopIfTrue="1" operator="greaterThan">
      <formula>0</formula>
    </cfRule>
    <cfRule type="cellIs" priority="14" stopIfTrue="1" operator="greaterThan">
      <formula>0</formula>
    </cfRule>
  </conditionalFormatting>
  <conditionalFormatting sqref="L75:M75">
    <cfRule type="cellIs" dxfId="24" priority="3" stopIfTrue="1" operator="lessThan">
      <formula>0</formula>
    </cfRule>
    <cfRule type="cellIs" dxfId="23" priority="4" stopIfTrue="1" operator="greaterThan">
      <formula>0</formula>
    </cfRule>
    <cfRule type="cellIs" dxfId="22" priority="5" stopIfTrue="1" operator="greaterThan">
      <formula>0</formula>
    </cfRule>
    <cfRule type="cellIs" priority="6" stopIfTrue="1" operator="greaterThan">
      <formula>0</formula>
    </cfRule>
    <cfRule type="cellIs" dxfId="21" priority="1" stopIfTrue="1" operator="lessThan">
      <formula>0</formula>
    </cfRule>
    <cfRule type="cellIs" dxfId="20" priority="2" stopIfTrue="1" operator="greaterThan">
      <formula>0</formula>
    </cfRule>
  </conditionalFormatting>
  <conditionalFormatting sqref="L78:M81">
    <cfRule type="cellIs" dxfId="19" priority="35" stopIfTrue="1" operator="lessThan">
      <formula>0</formula>
    </cfRule>
    <cfRule type="cellIs" dxfId="18" priority="37" stopIfTrue="1" operator="lessThan">
      <formula>0</formula>
    </cfRule>
    <cfRule type="cellIs" dxfId="17" priority="38" stopIfTrue="1" operator="greaterThan">
      <formula>0</formula>
    </cfRule>
    <cfRule type="cellIs" dxfId="16" priority="39" stopIfTrue="1" operator="greaterThan">
      <formula>0</formula>
    </cfRule>
    <cfRule type="cellIs" priority="40" stopIfTrue="1" operator="greaterThan">
      <formula>0</formula>
    </cfRule>
    <cfRule type="cellIs" dxfId="15" priority="36" stopIfTrue="1" operator="greaterThan">
      <formula>0</formula>
    </cfRule>
  </conditionalFormatting>
  <conditionalFormatting sqref="L84:M85">
    <cfRule type="cellIs" dxfId="14" priority="29" stopIfTrue="1" operator="lessThan">
      <formula>0</formula>
    </cfRule>
    <cfRule type="cellIs" dxfId="13" priority="30" stopIfTrue="1" operator="greaterThan">
      <formula>0</formula>
    </cfRule>
    <cfRule type="cellIs" dxfId="12" priority="32" stopIfTrue="1" operator="greaterThan">
      <formula>0</formula>
    </cfRule>
    <cfRule type="cellIs" dxfId="11" priority="33" stopIfTrue="1" operator="greaterThan">
      <formula>0</formula>
    </cfRule>
    <cfRule type="cellIs" priority="34" stopIfTrue="1" operator="greaterThan">
      <formula>0</formula>
    </cfRule>
    <cfRule type="cellIs" dxfId="10" priority="31" stopIfTrue="1" operator="lessThan">
      <formula>0</formula>
    </cfRule>
  </conditionalFormatting>
  <conditionalFormatting sqref="Q9:Q46 Q50:Q65">
    <cfRule type="cellIs" dxfId="9" priority="18" stopIfTrue="1" operator="lessThan">
      <formula>0</formula>
    </cfRule>
    <cfRule type="cellIs" dxfId="8" priority="17" stopIfTrue="1" operator="greaterThan">
      <formula>0</formula>
    </cfRule>
  </conditionalFormatting>
  <conditionalFormatting sqref="Q71:Q72">
    <cfRule type="cellIs" dxfId="7" priority="16" stopIfTrue="1" operator="lessThan">
      <formula>0</formula>
    </cfRule>
    <cfRule type="cellIs" dxfId="6" priority="15" stopIfTrue="1" operator="greaterThan">
      <formula>0</formula>
    </cfRule>
  </conditionalFormatting>
  <conditionalFormatting sqref="Q75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8:Q81">
    <cfRule type="cellIs" dxfId="3" priority="27" stopIfTrue="1" operator="greaterThan">
      <formula>0</formula>
    </cfRule>
    <cfRule type="cellIs" dxfId="2" priority="28" stopIfTrue="1" operator="lessThan">
      <formula>0</formula>
    </cfRule>
  </conditionalFormatting>
  <conditionalFormatting sqref="Q84:Q85">
    <cfRule type="cellIs" dxfId="1" priority="25" stopIfTrue="1" operator="greaterThan">
      <formula>0</formula>
    </cfRule>
    <cfRule type="cellIs" dxfId="0" priority="26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2026-09-09T13:49:34Z</dcterms:created>
  <dcterms:modified xsi:type="dcterms:W3CDTF">2026-09-09T13:53:46Z</dcterms:modified>
</cp:coreProperties>
</file>