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9.06.26/"/>
    </mc:Choice>
  </mc:AlternateContent>
  <xr:revisionPtr revIDLastSave="17" documentId="8_{2D18A85B-145D-4088-A2A2-73176FDB00EA}" xr6:coauthVersionLast="47" xr6:coauthVersionMax="47" xr10:uidLastSave="{04231FF0-6498-4002-81E9-211044ACB97A}"/>
  <bookViews>
    <workbookView xWindow="-108" yWindow="-108" windowWidth="23256" windowHeight="12456" xr2:uid="{11CCEFDB-FC18-499C-A06F-132D1541A929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D84" i="1"/>
  <c r="Q83" i="1"/>
  <c r="P83" i="1"/>
  <c r="M83" i="1"/>
  <c r="L83" i="1"/>
  <c r="K83" i="1"/>
  <c r="E83" i="1" s="1"/>
  <c r="J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M74" i="1"/>
  <c r="L74" i="1"/>
  <c r="J74" i="1"/>
  <c r="Q74" i="1" s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P39" i="1" s="1"/>
  <c r="D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P21" i="1" s="1"/>
  <c r="D21" i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D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P10" i="1" s="1"/>
  <c r="D10" i="1"/>
  <c r="Q9" i="1"/>
  <c r="M9" i="1"/>
  <c r="L9" i="1"/>
  <c r="K9" i="1"/>
  <c r="E9" i="1" s="1"/>
  <c r="J9" i="1"/>
  <c r="P9" i="1" s="1"/>
  <c r="D46" i="1" l="1"/>
  <c r="D12" i="1"/>
  <c r="D36" i="1"/>
  <c r="D57" i="1"/>
  <c r="D51" i="1"/>
  <c r="D55" i="1"/>
  <c r="D59" i="1"/>
  <c r="P24" i="1"/>
  <c r="P44" i="1"/>
  <c r="P33" i="1"/>
  <c r="D34" i="1"/>
  <c r="D53" i="1"/>
  <c r="D14" i="1"/>
  <c r="P42" i="1"/>
  <c r="D25" i="1"/>
  <c r="D27" i="1"/>
  <c r="D61" i="1"/>
  <c r="P51" i="1"/>
  <c r="Q71" i="1"/>
  <c r="P16" i="1"/>
  <c r="P71" i="1"/>
  <c r="D9" i="1"/>
  <c r="D37" i="1"/>
  <c r="D52" i="1"/>
  <c r="P41" i="1"/>
  <c r="D22" i="1"/>
  <c r="D11" i="1"/>
  <c r="D28" i="1"/>
  <c r="D74" i="1"/>
  <c r="K70" i="1"/>
  <c r="E70" i="1" s="1"/>
  <c r="P56" i="1"/>
  <c r="P23" i="1"/>
  <c r="P26" i="1"/>
  <c r="P29" i="1"/>
  <c r="P32" i="1"/>
  <c r="P35" i="1"/>
  <c r="P52" i="1"/>
  <c r="Q54" i="1"/>
  <c r="Q56" i="1"/>
  <c r="Q58" i="1"/>
  <c r="Q60" i="1"/>
  <c r="Q62" i="1"/>
  <c r="Q64" i="1"/>
  <c r="P70" i="1"/>
  <c r="Q70" i="1"/>
  <c r="K74" i="1"/>
  <c r="E74" i="1" s="1"/>
  <c r="P54" i="1"/>
  <c r="P60" i="1"/>
  <c r="P64" i="1"/>
  <c r="P20" i="1"/>
  <c r="P55" i="1"/>
  <c r="P57" i="1"/>
  <c r="P59" i="1"/>
  <c r="P61" i="1"/>
  <c r="P63" i="1"/>
  <c r="P74" i="1"/>
  <c r="P58" i="1"/>
  <c r="P62" i="1"/>
</calcChain>
</file>

<file path=xl/sharedStrings.xml><?xml version="1.0" encoding="utf-8"?>
<sst xmlns="http://schemas.openxmlformats.org/spreadsheetml/2006/main" count="263" uniqueCount="182">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</sst>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B527C041-4FA2-4082-B64A-2547EE0448DC}"/>
    <cellStyle name="Comma 5 2 2 2 2 2 2 2 2" xfId="4" xr:uid="{F42F723A-F786-43AE-9D2A-51E8CCD84B98}"/>
    <cellStyle name="Comma 6 2 2 2" xfId="5" xr:uid="{F46D34AA-8914-4E79-887E-76FD0595387B}"/>
    <cellStyle name="Hyperlink 2" xfId="8" xr:uid="{D98E6FE6-FFA4-47B5-97C3-97F77225BF95}"/>
    <cellStyle name="Normal" xfId="0" builtinId="0"/>
    <cellStyle name="Normal 2" xfId="2" xr:uid="{FBCAC7F9-F69B-4531-A63F-67F4BE210AC4}"/>
    <cellStyle name="Normal 20" xfId="7" xr:uid="{E81FD282-E449-4368-830A-DFA728B352B5}"/>
    <cellStyle name="Percent" xfId="1" builtinId="5"/>
    <cellStyle name="Percent 3" xfId="6" xr:uid="{24BEB645-58B2-41DA-9DF5-42515894C3BA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4277CC1-4861-444E-9AD0-989DD34D3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EF814469-9FE1-4EF5-A20D-F67E8C59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29D0-39B7-4877-BDC7-31C723CE277C}">
  <dimension ref="A1:II106"/>
  <sheetViews>
    <sheetView tabSelected="1" zoomScale="73" zoomScaleNormal="60" workbookViewId="0">
      <selection activeCell="P75" sqref="P7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26.7713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73624341.447744414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0.59018426449219874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2.5415791139240505E-2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3823312.5006079278</v>
      </c>
      <c r="E10" s="39">
        <f>C10*K10</f>
        <v>3249366.5380166671</v>
      </c>
      <c r="F10" s="40" t="s">
        <v>34</v>
      </c>
      <c r="G10" s="41">
        <v>3.1600000000000003E-2</v>
      </c>
      <c r="H10" s="42">
        <v>6.0807E-2</v>
      </c>
      <c r="I10" s="42">
        <v>6.2895000000000006E-2</v>
      </c>
      <c r="J10" s="43">
        <f>I10/$J$5</f>
        <v>2.3493442604580281E-3</v>
      </c>
      <c r="K10" s="44">
        <f>I10/$K$4</f>
        <v>1.996666666666667E-3</v>
      </c>
      <c r="L10" s="45">
        <f>I10-H10</f>
        <v>2.0880000000000065E-3</v>
      </c>
      <c r="M10" s="45">
        <f>((I10-H10)/H10)*100</f>
        <v>3.4338151857516515</v>
      </c>
      <c r="N10" s="46">
        <v>17500</v>
      </c>
      <c r="O10" s="37">
        <v>1100.6600000000001</v>
      </c>
      <c r="P10" s="50">
        <f>(R10)/J10</f>
        <v>0</v>
      </c>
      <c r="Q10" s="48">
        <f>I10/G10-1</f>
        <v>0.99034810126582284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3590973.1309275227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8.2177555815369438E-3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3700</v>
      </c>
      <c r="O11" s="37">
        <v>814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136404277.66526091</v>
      </c>
      <c r="E12" s="39">
        <f>C12*K12</f>
        <v>115927613.92571428</v>
      </c>
      <c r="F12" s="40" t="s">
        <v>34</v>
      </c>
      <c r="G12" s="41">
        <v>97.381</v>
      </c>
      <c r="H12" s="42">
        <v>153.9016</v>
      </c>
      <c r="I12" s="42">
        <v>176.98</v>
      </c>
      <c r="J12" s="43">
        <f>I12/$J$5</f>
        <v>6.6108108310018556</v>
      </c>
      <c r="K12" s="44">
        <f>I12/$K$4</f>
        <v>5.6184126984126985</v>
      </c>
      <c r="L12" s="45">
        <f>I12-H12</f>
        <v>23.078399999999988</v>
      </c>
      <c r="M12" s="45">
        <f>((I12-H12)/H12)*100</f>
        <v>14.995555601761119</v>
      </c>
      <c r="N12" s="46">
        <v>132</v>
      </c>
      <c r="O12" s="37">
        <v>23200.15</v>
      </c>
      <c r="P12" s="50">
        <f>(R12)/J12</f>
        <v>0</v>
      </c>
      <c r="Q12" s="48">
        <f>I12/G12-1</f>
        <v>0.81739764430433026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4731314.2639318965</v>
      </c>
      <c r="E13" s="39">
        <f>C13*K13</f>
        <v>4021061.3826666665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0.54164347640943844</v>
      </c>
      <c r="K13" s="44">
        <f>I13/$K$4</f>
        <v>0.46033333333333332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362975348.87286007</v>
      </c>
      <c r="E14" s="39">
        <f>C14*K14</f>
        <v>308486411.34222221</v>
      </c>
      <c r="F14" s="40" t="s">
        <v>47</v>
      </c>
      <c r="G14" s="41">
        <v>11.5</v>
      </c>
      <c r="H14" s="42">
        <v>18</v>
      </c>
      <c r="I14" s="42">
        <v>18.591999999999999</v>
      </c>
      <c r="J14" s="43">
        <f>I14/$J$5</f>
        <v>0.69447505350879479</v>
      </c>
      <c r="K14" s="44">
        <f>I14/$K$4</f>
        <v>0.5902222222222222</v>
      </c>
      <c r="L14" s="45">
        <f>I14-H14</f>
        <v>0.59199999999999875</v>
      </c>
      <c r="M14" s="45">
        <f>((I14-H14)/H14)*100</f>
        <v>3.2888888888888821</v>
      </c>
      <c r="N14" s="46">
        <v>52268</v>
      </c>
      <c r="O14" s="37">
        <v>971540.4</v>
      </c>
      <c r="P14" s="50">
        <f>(R14)/J14</f>
        <v>0</v>
      </c>
      <c r="Q14" s="48">
        <f>I14/G14-1</f>
        <v>0.61669565217391287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23765945.247335766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0.22412060676918938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16</v>
      </c>
      <c r="O15" s="37">
        <v>110.4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40117684.759425201</v>
      </c>
      <c r="E16" s="39">
        <f>C16*K16</f>
        <v>34095319.809523806</v>
      </c>
      <c r="F16" s="40" t="s">
        <v>34</v>
      </c>
      <c r="G16" s="41">
        <v>1.9</v>
      </c>
      <c r="H16" s="42">
        <v>3</v>
      </c>
      <c r="I16" s="42">
        <v>3</v>
      </c>
      <c r="J16" s="43">
        <f>I16/$J$5</f>
        <v>0.11206030338459469</v>
      </c>
      <c r="K16" s="44">
        <f>I16/$K$4</f>
        <v>9.5238095238095233E-2</v>
      </c>
      <c r="L16" s="45">
        <f>I16-H16</f>
        <v>0</v>
      </c>
      <c r="M16" s="45">
        <f>((I16-H16)/H16)*100</f>
        <v>0</v>
      </c>
      <c r="N16" s="46">
        <v>13</v>
      </c>
      <c r="O16" s="37">
        <v>39.202500000000001</v>
      </c>
      <c r="P16" s="50">
        <f>(R16)/J16</f>
        <v>0</v>
      </c>
      <c r="Q16" s="48">
        <f>I16/G16-1</f>
        <v>0.57894736842105265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1499332229.816165</v>
      </c>
      <c r="E17" s="39">
        <f>C17*K17</f>
        <v>1274256283.3040476</v>
      </c>
      <c r="F17" s="40" t="s">
        <v>34</v>
      </c>
      <c r="G17" s="41">
        <v>20.701700000000002</v>
      </c>
      <c r="H17" s="42">
        <v>29.742399999999996</v>
      </c>
      <c r="I17" s="42">
        <v>29.918499999999998</v>
      </c>
      <c r="J17" s="43">
        <f>I17/$J$5</f>
        <v>1.1175587289373321</v>
      </c>
      <c r="K17" s="44">
        <f>I17/$K$4</f>
        <v>0.94979365079365075</v>
      </c>
      <c r="L17" s="45">
        <f>I17-H17</f>
        <v>0.1761000000000017</v>
      </c>
      <c r="M17" s="45">
        <f>((I17-H17)/H17)*100</f>
        <v>0.59208402818871952</v>
      </c>
      <c r="N17" s="46">
        <v>40150</v>
      </c>
      <c r="O17" s="37">
        <v>1201330</v>
      </c>
      <c r="P17" s="47">
        <f>(R17)/J17</f>
        <v>4.4740378026973282E-2</v>
      </c>
      <c r="Q17" s="48">
        <f>I17/G17-1</f>
        <v>0.44521947472912826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287390850.05771106</v>
      </c>
      <c r="E19" s="39">
        <f>C19*K19</f>
        <v>244248465.52857143</v>
      </c>
      <c r="F19" s="40" t="s">
        <v>47</v>
      </c>
      <c r="G19" s="41">
        <v>12.45</v>
      </c>
      <c r="H19" s="42">
        <v>11.45</v>
      </c>
      <c r="I19" s="42">
        <v>11.45</v>
      </c>
      <c r="J19" s="43">
        <f>I19/$J$5</f>
        <v>0.42769682458453639</v>
      </c>
      <c r="K19" s="44">
        <f>I19/$K$4</f>
        <v>0.36349206349206348</v>
      </c>
      <c r="L19" s="45">
        <f>I19-H19</f>
        <v>0</v>
      </c>
      <c r="M19" s="45">
        <f>((I19-H19)/H19)*100</f>
        <v>0</v>
      </c>
      <c r="N19" s="46">
        <v>0</v>
      </c>
      <c r="O19" s="37">
        <v>0</v>
      </c>
      <c r="P19" s="50">
        <f>(R19)/J19</f>
        <v>0</v>
      </c>
      <c r="Q19" s="48">
        <f>I19/G19-1</f>
        <v>-8.0321285140562249E-2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2402543.1464105221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2.2057203049534391E-2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55296413.087896369</v>
      </c>
      <c r="E21" s="39">
        <f>C21*K21</f>
        <v>46995455.990476191</v>
      </c>
      <c r="F21" s="40" t="s">
        <v>47</v>
      </c>
      <c r="G21" s="41">
        <v>2.85</v>
      </c>
      <c r="H21" s="42">
        <v>2.1408330000000002</v>
      </c>
      <c r="I21" s="42">
        <v>2.145</v>
      </c>
      <c r="J21" s="43">
        <f>I21/$J$5</f>
        <v>8.0123116919985207E-2</v>
      </c>
      <c r="K21" s="44">
        <f>I21/$K$4</f>
        <v>6.8095238095238098E-2</v>
      </c>
      <c r="L21" s="45">
        <f>I21-H21</f>
        <v>4.1669999999998097E-3</v>
      </c>
      <c r="M21" s="45">
        <f>((I21-H21)/H21)*100</f>
        <v>0.1946438605907051</v>
      </c>
      <c r="N21" s="46">
        <v>642</v>
      </c>
      <c r="O21" s="37">
        <v>1384.1475</v>
      </c>
      <c r="P21" s="50">
        <f>(R21)/J21</f>
        <v>0</v>
      </c>
      <c r="Q21" s="48">
        <f>I21/G21-1</f>
        <v>-0.24736842105263157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41554498.425552741</v>
      </c>
      <c r="E22" s="39">
        <f>C22*K22</f>
        <v>35316442.657142855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3.361809101537841E-2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2204777.0758237364</v>
      </c>
      <c r="E23" s="39">
        <f>C23*K23</f>
        <v>1873801.5406349206</v>
      </c>
      <c r="F23" s="40" t="s">
        <v>44</v>
      </c>
      <c r="G23" s="41">
        <v>0.1</v>
      </c>
      <c r="H23" s="42">
        <v>0.1075</v>
      </c>
      <c r="I23" s="42">
        <v>0.11</v>
      </c>
      <c r="J23" s="43">
        <f>I23/$J$5</f>
        <v>4.1088777907684719E-3</v>
      </c>
      <c r="K23" s="44">
        <f>I23/$K$4</f>
        <v>3.4920634920634921E-3</v>
      </c>
      <c r="L23" s="45">
        <f>I23-H23</f>
        <v>2.5000000000000022E-3</v>
      </c>
      <c r="M23" s="45">
        <f>((I23-H23)/H23)*100</f>
        <v>2.3255813953488391</v>
      </c>
      <c r="N23" s="46">
        <v>900</v>
      </c>
      <c r="O23" s="37">
        <v>99</v>
      </c>
      <c r="P23" s="50">
        <f>(R23)/J23</f>
        <v>0</v>
      </c>
      <c r="Q23" s="48">
        <f>I23/G23-1</f>
        <v>9.9999999999999867E-2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67485422.039273396</v>
      </c>
      <c r="E24" s="39">
        <f>C24*K24</f>
        <v>57354681.874285705</v>
      </c>
      <c r="F24" s="40" t="s">
        <v>34</v>
      </c>
      <c r="G24" s="41">
        <v>8.1687659999999997</v>
      </c>
      <c r="H24" s="42">
        <v>10.8996</v>
      </c>
      <c r="I24" s="42">
        <v>9.36</v>
      </c>
      <c r="J24" s="43">
        <f>I24/$J$5</f>
        <v>0.3496281465599354</v>
      </c>
      <c r="K24" s="44">
        <f>I24/$K$4</f>
        <v>0.2971428571428571</v>
      </c>
      <c r="L24" s="45">
        <f>I24-H24</f>
        <v>-1.5396000000000001</v>
      </c>
      <c r="M24" s="45">
        <f>((I24-H24)/H24)*100</f>
        <v>-14.125289001431247</v>
      </c>
      <c r="N24" s="46">
        <v>1300</v>
      </c>
      <c r="O24" s="37">
        <v>12168</v>
      </c>
      <c r="P24" s="50">
        <f>(R24)/J24</f>
        <v>0</v>
      </c>
      <c r="Q24" s="48">
        <f>I24/G24-1</f>
        <v>0.14582790105629173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107736069.65391366</v>
      </c>
      <c r="E25" s="39">
        <f>C25*K25</f>
        <v>91563004.492883146</v>
      </c>
      <c r="F25" s="40" t="s">
        <v>66</v>
      </c>
      <c r="G25" s="41">
        <v>1.6675</v>
      </c>
      <c r="H25" s="42">
        <v>1.7090909999999999</v>
      </c>
      <c r="I25" s="42">
        <v>1.7090909999999999</v>
      </c>
      <c r="J25" s="43">
        <f>I25/$J$5</f>
        <v>6.3840418657293438E-2</v>
      </c>
      <c r="K25" s="44">
        <f>I25/$K$4</f>
        <v>5.4256857142857141E-2</v>
      </c>
      <c r="L25" s="45">
        <f>I25-H25</f>
        <v>0</v>
      </c>
      <c r="M25" s="45">
        <f>((I25-H25)/H25)*100</f>
        <v>0</v>
      </c>
      <c r="N25" s="46">
        <v>0</v>
      </c>
      <c r="O25" s="37">
        <v>0</v>
      </c>
      <c r="P25" s="50">
        <f>(R25)/J25</f>
        <v>0</v>
      </c>
      <c r="Q25" s="48">
        <f>I25/G25-1</f>
        <v>2.4942128935532271E-2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27720100.693653282</v>
      </c>
      <c r="E26" s="39">
        <f>C26*K26</f>
        <v>23558829.577777777</v>
      </c>
      <c r="F26" s="40" t="s">
        <v>44</v>
      </c>
      <c r="G26" s="41">
        <v>1.7994999999999999</v>
      </c>
      <c r="H26" s="42">
        <v>3</v>
      </c>
      <c r="I26" s="42">
        <v>3.1</v>
      </c>
      <c r="J26" s="43">
        <f>I26/$J$5</f>
        <v>0.11579564683074786</v>
      </c>
      <c r="K26" s="44">
        <f>I26/$K$4</f>
        <v>9.841269841269841E-2</v>
      </c>
      <c r="L26" s="45">
        <f>I26-H26</f>
        <v>0.10000000000000009</v>
      </c>
      <c r="M26" s="45">
        <f>((I26-H26)/H26)*100</f>
        <v>3.3333333333333361</v>
      </c>
      <c r="N26" s="46">
        <v>276</v>
      </c>
      <c r="O26" s="37">
        <v>855.6</v>
      </c>
      <c r="P26" s="50">
        <f>(R26)/J26</f>
        <v>0</v>
      </c>
      <c r="Q26" s="48">
        <f>I26/G26-1</f>
        <v>0.72270075020839131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28166898.582764793</v>
      </c>
      <c r="E27" s="39">
        <f>C27*K27</f>
        <v>23938555.302500669</v>
      </c>
      <c r="F27" s="40" t="s">
        <v>34</v>
      </c>
      <c r="G27" s="41">
        <v>3.1361369999999997</v>
      </c>
      <c r="H27" s="42">
        <v>2.9438310000000003</v>
      </c>
      <c r="I27" s="42">
        <v>2.9438310000000003</v>
      </c>
      <c r="J27" s="43">
        <f>I27/$J$5</f>
        <v>0.10996219832432494</v>
      </c>
      <c r="K27" s="44">
        <f>I27/$K$4</f>
        <v>9.3454952380952389E-2</v>
      </c>
      <c r="L27" s="45">
        <f>I27-H27</f>
        <v>0</v>
      </c>
      <c r="M27" s="45">
        <f>((I27-H27)/H27)*100</f>
        <v>0</v>
      </c>
      <c r="N27" s="46">
        <v>0</v>
      </c>
      <c r="O27" s="37">
        <v>0</v>
      </c>
      <c r="P27" s="50">
        <f>(R27)/J27</f>
        <v>0</v>
      </c>
      <c r="Q27" s="48">
        <f>I27/G27-1</f>
        <v>-6.13193875140019E-2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24344969.691890199</v>
      </c>
      <c r="E28" s="39">
        <f>C28*K28</f>
        <v>20690364.670238096</v>
      </c>
      <c r="F28" s="40" t="s">
        <v>44</v>
      </c>
      <c r="G28" s="41">
        <v>0.8</v>
      </c>
      <c r="H28" s="42">
        <v>0.86250000000000004</v>
      </c>
      <c r="I28" s="42">
        <v>0.86250000000000004</v>
      </c>
      <c r="J28" s="43">
        <f>I28/$J$5</f>
        <v>3.2217337223070977E-2</v>
      </c>
      <c r="K28" s="44">
        <f>I28/$K$4</f>
        <v>2.7380952380952381E-2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7.8125E-2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80770023.725033894</v>
      </c>
      <c r="E29" s="39">
        <f>C29*K29</f>
        <v>68645032.893650785</v>
      </c>
      <c r="F29" s="40" t="s">
        <v>47</v>
      </c>
      <c r="G29" s="41">
        <v>5.15</v>
      </c>
      <c r="H29" s="42">
        <v>5.35</v>
      </c>
      <c r="I29" s="42">
        <v>5.35</v>
      </c>
      <c r="J29" s="43">
        <f>I29/$J$5</f>
        <v>0.19984087436919387</v>
      </c>
      <c r="K29" s="44">
        <f>I29/$K$4</f>
        <v>0.16984126984126982</v>
      </c>
      <c r="L29" s="45">
        <f>I29-H29</f>
        <v>0</v>
      </c>
      <c r="M29" s="45">
        <f>((I29-H29)/H29)*100</f>
        <v>0</v>
      </c>
      <c r="N29" s="46">
        <v>500</v>
      </c>
      <c r="O29" s="37">
        <v>2675</v>
      </c>
      <c r="P29" s="50">
        <f>(R29)/J29</f>
        <v>0</v>
      </c>
      <c r="Q29" s="48">
        <f>I29/G29-1</f>
        <v>3.883495145631044E-2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12561822.484097149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4.8339565131316001E-2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3874486.8385173674</v>
      </c>
      <c r="E33" s="39">
        <f>C33*K33</f>
        <v>3292858.7142857141</v>
      </c>
      <c r="F33" s="40" t="s">
        <v>39</v>
      </c>
      <c r="G33" s="41">
        <v>0.65</v>
      </c>
      <c r="H33" s="42">
        <v>0.75</v>
      </c>
      <c r="I33" s="42">
        <v>0.85</v>
      </c>
      <c r="J33" s="43">
        <f>I33/$J$5</f>
        <v>3.1750419292301831E-2</v>
      </c>
      <c r="K33" s="44">
        <f>I33/$K$4</f>
        <v>2.6984126984126982E-2</v>
      </c>
      <c r="L33" s="45">
        <f>I33-H33</f>
        <v>9.9999999999999978E-2</v>
      </c>
      <c r="M33" s="45">
        <f>((I33-H33)/H33)*100</f>
        <v>13.33333333333333</v>
      </c>
      <c r="N33" s="46">
        <v>7500</v>
      </c>
      <c r="O33" s="37">
        <v>6375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158466059.66464087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6.3500838584603661E-2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606</v>
      </c>
      <c r="O34" s="37">
        <v>1028.7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37875334.107794546</v>
      </c>
      <c r="E35" s="39">
        <f>C35*K35</f>
        <v>32189585.142857142</v>
      </c>
      <c r="F35" s="40" t="s">
        <v>34</v>
      </c>
      <c r="G35" s="41">
        <v>3.6056249999999999</v>
      </c>
      <c r="H35" s="42">
        <v>4</v>
      </c>
      <c r="I35" s="42">
        <v>4</v>
      </c>
      <c r="J35" s="43">
        <f>I35/$J$5</f>
        <v>0.14941373784612627</v>
      </c>
      <c r="K35" s="44">
        <f>I35/$K$4</f>
        <v>0.12698412698412698</v>
      </c>
      <c r="L35" s="45">
        <f>I35-H35</f>
        <v>0</v>
      </c>
      <c r="M35" s="45">
        <f>((I35-H35)/H35)*100</f>
        <v>0</v>
      </c>
      <c r="N35" s="46">
        <v>20013</v>
      </c>
      <c r="O35" s="37">
        <v>80044.2</v>
      </c>
      <c r="P35" s="50">
        <f>(R35)/J35</f>
        <v>0</v>
      </c>
      <c r="Q35" s="48">
        <f>I35/G35-1</f>
        <v>0.10937770844167094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7044983.3306563376</v>
      </c>
      <c r="E36" s="39">
        <f>C36*K36</f>
        <v>5987408.3250793647</v>
      </c>
      <c r="F36" s="40" t="s">
        <v>34</v>
      </c>
      <c r="G36" s="41">
        <v>2.5099999999999997E-2</v>
      </c>
      <c r="H36" s="42">
        <v>0.04</v>
      </c>
      <c r="I36" s="42">
        <v>0.04</v>
      </c>
      <c r="J36" s="43">
        <f>I36/$J$5</f>
        <v>1.4941373784612627E-3</v>
      </c>
      <c r="K36" s="44">
        <f>I36/$K$4</f>
        <v>1.2698412698412698E-3</v>
      </c>
      <c r="L36" s="45">
        <f>I36-H36</f>
        <v>0</v>
      </c>
      <c r="M36" s="45">
        <f>((I36-H36)/H36)*100</f>
        <v>0</v>
      </c>
      <c r="N36" s="46">
        <v>4000</v>
      </c>
      <c r="O36" s="37">
        <v>160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50925328.441987507</v>
      </c>
      <c r="E37" s="39">
        <f>C37*K37</f>
        <v>43280547.470443808</v>
      </c>
      <c r="F37" s="40" t="s">
        <v>92</v>
      </c>
      <c r="G37" s="41">
        <v>0.61</v>
      </c>
      <c r="H37" s="42">
        <v>5.3627779999999996</v>
      </c>
      <c r="I37" s="42">
        <v>5.2222220000000004</v>
      </c>
      <c r="J37" s="43">
        <f>I37/$J$5</f>
        <v>0.19506792722056832</v>
      </c>
      <c r="K37" s="44">
        <f>I37/$K$4</f>
        <v>0.1657848253968254</v>
      </c>
      <c r="L37" s="45">
        <f>I37-H37</f>
        <v>-0.14055599999999924</v>
      </c>
      <c r="M37" s="45">
        <f>((I37-H37)/H37)*100</f>
        <v>-2.6209550348718378</v>
      </c>
      <c r="N37" s="46">
        <v>1044</v>
      </c>
      <c r="O37" s="37">
        <v>5421.52</v>
      </c>
      <c r="P37" s="50">
        <f>(R37)/J37</f>
        <v>0</v>
      </c>
      <c r="Q37" s="48">
        <f>I37/G37-1</f>
        <v>7.5610196721311489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22720065.880439125</v>
      </c>
      <c r="E38" s="39">
        <f>C38*K38</f>
        <v>19309387.29222222</v>
      </c>
      <c r="F38" s="40" t="s">
        <v>56</v>
      </c>
      <c r="G38" s="41">
        <v>0.11650199999999999</v>
      </c>
      <c r="H38" s="42">
        <v>0.144985</v>
      </c>
      <c r="I38" s="42">
        <v>0.14499999999999999</v>
      </c>
      <c r="J38" s="43">
        <f>I38/$J$5</f>
        <v>5.4162479969220769E-3</v>
      </c>
      <c r="K38" s="44">
        <f>I38/$K$4</f>
        <v>4.603174603174603E-3</v>
      </c>
      <c r="L38" s="45">
        <f>I38-H38</f>
        <v>1.4999999999987246E-5</v>
      </c>
      <c r="M38" s="45">
        <f>((I38-H38)/H38)*100</f>
        <v>1.0345897851493082E-2</v>
      </c>
      <c r="N38" s="46">
        <v>2253</v>
      </c>
      <c r="O38" s="37">
        <v>326.685</v>
      </c>
      <c r="P38" s="50">
        <v>0</v>
      </c>
      <c r="Q38" s="48">
        <f>I38/G38-1</f>
        <v>0.2446138263720794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92184824.479946807</v>
      </c>
      <c r="E39" s="39">
        <f>C39*K39</f>
        <v>78346272.749206349</v>
      </c>
      <c r="F39" s="40" t="s">
        <v>34</v>
      </c>
      <c r="G39" s="41">
        <v>2.6005000000000003</v>
      </c>
      <c r="H39" s="42">
        <v>6.8</v>
      </c>
      <c r="I39" s="42">
        <v>6.8</v>
      </c>
      <c r="J39" s="43">
        <f>I39/$J$5</f>
        <v>0.25400335433841464</v>
      </c>
      <c r="K39" s="44">
        <f>I39/$K$4</f>
        <v>0.21587301587301586</v>
      </c>
      <c r="L39" s="45">
        <f>I39-H39</f>
        <v>0</v>
      </c>
      <c r="M39" s="45">
        <f>((I39-H39)/H39)*100</f>
        <v>0</v>
      </c>
      <c r="N39" s="46">
        <v>1600</v>
      </c>
      <c r="O39" s="37">
        <v>10880</v>
      </c>
      <c r="P39" s="50">
        <f>(R39)/J39</f>
        <v>0</v>
      </c>
      <c r="Q39" s="48">
        <f>I39/G39-1</f>
        <v>1.6148817535089401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16120720.693429159</v>
      </c>
      <c r="E40" s="39">
        <f>C40*K40</f>
        <v>13700719.044444444</v>
      </c>
      <c r="F40" s="40" t="s">
        <v>39</v>
      </c>
      <c r="G40" s="41">
        <v>0.1</v>
      </c>
      <c r="H40" s="42">
        <v>9.0200000000000002E-2</v>
      </c>
      <c r="I40" s="42">
        <v>0.1</v>
      </c>
      <c r="J40" s="43">
        <f>I40/$J$5</f>
        <v>3.7353434461531569E-3</v>
      </c>
      <c r="K40" s="44">
        <f>I40/$K$4</f>
        <v>3.1746031746031746E-3</v>
      </c>
      <c r="L40" s="45">
        <f>I40-H40</f>
        <v>9.8000000000000032E-3</v>
      </c>
      <c r="M40" s="45">
        <f>((I40-H40)/H40)*100</f>
        <v>10.864745011086478</v>
      </c>
      <c r="N40" s="46">
        <v>100000</v>
      </c>
      <c r="O40" s="37">
        <v>10000</v>
      </c>
      <c r="P40" s="50">
        <f>(R40)/J40</f>
        <v>0</v>
      </c>
      <c r="Q40" s="48">
        <f>I40/G40-1</f>
        <v>0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6840746.9058282571</v>
      </c>
      <c r="E41" s="39">
        <f>C41*K41</f>
        <v>5813831.3536507934</v>
      </c>
      <c r="F41" s="40" t="s">
        <v>44</v>
      </c>
      <c r="G41" s="41">
        <v>1.7452379999999998</v>
      </c>
      <c r="H41" s="42">
        <v>1.72</v>
      </c>
      <c r="I41" s="42">
        <v>1.72</v>
      </c>
      <c r="J41" s="43">
        <f>I41/$J$5</f>
        <v>6.4247907273834295E-2</v>
      </c>
      <c r="K41" s="44">
        <f>I41/$K$4</f>
        <v>5.4603174603174605E-2</v>
      </c>
      <c r="L41" s="45">
        <f>I41-H41</f>
        <v>0</v>
      </c>
      <c r="M41" s="45">
        <f>((I41-H41)/H41)*100</f>
        <v>0</v>
      </c>
      <c r="N41" s="46">
        <v>1040</v>
      </c>
      <c r="O41" s="37">
        <v>1788.9</v>
      </c>
      <c r="P41" s="50">
        <f>(R41)/J41</f>
        <v>0</v>
      </c>
      <c r="Q41" s="48">
        <f>I41/G41-1</f>
        <v>-1.4461064909198518E-2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2656578.3925323016</v>
      </c>
      <c r="E42" s="39">
        <f>C42*K42</f>
        <v>2257779.591111111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1.4941373784612627E-3</v>
      </c>
      <c r="K42" s="44">
        <f>I42/$K$4</f>
        <v>1.2698412698412698E-3</v>
      </c>
      <c r="L42" s="45">
        <f>I42-H42</f>
        <v>0</v>
      </c>
      <c r="M42" s="45">
        <f>((I42-H42)/H42)*100</f>
        <v>0</v>
      </c>
      <c r="N42" s="46">
        <v>17089</v>
      </c>
      <c r="O42" s="37">
        <v>683.56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34028655.253947325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0.19423785919996414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48</v>
      </c>
      <c r="O43" s="37">
        <v>250.54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311.53055316701091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6.7236182030756815E-7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1510393.5931389211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2.6222110991995159E-3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46353158.84716095</v>
      </c>
      <c r="E46" s="39">
        <f>C46*K46</f>
        <v>39394740.363333337</v>
      </c>
      <c r="F46" s="40" t="s">
        <v>47</v>
      </c>
      <c r="G46" s="41">
        <v>0.9998999999999999</v>
      </c>
      <c r="H46" s="42">
        <v>0.68182900000000002</v>
      </c>
      <c r="I46" s="42">
        <v>0.6825</v>
      </c>
      <c r="J46" s="43">
        <f>I46/$J$5</f>
        <v>2.5493719019995292E-2</v>
      </c>
      <c r="K46" s="44">
        <f>I46/$K$4</f>
        <v>2.1666666666666667E-2</v>
      </c>
      <c r="L46" s="45">
        <f>I46-H46</f>
        <v>6.7099999999997717E-4</v>
      </c>
      <c r="M46" s="45">
        <f>((I46-H46)/H46)*100</f>
        <v>9.8411771866549702E-2</v>
      </c>
      <c r="N46" s="46">
        <v>200</v>
      </c>
      <c r="O46" s="37">
        <v>136.5</v>
      </c>
      <c r="P46" s="50">
        <f>(R46)/J46</f>
        <v>0</v>
      </c>
      <c r="Q46" s="48">
        <f>I46/G46-1</f>
        <v>-0.31743174317431733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4985919.3167085648</v>
      </c>
      <c r="E47" s="39">
        <f>C47*K47</f>
        <v>4237445.7715365076</v>
      </c>
      <c r="F47" s="40" t="s">
        <v>47</v>
      </c>
      <c r="G47" s="41">
        <v>1.4503460000000001</v>
      </c>
      <c r="H47" s="42">
        <v>1.2803469999999999</v>
      </c>
      <c r="I47" s="42">
        <v>1.299545</v>
      </c>
      <c r="J47" s="43">
        <f>I47/$J$5</f>
        <v>4.8542468987311037E-2</v>
      </c>
      <c r="K47" s="44">
        <f>I47/$K$4</f>
        <v>4.1255396825396827E-2</v>
      </c>
      <c r="L47" s="45">
        <f>I47-H47</f>
        <v>1.9198000000000048E-2</v>
      </c>
      <c r="M47" s="45">
        <f>((I47-H47)/H47)*100</f>
        <v>1.4994372619297778</v>
      </c>
      <c r="N47" s="46">
        <v>10727400</v>
      </c>
      <c r="O47" s="37">
        <v>13940738</v>
      </c>
      <c r="P47" s="50">
        <v>0</v>
      </c>
      <c r="Q47" s="48">
        <f>I47/G47-1</f>
        <v>-0.10397587885925164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11000190</v>
      </c>
      <c r="O48" s="60">
        <f>SUM(O9:O47)</f>
        <v>16273150.165000001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83349030.261600003</v>
      </c>
      <c r="E51" s="39">
        <v>0</v>
      </c>
      <c r="F51" s="40" t="s">
        <v>92</v>
      </c>
      <c r="G51" s="68">
        <v>0.1</v>
      </c>
      <c r="H51" s="42">
        <v>0.15540000000000001</v>
      </c>
      <c r="I51" s="42">
        <v>0.1502</v>
      </c>
      <c r="J51" s="43">
        <f>I51</f>
        <v>0.1502</v>
      </c>
      <c r="K51" s="39">
        <v>0</v>
      </c>
      <c r="L51" s="45">
        <f>I51-H51</f>
        <v>-5.2000000000000102E-3</v>
      </c>
      <c r="M51" s="45">
        <f>((I51-H51)/H51)*100</f>
        <v>-3.3462033462033522</v>
      </c>
      <c r="N51" s="46">
        <v>25003</v>
      </c>
      <c r="O51" s="37">
        <v>3755.4</v>
      </c>
      <c r="P51" s="69">
        <f>(R51)/J51</f>
        <v>0</v>
      </c>
      <c r="Q51" s="48">
        <f>J51/G51-1</f>
        <v>0.502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59114543.4925</v>
      </c>
      <c r="E52" s="39">
        <v>0</v>
      </c>
      <c r="F52" s="40" t="s">
        <v>39</v>
      </c>
      <c r="G52" s="68">
        <v>39.9</v>
      </c>
      <c r="H52" s="42">
        <v>46.645699999999998</v>
      </c>
      <c r="I52" s="42">
        <v>55.890500000000003</v>
      </c>
      <c r="J52" s="43">
        <f>I52</f>
        <v>55.890500000000003</v>
      </c>
      <c r="K52" s="39">
        <v>0</v>
      </c>
      <c r="L52" s="45">
        <f>I52-H52</f>
        <v>9.244800000000005</v>
      </c>
      <c r="M52" s="45">
        <f>((I52-H52)/H52)*100</f>
        <v>19.819190193308291</v>
      </c>
      <c r="N52" s="46">
        <v>200</v>
      </c>
      <c r="O52" s="37">
        <v>11178.1</v>
      </c>
      <c r="P52" s="70">
        <f>(R52)/J52</f>
        <v>1.0019591880552152E-2</v>
      </c>
      <c r="Q52" s="48">
        <f>J52/G52-1</f>
        <v>0.40076441102756899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735174498.97710001</v>
      </c>
      <c r="E53" s="39"/>
      <c r="F53" s="40" t="s">
        <v>56</v>
      </c>
      <c r="G53" s="68">
        <v>0.33</v>
      </c>
      <c r="H53" s="42">
        <v>0.24829999999999999</v>
      </c>
      <c r="I53" s="42">
        <v>0.2457</v>
      </c>
      <c r="J53" s="43">
        <f>I53</f>
        <v>0.2457</v>
      </c>
      <c r="K53" s="39">
        <v>0</v>
      </c>
      <c r="L53" s="45">
        <f>I53-H53</f>
        <v>-2.5999999999999912E-3</v>
      </c>
      <c r="M53" s="45">
        <f>((I53-H53)/H53)*100</f>
        <v>-1.047120418848164</v>
      </c>
      <c r="N53" s="46">
        <v>44646</v>
      </c>
      <c r="O53" s="37">
        <v>10969.71</v>
      </c>
      <c r="P53" s="69">
        <v>0</v>
      </c>
      <c r="Q53" s="48">
        <f>J53/G53-1</f>
        <v>-0.25545454545454549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15670342.235100001</v>
      </c>
      <c r="E54" s="39">
        <v>0</v>
      </c>
      <c r="F54" s="40" t="s">
        <v>34</v>
      </c>
      <c r="G54" s="68">
        <v>2.3E-2</v>
      </c>
      <c r="H54" s="42">
        <v>2.5700000000000001E-2</v>
      </c>
      <c r="I54" s="42">
        <v>2.5700000000000001E-2</v>
      </c>
      <c r="J54" s="43">
        <f>I54</f>
        <v>2.5700000000000001E-2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0.11739130434782608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265262176.4883</v>
      </c>
      <c r="E55" s="39">
        <v>0</v>
      </c>
      <c r="F55" s="40" t="s">
        <v>47</v>
      </c>
      <c r="G55" s="68">
        <v>9.0200000000000002E-2</v>
      </c>
      <c r="H55" s="42">
        <v>0.1222</v>
      </c>
      <c r="I55" s="42">
        <v>0.1227</v>
      </c>
      <c r="J55" s="43">
        <f>I55</f>
        <v>0.1227</v>
      </c>
      <c r="K55" s="39">
        <v>0</v>
      </c>
      <c r="L55" s="45">
        <f>I55-H55</f>
        <v>5.0000000000000044E-4</v>
      </c>
      <c r="M55" s="71">
        <f>((I55-H55)/H55)*100</f>
        <v>0.40916530278232444</v>
      </c>
      <c r="N55" s="46">
        <v>5796</v>
      </c>
      <c r="O55" s="37">
        <v>711.1</v>
      </c>
      <c r="P55" s="69">
        <f>(R55)/J55</f>
        <v>0</v>
      </c>
      <c r="Q55" s="48">
        <f>J55/G55-1</f>
        <v>0.36031042128603108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776579225.18000007</v>
      </c>
      <c r="E56" s="39">
        <v>0</v>
      </c>
      <c r="F56" s="40" t="s">
        <v>34</v>
      </c>
      <c r="G56" s="68">
        <v>0.95750000000000002</v>
      </c>
      <c r="H56" s="42">
        <v>1.3001</v>
      </c>
      <c r="I56" s="42">
        <v>1.3484</v>
      </c>
      <c r="J56" s="43">
        <f>I56</f>
        <v>1.3484</v>
      </c>
      <c r="K56" s="39">
        <v>0</v>
      </c>
      <c r="L56" s="45">
        <f>I56-H56</f>
        <v>4.830000000000001E-2</v>
      </c>
      <c r="M56" s="45">
        <f>((I56-H56)/H56)*100</f>
        <v>3.7150988385508814</v>
      </c>
      <c r="N56" s="46">
        <v>57420</v>
      </c>
      <c r="O56" s="37">
        <v>77425.58</v>
      </c>
      <c r="P56" s="70">
        <f>(R56)/J56</f>
        <v>3.4856125778700682E-2</v>
      </c>
      <c r="Q56" s="48">
        <f>J56/G56-1</f>
        <v>0.4082506527415144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25222382.899199996</v>
      </c>
      <c r="E57" s="39">
        <v>0</v>
      </c>
      <c r="F57" s="40" t="s">
        <v>34</v>
      </c>
      <c r="G57" s="68">
        <v>0.1595</v>
      </c>
      <c r="H57" s="42">
        <v>0.15</v>
      </c>
      <c r="I57" s="42">
        <v>0.15359999999999999</v>
      </c>
      <c r="J57" s="43">
        <f>I57</f>
        <v>0.15359999999999999</v>
      </c>
      <c r="K57" s="39">
        <v>0</v>
      </c>
      <c r="L57" s="45">
        <f>I57-H57</f>
        <v>3.5999999999999921E-3</v>
      </c>
      <c r="M57" s="45">
        <f>((I57-H57)/H57)*100</f>
        <v>2.399999999999995</v>
      </c>
      <c r="N57" s="46">
        <v>3954</v>
      </c>
      <c r="O57" s="37">
        <v>607.34</v>
      </c>
      <c r="P57" s="69">
        <f>(R57)/J57</f>
        <v>0</v>
      </c>
      <c r="Q57" s="48">
        <f>J57/G57-1</f>
        <v>-3.6990595611285371E-2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16924577.770799998</v>
      </c>
      <c r="E58" s="39">
        <v>0</v>
      </c>
      <c r="F58" s="40" t="s">
        <v>92</v>
      </c>
      <c r="G58" s="68">
        <v>1.6799999999999999E-2</v>
      </c>
      <c r="H58" s="42">
        <v>2.0199999999999999E-2</v>
      </c>
      <c r="I58" s="42">
        <v>2.1299999999999999E-2</v>
      </c>
      <c r="J58" s="43">
        <f>I58</f>
        <v>2.1299999999999999E-2</v>
      </c>
      <c r="K58" s="39">
        <v>0</v>
      </c>
      <c r="L58" s="45">
        <f>I58-H58</f>
        <v>1.1000000000000003E-3</v>
      </c>
      <c r="M58" s="71">
        <f>((I58-H58)/H58)*100</f>
        <v>5.4455445544554468</v>
      </c>
      <c r="N58" s="46">
        <v>21400</v>
      </c>
      <c r="O58" s="37">
        <v>455.75</v>
      </c>
      <c r="P58" s="69">
        <f>(R58)/J58</f>
        <v>0</v>
      </c>
      <c r="Q58" s="48">
        <f>J58/G58-1</f>
        <v>0.26785714285714302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2564240.7000000002</v>
      </c>
      <c r="E59" s="39">
        <v>0</v>
      </c>
      <c r="F59" s="40" t="s">
        <v>138</v>
      </c>
      <c r="G59" s="68">
        <v>19.5</v>
      </c>
      <c r="H59" s="42">
        <v>16</v>
      </c>
      <c r="I59" s="42">
        <v>15.9</v>
      </c>
      <c r="J59" s="43">
        <f>I59</f>
        <v>15.9</v>
      </c>
      <c r="K59" s="39">
        <v>0</v>
      </c>
      <c r="L59" s="45">
        <f>I59-H59</f>
        <v>-9.9999999999999645E-2</v>
      </c>
      <c r="M59" s="45">
        <f>((I59-H59)/H59)*100</f>
        <v>-0.62499999999999778</v>
      </c>
      <c r="N59" s="46">
        <v>6</v>
      </c>
      <c r="O59" s="37">
        <v>95.4</v>
      </c>
      <c r="P59" s="69">
        <f>(R59)/J59</f>
        <v>0</v>
      </c>
      <c r="Q59" s="48">
        <f>J59/G59-1</f>
        <v>-0.18461538461538463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809679466.57070005</v>
      </c>
      <c r="E60" s="39">
        <v>0</v>
      </c>
      <c r="F60" s="40" t="s">
        <v>92</v>
      </c>
      <c r="G60" s="68">
        <v>0.59499999999999997</v>
      </c>
      <c r="H60" s="42">
        <v>1.0643</v>
      </c>
      <c r="I60" s="42">
        <v>1.0057</v>
      </c>
      <c r="J60" s="43">
        <f>I60</f>
        <v>1.0057</v>
      </c>
      <c r="K60" s="39">
        <v>0</v>
      </c>
      <c r="L60" s="45">
        <f>I60-H60</f>
        <v>-5.8599999999999985E-2</v>
      </c>
      <c r="M60" s="45">
        <f>((I60-H60)/H60)*100</f>
        <v>-5.5059663628676114</v>
      </c>
      <c r="N60" s="46">
        <v>108456</v>
      </c>
      <c r="O60" s="37">
        <v>109076.37</v>
      </c>
      <c r="P60" s="69">
        <f>(R60)/J60</f>
        <v>0</v>
      </c>
      <c r="Q60" s="48">
        <f>J60/G60-1</f>
        <v>0.69025210084033617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72087564.227000013</v>
      </c>
      <c r="E61" s="39">
        <v>0</v>
      </c>
      <c r="F61" s="40" t="s">
        <v>34</v>
      </c>
      <c r="G61" s="68">
        <v>0.22600000000000001</v>
      </c>
      <c r="H61" s="42">
        <v>0.28999999999999998</v>
      </c>
      <c r="I61" s="42">
        <v>0.27650000000000002</v>
      </c>
      <c r="J61" s="43">
        <f>I61</f>
        <v>0.27650000000000002</v>
      </c>
      <c r="K61" s="39">
        <v>0</v>
      </c>
      <c r="L61" s="45">
        <f>I61-H61</f>
        <v>-1.3499999999999956E-2</v>
      </c>
      <c r="M61" s="45">
        <f>((I61-H61)/H61)*100</f>
        <v>-4.6551724137930881</v>
      </c>
      <c r="N61" s="46">
        <v>1320</v>
      </c>
      <c r="O61" s="37">
        <v>364.95</v>
      </c>
      <c r="P61" s="69">
        <f>(R61)/J61</f>
        <v>0</v>
      </c>
      <c r="Q61" s="48">
        <f>J61/G61-1</f>
        <v>0.22345132743362828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385265235.21640003</v>
      </c>
      <c r="E62" s="39">
        <v>0</v>
      </c>
      <c r="F62" s="40" t="s">
        <v>34</v>
      </c>
      <c r="G62" s="68">
        <v>0.49440000000000001</v>
      </c>
      <c r="H62" s="42">
        <v>0.68830000000000002</v>
      </c>
      <c r="I62" s="42">
        <v>0.68530000000000002</v>
      </c>
      <c r="J62" s="43">
        <f>I62</f>
        <v>0.68530000000000002</v>
      </c>
      <c r="K62" s="39">
        <v>0</v>
      </c>
      <c r="L62" s="45">
        <f>I62-H62</f>
        <v>-3.0000000000000027E-3</v>
      </c>
      <c r="M62" s="45">
        <f>((I62-H62)/H62)*100</f>
        <v>-0.43585645793985217</v>
      </c>
      <c r="N62" s="46">
        <v>15772</v>
      </c>
      <c r="O62" s="37">
        <v>10808.37</v>
      </c>
      <c r="P62" s="69">
        <f>(R62)/J62</f>
        <v>0</v>
      </c>
      <c r="Q62" s="48">
        <f>J62/G62-1</f>
        <v>0.38612459546925559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21019409.645999998</v>
      </c>
      <c r="E64" s="39">
        <v>0</v>
      </c>
      <c r="F64" s="40" t="s">
        <v>44</v>
      </c>
      <c r="G64" s="68">
        <v>4.2999999999999997E-2</v>
      </c>
      <c r="H64" s="42">
        <v>6.6299999999999998E-2</v>
      </c>
      <c r="I64" s="42">
        <v>6.0999999999999999E-2</v>
      </c>
      <c r="J64" s="43">
        <f>I64</f>
        <v>6.0999999999999999E-2</v>
      </c>
      <c r="K64" s="39">
        <v>0</v>
      </c>
      <c r="L64" s="45">
        <f>I64-H64</f>
        <v>-5.2999999999999992E-3</v>
      </c>
      <c r="M64" s="45">
        <f>((I64-H64)/H64)*100</f>
        <v>-7.9939668174962284</v>
      </c>
      <c r="N64" s="46">
        <v>25718</v>
      </c>
      <c r="O64" s="37">
        <v>1569.36</v>
      </c>
      <c r="P64" s="69">
        <f>(R64)/J64</f>
        <v>0</v>
      </c>
      <c r="Q64" s="48">
        <f>J64/G64-1</f>
        <v>0.41860465116279078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309691</v>
      </c>
      <c r="O65" s="60">
        <f>SUM(O51:O64)</f>
        <v>227017.43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301</v>
      </c>
      <c r="O70" s="91">
        <v>108.36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70702762.5</v>
      </c>
      <c r="E71" s="39">
        <f>C71*K71</f>
        <v>70702762.5</v>
      </c>
      <c r="F71" s="87" t="s">
        <v>156</v>
      </c>
      <c r="G71" s="87">
        <v>0.1</v>
      </c>
      <c r="H71" s="88">
        <v>0.14810000000000001</v>
      </c>
      <c r="I71" s="88">
        <v>0.15</v>
      </c>
      <c r="J71" s="89">
        <f>I71</f>
        <v>0.15</v>
      </c>
      <c r="K71" s="89">
        <f>J71</f>
        <v>0.15</v>
      </c>
      <c r="L71" s="45">
        <f>I71-H71</f>
        <v>1.899999999999985E-3</v>
      </c>
      <c r="M71" s="45">
        <f>((I71-H71)/H71)*100</f>
        <v>1.2829169480080924</v>
      </c>
      <c r="N71" s="46">
        <v>1452</v>
      </c>
      <c r="O71" s="91">
        <v>217.78</v>
      </c>
      <c r="P71" s="92">
        <f>(R71)/J71</f>
        <v>2.528E-2</v>
      </c>
      <c r="Q71" s="48">
        <f>J71/G71-1</f>
        <v>0.49999999999999978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1753</v>
      </c>
      <c r="O72" s="60">
        <f>SUM(O70:O71)</f>
        <v>326.14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2706560.35</v>
      </c>
      <c r="E74" s="39">
        <f>C74*K74</f>
        <v>2706560.35</v>
      </c>
      <c r="F74" s="87" t="s">
        <v>138</v>
      </c>
      <c r="G74" s="87">
        <v>0.1394</v>
      </c>
      <c r="H74" s="88">
        <v>0.13639999999999999</v>
      </c>
      <c r="I74" s="88">
        <v>0.13</v>
      </c>
      <c r="J74" s="89">
        <f>I74</f>
        <v>0.13</v>
      </c>
      <c r="K74" s="89">
        <f>J74</f>
        <v>0.13</v>
      </c>
      <c r="L74" s="45">
        <f>I74-H74</f>
        <v>-6.399999999999989E-3</v>
      </c>
      <c r="M74" s="45">
        <f>((I74-H74)/H74)*100</f>
        <v>-4.6920821114369424</v>
      </c>
      <c r="N74" s="90">
        <v>1767</v>
      </c>
      <c r="O74" s="91">
        <v>229.71</v>
      </c>
      <c r="P74" s="69">
        <f>(R74)/J74</f>
        <v>0</v>
      </c>
      <c r="Q74" s="48">
        <f>J74/G74-1</f>
        <v>-6.7431850789096082E-2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111238.82563790327</v>
      </c>
      <c r="E77" s="39">
        <f>C77*K77</f>
        <v>94539.935644444442</v>
      </c>
      <c r="F77" s="40" t="s">
        <v>138</v>
      </c>
      <c r="G77" s="68">
        <v>0.105</v>
      </c>
      <c r="H77" s="42">
        <v>6.5599999999999992E-2</v>
      </c>
      <c r="I77" s="42">
        <v>6.5599999999999992E-2</v>
      </c>
      <c r="J77" s="43">
        <f>I77/$J$5</f>
        <v>2.4503853006764705E-3</v>
      </c>
      <c r="K77" s="44">
        <f>I77/$K$4</f>
        <v>2.0825396825396823E-3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305167.21713177912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2.2412060676918937E-3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1846818.7947540837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3.7353434461531569E-3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2382882.8857769328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5.7897823415373931E-2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0</v>
      </c>
      <c r="O81" s="60">
        <f>SUM(O77:O80)</f>
        <v>0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30419491.226948258</v>
      </c>
      <c r="E83" s="39">
        <f>C83*K83</f>
        <v>25852994.459809523</v>
      </c>
      <c r="F83" s="40" t="s">
        <v>174</v>
      </c>
      <c r="G83" s="40">
        <v>1.3</v>
      </c>
      <c r="H83" s="42">
        <v>2.15</v>
      </c>
      <c r="I83" s="42">
        <v>2.2109999999999999</v>
      </c>
      <c r="J83" s="43">
        <f>I83/$J$5</f>
        <v>8.2588443594446281E-2</v>
      </c>
      <c r="K83" s="44">
        <f>I83/$K$4</f>
        <v>7.0190476190476192E-2</v>
      </c>
      <c r="L83" s="45">
        <f>I83-H83</f>
        <v>6.0999999999999943E-2</v>
      </c>
      <c r="M83" s="45">
        <f>((I83-H83)/H83*100)</f>
        <v>2.8372093023255789</v>
      </c>
      <c r="N83" s="50">
        <v>1070</v>
      </c>
      <c r="O83" s="37">
        <v>2376.5500000000002</v>
      </c>
      <c r="P83" s="50">
        <f>(R83)/J83</f>
        <v>0</v>
      </c>
      <c r="Q83" s="48">
        <f>I83/G83-1</f>
        <v>0.70076923076923059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72328461.845334366</v>
      </c>
      <c r="E84" s="39">
        <f>C84*K84</f>
        <v>61470696.844444439</v>
      </c>
      <c r="F84" s="40" t="s">
        <v>174</v>
      </c>
      <c r="G84" s="40">
        <v>1.44347</v>
      </c>
      <c r="H84" s="42">
        <v>1.0502209999999998</v>
      </c>
      <c r="I84" s="42">
        <v>1.05172</v>
      </c>
      <c r="J84" s="43">
        <f>I84/$J$5</f>
        <v>3.9285354091881976E-2</v>
      </c>
      <c r="K84" s="44">
        <f>I84/$K$4</f>
        <v>3.3387936507936505E-2</v>
      </c>
      <c r="L84" s="45">
        <f>I84-H84</f>
        <v>1.4990000000001391E-3</v>
      </c>
      <c r="M84" s="45">
        <f>((I84-H84)/H84*100)</f>
        <v>0.14273186310311253</v>
      </c>
      <c r="N84" s="50">
        <v>19300</v>
      </c>
      <c r="O84" s="37">
        <v>20298.2</v>
      </c>
      <c r="P84" s="47">
        <f>(R84)/J84</f>
        <v>5.5389598752519684E-2</v>
      </c>
      <c r="Q84" s="48">
        <f>I84/G84-1</f>
        <v>-0.27139462545116977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20370</v>
      </c>
      <c r="O85" s="60">
        <f>SUM(O83:O84)</f>
        <v>22674.75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40</v>
      </c>
      <c r="B88" s="110">
        <v>176.98</v>
      </c>
      <c r="D88" s="110">
        <v>14.995555601761119</v>
      </c>
      <c r="E88" s="35" t="s">
        <v>69</v>
      </c>
      <c r="F88" s="111">
        <v>9.36</v>
      </c>
      <c r="H88" s="112">
        <v>-14.125289001431247</v>
      </c>
      <c r="L88" s="35" t="s">
        <v>122</v>
      </c>
      <c r="M88" s="50">
        <v>55.890500000000003</v>
      </c>
      <c r="N88" s="113">
        <v>19.819190193308291</v>
      </c>
      <c r="O88" s="35" t="s">
        <v>147</v>
      </c>
      <c r="P88" s="111">
        <v>6.0999999999999999E-2</v>
      </c>
      <c r="Q88" s="114">
        <v>-7.9939668174962284</v>
      </c>
    </row>
    <row r="89" spans="1:243" x14ac:dyDescent="0.25">
      <c r="A89" s="35" t="s">
        <v>88</v>
      </c>
      <c r="B89" s="110">
        <v>0.85</v>
      </c>
      <c r="D89" s="110">
        <v>13.33333333333333</v>
      </c>
      <c r="E89" s="35" t="s">
        <v>97</v>
      </c>
      <c r="F89" s="111">
        <v>5.2222220000000004</v>
      </c>
      <c r="H89" s="112">
        <v>-2.6209550348718378</v>
      </c>
      <c r="L89" s="35" t="s">
        <v>134</v>
      </c>
      <c r="M89" s="50">
        <v>2.1299999999999999E-2</v>
      </c>
      <c r="N89" s="113">
        <v>5.4455445544554468</v>
      </c>
      <c r="O89" s="35" t="s">
        <v>139</v>
      </c>
      <c r="P89" s="111">
        <v>1.0057</v>
      </c>
      <c r="Q89" s="114">
        <v>-5.5059663628676114</v>
      </c>
    </row>
    <row r="90" spans="1:243" x14ac:dyDescent="0.25">
      <c r="A90" s="35" t="s">
        <v>103</v>
      </c>
      <c r="B90" s="110">
        <v>0.1</v>
      </c>
      <c r="C90" s="110"/>
      <c r="D90" s="110">
        <v>10.864745011086478</v>
      </c>
      <c r="E90" s="35"/>
      <c r="F90" s="111"/>
      <c r="H90" s="112"/>
      <c r="L90" s="35" t="s">
        <v>130</v>
      </c>
      <c r="M90" s="50">
        <v>1.3484</v>
      </c>
      <c r="N90" s="113">
        <v>3.7150988385508814</v>
      </c>
      <c r="O90" s="35" t="s">
        <v>141</v>
      </c>
      <c r="P90" s="111">
        <v>0.27650000000000002</v>
      </c>
      <c r="Q90" s="114">
        <v>-4.6551724137930881</v>
      </c>
    </row>
    <row r="91" spans="1:243" x14ac:dyDescent="0.25">
      <c r="A91" s="35" t="s">
        <v>35</v>
      </c>
      <c r="B91" s="110">
        <v>6.2895000000000006E-2</v>
      </c>
      <c r="C91" s="110"/>
      <c r="D91" s="110">
        <v>3.4338151857516515</v>
      </c>
      <c r="E91" s="35"/>
      <c r="F91" s="111"/>
      <c r="G91" s="111"/>
      <c r="H91" s="112"/>
      <c r="L91" s="35" t="s">
        <v>132</v>
      </c>
      <c r="M91" s="50">
        <v>0.15359999999999999</v>
      </c>
      <c r="N91" s="113">
        <v>2.399999999999995</v>
      </c>
      <c r="O91" s="35" t="s">
        <v>120</v>
      </c>
      <c r="P91" s="111">
        <v>0.1502</v>
      </c>
      <c r="Q91" s="114">
        <v>-3.3462033462033522</v>
      </c>
    </row>
    <row r="92" spans="1:243" x14ac:dyDescent="0.25">
      <c r="A92" s="35" t="s">
        <v>74</v>
      </c>
      <c r="B92" s="110">
        <v>3.1</v>
      </c>
      <c r="C92" s="110"/>
      <c r="D92" s="110">
        <v>3.3333333333333361</v>
      </c>
      <c r="E92" s="35"/>
      <c r="F92" s="111"/>
      <c r="G92" s="111"/>
      <c r="H92" s="112"/>
      <c r="L92" s="35" t="s">
        <v>128</v>
      </c>
      <c r="M92" s="50">
        <v>0.1227</v>
      </c>
      <c r="N92" s="113">
        <v>0.40916530278232444</v>
      </c>
      <c r="O92" s="35" t="s">
        <v>124</v>
      </c>
      <c r="P92" s="111">
        <v>0.2457</v>
      </c>
      <c r="Q92" s="114">
        <v>-1.047120418848164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m0ccZLvjitDQbsb450sTaj2Xj7JFxfz6bjNE8TejR6caT2Ph4t8E0A+JAgtObaBcERsZBl8UKPVKEKDc6EWj+g==" saltValue="KWfcBERKwGCc5TvIOnqo9g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2026-06-09T13:35:45Z</dcterms:created>
  <dcterms:modified xsi:type="dcterms:W3CDTF">2026-06-09T13:43:14Z</dcterms:modified>
</cp:coreProperties>
</file>