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2.05.26/"/>
    </mc:Choice>
  </mc:AlternateContent>
  <xr:revisionPtr revIDLastSave="0" documentId="8_{5B6C8BA2-ACA4-4EDD-870A-6060387EF03E}" xr6:coauthVersionLast="47" xr6:coauthVersionMax="47" xr10:uidLastSave="{00000000-0000-0000-0000-000000000000}"/>
  <bookViews>
    <workbookView xWindow="-108" yWindow="-108" windowWidth="23256" windowHeight="12456" xr2:uid="{524D0624-E5B3-4FFB-9B23-BBB574F9CB6E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P83" i="1"/>
  <c r="M83" i="1"/>
  <c r="L83" i="1"/>
  <c r="K83" i="1"/>
  <c r="J83" i="1"/>
  <c r="D83" i="1" s="1"/>
  <c r="E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M74" i="1"/>
  <c r="L74" i="1"/>
  <c r="J74" i="1"/>
  <c r="Q74" i="1" s="1"/>
  <c r="D74" i="1"/>
  <c r="O72" i="1"/>
  <c r="N72" i="1"/>
  <c r="M71" i="1"/>
  <c r="L71" i="1"/>
  <c r="J71" i="1"/>
  <c r="K71" i="1" s="1"/>
  <c r="E71" i="1" s="1"/>
  <c r="D71" i="1"/>
  <c r="M70" i="1"/>
  <c r="L70" i="1"/>
  <c r="J70" i="1"/>
  <c r="Q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D53" i="1"/>
  <c r="M52" i="1"/>
  <c r="L52" i="1"/>
  <c r="J52" i="1"/>
  <c r="Q52" i="1" s="1"/>
  <c r="D52" i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P36" i="1"/>
  <c r="M36" i="1"/>
  <c r="L36" i="1"/>
  <c r="K36" i="1"/>
  <c r="E36" i="1" s="1"/>
  <c r="J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J31" i="1"/>
  <c r="D31" i="1" s="1"/>
  <c r="E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Q27" i="1"/>
  <c r="M27" i="1"/>
  <c r="L27" i="1"/>
  <c r="K27" i="1"/>
  <c r="J27" i="1"/>
  <c r="D27" i="1" s="1"/>
  <c r="E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J21" i="1"/>
  <c r="D21" i="1" s="1"/>
  <c r="E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J14" i="1"/>
  <c r="P14" i="1" s="1"/>
  <c r="E14" i="1"/>
  <c r="D14" i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J9" i="1"/>
  <c r="P9" i="1" s="1"/>
  <c r="E9" i="1"/>
  <c r="D84" i="1" l="1"/>
  <c r="D13" i="1"/>
  <c r="D9" i="1"/>
  <c r="D42" i="1"/>
  <c r="P27" i="1"/>
  <c r="D25" i="1"/>
  <c r="D61" i="1"/>
  <c r="P33" i="1"/>
  <c r="P24" i="1"/>
  <c r="P16" i="1"/>
  <c r="D17" i="1"/>
  <c r="P10" i="1"/>
  <c r="P44" i="1"/>
  <c r="P21" i="1"/>
  <c r="D11" i="1"/>
  <c r="D45" i="1"/>
  <c r="P71" i="1"/>
  <c r="D22" i="1"/>
  <c r="D40" i="1"/>
  <c r="D55" i="1"/>
  <c r="Q71" i="1"/>
  <c r="D15" i="1"/>
  <c r="D19" i="1"/>
  <c r="D28" i="1"/>
  <c r="D63" i="1"/>
  <c r="P56" i="1"/>
  <c r="P60" i="1"/>
  <c r="P64" i="1"/>
  <c r="P20" i="1"/>
  <c r="P23" i="1"/>
  <c r="P26" i="1"/>
  <c r="P29" i="1"/>
  <c r="Q54" i="1"/>
  <c r="Q58" i="1"/>
  <c r="Q64" i="1"/>
  <c r="P55" i="1"/>
  <c r="P57" i="1"/>
  <c r="P59" i="1"/>
  <c r="P61" i="1"/>
  <c r="P63" i="1"/>
  <c r="P51" i="1"/>
  <c r="D70" i="1"/>
  <c r="P74" i="1"/>
  <c r="K70" i="1"/>
  <c r="E70" i="1" s="1"/>
  <c r="P54" i="1"/>
  <c r="P58" i="1"/>
  <c r="P62" i="1"/>
  <c r="P32" i="1"/>
  <c r="P35" i="1"/>
  <c r="P52" i="1"/>
  <c r="Q56" i="1"/>
  <c r="Q60" i="1"/>
  <c r="Q62" i="1"/>
  <c r="P70" i="1"/>
  <c r="K74" i="1"/>
  <c r="E74" i="1" s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<sst xmlns="http://schemas.openxmlformats.org/spreadsheetml/2006/main" count="265" uniqueCount="182">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</sst>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DD27DE69-AE46-4815-8CD3-648DB0C3B265}"/>
    <cellStyle name="Comma 5 2 2 2 2 2 2 2 2" xfId="4" xr:uid="{569E0A90-C373-474A-8BB2-1160A356704F}"/>
    <cellStyle name="Comma 6 2 2 2" xfId="5" xr:uid="{CE8D4412-5E3D-4913-AEC1-409AB2B38039}"/>
    <cellStyle name="Hyperlink 2" xfId="8" xr:uid="{AF216550-2ADB-4DCB-AAF9-0073764CE8B6}"/>
    <cellStyle name="Normal" xfId="0" builtinId="0"/>
    <cellStyle name="Normal 2" xfId="2" xr:uid="{C7116DD0-75D8-4C59-9F88-A06A0A89276C}"/>
    <cellStyle name="Normal 20" xfId="7" xr:uid="{169BB41C-0860-483E-A52B-45EF303740F6}"/>
    <cellStyle name="Percent" xfId="1" builtinId="5"/>
    <cellStyle name="Percent 3" xfId="6" xr:uid="{235A4DBF-1A7C-4A40-BF23-F93A38E19AD8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B56430C-BC1B-43E1-BBFB-8ACB9E2A5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3198507-2379-4FC4-A0A3-A4D90235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79D8-A961-4951-9E77-288DC51EBDD6}">
  <dimension ref="A1:II106"/>
  <sheetViews>
    <sheetView tabSelected="1" zoomScale="60" zoomScaleNormal="60" workbookViewId="0">
      <selection activeCell="O84" sqref="O8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26.3216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74882200.633700088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0.60026746094462347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2.4988860759493668E-2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3709642.8674548659</v>
      </c>
      <c r="E10" s="39">
        <f>C10*K10</f>
        <v>3254791.19</v>
      </c>
      <c r="F10" s="40" t="s">
        <v>34</v>
      </c>
      <c r="G10" s="41">
        <v>3.1600000000000003E-2</v>
      </c>
      <c r="H10" s="42">
        <v>0.06</v>
      </c>
      <c r="I10" s="42">
        <v>0.06</v>
      </c>
      <c r="J10" s="43">
        <f>I10/$J$5</f>
        <v>2.2794966871314813E-3</v>
      </c>
      <c r="K10" s="44">
        <f>I10/$K$4</f>
        <v>2E-3</v>
      </c>
      <c r="L10" s="45">
        <f>I10-H10</f>
        <v>0</v>
      </c>
      <c r="M10" s="45">
        <f>((I10-H10)/H10)*100</f>
        <v>0</v>
      </c>
      <c r="N10" s="46">
        <v>100</v>
      </c>
      <c r="O10" s="37">
        <v>6</v>
      </c>
      <c r="P10" s="50">
        <f>(R10)/J10</f>
        <v>0</v>
      </c>
      <c r="Q10" s="48">
        <f>I10/G10-1</f>
        <v>0.89873417721518956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3154280.0669412194</v>
      </c>
      <c r="E11" s="39">
        <f>C11*K11</f>
        <v>2767523.2736666668</v>
      </c>
      <c r="F11" s="40" t="s">
        <v>39</v>
      </c>
      <c r="G11" s="41">
        <v>7.8E-2</v>
      </c>
      <c r="H11" s="42">
        <v>0.19</v>
      </c>
      <c r="I11" s="42">
        <v>0.19</v>
      </c>
      <c r="J11" s="43">
        <f>I11/$J$5</f>
        <v>7.218406175916358E-3</v>
      </c>
      <c r="K11" s="44">
        <f>I11/$K$4</f>
        <v>6.3333333333333332E-3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1.4358974358974361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127776183.35353854</v>
      </c>
      <c r="E12" s="39">
        <f>C12*K12</f>
        <v>112109119.59195</v>
      </c>
      <c r="F12" s="40" t="s">
        <v>34</v>
      </c>
      <c r="G12" s="41">
        <v>97.381</v>
      </c>
      <c r="H12" s="42">
        <v>162.98699999999999</v>
      </c>
      <c r="I12" s="42">
        <v>163.00049999999999</v>
      </c>
      <c r="J12" s="43">
        <f>I12/$J$5</f>
        <v>6.1926516625129171</v>
      </c>
      <c r="K12" s="44">
        <f>I12/$K$4</f>
        <v>5.4333499999999999</v>
      </c>
      <c r="L12" s="45">
        <f>I12-H12</f>
        <v>1.3499999999993406E-2</v>
      </c>
      <c r="M12" s="45">
        <f>((I12-H12)/H12)*100</f>
        <v>8.282869185881947E-3</v>
      </c>
      <c r="N12" s="46">
        <v>100</v>
      </c>
      <c r="O12" s="37">
        <v>16300.05</v>
      </c>
      <c r="P12" s="50">
        <f>(R12)/J12</f>
        <v>0</v>
      </c>
      <c r="Q12" s="48">
        <f>I12/G12-1</f>
        <v>0.67384294677606493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4812147.9527840251</v>
      </c>
      <c r="E13" s="39">
        <f>C13*K13</f>
        <v>4222114.4517999999</v>
      </c>
      <c r="F13" s="40" t="s">
        <v>44</v>
      </c>
      <c r="G13" s="41">
        <v>13.6</v>
      </c>
      <c r="H13" s="42">
        <v>13.000999999999999</v>
      </c>
      <c r="I13" s="42">
        <v>14.500499999999999</v>
      </c>
      <c r="J13" s="43">
        <f>I13/$J$5</f>
        <v>0.55089736186250071</v>
      </c>
      <c r="K13" s="44">
        <f>I13/$K$4</f>
        <v>0.48334999999999995</v>
      </c>
      <c r="L13" s="45">
        <f>I13-H13</f>
        <v>1.4994999999999994</v>
      </c>
      <c r="M13" s="45">
        <f>((I13-H13)/H13)*100</f>
        <v>11.533728174755783</v>
      </c>
      <c r="N13" s="46">
        <v>15700</v>
      </c>
      <c r="O13" s="37">
        <v>227657.85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317708020.78900981</v>
      </c>
      <c r="E14" s="39">
        <f>C14*K14</f>
        <v>278752781.33333331</v>
      </c>
      <c r="F14" s="40" t="s">
        <v>47</v>
      </c>
      <c r="G14" s="41">
        <v>11.5</v>
      </c>
      <c r="H14" s="42">
        <v>15.9245</v>
      </c>
      <c r="I14" s="42">
        <v>16</v>
      </c>
      <c r="J14" s="43">
        <f>I14/$J$5</f>
        <v>0.60786578323506169</v>
      </c>
      <c r="K14" s="44">
        <f>I14/$K$4</f>
        <v>0.53333333333333333</v>
      </c>
      <c r="L14" s="45">
        <f>I14-H14</f>
        <v>7.5499999999999901E-2</v>
      </c>
      <c r="M14" s="45">
        <f>((I14-H14)/H14)*100</f>
        <v>0.47411221702408174</v>
      </c>
      <c r="N14" s="46">
        <v>15200</v>
      </c>
      <c r="O14" s="37">
        <v>243200</v>
      </c>
      <c r="P14" s="50">
        <f>(R14)/J14</f>
        <v>0</v>
      </c>
      <c r="Q14" s="48">
        <f>I14/G14-1</f>
        <v>0.39130434782608692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24171982.326302353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0.22794966871314815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40191042.162710473</v>
      </c>
      <c r="E16" s="39">
        <f>C16*K16</f>
        <v>35263084.513000004</v>
      </c>
      <c r="F16" s="40" t="s">
        <v>34</v>
      </c>
      <c r="G16" s="41">
        <v>1.9</v>
      </c>
      <c r="H16" s="42">
        <v>2.9530000000000003</v>
      </c>
      <c r="I16" s="42">
        <v>2.9550000000000001</v>
      </c>
      <c r="J16" s="43">
        <f>I16/$J$5</f>
        <v>0.11226521184122545</v>
      </c>
      <c r="K16" s="44">
        <f>I16/$K$4</f>
        <v>9.8500000000000004E-2</v>
      </c>
      <c r="L16" s="45">
        <f>I16-H16</f>
        <v>1.9999999999997797E-3</v>
      </c>
      <c r="M16" s="45">
        <f>((I16-H16)/H16)*100</f>
        <v>6.7727734507273263E-2</v>
      </c>
      <c r="N16" s="46">
        <v>700</v>
      </c>
      <c r="O16" s="37">
        <v>2068.5</v>
      </c>
      <c r="P16" s="50">
        <f>(R16)/J16</f>
        <v>0</v>
      </c>
      <c r="Q16" s="48">
        <f>I16/G16-1</f>
        <v>0.5552631578947369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1567971899.326751</v>
      </c>
      <c r="E17" s="39">
        <f>C17*K17</f>
        <v>1375717638.1773</v>
      </c>
      <c r="F17" s="40" t="s">
        <v>34</v>
      </c>
      <c r="G17" s="41">
        <v>20.701700000000002</v>
      </c>
      <c r="H17" s="42">
        <v>30.4435</v>
      </c>
      <c r="I17" s="42">
        <v>30.762600000000003</v>
      </c>
      <c r="J17" s="43">
        <f>I17/$J$5</f>
        <v>1.168720746459182</v>
      </c>
      <c r="K17" s="44">
        <f>I17/$K$4</f>
        <v>1.02542</v>
      </c>
      <c r="L17" s="45">
        <f>I17-H17</f>
        <v>0.31910000000000238</v>
      </c>
      <c r="M17" s="45">
        <f>((I17-H17)/H17)*100</f>
        <v>1.0481712023913228</v>
      </c>
      <c r="N17" s="46">
        <v>65200</v>
      </c>
      <c r="O17" s="37">
        <v>2005723.1</v>
      </c>
      <c r="P17" s="47">
        <f>(R17)/J17</f>
        <v>4.2781819482098388E-2</v>
      </c>
      <c r="Q17" s="48">
        <f>I17/G17-1</f>
        <v>0.4859939038822898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255491385.94951293</v>
      </c>
      <c r="E19" s="39">
        <f>C19*K19</f>
        <v>224164735.48029</v>
      </c>
      <c r="F19" s="40" t="s">
        <v>47</v>
      </c>
      <c r="G19" s="41">
        <v>12.45</v>
      </c>
      <c r="H19" s="42">
        <v>11.044400000000001</v>
      </c>
      <c r="I19" s="42">
        <v>10.008099999999999</v>
      </c>
      <c r="J19" s="43">
        <f>I19/$J$5</f>
        <v>0.38022384657467628</v>
      </c>
      <c r="K19" s="44">
        <f>I19/$K$4</f>
        <v>0.33360333333333331</v>
      </c>
      <c r="L19" s="45">
        <f>I19-H19</f>
        <v>-1.0363000000000024</v>
      </c>
      <c r="M19" s="45">
        <f>((I19-H19)/H19)*100</f>
        <v>-9.3830357466227436</v>
      </c>
      <c r="N19" s="46">
        <v>12400</v>
      </c>
      <c r="O19" s="37">
        <v>124100</v>
      </c>
      <c r="P19" s="50">
        <f>(R19)/J19</f>
        <v>0</v>
      </c>
      <c r="Q19" s="48">
        <f>I19/G19-1</f>
        <v>-0.19613654618473897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2393985.9220671616</v>
      </c>
      <c r="E20" s="39">
        <f>C20*K20</f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>I20/$J$5</f>
        <v>2.1978641116041579E-2</v>
      </c>
      <c r="K20" s="44">
        <f>I20/$K$4</f>
        <v>1.9283766666666667E-2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48799902.084210686</v>
      </c>
      <c r="E21" s="39">
        <f>C21*K21</f>
        <v>42816383.42332533</v>
      </c>
      <c r="F21" s="40" t="s">
        <v>47</v>
      </c>
      <c r="G21" s="41">
        <v>2.85</v>
      </c>
      <c r="H21" s="42">
        <v>1.8555000000000001</v>
      </c>
      <c r="I21" s="42">
        <v>1.8611959999999999</v>
      </c>
      <c r="J21" s="43">
        <f>I21/$J$5</f>
        <v>7.0709835268372739E-2</v>
      </c>
      <c r="K21" s="44">
        <f>I21/$K$4</f>
        <v>6.2039866666666658E-2</v>
      </c>
      <c r="L21" s="45">
        <f>I21-H21</f>
        <v>5.6959999999997013E-3</v>
      </c>
      <c r="M21" s="45">
        <f>((I21-H21)/H21)*100</f>
        <v>0.30697925087575861</v>
      </c>
      <c r="N21" s="46">
        <v>6900</v>
      </c>
      <c r="O21" s="37">
        <v>12842.25</v>
      </c>
      <c r="P21" s="50">
        <f>(R21)/J21</f>
        <v>0</v>
      </c>
      <c r="Q21" s="48">
        <f>I21/G21-1</f>
        <v>-0.34694877192982465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56939606.074953638</v>
      </c>
      <c r="E22" s="39">
        <f>C22*K22</f>
        <v>49958051.175416663</v>
      </c>
      <c r="F22" s="40" t="s">
        <v>66</v>
      </c>
      <c r="G22" s="41">
        <v>0.88420599999999994</v>
      </c>
      <c r="H22" s="42">
        <v>1.2124999999999999</v>
      </c>
      <c r="I22" s="42">
        <v>1.2124999999999999</v>
      </c>
      <c r="J22" s="43">
        <f>I22/$J$5</f>
        <v>4.6064828885782012E-2</v>
      </c>
      <c r="K22" s="44">
        <f>I22/$K$4</f>
        <v>4.0416666666666663E-2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0.37128678158709616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2436111.0437245453</v>
      </c>
      <c r="E23" s="39">
        <f>C23*K23</f>
        <v>2137411.3482833332</v>
      </c>
      <c r="F23" s="40" t="s">
        <v>44</v>
      </c>
      <c r="G23" s="41">
        <v>0.1</v>
      </c>
      <c r="H23" s="42">
        <v>0.12</v>
      </c>
      <c r="I23" s="42">
        <v>0.1195</v>
      </c>
      <c r="J23" s="43">
        <f>I23/$J$5</f>
        <v>4.5399975685368665E-3</v>
      </c>
      <c r="K23" s="44">
        <f>I23/$K$4</f>
        <v>3.9833333333333335E-3</v>
      </c>
      <c r="L23" s="45">
        <f>I23-H23</f>
        <v>-5.0000000000000044E-4</v>
      </c>
      <c r="M23" s="45">
        <f>((I23-H23)/H23)*100</f>
        <v>-0.41666666666666707</v>
      </c>
      <c r="N23" s="46">
        <v>5000</v>
      </c>
      <c r="O23" s="37">
        <v>597.5</v>
      </c>
      <c r="P23" s="50">
        <f>(R23)/J23</f>
        <v>0</v>
      </c>
      <c r="Q23" s="48">
        <f>I23/G23-1</f>
        <v>0.19499999999999984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70398357.789800003</v>
      </c>
      <c r="E24" s="39">
        <f>C24*K24</f>
        <v>61766580.480000004</v>
      </c>
      <c r="F24" s="40" t="s">
        <v>34</v>
      </c>
      <c r="G24" s="41">
        <v>8.1687659999999997</v>
      </c>
      <c r="H24" s="42">
        <v>9.6</v>
      </c>
      <c r="I24" s="42">
        <v>9.6</v>
      </c>
      <c r="J24" s="43">
        <f>I24/$J$5</f>
        <v>0.36471946994103699</v>
      </c>
      <c r="K24" s="44">
        <f>I24/$K$4</f>
        <v>0.32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0.17520810364747863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71166579.918773934</v>
      </c>
      <c r="E25" s="39">
        <f>C25*K25</f>
        <v>62440608.333000012</v>
      </c>
      <c r="F25" s="40" t="s">
        <v>66</v>
      </c>
      <c r="G25" s="41">
        <v>1.6675</v>
      </c>
      <c r="H25" s="42">
        <v>1.3</v>
      </c>
      <c r="I25" s="42">
        <v>1.1100000000000001</v>
      </c>
      <c r="J25" s="43">
        <f>I25/$J$5</f>
        <v>4.2170688711932407E-2</v>
      </c>
      <c r="K25" s="44">
        <f>I25/$K$4</f>
        <v>3.7000000000000005E-2</v>
      </c>
      <c r="L25" s="45">
        <f>I25-H25</f>
        <v>-0.18999999999999995</v>
      </c>
      <c r="M25" s="45">
        <f>((I25-H25)/H25)*100</f>
        <v>-14.615384615384611</v>
      </c>
      <c r="N25" s="46">
        <v>130100</v>
      </c>
      <c r="O25" s="37">
        <v>144411</v>
      </c>
      <c r="P25" s="50">
        <f>(R25)/J25</f>
        <v>0</v>
      </c>
      <c r="Q25" s="48">
        <f>I25/G25-1</f>
        <v>-0.33433283358320831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31281358.049149744</v>
      </c>
      <c r="E26" s="39">
        <f>C26*K26</f>
        <v>27445846.467549998</v>
      </c>
      <c r="F26" s="40" t="s">
        <v>44</v>
      </c>
      <c r="G26" s="41">
        <v>1.7994999999999999</v>
      </c>
      <c r="H26" s="42">
        <v>3.45</v>
      </c>
      <c r="I26" s="42">
        <v>3.4394999999999998</v>
      </c>
      <c r="J26" s="43">
        <f>I26/$J$5</f>
        <v>0.13067214758981216</v>
      </c>
      <c r="K26" s="44">
        <f>I26/$K$4</f>
        <v>0.11464999999999999</v>
      </c>
      <c r="L26" s="45">
        <f>I26-H26</f>
        <v>-1.0500000000000398E-2</v>
      </c>
      <c r="M26" s="45">
        <f>((I26-H26)/H26)*100</f>
        <v>-0.30434782608696803</v>
      </c>
      <c r="N26" s="46">
        <v>18400</v>
      </c>
      <c r="O26" s="37">
        <v>63286.8</v>
      </c>
      <c r="P26" s="50">
        <f>(R26)/J26</f>
        <v>0</v>
      </c>
      <c r="Q26" s="48">
        <f>I26/G26-1</f>
        <v>0.91136426785218116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29871374.993227236</v>
      </c>
      <c r="E27" s="39">
        <f>C27*K27</f>
        <v>26208746.134057667</v>
      </c>
      <c r="F27" s="40" t="s">
        <v>34</v>
      </c>
      <c r="G27" s="41">
        <v>3.1361369999999997</v>
      </c>
      <c r="H27" s="42">
        <v>3.05</v>
      </c>
      <c r="I27" s="42">
        <v>3.0695299999999999</v>
      </c>
      <c r="J27" s="43">
        <f>I27/$J$5</f>
        <v>0.11661639110084493</v>
      </c>
      <c r="K27" s="44">
        <f>I27/$K$4</f>
        <v>0.10231766666666667</v>
      </c>
      <c r="L27" s="45">
        <f>I27-H27</f>
        <v>1.9530000000000047E-2</v>
      </c>
      <c r="M27" s="45">
        <f>((I27-H27)/H27)*100</f>
        <v>0.64032786885246062</v>
      </c>
      <c r="N27" s="46">
        <v>87500</v>
      </c>
      <c r="O27" s="37">
        <v>268583.90000000002</v>
      </c>
      <c r="P27" s="50">
        <f>(R27)/J27</f>
        <v>0</v>
      </c>
      <c r="Q27" s="48">
        <f>I27/G27-1</f>
        <v>-2.123854920878776E-2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27918811.098964348</v>
      </c>
      <c r="E28" s="39">
        <f>C28*K28</f>
        <v>24495592.607416671</v>
      </c>
      <c r="F28" s="40" t="s">
        <v>44</v>
      </c>
      <c r="G28" s="41">
        <v>0.8</v>
      </c>
      <c r="H28" s="42">
        <v>0.97250000000000003</v>
      </c>
      <c r="I28" s="42">
        <v>0.97250000000000003</v>
      </c>
      <c r="J28" s="43">
        <f>I28/$J$5</f>
        <v>3.6946842137256096E-2</v>
      </c>
      <c r="K28" s="44">
        <f>I28/$K$4</f>
        <v>3.241666666666667E-2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0.21562499999999996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80614452.2844356</v>
      </c>
      <c r="E29" s="39">
        <f>C29*K29</f>
        <v>70730045.574999988</v>
      </c>
      <c r="F29" s="40" t="s">
        <v>47</v>
      </c>
      <c r="G29" s="41">
        <v>5.15</v>
      </c>
      <c r="H29" s="42">
        <v>5.25</v>
      </c>
      <c r="I29" s="42">
        <v>5.25</v>
      </c>
      <c r="J29" s="43">
        <f>I29/$J$5</f>
        <v>0.19945596012400463</v>
      </c>
      <c r="K29" s="44">
        <f>I29/$K$4</f>
        <v>0.17499999999999999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1.9417475728155331E-2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14315470.621086864</v>
      </c>
      <c r="E32" s="39">
        <f>C32*K32</f>
        <v>12560203.049999999</v>
      </c>
      <c r="F32" s="40" t="s">
        <v>39</v>
      </c>
      <c r="G32" s="41">
        <v>1.4</v>
      </c>
      <c r="H32" s="42">
        <v>1.45</v>
      </c>
      <c r="I32" s="42">
        <v>1.45</v>
      </c>
      <c r="J32" s="43">
        <f>I32/$J$5</f>
        <v>5.5087836605677468E-2</v>
      </c>
      <c r="K32" s="44">
        <f>I32/$K$4</f>
        <v>4.8333333333333332E-2</v>
      </c>
      <c r="L32" s="45">
        <f>I32-H32</f>
        <v>0</v>
      </c>
      <c r="M32" s="45">
        <f>((I32-H32)/H32)*100</f>
        <v>0</v>
      </c>
      <c r="N32" s="46">
        <v>200</v>
      </c>
      <c r="O32" s="37">
        <v>290</v>
      </c>
      <c r="P32" s="50">
        <f>(R32)/J32</f>
        <v>0</v>
      </c>
      <c r="Q32" s="48">
        <f>I32/G32-1</f>
        <v>3.5714285714285809E-2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3477072.1574676312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2.8493708589143518E-2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162358523.69869232</v>
      </c>
      <c r="E34" s="39">
        <f>C34*K34</f>
        <v>142451203.91291666</v>
      </c>
      <c r="F34" s="40" t="s">
        <v>92</v>
      </c>
      <c r="G34" s="41">
        <v>1.44</v>
      </c>
      <c r="H34" s="42">
        <v>1.7124999999999999</v>
      </c>
      <c r="I34" s="42">
        <v>1.7124999999999999</v>
      </c>
      <c r="J34" s="43">
        <f>I34/$J$5</f>
        <v>6.5060634611877693E-2</v>
      </c>
      <c r="K34" s="44">
        <f>I34/$K$4</f>
        <v>5.7083333333333333E-2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0.18923611111111116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38618733.733131722</v>
      </c>
      <c r="E35" s="39">
        <f>C35*K35</f>
        <v>33883562.060999997</v>
      </c>
      <c r="F35" s="40" t="s">
        <v>34</v>
      </c>
      <c r="G35" s="41">
        <v>3.6056249999999999</v>
      </c>
      <c r="H35" s="42">
        <v>4</v>
      </c>
      <c r="I35" s="42">
        <v>4.01</v>
      </c>
      <c r="J35" s="43">
        <f>I35/$J$5</f>
        <v>0.15234636192328732</v>
      </c>
      <c r="K35" s="44">
        <f>I35/$K$4</f>
        <v>0.13366666666666666</v>
      </c>
      <c r="L35" s="45">
        <f>I35-H35</f>
        <v>9.9999999999997868E-3</v>
      </c>
      <c r="M35" s="45">
        <f>((I35-H35)/H35)*100</f>
        <v>0.24999999999999467</v>
      </c>
      <c r="N35" s="46">
        <v>600</v>
      </c>
      <c r="O35" s="37">
        <v>2406</v>
      </c>
      <c r="P35" s="50">
        <f>(R35)/J35</f>
        <v>0</v>
      </c>
      <c r="Q35" s="48">
        <f>I35/G35-1</f>
        <v>0.1121511527127752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7165345.6567989783</v>
      </c>
      <c r="E36" s="39">
        <f>C36*K36</f>
        <v>6286778.7413333328</v>
      </c>
      <c r="F36" s="40" t="s">
        <v>34</v>
      </c>
      <c r="G36" s="41">
        <v>2.5099999999999997E-2</v>
      </c>
      <c r="H36" s="42">
        <v>4.0128999999999998E-2</v>
      </c>
      <c r="I36" s="42">
        <v>0.04</v>
      </c>
      <c r="J36" s="43">
        <f>I36/$J$5</f>
        <v>1.5196644580876542E-3</v>
      </c>
      <c r="K36" s="44">
        <f>I36/$K$4</f>
        <v>1.3333333333333333E-3</v>
      </c>
      <c r="L36" s="45">
        <f>I36-H36</f>
        <v>-1.2899999999999717E-4</v>
      </c>
      <c r="M36" s="45">
        <f>((I36-H36)/H36)*100</f>
        <v>-0.32146328091902909</v>
      </c>
      <c r="N36" s="46">
        <v>27000</v>
      </c>
      <c r="O36" s="37">
        <v>1080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51998465.285690084</v>
      </c>
      <c r="E37" s="39">
        <f>C37*K37</f>
        <v>45622760.128794</v>
      </c>
      <c r="F37" s="40" t="s">
        <v>92</v>
      </c>
      <c r="G37" s="41">
        <v>0.61</v>
      </c>
      <c r="H37" s="42">
        <v>4.5729939999999996</v>
      </c>
      <c r="I37" s="42">
        <v>5.2426980000000007</v>
      </c>
      <c r="J37" s="43">
        <f>I37/$J$5</f>
        <v>0.19917854537718074</v>
      </c>
      <c r="K37" s="44">
        <f>I37/$K$4</f>
        <v>0.17475660000000001</v>
      </c>
      <c r="L37" s="45">
        <f>I37-H37</f>
        <v>0.66970400000000119</v>
      </c>
      <c r="M37" s="45">
        <f>((I37-H37)/H37)*100</f>
        <v>14.64476008496843</v>
      </c>
      <c r="N37" s="46">
        <v>10100</v>
      </c>
      <c r="O37" s="37">
        <v>52951.25</v>
      </c>
      <c r="P37" s="50">
        <f>(R37)/J37</f>
        <v>0</v>
      </c>
      <c r="Q37" s="48">
        <f>I37/G37-1</f>
        <v>7.5945868852459029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23905069.955853745</v>
      </c>
      <c r="E38" s="39">
        <f>C38*K38</f>
        <v>20973989.645</v>
      </c>
      <c r="F38" s="40" t="s">
        <v>56</v>
      </c>
      <c r="G38" s="41">
        <v>0.11650199999999999</v>
      </c>
      <c r="H38" s="42">
        <v>0.140516</v>
      </c>
      <c r="I38" s="42">
        <v>0.15</v>
      </c>
      <c r="J38" s="43">
        <f>I38/$J$5</f>
        <v>5.698741717828703E-3</v>
      </c>
      <c r="K38" s="44">
        <f>I38/$K$4</f>
        <v>5.0000000000000001E-3</v>
      </c>
      <c r="L38" s="45">
        <f>I38-H38</f>
        <v>9.4839999999999924E-3</v>
      </c>
      <c r="M38" s="45">
        <f>((I38-H38)/H38)*100</f>
        <v>6.74940931993509</v>
      </c>
      <c r="N38" s="46">
        <v>2600</v>
      </c>
      <c r="O38" s="37">
        <v>390</v>
      </c>
      <c r="P38" s="50">
        <v>0</v>
      </c>
      <c r="Q38" s="48">
        <f>I38/G38-1</f>
        <v>0.2875315445228408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89485443.120099083</v>
      </c>
      <c r="E39" s="39">
        <f>C39*K39</f>
        <v>78513334.654333338</v>
      </c>
      <c r="F39" s="40" t="s">
        <v>34</v>
      </c>
      <c r="G39" s="41">
        <v>2.6005000000000003</v>
      </c>
      <c r="H39" s="42">
        <v>6.5</v>
      </c>
      <c r="I39" s="42">
        <v>6.49</v>
      </c>
      <c r="J39" s="43">
        <f>I39/$J$5</f>
        <v>0.24656555832472191</v>
      </c>
      <c r="K39" s="44">
        <f>I39/$K$4</f>
        <v>0.21633333333333335</v>
      </c>
      <c r="L39" s="45">
        <f>I39-H39</f>
        <v>-9.9999999999997868E-3</v>
      </c>
      <c r="M39" s="45">
        <f>((I39-H39)/H39)*100</f>
        <v>-0.15384615384615058</v>
      </c>
      <c r="N39" s="46">
        <v>600</v>
      </c>
      <c r="O39" s="37">
        <v>3894</v>
      </c>
      <c r="P39" s="50">
        <f>(R39)/J39</f>
        <v>0</v>
      </c>
      <c r="Q39" s="48">
        <f>I39/G39-1</f>
        <v>1.4956739088636799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14785383.592708042</v>
      </c>
      <c r="E40" s="39">
        <f>C40*K40</f>
        <v>12972498.425794132</v>
      </c>
      <c r="F40" s="40" t="s">
        <v>39</v>
      </c>
      <c r="G40" s="41">
        <v>0.1</v>
      </c>
      <c r="H40" s="42">
        <v>9.0175999999999992E-2</v>
      </c>
      <c r="I40" s="42">
        <v>9.0175999999999992E-2</v>
      </c>
      <c r="J40" s="43">
        <f>I40/$J$5</f>
        <v>3.4259315543128076E-3</v>
      </c>
      <c r="K40" s="44">
        <f>I40/$K$4</f>
        <v>3.0058666666666666E-3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-9.8240000000000105E-2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6067691.7626588056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5.6987417178287036E-2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2701965.5765606952</v>
      </c>
      <c r="E42" s="39">
        <f>C42*K42</f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1.5196644580876542E-3</v>
      </c>
      <c r="K42" s="44">
        <f>I42/$K$4</f>
        <v>1.3333333333333333E-3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34610028.964804567</v>
      </c>
      <c r="E43" s="39">
        <f>C43*K43</f>
        <v>30366377.946666669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0.19755637955139504</v>
      </c>
      <c r="K43" s="44">
        <f>I43/$K$4</f>
        <v>0.17333333333333334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316.85299898182484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6.8384900613944441E-7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1536198.4073916478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2.667011123943833E-3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48329558.954187505</v>
      </c>
      <c r="E46" s="39">
        <f>C46*K46</f>
        <v>42403710.632284731</v>
      </c>
      <c r="F46" s="40" t="s">
        <v>47</v>
      </c>
      <c r="G46" s="41">
        <v>0.9998999999999999</v>
      </c>
      <c r="H46" s="42">
        <v>0.64833299999999994</v>
      </c>
      <c r="I46" s="42">
        <v>0.69964699999999991</v>
      </c>
      <c r="J46" s="43">
        <f>I46/$J$5</f>
        <v>2.6580716977691321E-2</v>
      </c>
      <c r="K46" s="44">
        <f>I46/$K$4</f>
        <v>2.3321566666666665E-2</v>
      </c>
      <c r="L46" s="45">
        <f>I46-H46</f>
        <v>5.1313999999999971E-2</v>
      </c>
      <c r="M46" s="45">
        <f>((I46-H46)/H46)*100</f>
        <v>7.9147598533469647</v>
      </c>
      <c r="N46" s="46">
        <v>10900</v>
      </c>
      <c r="O46" s="37">
        <v>7626.15</v>
      </c>
      <c r="P46" s="50">
        <f>(R46)/J46</f>
        <v>0</v>
      </c>
      <c r="Q46" s="48">
        <f>I46/G46-1</f>
        <v>-0.30028302830283027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4292435.5662269769</v>
      </c>
      <c r="E47" s="39">
        <f>C47*K47</f>
        <v>3766125.7333333334</v>
      </c>
      <c r="F47" s="40" t="s">
        <v>47</v>
      </c>
      <c r="G47" s="41">
        <v>1.4503460000000001</v>
      </c>
      <c r="H47" s="42">
        <v>1.093799</v>
      </c>
      <c r="I47" s="42">
        <v>1.1000000000000001</v>
      </c>
      <c r="J47" s="43">
        <f>I47/$J$5</f>
        <v>4.1790772597410493E-2</v>
      </c>
      <c r="K47" s="44">
        <f>I47/$K$4</f>
        <v>3.6666666666666667E-2</v>
      </c>
      <c r="L47" s="45">
        <f>I47-H47</f>
        <v>6.2010000000001231E-3</v>
      </c>
      <c r="M47" s="45">
        <f>((I47-H47)/H47)*100</f>
        <v>0.56692317327042019</v>
      </c>
      <c r="N47" s="46">
        <v>98300</v>
      </c>
      <c r="O47" s="37">
        <v>108130</v>
      </c>
      <c r="P47" s="50">
        <v>0</v>
      </c>
      <c r="Q47" s="48">
        <f>I47/G47-1</f>
        <v>-0.24156028975154897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507600</v>
      </c>
      <c r="O48" s="59">
        <f>SUM(O9:O47)</f>
        <v>3285544.3499999996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72472592.224799991</v>
      </c>
      <c r="E51" s="39">
        <v>0</v>
      </c>
      <c r="F51" s="40" t="s">
        <v>92</v>
      </c>
      <c r="G51" s="67">
        <v>0.1</v>
      </c>
      <c r="H51" s="42">
        <v>0.127</v>
      </c>
      <c r="I51" s="42">
        <v>0.13059999999999999</v>
      </c>
      <c r="J51" s="43">
        <f>I51</f>
        <v>0.13059999999999999</v>
      </c>
      <c r="K51" s="39">
        <v>0</v>
      </c>
      <c r="L51" s="45">
        <f>I51-H51</f>
        <v>3.5999999999999921E-3</v>
      </c>
      <c r="M51" s="45">
        <f>((I51-H51)/H51)*100</f>
        <v>2.8346456692913322</v>
      </c>
      <c r="N51" s="46">
        <v>11141</v>
      </c>
      <c r="O51" s="37">
        <v>1454.53</v>
      </c>
      <c r="P51" s="68">
        <f>(R51)/J51</f>
        <v>0</v>
      </c>
      <c r="Q51" s="48">
        <f>J51/G51-1</f>
        <v>0.30599999999999983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62465606.877999999</v>
      </c>
      <c r="E52" s="39">
        <v>0</v>
      </c>
      <c r="F52" s="40" t="s">
        <v>39</v>
      </c>
      <c r="G52" s="67">
        <v>39.9</v>
      </c>
      <c r="H52" s="42">
        <v>50.046999999999997</v>
      </c>
      <c r="I52" s="42">
        <v>59.058799999999998</v>
      </c>
      <c r="J52" s="43">
        <f>I52</f>
        <v>59.058799999999998</v>
      </c>
      <c r="K52" s="39">
        <v>0</v>
      </c>
      <c r="L52" s="45">
        <f>I52-H52</f>
        <v>9.0118000000000009</v>
      </c>
      <c r="M52" s="45">
        <f>((I52-H52)/H52)*100</f>
        <v>18.00667372669691</v>
      </c>
      <c r="N52" s="46">
        <v>68</v>
      </c>
      <c r="O52" s="37">
        <v>4016</v>
      </c>
      <c r="P52" s="70">
        <f>(R52)/J52</f>
        <v>9.4820754908667305E-3</v>
      </c>
      <c r="Q52" s="48">
        <f>J52/G52-1</f>
        <v>0.48017042606516291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730686254.17260003</v>
      </c>
      <c r="E53" s="39"/>
      <c r="F53" s="40" t="s">
        <v>56</v>
      </c>
      <c r="G53" s="67">
        <v>0.33</v>
      </c>
      <c r="H53" s="42">
        <v>0.25890000000000002</v>
      </c>
      <c r="I53" s="42">
        <v>0.2442</v>
      </c>
      <c r="J53" s="43">
        <f>I53</f>
        <v>0.2442</v>
      </c>
      <c r="K53" s="39">
        <v>0</v>
      </c>
      <c r="L53" s="45">
        <f>I53-H53</f>
        <v>-1.4700000000000019E-2</v>
      </c>
      <c r="M53" s="45">
        <f>((I53-H53)/H53)*100</f>
        <v>-5.6778679026651284</v>
      </c>
      <c r="N53" s="46">
        <v>16067</v>
      </c>
      <c r="O53" s="37">
        <v>3923.39</v>
      </c>
      <c r="P53" s="68">
        <v>0</v>
      </c>
      <c r="Q53" s="48">
        <f>J53/G53-1</f>
        <v>-0.26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23231129.928300001</v>
      </c>
      <c r="E54" s="39">
        <v>0</v>
      </c>
      <c r="F54" s="40" t="s">
        <v>34</v>
      </c>
      <c r="G54" s="67">
        <v>2.3E-2</v>
      </c>
      <c r="H54" s="42">
        <v>3.8100000000000002E-2</v>
      </c>
      <c r="I54" s="42">
        <v>3.8100000000000002E-2</v>
      </c>
      <c r="J54" s="43">
        <f>I54</f>
        <v>3.8100000000000002E-2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8">
        <f>(R54)/J54</f>
        <v>0</v>
      </c>
      <c r="Q54" s="48">
        <f>J54/G54-1</f>
        <v>0.65652173913043499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238022539.78290001</v>
      </c>
      <c r="E55" s="39">
        <v>0</v>
      </c>
      <c r="F55" s="40" t="s">
        <v>47</v>
      </c>
      <c r="G55" s="67">
        <v>9.0200000000000002E-2</v>
      </c>
      <c r="H55" s="42">
        <v>0.11</v>
      </c>
      <c r="I55" s="42">
        <v>0.1101</v>
      </c>
      <c r="J55" s="43">
        <f>I55</f>
        <v>0.1101</v>
      </c>
      <c r="K55" s="39">
        <v>0</v>
      </c>
      <c r="L55" s="45">
        <f>I55-H55</f>
        <v>1.0000000000000286E-4</v>
      </c>
      <c r="M55" s="71">
        <f>((I55-H55)/H55)*100</f>
        <v>9.0909090909093507E-2</v>
      </c>
      <c r="N55" s="46">
        <v>125969</v>
      </c>
      <c r="O55" s="37">
        <v>13865.42</v>
      </c>
      <c r="P55" s="68">
        <f>(R55)/J55</f>
        <v>0</v>
      </c>
      <c r="Q55" s="48">
        <f>J55/G55-1</f>
        <v>0.22062084257206216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749049940.87</v>
      </c>
      <c r="E56" s="39">
        <v>0</v>
      </c>
      <c r="F56" s="40" t="s">
        <v>34</v>
      </c>
      <c r="G56" s="67">
        <v>0.95750000000000002</v>
      </c>
      <c r="H56" s="42">
        <v>1.3394999999999999</v>
      </c>
      <c r="I56" s="42">
        <v>1.3006</v>
      </c>
      <c r="J56" s="43">
        <f>I56</f>
        <v>1.3006</v>
      </c>
      <c r="K56" s="39">
        <v>0</v>
      </c>
      <c r="L56" s="45">
        <f>I56-H56</f>
        <v>-3.8899999999999935E-2</v>
      </c>
      <c r="M56" s="45">
        <f>((I56-H56)/H56)*100</f>
        <v>-2.9040686823441537</v>
      </c>
      <c r="N56" s="46">
        <v>40646</v>
      </c>
      <c r="O56" s="37">
        <v>52863.01</v>
      </c>
      <c r="P56" s="70">
        <f>(R56)/J56</f>
        <v>3.6137167461171765E-2</v>
      </c>
      <c r="Q56" s="48">
        <f>J56/G56-1</f>
        <v>0.35832898172323757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25846374.142800003</v>
      </c>
      <c r="E57" s="39">
        <v>0</v>
      </c>
      <c r="F57" s="40" t="s">
        <v>34</v>
      </c>
      <c r="G57" s="67">
        <v>0.1595</v>
      </c>
      <c r="H57" s="42">
        <v>0.15</v>
      </c>
      <c r="I57" s="42">
        <v>0.15740000000000001</v>
      </c>
      <c r="J57" s="43">
        <f>I57</f>
        <v>0.15740000000000001</v>
      </c>
      <c r="K57" s="39">
        <v>0</v>
      </c>
      <c r="L57" s="45">
        <f>I57-H57</f>
        <v>7.4000000000000177E-3</v>
      </c>
      <c r="M57" s="45">
        <f>((I57-H57)/H57)*100</f>
        <v>4.9333333333333451</v>
      </c>
      <c r="N57" s="46">
        <v>686</v>
      </c>
      <c r="O57" s="37">
        <v>107.99</v>
      </c>
      <c r="P57" s="68">
        <f>(R57)/J57</f>
        <v>0</v>
      </c>
      <c r="Q57" s="48">
        <f>J57/G57-1</f>
        <v>-1.3166144200626895E-2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7">
        <v>1.6799999999999999E-2</v>
      </c>
      <c r="H58" s="42">
        <v>1.84E-2</v>
      </c>
      <c r="I58" s="42">
        <v>0.02</v>
      </c>
      <c r="J58" s="43">
        <f>I58</f>
        <v>0.02</v>
      </c>
      <c r="K58" s="39">
        <v>0</v>
      </c>
      <c r="L58" s="45">
        <f>I58-H58</f>
        <v>1.6000000000000007E-3</v>
      </c>
      <c r="M58" s="71">
        <f>((I58-H58)/H58)*100</f>
        <v>8.6956521739130466</v>
      </c>
      <c r="N58" s="46">
        <v>2835</v>
      </c>
      <c r="O58" s="37">
        <v>56.7</v>
      </c>
      <c r="P58" s="68">
        <f>(R58)/J58</f>
        <v>0</v>
      </c>
      <c r="Q58" s="48">
        <f>J58/G58-1</f>
        <v>0.19047619047619047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19.5</v>
      </c>
      <c r="I59" s="42">
        <v>18</v>
      </c>
      <c r="J59" s="43">
        <f>I59</f>
        <v>18</v>
      </c>
      <c r="K59" s="39">
        <v>0</v>
      </c>
      <c r="L59" s="45">
        <f>I59-H59</f>
        <v>-1.5</v>
      </c>
      <c r="M59" s="45">
        <f>((I59-H59)/H59)*100</f>
        <v>-7.6923076923076925</v>
      </c>
      <c r="N59" s="46">
        <v>1</v>
      </c>
      <c r="O59" s="37">
        <v>18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923116711.11660004</v>
      </c>
      <c r="E60" s="39">
        <v>0</v>
      </c>
      <c r="F60" s="40" t="s">
        <v>92</v>
      </c>
      <c r="G60" s="67">
        <v>0.59499999999999997</v>
      </c>
      <c r="H60" s="42">
        <v>0.99250000000000005</v>
      </c>
      <c r="I60" s="42">
        <v>1.1466000000000001</v>
      </c>
      <c r="J60" s="43">
        <f>I60</f>
        <v>1.1466000000000001</v>
      </c>
      <c r="K60" s="39">
        <v>0</v>
      </c>
      <c r="L60" s="45">
        <f>I60-H60</f>
        <v>0.15410000000000001</v>
      </c>
      <c r="M60" s="45">
        <f>((I60-H60)/H60)*100</f>
        <v>15.526448362720405</v>
      </c>
      <c r="N60" s="46">
        <v>1720635</v>
      </c>
      <c r="O60" s="37">
        <v>1972923.07</v>
      </c>
      <c r="P60" s="68">
        <f>(R60)/J60</f>
        <v>0</v>
      </c>
      <c r="Q60" s="48">
        <f>J60/G60-1</f>
        <v>0.92705882352941194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78657570.080600008</v>
      </c>
      <c r="E61" s="39">
        <v>0</v>
      </c>
      <c r="F61" s="40" t="s">
        <v>34</v>
      </c>
      <c r="G61" s="67">
        <v>0.22600000000000001</v>
      </c>
      <c r="H61" s="42">
        <v>0.29630000000000001</v>
      </c>
      <c r="I61" s="42">
        <v>0.30170000000000002</v>
      </c>
      <c r="J61" s="43">
        <f>I61</f>
        <v>0.30170000000000002</v>
      </c>
      <c r="K61" s="39">
        <v>0</v>
      </c>
      <c r="L61" s="45">
        <f>I61-H61</f>
        <v>5.4000000000000159E-3</v>
      </c>
      <c r="M61" s="45">
        <f>((I61-H61)/H61)*100</f>
        <v>1.8224772190347676</v>
      </c>
      <c r="N61" s="46">
        <v>959</v>
      </c>
      <c r="O61" s="37">
        <v>289.37</v>
      </c>
      <c r="P61" s="68">
        <f>(R61)/J61</f>
        <v>0</v>
      </c>
      <c r="Q61" s="48">
        <f>J61/G61-1</f>
        <v>0.33495575221238938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343832216.34080005</v>
      </c>
      <c r="E62" s="39">
        <v>0</v>
      </c>
      <c r="F62" s="40" t="s">
        <v>34</v>
      </c>
      <c r="G62" s="67">
        <v>0.49440000000000001</v>
      </c>
      <c r="H62" s="42">
        <v>0.65239999999999998</v>
      </c>
      <c r="I62" s="42">
        <v>0.61160000000000003</v>
      </c>
      <c r="J62" s="43">
        <f>I62</f>
        <v>0.61160000000000003</v>
      </c>
      <c r="K62" s="39">
        <v>0</v>
      </c>
      <c r="L62" s="45">
        <f>I62-H62</f>
        <v>-4.0799999999999947E-2</v>
      </c>
      <c r="M62" s="45">
        <f>((I62-H62)/H62)*100</f>
        <v>-6.2538320049049574</v>
      </c>
      <c r="N62" s="46">
        <v>27591</v>
      </c>
      <c r="O62" s="37">
        <v>16873.47</v>
      </c>
      <c r="P62" s="68">
        <f>(R62)/J62</f>
        <v>0</v>
      </c>
      <c r="Q62" s="48">
        <f>J62/G62-1</f>
        <v>0.23705501618122993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23086892.562000003</v>
      </c>
      <c r="E64" s="39">
        <v>0</v>
      </c>
      <c r="F64" s="40" t="s">
        <v>44</v>
      </c>
      <c r="G64" s="67">
        <v>4.2999999999999997E-2</v>
      </c>
      <c r="H64" s="42">
        <v>6.7000000000000004E-2</v>
      </c>
      <c r="I64" s="42">
        <v>6.7000000000000004E-2</v>
      </c>
      <c r="J64" s="43">
        <f>I64</f>
        <v>6.7000000000000004E-2</v>
      </c>
      <c r="K64" s="39">
        <v>0</v>
      </c>
      <c r="L64" s="45">
        <f>I64-H64</f>
        <v>0</v>
      </c>
      <c r="M64" s="45">
        <f>((I64-H64)/H64)*100</f>
        <v>0</v>
      </c>
      <c r="N64" s="46">
        <v>0</v>
      </c>
      <c r="O64" s="37">
        <v>0</v>
      </c>
      <c r="P64" s="68">
        <f>(R64)/J64</f>
        <v>0</v>
      </c>
      <c r="Q64" s="48">
        <f>J64/G64-1</f>
        <v>0.55813953488372126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1946598</v>
      </c>
      <c r="O65" s="59">
        <f>SUM(O51:O64)</f>
        <v>2066390.9500000002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42208077.861000001</v>
      </c>
      <c r="E70" s="39">
        <f>C70*K70</f>
        <v>42208077.861000001</v>
      </c>
      <c r="F70" s="87" t="s">
        <v>156</v>
      </c>
      <c r="G70" s="87">
        <v>0.24</v>
      </c>
      <c r="H70" s="88">
        <v>0.35099999999999998</v>
      </c>
      <c r="I70" s="88">
        <v>0.30299999999999999</v>
      </c>
      <c r="J70" s="89">
        <f>I70</f>
        <v>0.30299999999999999</v>
      </c>
      <c r="K70" s="89">
        <f>J70</f>
        <v>0.30299999999999999</v>
      </c>
      <c r="L70" s="45">
        <f>I70-H70</f>
        <v>-4.7999999999999987E-2</v>
      </c>
      <c r="M70" s="45">
        <f>((I70-H70)/H70)*100</f>
        <v>-13.675213675213671</v>
      </c>
      <c r="N70" s="90">
        <v>5</v>
      </c>
      <c r="O70" s="91">
        <v>1.52</v>
      </c>
      <c r="P70" s="68">
        <f>(R70)/J70</f>
        <v>0</v>
      </c>
      <c r="Q70" s="48">
        <f>J70/G70-1</f>
        <v>0.26249999999999996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70985573.550000012</v>
      </c>
      <c r="E71" s="39">
        <f>C71*K71</f>
        <v>70985573.550000012</v>
      </c>
      <c r="F71" s="87" t="s">
        <v>156</v>
      </c>
      <c r="G71" s="87">
        <v>0.1</v>
      </c>
      <c r="H71" s="88">
        <v>0.14530000000000001</v>
      </c>
      <c r="I71" s="88">
        <v>0.15060000000000001</v>
      </c>
      <c r="J71" s="89">
        <f>I71</f>
        <v>0.15060000000000001</v>
      </c>
      <c r="K71" s="89">
        <f>J71</f>
        <v>0.15060000000000001</v>
      </c>
      <c r="L71" s="45">
        <f>I71-H71</f>
        <v>5.2999999999999992E-3</v>
      </c>
      <c r="M71" s="45">
        <f>((I71-H71)/H71)*100</f>
        <v>3.6476256022023388</v>
      </c>
      <c r="N71" s="46">
        <v>2841</v>
      </c>
      <c r="O71" s="91">
        <v>427.95</v>
      </c>
      <c r="P71" s="92">
        <f>(R71)/J71</f>
        <v>2.5179282868525894E-2</v>
      </c>
      <c r="Q71" s="48">
        <f>J71/G71-1</f>
        <v>0.50600000000000001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2846</v>
      </c>
      <c r="O72" s="59">
        <f>SUM(O70:O71)</f>
        <v>429.46999999999997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3122954.25</v>
      </c>
      <c r="E74" s="39">
        <f>C74*K74</f>
        <v>3122954.25</v>
      </c>
      <c r="F74" s="87" t="s">
        <v>138</v>
      </c>
      <c r="G74" s="87">
        <v>0.1394</v>
      </c>
      <c r="H74" s="88">
        <v>0.15</v>
      </c>
      <c r="I74" s="88">
        <v>0.15</v>
      </c>
      <c r="J74" s="89">
        <f>I74</f>
        <v>0.15</v>
      </c>
      <c r="K74" s="89">
        <f>J74</f>
        <v>0.15</v>
      </c>
      <c r="L74" s="45">
        <f>I74-H74</f>
        <v>0</v>
      </c>
      <c r="M74" s="45">
        <f>((I74-H74)/H74)*100</f>
        <v>0</v>
      </c>
      <c r="N74" s="90">
        <v>3787</v>
      </c>
      <c r="O74" s="91">
        <v>568.04999999999995</v>
      </c>
      <c r="P74" s="68">
        <f>(R74)/J74</f>
        <v>0</v>
      </c>
      <c r="Q74" s="48">
        <f>J74/G74-1</f>
        <v>7.6040172166427444E-2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168501.70335769863</v>
      </c>
      <c r="E77" s="39">
        <f>C77*K77</f>
        <v>147841.14783666664</v>
      </c>
      <c r="F77" s="40" t="s">
        <v>138</v>
      </c>
      <c r="G77" s="67">
        <v>0.105</v>
      </c>
      <c r="H77" s="42">
        <v>8.5000000000000006E-2</v>
      </c>
      <c r="I77" s="42">
        <v>9.7699999999999995E-2</v>
      </c>
      <c r="J77" s="43">
        <f>I77/$J$5</f>
        <v>3.7117804388790954E-3</v>
      </c>
      <c r="K77" s="44">
        <f>I77/$K$4</f>
        <v>3.2566666666666664E-3</v>
      </c>
      <c r="L77" s="45">
        <f>I77-H77</f>
        <v>1.2699999999999989E-2</v>
      </c>
      <c r="M77" s="93">
        <f>((I77-H77)/H77)*100</f>
        <v>14.941176470588221</v>
      </c>
      <c r="N77" s="37">
        <v>58332</v>
      </c>
      <c r="O77" s="37">
        <v>5699.0364</v>
      </c>
      <c r="P77" s="40">
        <v>0</v>
      </c>
      <c r="Q77" s="48">
        <f>I77/G77-1</f>
        <v>-6.9523809523809543E-2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284515.86757643911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2.0895386298705244E-3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1878371.3756002677</v>
      </c>
      <c r="E79" s="39">
        <f>C79*K79</f>
        <v>1648058</v>
      </c>
      <c r="F79" s="40" t="s">
        <v>138</v>
      </c>
      <c r="G79" s="67">
        <v>6.0499999999999998E-2</v>
      </c>
      <c r="H79" s="42">
        <v>0.1</v>
      </c>
      <c r="I79" s="42">
        <v>0.1</v>
      </c>
      <c r="J79" s="43">
        <f>I79/$J$5</f>
        <v>3.7991611452191359E-3</v>
      </c>
      <c r="K79" s="44">
        <f>I79/$K$4</f>
        <v>3.3333333333333335E-3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2423594.0292383442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5.8886997750896605E-2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58332</v>
      </c>
      <c r="O81" s="59">
        <f>SUM(O77:O80)</f>
        <v>5699.0364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27986615.099386055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7.5983222904382711E-2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900</v>
      </c>
      <c r="O83" s="37">
        <v>1800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85815948.167854533</v>
      </c>
      <c r="E84" s="39">
        <f>C84*K84</f>
        <v>75293768.709833324</v>
      </c>
      <c r="F84" s="40" t="s">
        <v>174</v>
      </c>
      <c r="G84" s="40">
        <v>1.44347</v>
      </c>
      <c r="H84" s="42">
        <v>1.167535</v>
      </c>
      <c r="I84" s="42">
        <v>1.2268790000000001</v>
      </c>
      <c r="J84" s="43">
        <f>I84/$J$5</f>
        <v>4.6611110266853079E-2</v>
      </c>
      <c r="K84" s="44">
        <f>I84/$K$4</f>
        <v>4.0895966666666665E-2</v>
      </c>
      <c r="L84" s="45">
        <f>I84-H84</f>
        <v>5.9344000000000063E-2</v>
      </c>
      <c r="M84" s="45">
        <f>((I84-H84)/H84*100)</f>
        <v>5.0828454821482927</v>
      </c>
      <c r="N84" s="50">
        <v>4801734</v>
      </c>
      <c r="O84" s="37">
        <v>5891117.2060000002</v>
      </c>
      <c r="P84" s="47">
        <f>(R84)/J84</f>
        <v>4.6684148640574991E-2</v>
      </c>
      <c r="Q84" s="48">
        <f>I84/G84-1</f>
        <v>-0.15004884064095547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4802634</v>
      </c>
      <c r="O85" s="59">
        <f>SUM(O83:O84)</f>
        <v>5892917.2060000002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97</v>
      </c>
      <c r="B88" s="110">
        <v>5.2426980000000007</v>
      </c>
      <c r="D88" s="110">
        <v>14.64476008496843</v>
      </c>
      <c r="E88" s="35" t="s">
        <v>72</v>
      </c>
      <c r="F88" s="111">
        <v>1.1100000000000001</v>
      </c>
      <c r="H88" s="112">
        <v>14.64476008496843</v>
      </c>
      <c r="L88" s="35" t="s">
        <v>122</v>
      </c>
      <c r="M88" s="50">
        <v>59.058799999999998</v>
      </c>
      <c r="N88" s="113">
        <v>18.00667372669691</v>
      </c>
      <c r="O88" s="35" t="s">
        <v>136</v>
      </c>
      <c r="P88" s="111">
        <v>18</v>
      </c>
      <c r="Q88" s="114">
        <v>-7.6923076923076925</v>
      </c>
    </row>
    <row r="89" spans="1:243" x14ac:dyDescent="0.25">
      <c r="A89" s="35" t="s">
        <v>42</v>
      </c>
      <c r="B89" s="110">
        <v>14.500499999999999</v>
      </c>
      <c r="D89" s="110">
        <v>11.533728174755783</v>
      </c>
      <c r="E89" s="35" t="s">
        <v>58</v>
      </c>
      <c r="F89" s="111">
        <v>10.008099999999999</v>
      </c>
      <c r="H89" s="112">
        <v>11.533728174755783</v>
      </c>
      <c r="L89" s="35" t="s">
        <v>139</v>
      </c>
      <c r="M89" s="50">
        <v>1.1466000000000001</v>
      </c>
      <c r="N89" s="113">
        <v>15.526448362720405</v>
      </c>
      <c r="O89" s="35" t="s">
        <v>143</v>
      </c>
      <c r="P89" s="111">
        <v>0.61160000000000003</v>
      </c>
      <c r="Q89" s="114">
        <v>-6.2538320049049574</v>
      </c>
    </row>
    <row r="90" spans="1:243" x14ac:dyDescent="0.25">
      <c r="A90" s="35" t="s">
        <v>115</v>
      </c>
      <c r="B90" s="110">
        <v>0.69964699999999991</v>
      </c>
      <c r="C90" s="110"/>
      <c r="D90" s="110">
        <v>7.9147598533469647</v>
      </c>
      <c r="E90" s="35" t="s">
        <v>67</v>
      </c>
      <c r="F90" s="111">
        <v>0.1195</v>
      </c>
      <c r="H90" s="112">
        <v>7.9147598533469647</v>
      </c>
      <c r="L90" s="35" t="s">
        <v>134</v>
      </c>
      <c r="M90" s="50">
        <v>0.02</v>
      </c>
      <c r="N90" s="113">
        <v>8.6956521739130466</v>
      </c>
      <c r="O90" s="35" t="s">
        <v>124</v>
      </c>
      <c r="P90" s="111">
        <v>0.2442</v>
      </c>
      <c r="Q90" s="114">
        <v>-5.6778679026651284</v>
      </c>
    </row>
    <row r="91" spans="1:243" x14ac:dyDescent="0.25">
      <c r="A91" s="35" t="s">
        <v>99</v>
      </c>
      <c r="B91" s="110">
        <v>0.15</v>
      </c>
      <c r="C91" s="110"/>
      <c r="D91" s="110">
        <v>6.74940931993509</v>
      </c>
      <c r="E91" s="35" t="s">
        <v>95</v>
      </c>
      <c r="F91" s="111">
        <v>0.04</v>
      </c>
      <c r="G91" s="111"/>
      <c r="H91" s="112">
        <v>6.74940931993509</v>
      </c>
      <c r="L91" s="35" t="s">
        <v>132</v>
      </c>
      <c r="M91" s="50">
        <v>0.15740000000000001</v>
      </c>
      <c r="N91" s="113">
        <v>4.9333333333333451</v>
      </c>
      <c r="O91" s="35" t="s">
        <v>130</v>
      </c>
      <c r="P91" s="111">
        <v>1.3006</v>
      </c>
      <c r="Q91" s="114">
        <v>-2.9040686823441537</v>
      </c>
    </row>
    <row r="92" spans="1:243" x14ac:dyDescent="0.25">
      <c r="A92" s="35" t="s">
        <v>52</v>
      </c>
      <c r="B92" s="110">
        <v>30.762600000000003</v>
      </c>
      <c r="C92" s="110"/>
      <c r="D92" s="110">
        <v>1.0481712023913228</v>
      </c>
      <c r="E92" s="35" t="s">
        <v>74</v>
      </c>
      <c r="F92" s="111">
        <v>3.4394999999999998</v>
      </c>
      <c r="G92" s="111"/>
      <c r="H92" s="112">
        <v>1.0481712023913228</v>
      </c>
      <c r="L92" s="35" t="s">
        <v>120</v>
      </c>
      <c r="M92" s="50">
        <v>0.13059999999999999</v>
      </c>
      <c r="N92" s="113">
        <v>2.8346456692913322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/F+2VmTaxTqkEElV8xRLuq8fOr8Om7fiEEvuvKfndbgGNvurwqzaY9SNbeutytIHRWMhGQ93bHqxCYL0EjT7XA==" saltValue="rc7TG2LR47eKWQ1/pc9mFA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2026-05-22T13:23:09Z</dcterms:created>
  <dcterms:modified xsi:type="dcterms:W3CDTF">2026-05-22T13:32:23Z</dcterms:modified>
</cp:coreProperties>
</file>