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gachiras_fbc_co_zw/Documents/Price Sheets/14.07.26/"/>
    </mc:Choice>
  </mc:AlternateContent>
  <xr:revisionPtr revIDLastSave="5" documentId="8_{77107903-0651-4A85-9687-AD8F8F2C699C}" xr6:coauthVersionLast="47" xr6:coauthVersionMax="47" xr10:uidLastSave="{400C451E-4BB2-4100-BBB3-8F13C3703F59}"/>
  <bookViews>
    <workbookView xWindow="14295" yWindow="0" windowWidth="14610" windowHeight="15585" xr2:uid="{E07947F8-4728-48A3-A890-3D1228F953F7}"/>
  </bookViews>
  <sheets>
    <sheet name="Price Sheet" sheetId="1" r:id="rId1"/>
  </sheets>
  <definedNames>
    <definedName name="_xlnm._FilterDatabase" localSheetId="0" hidden="1">'Price Sheet'!$9:$46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3" i="1" l="1"/>
  <c r="O83" i="1"/>
  <c r="O84" i="1"/>
  <c r="H83" i="1"/>
  <c r="L83" i="1"/>
  <c r="I83" i="1"/>
  <c r="I84" i="1"/>
  <c r="K84" i="1" l="1"/>
  <c r="J84" i="1"/>
  <c r="P84" i="1" s="1"/>
  <c r="Q84" i="1"/>
  <c r="E84" i="1"/>
  <c r="D84" i="1"/>
  <c r="M83" i="1"/>
  <c r="K83" i="1"/>
  <c r="E83" i="1" s="1"/>
  <c r="J83" i="1"/>
  <c r="D83" i="1" s="1"/>
  <c r="O81" i="1"/>
  <c r="N81" i="1"/>
  <c r="Q80" i="1"/>
  <c r="M80" i="1"/>
  <c r="L80" i="1"/>
  <c r="K80" i="1"/>
  <c r="E80" i="1" s="1"/>
  <c r="J80" i="1"/>
  <c r="D80" i="1" s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Q77" i="1"/>
  <c r="M77" i="1"/>
  <c r="L77" i="1"/>
  <c r="K77" i="1"/>
  <c r="J77" i="1"/>
  <c r="E77" i="1"/>
  <c r="D77" i="1"/>
  <c r="Q74" i="1"/>
  <c r="M74" i="1"/>
  <c r="L74" i="1"/>
  <c r="J74" i="1"/>
  <c r="P74" i="1" s="1"/>
  <c r="D74" i="1"/>
  <c r="O72" i="1"/>
  <c r="N72" i="1"/>
  <c r="Q71" i="1"/>
  <c r="P71" i="1"/>
  <c r="M71" i="1"/>
  <c r="L71" i="1"/>
  <c r="J71" i="1"/>
  <c r="K71" i="1" s="1"/>
  <c r="E71" i="1" s="1"/>
  <c r="D71" i="1"/>
  <c r="M70" i="1"/>
  <c r="L70" i="1"/>
  <c r="J70" i="1"/>
  <c r="D70" i="1" s="1"/>
  <c r="M67" i="1"/>
  <c r="L67" i="1"/>
  <c r="D67" i="1"/>
  <c r="O65" i="1"/>
  <c r="N65" i="1"/>
  <c r="M64" i="1"/>
  <c r="L64" i="1"/>
  <c r="J64" i="1"/>
  <c r="P64" i="1" s="1"/>
  <c r="M63" i="1"/>
  <c r="L63" i="1"/>
  <c r="J63" i="1"/>
  <c r="Q63" i="1" s="1"/>
  <c r="M62" i="1"/>
  <c r="L62" i="1"/>
  <c r="J62" i="1"/>
  <c r="P62" i="1" s="1"/>
  <c r="D62" i="1"/>
  <c r="M61" i="1"/>
  <c r="L61" i="1"/>
  <c r="J61" i="1"/>
  <c r="Q61" i="1" s="1"/>
  <c r="M60" i="1"/>
  <c r="L60" i="1"/>
  <c r="J60" i="1"/>
  <c r="P60" i="1" s="1"/>
  <c r="M59" i="1"/>
  <c r="L59" i="1"/>
  <c r="J59" i="1"/>
  <c r="Q59" i="1" s="1"/>
  <c r="D59" i="1"/>
  <c r="M58" i="1"/>
  <c r="L58" i="1"/>
  <c r="J58" i="1"/>
  <c r="P58" i="1" s="1"/>
  <c r="M57" i="1"/>
  <c r="L57" i="1"/>
  <c r="J57" i="1"/>
  <c r="Q57" i="1" s="1"/>
  <c r="M56" i="1"/>
  <c r="L56" i="1"/>
  <c r="J56" i="1"/>
  <c r="P56" i="1" s="1"/>
  <c r="D56" i="1"/>
  <c r="M55" i="1"/>
  <c r="L55" i="1"/>
  <c r="J55" i="1"/>
  <c r="Q55" i="1" s="1"/>
  <c r="M54" i="1"/>
  <c r="L54" i="1"/>
  <c r="J54" i="1"/>
  <c r="P54" i="1" s="1"/>
  <c r="D54" i="1"/>
  <c r="M53" i="1"/>
  <c r="L53" i="1"/>
  <c r="J53" i="1"/>
  <c r="Q53" i="1" s="1"/>
  <c r="D53" i="1"/>
  <c r="M52" i="1"/>
  <c r="L52" i="1"/>
  <c r="J52" i="1"/>
  <c r="Q52" i="1" s="1"/>
  <c r="D52" i="1"/>
  <c r="M51" i="1"/>
  <c r="L51" i="1"/>
  <c r="J51" i="1"/>
  <c r="P51" i="1" s="1"/>
  <c r="D51" i="1"/>
  <c r="M50" i="1"/>
  <c r="L50" i="1"/>
  <c r="J50" i="1"/>
  <c r="Q50" i="1" s="1"/>
  <c r="O47" i="1"/>
  <c r="N47" i="1"/>
  <c r="Q46" i="1"/>
  <c r="M46" i="1"/>
  <c r="L46" i="1"/>
  <c r="K46" i="1"/>
  <c r="E46" i="1" s="1"/>
  <c r="J46" i="1"/>
  <c r="D46" i="1" s="1"/>
  <c r="Q45" i="1"/>
  <c r="M45" i="1"/>
  <c r="L45" i="1"/>
  <c r="K45" i="1"/>
  <c r="J45" i="1"/>
  <c r="P45" i="1" s="1"/>
  <c r="E45" i="1"/>
  <c r="D45" i="1"/>
  <c r="Q44" i="1"/>
  <c r="M44" i="1"/>
  <c r="L44" i="1"/>
  <c r="K44" i="1"/>
  <c r="E44" i="1" s="1"/>
  <c r="J44" i="1"/>
  <c r="P44" i="1" s="1"/>
  <c r="Q43" i="1"/>
  <c r="M43" i="1"/>
  <c r="L43" i="1"/>
  <c r="K43" i="1"/>
  <c r="J43" i="1"/>
  <c r="P43" i="1" s="1"/>
  <c r="E43" i="1"/>
  <c r="D43" i="1"/>
  <c r="Q42" i="1"/>
  <c r="M42" i="1"/>
  <c r="L42" i="1"/>
  <c r="K42" i="1"/>
  <c r="E42" i="1" s="1"/>
  <c r="J42" i="1"/>
  <c r="P42" i="1" s="1"/>
  <c r="Q41" i="1"/>
  <c r="M41" i="1"/>
  <c r="L41" i="1"/>
  <c r="K41" i="1"/>
  <c r="E41" i="1" s="1"/>
  <c r="J41" i="1"/>
  <c r="P41" i="1" s="1"/>
  <c r="D41" i="1"/>
  <c r="Q40" i="1"/>
  <c r="M40" i="1"/>
  <c r="L40" i="1"/>
  <c r="K40" i="1"/>
  <c r="E40" i="1" s="1"/>
  <c r="J40" i="1"/>
  <c r="P40" i="1" s="1"/>
  <c r="Q39" i="1"/>
  <c r="M39" i="1"/>
  <c r="L39" i="1"/>
  <c r="K39" i="1"/>
  <c r="J39" i="1"/>
  <c r="P39" i="1" s="1"/>
  <c r="E39" i="1"/>
  <c r="D39" i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P37" i="1" s="1"/>
  <c r="Q36" i="1"/>
  <c r="P36" i="1"/>
  <c r="M36" i="1"/>
  <c r="L36" i="1"/>
  <c r="K36" i="1"/>
  <c r="E36" i="1" s="1"/>
  <c r="J36" i="1"/>
  <c r="D36" i="1" s="1"/>
  <c r="Q35" i="1"/>
  <c r="M35" i="1"/>
  <c r="L35" i="1"/>
  <c r="K35" i="1"/>
  <c r="J35" i="1"/>
  <c r="P35" i="1" s="1"/>
  <c r="E35" i="1"/>
  <c r="D35" i="1"/>
  <c r="Q34" i="1"/>
  <c r="M34" i="1"/>
  <c r="L34" i="1"/>
  <c r="K34" i="1"/>
  <c r="E34" i="1" s="1"/>
  <c r="J34" i="1"/>
  <c r="P34" i="1" s="1"/>
  <c r="D34" i="1"/>
  <c r="Q33" i="1"/>
  <c r="M33" i="1"/>
  <c r="L33" i="1"/>
  <c r="K33" i="1"/>
  <c r="E33" i="1" s="1"/>
  <c r="J33" i="1"/>
  <c r="P33" i="1" s="1"/>
  <c r="D33" i="1"/>
  <c r="Q32" i="1"/>
  <c r="M32" i="1"/>
  <c r="L32" i="1"/>
  <c r="K32" i="1"/>
  <c r="J32" i="1"/>
  <c r="P32" i="1" s="1"/>
  <c r="E32" i="1"/>
  <c r="K31" i="1"/>
  <c r="E31" i="1" s="1"/>
  <c r="J31" i="1"/>
  <c r="D31" i="1"/>
  <c r="Q29" i="1"/>
  <c r="M29" i="1"/>
  <c r="L29" i="1"/>
  <c r="K29" i="1"/>
  <c r="E29" i="1" s="1"/>
  <c r="J29" i="1"/>
  <c r="P29" i="1" s="1"/>
  <c r="Q28" i="1"/>
  <c r="M28" i="1"/>
  <c r="L28" i="1"/>
  <c r="K28" i="1"/>
  <c r="J28" i="1"/>
  <c r="P28" i="1" s="1"/>
  <c r="E28" i="1"/>
  <c r="D28" i="1"/>
  <c r="Q27" i="1"/>
  <c r="M27" i="1"/>
  <c r="L27" i="1"/>
  <c r="K27" i="1"/>
  <c r="E27" i="1" s="1"/>
  <c r="J27" i="1"/>
  <c r="P27" i="1" s="1"/>
  <c r="Q26" i="1"/>
  <c r="M26" i="1"/>
  <c r="L26" i="1"/>
  <c r="K26" i="1"/>
  <c r="E26" i="1" s="1"/>
  <c r="J26" i="1"/>
  <c r="P26" i="1" s="1"/>
  <c r="Q25" i="1"/>
  <c r="M25" i="1"/>
  <c r="L25" i="1"/>
  <c r="K25" i="1"/>
  <c r="E25" i="1" s="1"/>
  <c r="J25" i="1"/>
  <c r="P25" i="1" s="1"/>
  <c r="D25" i="1"/>
  <c r="Q24" i="1"/>
  <c r="M24" i="1"/>
  <c r="L24" i="1"/>
  <c r="K24" i="1"/>
  <c r="E24" i="1" s="1"/>
  <c r="J24" i="1"/>
  <c r="D24" i="1" s="1"/>
  <c r="Q23" i="1"/>
  <c r="M23" i="1"/>
  <c r="L23" i="1"/>
  <c r="K23" i="1"/>
  <c r="J23" i="1"/>
  <c r="P23" i="1" s="1"/>
  <c r="E23" i="1"/>
  <c r="Q22" i="1"/>
  <c r="M22" i="1"/>
  <c r="L22" i="1"/>
  <c r="K22" i="1"/>
  <c r="J22" i="1"/>
  <c r="E22" i="1"/>
  <c r="D22" i="1"/>
  <c r="Q21" i="1"/>
  <c r="M21" i="1"/>
  <c r="L21" i="1"/>
  <c r="K21" i="1"/>
  <c r="E21" i="1" s="1"/>
  <c r="J21" i="1"/>
  <c r="D21" i="1" s="1"/>
  <c r="Q20" i="1"/>
  <c r="M20" i="1"/>
  <c r="L20" i="1"/>
  <c r="K20" i="1"/>
  <c r="J20" i="1"/>
  <c r="P20" i="1" s="1"/>
  <c r="E20" i="1"/>
  <c r="D20" i="1"/>
  <c r="Q19" i="1"/>
  <c r="M19" i="1"/>
  <c r="L19" i="1"/>
  <c r="K19" i="1"/>
  <c r="E19" i="1" s="1"/>
  <c r="J19" i="1"/>
  <c r="D19" i="1" s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P16" i="1" s="1"/>
  <c r="E16" i="1"/>
  <c r="Q15" i="1"/>
  <c r="M15" i="1"/>
  <c r="L15" i="1"/>
  <c r="K15" i="1"/>
  <c r="E15" i="1" s="1"/>
  <c r="J15" i="1"/>
  <c r="P15" i="1" s="1"/>
  <c r="Q14" i="1"/>
  <c r="M14" i="1"/>
  <c r="L14" i="1"/>
  <c r="K14" i="1"/>
  <c r="E14" i="1" s="1"/>
  <c r="J14" i="1"/>
  <c r="P14" i="1" s="1"/>
  <c r="Q13" i="1"/>
  <c r="M13" i="1"/>
  <c r="L13" i="1"/>
  <c r="K13" i="1"/>
  <c r="E13" i="1" s="1"/>
  <c r="J13" i="1"/>
  <c r="P13" i="1" s="1"/>
  <c r="Q12" i="1"/>
  <c r="M12" i="1"/>
  <c r="L12" i="1"/>
  <c r="K12" i="1"/>
  <c r="E12" i="1" s="1"/>
  <c r="J12" i="1"/>
  <c r="P12" i="1" s="1"/>
  <c r="Q11" i="1"/>
  <c r="M11" i="1"/>
  <c r="L11" i="1"/>
  <c r="K11" i="1"/>
  <c r="E11" i="1" s="1"/>
  <c r="J11" i="1"/>
  <c r="P11" i="1" s="1"/>
  <c r="Q10" i="1"/>
  <c r="M10" i="1"/>
  <c r="L10" i="1"/>
  <c r="K10" i="1"/>
  <c r="E10" i="1" s="1"/>
  <c r="J10" i="1"/>
  <c r="P10" i="1" s="1"/>
  <c r="Q9" i="1"/>
  <c r="M9" i="1"/>
  <c r="L9" i="1"/>
  <c r="K9" i="1"/>
  <c r="J9" i="1"/>
  <c r="P9" i="1" s="1"/>
  <c r="E9" i="1"/>
  <c r="D9" i="1"/>
  <c r="D60" i="1" l="1"/>
  <c r="D63" i="1"/>
  <c r="D58" i="1"/>
  <c r="D61" i="1"/>
  <c r="P83" i="1"/>
  <c r="D55" i="1"/>
  <c r="D64" i="1"/>
  <c r="D57" i="1"/>
  <c r="Q51" i="1"/>
  <c r="D50" i="1"/>
  <c r="D12" i="1"/>
  <c r="D10" i="1"/>
  <c r="P24" i="1"/>
  <c r="D23" i="1"/>
  <c r="D29" i="1"/>
  <c r="D40" i="1"/>
  <c r="D44" i="1"/>
  <c r="P19" i="1"/>
  <c r="D37" i="1"/>
  <c r="D42" i="1"/>
  <c r="D11" i="1"/>
  <c r="D16" i="1"/>
  <c r="D27" i="1"/>
  <c r="D32" i="1"/>
  <c r="D14" i="1"/>
  <c r="D13" i="1"/>
  <c r="D15" i="1"/>
  <c r="D26" i="1"/>
  <c r="P21" i="1"/>
  <c r="P50" i="1"/>
  <c r="Q54" i="1"/>
  <c r="Q56" i="1"/>
  <c r="Q58" i="1"/>
  <c r="Q60" i="1"/>
  <c r="Q62" i="1"/>
  <c r="Q64" i="1"/>
  <c r="P70" i="1"/>
  <c r="K70" i="1"/>
  <c r="E70" i="1" s="1"/>
  <c r="Q70" i="1"/>
  <c r="K74" i="1"/>
  <c r="E74" i="1" s="1"/>
  <c r="L84" i="1"/>
  <c r="M84" i="1"/>
  <c r="P53" i="1"/>
  <c r="P55" i="1"/>
  <c r="P57" i="1"/>
  <c r="P59" i="1"/>
  <c r="P61" i="1"/>
  <c r="P63" i="1"/>
</calcChain>
</file>

<file path=xl/sharedStrings.xml><?xml version="1.0" encoding="utf-8"?>
<sst xmlns="http://schemas.openxmlformats.org/spreadsheetml/2006/main" count="267" uniqueCount="183">
  <si>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</si>
  <si>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</si>
  <si>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</si>
  <si>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</si>
  <si>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</si>
  <si>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</si>
  <si>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</si>
  <si>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</si>
  <si>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</si>
  <si>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</si>
  <si>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</si>
  <si>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</si>
  <si>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</si>
  <si>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</si>
  <si>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</si>
  <si>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</si>
  <si>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</si>
  <si>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</si>
  <si>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</si>
  <si>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</si>
  <si>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</si>
  <si>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</si>
  <si>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</si>
  <si>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</si>
  <si>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</si>
  <si>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</si>
  <si>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</si>
  <si>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</si>
  <si>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</si>
  <si>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</si>
  <si>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</si>
  <si>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</si>
  <si>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</si>
  <si>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</si>
  <si>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</si>
  <si>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</si>
  <si>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</si>
  <si>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</si>
  <si>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</si>
  <si>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</si>
  <si>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</si>
  <si>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</si>
  <si>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</si>
  <si>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</si>
  <si>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</si>
  <si>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</si>
  <si>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</si>
  <si>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</si>
  <si>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</si>
  <si>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</si>
  <si>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</si>
  <si>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</si>
  <si>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</si>
  <si>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</si>
  <si>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</si>
  <si>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</si>
  <si>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</si>
  <si>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</si>
  <si>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</si>
  <si>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</si>
  <si>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</si>
  <si>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</si>
  <si>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</si>
  <si>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</si>
  <si>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</si>
  <si>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</si>
  <si>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</si>
  <si>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</si>
  <si>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</si>
  <si>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</si>
  <si>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</si>
  <si>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</si>
  <si>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</si>
  <si>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</si>
  <si>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</si>
  <si>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</si>
  <si>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</si>
  <si>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</si>
  <si>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</si>
  <si>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</si>
  <si>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</si>
  <si>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</si>
  <si>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</si>
  <si>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</si>
  <si>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</si>
  <si>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</si>
  <si>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</si>
  <si>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</si>
  <si>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</si>
  <si>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</si>
  <si>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</si>
  <si>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</si>
  <si>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</si>
  <si>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</si>
  <si>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</si>
  <si>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</si>
  <si>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</si>
  <si>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</si>
  <si>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</si>
  <si>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</si>
  <si>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</si>
  <si>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</si>
  <si>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</si>
  <si>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</si>
  <si>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</si>
  <si>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</si>
  <si>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</si>
  <si>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</si>
  <si>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</si>
  <si>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</si>
  <si>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</si>
  <si>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</si>
  <si>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</si>
  <si>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</si>
  <si>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</si>
  <si>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</si>
  <si>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</si>
  <si>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</si>
  <si>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</si>
  <si>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</si>
  <si>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</si>
  <si>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</si>
  <si>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</si>
  <si>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</si>
  <si>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</si>
  <si>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</si>
  <si>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</si>
  <si>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</si>
  <si>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</si>
  <si>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</si>
  <si>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</si>
  <si>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</si>
  <si>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</si>
  <si>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</si>
  <si>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</si>
  <si>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</si>
  <si>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</si>
  <si>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</si>
  <si>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</si>
  <si>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</si>
  <si>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</si>
  <si>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</si>
  <si>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</si>
  <si>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</si>
  <si>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</si>
  <si>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</si>
  <si>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</si>
  <si>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</si>
  <si>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</si>
  <si>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</si>
  <si>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</si>
  <si>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</si>
  <si>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</si>
  <si>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</si>
  <si>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</si>
  <si>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</si>
  <si>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</si>
  <si>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</si>
  <si>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</si>
  <si>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</si>
  <si>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</si>
  <si>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</si>
  <si>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</si>
  <si>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</si>
  <si>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</si>
  <si>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</si>
  <si>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</si>
  <si>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</si>
  <si>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</si>
  <si>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</si>
  <si>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</si>
  <si>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</si>
  <si>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</si>
  <si>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</si>
  <si>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</si>
  <si>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</si>
  <si>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</si>
  <si>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</si>
  <si>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This Price Sheet is based on PROVISIONAL information obtained during trading. No liability is accepted by FBC Securities (Private) Limited for any errors in this report. </t>
  </si>
  <si>
    <t xml:space="preserve">ZSE Top Gainers		</t>
  </si>
  <si>
    <t xml:space="preserve">ZSE Top Losers		</t>
  </si>
  <si>
    <t xml:space="preserve">VFEX Top Gainers		</t>
  </si>
  <si>
    <t xml:space="preserve">VFEX Top Losers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</si>
</sst>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_(* #,##0.0000_);_(* \(#,##0.0000\);_(* &quot;-&quot;??_);_(@_)"/>
    <numFmt numFmtId="167" formatCode="0.0000"/>
    <numFmt numFmtId="168" formatCode="_-* #,##0.0000_-;\-* #,##0.0000_-;_-* &quot;-&quot;????_-;_-@_-"/>
    <numFmt numFmtId="169" formatCode="_(* #,##0.000_);_(* \(#,##0.000\);_(* &quot;-&quot;??_);_(@_)"/>
    <numFmt numFmtId="170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0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43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5" fontId="15" fillId="5" borderId="0" xfId="4" applyNumberFormat="1" applyFont="1" applyFill="1" applyBorder="1" applyAlignment="1"/>
    <xf numFmtId="43" fontId="15" fillId="6" borderId="0" xfId="4" applyFont="1" applyFill="1" applyBorder="1" applyAlignment="1"/>
    <xf numFmtId="43" fontId="15" fillId="7" borderId="0" xfId="4" applyFont="1" applyFill="1" applyBorder="1" applyAlignment="1"/>
    <xf numFmtId="43" fontId="15" fillId="5" borderId="0" xfId="4" applyFont="1" applyFill="1" applyBorder="1" applyAlignment="1"/>
    <xf numFmtId="166" fontId="15" fillId="5" borderId="0" xfId="4" applyNumberFormat="1" applyFont="1" applyFill="1" applyBorder="1" applyAlignment="1"/>
    <xf numFmtId="167" fontId="15" fillId="5" borderId="0" xfId="3" applyNumberFormat="1" applyFont="1" applyFill="1" applyBorder="1"/>
    <xf numFmtId="167" fontId="15" fillId="8" borderId="0" xfId="3" applyNumberFormat="1" applyFont="1" applyFill="1" applyBorder="1"/>
    <xf numFmtId="167" fontId="15" fillId="6" borderId="0" xfId="3" applyNumberFormat="1" applyFont="1" applyFill="1" applyBorder="1"/>
    <xf numFmtId="167" fontId="15" fillId="7" borderId="0" xfId="3" applyNumberFormat="1" applyFont="1" applyFill="1" applyBorder="1"/>
    <xf numFmtId="166" fontId="15" fillId="5" borderId="0" xfId="3" applyNumberFormat="1" applyFont="1" applyFill="1" applyBorder="1"/>
    <xf numFmtId="165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8" fontId="4" fillId="3" borderId="0" xfId="2" applyNumberFormat="1" applyFont="1" applyFill="1" applyAlignment="1"/>
    <xf numFmtId="43" fontId="15" fillId="5" borderId="0" xfId="5" applyFont="1" applyFill="1" applyBorder="1"/>
    <xf numFmtId="43" fontId="4" fillId="3" borderId="0" xfId="2" applyNumberFormat="1" applyFont="1" applyFill="1" applyAlignment="1"/>
    <xf numFmtId="165" fontId="15" fillId="5" borderId="0" xfId="5" applyNumberFormat="1" applyFont="1" applyFill="1" applyBorder="1" applyAlignment="1">
      <alignment horizontal="right"/>
    </xf>
    <xf numFmtId="43" fontId="15" fillId="8" borderId="0" xfId="5" applyFont="1" applyFill="1" applyBorder="1"/>
    <xf numFmtId="43" fontId="15" fillId="6" borderId="0" xfId="5" applyFont="1" applyFill="1" applyBorder="1"/>
    <xf numFmtId="43" fontId="15" fillId="7" borderId="0" xfId="5" applyFont="1" applyFill="1" applyBorder="1"/>
    <xf numFmtId="43" fontId="16" fillId="5" borderId="5" xfId="3" applyFont="1" applyFill="1" applyBorder="1"/>
    <xf numFmtId="49" fontId="15" fillId="5" borderId="0" xfId="3" applyNumberFormat="1" applyFont="1" applyFill="1" applyBorder="1"/>
    <xf numFmtId="43" fontId="15" fillId="5" borderId="0" xfId="3" applyFont="1" applyFill="1" applyBorder="1"/>
    <xf numFmtId="43" fontId="17" fillId="5" borderId="0" xfId="3" applyFont="1" applyFill="1" applyBorder="1"/>
    <xf numFmtId="165" fontId="18" fillId="5" borderId="0" xfId="3" applyNumberFormat="1" applyFont="1" applyFill="1" applyBorder="1"/>
    <xf numFmtId="43" fontId="18" fillId="5" borderId="0" xfId="3" applyFont="1" applyFill="1" applyBorder="1"/>
    <xf numFmtId="166" fontId="15" fillId="5" borderId="6" xfId="3" applyNumberFormat="1" applyFont="1" applyFill="1" applyBorder="1"/>
    <xf numFmtId="43" fontId="15" fillId="5" borderId="1" xfId="3" applyFont="1" applyFill="1" applyBorder="1"/>
    <xf numFmtId="49" fontId="15" fillId="5" borderId="2" xfId="3" applyNumberFormat="1" applyFont="1" applyFill="1" applyBorder="1"/>
    <xf numFmtId="43" fontId="15" fillId="5" borderId="2" xfId="3" applyFont="1" applyFill="1" applyBorder="1"/>
    <xf numFmtId="165" fontId="18" fillId="5" borderId="2" xfId="3" applyNumberFormat="1" applyFont="1" applyFill="1" applyBorder="1"/>
    <xf numFmtId="166" fontId="15" fillId="5" borderId="2" xfId="3" applyNumberFormat="1" applyFont="1" applyFill="1" applyBorder="1"/>
    <xf numFmtId="166" fontId="18" fillId="5" borderId="4" xfId="3" applyNumberFormat="1" applyFont="1" applyFill="1" applyBorder="1" applyAlignment="1">
      <alignment horizontal="left"/>
    </xf>
    <xf numFmtId="169" fontId="15" fillId="5" borderId="0" xfId="4" applyNumberFormat="1" applyFont="1" applyFill="1" applyBorder="1" applyAlignment="1"/>
    <xf numFmtId="43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6" fontId="15" fillId="9" borderId="0" xfId="3" applyNumberFormat="1" applyFont="1" applyFill="1" applyBorder="1"/>
    <xf numFmtId="0" fontId="4" fillId="3" borderId="5" xfId="2" applyFont="1" applyFill="1" applyBorder="1" applyAlignment="1"/>
    <xf numFmtId="165" fontId="17" fillId="5" borderId="0" xfId="4" applyNumberFormat="1" applyFont="1" applyFill="1" applyBorder="1" applyAlignment="1"/>
    <xf numFmtId="166" fontId="15" fillId="5" borderId="0" xfId="3" applyNumberFormat="1" applyFont="1" applyFill="1" applyBorder="1" applyAlignment="1">
      <alignment horizontal="center"/>
    </xf>
    <xf numFmtId="43" fontId="19" fillId="5" borderId="0" xfId="3" applyFont="1" applyFill="1" applyBorder="1"/>
    <xf numFmtId="43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43" fontId="15" fillId="5" borderId="8" xfId="4" applyFont="1" applyFill="1" applyBorder="1" applyAlignment="1"/>
    <xf numFmtId="165" fontId="15" fillId="5" borderId="8" xfId="4" applyNumberFormat="1" applyFont="1" applyFill="1" applyBorder="1" applyAlignment="1"/>
    <xf numFmtId="167" fontId="15" fillId="5" borderId="8" xfId="3" applyNumberFormat="1" applyFont="1" applyFill="1" applyBorder="1"/>
    <xf numFmtId="166" fontId="15" fillId="5" borderId="8" xfId="3" applyNumberFormat="1" applyFont="1" applyFill="1" applyBorder="1"/>
    <xf numFmtId="166" fontId="15" fillId="5" borderId="8" xfId="3" applyNumberFormat="1" applyFont="1" applyFill="1" applyBorder="1" applyAlignment="1">
      <alignment horizontal="center"/>
    </xf>
    <xf numFmtId="165" fontId="15" fillId="5" borderId="8" xfId="3" applyNumberFormat="1" applyFont="1" applyFill="1" applyBorder="1"/>
    <xf numFmtId="166" fontId="15" fillId="5" borderId="10" xfId="3" applyNumberFormat="1" applyFont="1" applyFill="1" applyBorder="1"/>
    <xf numFmtId="165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43" fontId="6" fillId="5" borderId="0" xfId="4" applyFont="1" applyFill="1" applyBorder="1" applyAlignment="1"/>
    <xf numFmtId="167" fontId="6" fillId="5" borderId="0" xfId="3" applyNumberFormat="1" applyFont="1" applyFill="1" applyBorder="1"/>
    <xf numFmtId="167" fontId="6" fillId="6" borderId="0" xfId="3" applyNumberFormat="1" applyFont="1" applyFill="1" applyBorder="1"/>
    <xf numFmtId="43" fontId="6" fillId="5" borderId="0" xfId="5" applyFont="1" applyFill="1" applyBorder="1"/>
    <xf numFmtId="165" fontId="6" fillId="5" borderId="0" xfId="3" applyNumberFormat="1" applyFont="1" applyFill="1" applyBorder="1"/>
    <xf numFmtId="9" fontId="20" fillId="5" borderId="0" xfId="1" applyFont="1" applyFill="1" applyBorder="1"/>
    <xf numFmtId="170" fontId="15" fillId="5" borderId="0" xfId="3" applyNumberFormat="1" applyFont="1" applyFill="1" applyBorder="1"/>
    <xf numFmtId="165" fontId="15" fillId="5" borderId="11" xfId="4" applyNumberFormat="1" applyFont="1" applyFill="1" applyBorder="1" applyAlignment="1"/>
    <xf numFmtId="43" fontId="15" fillId="5" borderId="11" xfId="4" applyFont="1" applyFill="1" applyBorder="1" applyAlignment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5" fontId="15" fillId="5" borderId="11" xfId="3" applyNumberFormat="1" applyFont="1" applyFill="1" applyBorder="1"/>
    <xf numFmtId="43" fontId="15" fillId="5" borderId="11" xfId="3" applyFont="1" applyFill="1" applyBorder="1"/>
    <xf numFmtId="166" fontId="15" fillId="5" borderId="12" xfId="3" applyNumberFormat="1" applyFont="1" applyFill="1" applyBorder="1"/>
    <xf numFmtId="43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5" fontId="15" fillId="5" borderId="8" xfId="4" applyNumberFormat="1" applyFont="1" applyFill="1" applyBorder="1" applyAlignment="1">
      <alignment horizontal="right"/>
    </xf>
    <xf numFmtId="43" fontId="15" fillId="5" borderId="5" xfId="3" applyFont="1" applyFill="1" applyBorder="1"/>
    <xf numFmtId="0" fontId="21" fillId="3" borderId="0" xfId="2" applyFont="1" applyFill="1" applyAlignment="1"/>
    <xf numFmtId="165" fontId="15" fillId="5" borderId="0" xfId="4" applyNumberFormat="1" applyFont="1" applyFill="1" applyBorder="1" applyAlignment="1">
      <alignment horizontal="right"/>
    </xf>
    <xf numFmtId="43" fontId="15" fillId="5" borderId="0" xfId="3" applyFont="1" applyFill="1" applyBorder="1" applyAlignment="1">
      <alignment horizontal="left"/>
    </xf>
    <xf numFmtId="43" fontId="15" fillId="5" borderId="6" xfId="3" applyFont="1" applyFill="1" applyBorder="1"/>
    <xf numFmtId="43" fontId="24" fillId="5" borderId="0" xfId="3" applyFont="1" applyFill="1" applyBorder="1" applyAlignment="1">
      <alignment horizontal="left"/>
    </xf>
    <xf numFmtId="43" fontId="25" fillId="5" borderId="0" xfId="3" applyFont="1" applyFill="1" applyBorder="1" applyAlignment="1">
      <alignment horizontal="left"/>
    </xf>
    <xf numFmtId="170" fontId="25" fillId="5" borderId="6" xfId="5" applyNumberFormat="1" applyFont="1" applyFill="1" applyBorder="1" applyAlignment="1">
      <alignment horizontal="left"/>
    </xf>
    <xf numFmtId="43" fontId="24" fillId="5" borderId="6" xfId="3" applyFont="1" applyFill="1" applyBorder="1" applyAlignment="1">
      <alignment horizontal="left"/>
    </xf>
    <xf numFmtId="43" fontId="25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43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43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4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/>
    </xf>
    <xf numFmtId="164" fontId="12" fillId="2" borderId="6" xfId="2" applyNumberFormat="1" applyFont="1" applyFill="1" applyBorder="1" applyAlignment="1">
      <alignment horizontal="center"/>
    </xf>
    <xf numFmtId="164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4" fontId="12" fillId="2" borderId="2" xfId="2" applyNumberFormat="1" applyFont="1" applyFill="1" applyBorder="1" applyAlignment="1">
      <alignment horizontal="center"/>
    </xf>
    <xf numFmtId="164" fontId="12" fillId="2" borderId="4" xfId="2" applyNumberFormat="1" applyFont="1" applyFill="1" applyBorder="1" applyAlignment="1">
      <alignment horizontal="center"/>
    </xf>
    <xf numFmtId="0" fontId="22" fillId="2" borderId="14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5" fillId="5" borderId="0" xfId="9" applyNumberFormat="1" applyFont="1" applyFill="1" applyBorder="1" applyAlignment="1"/>
    <xf numFmtId="2" fontId="15" fillId="5" borderId="0" xfId="5" applyNumberFormat="1" applyFont="1" applyFill="1" applyBorder="1"/>
  </cellXfs>
  <cellStyles count="10">
    <cellStyle name="Comma" xfId="9" builtinId="3"/>
    <cellStyle name="Comma 2 2 2 2 2 2 2 2 2 2" xfId="3" xr:uid="{F214C871-AE6D-426B-B359-D5A4F487EAAE}"/>
    <cellStyle name="Comma 5 2 2 2 2 2 2 2 2" xfId="4" xr:uid="{498144B5-8F64-4686-97F1-C822BDD6D56C}"/>
    <cellStyle name="Comma 6 2 2 2" xfId="5" xr:uid="{86E016C0-DB59-40D1-AD06-2EA973FB59F5}"/>
    <cellStyle name="Hyperlink 2" xfId="8" xr:uid="{44B4C4BA-32DB-4470-8980-F5BBED596FA7}"/>
    <cellStyle name="Normal" xfId="0" builtinId="0"/>
    <cellStyle name="Normal 2" xfId="2" xr:uid="{BEC8DF08-03F6-4C53-AF12-F90BA3F004E6}"/>
    <cellStyle name="Normal 20" xfId="7" xr:uid="{9138C08F-000B-460F-883F-887277065769}"/>
    <cellStyle name="Percent" xfId="1" builtinId="5"/>
    <cellStyle name="Percent 3" xfId="6" xr:uid="{10DC9C4E-3243-425C-B383-A14B1E999B57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A7235335-7DCD-4F3D-9DB6-754A004F8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81045" y="177165"/>
          <a:ext cx="784860" cy="603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DC8B2080-01E8-4299-B666-DAD8E803F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58407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DFDAA-CBDC-44C6-941D-8DF9694C9DEA}">
  <dimension ref="A1:II106"/>
  <sheetViews>
    <sheetView tabSelected="1" topLeftCell="L53" zoomScale="85" zoomScaleNormal="85" workbookViewId="0">
      <selection activeCell="T83" sqref="T83"/>
    </sheetView>
  </sheetViews>
  <sheetFormatPr defaultRowHeight="12" x14ac:dyDescent="0.2"/>
  <cols>
    <col min="1" max="1" width="19.42578125" style="5" customWidth="1"/>
    <col min="2" max="2" width="15.140625" style="5" customWidth="1"/>
    <col min="3" max="3" width="15.140625" style="5" hidden="1" customWidth="1"/>
    <col min="4" max="4" width="15.140625" style="5" customWidth="1"/>
    <col min="5" max="5" width="20.7109375" style="5" customWidth="1"/>
    <col min="6" max="6" width="17.28515625" style="5" customWidth="1"/>
    <col min="7" max="7" width="8.85546875" style="5" hidden="1" customWidth="1"/>
    <col min="8" max="8" width="15.42578125" style="5" customWidth="1"/>
    <col min="9" max="9" width="16.5703125" style="5" customWidth="1"/>
    <col min="10" max="11" width="14" style="5" customWidth="1"/>
    <col min="12" max="13" width="17.5703125" style="5" customWidth="1"/>
    <col min="14" max="14" width="16.42578125" style="5" customWidth="1"/>
    <col min="15" max="15" width="20.7109375" style="5" customWidth="1"/>
    <col min="16" max="16" width="16.140625" style="5" bestFit="1" customWidth="1"/>
    <col min="17" max="17" width="15.28515625" style="5" customWidth="1"/>
    <col min="18" max="18" width="8.85546875" style="5" hidden="1" customWidth="1"/>
    <col min="19" max="19" width="12.42578125" style="5" bestFit="1" customWidth="1"/>
    <col min="20" max="244" width="9.28515625" style="5" customWidth="1"/>
    <col min="245" max="246" width="11" style="5" bestFit="1" customWidth="1"/>
    <col min="247" max="247" width="19.42578125" style="5" customWidth="1"/>
    <col min="248" max="248" width="14" style="5" customWidth="1"/>
    <col min="249" max="249" width="0" style="5" hidden="1" customWidth="1"/>
    <col min="250" max="250" width="19.5703125" style="5" customWidth="1"/>
    <col min="251" max="251" width="20.7109375" style="5" customWidth="1"/>
    <col min="252" max="252" width="22.28515625" style="5" customWidth="1"/>
    <col min="253" max="253" width="0" style="5" hidden="1" customWidth="1"/>
    <col min="254" max="254" width="15.42578125" style="5" customWidth="1"/>
    <col min="255" max="255" width="16.5703125" style="5" customWidth="1"/>
    <col min="256" max="257" width="14" style="5" customWidth="1"/>
    <col min="258" max="259" width="17.5703125" style="5" customWidth="1"/>
    <col min="260" max="260" width="16.42578125" style="5" customWidth="1"/>
    <col min="261" max="261" width="16.5703125" style="5" customWidth="1"/>
    <col min="262" max="262" width="15" style="5" customWidth="1"/>
    <col min="263" max="263" width="15.28515625" style="5" customWidth="1"/>
    <col min="264" max="275" width="0" style="5" hidden="1" customWidth="1"/>
    <col min="276" max="500" width="9.28515625" style="5" customWidth="1"/>
    <col min="501" max="502" width="11" style="5" bestFit="1" customWidth="1"/>
    <col min="503" max="503" width="19.42578125" style="5" customWidth="1"/>
    <col min="504" max="504" width="14" style="5" customWidth="1"/>
    <col min="505" max="505" width="0" style="5" hidden="1" customWidth="1"/>
    <col min="506" max="506" width="19.5703125" style="5" customWidth="1"/>
    <col min="507" max="507" width="20.7109375" style="5" customWidth="1"/>
    <col min="508" max="508" width="22.28515625" style="5" customWidth="1"/>
    <col min="509" max="509" width="0" style="5" hidden="1" customWidth="1"/>
    <col min="510" max="510" width="15.42578125" style="5" customWidth="1"/>
    <col min="511" max="511" width="16.5703125" style="5" customWidth="1"/>
    <col min="512" max="513" width="14" style="5" customWidth="1"/>
    <col min="514" max="515" width="17.5703125" style="5" customWidth="1"/>
    <col min="516" max="516" width="16.42578125" style="5" customWidth="1"/>
    <col min="517" max="517" width="16.5703125" style="5" customWidth="1"/>
    <col min="518" max="518" width="15" style="5" customWidth="1"/>
    <col min="519" max="519" width="15.28515625" style="5" customWidth="1"/>
    <col min="520" max="531" width="0" style="5" hidden="1" customWidth="1"/>
    <col min="532" max="756" width="9.28515625" style="5" customWidth="1"/>
    <col min="757" max="758" width="11" style="5" bestFit="1" customWidth="1"/>
    <col min="759" max="759" width="19.42578125" style="5" customWidth="1"/>
    <col min="760" max="760" width="14" style="5" customWidth="1"/>
    <col min="761" max="761" width="0" style="5" hidden="1" customWidth="1"/>
    <col min="762" max="762" width="19.5703125" style="5" customWidth="1"/>
    <col min="763" max="763" width="20.7109375" style="5" customWidth="1"/>
    <col min="764" max="764" width="22.28515625" style="5" customWidth="1"/>
    <col min="765" max="765" width="0" style="5" hidden="1" customWidth="1"/>
    <col min="766" max="766" width="15.42578125" style="5" customWidth="1"/>
    <col min="767" max="767" width="16.5703125" style="5" customWidth="1"/>
    <col min="768" max="769" width="14" style="5" customWidth="1"/>
    <col min="770" max="771" width="17.5703125" style="5" customWidth="1"/>
    <col min="772" max="772" width="16.42578125" style="5" customWidth="1"/>
    <col min="773" max="773" width="16.5703125" style="5" customWidth="1"/>
    <col min="774" max="774" width="15" style="5" customWidth="1"/>
    <col min="775" max="775" width="15.28515625" style="5" customWidth="1"/>
    <col min="776" max="787" width="0" style="5" hidden="1" customWidth="1"/>
    <col min="788" max="1012" width="9.28515625" style="5" customWidth="1"/>
    <col min="1013" max="1014" width="11" style="5" bestFit="1" customWidth="1"/>
    <col min="1015" max="1015" width="19.42578125" style="5" customWidth="1"/>
    <col min="1016" max="1016" width="14" style="5" customWidth="1"/>
    <col min="1017" max="1017" width="0" style="5" hidden="1" customWidth="1"/>
    <col min="1018" max="1018" width="19.5703125" style="5" customWidth="1"/>
    <col min="1019" max="1019" width="20.7109375" style="5" customWidth="1"/>
    <col min="1020" max="1020" width="22.28515625" style="5" customWidth="1"/>
    <col min="1021" max="1021" width="0" style="5" hidden="1" customWidth="1"/>
    <col min="1022" max="1022" width="15.42578125" style="5" customWidth="1"/>
    <col min="1023" max="1023" width="16.5703125" style="5" customWidth="1"/>
    <col min="1024" max="1025" width="14" style="5" customWidth="1"/>
    <col min="1026" max="1027" width="17.5703125" style="5" customWidth="1"/>
    <col min="1028" max="1028" width="16.42578125" style="5" customWidth="1"/>
    <col min="1029" max="1029" width="16.5703125" style="5" customWidth="1"/>
    <col min="1030" max="1030" width="15" style="5" customWidth="1"/>
    <col min="1031" max="1031" width="15.28515625" style="5" customWidth="1"/>
    <col min="1032" max="1043" width="0" style="5" hidden="1" customWidth="1"/>
    <col min="1044" max="1268" width="9.28515625" style="5" customWidth="1"/>
    <col min="1269" max="1270" width="11" style="5" bestFit="1" customWidth="1"/>
    <col min="1271" max="1271" width="19.42578125" style="5" customWidth="1"/>
    <col min="1272" max="1272" width="14" style="5" customWidth="1"/>
    <col min="1273" max="1273" width="0" style="5" hidden="1" customWidth="1"/>
    <col min="1274" max="1274" width="19.5703125" style="5" customWidth="1"/>
    <col min="1275" max="1275" width="20.7109375" style="5" customWidth="1"/>
    <col min="1276" max="1276" width="22.28515625" style="5" customWidth="1"/>
    <col min="1277" max="1277" width="0" style="5" hidden="1" customWidth="1"/>
    <col min="1278" max="1278" width="15.42578125" style="5" customWidth="1"/>
    <col min="1279" max="1279" width="16.5703125" style="5" customWidth="1"/>
    <col min="1280" max="1281" width="14" style="5" customWidth="1"/>
    <col min="1282" max="1283" width="17.5703125" style="5" customWidth="1"/>
    <col min="1284" max="1284" width="16.42578125" style="5" customWidth="1"/>
    <col min="1285" max="1285" width="16.5703125" style="5" customWidth="1"/>
    <col min="1286" max="1286" width="15" style="5" customWidth="1"/>
    <col min="1287" max="1287" width="15.28515625" style="5" customWidth="1"/>
    <col min="1288" max="1299" width="0" style="5" hidden="1" customWidth="1"/>
    <col min="1300" max="1524" width="9.28515625" style="5" customWidth="1"/>
    <col min="1525" max="1526" width="11" style="5" bestFit="1" customWidth="1"/>
    <col min="1527" max="1527" width="19.42578125" style="5" customWidth="1"/>
    <col min="1528" max="1528" width="14" style="5" customWidth="1"/>
    <col min="1529" max="1529" width="0" style="5" hidden="1" customWidth="1"/>
    <col min="1530" max="1530" width="19.5703125" style="5" customWidth="1"/>
    <col min="1531" max="1531" width="20.7109375" style="5" customWidth="1"/>
    <col min="1532" max="1532" width="22.28515625" style="5" customWidth="1"/>
    <col min="1533" max="1533" width="0" style="5" hidden="1" customWidth="1"/>
    <col min="1534" max="1534" width="15.42578125" style="5" customWidth="1"/>
    <col min="1535" max="1535" width="16.5703125" style="5" customWidth="1"/>
    <col min="1536" max="1537" width="14" style="5" customWidth="1"/>
    <col min="1538" max="1539" width="17.5703125" style="5" customWidth="1"/>
    <col min="1540" max="1540" width="16.42578125" style="5" customWidth="1"/>
    <col min="1541" max="1541" width="16.5703125" style="5" customWidth="1"/>
    <col min="1542" max="1542" width="15" style="5" customWidth="1"/>
    <col min="1543" max="1543" width="15.28515625" style="5" customWidth="1"/>
    <col min="1544" max="1555" width="0" style="5" hidden="1" customWidth="1"/>
    <col min="1556" max="1780" width="9.28515625" style="5" customWidth="1"/>
    <col min="1781" max="1782" width="11" style="5" bestFit="1" customWidth="1"/>
    <col min="1783" max="1783" width="19.42578125" style="5" customWidth="1"/>
    <col min="1784" max="1784" width="14" style="5" customWidth="1"/>
    <col min="1785" max="1785" width="0" style="5" hidden="1" customWidth="1"/>
    <col min="1786" max="1786" width="19.5703125" style="5" customWidth="1"/>
    <col min="1787" max="1787" width="20.7109375" style="5" customWidth="1"/>
    <col min="1788" max="1788" width="22.28515625" style="5" customWidth="1"/>
    <col min="1789" max="1789" width="0" style="5" hidden="1" customWidth="1"/>
    <col min="1790" max="1790" width="15.42578125" style="5" customWidth="1"/>
    <col min="1791" max="1791" width="16.5703125" style="5" customWidth="1"/>
    <col min="1792" max="1793" width="14" style="5" customWidth="1"/>
    <col min="1794" max="1795" width="17.5703125" style="5" customWidth="1"/>
    <col min="1796" max="1796" width="16.42578125" style="5" customWidth="1"/>
    <col min="1797" max="1797" width="16.5703125" style="5" customWidth="1"/>
    <col min="1798" max="1798" width="15" style="5" customWidth="1"/>
    <col min="1799" max="1799" width="15.28515625" style="5" customWidth="1"/>
    <col min="1800" max="1811" width="0" style="5" hidden="1" customWidth="1"/>
    <col min="1812" max="2036" width="9.28515625" style="5" customWidth="1"/>
    <col min="2037" max="2038" width="11" style="5" bestFit="1" customWidth="1"/>
    <col min="2039" max="2039" width="19.42578125" style="5" customWidth="1"/>
    <col min="2040" max="2040" width="14" style="5" customWidth="1"/>
    <col min="2041" max="2041" width="0" style="5" hidden="1" customWidth="1"/>
    <col min="2042" max="2042" width="19.5703125" style="5" customWidth="1"/>
    <col min="2043" max="2043" width="20.7109375" style="5" customWidth="1"/>
    <col min="2044" max="2044" width="22.28515625" style="5" customWidth="1"/>
    <col min="2045" max="2045" width="0" style="5" hidden="1" customWidth="1"/>
    <col min="2046" max="2046" width="15.42578125" style="5" customWidth="1"/>
    <col min="2047" max="2047" width="16.5703125" style="5" customWidth="1"/>
    <col min="2048" max="2049" width="14" style="5" customWidth="1"/>
    <col min="2050" max="2051" width="17.5703125" style="5" customWidth="1"/>
    <col min="2052" max="2052" width="16.42578125" style="5" customWidth="1"/>
    <col min="2053" max="2053" width="16.5703125" style="5" customWidth="1"/>
    <col min="2054" max="2054" width="15" style="5" customWidth="1"/>
    <col min="2055" max="2055" width="15.28515625" style="5" customWidth="1"/>
    <col min="2056" max="2067" width="0" style="5" hidden="1" customWidth="1"/>
    <col min="2068" max="2292" width="9.28515625" style="5" customWidth="1"/>
    <col min="2293" max="2294" width="11" style="5" bestFit="1" customWidth="1"/>
    <col min="2295" max="2295" width="19.42578125" style="5" customWidth="1"/>
    <col min="2296" max="2296" width="14" style="5" customWidth="1"/>
    <col min="2297" max="2297" width="0" style="5" hidden="1" customWidth="1"/>
    <col min="2298" max="2298" width="19.5703125" style="5" customWidth="1"/>
    <col min="2299" max="2299" width="20.7109375" style="5" customWidth="1"/>
    <col min="2300" max="2300" width="22.28515625" style="5" customWidth="1"/>
    <col min="2301" max="2301" width="0" style="5" hidden="1" customWidth="1"/>
    <col min="2302" max="2302" width="15.42578125" style="5" customWidth="1"/>
    <col min="2303" max="2303" width="16.5703125" style="5" customWidth="1"/>
    <col min="2304" max="2305" width="14" style="5" customWidth="1"/>
    <col min="2306" max="2307" width="17.5703125" style="5" customWidth="1"/>
    <col min="2308" max="2308" width="16.42578125" style="5" customWidth="1"/>
    <col min="2309" max="2309" width="16.5703125" style="5" customWidth="1"/>
    <col min="2310" max="2310" width="15" style="5" customWidth="1"/>
    <col min="2311" max="2311" width="15.28515625" style="5" customWidth="1"/>
    <col min="2312" max="2323" width="0" style="5" hidden="1" customWidth="1"/>
    <col min="2324" max="2548" width="9.28515625" style="5" customWidth="1"/>
    <col min="2549" max="2550" width="11" style="5" bestFit="1" customWidth="1"/>
    <col min="2551" max="2551" width="19.42578125" style="5" customWidth="1"/>
    <col min="2552" max="2552" width="14" style="5" customWidth="1"/>
    <col min="2553" max="2553" width="0" style="5" hidden="1" customWidth="1"/>
    <col min="2554" max="2554" width="19.5703125" style="5" customWidth="1"/>
    <col min="2555" max="2555" width="20.7109375" style="5" customWidth="1"/>
    <col min="2556" max="2556" width="22.28515625" style="5" customWidth="1"/>
    <col min="2557" max="2557" width="0" style="5" hidden="1" customWidth="1"/>
    <col min="2558" max="2558" width="15.42578125" style="5" customWidth="1"/>
    <col min="2559" max="2559" width="16.5703125" style="5" customWidth="1"/>
    <col min="2560" max="2561" width="14" style="5" customWidth="1"/>
    <col min="2562" max="2563" width="17.5703125" style="5" customWidth="1"/>
    <col min="2564" max="2564" width="16.42578125" style="5" customWidth="1"/>
    <col min="2565" max="2565" width="16.5703125" style="5" customWidth="1"/>
    <col min="2566" max="2566" width="15" style="5" customWidth="1"/>
    <col min="2567" max="2567" width="15.28515625" style="5" customWidth="1"/>
    <col min="2568" max="2579" width="0" style="5" hidden="1" customWidth="1"/>
    <col min="2580" max="2804" width="9.28515625" style="5" customWidth="1"/>
    <col min="2805" max="2806" width="11" style="5" bestFit="1" customWidth="1"/>
    <col min="2807" max="2807" width="19.42578125" style="5" customWidth="1"/>
    <col min="2808" max="2808" width="14" style="5" customWidth="1"/>
    <col min="2809" max="2809" width="0" style="5" hidden="1" customWidth="1"/>
    <col min="2810" max="2810" width="19.5703125" style="5" customWidth="1"/>
    <col min="2811" max="2811" width="20.7109375" style="5" customWidth="1"/>
    <col min="2812" max="2812" width="22.28515625" style="5" customWidth="1"/>
    <col min="2813" max="2813" width="0" style="5" hidden="1" customWidth="1"/>
    <col min="2814" max="2814" width="15.42578125" style="5" customWidth="1"/>
    <col min="2815" max="2815" width="16.5703125" style="5" customWidth="1"/>
    <col min="2816" max="2817" width="14" style="5" customWidth="1"/>
    <col min="2818" max="2819" width="17.5703125" style="5" customWidth="1"/>
    <col min="2820" max="2820" width="16.42578125" style="5" customWidth="1"/>
    <col min="2821" max="2821" width="16.5703125" style="5" customWidth="1"/>
    <col min="2822" max="2822" width="15" style="5" customWidth="1"/>
    <col min="2823" max="2823" width="15.28515625" style="5" customWidth="1"/>
    <col min="2824" max="2835" width="0" style="5" hidden="1" customWidth="1"/>
    <col min="2836" max="3060" width="9.28515625" style="5" customWidth="1"/>
    <col min="3061" max="3062" width="11" style="5" bestFit="1" customWidth="1"/>
    <col min="3063" max="3063" width="19.42578125" style="5" customWidth="1"/>
    <col min="3064" max="3064" width="14" style="5" customWidth="1"/>
    <col min="3065" max="3065" width="0" style="5" hidden="1" customWidth="1"/>
    <col min="3066" max="3066" width="19.5703125" style="5" customWidth="1"/>
    <col min="3067" max="3067" width="20.7109375" style="5" customWidth="1"/>
    <col min="3068" max="3068" width="22.28515625" style="5" customWidth="1"/>
    <col min="3069" max="3069" width="0" style="5" hidden="1" customWidth="1"/>
    <col min="3070" max="3070" width="15.42578125" style="5" customWidth="1"/>
    <col min="3071" max="3071" width="16.5703125" style="5" customWidth="1"/>
    <col min="3072" max="3073" width="14" style="5" customWidth="1"/>
    <col min="3074" max="3075" width="17.5703125" style="5" customWidth="1"/>
    <col min="3076" max="3076" width="16.42578125" style="5" customWidth="1"/>
    <col min="3077" max="3077" width="16.5703125" style="5" customWidth="1"/>
    <col min="3078" max="3078" width="15" style="5" customWidth="1"/>
    <col min="3079" max="3079" width="15.28515625" style="5" customWidth="1"/>
    <col min="3080" max="3091" width="0" style="5" hidden="1" customWidth="1"/>
    <col min="3092" max="3316" width="9.28515625" style="5" customWidth="1"/>
    <col min="3317" max="3318" width="11" style="5" bestFit="1" customWidth="1"/>
    <col min="3319" max="3319" width="19.42578125" style="5" customWidth="1"/>
    <col min="3320" max="3320" width="14" style="5" customWidth="1"/>
    <col min="3321" max="3321" width="0" style="5" hidden="1" customWidth="1"/>
    <col min="3322" max="3322" width="19.5703125" style="5" customWidth="1"/>
    <col min="3323" max="3323" width="20.7109375" style="5" customWidth="1"/>
    <col min="3324" max="3324" width="22.28515625" style="5" customWidth="1"/>
    <col min="3325" max="3325" width="0" style="5" hidden="1" customWidth="1"/>
    <col min="3326" max="3326" width="15.42578125" style="5" customWidth="1"/>
    <col min="3327" max="3327" width="16.5703125" style="5" customWidth="1"/>
    <col min="3328" max="3329" width="14" style="5" customWidth="1"/>
    <col min="3330" max="3331" width="17.5703125" style="5" customWidth="1"/>
    <col min="3332" max="3332" width="16.42578125" style="5" customWidth="1"/>
    <col min="3333" max="3333" width="16.5703125" style="5" customWidth="1"/>
    <col min="3334" max="3334" width="15" style="5" customWidth="1"/>
    <col min="3335" max="3335" width="15.28515625" style="5" customWidth="1"/>
    <col min="3336" max="3347" width="0" style="5" hidden="1" customWidth="1"/>
    <col min="3348" max="3572" width="9.28515625" style="5" customWidth="1"/>
    <col min="3573" max="3574" width="11" style="5" bestFit="1" customWidth="1"/>
    <col min="3575" max="3575" width="19.42578125" style="5" customWidth="1"/>
    <col min="3576" max="3576" width="14" style="5" customWidth="1"/>
    <col min="3577" max="3577" width="0" style="5" hidden="1" customWidth="1"/>
    <col min="3578" max="3578" width="19.5703125" style="5" customWidth="1"/>
    <col min="3579" max="3579" width="20.7109375" style="5" customWidth="1"/>
    <col min="3580" max="3580" width="22.28515625" style="5" customWidth="1"/>
    <col min="3581" max="3581" width="0" style="5" hidden="1" customWidth="1"/>
    <col min="3582" max="3582" width="15.42578125" style="5" customWidth="1"/>
    <col min="3583" max="3583" width="16.5703125" style="5" customWidth="1"/>
    <col min="3584" max="3585" width="14" style="5" customWidth="1"/>
    <col min="3586" max="3587" width="17.5703125" style="5" customWidth="1"/>
    <col min="3588" max="3588" width="16.42578125" style="5" customWidth="1"/>
    <col min="3589" max="3589" width="16.5703125" style="5" customWidth="1"/>
    <col min="3590" max="3590" width="15" style="5" customWidth="1"/>
    <col min="3591" max="3591" width="15.28515625" style="5" customWidth="1"/>
    <col min="3592" max="3603" width="0" style="5" hidden="1" customWidth="1"/>
    <col min="3604" max="3828" width="9.28515625" style="5" customWidth="1"/>
    <col min="3829" max="3830" width="11" style="5" bestFit="1" customWidth="1"/>
    <col min="3831" max="3831" width="19.42578125" style="5" customWidth="1"/>
    <col min="3832" max="3832" width="14" style="5" customWidth="1"/>
    <col min="3833" max="3833" width="0" style="5" hidden="1" customWidth="1"/>
    <col min="3834" max="3834" width="19.5703125" style="5" customWidth="1"/>
    <col min="3835" max="3835" width="20.7109375" style="5" customWidth="1"/>
    <col min="3836" max="3836" width="22.28515625" style="5" customWidth="1"/>
    <col min="3837" max="3837" width="0" style="5" hidden="1" customWidth="1"/>
    <col min="3838" max="3838" width="15.42578125" style="5" customWidth="1"/>
    <col min="3839" max="3839" width="16.5703125" style="5" customWidth="1"/>
    <col min="3840" max="3841" width="14" style="5" customWidth="1"/>
    <col min="3842" max="3843" width="17.5703125" style="5" customWidth="1"/>
    <col min="3844" max="3844" width="16.42578125" style="5" customWidth="1"/>
    <col min="3845" max="3845" width="16.5703125" style="5" customWidth="1"/>
    <col min="3846" max="3846" width="15" style="5" customWidth="1"/>
    <col min="3847" max="3847" width="15.28515625" style="5" customWidth="1"/>
    <col min="3848" max="3859" width="0" style="5" hidden="1" customWidth="1"/>
    <col min="3860" max="4084" width="9.28515625" style="5" customWidth="1"/>
    <col min="4085" max="4086" width="11" style="5" bestFit="1" customWidth="1"/>
    <col min="4087" max="4087" width="19.42578125" style="5" customWidth="1"/>
    <col min="4088" max="4088" width="14" style="5" customWidth="1"/>
    <col min="4089" max="4089" width="0" style="5" hidden="1" customWidth="1"/>
    <col min="4090" max="4090" width="19.5703125" style="5" customWidth="1"/>
    <col min="4091" max="4091" width="20.7109375" style="5" customWidth="1"/>
    <col min="4092" max="4092" width="22.28515625" style="5" customWidth="1"/>
    <col min="4093" max="4093" width="0" style="5" hidden="1" customWidth="1"/>
    <col min="4094" max="4094" width="15.42578125" style="5" customWidth="1"/>
    <col min="4095" max="4095" width="16.5703125" style="5" customWidth="1"/>
    <col min="4096" max="4097" width="14" style="5" customWidth="1"/>
    <col min="4098" max="4099" width="17.5703125" style="5" customWidth="1"/>
    <col min="4100" max="4100" width="16.42578125" style="5" customWidth="1"/>
    <col min="4101" max="4101" width="16.5703125" style="5" customWidth="1"/>
    <col min="4102" max="4102" width="15" style="5" customWidth="1"/>
    <col min="4103" max="4103" width="15.28515625" style="5" customWidth="1"/>
    <col min="4104" max="4115" width="0" style="5" hidden="1" customWidth="1"/>
    <col min="4116" max="4340" width="9.28515625" style="5" customWidth="1"/>
    <col min="4341" max="4342" width="11" style="5" bestFit="1" customWidth="1"/>
    <col min="4343" max="4343" width="19.42578125" style="5" customWidth="1"/>
    <col min="4344" max="4344" width="14" style="5" customWidth="1"/>
    <col min="4345" max="4345" width="0" style="5" hidden="1" customWidth="1"/>
    <col min="4346" max="4346" width="19.5703125" style="5" customWidth="1"/>
    <col min="4347" max="4347" width="20.7109375" style="5" customWidth="1"/>
    <col min="4348" max="4348" width="22.28515625" style="5" customWidth="1"/>
    <col min="4349" max="4349" width="0" style="5" hidden="1" customWidth="1"/>
    <col min="4350" max="4350" width="15.42578125" style="5" customWidth="1"/>
    <col min="4351" max="4351" width="16.5703125" style="5" customWidth="1"/>
    <col min="4352" max="4353" width="14" style="5" customWidth="1"/>
    <col min="4354" max="4355" width="17.5703125" style="5" customWidth="1"/>
    <col min="4356" max="4356" width="16.42578125" style="5" customWidth="1"/>
    <col min="4357" max="4357" width="16.5703125" style="5" customWidth="1"/>
    <col min="4358" max="4358" width="15" style="5" customWidth="1"/>
    <col min="4359" max="4359" width="15.28515625" style="5" customWidth="1"/>
    <col min="4360" max="4371" width="0" style="5" hidden="1" customWidth="1"/>
    <col min="4372" max="4596" width="9.28515625" style="5" customWidth="1"/>
    <col min="4597" max="4598" width="11" style="5" bestFit="1" customWidth="1"/>
    <col min="4599" max="4599" width="19.42578125" style="5" customWidth="1"/>
    <col min="4600" max="4600" width="14" style="5" customWidth="1"/>
    <col min="4601" max="4601" width="0" style="5" hidden="1" customWidth="1"/>
    <col min="4602" max="4602" width="19.5703125" style="5" customWidth="1"/>
    <col min="4603" max="4603" width="20.7109375" style="5" customWidth="1"/>
    <col min="4604" max="4604" width="22.28515625" style="5" customWidth="1"/>
    <col min="4605" max="4605" width="0" style="5" hidden="1" customWidth="1"/>
    <col min="4606" max="4606" width="15.42578125" style="5" customWidth="1"/>
    <col min="4607" max="4607" width="16.5703125" style="5" customWidth="1"/>
    <col min="4608" max="4609" width="14" style="5" customWidth="1"/>
    <col min="4610" max="4611" width="17.5703125" style="5" customWidth="1"/>
    <col min="4612" max="4612" width="16.42578125" style="5" customWidth="1"/>
    <col min="4613" max="4613" width="16.5703125" style="5" customWidth="1"/>
    <col min="4614" max="4614" width="15" style="5" customWidth="1"/>
    <col min="4615" max="4615" width="15.28515625" style="5" customWidth="1"/>
    <col min="4616" max="4627" width="0" style="5" hidden="1" customWidth="1"/>
    <col min="4628" max="4852" width="9.28515625" style="5" customWidth="1"/>
    <col min="4853" max="4854" width="11" style="5" bestFit="1" customWidth="1"/>
    <col min="4855" max="4855" width="19.42578125" style="5" customWidth="1"/>
    <col min="4856" max="4856" width="14" style="5" customWidth="1"/>
    <col min="4857" max="4857" width="0" style="5" hidden="1" customWidth="1"/>
    <col min="4858" max="4858" width="19.5703125" style="5" customWidth="1"/>
    <col min="4859" max="4859" width="20.7109375" style="5" customWidth="1"/>
    <col min="4860" max="4860" width="22.28515625" style="5" customWidth="1"/>
    <col min="4861" max="4861" width="0" style="5" hidden="1" customWidth="1"/>
    <col min="4862" max="4862" width="15.42578125" style="5" customWidth="1"/>
    <col min="4863" max="4863" width="16.5703125" style="5" customWidth="1"/>
    <col min="4864" max="4865" width="14" style="5" customWidth="1"/>
    <col min="4866" max="4867" width="17.5703125" style="5" customWidth="1"/>
    <col min="4868" max="4868" width="16.42578125" style="5" customWidth="1"/>
    <col min="4869" max="4869" width="16.5703125" style="5" customWidth="1"/>
    <col min="4870" max="4870" width="15" style="5" customWidth="1"/>
    <col min="4871" max="4871" width="15.28515625" style="5" customWidth="1"/>
    <col min="4872" max="4883" width="0" style="5" hidden="1" customWidth="1"/>
    <col min="4884" max="5108" width="9.28515625" style="5" customWidth="1"/>
    <col min="5109" max="5110" width="11" style="5" bestFit="1" customWidth="1"/>
    <col min="5111" max="5111" width="19.42578125" style="5" customWidth="1"/>
    <col min="5112" max="5112" width="14" style="5" customWidth="1"/>
    <col min="5113" max="5113" width="0" style="5" hidden="1" customWidth="1"/>
    <col min="5114" max="5114" width="19.5703125" style="5" customWidth="1"/>
    <col min="5115" max="5115" width="20.7109375" style="5" customWidth="1"/>
    <col min="5116" max="5116" width="22.28515625" style="5" customWidth="1"/>
    <col min="5117" max="5117" width="0" style="5" hidden="1" customWidth="1"/>
    <col min="5118" max="5118" width="15.42578125" style="5" customWidth="1"/>
    <col min="5119" max="5119" width="16.5703125" style="5" customWidth="1"/>
    <col min="5120" max="5121" width="14" style="5" customWidth="1"/>
    <col min="5122" max="5123" width="17.5703125" style="5" customWidth="1"/>
    <col min="5124" max="5124" width="16.42578125" style="5" customWidth="1"/>
    <col min="5125" max="5125" width="16.5703125" style="5" customWidth="1"/>
    <col min="5126" max="5126" width="15" style="5" customWidth="1"/>
    <col min="5127" max="5127" width="15.28515625" style="5" customWidth="1"/>
    <col min="5128" max="5139" width="0" style="5" hidden="1" customWidth="1"/>
    <col min="5140" max="5364" width="9.28515625" style="5" customWidth="1"/>
    <col min="5365" max="5366" width="11" style="5" bestFit="1" customWidth="1"/>
    <col min="5367" max="5367" width="19.42578125" style="5" customWidth="1"/>
    <col min="5368" max="5368" width="14" style="5" customWidth="1"/>
    <col min="5369" max="5369" width="0" style="5" hidden="1" customWidth="1"/>
    <col min="5370" max="5370" width="19.5703125" style="5" customWidth="1"/>
    <col min="5371" max="5371" width="20.7109375" style="5" customWidth="1"/>
    <col min="5372" max="5372" width="22.28515625" style="5" customWidth="1"/>
    <col min="5373" max="5373" width="0" style="5" hidden="1" customWidth="1"/>
    <col min="5374" max="5374" width="15.42578125" style="5" customWidth="1"/>
    <col min="5375" max="5375" width="16.5703125" style="5" customWidth="1"/>
    <col min="5376" max="5377" width="14" style="5" customWidth="1"/>
    <col min="5378" max="5379" width="17.5703125" style="5" customWidth="1"/>
    <col min="5380" max="5380" width="16.42578125" style="5" customWidth="1"/>
    <col min="5381" max="5381" width="16.5703125" style="5" customWidth="1"/>
    <col min="5382" max="5382" width="15" style="5" customWidth="1"/>
    <col min="5383" max="5383" width="15.28515625" style="5" customWidth="1"/>
    <col min="5384" max="5395" width="0" style="5" hidden="1" customWidth="1"/>
    <col min="5396" max="5620" width="9.28515625" style="5" customWidth="1"/>
    <col min="5621" max="5622" width="11" style="5" bestFit="1" customWidth="1"/>
    <col min="5623" max="5623" width="19.42578125" style="5" customWidth="1"/>
    <col min="5624" max="5624" width="14" style="5" customWidth="1"/>
    <col min="5625" max="5625" width="0" style="5" hidden="1" customWidth="1"/>
    <col min="5626" max="5626" width="19.5703125" style="5" customWidth="1"/>
    <col min="5627" max="5627" width="20.7109375" style="5" customWidth="1"/>
    <col min="5628" max="5628" width="22.28515625" style="5" customWidth="1"/>
    <col min="5629" max="5629" width="0" style="5" hidden="1" customWidth="1"/>
    <col min="5630" max="5630" width="15.42578125" style="5" customWidth="1"/>
    <col min="5631" max="5631" width="16.5703125" style="5" customWidth="1"/>
    <col min="5632" max="5633" width="14" style="5" customWidth="1"/>
    <col min="5634" max="5635" width="17.5703125" style="5" customWidth="1"/>
    <col min="5636" max="5636" width="16.42578125" style="5" customWidth="1"/>
    <col min="5637" max="5637" width="16.5703125" style="5" customWidth="1"/>
    <col min="5638" max="5638" width="15" style="5" customWidth="1"/>
    <col min="5639" max="5639" width="15.28515625" style="5" customWidth="1"/>
    <col min="5640" max="5651" width="0" style="5" hidden="1" customWidth="1"/>
    <col min="5652" max="5876" width="9.28515625" style="5" customWidth="1"/>
    <col min="5877" max="5878" width="11" style="5" bestFit="1" customWidth="1"/>
    <col min="5879" max="5879" width="19.42578125" style="5" customWidth="1"/>
    <col min="5880" max="5880" width="14" style="5" customWidth="1"/>
    <col min="5881" max="5881" width="0" style="5" hidden="1" customWidth="1"/>
    <col min="5882" max="5882" width="19.5703125" style="5" customWidth="1"/>
    <col min="5883" max="5883" width="20.7109375" style="5" customWidth="1"/>
    <col min="5884" max="5884" width="22.28515625" style="5" customWidth="1"/>
    <col min="5885" max="5885" width="0" style="5" hidden="1" customWidth="1"/>
    <col min="5886" max="5886" width="15.42578125" style="5" customWidth="1"/>
    <col min="5887" max="5887" width="16.5703125" style="5" customWidth="1"/>
    <col min="5888" max="5889" width="14" style="5" customWidth="1"/>
    <col min="5890" max="5891" width="17.5703125" style="5" customWidth="1"/>
    <col min="5892" max="5892" width="16.42578125" style="5" customWidth="1"/>
    <col min="5893" max="5893" width="16.5703125" style="5" customWidth="1"/>
    <col min="5894" max="5894" width="15" style="5" customWidth="1"/>
    <col min="5895" max="5895" width="15.28515625" style="5" customWidth="1"/>
    <col min="5896" max="5907" width="0" style="5" hidden="1" customWidth="1"/>
    <col min="5908" max="6132" width="9.28515625" style="5" customWidth="1"/>
    <col min="6133" max="6134" width="11" style="5" bestFit="1" customWidth="1"/>
    <col min="6135" max="6135" width="19.42578125" style="5" customWidth="1"/>
    <col min="6136" max="6136" width="14" style="5" customWidth="1"/>
    <col min="6137" max="6137" width="0" style="5" hidden="1" customWidth="1"/>
    <col min="6138" max="6138" width="19.5703125" style="5" customWidth="1"/>
    <col min="6139" max="6139" width="20.7109375" style="5" customWidth="1"/>
    <col min="6140" max="6140" width="22.28515625" style="5" customWidth="1"/>
    <col min="6141" max="6141" width="0" style="5" hidden="1" customWidth="1"/>
    <col min="6142" max="6142" width="15.42578125" style="5" customWidth="1"/>
    <col min="6143" max="6143" width="16.5703125" style="5" customWidth="1"/>
    <col min="6144" max="6145" width="14" style="5" customWidth="1"/>
    <col min="6146" max="6147" width="17.5703125" style="5" customWidth="1"/>
    <col min="6148" max="6148" width="16.42578125" style="5" customWidth="1"/>
    <col min="6149" max="6149" width="16.5703125" style="5" customWidth="1"/>
    <col min="6150" max="6150" width="15" style="5" customWidth="1"/>
    <col min="6151" max="6151" width="15.28515625" style="5" customWidth="1"/>
    <col min="6152" max="6163" width="0" style="5" hidden="1" customWidth="1"/>
    <col min="6164" max="6388" width="9.28515625" style="5" customWidth="1"/>
    <col min="6389" max="6390" width="11" style="5" bestFit="1" customWidth="1"/>
    <col min="6391" max="6391" width="19.42578125" style="5" customWidth="1"/>
    <col min="6392" max="6392" width="14" style="5" customWidth="1"/>
    <col min="6393" max="6393" width="0" style="5" hidden="1" customWidth="1"/>
    <col min="6394" max="6394" width="19.5703125" style="5" customWidth="1"/>
    <col min="6395" max="6395" width="20.7109375" style="5" customWidth="1"/>
    <col min="6396" max="6396" width="22.28515625" style="5" customWidth="1"/>
    <col min="6397" max="6397" width="0" style="5" hidden="1" customWidth="1"/>
    <col min="6398" max="6398" width="15.42578125" style="5" customWidth="1"/>
    <col min="6399" max="6399" width="16.5703125" style="5" customWidth="1"/>
    <col min="6400" max="6401" width="14" style="5" customWidth="1"/>
    <col min="6402" max="6403" width="17.5703125" style="5" customWidth="1"/>
    <col min="6404" max="6404" width="16.42578125" style="5" customWidth="1"/>
    <col min="6405" max="6405" width="16.5703125" style="5" customWidth="1"/>
    <col min="6406" max="6406" width="15" style="5" customWidth="1"/>
    <col min="6407" max="6407" width="15.28515625" style="5" customWidth="1"/>
    <col min="6408" max="6419" width="0" style="5" hidden="1" customWidth="1"/>
    <col min="6420" max="6644" width="9.28515625" style="5" customWidth="1"/>
    <col min="6645" max="6646" width="11" style="5" bestFit="1" customWidth="1"/>
    <col min="6647" max="6647" width="19.42578125" style="5" customWidth="1"/>
    <col min="6648" max="6648" width="14" style="5" customWidth="1"/>
    <col min="6649" max="6649" width="0" style="5" hidden="1" customWidth="1"/>
    <col min="6650" max="6650" width="19.5703125" style="5" customWidth="1"/>
    <col min="6651" max="6651" width="20.7109375" style="5" customWidth="1"/>
    <col min="6652" max="6652" width="22.28515625" style="5" customWidth="1"/>
    <col min="6653" max="6653" width="0" style="5" hidden="1" customWidth="1"/>
    <col min="6654" max="6654" width="15.42578125" style="5" customWidth="1"/>
    <col min="6655" max="6655" width="16.5703125" style="5" customWidth="1"/>
    <col min="6656" max="6657" width="14" style="5" customWidth="1"/>
    <col min="6658" max="6659" width="17.5703125" style="5" customWidth="1"/>
    <col min="6660" max="6660" width="16.42578125" style="5" customWidth="1"/>
    <col min="6661" max="6661" width="16.5703125" style="5" customWidth="1"/>
    <col min="6662" max="6662" width="15" style="5" customWidth="1"/>
    <col min="6663" max="6663" width="15.28515625" style="5" customWidth="1"/>
    <col min="6664" max="6675" width="0" style="5" hidden="1" customWidth="1"/>
    <col min="6676" max="6900" width="9.28515625" style="5" customWidth="1"/>
    <col min="6901" max="6902" width="11" style="5" bestFit="1" customWidth="1"/>
    <col min="6903" max="6903" width="19.42578125" style="5" customWidth="1"/>
    <col min="6904" max="6904" width="14" style="5" customWidth="1"/>
    <col min="6905" max="6905" width="0" style="5" hidden="1" customWidth="1"/>
    <col min="6906" max="6906" width="19.5703125" style="5" customWidth="1"/>
    <col min="6907" max="6907" width="20.7109375" style="5" customWidth="1"/>
    <col min="6908" max="6908" width="22.28515625" style="5" customWidth="1"/>
    <col min="6909" max="6909" width="0" style="5" hidden="1" customWidth="1"/>
    <col min="6910" max="6910" width="15.42578125" style="5" customWidth="1"/>
    <col min="6911" max="6911" width="16.5703125" style="5" customWidth="1"/>
    <col min="6912" max="6913" width="14" style="5" customWidth="1"/>
    <col min="6914" max="6915" width="17.5703125" style="5" customWidth="1"/>
    <col min="6916" max="6916" width="16.42578125" style="5" customWidth="1"/>
    <col min="6917" max="6917" width="16.5703125" style="5" customWidth="1"/>
    <col min="6918" max="6918" width="15" style="5" customWidth="1"/>
    <col min="6919" max="6919" width="15.28515625" style="5" customWidth="1"/>
    <col min="6920" max="6931" width="0" style="5" hidden="1" customWidth="1"/>
    <col min="6932" max="7156" width="9.28515625" style="5" customWidth="1"/>
    <col min="7157" max="7158" width="11" style="5" bestFit="1" customWidth="1"/>
    <col min="7159" max="7159" width="19.42578125" style="5" customWidth="1"/>
    <col min="7160" max="7160" width="14" style="5" customWidth="1"/>
    <col min="7161" max="7161" width="0" style="5" hidden="1" customWidth="1"/>
    <col min="7162" max="7162" width="19.5703125" style="5" customWidth="1"/>
    <col min="7163" max="7163" width="20.7109375" style="5" customWidth="1"/>
    <col min="7164" max="7164" width="22.28515625" style="5" customWidth="1"/>
    <col min="7165" max="7165" width="0" style="5" hidden="1" customWidth="1"/>
    <col min="7166" max="7166" width="15.42578125" style="5" customWidth="1"/>
    <col min="7167" max="7167" width="16.5703125" style="5" customWidth="1"/>
    <col min="7168" max="7169" width="14" style="5" customWidth="1"/>
    <col min="7170" max="7171" width="17.5703125" style="5" customWidth="1"/>
    <col min="7172" max="7172" width="16.42578125" style="5" customWidth="1"/>
    <col min="7173" max="7173" width="16.5703125" style="5" customWidth="1"/>
    <col min="7174" max="7174" width="15" style="5" customWidth="1"/>
    <col min="7175" max="7175" width="15.28515625" style="5" customWidth="1"/>
    <col min="7176" max="7187" width="0" style="5" hidden="1" customWidth="1"/>
    <col min="7188" max="7412" width="9.28515625" style="5" customWidth="1"/>
    <col min="7413" max="7414" width="11" style="5" bestFit="1" customWidth="1"/>
    <col min="7415" max="7415" width="19.42578125" style="5" customWidth="1"/>
    <col min="7416" max="7416" width="14" style="5" customWidth="1"/>
    <col min="7417" max="7417" width="0" style="5" hidden="1" customWidth="1"/>
    <col min="7418" max="7418" width="19.5703125" style="5" customWidth="1"/>
    <col min="7419" max="7419" width="20.7109375" style="5" customWidth="1"/>
    <col min="7420" max="7420" width="22.28515625" style="5" customWidth="1"/>
    <col min="7421" max="7421" width="0" style="5" hidden="1" customWidth="1"/>
    <col min="7422" max="7422" width="15.42578125" style="5" customWidth="1"/>
    <col min="7423" max="7423" width="16.5703125" style="5" customWidth="1"/>
    <col min="7424" max="7425" width="14" style="5" customWidth="1"/>
    <col min="7426" max="7427" width="17.5703125" style="5" customWidth="1"/>
    <col min="7428" max="7428" width="16.42578125" style="5" customWidth="1"/>
    <col min="7429" max="7429" width="16.5703125" style="5" customWidth="1"/>
    <col min="7430" max="7430" width="15" style="5" customWidth="1"/>
    <col min="7431" max="7431" width="15.28515625" style="5" customWidth="1"/>
    <col min="7432" max="7443" width="0" style="5" hidden="1" customWidth="1"/>
    <col min="7444" max="7668" width="9.28515625" style="5" customWidth="1"/>
    <col min="7669" max="7670" width="11" style="5" bestFit="1" customWidth="1"/>
    <col min="7671" max="7671" width="19.42578125" style="5" customWidth="1"/>
    <col min="7672" max="7672" width="14" style="5" customWidth="1"/>
    <col min="7673" max="7673" width="0" style="5" hidden="1" customWidth="1"/>
    <col min="7674" max="7674" width="19.5703125" style="5" customWidth="1"/>
    <col min="7675" max="7675" width="20.7109375" style="5" customWidth="1"/>
    <col min="7676" max="7676" width="22.28515625" style="5" customWidth="1"/>
    <col min="7677" max="7677" width="0" style="5" hidden="1" customWidth="1"/>
    <col min="7678" max="7678" width="15.42578125" style="5" customWidth="1"/>
    <col min="7679" max="7679" width="16.5703125" style="5" customWidth="1"/>
    <col min="7680" max="7681" width="14" style="5" customWidth="1"/>
    <col min="7682" max="7683" width="17.5703125" style="5" customWidth="1"/>
    <col min="7684" max="7684" width="16.42578125" style="5" customWidth="1"/>
    <col min="7685" max="7685" width="16.5703125" style="5" customWidth="1"/>
    <col min="7686" max="7686" width="15" style="5" customWidth="1"/>
    <col min="7687" max="7687" width="15.28515625" style="5" customWidth="1"/>
    <col min="7688" max="7699" width="0" style="5" hidden="1" customWidth="1"/>
    <col min="7700" max="7924" width="9.28515625" style="5" customWidth="1"/>
    <col min="7925" max="7926" width="11" style="5" bestFit="1" customWidth="1"/>
    <col min="7927" max="7927" width="19.42578125" style="5" customWidth="1"/>
    <col min="7928" max="7928" width="14" style="5" customWidth="1"/>
    <col min="7929" max="7929" width="0" style="5" hidden="1" customWidth="1"/>
    <col min="7930" max="7930" width="19.5703125" style="5" customWidth="1"/>
    <col min="7931" max="7931" width="20.7109375" style="5" customWidth="1"/>
    <col min="7932" max="7932" width="22.28515625" style="5" customWidth="1"/>
    <col min="7933" max="7933" width="0" style="5" hidden="1" customWidth="1"/>
    <col min="7934" max="7934" width="15.42578125" style="5" customWidth="1"/>
    <col min="7935" max="7935" width="16.5703125" style="5" customWidth="1"/>
    <col min="7936" max="7937" width="14" style="5" customWidth="1"/>
    <col min="7938" max="7939" width="17.5703125" style="5" customWidth="1"/>
    <col min="7940" max="7940" width="16.42578125" style="5" customWidth="1"/>
    <col min="7941" max="7941" width="16.5703125" style="5" customWidth="1"/>
    <col min="7942" max="7942" width="15" style="5" customWidth="1"/>
    <col min="7943" max="7943" width="15.28515625" style="5" customWidth="1"/>
    <col min="7944" max="7955" width="0" style="5" hidden="1" customWidth="1"/>
    <col min="7956" max="8180" width="9.28515625" style="5" customWidth="1"/>
    <col min="8181" max="8182" width="11" style="5" bestFit="1" customWidth="1"/>
    <col min="8183" max="8183" width="19.42578125" style="5" customWidth="1"/>
    <col min="8184" max="8184" width="14" style="5" customWidth="1"/>
    <col min="8185" max="8185" width="0" style="5" hidden="1" customWidth="1"/>
    <col min="8186" max="8186" width="19.5703125" style="5" customWidth="1"/>
    <col min="8187" max="8187" width="20.7109375" style="5" customWidth="1"/>
    <col min="8188" max="8188" width="22.28515625" style="5" customWidth="1"/>
    <col min="8189" max="8189" width="0" style="5" hidden="1" customWidth="1"/>
    <col min="8190" max="8190" width="15.42578125" style="5" customWidth="1"/>
    <col min="8191" max="8191" width="16.5703125" style="5" customWidth="1"/>
    <col min="8192" max="8193" width="14" style="5" customWidth="1"/>
    <col min="8194" max="8195" width="17.5703125" style="5" customWidth="1"/>
    <col min="8196" max="8196" width="16.42578125" style="5" customWidth="1"/>
    <col min="8197" max="8197" width="16.5703125" style="5" customWidth="1"/>
    <col min="8198" max="8198" width="15" style="5" customWidth="1"/>
    <col min="8199" max="8199" width="15.28515625" style="5" customWidth="1"/>
    <col min="8200" max="8211" width="0" style="5" hidden="1" customWidth="1"/>
    <col min="8212" max="8436" width="9.28515625" style="5" customWidth="1"/>
    <col min="8437" max="8438" width="11" style="5" bestFit="1" customWidth="1"/>
    <col min="8439" max="8439" width="19.42578125" style="5" customWidth="1"/>
    <col min="8440" max="8440" width="14" style="5" customWidth="1"/>
    <col min="8441" max="8441" width="0" style="5" hidden="1" customWidth="1"/>
    <col min="8442" max="8442" width="19.5703125" style="5" customWidth="1"/>
    <col min="8443" max="8443" width="20.7109375" style="5" customWidth="1"/>
    <col min="8444" max="8444" width="22.28515625" style="5" customWidth="1"/>
    <col min="8445" max="8445" width="0" style="5" hidden="1" customWidth="1"/>
    <col min="8446" max="8446" width="15.42578125" style="5" customWidth="1"/>
    <col min="8447" max="8447" width="16.5703125" style="5" customWidth="1"/>
    <col min="8448" max="8449" width="14" style="5" customWidth="1"/>
    <col min="8450" max="8451" width="17.5703125" style="5" customWidth="1"/>
    <col min="8452" max="8452" width="16.42578125" style="5" customWidth="1"/>
    <col min="8453" max="8453" width="16.5703125" style="5" customWidth="1"/>
    <col min="8454" max="8454" width="15" style="5" customWidth="1"/>
    <col min="8455" max="8455" width="15.28515625" style="5" customWidth="1"/>
    <col min="8456" max="8467" width="0" style="5" hidden="1" customWidth="1"/>
    <col min="8468" max="8692" width="9.28515625" style="5" customWidth="1"/>
    <col min="8693" max="8694" width="11" style="5" bestFit="1" customWidth="1"/>
    <col min="8695" max="8695" width="19.42578125" style="5" customWidth="1"/>
    <col min="8696" max="8696" width="14" style="5" customWidth="1"/>
    <col min="8697" max="8697" width="0" style="5" hidden="1" customWidth="1"/>
    <col min="8698" max="8698" width="19.5703125" style="5" customWidth="1"/>
    <col min="8699" max="8699" width="20.7109375" style="5" customWidth="1"/>
    <col min="8700" max="8700" width="22.28515625" style="5" customWidth="1"/>
    <col min="8701" max="8701" width="0" style="5" hidden="1" customWidth="1"/>
    <col min="8702" max="8702" width="15.42578125" style="5" customWidth="1"/>
    <col min="8703" max="8703" width="16.5703125" style="5" customWidth="1"/>
    <col min="8704" max="8705" width="14" style="5" customWidth="1"/>
    <col min="8706" max="8707" width="17.5703125" style="5" customWidth="1"/>
    <col min="8708" max="8708" width="16.42578125" style="5" customWidth="1"/>
    <col min="8709" max="8709" width="16.5703125" style="5" customWidth="1"/>
    <col min="8710" max="8710" width="15" style="5" customWidth="1"/>
    <col min="8711" max="8711" width="15.28515625" style="5" customWidth="1"/>
    <col min="8712" max="8723" width="0" style="5" hidden="1" customWidth="1"/>
    <col min="8724" max="8948" width="9.28515625" style="5" customWidth="1"/>
    <col min="8949" max="8950" width="11" style="5" bestFit="1" customWidth="1"/>
    <col min="8951" max="8951" width="19.42578125" style="5" customWidth="1"/>
    <col min="8952" max="8952" width="14" style="5" customWidth="1"/>
    <col min="8953" max="8953" width="0" style="5" hidden="1" customWidth="1"/>
    <col min="8954" max="8954" width="19.5703125" style="5" customWidth="1"/>
    <col min="8955" max="8955" width="20.7109375" style="5" customWidth="1"/>
    <col min="8956" max="8956" width="22.28515625" style="5" customWidth="1"/>
    <col min="8957" max="8957" width="0" style="5" hidden="1" customWidth="1"/>
    <col min="8958" max="8958" width="15.42578125" style="5" customWidth="1"/>
    <col min="8959" max="8959" width="16.5703125" style="5" customWidth="1"/>
    <col min="8960" max="8961" width="14" style="5" customWidth="1"/>
    <col min="8962" max="8963" width="17.5703125" style="5" customWidth="1"/>
    <col min="8964" max="8964" width="16.42578125" style="5" customWidth="1"/>
    <col min="8965" max="8965" width="16.5703125" style="5" customWidth="1"/>
    <col min="8966" max="8966" width="15" style="5" customWidth="1"/>
    <col min="8967" max="8967" width="15.28515625" style="5" customWidth="1"/>
    <col min="8968" max="8979" width="0" style="5" hidden="1" customWidth="1"/>
    <col min="8980" max="9204" width="9.28515625" style="5" customWidth="1"/>
    <col min="9205" max="9206" width="11" style="5" bestFit="1" customWidth="1"/>
    <col min="9207" max="9207" width="19.42578125" style="5" customWidth="1"/>
    <col min="9208" max="9208" width="14" style="5" customWidth="1"/>
    <col min="9209" max="9209" width="0" style="5" hidden="1" customWidth="1"/>
    <col min="9210" max="9210" width="19.5703125" style="5" customWidth="1"/>
    <col min="9211" max="9211" width="20.7109375" style="5" customWidth="1"/>
    <col min="9212" max="9212" width="22.28515625" style="5" customWidth="1"/>
    <col min="9213" max="9213" width="0" style="5" hidden="1" customWidth="1"/>
    <col min="9214" max="9214" width="15.42578125" style="5" customWidth="1"/>
    <col min="9215" max="9215" width="16.5703125" style="5" customWidth="1"/>
    <col min="9216" max="9217" width="14" style="5" customWidth="1"/>
    <col min="9218" max="9219" width="17.5703125" style="5" customWidth="1"/>
    <col min="9220" max="9220" width="16.42578125" style="5" customWidth="1"/>
    <col min="9221" max="9221" width="16.5703125" style="5" customWidth="1"/>
    <col min="9222" max="9222" width="15" style="5" customWidth="1"/>
    <col min="9223" max="9223" width="15.28515625" style="5" customWidth="1"/>
    <col min="9224" max="9235" width="0" style="5" hidden="1" customWidth="1"/>
    <col min="9236" max="9460" width="9.28515625" style="5" customWidth="1"/>
    <col min="9461" max="9462" width="11" style="5" bestFit="1" customWidth="1"/>
    <col min="9463" max="9463" width="19.42578125" style="5" customWidth="1"/>
    <col min="9464" max="9464" width="14" style="5" customWidth="1"/>
    <col min="9465" max="9465" width="0" style="5" hidden="1" customWidth="1"/>
    <col min="9466" max="9466" width="19.5703125" style="5" customWidth="1"/>
    <col min="9467" max="9467" width="20.7109375" style="5" customWidth="1"/>
    <col min="9468" max="9468" width="22.28515625" style="5" customWidth="1"/>
    <col min="9469" max="9469" width="0" style="5" hidden="1" customWidth="1"/>
    <col min="9470" max="9470" width="15.42578125" style="5" customWidth="1"/>
    <col min="9471" max="9471" width="16.5703125" style="5" customWidth="1"/>
    <col min="9472" max="9473" width="14" style="5" customWidth="1"/>
    <col min="9474" max="9475" width="17.5703125" style="5" customWidth="1"/>
    <col min="9476" max="9476" width="16.42578125" style="5" customWidth="1"/>
    <col min="9477" max="9477" width="16.5703125" style="5" customWidth="1"/>
    <col min="9478" max="9478" width="15" style="5" customWidth="1"/>
    <col min="9479" max="9479" width="15.28515625" style="5" customWidth="1"/>
    <col min="9480" max="9491" width="0" style="5" hidden="1" customWidth="1"/>
    <col min="9492" max="9716" width="9.28515625" style="5" customWidth="1"/>
    <col min="9717" max="9718" width="11" style="5" bestFit="1" customWidth="1"/>
    <col min="9719" max="9719" width="19.42578125" style="5" customWidth="1"/>
    <col min="9720" max="9720" width="14" style="5" customWidth="1"/>
    <col min="9721" max="9721" width="0" style="5" hidden="1" customWidth="1"/>
    <col min="9722" max="9722" width="19.5703125" style="5" customWidth="1"/>
    <col min="9723" max="9723" width="20.7109375" style="5" customWidth="1"/>
    <col min="9724" max="9724" width="22.28515625" style="5" customWidth="1"/>
    <col min="9725" max="9725" width="0" style="5" hidden="1" customWidth="1"/>
    <col min="9726" max="9726" width="15.42578125" style="5" customWidth="1"/>
    <col min="9727" max="9727" width="16.5703125" style="5" customWidth="1"/>
    <col min="9728" max="9729" width="14" style="5" customWidth="1"/>
    <col min="9730" max="9731" width="17.5703125" style="5" customWidth="1"/>
    <col min="9732" max="9732" width="16.42578125" style="5" customWidth="1"/>
    <col min="9733" max="9733" width="16.5703125" style="5" customWidth="1"/>
    <col min="9734" max="9734" width="15" style="5" customWidth="1"/>
    <col min="9735" max="9735" width="15.28515625" style="5" customWidth="1"/>
    <col min="9736" max="9747" width="0" style="5" hidden="1" customWidth="1"/>
    <col min="9748" max="9972" width="9.28515625" style="5" customWidth="1"/>
    <col min="9973" max="9974" width="11" style="5" bestFit="1" customWidth="1"/>
    <col min="9975" max="9975" width="19.42578125" style="5" customWidth="1"/>
    <col min="9976" max="9976" width="14" style="5" customWidth="1"/>
    <col min="9977" max="9977" width="0" style="5" hidden="1" customWidth="1"/>
    <col min="9978" max="9978" width="19.5703125" style="5" customWidth="1"/>
    <col min="9979" max="9979" width="20.7109375" style="5" customWidth="1"/>
    <col min="9980" max="9980" width="22.28515625" style="5" customWidth="1"/>
    <col min="9981" max="9981" width="0" style="5" hidden="1" customWidth="1"/>
    <col min="9982" max="9982" width="15.42578125" style="5" customWidth="1"/>
    <col min="9983" max="9983" width="16.5703125" style="5" customWidth="1"/>
    <col min="9984" max="9985" width="14" style="5" customWidth="1"/>
    <col min="9986" max="9987" width="17.5703125" style="5" customWidth="1"/>
    <col min="9988" max="9988" width="16.42578125" style="5" customWidth="1"/>
    <col min="9989" max="9989" width="16.5703125" style="5" customWidth="1"/>
    <col min="9990" max="9990" width="15" style="5" customWidth="1"/>
    <col min="9991" max="9991" width="15.28515625" style="5" customWidth="1"/>
    <col min="9992" max="10003" width="0" style="5" hidden="1" customWidth="1"/>
    <col min="10004" max="10228" width="9.28515625" style="5" customWidth="1"/>
    <col min="10229" max="10230" width="11" style="5" bestFit="1" customWidth="1"/>
    <col min="10231" max="10231" width="19.42578125" style="5" customWidth="1"/>
    <col min="10232" max="10232" width="14" style="5" customWidth="1"/>
    <col min="10233" max="10233" width="0" style="5" hidden="1" customWidth="1"/>
    <col min="10234" max="10234" width="19.5703125" style="5" customWidth="1"/>
    <col min="10235" max="10235" width="20.7109375" style="5" customWidth="1"/>
    <col min="10236" max="10236" width="22.28515625" style="5" customWidth="1"/>
    <col min="10237" max="10237" width="0" style="5" hidden="1" customWidth="1"/>
    <col min="10238" max="10238" width="15.42578125" style="5" customWidth="1"/>
    <col min="10239" max="10239" width="16.5703125" style="5" customWidth="1"/>
    <col min="10240" max="10241" width="14" style="5" customWidth="1"/>
    <col min="10242" max="10243" width="17.5703125" style="5" customWidth="1"/>
    <col min="10244" max="10244" width="16.42578125" style="5" customWidth="1"/>
    <col min="10245" max="10245" width="16.5703125" style="5" customWidth="1"/>
    <col min="10246" max="10246" width="15" style="5" customWidth="1"/>
    <col min="10247" max="10247" width="15.28515625" style="5" customWidth="1"/>
    <col min="10248" max="10259" width="0" style="5" hidden="1" customWidth="1"/>
    <col min="10260" max="10484" width="9.28515625" style="5" customWidth="1"/>
    <col min="10485" max="10486" width="11" style="5" bestFit="1" customWidth="1"/>
    <col min="10487" max="10487" width="19.42578125" style="5" customWidth="1"/>
    <col min="10488" max="10488" width="14" style="5" customWidth="1"/>
    <col min="10489" max="10489" width="0" style="5" hidden="1" customWidth="1"/>
    <col min="10490" max="10490" width="19.5703125" style="5" customWidth="1"/>
    <col min="10491" max="10491" width="20.7109375" style="5" customWidth="1"/>
    <col min="10492" max="10492" width="22.28515625" style="5" customWidth="1"/>
    <col min="10493" max="10493" width="0" style="5" hidden="1" customWidth="1"/>
    <col min="10494" max="10494" width="15.42578125" style="5" customWidth="1"/>
    <col min="10495" max="10495" width="16.5703125" style="5" customWidth="1"/>
    <col min="10496" max="10497" width="14" style="5" customWidth="1"/>
    <col min="10498" max="10499" width="17.5703125" style="5" customWidth="1"/>
    <col min="10500" max="10500" width="16.42578125" style="5" customWidth="1"/>
    <col min="10501" max="10501" width="16.5703125" style="5" customWidth="1"/>
    <col min="10502" max="10502" width="15" style="5" customWidth="1"/>
    <col min="10503" max="10503" width="15.28515625" style="5" customWidth="1"/>
    <col min="10504" max="10515" width="0" style="5" hidden="1" customWidth="1"/>
    <col min="10516" max="10740" width="9.28515625" style="5" customWidth="1"/>
    <col min="10741" max="10742" width="11" style="5" bestFit="1" customWidth="1"/>
    <col min="10743" max="10743" width="19.42578125" style="5" customWidth="1"/>
    <col min="10744" max="10744" width="14" style="5" customWidth="1"/>
    <col min="10745" max="10745" width="0" style="5" hidden="1" customWidth="1"/>
    <col min="10746" max="10746" width="19.5703125" style="5" customWidth="1"/>
    <col min="10747" max="10747" width="20.7109375" style="5" customWidth="1"/>
    <col min="10748" max="10748" width="22.28515625" style="5" customWidth="1"/>
    <col min="10749" max="10749" width="0" style="5" hidden="1" customWidth="1"/>
    <col min="10750" max="10750" width="15.42578125" style="5" customWidth="1"/>
    <col min="10751" max="10751" width="16.5703125" style="5" customWidth="1"/>
    <col min="10752" max="10753" width="14" style="5" customWidth="1"/>
    <col min="10754" max="10755" width="17.5703125" style="5" customWidth="1"/>
    <col min="10756" max="10756" width="16.42578125" style="5" customWidth="1"/>
    <col min="10757" max="10757" width="16.5703125" style="5" customWidth="1"/>
    <col min="10758" max="10758" width="15" style="5" customWidth="1"/>
    <col min="10759" max="10759" width="15.28515625" style="5" customWidth="1"/>
    <col min="10760" max="10771" width="0" style="5" hidden="1" customWidth="1"/>
    <col min="10772" max="10996" width="9.28515625" style="5" customWidth="1"/>
    <col min="10997" max="10998" width="11" style="5" bestFit="1" customWidth="1"/>
    <col min="10999" max="10999" width="19.42578125" style="5" customWidth="1"/>
    <col min="11000" max="11000" width="14" style="5" customWidth="1"/>
    <col min="11001" max="11001" width="0" style="5" hidden="1" customWidth="1"/>
    <col min="11002" max="11002" width="19.5703125" style="5" customWidth="1"/>
    <col min="11003" max="11003" width="20.7109375" style="5" customWidth="1"/>
    <col min="11004" max="11004" width="22.28515625" style="5" customWidth="1"/>
    <col min="11005" max="11005" width="0" style="5" hidden="1" customWidth="1"/>
    <col min="11006" max="11006" width="15.42578125" style="5" customWidth="1"/>
    <col min="11007" max="11007" width="16.5703125" style="5" customWidth="1"/>
    <col min="11008" max="11009" width="14" style="5" customWidth="1"/>
    <col min="11010" max="11011" width="17.5703125" style="5" customWidth="1"/>
    <col min="11012" max="11012" width="16.42578125" style="5" customWidth="1"/>
    <col min="11013" max="11013" width="16.5703125" style="5" customWidth="1"/>
    <col min="11014" max="11014" width="15" style="5" customWidth="1"/>
    <col min="11015" max="11015" width="15.28515625" style="5" customWidth="1"/>
    <col min="11016" max="11027" width="0" style="5" hidden="1" customWidth="1"/>
    <col min="11028" max="11252" width="9.28515625" style="5" customWidth="1"/>
    <col min="11253" max="11254" width="11" style="5" bestFit="1" customWidth="1"/>
    <col min="11255" max="11255" width="19.42578125" style="5" customWidth="1"/>
    <col min="11256" max="11256" width="14" style="5" customWidth="1"/>
    <col min="11257" max="11257" width="0" style="5" hidden="1" customWidth="1"/>
    <col min="11258" max="11258" width="19.5703125" style="5" customWidth="1"/>
    <col min="11259" max="11259" width="20.7109375" style="5" customWidth="1"/>
    <col min="11260" max="11260" width="22.28515625" style="5" customWidth="1"/>
    <col min="11261" max="11261" width="0" style="5" hidden="1" customWidth="1"/>
    <col min="11262" max="11262" width="15.42578125" style="5" customWidth="1"/>
    <col min="11263" max="11263" width="16.5703125" style="5" customWidth="1"/>
    <col min="11264" max="11265" width="14" style="5" customWidth="1"/>
    <col min="11266" max="11267" width="17.5703125" style="5" customWidth="1"/>
    <col min="11268" max="11268" width="16.42578125" style="5" customWidth="1"/>
    <col min="11269" max="11269" width="16.5703125" style="5" customWidth="1"/>
    <col min="11270" max="11270" width="15" style="5" customWidth="1"/>
    <col min="11271" max="11271" width="15.28515625" style="5" customWidth="1"/>
    <col min="11272" max="11283" width="0" style="5" hidden="1" customWidth="1"/>
    <col min="11284" max="11508" width="9.28515625" style="5" customWidth="1"/>
    <col min="11509" max="11510" width="11" style="5" bestFit="1" customWidth="1"/>
    <col min="11511" max="11511" width="19.42578125" style="5" customWidth="1"/>
    <col min="11512" max="11512" width="14" style="5" customWidth="1"/>
    <col min="11513" max="11513" width="0" style="5" hidden="1" customWidth="1"/>
    <col min="11514" max="11514" width="19.5703125" style="5" customWidth="1"/>
    <col min="11515" max="11515" width="20.7109375" style="5" customWidth="1"/>
    <col min="11516" max="11516" width="22.28515625" style="5" customWidth="1"/>
    <col min="11517" max="11517" width="0" style="5" hidden="1" customWidth="1"/>
    <col min="11518" max="11518" width="15.42578125" style="5" customWidth="1"/>
    <col min="11519" max="11519" width="16.5703125" style="5" customWidth="1"/>
    <col min="11520" max="11521" width="14" style="5" customWidth="1"/>
    <col min="11522" max="11523" width="17.5703125" style="5" customWidth="1"/>
    <col min="11524" max="11524" width="16.42578125" style="5" customWidth="1"/>
    <col min="11525" max="11525" width="16.5703125" style="5" customWidth="1"/>
    <col min="11526" max="11526" width="15" style="5" customWidth="1"/>
    <col min="11527" max="11527" width="15.28515625" style="5" customWidth="1"/>
    <col min="11528" max="11539" width="0" style="5" hidden="1" customWidth="1"/>
    <col min="11540" max="11764" width="9.28515625" style="5" customWidth="1"/>
    <col min="11765" max="11766" width="11" style="5" bestFit="1" customWidth="1"/>
    <col min="11767" max="11767" width="19.42578125" style="5" customWidth="1"/>
    <col min="11768" max="11768" width="14" style="5" customWidth="1"/>
    <col min="11769" max="11769" width="0" style="5" hidden="1" customWidth="1"/>
    <col min="11770" max="11770" width="19.5703125" style="5" customWidth="1"/>
    <col min="11771" max="11771" width="20.7109375" style="5" customWidth="1"/>
    <col min="11772" max="11772" width="22.28515625" style="5" customWidth="1"/>
    <col min="11773" max="11773" width="0" style="5" hidden="1" customWidth="1"/>
    <col min="11774" max="11774" width="15.42578125" style="5" customWidth="1"/>
    <col min="11775" max="11775" width="16.5703125" style="5" customWidth="1"/>
    <col min="11776" max="11777" width="14" style="5" customWidth="1"/>
    <col min="11778" max="11779" width="17.5703125" style="5" customWidth="1"/>
    <col min="11780" max="11780" width="16.42578125" style="5" customWidth="1"/>
    <col min="11781" max="11781" width="16.5703125" style="5" customWidth="1"/>
    <col min="11782" max="11782" width="15" style="5" customWidth="1"/>
    <col min="11783" max="11783" width="15.28515625" style="5" customWidth="1"/>
    <col min="11784" max="11795" width="0" style="5" hidden="1" customWidth="1"/>
    <col min="11796" max="12020" width="9.28515625" style="5" customWidth="1"/>
    <col min="12021" max="12022" width="11" style="5" bestFit="1" customWidth="1"/>
    <col min="12023" max="12023" width="19.42578125" style="5" customWidth="1"/>
    <col min="12024" max="12024" width="14" style="5" customWidth="1"/>
    <col min="12025" max="12025" width="0" style="5" hidden="1" customWidth="1"/>
    <col min="12026" max="12026" width="19.5703125" style="5" customWidth="1"/>
    <col min="12027" max="12027" width="20.7109375" style="5" customWidth="1"/>
    <col min="12028" max="12028" width="22.28515625" style="5" customWidth="1"/>
    <col min="12029" max="12029" width="0" style="5" hidden="1" customWidth="1"/>
    <col min="12030" max="12030" width="15.42578125" style="5" customWidth="1"/>
    <col min="12031" max="12031" width="16.5703125" style="5" customWidth="1"/>
    <col min="12032" max="12033" width="14" style="5" customWidth="1"/>
    <col min="12034" max="12035" width="17.5703125" style="5" customWidth="1"/>
    <col min="12036" max="12036" width="16.42578125" style="5" customWidth="1"/>
    <col min="12037" max="12037" width="16.5703125" style="5" customWidth="1"/>
    <col min="12038" max="12038" width="15" style="5" customWidth="1"/>
    <col min="12039" max="12039" width="15.28515625" style="5" customWidth="1"/>
    <col min="12040" max="12051" width="0" style="5" hidden="1" customWidth="1"/>
    <col min="12052" max="12276" width="9.28515625" style="5" customWidth="1"/>
    <col min="12277" max="12278" width="11" style="5" bestFit="1" customWidth="1"/>
    <col min="12279" max="12279" width="19.42578125" style="5" customWidth="1"/>
    <col min="12280" max="12280" width="14" style="5" customWidth="1"/>
    <col min="12281" max="12281" width="0" style="5" hidden="1" customWidth="1"/>
    <col min="12282" max="12282" width="19.5703125" style="5" customWidth="1"/>
    <col min="12283" max="12283" width="20.7109375" style="5" customWidth="1"/>
    <col min="12284" max="12284" width="22.28515625" style="5" customWidth="1"/>
    <col min="12285" max="12285" width="0" style="5" hidden="1" customWidth="1"/>
    <col min="12286" max="12286" width="15.42578125" style="5" customWidth="1"/>
    <col min="12287" max="12287" width="16.5703125" style="5" customWidth="1"/>
    <col min="12288" max="12289" width="14" style="5" customWidth="1"/>
    <col min="12290" max="12291" width="17.5703125" style="5" customWidth="1"/>
    <col min="12292" max="12292" width="16.42578125" style="5" customWidth="1"/>
    <col min="12293" max="12293" width="16.5703125" style="5" customWidth="1"/>
    <col min="12294" max="12294" width="15" style="5" customWidth="1"/>
    <col min="12295" max="12295" width="15.28515625" style="5" customWidth="1"/>
    <col min="12296" max="12307" width="0" style="5" hidden="1" customWidth="1"/>
    <col min="12308" max="12532" width="9.28515625" style="5" customWidth="1"/>
    <col min="12533" max="12534" width="11" style="5" bestFit="1" customWidth="1"/>
    <col min="12535" max="12535" width="19.42578125" style="5" customWidth="1"/>
    <col min="12536" max="12536" width="14" style="5" customWidth="1"/>
    <col min="12537" max="12537" width="0" style="5" hidden="1" customWidth="1"/>
    <col min="12538" max="12538" width="19.5703125" style="5" customWidth="1"/>
    <col min="12539" max="12539" width="20.7109375" style="5" customWidth="1"/>
    <col min="12540" max="12540" width="22.28515625" style="5" customWidth="1"/>
    <col min="12541" max="12541" width="0" style="5" hidden="1" customWidth="1"/>
    <col min="12542" max="12542" width="15.42578125" style="5" customWidth="1"/>
    <col min="12543" max="12543" width="16.5703125" style="5" customWidth="1"/>
    <col min="12544" max="12545" width="14" style="5" customWidth="1"/>
    <col min="12546" max="12547" width="17.5703125" style="5" customWidth="1"/>
    <col min="12548" max="12548" width="16.42578125" style="5" customWidth="1"/>
    <col min="12549" max="12549" width="16.5703125" style="5" customWidth="1"/>
    <col min="12550" max="12550" width="15" style="5" customWidth="1"/>
    <col min="12551" max="12551" width="15.28515625" style="5" customWidth="1"/>
    <col min="12552" max="12563" width="0" style="5" hidden="1" customWidth="1"/>
    <col min="12564" max="12788" width="9.28515625" style="5" customWidth="1"/>
    <col min="12789" max="12790" width="11" style="5" bestFit="1" customWidth="1"/>
    <col min="12791" max="12791" width="19.42578125" style="5" customWidth="1"/>
    <col min="12792" max="12792" width="14" style="5" customWidth="1"/>
    <col min="12793" max="12793" width="0" style="5" hidden="1" customWidth="1"/>
    <col min="12794" max="12794" width="19.5703125" style="5" customWidth="1"/>
    <col min="12795" max="12795" width="20.7109375" style="5" customWidth="1"/>
    <col min="12796" max="12796" width="22.28515625" style="5" customWidth="1"/>
    <col min="12797" max="12797" width="0" style="5" hidden="1" customWidth="1"/>
    <col min="12798" max="12798" width="15.42578125" style="5" customWidth="1"/>
    <col min="12799" max="12799" width="16.5703125" style="5" customWidth="1"/>
    <col min="12800" max="12801" width="14" style="5" customWidth="1"/>
    <col min="12802" max="12803" width="17.5703125" style="5" customWidth="1"/>
    <col min="12804" max="12804" width="16.42578125" style="5" customWidth="1"/>
    <col min="12805" max="12805" width="16.5703125" style="5" customWidth="1"/>
    <col min="12806" max="12806" width="15" style="5" customWidth="1"/>
    <col min="12807" max="12807" width="15.28515625" style="5" customWidth="1"/>
    <col min="12808" max="12819" width="0" style="5" hidden="1" customWidth="1"/>
    <col min="12820" max="13044" width="9.28515625" style="5" customWidth="1"/>
    <col min="13045" max="13046" width="11" style="5" bestFit="1" customWidth="1"/>
    <col min="13047" max="13047" width="19.42578125" style="5" customWidth="1"/>
    <col min="13048" max="13048" width="14" style="5" customWidth="1"/>
    <col min="13049" max="13049" width="0" style="5" hidden="1" customWidth="1"/>
    <col min="13050" max="13050" width="19.5703125" style="5" customWidth="1"/>
    <col min="13051" max="13051" width="20.7109375" style="5" customWidth="1"/>
    <col min="13052" max="13052" width="22.28515625" style="5" customWidth="1"/>
    <col min="13053" max="13053" width="0" style="5" hidden="1" customWidth="1"/>
    <col min="13054" max="13054" width="15.42578125" style="5" customWidth="1"/>
    <col min="13055" max="13055" width="16.5703125" style="5" customWidth="1"/>
    <col min="13056" max="13057" width="14" style="5" customWidth="1"/>
    <col min="13058" max="13059" width="17.5703125" style="5" customWidth="1"/>
    <col min="13060" max="13060" width="16.42578125" style="5" customWidth="1"/>
    <col min="13061" max="13061" width="16.5703125" style="5" customWidth="1"/>
    <col min="13062" max="13062" width="15" style="5" customWidth="1"/>
    <col min="13063" max="13063" width="15.28515625" style="5" customWidth="1"/>
    <col min="13064" max="13075" width="0" style="5" hidden="1" customWidth="1"/>
    <col min="13076" max="13300" width="9.28515625" style="5" customWidth="1"/>
    <col min="13301" max="13302" width="11" style="5" bestFit="1" customWidth="1"/>
    <col min="13303" max="13303" width="19.42578125" style="5" customWidth="1"/>
    <col min="13304" max="13304" width="14" style="5" customWidth="1"/>
    <col min="13305" max="13305" width="0" style="5" hidden="1" customWidth="1"/>
    <col min="13306" max="13306" width="19.5703125" style="5" customWidth="1"/>
    <col min="13307" max="13307" width="20.7109375" style="5" customWidth="1"/>
    <col min="13308" max="13308" width="22.28515625" style="5" customWidth="1"/>
    <col min="13309" max="13309" width="0" style="5" hidden="1" customWidth="1"/>
    <col min="13310" max="13310" width="15.42578125" style="5" customWidth="1"/>
    <col min="13311" max="13311" width="16.5703125" style="5" customWidth="1"/>
    <col min="13312" max="13313" width="14" style="5" customWidth="1"/>
    <col min="13314" max="13315" width="17.5703125" style="5" customWidth="1"/>
    <col min="13316" max="13316" width="16.42578125" style="5" customWidth="1"/>
    <col min="13317" max="13317" width="16.5703125" style="5" customWidth="1"/>
    <col min="13318" max="13318" width="15" style="5" customWidth="1"/>
    <col min="13319" max="13319" width="15.28515625" style="5" customWidth="1"/>
    <col min="13320" max="13331" width="0" style="5" hidden="1" customWidth="1"/>
    <col min="13332" max="13556" width="9.28515625" style="5" customWidth="1"/>
    <col min="13557" max="13558" width="11" style="5" bestFit="1" customWidth="1"/>
    <col min="13559" max="13559" width="19.42578125" style="5" customWidth="1"/>
    <col min="13560" max="13560" width="14" style="5" customWidth="1"/>
    <col min="13561" max="13561" width="0" style="5" hidden="1" customWidth="1"/>
    <col min="13562" max="13562" width="19.5703125" style="5" customWidth="1"/>
    <col min="13563" max="13563" width="20.7109375" style="5" customWidth="1"/>
    <col min="13564" max="13564" width="22.28515625" style="5" customWidth="1"/>
    <col min="13565" max="13565" width="0" style="5" hidden="1" customWidth="1"/>
    <col min="13566" max="13566" width="15.42578125" style="5" customWidth="1"/>
    <col min="13567" max="13567" width="16.5703125" style="5" customWidth="1"/>
    <col min="13568" max="13569" width="14" style="5" customWidth="1"/>
    <col min="13570" max="13571" width="17.5703125" style="5" customWidth="1"/>
    <col min="13572" max="13572" width="16.42578125" style="5" customWidth="1"/>
    <col min="13573" max="13573" width="16.5703125" style="5" customWidth="1"/>
    <col min="13574" max="13574" width="15" style="5" customWidth="1"/>
    <col min="13575" max="13575" width="15.28515625" style="5" customWidth="1"/>
    <col min="13576" max="13587" width="0" style="5" hidden="1" customWidth="1"/>
    <col min="13588" max="13812" width="9.28515625" style="5" customWidth="1"/>
    <col min="13813" max="13814" width="11" style="5" bestFit="1" customWidth="1"/>
    <col min="13815" max="13815" width="19.42578125" style="5" customWidth="1"/>
    <col min="13816" max="13816" width="14" style="5" customWidth="1"/>
    <col min="13817" max="13817" width="0" style="5" hidden="1" customWidth="1"/>
    <col min="13818" max="13818" width="19.5703125" style="5" customWidth="1"/>
    <col min="13819" max="13819" width="20.7109375" style="5" customWidth="1"/>
    <col min="13820" max="13820" width="22.28515625" style="5" customWidth="1"/>
    <col min="13821" max="13821" width="0" style="5" hidden="1" customWidth="1"/>
    <col min="13822" max="13822" width="15.42578125" style="5" customWidth="1"/>
    <col min="13823" max="13823" width="16.5703125" style="5" customWidth="1"/>
    <col min="13824" max="13825" width="14" style="5" customWidth="1"/>
    <col min="13826" max="13827" width="17.5703125" style="5" customWidth="1"/>
    <col min="13828" max="13828" width="16.42578125" style="5" customWidth="1"/>
    <col min="13829" max="13829" width="16.5703125" style="5" customWidth="1"/>
    <col min="13830" max="13830" width="15" style="5" customWidth="1"/>
    <col min="13831" max="13831" width="15.28515625" style="5" customWidth="1"/>
    <col min="13832" max="13843" width="0" style="5" hidden="1" customWidth="1"/>
    <col min="13844" max="14068" width="9.28515625" style="5" customWidth="1"/>
    <col min="14069" max="14070" width="11" style="5" bestFit="1" customWidth="1"/>
    <col min="14071" max="14071" width="19.42578125" style="5" customWidth="1"/>
    <col min="14072" max="14072" width="14" style="5" customWidth="1"/>
    <col min="14073" max="14073" width="0" style="5" hidden="1" customWidth="1"/>
    <col min="14074" max="14074" width="19.5703125" style="5" customWidth="1"/>
    <col min="14075" max="14075" width="20.7109375" style="5" customWidth="1"/>
    <col min="14076" max="14076" width="22.28515625" style="5" customWidth="1"/>
    <col min="14077" max="14077" width="0" style="5" hidden="1" customWidth="1"/>
    <col min="14078" max="14078" width="15.42578125" style="5" customWidth="1"/>
    <col min="14079" max="14079" width="16.5703125" style="5" customWidth="1"/>
    <col min="14080" max="14081" width="14" style="5" customWidth="1"/>
    <col min="14082" max="14083" width="17.5703125" style="5" customWidth="1"/>
    <col min="14084" max="14084" width="16.42578125" style="5" customWidth="1"/>
    <col min="14085" max="14085" width="16.5703125" style="5" customWidth="1"/>
    <col min="14086" max="14086" width="15" style="5" customWidth="1"/>
    <col min="14087" max="14087" width="15.28515625" style="5" customWidth="1"/>
    <col min="14088" max="14099" width="0" style="5" hidden="1" customWidth="1"/>
    <col min="14100" max="14324" width="9.28515625" style="5" customWidth="1"/>
    <col min="14325" max="14326" width="11" style="5" bestFit="1" customWidth="1"/>
    <col min="14327" max="14327" width="19.42578125" style="5" customWidth="1"/>
    <col min="14328" max="14328" width="14" style="5" customWidth="1"/>
    <col min="14329" max="14329" width="0" style="5" hidden="1" customWidth="1"/>
    <col min="14330" max="14330" width="19.5703125" style="5" customWidth="1"/>
    <col min="14331" max="14331" width="20.7109375" style="5" customWidth="1"/>
    <col min="14332" max="14332" width="22.28515625" style="5" customWidth="1"/>
    <col min="14333" max="14333" width="0" style="5" hidden="1" customWidth="1"/>
    <col min="14334" max="14334" width="15.42578125" style="5" customWidth="1"/>
    <col min="14335" max="14335" width="16.5703125" style="5" customWidth="1"/>
    <col min="14336" max="14337" width="14" style="5" customWidth="1"/>
    <col min="14338" max="14339" width="17.5703125" style="5" customWidth="1"/>
    <col min="14340" max="14340" width="16.42578125" style="5" customWidth="1"/>
    <col min="14341" max="14341" width="16.5703125" style="5" customWidth="1"/>
    <col min="14342" max="14342" width="15" style="5" customWidth="1"/>
    <col min="14343" max="14343" width="15.28515625" style="5" customWidth="1"/>
    <col min="14344" max="14355" width="0" style="5" hidden="1" customWidth="1"/>
    <col min="14356" max="14580" width="9.28515625" style="5" customWidth="1"/>
    <col min="14581" max="14582" width="11" style="5" bestFit="1" customWidth="1"/>
    <col min="14583" max="14583" width="19.42578125" style="5" customWidth="1"/>
    <col min="14584" max="14584" width="14" style="5" customWidth="1"/>
    <col min="14585" max="14585" width="0" style="5" hidden="1" customWidth="1"/>
    <col min="14586" max="14586" width="19.5703125" style="5" customWidth="1"/>
    <col min="14587" max="14587" width="20.7109375" style="5" customWidth="1"/>
    <col min="14588" max="14588" width="22.28515625" style="5" customWidth="1"/>
    <col min="14589" max="14589" width="0" style="5" hidden="1" customWidth="1"/>
    <col min="14590" max="14590" width="15.42578125" style="5" customWidth="1"/>
    <col min="14591" max="14591" width="16.5703125" style="5" customWidth="1"/>
    <col min="14592" max="14593" width="14" style="5" customWidth="1"/>
    <col min="14594" max="14595" width="17.5703125" style="5" customWidth="1"/>
    <col min="14596" max="14596" width="16.42578125" style="5" customWidth="1"/>
    <col min="14597" max="14597" width="16.5703125" style="5" customWidth="1"/>
    <col min="14598" max="14598" width="15" style="5" customWidth="1"/>
    <col min="14599" max="14599" width="15.28515625" style="5" customWidth="1"/>
    <col min="14600" max="14611" width="0" style="5" hidden="1" customWidth="1"/>
    <col min="14612" max="14836" width="9.28515625" style="5" customWidth="1"/>
    <col min="14837" max="14838" width="11" style="5" bestFit="1" customWidth="1"/>
    <col min="14839" max="14839" width="19.42578125" style="5" customWidth="1"/>
    <col min="14840" max="14840" width="14" style="5" customWidth="1"/>
    <col min="14841" max="14841" width="0" style="5" hidden="1" customWidth="1"/>
    <col min="14842" max="14842" width="19.5703125" style="5" customWidth="1"/>
    <col min="14843" max="14843" width="20.7109375" style="5" customWidth="1"/>
    <col min="14844" max="14844" width="22.28515625" style="5" customWidth="1"/>
    <col min="14845" max="14845" width="0" style="5" hidden="1" customWidth="1"/>
    <col min="14846" max="14846" width="15.42578125" style="5" customWidth="1"/>
    <col min="14847" max="14847" width="16.5703125" style="5" customWidth="1"/>
    <col min="14848" max="14849" width="14" style="5" customWidth="1"/>
    <col min="14850" max="14851" width="17.5703125" style="5" customWidth="1"/>
    <col min="14852" max="14852" width="16.42578125" style="5" customWidth="1"/>
    <col min="14853" max="14853" width="16.5703125" style="5" customWidth="1"/>
    <col min="14854" max="14854" width="15" style="5" customWidth="1"/>
    <col min="14855" max="14855" width="15.28515625" style="5" customWidth="1"/>
    <col min="14856" max="14867" width="0" style="5" hidden="1" customWidth="1"/>
    <col min="14868" max="15092" width="9.28515625" style="5" customWidth="1"/>
    <col min="15093" max="15094" width="11" style="5" bestFit="1" customWidth="1"/>
    <col min="15095" max="15095" width="19.42578125" style="5" customWidth="1"/>
    <col min="15096" max="15096" width="14" style="5" customWidth="1"/>
    <col min="15097" max="15097" width="0" style="5" hidden="1" customWidth="1"/>
    <col min="15098" max="15098" width="19.5703125" style="5" customWidth="1"/>
    <col min="15099" max="15099" width="20.7109375" style="5" customWidth="1"/>
    <col min="15100" max="15100" width="22.28515625" style="5" customWidth="1"/>
    <col min="15101" max="15101" width="0" style="5" hidden="1" customWidth="1"/>
    <col min="15102" max="15102" width="15.42578125" style="5" customWidth="1"/>
    <col min="15103" max="15103" width="16.5703125" style="5" customWidth="1"/>
    <col min="15104" max="15105" width="14" style="5" customWidth="1"/>
    <col min="15106" max="15107" width="17.5703125" style="5" customWidth="1"/>
    <col min="15108" max="15108" width="16.42578125" style="5" customWidth="1"/>
    <col min="15109" max="15109" width="16.5703125" style="5" customWidth="1"/>
    <col min="15110" max="15110" width="15" style="5" customWidth="1"/>
    <col min="15111" max="15111" width="15.28515625" style="5" customWidth="1"/>
    <col min="15112" max="15123" width="0" style="5" hidden="1" customWidth="1"/>
    <col min="15124" max="15348" width="9.28515625" style="5" customWidth="1"/>
    <col min="15349" max="15350" width="11" style="5" bestFit="1" customWidth="1"/>
    <col min="15351" max="15351" width="19.42578125" style="5" customWidth="1"/>
    <col min="15352" max="15352" width="14" style="5" customWidth="1"/>
    <col min="15353" max="15353" width="0" style="5" hidden="1" customWidth="1"/>
    <col min="15354" max="15354" width="19.5703125" style="5" customWidth="1"/>
    <col min="15355" max="15355" width="20.7109375" style="5" customWidth="1"/>
    <col min="15356" max="15356" width="22.28515625" style="5" customWidth="1"/>
    <col min="15357" max="15357" width="0" style="5" hidden="1" customWidth="1"/>
    <col min="15358" max="15358" width="15.42578125" style="5" customWidth="1"/>
    <col min="15359" max="15359" width="16.5703125" style="5" customWidth="1"/>
    <col min="15360" max="15361" width="14" style="5" customWidth="1"/>
    <col min="15362" max="15363" width="17.5703125" style="5" customWidth="1"/>
    <col min="15364" max="15364" width="16.42578125" style="5" customWidth="1"/>
    <col min="15365" max="15365" width="16.5703125" style="5" customWidth="1"/>
    <col min="15366" max="15366" width="15" style="5" customWidth="1"/>
    <col min="15367" max="15367" width="15.28515625" style="5" customWidth="1"/>
    <col min="15368" max="15379" width="0" style="5" hidden="1" customWidth="1"/>
    <col min="15380" max="15604" width="9.28515625" style="5" customWidth="1"/>
    <col min="15605" max="15606" width="11" style="5" bestFit="1" customWidth="1"/>
    <col min="15607" max="15607" width="19.42578125" style="5" customWidth="1"/>
    <col min="15608" max="15608" width="14" style="5" customWidth="1"/>
    <col min="15609" max="15609" width="0" style="5" hidden="1" customWidth="1"/>
    <col min="15610" max="15610" width="19.5703125" style="5" customWidth="1"/>
    <col min="15611" max="15611" width="20.7109375" style="5" customWidth="1"/>
    <col min="15612" max="15612" width="22.28515625" style="5" customWidth="1"/>
    <col min="15613" max="15613" width="0" style="5" hidden="1" customWidth="1"/>
    <col min="15614" max="15614" width="15.42578125" style="5" customWidth="1"/>
    <col min="15615" max="15615" width="16.5703125" style="5" customWidth="1"/>
    <col min="15616" max="15617" width="14" style="5" customWidth="1"/>
    <col min="15618" max="15619" width="17.5703125" style="5" customWidth="1"/>
    <col min="15620" max="15620" width="16.42578125" style="5" customWidth="1"/>
    <col min="15621" max="15621" width="16.5703125" style="5" customWidth="1"/>
    <col min="15622" max="15622" width="15" style="5" customWidth="1"/>
    <col min="15623" max="15623" width="15.28515625" style="5" customWidth="1"/>
    <col min="15624" max="15635" width="0" style="5" hidden="1" customWidth="1"/>
    <col min="15636" max="15860" width="9.28515625" style="5" customWidth="1"/>
    <col min="15861" max="15862" width="11" style="5" bestFit="1" customWidth="1"/>
    <col min="15863" max="15863" width="19.42578125" style="5" customWidth="1"/>
    <col min="15864" max="15864" width="14" style="5" customWidth="1"/>
    <col min="15865" max="15865" width="0" style="5" hidden="1" customWidth="1"/>
    <col min="15866" max="15866" width="19.5703125" style="5" customWidth="1"/>
    <col min="15867" max="15867" width="20.7109375" style="5" customWidth="1"/>
    <col min="15868" max="15868" width="22.28515625" style="5" customWidth="1"/>
    <col min="15869" max="15869" width="0" style="5" hidden="1" customWidth="1"/>
    <col min="15870" max="15870" width="15.42578125" style="5" customWidth="1"/>
    <col min="15871" max="15871" width="16.5703125" style="5" customWidth="1"/>
    <col min="15872" max="15873" width="14" style="5" customWidth="1"/>
    <col min="15874" max="15875" width="17.5703125" style="5" customWidth="1"/>
    <col min="15876" max="15876" width="16.42578125" style="5" customWidth="1"/>
    <col min="15877" max="15877" width="16.5703125" style="5" customWidth="1"/>
    <col min="15878" max="15878" width="15" style="5" customWidth="1"/>
    <col min="15879" max="15879" width="15.28515625" style="5" customWidth="1"/>
    <col min="15880" max="15891" width="0" style="5" hidden="1" customWidth="1"/>
    <col min="15892" max="16116" width="9.28515625" style="5" customWidth="1"/>
    <col min="16117" max="16118" width="11" style="5" bestFit="1" customWidth="1"/>
    <col min="16119" max="16119" width="19.42578125" style="5" customWidth="1"/>
    <col min="16120" max="16120" width="14" style="5" customWidth="1"/>
    <col min="16121" max="16121" width="0" style="5" hidden="1" customWidth="1"/>
    <col min="16122" max="16122" width="19.5703125" style="5" customWidth="1"/>
    <col min="16123" max="16123" width="20.7109375" style="5" customWidth="1"/>
    <col min="16124" max="16124" width="22.28515625" style="5" customWidth="1"/>
    <col min="16125" max="16125" width="0" style="5" hidden="1" customWidth="1"/>
    <col min="16126" max="16126" width="15.42578125" style="5" customWidth="1"/>
    <col min="16127" max="16127" width="16.5703125" style="5" customWidth="1"/>
    <col min="16128" max="16129" width="14" style="5" customWidth="1"/>
    <col min="16130" max="16131" width="17.5703125" style="5" customWidth="1"/>
    <col min="16132" max="16132" width="16.42578125" style="5" customWidth="1"/>
    <col min="16133" max="16133" width="16.5703125" style="5" customWidth="1"/>
    <col min="16134" max="16134" width="15" style="5" customWidth="1"/>
    <col min="16135" max="16135" width="15.28515625" style="5" customWidth="1"/>
    <col min="16136" max="16147" width="0" style="5" hidden="1" customWidth="1"/>
    <col min="16148" max="16372" width="9.28515625" style="5" customWidth="1"/>
    <col min="16373" max="16384" width="9.140625" style="5"/>
  </cols>
  <sheetData>
    <row r="1" spans="1:18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75" thickBot="1" x14ac:dyDescent="0.25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26.785299999999999</v>
      </c>
      <c r="K5" s="22"/>
      <c r="L5" s="142" t="s">
        <v>12</v>
      </c>
      <c r="M5" s="143"/>
      <c r="N5" s="23" t="s">
        <v>13</v>
      </c>
      <c r="O5" s="24"/>
      <c r="P5" s="24"/>
      <c r="Q5" s="25"/>
    </row>
    <row r="6" spans="1:18" ht="6.6" customHeight="1" x14ac:dyDescent="0.25">
      <c r="A6" s="132"/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5"/>
    </row>
    <row r="7" spans="1:18" s="32" customFormat="1" ht="23.45" customHeight="1" x14ac:dyDescent="0.2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">
      <c r="A9" s="35" t="s">
        <v>32</v>
      </c>
      <c r="B9" s="36" t="s">
        <v>33</v>
      </c>
      <c r="C9" s="37">
        <v>126034439</v>
      </c>
      <c r="D9" s="38">
        <f>C9*J9</f>
        <v>74344664.282274231</v>
      </c>
      <c r="E9" s="39">
        <f>C9*K9</f>
        <v>63217274.165079363</v>
      </c>
      <c r="F9" s="40" t="s">
        <v>34</v>
      </c>
      <c r="G9" s="41">
        <v>8.9894999999999996</v>
      </c>
      <c r="H9" s="42">
        <v>15.8</v>
      </c>
      <c r="I9" s="43">
        <v>15.8</v>
      </c>
      <c r="J9" s="44">
        <f>(I9/$J$5)</f>
        <v>0.58987579007888657</v>
      </c>
      <c r="K9" s="45">
        <f>I9/$K$4</f>
        <v>0.50158730158730158</v>
      </c>
      <c r="L9" s="46">
        <f>I9-H9</f>
        <v>0</v>
      </c>
      <c r="M9" s="46">
        <f>((I9-H9)/H9)*100</f>
        <v>0</v>
      </c>
      <c r="N9" s="47">
        <v>0</v>
      </c>
      <c r="O9" s="37">
        <v>0</v>
      </c>
      <c r="P9" s="48">
        <f>(R9)/J9</f>
        <v>2.5429082278481011E-2</v>
      </c>
      <c r="Q9" s="49">
        <f>I9/G9-1</f>
        <v>0.75760609600089013</v>
      </c>
      <c r="R9" s="50">
        <v>1.4999999999999999E-2</v>
      </c>
    </row>
    <row r="10" spans="1:18" x14ac:dyDescent="0.2">
      <c r="A10" s="35" t="s">
        <v>35</v>
      </c>
      <c r="B10" s="36" t="s">
        <v>36</v>
      </c>
      <c r="C10" s="37">
        <v>1627395595</v>
      </c>
      <c r="D10" s="38">
        <f>C10*J10</f>
        <v>4143630.2590973405</v>
      </c>
      <c r="E10" s="39">
        <f>C10*K10</f>
        <v>3523440.6215555556</v>
      </c>
      <c r="F10" s="40" t="s">
        <v>34</v>
      </c>
      <c r="G10" s="41">
        <v>3.1600000000000003E-2</v>
      </c>
      <c r="H10" s="42">
        <v>7.0199999999999999E-2</v>
      </c>
      <c r="I10" s="43">
        <v>6.8199999999999997E-2</v>
      </c>
      <c r="J10" s="44">
        <f>I10/$J$5</f>
        <v>2.5461727141379785E-3</v>
      </c>
      <c r="K10" s="45">
        <f>I10/$K$4</f>
        <v>2.1650793650793651E-3</v>
      </c>
      <c r="L10" s="46">
        <f>I10-H10</f>
        <v>-2.0000000000000018E-3</v>
      </c>
      <c r="M10" s="46">
        <f>((I10-H10)/H10)*100</f>
        <v>-2.8490028490028516</v>
      </c>
      <c r="N10" s="47">
        <v>12000</v>
      </c>
      <c r="O10" s="37">
        <v>818.4</v>
      </c>
      <c r="P10" s="51">
        <f>(R10)/J10</f>
        <v>0</v>
      </c>
      <c r="Q10" s="49">
        <f>I10/G10-1</f>
        <v>1.1582278481012653</v>
      </c>
      <c r="R10" s="50"/>
    </row>
    <row r="11" spans="1:18" x14ac:dyDescent="0.2">
      <c r="A11" s="35" t="s">
        <v>37</v>
      </c>
      <c r="B11" s="36" t="s">
        <v>38</v>
      </c>
      <c r="C11" s="37">
        <v>436977359</v>
      </c>
      <c r="D11" s="38">
        <f>C11*J11</f>
        <v>3589096.219941535</v>
      </c>
      <c r="E11" s="39">
        <f>C11*K11</f>
        <v>3051905.3644444444</v>
      </c>
      <c r="F11" s="40" t="s">
        <v>39</v>
      </c>
      <c r="G11" s="41">
        <v>7.8E-2</v>
      </c>
      <c r="H11" s="42">
        <v>0.22</v>
      </c>
      <c r="I11" s="43">
        <v>0.22</v>
      </c>
      <c r="J11" s="44">
        <f>I11/$J$5</f>
        <v>8.2134603681870283E-3</v>
      </c>
      <c r="K11" s="45">
        <f>I11/$K$4</f>
        <v>6.9841269841269841E-3</v>
      </c>
      <c r="L11" s="46">
        <f>I11-H11</f>
        <v>0</v>
      </c>
      <c r="M11" s="46">
        <f>((I11-H11)/H11)*100</f>
        <v>0</v>
      </c>
      <c r="N11" s="47">
        <v>0</v>
      </c>
      <c r="O11" s="37">
        <v>0</v>
      </c>
      <c r="P11" s="51">
        <f>(R11)/J11</f>
        <v>0</v>
      </c>
      <c r="Q11" s="49">
        <f>I11/G11-1</f>
        <v>1.8205128205128207</v>
      </c>
      <c r="R11" s="50"/>
    </row>
    <row r="12" spans="1:18" x14ac:dyDescent="0.2">
      <c r="A12" s="35" t="s">
        <v>40</v>
      </c>
      <c r="B12" s="36" t="s">
        <v>41</v>
      </c>
      <c r="C12" s="37">
        <v>20633517</v>
      </c>
      <c r="D12" s="38">
        <f>C12*J12</f>
        <v>146285644.67450431</v>
      </c>
      <c r="E12" s="39">
        <f>C12*K12</f>
        <v>124390631.05714285</v>
      </c>
      <c r="F12" s="40" t="s">
        <v>34</v>
      </c>
      <c r="G12" s="41">
        <v>97.381</v>
      </c>
      <c r="H12" s="42">
        <v>189.9</v>
      </c>
      <c r="I12" s="43">
        <v>189.9</v>
      </c>
      <c r="J12" s="44">
        <f>I12/$J$5</f>
        <v>7.0897096541759845</v>
      </c>
      <c r="K12" s="45">
        <f>I12/$K$4</f>
        <v>6.0285714285714285</v>
      </c>
      <c r="L12" s="46">
        <f>I12-H12</f>
        <v>0</v>
      </c>
      <c r="M12" s="46">
        <f>((I12-H12)/H12)*100</f>
        <v>0</v>
      </c>
      <c r="N12" s="47">
        <v>0</v>
      </c>
      <c r="O12" s="37">
        <v>0</v>
      </c>
      <c r="P12" s="51">
        <f>(R12)/J12</f>
        <v>0</v>
      </c>
      <c r="Q12" s="49">
        <f>I12/G12-1</f>
        <v>0.95007239605261806</v>
      </c>
      <c r="R12" s="50"/>
    </row>
    <row r="13" spans="1:18" x14ac:dyDescent="0.2">
      <c r="A13" s="35" t="s">
        <v>42</v>
      </c>
      <c r="B13" s="36" t="s">
        <v>43</v>
      </c>
      <c r="C13" s="37">
        <v>8735108</v>
      </c>
      <c r="D13" s="38">
        <f>C13*J13</f>
        <v>6196199.1092128893</v>
      </c>
      <c r="E13" s="39">
        <f>C13*K13</f>
        <v>5268795.3015873013</v>
      </c>
      <c r="F13" s="40" t="s">
        <v>44</v>
      </c>
      <c r="G13" s="41">
        <v>13.6</v>
      </c>
      <c r="H13" s="42">
        <v>19</v>
      </c>
      <c r="I13" s="43">
        <v>19</v>
      </c>
      <c r="J13" s="44">
        <f>I13/$J$5</f>
        <v>0.70934430452524333</v>
      </c>
      <c r="K13" s="45">
        <f>I13/$K$4</f>
        <v>0.60317460317460314</v>
      </c>
      <c r="L13" s="46">
        <f>I13-H13</f>
        <v>0</v>
      </c>
      <c r="M13" s="46">
        <f>((I13-H13)/H13)*100</f>
        <v>0</v>
      </c>
      <c r="N13" s="47">
        <v>0</v>
      </c>
      <c r="O13" s="37">
        <v>0</v>
      </c>
      <c r="P13" s="51">
        <f>(R13)/J13</f>
        <v>0</v>
      </c>
      <c r="Q13" s="49">
        <f>I13/G13-1</f>
        <v>0.39705882352941191</v>
      </c>
      <c r="R13" s="50"/>
    </row>
    <row r="14" spans="1:18" x14ac:dyDescent="0.2">
      <c r="A14" s="35" t="s">
        <v>45</v>
      </c>
      <c r="B14" s="36" t="s">
        <v>46</v>
      </c>
      <c r="C14" s="37">
        <v>522661465</v>
      </c>
      <c r="D14" s="38">
        <f>C14*J14</f>
        <v>780519859.77383125</v>
      </c>
      <c r="E14" s="39">
        <f>C14*K14</f>
        <v>663697098.41269839</v>
      </c>
      <c r="F14" s="40" t="s">
        <v>47</v>
      </c>
      <c r="G14" s="41">
        <v>11.5</v>
      </c>
      <c r="H14" s="42">
        <v>40</v>
      </c>
      <c r="I14" s="43">
        <v>40</v>
      </c>
      <c r="J14" s="44">
        <f>I14/$J$5</f>
        <v>1.4933564305794598</v>
      </c>
      <c r="K14" s="45">
        <f>I14/$K$4</f>
        <v>1.2698412698412698</v>
      </c>
      <c r="L14" s="46">
        <f>I14-H14</f>
        <v>0</v>
      </c>
      <c r="M14" s="46">
        <f>((I14-H14)/H14)*100</f>
        <v>0</v>
      </c>
      <c r="N14" s="47">
        <v>0</v>
      </c>
      <c r="O14" s="37">
        <v>0</v>
      </c>
      <c r="P14" s="51">
        <f>(R14)/J14</f>
        <v>0</v>
      </c>
      <c r="Q14" s="49">
        <f>I14/G14-1</f>
        <v>2.4782608695652173</v>
      </c>
      <c r="R14" s="50"/>
    </row>
    <row r="15" spans="1:18" x14ac:dyDescent="0.2">
      <c r="A15" s="35" t="s">
        <v>48</v>
      </c>
      <c r="B15" s="36" t="s">
        <v>49</v>
      </c>
      <c r="C15" s="37">
        <v>106040875</v>
      </c>
      <c r="D15" s="38">
        <f>C15*J15</f>
        <v>23753523.387828398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>I15/$J$5</f>
        <v>0.22400346458691894</v>
      </c>
      <c r="K15" s="45">
        <f>I15/$K$4</f>
        <v>0.19047619047619047</v>
      </c>
      <c r="L15" s="46">
        <f>I15-H15</f>
        <v>0</v>
      </c>
      <c r="M15" s="46">
        <f>((I15-H15)/H15)*100</f>
        <v>0</v>
      </c>
      <c r="N15" s="47">
        <v>0</v>
      </c>
      <c r="O15" s="37">
        <v>0</v>
      </c>
      <c r="P15" s="51">
        <f>(R15)/J15</f>
        <v>0</v>
      </c>
      <c r="Q15" s="49">
        <f>I15/G15-1</f>
        <v>0.1131725417439704</v>
      </c>
      <c r="R15" s="50"/>
    </row>
    <row r="16" spans="1:18" x14ac:dyDescent="0.2">
      <c r="A16" s="35" t="s">
        <v>50</v>
      </c>
      <c r="B16" s="36" t="s">
        <v>51</v>
      </c>
      <c r="C16" s="37">
        <v>358000858</v>
      </c>
      <c r="D16" s="38">
        <f>C16*J16</f>
        <v>77243410.177371755</v>
      </c>
      <c r="E16" s="39">
        <f>C16*K16</f>
        <v>65682156.019808121</v>
      </c>
      <c r="F16" s="40" t="s">
        <v>34</v>
      </c>
      <c r="G16" s="41">
        <v>1.9</v>
      </c>
      <c r="H16" s="42">
        <v>5.7792819999999994</v>
      </c>
      <c r="I16" s="43">
        <v>5.7792819999999994</v>
      </c>
      <c r="J16" s="44">
        <f>I16/$J$5</f>
        <v>0.215763198470803</v>
      </c>
      <c r="K16" s="45">
        <f>I16/$K$4</f>
        <v>0.18346926984126982</v>
      </c>
      <c r="L16" s="46">
        <f>I16-H16</f>
        <v>0</v>
      </c>
      <c r="M16" s="46">
        <f>((I16-H16)/H16)*100</f>
        <v>0</v>
      </c>
      <c r="N16" s="47">
        <v>0</v>
      </c>
      <c r="O16" s="37">
        <v>0</v>
      </c>
      <c r="P16" s="51">
        <f>(R16)/J16</f>
        <v>0</v>
      </c>
      <c r="Q16" s="49">
        <f>I16/G16-1</f>
        <v>2.0417273684210526</v>
      </c>
      <c r="R16" s="50"/>
    </row>
    <row r="17" spans="1:19" x14ac:dyDescent="0.2">
      <c r="A17" s="35" t="s">
        <v>52</v>
      </c>
      <c r="B17" s="36" t="s">
        <v>53</v>
      </c>
      <c r="C17" s="37">
        <v>1347762995</v>
      </c>
      <c r="D17" s="38">
        <f>C17*J17</f>
        <v>1541499554.2189932</v>
      </c>
      <c r="E17" s="39">
        <f>C17*K17</f>
        <v>1310778666.972127</v>
      </c>
      <c r="F17" s="40" t="s">
        <v>34</v>
      </c>
      <c r="G17" s="41">
        <v>20.701700000000002</v>
      </c>
      <c r="H17" s="42">
        <v>30.280421999999998</v>
      </c>
      <c r="I17" s="43">
        <v>30.6356</v>
      </c>
      <c r="J17" s="44">
        <f>I17/$J$5</f>
        <v>1.1437467566165023</v>
      </c>
      <c r="K17" s="45">
        <f>I17/$K$4</f>
        <v>0.97255873015873018</v>
      </c>
      <c r="L17" s="46">
        <f>I17-H17</f>
        <v>0.35517800000000221</v>
      </c>
      <c r="M17" s="46">
        <f>((I17-H17)/H17)*100</f>
        <v>1.1729625168367939</v>
      </c>
      <c r="N17" s="47">
        <v>101300</v>
      </c>
      <c r="O17" s="37">
        <v>3103382.6</v>
      </c>
      <c r="P17" s="48">
        <f>(R17)/J17</f>
        <v>4.3715970961887479E-2</v>
      </c>
      <c r="Q17" s="49">
        <f>I17/G17-1</f>
        <v>0.47985914200283042</v>
      </c>
      <c r="R17" s="50">
        <v>0.05</v>
      </c>
      <c r="S17" s="52"/>
    </row>
    <row r="18" spans="1:19" hidden="1" x14ac:dyDescent="0.2">
      <c r="A18" s="35" t="s">
        <v>54</v>
      </c>
      <c r="B18" s="36" t="s">
        <v>55</v>
      </c>
      <c r="C18" s="37">
        <v>671949927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">
      <c r="A19" s="35" t="s">
        <v>58</v>
      </c>
      <c r="B19" s="36" t="s">
        <v>59</v>
      </c>
      <c r="C19" s="37">
        <v>671949927</v>
      </c>
      <c r="D19" s="38">
        <f>C19*J19</f>
        <v>250865186.12821215</v>
      </c>
      <c r="E19" s="39">
        <f>C19*K19</f>
        <v>213317437.14285713</v>
      </c>
      <c r="F19" s="40" t="s">
        <v>47</v>
      </c>
      <c r="G19" s="41">
        <v>12.45</v>
      </c>
      <c r="H19" s="42">
        <v>9</v>
      </c>
      <c r="I19" s="43">
        <v>10</v>
      </c>
      <c r="J19" s="44">
        <f>I19/$J$5</f>
        <v>0.37333910764486494</v>
      </c>
      <c r="K19" s="45">
        <f>I19/$K$4</f>
        <v>0.31746031746031744</v>
      </c>
      <c r="L19" s="46">
        <f>I19-H19</f>
        <v>1</v>
      </c>
      <c r="M19" s="46">
        <f>((I19-H19)/H19)*100</f>
        <v>11.111111111111111</v>
      </c>
      <c r="N19" s="47">
        <v>100</v>
      </c>
      <c r="O19" s="37">
        <v>1000</v>
      </c>
      <c r="P19" s="51">
        <f>(R19)/J19</f>
        <v>0</v>
      </c>
      <c r="Q19" s="49">
        <f>I19/G19-1</f>
        <v>-0.19678714859437751</v>
      </c>
      <c r="R19" s="50"/>
    </row>
    <row r="20" spans="1:19" x14ac:dyDescent="0.2">
      <c r="A20" s="35" t="s">
        <v>60</v>
      </c>
      <c r="B20" s="36" t="s">
        <v>61</v>
      </c>
      <c r="C20" s="37">
        <v>108923291</v>
      </c>
      <c r="D20" s="38">
        <f>C20*J20</f>
        <v>2846572.6984577361</v>
      </c>
      <c r="E20" s="39">
        <f>C20*K20</f>
        <v>2420517.5777777773</v>
      </c>
      <c r="F20" s="40" t="s">
        <v>47</v>
      </c>
      <c r="G20" s="41">
        <v>0.35</v>
      </c>
      <c r="H20" s="42">
        <v>0.7</v>
      </c>
      <c r="I20" s="43">
        <v>0.7</v>
      </c>
      <c r="J20" s="44">
        <f>I20/$J$5</f>
        <v>2.6133737535140544E-2</v>
      </c>
      <c r="K20" s="45">
        <f>I20/$K$4</f>
        <v>2.222222222222222E-2</v>
      </c>
      <c r="L20" s="46">
        <f>I20-H20</f>
        <v>0</v>
      </c>
      <c r="M20" s="46">
        <f>((I20-H20)/H20)*100</f>
        <v>0</v>
      </c>
      <c r="N20" s="47">
        <v>0</v>
      </c>
      <c r="O20" s="37">
        <v>0</v>
      </c>
      <c r="P20" s="51">
        <f>(R20)/J20</f>
        <v>0</v>
      </c>
      <c r="Q20" s="49">
        <f>I20/G20-1</f>
        <v>1</v>
      </c>
      <c r="R20" s="50"/>
    </row>
    <row r="21" spans="1:19" x14ac:dyDescent="0.2">
      <c r="A21" s="35" t="s">
        <v>62</v>
      </c>
      <c r="B21" s="36" t="s">
        <v>63</v>
      </c>
      <c r="C21" s="37">
        <v>690143060</v>
      </c>
      <c r="D21" s="38">
        <f>C21*J21</f>
        <v>83738653.104501352</v>
      </c>
      <c r="E21" s="39">
        <f>C21*K21</f>
        <v>71205236.349206343</v>
      </c>
      <c r="F21" s="40" t="s">
        <v>47</v>
      </c>
      <c r="G21" s="41">
        <v>2.85</v>
      </c>
      <c r="H21" s="42">
        <v>3.2799339999999999</v>
      </c>
      <c r="I21" s="43">
        <v>3.25</v>
      </c>
      <c r="J21" s="44">
        <f>I21/$J$5</f>
        <v>0.1213352099845811</v>
      </c>
      <c r="K21" s="45">
        <f>I21/$K$4</f>
        <v>0.10317460317460317</v>
      </c>
      <c r="L21" s="46">
        <f>I21-H21</f>
        <v>-2.9933999999999905E-2</v>
      </c>
      <c r="M21" s="46">
        <f>((I21-H21)/H21)*100</f>
        <v>-0.91264031532341527</v>
      </c>
      <c r="N21" s="47">
        <v>700</v>
      </c>
      <c r="O21" s="37">
        <v>2275</v>
      </c>
      <c r="P21" s="51">
        <f>(R21)/J21</f>
        <v>0</v>
      </c>
      <c r="Q21" s="49">
        <f>I21/G21-1</f>
        <v>0.14035087719298245</v>
      </c>
      <c r="R21" s="50"/>
    </row>
    <row r="22" spans="1:19" hidden="1" x14ac:dyDescent="0.2">
      <c r="A22" s="35" t="s">
        <v>64</v>
      </c>
      <c r="B22" s="36" t="s">
        <v>65</v>
      </c>
      <c r="C22" s="37">
        <v>193020564</v>
      </c>
      <c r="D22" s="38">
        <f>C22*J22</f>
        <v>0</v>
      </c>
      <c r="E22" s="39">
        <f>C22*K22</f>
        <v>0</v>
      </c>
      <c r="F22" s="40" t="s">
        <v>66</v>
      </c>
      <c r="G22" s="41">
        <v>0.88420599999999994</v>
      </c>
      <c r="H22" s="42">
        <v>0.99</v>
      </c>
      <c r="I22" s="43"/>
      <c r="J22" s="44">
        <f>I22/$J$5</f>
        <v>0</v>
      </c>
      <c r="K22" s="45">
        <f>I22/$K$4</f>
        <v>0</v>
      </c>
      <c r="L22" s="46">
        <f>I22-H22</f>
        <v>-0.99</v>
      </c>
      <c r="M22" s="46">
        <f>((I22-H22)/H22)*100</f>
        <v>-100</v>
      </c>
      <c r="N22" s="53" t="s">
        <v>57</v>
      </c>
      <c r="O22" s="53" t="s">
        <v>57</v>
      </c>
      <c r="P22" s="53" t="s">
        <v>67</v>
      </c>
      <c r="Q22" s="49">
        <f>I22/G22-1</f>
        <v>-1</v>
      </c>
      <c r="R22" s="50"/>
    </row>
    <row r="23" spans="1:19" x14ac:dyDescent="0.2">
      <c r="A23" s="35" t="s">
        <v>68</v>
      </c>
      <c r="B23" s="36" t="s">
        <v>69</v>
      </c>
      <c r="C23" s="37">
        <v>536588623</v>
      </c>
      <c r="D23" s="38">
        <f>C23*J23</f>
        <v>2464053.0675034444</v>
      </c>
      <c r="E23" s="39">
        <f>C23*K23</f>
        <v>2095250.8136190479</v>
      </c>
      <c r="F23" s="40" t="s">
        <v>44</v>
      </c>
      <c r="G23" s="41">
        <v>0.1</v>
      </c>
      <c r="H23" s="42">
        <v>0.12300000000000001</v>
      </c>
      <c r="I23" s="43">
        <v>0.12300000000000001</v>
      </c>
      <c r="J23" s="44">
        <f>I23/$J$5</f>
        <v>4.5920710240318387E-3</v>
      </c>
      <c r="K23" s="45">
        <f>I23/$K$4</f>
        <v>3.9047619047619052E-3</v>
      </c>
      <c r="L23" s="46">
        <f>I23-H23</f>
        <v>0</v>
      </c>
      <c r="M23" s="46">
        <f>((I23-H23)/H23)*100</f>
        <v>0</v>
      </c>
      <c r="N23" s="47">
        <v>0</v>
      </c>
      <c r="O23" s="37">
        <v>0</v>
      </c>
      <c r="P23" s="51">
        <f>(R23)/J23</f>
        <v>0</v>
      </c>
      <c r="Q23" s="49">
        <f>I23/G23-1</f>
        <v>0.22999999999999998</v>
      </c>
      <c r="R23" s="50"/>
    </row>
    <row r="24" spans="1:19" x14ac:dyDescent="0.2">
      <c r="A24" s="35" t="s">
        <v>70</v>
      </c>
      <c r="B24" s="36" t="s">
        <v>71</v>
      </c>
      <c r="C24" s="37">
        <v>193020564</v>
      </c>
      <c r="D24" s="38">
        <f>C24*J24</f>
        <v>79268337.632955387</v>
      </c>
      <c r="E24" s="39">
        <f>C24*K24</f>
        <v>67404006.476190478</v>
      </c>
      <c r="F24" s="40" t="s">
        <v>34</v>
      </c>
      <c r="G24" s="41">
        <v>8.1687659999999997</v>
      </c>
      <c r="H24" s="42">
        <v>11</v>
      </c>
      <c r="I24" s="43">
        <v>11</v>
      </c>
      <c r="J24" s="44">
        <f>I24/$J$5</f>
        <v>0.41067301840935139</v>
      </c>
      <c r="K24" s="45">
        <f>I24/$K$4</f>
        <v>0.34920634920634919</v>
      </c>
      <c r="L24" s="46">
        <f>I24-H24</f>
        <v>0</v>
      </c>
      <c r="M24" s="46">
        <f>((I24-H24)/H24)*100</f>
        <v>0</v>
      </c>
      <c r="N24" s="47">
        <v>0</v>
      </c>
      <c r="O24" s="37">
        <v>0</v>
      </c>
      <c r="P24" s="51">
        <f>(R24)/J24</f>
        <v>0</v>
      </c>
      <c r="Q24" s="49">
        <f>I24/G24-1</f>
        <v>0.34659261876273595</v>
      </c>
      <c r="R24" s="50"/>
      <c r="S24" s="5" t="s">
        <v>72</v>
      </c>
    </row>
    <row r="25" spans="1:19" x14ac:dyDescent="0.2">
      <c r="A25" s="35" t="s">
        <v>73</v>
      </c>
      <c r="B25" s="36" t="s">
        <v>74</v>
      </c>
      <c r="C25" s="37">
        <v>1687584009</v>
      </c>
      <c r="D25" s="38">
        <f>C25*J25</f>
        <v>111674786.3922562</v>
      </c>
      <c r="E25" s="39">
        <f>C25*K25</f>
        <v>94960084.315952376</v>
      </c>
      <c r="F25" s="40" t="s">
        <v>66</v>
      </c>
      <c r="G25" s="41">
        <v>1.6675</v>
      </c>
      <c r="H25" s="42">
        <v>1.75</v>
      </c>
      <c r="I25" s="43">
        <v>1.7725</v>
      </c>
      <c r="J25" s="44">
        <f>I25/$J$5</f>
        <v>6.6174356830052308E-2</v>
      </c>
      <c r="K25" s="45">
        <f>I25/$K$4</f>
        <v>5.6269841269841268E-2</v>
      </c>
      <c r="L25" s="46">
        <f>I25-H25</f>
        <v>2.2499999999999964E-2</v>
      </c>
      <c r="M25" s="46">
        <f>((I25-H25)/H25)*100</f>
        <v>1.2857142857142836</v>
      </c>
      <c r="N25" s="47">
        <v>100</v>
      </c>
      <c r="O25" s="37">
        <v>177.25</v>
      </c>
      <c r="P25" s="51">
        <f>(R25)/J25</f>
        <v>0</v>
      </c>
      <c r="Q25" s="49">
        <f>I25/G25-1</f>
        <v>6.2968515742128917E-2</v>
      </c>
      <c r="R25" s="50"/>
    </row>
    <row r="26" spans="1:19" x14ac:dyDescent="0.2">
      <c r="A26" s="35" t="s">
        <v>75</v>
      </c>
      <c r="B26" s="36" t="s">
        <v>76</v>
      </c>
      <c r="C26" s="37">
        <v>239388107</v>
      </c>
      <c r="D26" s="38">
        <f>C26*J26</f>
        <v>26808003.888758458</v>
      </c>
      <c r="E26" s="39">
        <f>C26*K26</f>
        <v>22795569.097192444</v>
      </c>
      <c r="F26" s="40" t="s">
        <v>44</v>
      </c>
      <c r="G26" s="41">
        <v>1.7994999999999999</v>
      </c>
      <c r="H26" s="42">
        <v>3</v>
      </c>
      <c r="I26" s="43">
        <v>2.9995659999999997</v>
      </c>
      <c r="J26" s="44">
        <f>I26/$J$5</f>
        <v>0.11198552937618768</v>
      </c>
      <c r="K26" s="45">
        <f>I26/$K$4</f>
        <v>9.5224317460317454E-2</v>
      </c>
      <c r="L26" s="46">
        <f>I26-H26</f>
        <v>-4.3400000000026751E-4</v>
      </c>
      <c r="M26" s="46">
        <f>((I26-H26)/H26)*100</f>
        <v>-1.4466666666675584E-2</v>
      </c>
      <c r="N26" s="47">
        <v>3800</v>
      </c>
      <c r="O26" s="37">
        <v>11398.35</v>
      </c>
      <c r="P26" s="51">
        <f>(R26)/J26</f>
        <v>0</v>
      </c>
      <c r="Q26" s="49">
        <f>I26/G26-1</f>
        <v>0.66688858016115593</v>
      </c>
      <c r="R26" s="50"/>
    </row>
    <row r="27" spans="1:19" x14ac:dyDescent="0.2">
      <c r="A27" s="35" t="s">
        <v>77</v>
      </c>
      <c r="B27" s="36" t="s">
        <v>78</v>
      </c>
      <c r="C27" s="37">
        <v>256150741</v>
      </c>
      <c r="D27" s="38">
        <f>C27*J27</f>
        <v>23907772.266877729</v>
      </c>
      <c r="E27" s="39">
        <f>C27*K27</f>
        <v>20329423.888888888</v>
      </c>
      <c r="F27" s="40" t="s">
        <v>34</v>
      </c>
      <c r="G27" s="41">
        <v>3.1361369999999997</v>
      </c>
      <c r="H27" s="42">
        <v>2.5</v>
      </c>
      <c r="I27" s="43">
        <v>2.5</v>
      </c>
      <c r="J27" s="44">
        <f>I27/$J$5</f>
        <v>9.3334776911216236E-2</v>
      </c>
      <c r="K27" s="45">
        <f>I27/$K$4</f>
        <v>7.9365079365079361E-2</v>
      </c>
      <c r="L27" s="46">
        <f>I27-H27</f>
        <v>0</v>
      </c>
      <c r="M27" s="46">
        <f>((I27-H27)/H27)*100</f>
        <v>0</v>
      </c>
      <c r="N27" s="47">
        <v>12500</v>
      </c>
      <c r="O27" s="37">
        <v>31250</v>
      </c>
      <c r="P27" s="51">
        <f>(R27)/J27</f>
        <v>0</v>
      </c>
      <c r="Q27" s="49">
        <f>I27/G27-1</f>
        <v>-0.20284094731830904</v>
      </c>
      <c r="R27" s="50"/>
    </row>
    <row r="28" spans="1:19" x14ac:dyDescent="0.2">
      <c r="A28" s="35" t="s">
        <v>79</v>
      </c>
      <c r="B28" s="36" t="s">
        <v>80</v>
      </c>
      <c r="C28" s="37">
        <v>755648101</v>
      </c>
      <c r="D28" s="38">
        <f>C28*J28</f>
        <v>24261716.943995401</v>
      </c>
      <c r="E28" s="39">
        <f>C28*K28</f>
        <v>20630392.598730158</v>
      </c>
      <c r="F28" s="40" t="s">
        <v>44</v>
      </c>
      <c r="G28" s="41">
        <v>0.8</v>
      </c>
      <c r="H28" s="42">
        <v>0.86</v>
      </c>
      <c r="I28" s="43">
        <v>0.86</v>
      </c>
      <c r="J28" s="44">
        <f>I28/$J$5</f>
        <v>3.2107163257458382E-2</v>
      </c>
      <c r="K28" s="45">
        <f>I28/$K$4</f>
        <v>2.7301587301587302E-2</v>
      </c>
      <c r="L28" s="46">
        <f>I28-H28</f>
        <v>0</v>
      </c>
      <c r="M28" s="46">
        <f>((I28-H28)/H28)*100</f>
        <v>0</v>
      </c>
      <c r="N28" s="47">
        <v>100</v>
      </c>
      <c r="O28" s="37">
        <v>86</v>
      </c>
      <c r="P28" s="51">
        <f>(R28)/J28</f>
        <v>0</v>
      </c>
      <c r="Q28" s="49">
        <f>I28/G28-1</f>
        <v>7.4999999999999956E-2</v>
      </c>
      <c r="R28" s="50"/>
    </row>
    <row r="29" spans="1:19" x14ac:dyDescent="0.2">
      <c r="A29" s="35" t="s">
        <v>81</v>
      </c>
      <c r="B29" s="36" t="s">
        <v>82</v>
      </c>
      <c r="C29" s="37">
        <v>449129618</v>
      </c>
      <c r="D29" s="38">
        <f>C29*J29</f>
        <v>93899484.448559478</v>
      </c>
      <c r="E29" s="39">
        <f>C29*K29</f>
        <v>79845265.422222212</v>
      </c>
      <c r="F29" s="40" t="s">
        <v>47</v>
      </c>
      <c r="G29" s="41">
        <v>5.15</v>
      </c>
      <c r="H29" s="42">
        <v>5.6</v>
      </c>
      <c r="I29" s="43">
        <v>5.6</v>
      </c>
      <c r="J29" s="44">
        <f>I29/$J$5</f>
        <v>0.20906990028112435</v>
      </c>
      <c r="K29" s="45">
        <f>I29/$K$4</f>
        <v>0.17777777777777776</v>
      </c>
      <c r="L29" s="46">
        <f>I29-H29</f>
        <v>0</v>
      </c>
      <c r="M29" s="46">
        <f>((I29-H29)/H29)*100</f>
        <v>0</v>
      </c>
      <c r="N29" s="47">
        <v>100</v>
      </c>
      <c r="O29" s="37">
        <v>560</v>
      </c>
      <c r="P29" s="51">
        <f>(R29)/J29</f>
        <v>0</v>
      </c>
      <c r="Q29" s="49">
        <f>I29/G29-1</f>
        <v>8.737864077669899E-2</v>
      </c>
      <c r="R29" s="50"/>
    </row>
    <row r="30" spans="1:19" hidden="1" x14ac:dyDescent="0.2">
      <c r="A30" s="35"/>
      <c r="B30" s="36" t="s">
        <v>83</v>
      </c>
      <c r="C30" s="37"/>
      <c r="D30" s="38"/>
      <c r="E30" s="39"/>
      <c r="F30" s="40"/>
      <c r="G30" s="41"/>
      <c r="H30" s="42"/>
      <c r="I30" s="43"/>
      <c r="J30" s="44"/>
      <c r="K30" s="45"/>
      <c r="L30" s="46"/>
      <c r="M30" s="46"/>
      <c r="N30" s="47"/>
      <c r="O30" s="37"/>
      <c r="P30" s="51"/>
      <c r="Q30" s="49"/>
      <c r="R30" s="50"/>
    </row>
    <row r="31" spans="1:19" hidden="1" x14ac:dyDescent="0.2">
      <c r="A31" s="35" t="s">
        <v>84</v>
      </c>
      <c r="B31" s="36" t="s">
        <v>85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1">
        <v>0</v>
      </c>
      <c r="I31" s="54"/>
      <c r="J31" s="55">
        <f>I31/$J$5</f>
        <v>0</v>
      </c>
      <c r="K31" s="56">
        <f>I31/$K$4</f>
        <v>0</v>
      </c>
      <c r="L31" s="46">
        <v>0</v>
      </c>
      <c r="M31" s="46">
        <v>0</v>
      </c>
      <c r="N31" s="53" t="s">
        <v>57</v>
      </c>
      <c r="O31" s="53" t="s">
        <v>57</v>
      </c>
      <c r="P31" s="53" t="s">
        <v>86</v>
      </c>
      <c r="Q31" s="49">
        <v>0</v>
      </c>
      <c r="R31" s="50"/>
    </row>
    <row r="32" spans="1:19" x14ac:dyDescent="0.2">
      <c r="A32" s="35" t="s">
        <v>87</v>
      </c>
      <c r="B32" s="36" t="s">
        <v>88</v>
      </c>
      <c r="C32" s="37">
        <v>259866270</v>
      </c>
      <c r="D32" s="38">
        <f>C32*J32</f>
        <v>12127280.168599943</v>
      </c>
      <c r="E32" s="39">
        <f>C32*K32</f>
        <v>10312153.571428571</v>
      </c>
      <c r="F32" s="40" t="s">
        <v>39</v>
      </c>
      <c r="G32" s="41">
        <v>1.4</v>
      </c>
      <c r="H32" s="42">
        <v>1.1968349999999999</v>
      </c>
      <c r="I32" s="43">
        <v>1.25</v>
      </c>
      <c r="J32" s="44">
        <f>I32/$J$5</f>
        <v>4.6667388455608118E-2</v>
      </c>
      <c r="K32" s="45">
        <f>I32/$K$4</f>
        <v>3.968253968253968E-2</v>
      </c>
      <c r="L32" s="46">
        <f>I32-H32</f>
        <v>5.3165000000000129E-2</v>
      </c>
      <c r="M32" s="46">
        <f>((I32-H32)/H32)*100</f>
        <v>4.4421327919053279</v>
      </c>
      <c r="N32" s="47">
        <v>100</v>
      </c>
      <c r="O32" s="37">
        <v>125</v>
      </c>
      <c r="P32" s="51">
        <f>(R32)/J32</f>
        <v>0</v>
      </c>
      <c r="Q32" s="49">
        <f>I32/G32-1</f>
        <v>-0.1071428571428571</v>
      </c>
      <c r="R32" s="50"/>
    </row>
    <row r="33" spans="1:18" x14ac:dyDescent="0.2">
      <c r="A33" s="35" t="s">
        <v>89</v>
      </c>
      <c r="B33" s="36" t="s">
        <v>90</v>
      </c>
      <c r="C33" s="37">
        <v>122029470</v>
      </c>
      <c r="D33" s="38">
        <f>C33*J33</f>
        <v>3872461.7420749441</v>
      </c>
      <c r="E33" s="39">
        <f>C33*K33</f>
        <v>3292858.7142857141</v>
      </c>
      <c r="F33" s="40" t="s">
        <v>39</v>
      </c>
      <c r="G33" s="41">
        <v>0.65</v>
      </c>
      <c r="H33" s="42">
        <v>0.85</v>
      </c>
      <c r="I33" s="43">
        <v>0.85</v>
      </c>
      <c r="J33" s="44">
        <f>I33/$J$5</f>
        <v>3.1733824149813517E-2</v>
      </c>
      <c r="K33" s="45">
        <f>I33/$K$4</f>
        <v>2.6984126984126982E-2</v>
      </c>
      <c r="L33" s="46">
        <f>I33-H33</f>
        <v>0</v>
      </c>
      <c r="M33" s="46">
        <f>((I33-H33)/H33)*100</f>
        <v>0</v>
      </c>
      <c r="N33" s="47">
        <v>0</v>
      </c>
      <c r="O33" s="37">
        <v>0</v>
      </c>
      <c r="P33" s="51">
        <f>(R33)/J33</f>
        <v>0</v>
      </c>
      <c r="Q33" s="49">
        <f>I33/G33-1</f>
        <v>0.30769230769230771</v>
      </c>
      <c r="R33" s="50"/>
    </row>
    <row r="34" spans="1:18" x14ac:dyDescent="0.2">
      <c r="A34" s="35" t="s">
        <v>91</v>
      </c>
      <c r="B34" s="36" t="s">
        <v>92</v>
      </c>
      <c r="C34" s="37">
        <v>2495495543</v>
      </c>
      <c r="D34" s="38">
        <f>C34*J34</f>
        <v>116458259.89441971</v>
      </c>
      <c r="E34" s="39">
        <f>C34*K34</f>
        <v>99027600.912698403</v>
      </c>
      <c r="F34" s="40" t="s">
        <v>93</v>
      </c>
      <c r="G34" s="41">
        <v>1.44</v>
      </c>
      <c r="H34" s="42">
        <v>1.25</v>
      </c>
      <c r="I34" s="43">
        <v>1.25</v>
      </c>
      <c r="J34" s="44">
        <f>I34/$J$5</f>
        <v>4.6667388455608118E-2</v>
      </c>
      <c r="K34" s="45">
        <f>I34/$K$4</f>
        <v>3.968253968253968E-2</v>
      </c>
      <c r="L34" s="46">
        <f>I34-H34</f>
        <v>0</v>
      </c>
      <c r="M34" s="46">
        <f>((I34-H34)/H34)*100</f>
        <v>0</v>
      </c>
      <c r="N34" s="47">
        <v>5000</v>
      </c>
      <c r="O34" s="37">
        <v>6250</v>
      </c>
      <c r="P34" s="51">
        <f>(R34)/J34</f>
        <v>0</v>
      </c>
      <c r="Q34" s="49">
        <f>I34/G34-1</f>
        <v>-0.13194444444444442</v>
      </c>
      <c r="R34" s="50"/>
    </row>
    <row r="35" spans="1:18" x14ac:dyDescent="0.2">
      <c r="A35" s="35" t="s">
        <v>94</v>
      </c>
      <c r="B35" s="36" t="s">
        <v>95</v>
      </c>
      <c r="C35" s="37">
        <v>253492983</v>
      </c>
      <c r="D35" s="38">
        <f>C35*J35</f>
        <v>43652166.826113582</v>
      </c>
      <c r="E35" s="39">
        <f>C35*K35</f>
        <v>37118615.367857143</v>
      </c>
      <c r="F35" s="40" t="s">
        <v>34</v>
      </c>
      <c r="G35" s="41">
        <v>3.6056249999999999</v>
      </c>
      <c r="H35" s="42">
        <v>4.6124999999999998</v>
      </c>
      <c r="I35" s="43">
        <v>4.6124999999999998</v>
      </c>
      <c r="J35" s="44">
        <f>I35/$J$5</f>
        <v>0.17220266340119394</v>
      </c>
      <c r="K35" s="45">
        <f>I35/$K$4</f>
        <v>0.14642857142857144</v>
      </c>
      <c r="L35" s="46">
        <f>I35-H35</f>
        <v>0</v>
      </c>
      <c r="M35" s="46">
        <f>((I35-H35)/H35)*100</f>
        <v>0</v>
      </c>
      <c r="N35" s="47">
        <v>0</v>
      </c>
      <c r="O35" s="37">
        <v>0</v>
      </c>
      <c r="P35" s="51">
        <f>(R35)/J35</f>
        <v>0</v>
      </c>
      <c r="Q35" s="49">
        <f>I35/G35-1</f>
        <v>0.27925117004680189</v>
      </c>
      <c r="R35" s="50"/>
    </row>
    <row r="36" spans="1:18" x14ac:dyDescent="0.2">
      <c r="A36" s="35" t="s">
        <v>96</v>
      </c>
      <c r="B36" s="36" t="s">
        <v>97</v>
      </c>
      <c r="C36" s="37">
        <v>4715084056</v>
      </c>
      <c r="D36" s="38">
        <f>C36*J36</f>
        <v>8085702.0807774421</v>
      </c>
      <c r="E36" s="39">
        <f>C36*K36</f>
        <v>6875490.664896762</v>
      </c>
      <c r="F36" s="40" t="s">
        <v>34</v>
      </c>
      <c r="G36" s="41">
        <v>2.5099999999999997E-2</v>
      </c>
      <c r="H36" s="42">
        <v>4.4320999999999999E-2</v>
      </c>
      <c r="I36" s="43">
        <v>4.5933000000000002E-2</v>
      </c>
      <c r="J36" s="44">
        <f>I36/$J$5</f>
        <v>1.7148585231451581E-3</v>
      </c>
      <c r="K36" s="45">
        <f>I36/$K$4</f>
        <v>1.4581904761904762E-3</v>
      </c>
      <c r="L36" s="46">
        <f>I36-H36</f>
        <v>1.6120000000000023E-3</v>
      </c>
      <c r="M36" s="46">
        <f>((I36-H36)/H36)*100</f>
        <v>3.6371020509465093</v>
      </c>
      <c r="N36" s="47">
        <v>8300</v>
      </c>
      <c r="O36" s="37">
        <v>381.24</v>
      </c>
      <c r="P36" s="51">
        <f>(R36)/J36</f>
        <v>0</v>
      </c>
      <c r="Q36" s="49">
        <f>I36/G36-1</f>
        <v>0.83000000000000029</v>
      </c>
      <c r="R36" s="50"/>
    </row>
    <row r="37" spans="1:18" x14ac:dyDescent="0.2">
      <c r="A37" s="35" t="s">
        <v>98</v>
      </c>
      <c r="B37" s="36" t="s">
        <v>99</v>
      </c>
      <c r="C37" s="37">
        <v>525090993</v>
      </c>
      <c r="D37" s="38">
        <f>C37*J37</f>
        <v>70428116.385287791</v>
      </c>
      <c r="E37" s="39">
        <f>C37*K37</f>
        <v>59886927.803645998</v>
      </c>
      <c r="F37" s="40" t="s">
        <v>93</v>
      </c>
      <c r="G37" s="41">
        <v>0.61</v>
      </c>
      <c r="H37" s="42">
        <v>3.6</v>
      </c>
      <c r="I37" s="43">
        <v>3.5925929999999999</v>
      </c>
      <c r="J37" s="44">
        <f>I37/$J$5</f>
        <v>0.13412554647511882</v>
      </c>
      <c r="K37" s="45">
        <f>I37/$K$4</f>
        <v>0.11405057142857143</v>
      </c>
      <c r="L37" s="46">
        <f>I37-H37</f>
        <v>-7.4070000000001635E-3</v>
      </c>
      <c r="M37" s="46">
        <f>((I37-H37)/H37)*100</f>
        <v>-0.20575000000000454</v>
      </c>
      <c r="N37" s="47">
        <v>2700</v>
      </c>
      <c r="O37" s="37">
        <v>9700</v>
      </c>
      <c r="P37" s="51">
        <f>(R37)/J37</f>
        <v>0</v>
      </c>
      <c r="Q37" s="49">
        <f>I37/G37-1</f>
        <v>4.8894967213114757</v>
      </c>
      <c r="R37" s="50"/>
    </row>
    <row r="38" spans="1:18" x14ac:dyDescent="0.2">
      <c r="A38" s="35" t="s">
        <v>100</v>
      </c>
      <c r="B38" s="36" t="s">
        <v>101</v>
      </c>
      <c r="C38" s="37">
        <v>4194797929</v>
      </c>
      <c r="D38" s="38">
        <f>C38*J38</f>
        <v>32084480.90975868</v>
      </c>
      <c r="E38" s="39">
        <f>C38*K38</f>
        <v>27282299.889274891</v>
      </c>
      <c r="F38" s="40" t="s">
        <v>56</v>
      </c>
      <c r="G38" s="41">
        <v>0.11650199999999999</v>
      </c>
      <c r="H38" s="42">
        <v>0.204594</v>
      </c>
      <c r="I38" s="43">
        <v>0.20487100000000003</v>
      </c>
      <c r="J38" s="44">
        <f>I38/$J$5</f>
        <v>7.6486356322311129E-3</v>
      </c>
      <c r="K38" s="45">
        <f>I38/$K$4</f>
        <v>6.5038412698412706E-3</v>
      </c>
      <c r="L38" s="46">
        <f>I38-H38</f>
        <v>2.7700000000002722E-4</v>
      </c>
      <c r="M38" s="46">
        <f>((I38-H38)/H38)*100</f>
        <v>0.13539008964096075</v>
      </c>
      <c r="N38" s="47">
        <v>3100</v>
      </c>
      <c r="O38" s="37">
        <v>635.1</v>
      </c>
      <c r="P38" s="51">
        <v>0</v>
      </c>
      <c r="Q38" s="49">
        <f>I38/G38-1</f>
        <v>0.75851916705292632</v>
      </c>
      <c r="R38" s="50"/>
    </row>
    <row r="39" spans="1:18" x14ac:dyDescent="0.2">
      <c r="A39" s="35" t="s">
        <v>102</v>
      </c>
      <c r="B39" s="36" t="s">
        <v>103</v>
      </c>
      <c r="C39" s="37">
        <v>4315726499</v>
      </c>
      <c r="D39" s="38">
        <f>C39*J39</f>
        <v>18529783.511515498</v>
      </c>
      <c r="E39" s="39">
        <f>C39*K39</f>
        <v>15756374.929872891</v>
      </c>
      <c r="F39" s="40" t="s">
        <v>39</v>
      </c>
      <c r="G39" s="41">
        <v>0.1</v>
      </c>
      <c r="H39" s="42">
        <v>0.11500400000000001</v>
      </c>
      <c r="I39" s="43">
        <v>0.11500400000000001</v>
      </c>
      <c r="J39" s="44">
        <f>I39/$J$5</f>
        <v>4.293549073559005E-3</v>
      </c>
      <c r="K39" s="45">
        <f>I39/$K$4</f>
        <v>3.6509206349206354E-3</v>
      </c>
      <c r="L39" s="46">
        <f>I39-H39</f>
        <v>0</v>
      </c>
      <c r="M39" s="46">
        <f>((I39-H39)/H39)*100</f>
        <v>0</v>
      </c>
      <c r="N39" s="47">
        <v>0</v>
      </c>
      <c r="O39" s="37">
        <v>0</v>
      </c>
      <c r="P39" s="51">
        <f>(R39)/J39</f>
        <v>0</v>
      </c>
      <c r="Q39" s="49">
        <f>I39/G39-1</f>
        <v>0.15003999999999995</v>
      </c>
      <c r="R39" s="50"/>
    </row>
    <row r="40" spans="1:18" x14ac:dyDescent="0.2">
      <c r="A40" s="35" t="s">
        <v>104</v>
      </c>
      <c r="B40" s="36" t="s">
        <v>105</v>
      </c>
      <c r="C40" s="37">
        <v>106474237</v>
      </c>
      <c r="D40" s="38">
        <f>C40*J40</f>
        <v>7950509.383523277</v>
      </c>
      <c r="E40" s="39">
        <f>C40*K40</f>
        <v>6760532.6663646363</v>
      </c>
      <c r="F40" s="40" t="s">
        <v>44</v>
      </c>
      <c r="G40" s="41">
        <v>1.7452379999999998</v>
      </c>
      <c r="H40" s="42">
        <v>2.0000780000000002</v>
      </c>
      <c r="I40" s="43">
        <v>2.0000780000000002</v>
      </c>
      <c r="J40" s="44">
        <f>I40/$J$5</f>
        <v>7.4670733574012618E-2</v>
      </c>
      <c r="K40" s="45">
        <f>I40/$K$4</f>
        <v>6.3494539682539694E-2</v>
      </c>
      <c r="L40" s="46">
        <f>I40-H40</f>
        <v>0</v>
      </c>
      <c r="M40" s="46">
        <f>((I40-H40)/H40)*100</f>
        <v>0</v>
      </c>
      <c r="N40" s="47">
        <v>0</v>
      </c>
      <c r="O40" s="37">
        <v>0</v>
      </c>
      <c r="P40" s="51">
        <f>(R40)/J40</f>
        <v>0</v>
      </c>
      <c r="Q40" s="49">
        <f>I40/G40-1</f>
        <v>0.14602019896426754</v>
      </c>
      <c r="R40" s="50">
        <v>0</v>
      </c>
    </row>
    <row r="41" spans="1:18" x14ac:dyDescent="0.2">
      <c r="A41" s="35" t="s">
        <v>106</v>
      </c>
      <c r="B41" s="36" t="s">
        <v>107</v>
      </c>
      <c r="C41" s="37">
        <v>1778001428</v>
      </c>
      <c r="D41" s="38">
        <f>C41*J41</f>
        <v>3982784.7991248933</v>
      </c>
      <c r="E41" s="39">
        <f>C41*K41</f>
        <v>3386669.3866666667</v>
      </c>
      <c r="F41" s="40" t="s">
        <v>39</v>
      </c>
      <c r="G41" s="41">
        <v>0.03</v>
      </c>
      <c r="H41" s="42">
        <v>5.9794E-2</v>
      </c>
      <c r="I41" s="43">
        <v>0.06</v>
      </c>
      <c r="J41" s="44">
        <f>I41/$J$5</f>
        <v>2.2400346458691894E-3</v>
      </c>
      <c r="K41" s="45">
        <f>I41/$K$4</f>
        <v>1.9047619047619048E-3</v>
      </c>
      <c r="L41" s="46">
        <f>I41-H41</f>
        <v>2.0599999999999785E-4</v>
      </c>
      <c r="M41" s="46">
        <f>((I41-H41)/H41)*100</f>
        <v>0.34451617219118613</v>
      </c>
      <c r="N41" s="47">
        <v>25000</v>
      </c>
      <c r="O41" s="37">
        <v>1500</v>
      </c>
      <c r="P41" s="51">
        <f>(R41)/J41</f>
        <v>0</v>
      </c>
      <c r="Q41" s="49">
        <f>I41/G41-1</f>
        <v>1</v>
      </c>
      <c r="R41" s="50">
        <v>0</v>
      </c>
    </row>
    <row r="42" spans="1:18" x14ac:dyDescent="0.2">
      <c r="A42" s="35" t="s">
        <v>108</v>
      </c>
      <c r="B42" s="36" t="s">
        <v>109</v>
      </c>
      <c r="C42" s="37">
        <v>175190642</v>
      </c>
      <c r="D42" s="38">
        <f>C42*J42</f>
        <v>39243310.771206595</v>
      </c>
      <c r="E42" s="39">
        <f>C42*K42</f>
        <v>33369646.095238093</v>
      </c>
      <c r="F42" s="40" t="s">
        <v>47</v>
      </c>
      <c r="G42" s="41">
        <v>4.5</v>
      </c>
      <c r="H42" s="42">
        <v>6</v>
      </c>
      <c r="I42" s="43">
        <v>6</v>
      </c>
      <c r="J42" s="44">
        <f>I42/$J$5</f>
        <v>0.22400346458691894</v>
      </c>
      <c r="K42" s="45">
        <f>I42/$K$4</f>
        <v>0.19047619047619047</v>
      </c>
      <c r="L42" s="46">
        <f>I42-H42</f>
        <v>0</v>
      </c>
      <c r="M42" s="46">
        <f>((I42-H42)/H42)*100</f>
        <v>0</v>
      </c>
      <c r="N42" s="47">
        <v>0</v>
      </c>
      <c r="O42" s="37">
        <v>0</v>
      </c>
      <c r="P42" s="51">
        <f>(R42)/J42</f>
        <v>0</v>
      </c>
      <c r="Q42" s="49">
        <f>I42/G42-1</f>
        <v>0.33333333333333326</v>
      </c>
      <c r="R42" s="50">
        <v>0</v>
      </c>
    </row>
    <row r="43" spans="1:18" x14ac:dyDescent="0.2">
      <c r="A43" s="35" t="s">
        <v>110</v>
      </c>
      <c r="B43" s="36" t="s">
        <v>111</v>
      </c>
      <c r="C43" s="37">
        <v>463337661</v>
      </c>
      <c r="D43" s="38">
        <f>C43*J43</f>
        <v>311.36772401279808</v>
      </c>
      <c r="E43" s="39">
        <f>C43*K43</f>
        <v>264.76437771428573</v>
      </c>
      <c r="F43" s="40" t="s">
        <v>44</v>
      </c>
      <c r="G43" s="41">
        <v>1.8E-5</v>
      </c>
      <c r="H43" s="42">
        <v>1.8E-5</v>
      </c>
      <c r="I43" s="43">
        <v>1.8E-5</v>
      </c>
      <c r="J43" s="44">
        <f>I43/$J$5</f>
        <v>6.7201039376075691E-7</v>
      </c>
      <c r="K43" s="45">
        <f>I43/$K$4</f>
        <v>5.7142857142857149E-7</v>
      </c>
      <c r="L43" s="46">
        <f>I43-H43</f>
        <v>0</v>
      </c>
      <c r="M43" s="46">
        <f>((I43-H43)/H43)*100</f>
        <v>0</v>
      </c>
      <c r="N43" s="47">
        <v>0</v>
      </c>
      <c r="O43" s="37">
        <v>0</v>
      </c>
      <c r="P43" s="51">
        <f>(R43)/J43</f>
        <v>0</v>
      </c>
      <c r="Q43" s="49">
        <f>I43/G43-1</f>
        <v>0</v>
      </c>
      <c r="R43" s="50">
        <v>0</v>
      </c>
    </row>
    <row r="44" spans="1:18" x14ac:dyDescent="0.2">
      <c r="A44" s="35" t="s">
        <v>112</v>
      </c>
      <c r="B44" s="36" t="s">
        <v>113</v>
      </c>
      <c r="C44" s="37">
        <v>576000000</v>
      </c>
      <c r="D44" s="38">
        <f>C44*J44</f>
        <v>1509604.1485441641</v>
      </c>
      <c r="E44" s="39">
        <f>C44*K44</f>
        <v>1283657.142857143</v>
      </c>
      <c r="F44" s="40" t="s">
        <v>56</v>
      </c>
      <c r="G44" s="41">
        <v>7.0000000000000007E-2</v>
      </c>
      <c r="H44" s="42">
        <v>7.0199999999999999E-2</v>
      </c>
      <c r="I44" s="43">
        <v>7.0199999999999999E-2</v>
      </c>
      <c r="J44" s="44">
        <f>I44/$J$5</f>
        <v>2.6208405356669515E-3</v>
      </c>
      <c r="K44" s="45">
        <f>I44/$K$4</f>
        <v>2.2285714285714287E-3</v>
      </c>
      <c r="L44" s="46">
        <f>I44-H44</f>
        <v>0</v>
      </c>
      <c r="M44" s="46">
        <f>((I44-H44)/H44)*100</f>
        <v>0</v>
      </c>
      <c r="N44" s="47">
        <v>600</v>
      </c>
      <c r="O44" s="37">
        <v>42.12</v>
      </c>
      <c r="P44" s="51">
        <f>(R44)/J44</f>
        <v>0</v>
      </c>
      <c r="Q44" s="49">
        <f>I44/G44-1</f>
        <v>2.8571428571426694E-3</v>
      </c>
      <c r="R44" s="50"/>
    </row>
    <row r="45" spans="1:18" x14ac:dyDescent="0.2">
      <c r="A45" s="35" t="s">
        <v>114</v>
      </c>
      <c r="B45" s="36" t="s">
        <v>115</v>
      </c>
      <c r="C45" s="37">
        <v>1818218786</v>
      </c>
      <c r="D45" s="38">
        <f>C45*J45</f>
        <v>47524319.468755625</v>
      </c>
      <c r="E45" s="39">
        <f>C45*K45</f>
        <v>40411211.246554285</v>
      </c>
      <c r="F45" s="40" t="s">
        <v>47</v>
      </c>
      <c r="G45" s="41">
        <v>0.9998999999999999</v>
      </c>
      <c r="H45" s="42">
        <v>0.70011000000000001</v>
      </c>
      <c r="I45" s="43">
        <v>0.70011000000000001</v>
      </c>
      <c r="J45" s="44">
        <f>I45/$J$5</f>
        <v>2.6137844265324638E-2</v>
      </c>
      <c r="K45" s="45">
        <f>I45/$K$4</f>
        <v>2.2225714285714286E-2</v>
      </c>
      <c r="L45" s="46">
        <f>I45-H45</f>
        <v>0</v>
      </c>
      <c r="M45" s="46">
        <f>((I45-H45)/H45)*100</f>
        <v>0</v>
      </c>
      <c r="N45" s="47">
        <v>0</v>
      </c>
      <c r="O45" s="37">
        <v>0</v>
      </c>
      <c r="P45" s="51">
        <f>(R45)/J45</f>
        <v>0</v>
      </c>
      <c r="Q45" s="49">
        <f>I45/G45-1</f>
        <v>-0.2998199819981997</v>
      </c>
      <c r="R45" s="50">
        <v>0</v>
      </c>
    </row>
    <row r="46" spans="1:18" x14ac:dyDescent="0.2">
      <c r="A46" s="35" t="s">
        <v>116</v>
      </c>
      <c r="B46" s="36" t="s">
        <v>117</v>
      </c>
      <c r="C46" s="37">
        <v>102712520</v>
      </c>
      <c r="D46" s="38">
        <f>C46*J46</f>
        <v>5790336.6846740562</v>
      </c>
      <c r="E46" s="39">
        <f>C46*K46</f>
        <v>4923679.5301587302</v>
      </c>
      <c r="F46" s="40" t="s">
        <v>47</v>
      </c>
      <c r="G46" s="41">
        <v>1.4503460000000001</v>
      </c>
      <c r="H46" s="42">
        <v>1.51</v>
      </c>
      <c r="I46" s="43">
        <v>1.51</v>
      </c>
      <c r="J46" s="44">
        <f>I46/$J$5</f>
        <v>5.6374205254374601E-2</v>
      </c>
      <c r="K46" s="45">
        <f>I46/$K$4</f>
        <v>4.7936507936507937E-2</v>
      </c>
      <c r="L46" s="46">
        <f>I46-H46</f>
        <v>0</v>
      </c>
      <c r="M46" s="46">
        <f>((I46-H46)/H46)*100</f>
        <v>0</v>
      </c>
      <c r="N46" s="47">
        <v>0</v>
      </c>
      <c r="O46" s="37">
        <v>0</v>
      </c>
      <c r="P46" s="51">
        <v>0</v>
      </c>
      <c r="Q46" s="49">
        <f>I46/G46-1</f>
        <v>4.1130874977419074E-2</v>
      </c>
      <c r="R46" s="50"/>
    </row>
    <row r="47" spans="1:18" ht="14.25" thickBot="1" x14ac:dyDescent="0.35">
      <c r="A47" s="57"/>
      <c r="B47" s="58" t="s">
        <v>83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SUM(N9:N46)</f>
        <v>175500</v>
      </c>
      <c r="O47" s="61">
        <f>SUM(O9:O46)</f>
        <v>3169581.0600000005</v>
      </c>
      <c r="P47" s="62"/>
      <c r="Q47" s="63"/>
    </row>
    <row r="48" spans="1:18" ht="13.5" x14ac:dyDescent="0.3">
      <c r="A48" s="64"/>
      <c r="B48" s="65" t="s">
        <v>83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x14ac:dyDescent="0.25">
      <c r="A49" s="128" t="s">
        <v>118</v>
      </c>
      <c r="B49" s="129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1"/>
    </row>
    <row r="50" spans="1:20" ht="11.45" customHeight="1" x14ac:dyDescent="0.2">
      <c r="A50" s="35" t="s">
        <v>119</v>
      </c>
      <c r="B50" s="36" t="s">
        <v>120</v>
      </c>
      <c r="C50" s="40">
        <v>554920308</v>
      </c>
      <c r="D50" s="38">
        <f>C50*J50</f>
        <v>77799827.18159999</v>
      </c>
      <c r="E50" s="39">
        <v>0</v>
      </c>
      <c r="F50" s="40" t="s">
        <v>93</v>
      </c>
      <c r="G50" s="70">
        <v>0.1</v>
      </c>
      <c r="H50" s="42">
        <v>0.1487</v>
      </c>
      <c r="I50" s="42">
        <v>0.14019999999999999</v>
      </c>
      <c r="J50" s="44">
        <f>I50</f>
        <v>0.14019999999999999</v>
      </c>
      <c r="K50" s="39">
        <v>0</v>
      </c>
      <c r="L50" s="46">
        <f>I50-H50</f>
        <v>-8.5000000000000075E-3</v>
      </c>
      <c r="M50" s="46">
        <f>((I50-H50)/H50)*100</f>
        <v>-5.7162071284465421</v>
      </c>
      <c r="N50" s="47">
        <v>5205</v>
      </c>
      <c r="O50" s="37">
        <v>729.61</v>
      </c>
      <c r="P50" s="71">
        <f>(R50)/J50</f>
        <v>0</v>
      </c>
      <c r="Q50" s="49">
        <f>J50/G50-1</f>
        <v>0.40199999999999991</v>
      </c>
      <c r="T50" s="52"/>
    </row>
    <row r="51" spans="1:20" x14ac:dyDescent="0.2">
      <c r="A51" s="35" t="s">
        <v>121</v>
      </c>
      <c r="B51" s="36" t="s">
        <v>122</v>
      </c>
      <c r="C51" s="40">
        <v>1057685</v>
      </c>
      <c r="D51" s="38">
        <f>C51*J51</f>
        <v>54417893.25</v>
      </c>
      <c r="E51" s="39">
        <v>0</v>
      </c>
      <c r="F51" s="40" t="s">
        <v>39</v>
      </c>
      <c r="G51" s="70">
        <v>39.9</v>
      </c>
      <c r="H51" s="42">
        <v>43.904299999999999</v>
      </c>
      <c r="I51" s="42">
        <v>51.45</v>
      </c>
      <c r="J51" s="44">
        <f>I51</f>
        <v>51.45</v>
      </c>
      <c r="K51" s="39">
        <v>0</v>
      </c>
      <c r="L51" s="46">
        <f>I51-H51</f>
        <v>7.5457000000000036</v>
      </c>
      <c r="M51" s="46">
        <f>((I51-H51)/H51)*100</f>
        <v>17.186699252692797</v>
      </c>
      <c r="N51" s="47">
        <v>288</v>
      </c>
      <c r="O51" s="37">
        <v>14817.6</v>
      </c>
      <c r="P51" s="72">
        <f>(R51)/J51</f>
        <v>1.08843537414966E-2</v>
      </c>
      <c r="Q51" s="49">
        <f>J51/G51-1</f>
        <v>0.28947368421052633</v>
      </c>
      <c r="R51" s="52">
        <v>0.56000000000000005</v>
      </c>
      <c r="T51" s="52"/>
    </row>
    <row r="52" spans="1:20" x14ac:dyDescent="0.2">
      <c r="A52" s="35" t="s">
        <v>123</v>
      </c>
      <c r="B52" s="36" t="s">
        <v>124</v>
      </c>
      <c r="C52" s="40">
        <v>2992163203</v>
      </c>
      <c r="D52" s="38">
        <f>C52*J52</f>
        <v>743253339.62520003</v>
      </c>
      <c r="E52" s="39"/>
      <c r="F52" s="40" t="s">
        <v>56</v>
      </c>
      <c r="G52" s="70">
        <v>0.33</v>
      </c>
      <c r="H52" s="42">
        <v>0.24349999999999999</v>
      </c>
      <c r="I52" s="42">
        <v>0.24840000000000001</v>
      </c>
      <c r="J52" s="44">
        <f>I52</f>
        <v>0.24840000000000001</v>
      </c>
      <c r="K52" s="39">
        <v>0</v>
      </c>
      <c r="L52" s="46">
        <f>I52-H52</f>
        <v>4.9000000000000155E-3</v>
      </c>
      <c r="M52" s="46">
        <f>((I52-H52)/H52)*100</f>
        <v>2.012320328542101</v>
      </c>
      <c r="N52" s="47">
        <v>454676</v>
      </c>
      <c r="O52" s="37">
        <v>112961.69</v>
      </c>
      <c r="P52" s="71">
        <v>0</v>
      </c>
      <c r="Q52" s="49">
        <f>J52/G52-1</f>
        <v>-0.24727272727272731</v>
      </c>
      <c r="R52" s="52"/>
      <c r="T52" s="52"/>
    </row>
    <row r="53" spans="1:20" x14ac:dyDescent="0.2">
      <c r="A53" s="35" t="s">
        <v>125</v>
      </c>
      <c r="B53" s="36" t="s">
        <v>126</v>
      </c>
      <c r="C53" s="40">
        <v>609740943</v>
      </c>
      <c r="D53" s="38">
        <f>C53*J53</f>
        <v>18597098.761500001</v>
      </c>
      <c r="E53" s="39">
        <v>0</v>
      </c>
      <c r="F53" s="40" t="s">
        <v>34</v>
      </c>
      <c r="G53" s="70">
        <v>2.3E-2</v>
      </c>
      <c r="H53" s="42">
        <v>3.0800000000000001E-2</v>
      </c>
      <c r="I53" s="42">
        <v>3.0499999999999999E-2</v>
      </c>
      <c r="J53" s="44">
        <f>I53</f>
        <v>3.0499999999999999E-2</v>
      </c>
      <c r="K53" s="39">
        <v>0</v>
      </c>
      <c r="L53" s="46">
        <f>I53-H53</f>
        <v>-3.0000000000000165E-4</v>
      </c>
      <c r="M53" s="46">
        <f>((I53-H53)/H53)*100</f>
        <v>-0.97402597402597935</v>
      </c>
      <c r="N53" s="47">
        <v>14901</v>
      </c>
      <c r="O53" s="37">
        <v>454.48</v>
      </c>
      <c r="P53" s="71">
        <f>(R53)/J53</f>
        <v>0</v>
      </c>
      <c r="Q53" s="49">
        <f>J53/G53-1</f>
        <v>0.32608695652173902</v>
      </c>
      <c r="T53" s="52"/>
    </row>
    <row r="54" spans="1:20" x14ac:dyDescent="0.2">
      <c r="A54" s="35" t="s">
        <v>127</v>
      </c>
      <c r="B54" s="36" t="s">
        <v>128</v>
      </c>
      <c r="C54" s="40">
        <v>2162695929</v>
      </c>
      <c r="D54" s="38">
        <f>C54*J54</f>
        <v>293045298.37950003</v>
      </c>
      <c r="E54" s="39">
        <v>0</v>
      </c>
      <c r="F54" s="40" t="s">
        <v>47</v>
      </c>
      <c r="G54" s="70">
        <v>9.0200000000000002E-2</v>
      </c>
      <c r="H54" s="42">
        <v>0.13550000000000001</v>
      </c>
      <c r="I54" s="42">
        <v>0.13550000000000001</v>
      </c>
      <c r="J54" s="44">
        <f>I54</f>
        <v>0.13550000000000001</v>
      </c>
      <c r="K54" s="39">
        <v>0</v>
      </c>
      <c r="L54" s="46">
        <f>I54-H54</f>
        <v>0</v>
      </c>
      <c r="M54" s="73">
        <f>((I54-H54)/H54)*100</f>
        <v>0</v>
      </c>
      <c r="N54" s="47">
        <v>76800</v>
      </c>
      <c r="O54" s="37">
        <v>10405.969999999999</v>
      </c>
      <c r="P54" s="71">
        <f>(R54)/J54</f>
        <v>0</v>
      </c>
      <c r="Q54" s="49">
        <f>J54/G54-1</f>
        <v>0.50221729490022171</v>
      </c>
      <c r="R54" s="52"/>
      <c r="T54" s="52"/>
    </row>
    <row r="55" spans="1:20" x14ac:dyDescent="0.2">
      <c r="A55" s="35" t="s">
        <v>129</v>
      </c>
      <c r="B55" s="36" t="s">
        <v>130</v>
      </c>
      <c r="C55" s="40">
        <v>575926450</v>
      </c>
      <c r="D55" s="38">
        <f>C55*J55</f>
        <v>818045929.58000004</v>
      </c>
      <c r="E55" s="39">
        <v>0</v>
      </c>
      <c r="F55" s="40" t="s">
        <v>34</v>
      </c>
      <c r="G55" s="70">
        <v>0.95750000000000002</v>
      </c>
      <c r="H55" s="42">
        <v>1.4503999999999999</v>
      </c>
      <c r="I55" s="42">
        <v>1.4204000000000001</v>
      </c>
      <c r="J55" s="44">
        <f>I55</f>
        <v>1.4204000000000001</v>
      </c>
      <c r="K55" s="39">
        <v>0</v>
      </c>
      <c r="L55" s="46">
        <f>I55-H55</f>
        <v>-2.9999999999999805E-2</v>
      </c>
      <c r="M55" s="46">
        <f>((I55-H55)/H55)*100</f>
        <v>-2.0683949255377696</v>
      </c>
      <c r="N55" s="47">
        <v>931</v>
      </c>
      <c r="O55" s="37">
        <v>1322.4</v>
      </c>
      <c r="P55" s="72">
        <f>(R55)/J55</f>
        <v>3.3089270627992114E-2</v>
      </c>
      <c r="Q55" s="49">
        <f>J55/G55-1</f>
        <v>0.48344647519582251</v>
      </c>
      <c r="R55" s="52">
        <v>4.7E-2</v>
      </c>
      <c r="T55" s="52"/>
    </row>
    <row r="56" spans="1:20" x14ac:dyDescent="0.2">
      <c r="A56" s="35" t="s">
        <v>131</v>
      </c>
      <c r="B56" s="36" t="s">
        <v>132</v>
      </c>
      <c r="C56" s="40">
        <v>164208222</v>
      </c>
      <c r="D56" s="38">
        <f>C56*J56</f>
        <v>21347068.859999999</v>
      </c>
      <c r="E56" s="39">
        <v>0</v>
      </c>
      <c r="F56" s="40" t="s">
        <v>34</v>
      </c>
      <c r="G56" s="70">
        <v>0.1595</v>
      </c>
      <c r="H56" s="42">
        <v>0.13</v>
      </c>
      <c r="I56" s="42">
        <v>0.13</v>
      </c>
      <c r="J56" s="44">
        <f>I56</f>
        <v>0.13</v>
      </c>
      <c r="K56" s="39">
        <v>0</v>
      </c>
      <c r="L56" s="46">
        <f>I56-H56</f>
        <v>0</v>
      </c>
      <c r="M56" s="46">
        <f>((I56-H56)/H56)*100</f>
        <v>0</v>
      </c>
      <c r="N56" s="47">
        <v>0</v>
      </c>
      <c r="O56" s="37">
        <v>0</v>
      </c>
      <c r="P56" s="71">
        <f>(R56)/J56</f>
        <v>0</v>
      </c>
      <c r="Q56" s="49">
        <f>J56/G56-1</f>
        <v>-0.1849529780564263</v>
      </c>
      <c r="T56" s="52"/>
    </row>
    <row r="57" spans="1:20" x14ac:dyDescent="0.2">
      <c r="A57" s="35" t="s">
        <v>133</v>
      </c>
      <c r="B57" s="36" t="s">
        <v>134</v>
      </c>
      <c r="C57" s="40">
        <v>953802800</v>
      </c>
      <c r="D57" s="38">
        <f>C57*J57</f>
        <v>18408394.040000003</v>
      </c>
      <c r="E57" s="39">
        <v>0</v>
      </c>
      <c r="F57" s="40" t="s">
        <v>93</v>
      </c>
      <c r="G57" s="70">
        <v>1.6799999999999999E-2</v>
      </c>
      <c r="H57" s="42">
        <v>1.9800000000000002E-2</v>
      </c>
      <c r="I57" s="42">
        <v>1.9300000000000001E-2</v>
      </c>
      <c r="J57" s="44">
        <f>I57</f>
        <v>1.9300000000000001E-2</v>
      </c>
      <c r="K57" s="39">
        <v>0</v>
      </c>
      <c r="L57" s="46">
        <f>I57-H57</f>
        <v>-5.0000000000000044E-4</v>
      </c>
      <c r="M57" s="73">
        <f>((I57-H57)/H57)*100</f>
        <v>-2.5252525252525273</v>
      </c>
      <c r="N57" s="47">
        <v>1892965</v>
      </c>
      <c r="O57" s="37">
        <v>364.78989999999999</v>
      </c>
      <c r="P57" s="71">
        <f>(R57)/J57</f>
        <v>0</v>
      </c>
      <c r="Q57" s="49">
        <f>J57/G57-1</f>
        <v>0.14880952380952395</v>
      </c>
      <c r="T57" s="52"/>
    </row>
    <row r="58" spans="1:20" x14ac:dyDescent="0.2">
      <c r="A58" s="35" t="s">
        <v>135</v>
      </c>
      <c r="B58" s="36" t="s">
        <v>136</v>
      </c>
      <c r="C58" s="40">
        <v>161273</v>
      </c>
      <c r="D58" s="38">
        <f>C58*J58</f>
        <v>2015912.5</v>
      </c>
      <c r="E58" s="39">
        <v>0</v>
      </c>
      <c r="F58" s="40" t="s">
        <v>137</v>
      </c>
      <c r="G58" s="70">
        <v>19.5</v>
      </c>
      <c r="H58" s="42">
        <v>12.5</v>
      </c>
      <c r="I58" s="42">
        <v>12.5</v>
      </c>
      <c r="J58" s="44">
        <f>I58</f>
        <v>12.5</v>
      </c>
      <c r="K58" s="39">
        <v>0</v>
      </c>
      <c r="L58" s="46">
        <f>I58-H58</f>
        <v>0</v>
      </c>
      <c r="M58" s="46">
        <f>((I58-H58)/H58)*100</f>
        <v>0</v>
      </c>
      <c r="N58" s="47">
        <v>0</v>
      </c>
      <c r="O58" s="37">
        <v>0</v>
      </c>
      <c r="P58" s="71">
        <f>(R58)/J58</f>
        <v>0</v>
      </c>
      <c r="Q58" s="49">
        <f>J58/G58-1</f>
        <v>-0.35897435897435892</v>
      </c>
      <c r="T58" s="52"/>
    </row>
    <row r="59" spans="1:20" x14ac:dyDescent="0.2">
      <c r="A59" s="35" t="s">
        <v>138</v>
      </c>
      <c r="B59" s="36" t="s">
        <v>139</v>
      </c>
      <c r="C59" s="40">
        <v>805090451</v>
      </c>
      <c r="D59" s="38">
        <f>C59*J59</f>
        <v>891879201.61779988</v>
      </c>
      <c r="E59" s="39">
        <v>0</v>
      </c>
      <c r="F59" s="40" t="s">
        <v>93</v>
      </c>
      <c r="G59" s="70">
        <v>0.59499999999999997</v>
      </c>
      <c r="H59" s="42">
        <v>1.1034999999999999</v>
      </c>
      <c r="I59" s="42">
        <v>1.1077999999999999</v>
      </c>
      <c r="J59" s="44">
        <f>I59</f>
        <v>1.1077999999999999</v>
      </c>
      <c r="K59" s="39">
        <v>0</v>
      </c>
      <c r="L59" s="46">
        <f>I59-H59</f>
        <v>4.2999999999999705E-3</v>
      </c>
      <c r="M59" s="46">
        <f>((I59-H59)/H59)*100</f>
        <v>0.38966923425464167</v>
      </c>
      <c r="N59" s="47">
        <v>545451</v>
      </c>
      <c r="O59" s="37">
        <v>604234.47</v>
      </c>
      <c r="P59" s="71">
        <f>(R59)/J59</f>
        <v>0</v>
      </c>
      <c r="Q59" s="49">
        <f>J59/G59-1</f>
        <v>0.86184873949579832</v>
      </c>
      <c r="R59" s="52"/>
      <c r="T59" s="52"/>
    </row>
    <row r="60" spans="1:20" x14ac:dyDescent="0.2">
      <c r="A60" s="35" t="s">
        <v>140</v>
      </c>
      <c r="B60" s="36" t="s">
        <v>141</v>
      </c>
      <c r="C60" s="40">
        <v>260714518</v>
      </c>
      <c r="D60" s="38">
        <f>C60*J60</f>
        <v>93857226.479999989</v>
      </c>
      <c r="E60" s="39">
        <v>0</v>
      </c>
      <c r="F60" s="40" t="s">
        <v>34</v>
      </c>
      <c r="G60" s="70">
        <v>0.22600000000000001</v>
      </c>
      <c r="H60" s="42">
        <v>0.37390000000000001</v>
      </c>
      <c r="I60" s="42">
        <v>0.36</v>
      </c>
      <c r="J60" s="44">
        <f>I60</f>
        <v>0.36</v>
      </c>
      <c r="K60" s="39">
        <v>0</v>
      </c>
      <c r="L60" s="46">
        <f>I60-H60</f>
        <v>-1.3900000000000023E-2</v>
      </c>
      <c r="M60" s="46">
        <f>((I60-H60)/H60)*100</f>
        <v>-3.7175715431933738</v>
      </c>
      <c r="N60" s="47">
        <v>2464</v>
      </c>
      <c r="O60" s="37">
        <v>887.04</v>
      </c>
      <c r="P60" s="71">
        <f>(R60)/J60</f>
        <v>0</v>
      </c>
      <c r="Q60" s="49">
        <f>J60/G60-1</f>
        <v>0.5929203539823007</v>
      </c>
      <c r="T60" s="52"/>
    </row>
    <row r="61" spans="1:20" x14ac:dyDescent="0.2">
      <c r="A61" s="35" t="s">
        <v>142</v>
      </c>
      <c r="B61" s="36" t="s">
        <v>143</v>
      </c>
      <c r="C61" s="40">
        <v>562184788</v>
      </c>
      <c r="D61" s="38">
        <f>C61*J61</f>
        <v>394541284.2184</v>
      </c>
      <c r="E61" s="39">
        <v>0</v>
      </c>
      <c r="F61" s="40" t="s">
        <v>34</v>
      </c>
      <c r="G61" s="70">
        <v>0.49440000000000001</v>
      </c>
      <c r="H61" s="42">
        <v>0.6966</v>
      </c>
      <c r="I61" s="42">
        <v>0.70179999999999998</v>
      </c>
      <c r="J61" s="44">
        <f>I61</f>
        <v>0.70179999999999998</v>
      </c>
      <c r="K61" s="39">
        <v>0</v>
      </c>
      <c r="L61" s="46">
        <f>I61-H61</f>
        <v>5.1999999999999824E-3</v>
      </c>
      <c r="M61" s="46">
        <f>((I61-H61)/H61)*100</f>
        <v>0.74648291702555014</v>
      </c>
      <c r="N61" s="47">
        <v>222</v>
      </c>
      <c r="O61" s="37">
        <v>155.81</v>
      </c>
      <c r="P61" s="71">
        <f>(R61)/J61</f>
        <v>0</v>
      </c>
      <c r="Q61" s="49">
        <f>J61/G61-1</f>
        <v>0.4194983818770226</v>
      </c>
      <c r="R61" s="52"/>
      <c r="T61" s="52"/>
    </row>
    <row r="62" spans="1:20" x14ac:dyDescent="0.2">
      <c r="A62" s="35" t="s">
        <v>144</v>
      </c>
      <c r="B62" s="36" t="s">
        <v>145</v>
      </c>
      <c r="C62" s="40">
        <v>364526035</v>
      </c>
      <c r="D62" s="38">
        <f>C62*J62</f>
        <v>94594506.082499996</v>
      </c>
      <c r="E62" s="39">
        <v>0</v>
      </c>
      <c r="F62" s="40" t="s">
        <v>34</v>
      </c>
      <c r="G62" s="70">
        <v>0.25950000000000001</v>
      </c>
      <c r="H62" s="42">
        <v>0.25119999999999998</v>
      </c>
      <c r="I62" s="42">
        <v>0.25950000000000001</v>
      </c>
      <c r="J62" s="44">
        <f>I62</f>
        <v>0.25950000000000001</v>
      </c>
      <c r="K62" s="39">
        <v>0</v>
      </c>
      <c r="L62" s="46">
        <f>I62-H62</f>
        <v>8.3000000000000296E-3</v>
      </c>
      <c r="M62" s="46">
        <f>((I62-H62)/H62)*100</f>
        <v>3.3041401273885467</v>
      </c>
      <c r="N62" s="47">
        <v>794</v>
      </c>
      <c r="O62" s="37">
        <v>206.06</v>
      </c>
      <c r="P62" s="71">
        <f>(R62)/J62</f>
        <v>0</v>
      </c>
      <c r="Q62" s="49">
        <f>J62/G62-1</f>
        <v>0</v>
      </c>
      <c r="R62" s="52"/>
      <c r="T62" s="52"/>
    </row>
    <row r="63" spans="1:20" x14ac:dyDescent="0.2">
      <c r="A63" s="35" t="s">
        <v>146</v>
      </c>
      <c r="B63" s="36" t="s">
        <v>147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70">
        <v>10</v>
      </c>
      <c r="H63" s="42">
        <v>10</v>
      </c>
      <c r="I63" s="42">
        <v>10</v>
      </c>
      <c r="J63" s="44">
        <f>I63</f>
        <v>10</v>
      </c>
      <c r="K63" s="39">
        <v>0</v>
      </c>
      <c r="L63" s="46">
        <f>I63-H63</f>
        <v>0</v>
      </c>
      <c r="M63" s="46">
        <f>((I63-H63)/H63)*100</f>
        <v>0</v>
      </c>
      <c r="N63" s="47">
        <v>0</v>
      </c>
      <c r="O63" s="37">
        <v>0</v>
      </c>
      <c r="P63" s="71">
        <f>(R63)/J63</f>
        <v>0</v>
      </c>
      <c r="Q63" s="49">
        <f>J63/G63-1</f>
        <v>0</v>
      </c>
      <c r="T63" s="52"/>
    </row>
    <row r="64" spans="1:20" x14ac:dyDescent="0.2">
      <c r="A64" s="35" t="s">
        <v>148</v>
      </c>
      <c r="B64" s="36" t="s">
        <v>149</v>
      </c>
      <c r="C64" s="40">
        <v>344580486</v>
      </c>
      <c r="D64" s="38">
        <f>C64*J64</f>
        <v>48792596.817600004</v>
      </c>
      <c r="E64" s="39">
        <v>0</v>
      </c>
      <c r="F64" s="40" t="s">
        <v>44</v>
      </c>
      <c r="G64" s="70">
        <v>4.2999999999999997E-2</v>
      </c>
      <c r="H64" s="42">
        <v>0.15</v>
      </c>
      <c r="I64" s="42">
        <v>0.1416</v>
      </c>
      <c r="J64" s="44">
        <f>I64</f>
        <v>0.1416</v>
      </c>
      <c r="K64" s="39">
        <v>0</v>
      </c>
      <c r="L64" s="46">
        <f>I64-H64</f>
        <v>-8.3999999999999908E-3</v>
      </c>
      <c r="M64" s="46">
        <f>((I64-H64)/H64)*100</f>
        <v>-5.5999999999999943</v>
      </c>
      <c r="N64" s="47">
        <v>127</v>
      </c>
      <c r="O64" s="37">
        <v>17.989999999999998</v>
      </c>
      <c r="P64" s="71">
        <f>(R64)/J64</f>
        <v>0</v>
      </c>
      <c r="Q64" s="49">
        <f>J64/G64-1</f>
        <v>2.2930232558139538</v>
      </c>
      <c r="T64" s="52"/>
    </row>
    <row r="65" spans="1:20" ht="13.5" x14ac:dyDescent="0.3">
      <c r="A65" s="74"/>
      <c r="B65" s="36" t="s">
        <v>83</v>
      </c>
      <c r="C65" s="40"/>
      <c r="D65" s="75"/>
      <c r="E65" s="75"/>
      <c r="F65" s="40"/>
      <c r="G65" s="40"/>
      <c r="H65" s="42"/>
      <c r="I65" s="42"/>
      <c r="J65" s="42"/>
      <c r="K65" s="42"/>
      <c r="L65" s="46"/>
      <c r="M65" s="76"/>
      <c r="N65" s="61">
        <f>SUM(N50:N64)</f>
        <v>2994824</v>
      </c>
      <c r="O65" s="62">
        <f>SUM(O50:O64)</f>
        <v>746557.90990000009</v>
      </c>
      <c r="P65" s="77"/>
      <c r="Q65" s="63"/>
    </row>
    <row r="66" spans="1:20" ht="12.75" hidden="1" x14ac:dyDescent="0.25">
      <c r="A66" s="132" t="s">
        <v>150</v>
      </c>
      <c r="B66" s="133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5"/>
    </row>
    <row r="67" spans="1:20" ht="12.75" hidden="1" thickBot="1" x14ac:dyDescent="0.25">
      <c r="A67" s="78" t="s">
        <v>151</v>
      </c>
      <c r="B67" s="79" t="s">
        <v>152</v>
      </c>
      <c r="C67" s="80">
        <v>20000</v>
      </c>
      <c r="D67" s="81">
        <f>C67*J67</f>
        <v>0</v>
      </c>
      <c r="E67" s="81"/>
      <c r="F67" s="80" t="s">
        <v>153</v>
      </c>
      <c r="G67" s="80"/>
      <c r="H67" s="82">
        <v>100</v>
      </c>
      <c r="I67" s="82"/>
      <c r="J67" s="82"/>
      <c r="K67" s="82"/>
      <c r="L67" s="83">
        <f>I67-H67</f>
        <v>-100</v>
      </c>
      <c r="M67" s="84">
        <f>((I67-H67)/H67)*100</f>
        <v>-100</v>
      </c>
      <c r="N67" s="85" t="s">
        <v>57</v>
      </c>
      <c r="O67" s="85" t="s">
        <v>57</v>
      </c>
      <c r="P67" s="85"/>
      <c r="Q67" s="86">
        <v>100</v>
      </c>
    </row>
    <row r="68" spans="1:20" ht="12.75" thickBot="1" x14ac:dyDescent="0.25">
      <c r="A68" s="35"/>
      <c r="B68" s="36" t="s">
        <v>83</v>
      </c>
      <c r="C68" s="40"/>
      <c r="D68" s="37"/>
      <c r="E68" s="37"/>
      <c r="F68" s="40"/>
      <c r="G68" s="40"/>
      <c r="H68" s="42"/>
      <c r="I68" s="42"/>
      <c r="J68" s="42"/>
      <c r="K68" s="42"/>
      <c r="L68" s="46"/>
      <c r="M68" s="76"/>
      <c r="N68" s="87"/>
      <c r="O68" s="87"/>
      <c r="P68" s="87"/>
      <c r="Q68" s="63"/>
    </row>
    <row r="69" spans="1:20" ht="12.75" x14ac:dyDescent="0.25">
      <c r="A69" s="132" t="s">
        <v>154</v>
      </c>
      <c r="B69" s="133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5"/>
    </row>
    <row r="70" spans="1:20" x14ac:dyDescent="0.2">
      <c r="A70" s="35" t="s">
        <v>155</v>
      </c>
      <c r="B70" s="88" t="s">
        <v>156</v>
      </c>
      <c r="C70" s="89">
        <v>139300587</v>
      </c>
      <c r="D70" s="38">
        <f>C70*J70</f>
        <v>47989052.221499994</v>
      </c>
      <c r="E70" s="39">
        <f>C70*K70</f>
        <v>47989052.221499994</v>
      </c>
      <c r="F70" s="89" t="s">
        <v>157</v>
      </c>
      <c r="G70" s="89">
        <v>0.24</v>
      </c>
      <c r="H70" s="90">
        <v>0.32790000000000002</v>
      </c>
      <c r="I70" s="90">
        <v>0.34449999999999997</v>
      </c>
      <c r="J70" s="91">
        <f>I70</f>
        <v>0.34449999999999997</v>
      </c>
      <c r="K70" s="91">
        <f>J70</f>
        <v>0.34449999999999997</v>
      </c>
      <c r="L70" s="46">
        <f>I70-H70</f>
        <v>1.6599999999999948E-2</v>
      </c>
      <c r="M70" s="46">
        <f>((I70-H70)/H70)*100</f>
        <v>5.0625190606892181</v>
      </c>
      <c r="N70" s="92">
        <v>40</v>
      </c>
      <c r="O70" s="93">
        <v>13.78</v>
      </c>
      <c r="P70" s="71">
        <f>(R70)/J70</f>
        <v>0</v>
      </c>
      <c r="Q70" s="49">
        <f>J70/G70-1</f>
        <v>0.43541666666666656</v>
      </c>
      <c r="T70" s="52"/>
    </row>
    <row r="71" spans="1:20" x14ac:dyDescent="0.2">
      <c r="A71" s="35" t="s">
        <v>158</v>
      </c>
      <c r="B71" s="88" t="s">
        <v>159</v>
      </c>
      <c r="C71" s="89">
        <v>471351750</v>
      </c>
      <c r="D71" s="38">
        <f>C71*J71</f>
        <v>71409790.125</v>
      </c>
      <c r="E71" s="39">
        <f>C71*K71</f>
        <v>71409790.125</v>
      </c>
      <c r="F71" s="89" t="s">
        <v>157</v>
      </c>
      <c r="G71" s="89">
        <v>0.1</v>
      </c>
      <c r="H71" s="90">
        <v>0.14990000000000001</v>
      </c>
      <c r="I71" s="90">
        <v>0.1515</v>
      </c>
      <c r="J71" s="91">
        <f>I71</f>
        <v>0.1515</v>
      </c>
      <c r="K71" s="91">
        <f>J71</f>
        <v>0.1515</v>
      </c>
      <c r="L71" s="46">
        <f>I71-H71</f>
        <v>1.5999999999999903E-3</v>
      </c>
      <c r="M71" s="46">
        <f>((I71-H71)/H71)*100</f>
        <v>1.0673782521681057</v>
      </c>
      <c r="N71" s="47">
        <v>1255</v>
      </c>
      <c r="O71" s="93">
        <v>190.16</v>
      </c>
      <c r="P71" s="94">
        <f>(R71)/J71</f>
        <v>2.5029702970297028E-2</v>
      </c>
      <c r="Q71" s="49">
        <f>J71/G71-1</f>
        <v>0.5149999999999999</v>
      </c>
      <c r="R71" s="5">
        <v>3.7919999999999998E-3</v>
      </c>
      <c r="T71" s="52"/>
    </row>
    <row r="72" spans="1:20" ht="14.25" thickBot="1" x14ac:dyDescent="0.35">
      <c r="A72" s="35"/>
      <c r="B72" s="36" t="s">
        <v>83</v>
      </c>
      <c r="C72" s="40"/>
      <c r="D72" s="37"/>
      <c r="E72" s="37"/>
      <c r="F72" s="40"/>
      <c r="G72" s="40"/>
      <c r="H72" s="42"/>
      <c r="I72" s="42"/>
      <c r="J72" s="42"/>
      <c r="K72" s="42"/>
      <c r="L72" s="46"/>
      <c r="M72" s="76"/>
      <c r="N72" s="61">
        <f>SUM(N70:N71)</f>
        <v>1295</v>
      </c>
      <c r="O72" s="62">
        <f>SUM(O70:O71)</f>
        <v>203.94</v>
      </c>
      <c r="P72" s="87"/>
      <c r="Q72" s="63"/>
    </row>
    <row r="73" spans="1:20" ht="12.75" x14ac:dyDescent="0.25">
      <c r="A73" s="132" t="s">
        <v>160</v>
      </c>
      <c r="B73" s="133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5"/>
    </row>
    <row r="74" spans="1:20" x14ac:dyDescent="0.2">
      <c r="A74" s="35" t="s">
        <v>161</v>
      </c>
      <c r="B74" s="88" t="s">
        <v>162</v>
      </c>
      <c r="C74" s="89">
        <v>20819695</v>
      </c>
      <c r="D74" s="38">
        <f>C74*J74</f>
        <v>2500445.3695</v>
      </c>
      <c r="E74" s="39">
        <f>C74*K74</f>
        <v>2500445.3695</v>
      </c>
      <c r="F74" s="89" t="s">
        <v>137</v>
      </c>
      <c r="G74" s="89">
        <v>0.1394</v>
      </c>
      <c r="H74" s="90">
        <v>0.1201</v>
      </c>
      <c r="I74" s="90">
        <v>0.1201</v>
      </c>
      <c r="J74" s="91">
        <f>I74</f>
        <v>0.1201</v>
      </c>
      <c r="K74" s="91">
        <f>J74</f>
        <v>0.1201</v>
      </c>
      <c r="L74" s="46">
        <f>I74-H74</f>
        <v>0</v>
      </c>
      <c r="M74" s="46">
        <f>((I74-H74)/H74)*100</f>
        <v>0</v>
      </c>
      <c r="N74" s="92">
        <v>14345</v>
      </c>
      <c r="O74" s="93">
        <v>1722.2</v>
      </c>
      <c r="P74" s="71">
        <f>(R74)/J74</f>
        <v>0</v>
      </c>
      <c r="Q74" s="49">
        <f>J74/G74-1</f>
        <v>-0.13845050215208032</v>
      </c>
    </row>
    <row r="75" spans="1:20" ht="13.5" x14ac:dyDescent="0.3">
      <c r="A75" s="35"/>
      <c r="B75" s="36" t="s">
        <v>83</v>
      </c>
      <c r="C75" s="40"/>
      <c r="D75" s="37"/>
      <c r="E75" s="37"/>
      <c r="F75" s="40"/>
      <c r="G75" s="40"/>
      <c r="H75" s="42"/>
      <c r="I75" s="42"/>
      <c r="J75" s="42"/>
      <c r="K75" s="42"/>
      <c r="L75" s="46"/>
      <c r="M75" s="76"/>
      <c r="N75" s="61"/>
      <c r="O75" s="62"/>
      <c r="P75" s="87"/>
      <c r="Q75" s="63"/>
    </row>
    <row r="76" spans="1:20" ht="12.75" x14ac:dyDescent="0.25">
      <c r="A76" s="128" t="s">
        <v>163</v>
      </c>
      <c r="B76" s="129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1"/>
    </row>
    <row r="77" spans="1:20" x14ac:dyDescent="0.2">
      <c r="A77" s="35" t="s">
        <v>164</v>
      </c>
      <c r="B77" s="36" t="s">
        <v>165</v>
      </c>
      <c r="C77" s="40">
        <v>31703227</v>
      </c>
      <c r="D77" s="38">
        <f>C77*J77</f>
        <v>106524.49029878328</v>
      </c>
      <c r="E77" s="39">
        <f>C77*K77</f>
        <v>90580.648571428566</v>
      </c>
      <c r="F77" s="40" t="s">
        <v>137</v>
      </c>
      <c r="G77" s="70">
        <v>0.105</v>
      </c>
      <c r="H77" s="42">
        <v>8.5000000000000006E-2</v>
      </c>
      <c r="I77" s="42">
        <v>0.09</v>
      </c>
      <c r="J77" s="44">
        <f>I77/$J$5</f>
        <v>3.3600519688037839E-3</v>
      </c>
      <c r="K77" s="45">
        <f>I77/$K$4</f>
        <v>2.8571428571428571E-3</v>
      </c>
      <c r="L77" s="46">
        <f>I77-H77</f>
        <v>4.9999999999999906E-3</v>
      </c>
      <c r="M77" s="95">
        <f>((I77-H77)/H77)*100</f>
        <v>5.8823529411764595</v>
      </c>
      <c r="N77" s="37">
        <v>1200</v>
      </c>
      <c r="O77" s="37">
        <v>108</v>
      </c>
      <c r="P77" s="40">
        <v>0</v>
      </c>
      <c r="Q77" s="49">
        <f>I77/G77-1</f>
        <v>-0.1428571428571429</v>
      </c>
    </row>
    <row r="78" spans="1:20" x14ac:dyDescent="0.2">
      <c r="A78" s="35" t="s">
        <v>166</v>
      </c>
      <c r="B78" s="36" t="s">
        <v>167</v>
      </c>
      <c r="C78" s="40">
        <v>136162052</v>
      </c>
      <c r="D78" s="38">
        <f>C78*J78</f>
        <v>432094.26140457642</v>
      </c>
      <c r="E78" s="39">
        <f>C78*K78</f>
        <v>367421.41015873017</v>
      </c>
      <c r="F78" s="40" t="s">
        <v>137</v>
      </c>
      <c r="G78" s="70">
        <v>4.2500000000000003E-2</v>
      </c>
      <c r="H78" s="42">
        <v>8.5000000000000006E-2</v>
      </c>
      <c r="I78" s="42">
        <v>8.5000000000000006E-2</v>
      </c>
      <c r="J78" s="44">
        <f>I78/$J$5</f>
        <v>3.173382414981352E-3</v>
      </c>
      <c r="K78" s="45">
        <f>I78/$K$4</f>
        <v>2.6984126984126986E-3</v>
      </c>
      <c r="L78" s="46">
        <f>I78-H78</f>
        <v>0</v>
      </c>
      <c r="M78" s="95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1</v>
      </c>
    </row>
    <row r="79" spans="1:20" x14ac:dyDescent="0.2">
      <c r="A79" s="35" t="s">
        <v>168</v>
      </c>
      <c r="B79" s="36" t="s">
        <v>169</v>
      </c>
      <c r="C79" s="40">
        <v>6677853</v>
      </c>
      <c r="D79" s="38">
        <f>C79*J79</f>
        <v>24931.036800035843</v>
      </c>
      <c r="E79" s="39">
        <f>C79*K79</f>
        <v>21199.533333333333</v>
      </c>
      <c r="F79" s="40" t="s">
        <v>137</v>
      </c>
      <c r="G79" s="70">
        <v>6.0499999999999998E-2</v>
      </c>
      <c r="H79" s="42">
        <v>0.10300000000000001</v>
      </c>
      <c r="I79" s="42">
        <v>0.1</v>
      </c>
      <c r="J79" s="44">
        <f>I79/$J$5</f>
        <v>3.7333910764486495E-3</v>
      </c>
      <c r="K79" s="45">
        <f>I79/$K$4</f>
        <v>3.1746031746031746E-3</v>
      </c>
      <c r="L79" s="46">
        <f>I79-H79</f>
        <v>-3.0000000000000027E-3</v>
      </c>
      <c r="M79" s="95">
        <f>((I79-H79)/H79)*100</f>
        <v>-2.9126213592233037</v>
      </c>
      <c r="N79" s="37">
        <v>2500</v>
      </c>
      <c r="O79" s="37">
        <v>250</v>
      </c>
      <c r="P79" s="40">
        <v>0</v>
      </c>
      <c r="Q79" s="49">
        <f>I79/G79-1</f>
        <v>0.65289256198347112</v>
      </c>
    </row>
    <row r="80" spans="1:20" x14ac:dyDescent="0.2">
      <c r="A80" s="35" t="s">
        <v>170</v>
      </c>
      <c r="B80" s="36" t="s">
        <v>171</v>
      </c>
      <c r="C80" s="37">
        <v>494417400</v>
      </c>
      <c r="D80" s="38">
        <f>C80*J80</f>
        <v>28610729.392614607</v>
      </c>
      <c r="E80" s="39">
        <f>C80*K80</f>
        <v>24328475.238095239</v>
      </c>
      <c r="F80" s="40" t="s">
        <v>137</v>
      </c>
      <c r="G80" s="70">
        <v>1.85</v>
      </c>
      <c r="H80" s="42">
        <v>1.55</v>
      </c>
      <c r="I80" s="42">
        <v>1.55</v>
      </c>
      <c r="J80" s="44">
        <f>I80/$J$5</f>
        <v>5.7867561684954064E-2</v>
      </c>
      <c r="K80" s="45">
        <f>I80/$K$4</f>
        <v>4.9206349206349205E-2</v>
      </c>
      <c r="L80" s="46">
        <f>I80-H80</f>
        <v>0</v>
      </c>
      <c r="M80" s="95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-0.16216216216216217</v>
      </c>
    </row>
    <row r="81" spans="1:243" ht="14.25" thickBot="1" x14ac:dyDescent="0.35">
      <c r="A81" s="35"/>
      <c r="B81" s="36" t="s">
        <v>83</v>
      </c>
      <c r="C81" s="37"/>
      <c r="D81" s="37"/>
      <c r="E81" s="37"/>
      <c r="F81" s="40"/>
      <c r="G81" s="40"/>
      <c r="H81" s="42"/>
      <c r="I81" s="42"/>
      <c r="J81" s="42"/>
      <c r="K81" s="42"/>
      <c r="L81" s="46"/>
      <c r="M81" s="46"/>
      <c r="N81" s="61">
        <f>SUM(N77:N80)</f>
        <v>3700</v>
      </c>
      <c r="O81" s="62">
        <f>SUM(O77:O80)</f>
        <v>358</v>
      </c>
      <c r="P81" s="77"/>
      <c r="Q81" s="63"/>
      <c r="DU81" s="96"/>
      <c r="DV81" s="96"/>
      <c r="DW81" s="97"/>
      <c r="DX81" s="98"/>
      <c r="DY81" s="98"/>
      <c r="DZ81" s="99"/>
      <c r="EA81" s="99"/>
      <c r="EB81" s="100"/>
      <c r="EC81" s="100"/>
      <c r="ED81" s="101"/>
      <c r="EE81" s="101"/>
      <c r="EF81" s="99"/>
      <c r="EG81" s="102"/>
      <c r="EH81" s="103"/>
      <c r="EI81" s="97"/>
      <c r="EJ81" s="96"/>
      <c r="EK81" s="96"/>
      <c r="EL81" s="97"/>
      <c r="EM81" s="98"/>
      <c r="EN81" s="98"/>
      <c r="EO81" s="99"/>
      <c r="EP81" s="99"/>
      <c r="EQ81" s="100"/>
      <c r="ER81" s="100"/>
      <c r="ES81" s="101"/>
      <c r="ET81" s="101"/>
      <c r="EU81" s="99"/>
      <c r="EV81" s="102"/>
      <c r="EW81" s="103"/>
      <c r="EX81" s="97"/>
      <c r="EY81" s="96"/>
      <c r="EZ81" s="96"/>
      <c r="FA81" s="97"/>
      <c r="FB81" s="98"/>
      <c r="FC81" s="98"/>
      <c r="FD81" s="99"/>
      <c r="FE81" s="99"/>
      <c r="FF81" s="100"/>
      <c r="FG81" s="100"/>
      <c r="FH81" s="101"/>
      <c r="FI81" s="101"/>
      <c r="FJ81" s="99"/>
      <c r="FK81" s="102"/>
      <c r="FL81" s="103"/>
      <c r="FM81" s="97"/>
      <c r="FN81" s="96"/>
      <c r="FO81" s="96"/>
      <c r="FP81" s="97"/>
      <c r="FQ81" s="98"/>
      <c r="FR81" s="98"/>
      <c r="FS81" s="99"/>
      <c r="FT81" s="99"/>
      <c r="FU81" s="100"/>
      <c r="FV81" s="100"/>
      <c r="FW81" s="101"/>
      <c r="FX81" s="101"/>
      <c r="FY81" s="99"/>
      <c r="FZ81" s="102"/>
      <c r="GA81" s="103"/>
      <c r="GB81" s="97"/>
      <c r="GC81" s="96"/>
      <c r="GD81" s="96"/>
      <c r="GE81" s="97"/>
      <c r="GF81" s="98"/>
      <c r="GG81" s="98"/>
      <c r="GH81" s="99"/>
      <c r="GI81" s="99"/>
      <c r="GJ81" s="100"/>
      <c r="GK81" s="100"/>
      <c r="GL81" s="101"/>
      <c r="GM81" s="101"/>
      <c r="GN81" s="99"/>
      <c r="GO81" s="102"/>
      <c r="GP81" s="103"/>
      <c r="GQ81" s="97"/>
      <c r="GR81" s="96"/>
      <c r="GS81" s="96"/>
      <c r="GT81" s="97"/>
      <c r="GU81" s="98"/>
      <c r="GV81" s="98"/>
      <c r="GW81" s="99"/>
      <c r="GX81" s="99"/>
      <c r="GY81" s="100"/>
      <c r="GZ81" s="100"/>
      <c r="HA81" s="101"/>
      <c r="HB81" s="101"/>
      <c r="HC81" s="99"/>
      <c r="HD81" s="102"/>
      <c r="HE81" s="103"/>
      <c r="HF81" s="97"/>
      <c r="HG81" s="96"/>
      <c r="HH81" s="96"/>
      <c r="HI81" s="97"/>
      <c r="HJ81" s="98"/>
      <c r="HK81" s="98"/>
      <c r="HL81" s="99"/>
      <c r="HM81" s="99"/>
      <c r="HN81" s="100"/>
      <c r="HO81" s="100"/>
      <c r="HP81" s="101"/>
      <c r="HQ81" s="101"/>
      <c r="HR81" s="99"/>
      <c r="HS81" s="102"/>
      <c r="HT81" s="103"/>
      <c r="HU81" s="97"/>
      <c r="HV81" s="96"/>
      <c r="HW81" s="96"/>
      <c r="HX81" s="97"/>
      <c r="HY81" s="98"/>
      <c r="HZ81" s="98"/>
      <c r="IA81" s="99"/>
      <c r="IB81" s="99"/>
      <c r="IC81" s="100"/>
      <c r="ID81" s="100"/>
      <c r="IE81" s="101"/>
      <c r="IF81" s="101"/>
      <c r="IG81" s="99"/>
      <c r="IH81" s="102"/>
      <c r="II81" s="103"/>
    </row>
    <row r="82" spans="1:243" ht="13.5" thickTop="1" x14ac:dyDescent="0.25">
      <c r="A82" s="132" t="s">
        <v>172</v>
      </c>
      <c r="B82" s="133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5"/>
    </row>
    <row r="83" spans="1:243" x14ac:dyDescent="0.2">
      <c r="A83" s="35" t="s">
        <v>173</v>
      </c>
      <c r="B83" s="36" t="s">
        <v>174</v>
      </c>
      <c r="C83" s="40">
        <v>368326244</v>
      </c>
      <c r="D83" s="38">
        <f>C83*J83</f>
        <v>27215642.436662946</v>
      </c>
      <c r="E83" s="39">
        <f>C83*K83</f>
        <v>23142195.154245965</v>
      </c>
      <c r="F83" s="40" t="s">
        <v>175</v>
      </c>
      <c r="G83" s="40">
        <v>1.3</v>
      </c>
      <c r="H83" s="42">
        <f>197.8333/100</f>
        <v>1.9783330000000001</v>
      </c>
      <c r="I83" s="42">
        <f>197.9167/100</f>
        <v>1.9791669999999999</v>
      </c>
      <c r="J83" s="44">
        <f>I83/$J$5</f>
        <v>7.3890044166016439E-2</v>
      </c>
      <c r="K83" s="45">
        <f>I83/$K$4</f>
        <v>6.2830698412698407E-2</v>
      </c>
      <c r="L83" s="46">
        <f>I83-H83</f>
        <v>8.3399999999977936E-4</v>
      </c>
      <c r="M83" s="46">
        <f>((I83-H83)/H83*100)</f>
        <v>4.2156704659922231E-2</v>
      </c>
      <c r="N83" s="51">
        <v>1879</v>
      </c>
      <c r="O83" s="144">
        <f>N83*I83</f>
        <v>3718.854793</v>
      </c>
      <c r="P83" s="51">
        <f>(R83)/J83</f>
        <v>0</v>
      </c>
      <c r="Q83" s="49">
        <f>I83/G83-1</f>
        <v>0.52243615384615372</v>
      </c>
      <c r="R83" s="52"/>
    </row>
    <row r="84" spans="1:243" s="104" customFormat="1" ht="12.75" thickBot="1" x14ac:dyDescent="0.25">
      <c r="A84" s="35" t="s">
        <v>176</v>
      </c>
      <c r="B84" s="36" t="s">
        <v>177</v>
      </c>
      <c r="C84" s="40">
        <v>1841105000</v>
      </c>
      <c r="D84" s="38">
        <f>C84*J84</f>
        <v>89356344.711464867</v>
      </c>
      <c r="E84" s="39">
        <f>C84*K84</f>
        <v>75982111.111111104</v>
      </c>
      <c r="F84" s="40" t="s">
        <v>175</v>
      </c>
      <c r="G84" s="40">
        <v>1.44347</v>
      </c>
      <c r="H84" s="42">
        <v>1.2996479999999999</v>
      </c>
      <c r="I84" s="42">
        <f>130/100</f>
        <v>1.3</v>
      </c>
      <c r="J84" s="44">
        <f>I84/$J$5</f>
        <v>4.8534083993832439E-2</v>
      </c>
      <c r="K84" s="45">
        <f>I84/$K$4</f>
        <v>4.1269841269841269E-2</v>
      </c>
      <c r="L84" s="46">
        <f>I84-H84</f>
        <v>3.5200000000012999E-4</v>
      </c>
      <c r="M84" s="46">
        <f>((I84-H84)/H84*100)</f>
        <v>2.7084256660274933E-2</v>
      </c>
      <c r="N84" s="145">
        <v>25000</v>
      </c>
      <c r="O84" s="144">
        <f>N84*I84</f>
        <v>32500</v>
      </c>
      <c r="P84" s="48">
        <f>(R84)/J84</f>
        <v>4.4834471384615382E-2</v>
      </c>
      <c r="Q84" s="49">
        <f>I84/G84-1</f>
        <v>-9.9392436282014884E-2</v>
      </c>
      <c r="R84" s="52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2.75" thickBot="1" x14ac:dyDescent="0.25">
      <c r="A85" s="78"/>
      <c r="B85" s="79"/>
      <c r="C85" s="80"/>
      <c r="D85" s="105"/>
      <c r="E85" s="81"/>
      <c r="F85" s="80"/>
      <c r="G85" s="80"/>
      <c r="H85" s="82"/>
      <c r="I85" s="82"/>
      <c r="J85" s="82"/>
      <c r="K85" s="82"/>
      <c r="L85" s="83"/>
      <c r="M85" s="83"/>
      <c r="N85" s="83"/>
      <c r="O85" s="83"/>
      <c r="P85" s="83"/>
      <c r="Q85" s="83"/>
    </row>
    <row r="86" spans="1:243" ht="12.75" thickBot="1" x14ac:dyDescent="0.25">
      <c r="A86" s="106"/>
      <c r="B86" s="107"/>
      <c r="C86" s="107"/>
      <c r="D86" s="107"/>
      <c r="E86" s="107"/>
      <c r="F86" s="108"/>
      <c r="G86" s="108"/>
      <c r="H86" s="59"/>
      <c r="M86" s="109"/>
      <c r="N86" s="109"/>
      <c r="O86" s="59"/>
      <c r="P86" s="59"/>
      <c r="Q86" s="110"/>
    </row>
    <row r="87" spans="1:243" ht="12.75" thickBot="1" x14ac:dyDescent="0.25">
      <c r="A87" s="136" t="s">
        <v>179</v>
      </c>
      <c r="B87" s="137"/>
      <c r="C87" s="137"/>
      <c r="D87" s="138"/>
      <c r="E87" s="136" t="s">
        <v>180</v>
      </c>
      <c r="F87" s="137"/>
      <c r="G87" s="137"/>
      <c r="H87" s="138"/>
      <c r="I87" s="52"/>
      <c r="K87" s="52"/>
      <c r="L87" s="139" t="s">
        <v>181</v>
      </c>
      <c r="M87" s="140"/>
      <c r="N87" s="141"/>
      <c r="O87" s="139" t="s">
        <v>182</v>
      </c>
      <c r="P87" s="140"/>
      <c r="Q87" s="141"/>
    </row>
    <row r="88" spans="1:243" x14ac:dyDescent="0.2">
      <c r="A88" s="35" t="s">
        <v>58</v>
      </c>
      <c r="B88" s="111">
        <v>10</v>
      </c>
      <c r="D88" s="111">
        <v>11.111111111111111</v>
      </c>
      <c r="E88" s="35" t="s">
        <v>35</v>
      </c>
      <c r="F88" s="112">
        <v>6.8199999999999997E-2</v>
      </c>
      <c r="H88" s="113">
        <v>-2.8490028490028516</v>
      </c>
      <c r="L88" s="35" t="s">
        <v>121</v>
      </c>
      <c r="M88" s="51">
        <v>51.45</v>
      </c>
      <c r="N88" s="114">
        <v>17.186699252692797</v>
      </c>
      <c r="O88" s="59" t="s">
        <v>119</v>
      </c>
      <c r="P88" s="112">
        <v>0.14019999999999999</v>
      </c>
      <c r="Q88" s="115">
        <v>-5.7162071284465421</v>
      </c>
    </row>
    <row r="89" spans="1:243" x14ac:dyDescent="0.2">
      <c r="A89" s="35" t="s">
        <v>87</v>
      </c>
      <c r="B89" s="111">
        <v>1.25</v>
      </c>
      <c r="D89" s="111">
        <v>4.4421327919053279</v>
      </c>
      <c r="E89" s="35" t="s">
        <v>62</v>
      </c>
      <c r="F89" s="112">
        <v>3.25</v>
      </c>
      <c r="H89" s="113">
        <v>-0.91264031532341527</v>
      </c>
      <c r="L89" s="35" t="s">
        <v>144</v>
      </c>
      <c r="M89" s="51">
        <v>0.25950000000000001</v>
      </c>
      <c r="N89" s="114">
        <v>3.3041401273885467</v>
      </c>
      <c r="O89" s="59" t="s">
        <v>148</v>
      </c>
      <c r="P89" s="112">
        <v>0.1416</v>
      </c>
      <c r="Q89" s="115">
        <v>-5.5999999999999943</v>
      </c>
    </row>
    <row r="90" spans="1:243" x14ac:dyDescent="0.2">
      <c r="A90" s="35" t="s">
        <v>96</v>
      </c>
      <c r="B90" s="111">
        <v>4.5933000000000002E-2</v>
      </c>
      <c r="C90" s="111"/>
      <c r="D90" s="111">
        <v>3.6371020509465093</v>
      </c>
      <c r="E90" s="35" t="s">
        <v>98</v>
      </c>
      <c r="F90" s="112">
        <v>3.5925929999999999</v>
      </c>
      <c r="H90" s="113">
        <v>-0.20575000000000454</v>
      </c>
      <c r="L90" s="35" t="s">
        <v>123</v>
      </c>
      <c r="M90" s="51">
        <v>0.24840000000000001</v>
      </c>
      <c r="N90" s="114">
        <v>2.012320328542101</v>
      </c>
      <c r="O90" s="35" t="s">
        <v>140</v>
      </c>
      <c r="P90" s="112">
        <v>0.36</v>
      </c>
      <c r="Q90" s="115">
        <v>-3.7175715431933738</v>
      </c>
    </row>
    <row r="91" spans="1:243" x14ac:dyDescent="0.2">
      <c r="A91" s="35" t="s">
        <v>73</v>
      </c>
      <c r="B91" s="111">
        <v>1.7725</v>
      </c>
      <c r="C91" s="111"/>
      <c r="D91" s="111">
        <v>1.2857142857142836</v>
      </c>
      <c r="E91" s="35" t="s">
        <v>75</v>
      </c>
      <c r="F91" s="112">
        <v>2.9995659999999997</v>
      </c>
      <c r="H91" s="113">
        <v>-1.4466666666675584E-2</v>
      </c>
      <c r="L91" s="35" t="s">
        <v>142</v>
      </c>
      <c r="M91" s="51">
        <v>0.70179999999999998</v>
      </c>
      <c r="N91" s="114">
        <v>0.74648291702555014</v>
      </c>
      <c r="O91" s="35" t="s">
        <v>133</v>
      </c>
      <c r="P91" s="112">
        <v>1.9300000000000001E-2</v>
      </c>
      <c r="Q91" s="115">
        <v>-2.5252525252525273</v>
      </c>
    </row>
    <row r="92" spans="1:243" x14ac:dyDescent="0.2">
      <c r="A92" s="35" t="s">
        <v>52</v>
      </c>
      <c r="B92" s="111">
        <v>30.6356</v>
      </c>
      <c r="C92" s="111"/>
      <c r="D92" s="111">
        <v>1.1729625168367939</v>
      </c>
      <c r="E92" s="35"/>
      <c r="F92" s="112"/>
      <c r="G92" s="112"/>
      <c r="H92" s="113"/>
      <c r="L92" s="35" t="s">
        <v>138</v>
      </c>
      <c r="M92" s="51">
        <v>1.1077999999999999</v>
      </c>
      <c r="N92" s="114">
        <v>0.38966923425464167</v>
      </c>
      <c r="O92" s="35" t="s">
        <v>129</v>
      </c>
      <c r="P92" s="112">
        <v>1.4204000000000001</v>
      </c>
      <c r="Q92" s="115">
        <v>-2.0683949255377696</v>
      </c>
    </row>
    <row r="93" spans="1:243" ht="12.75" thickBot="1" x14ac:dyDescent="0.25">
      <c r="A93" s="116"/>
      <c r="B93" s="117"/>
      <c r="C93" s="117"/>
      <c r="D93" s="117"/>
      <c r="E93" s="116"/>
      <c r="F93" s="117"/>
      <c r="G93" s="117"/>
      <c r="H93" s="118"/>
      <c r="L93" s="116"/>
      <c r="M93" s="117"/>
      <c r="N93" s="118"/>
      <c r="O93" s="117"/>
      <c r="P93" s="117"/>
      <c r="Q93" s="118"/>
    </row>
    <row r="94" spans="1:243" x14ac:dyDescent="0.2">
      <c r="A94" s="119"/>
      <c r="B94" s="120"/>
      <c r="C94" s="120"/>
      <c r="D94" s="120"/>
      <c r="E94" s="109"/>
      <c r="F94" s="109"/>
      <c r="G94" s="109"/>
      <c r="H94" s="109"/>
      <c r="I94" s="109"/>
      <c r="J94" s="109"/>
      <c r="K94" s="109"/>
      <c r="L94" s="109"/>
      <c r="M94" s="120"/>
      <c r="Q94" s="16"/>
    </row>
    <row r="95" spans="1:243" x14ac:dyDescent="0.2">
      <c r="A95" s="12" t="s">
        <v>178</v>
      </c>
      <c r="B95" s="121"/>
      <c r="C95" s="121"/>
      <c r="D95" s="121"/>
      <c r="E95" s="121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">
      <c r="A96" s="119"/>
      <c r="B96" s="120"/>
      <c r="C96" s="120"/>
      <c r="D96" s="120"/>
      <c r="E96" s="120"/>
      <c r="F96" s="109"/>
      <c r="G96" s="109"/>
      <c r="H96" s="120"/>
      <c r="I96" s="109"/>
      <c r="J96" s="109"/>
      <c r="K96" s="109"/>
      <c r="L96" s="109"/>
      <c r="M96" s="120"/>
      <c r="Q96" s="16"/>
    </row>
    <row r="97" spans="1:17" ht="12.75" thickBot="1" x14ac:dyDescent="0.25">
      <c r="A97" s="122"/>
      <c r="B97" s="123"/>
      <c r="C97" s="123"/>
      <c r="D97" s="123"/>
      <c r="E97" s="123"/>
      <c r="F97" s="124"/>
      <c r="G97" s="124"/>
      <c r="H97" s="124"/>
      <c r="I97" s="125"/>
      <c r="J97" s="125"/>
      <c r="K97" s="125"/>
      <c r="L97" s="125"/>
      <c r="M97" s="125"/>
      <c r="N97" s="125"/>
      <c r="O97" s="125"/>
      <c r="P97" s="125"/>
      <c r="Q97" s="126"/>
    </row>
    <row r="98" spans="1:17" x14ac:dyDescent="0.2">
      <c r="I98" s="32"/>
      <c r="J98" s="32"/>
      <c r="K98" s="32"/>
      <c r="L98" s="32"/>
      <c r="M98" s="32"/>
      <c r="N98" s="32"/>
      <c r="O98" s="32"/>
      <c r="P98" s="32"/>
    </row>
    <row r="99" spans="1:17" x14ac:dyDescent="0.2">
      <c r="I99" s="32"/>
      <c r="J99" s="32"/>
      <c r="K99" s="32"/>
      <c r="O99" s="32"/>
      <c r="P99" s="32"/>
    </row>
    <row r="100" spans="1:17" x14ac:dyDescent="0.2">
      <c r="I100" s="32"/>
      <c r="J100" s="32"/>
      <c r="K100" s="32"/>
      <c r="O100" s="32"/>
      <c r="P100" s="32"/>
    </row>
    <row r="101" spans="1:17" x14ac:dyDescent="0.2">
      <c r="I101" s="127"/>
      <c r="J101" s="127"/>
      <c r="K101" s="127"/>
      <c r="O101" s="127"/>
      <c r="P101" s="127"/>
    </row>
    <row r="103" spans="1:17" x14ac:dyDescent="0.2">
      <c r="I103" s="32"/>
      <c r="J103" s="32"/>
      <c r="K103" s="32"/>
      <c r="O103" s="32"/>
      <c r="P103" s="32"/>
    </row>
    <row r="104" spans="1:17" x14ac:dyDescent="0.2">
      <c r="I104" s="127"/>
      <c r="J104" s="127"/>
      <c r="K104" s="127"/>
      <c r="O104" s="127"/>
      <c r="P104" s="127"/>
    </row>
    <row r="105" spans="1:17" x14ac:dyDescent="0.2">
      <c r="I105" s="32"/>
      <c r="J105" s="32"/>
      <c r="K105" s="32"/>
      <c r="O105" s="32"/>
      <c r="P105" s="32"/>
    </row>
    <row r="106" spans="1:17" x14ac:dyDescent="0.2">
      <c r="I106" s="127"/>
      <c r="J106" s="127"/>
      <c r="K106" s="127"/>
      <c r="O106" s="127"/>
      <c r="P106" s="127"/>
    </row>
  </sheetData>
  <sortState xmlns:xlrd2="http://schemas.microsoft.com/office/spreadsheetml/2017/richdata2" ref="A50:II64">
    <sortCondition ref="A50:A64"/>
  </sortState>
  <mergeCells count="12">
    <mergeCell ref="A73:Q73"/>
    <mergeCell ref="L5:M5"/>
    <mergeCell ref="A6:Q6"/>
    <mergeCell ref="A49:Q49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1:A92">
    <cfRule type="duplicateValues" dxfId="39" priority="47" stopIfTrue="1"/>
  </conditionalFormatting>
  <conditionalFormatting sqref="E92">
    <cfRule type="duplicateValues" dxfId="38" priority="48" stopIfTrue="1"/>
  </conditionalFormatting>
  <conditionalFormatting sqref="L9:M26 L28:M46 L50:M64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4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4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0:Q71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T. Gachira</dc:creator>
  <cp:lastModifiedBy>Stanley T. Gachira</cp:lastModifiedBy>
  <dcterms:created xsi:type="dcterms:W3CDTF">2026-07-14T13:28:23Z</dcterms:created>
  <dcterms:modified xsi:type="dcterms:W3CDTF">2026-07-14T13:47:51Z</dcterms:modified>
</cp:coreProperties>
</file>