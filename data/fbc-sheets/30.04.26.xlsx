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30.04.26/"/>
    </mc:Choice>
  </mc:AlternateContent>
  <xr:revisionPtr revIDLastSave="0" documentId="8_{7F9A38A2-4322-4F61-A535-AF87904445C9}" xr6:coauthVersionLast="47" xr6:coauthVersionMax="47" xr10:uidLastSave="{00000000-0000-0000-0000-000000000000}"/>
  <bookViews>
    <workbookView xWindow="-108" yWindow="-108" windowWidth="23256" windowHeight="12456" xr2:uid="{85793F7A-769B-4B37-8305-E5FDE7CBEDA2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D76" i="1" s="1"/>
  <c r="E76" i="1"/>
  <c r="O74" i="1"/>
  <c r="N74" i="1"/>
  <c r="M73" i="1"/>
  <c r="L73" i="1"/>
  <c r="J73" i="1"/>
  <c r="Q73" i="1" s="1"/>
  <c r="D73" i="1"/>
  <c r="Q72" i="1"/>
  <c r="P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P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P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P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E14" i="1" s="1"/>
  <c r="J14" i="1"/>
  <c r="D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D10" i="1"/>
  <c r="P59" i="1" l="1"/>
  <c r="K73" i="1"/>
  <c r="E73" i="1" s="1"/>
  <c r="P53" i="1"/>
  <c r="Q57" i="1"/>
  <c r="Q61" i="1"/>
  <c r="Q65" i="1"/>
  <c r="D17" i="1"/>
  <c r="P11" i="1"/>
  <c r="P14" i="1"/>
  <c r="P42" i="1"/>
  <c r="P45" i="1"/>
  <c r="P63" i="1"/>
  <c r="P73" i="1"/>
</calcChain>
</file>

<file path=xl/sharedStrings.xml><?xml version="1.0" encoding="utf-8"?>
<sst xmlns="http://schemas.openxmlformats.org/spreadsheetml/2006/main" count="262" uniqueCount="181">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</sst>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9" fontId="21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5" fillId="5" borderId="5" xfId="3" applyFont="1" applyFill="1" applyBorder="1"/>
    <xf numFmtId="0" fontId="23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6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25" fillId="2" borderId="14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5731A9FD-5D6C-4530-9D71-82C3F82EFB24}"/>
    <cellStyle name="Comma 5 2 2 2 2 2 2 2 2" xfId="4" xr:uid="{2CBDAE39-E826-4C87-B813-009E2D699C62}"/>
    <cellStyle name="Comma 6 2 2 2" xfId="5" xr:uid="{515C6371-7232-4CC4-AD7E-46E882D6B268}"/>
    <cellStyle name="Hyperlink 2" xfId="8" xr:uid="{D5B7DA64-37B1-4249-AEE0-72F36644D76A}"/>
    <cellStyle name="Normal" xfId="0" builtinId="0"/>
    <cellStyle name="Normal 2" xfId="2" xr:uid="{9CADA39A-23E2-40A7-9827-7F18BFE48965}"/>
    <cellStyle name="Normal 20" xfId="7" xr:uid="{5E3A4E50-7E7E-4B1F-B992-6B0D00C08D31}"/>
    <cellStyle name="Percent" xfId="1" builtinId="5"/>
    <cellStyle name="Percent 3" xfId="6" xr:uid="{59E90A71-1AC7-4632-928B-29A81659022F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402691A-583A-4022-B625-45DA73F0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8EE6520-3F4B-4625-AD1F-A4D09E4DE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F484-FFAE-434F-9328-8A371B66EA60}">
  <dimension ref="A1:II105"/>
  <sheetViews>
    <sheetView tabSelected="1" zoomScale="70" zoomScaleNormal="70" workbookViewId="0">
      <selection activeCell="J89" sqref="J89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25.341899999999999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8" ht="12.6" x14ac:dyDescent="0.3">
      <c r="A6" s="128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1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67931892.012832507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0.54455269731156708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2944119.3615462929</v>
      </c>
      <c r="E11" s="39">
        <f t="shared" si="1"/>
        <v>2486985.9482789999</v>
      </c>
      <c r="F11" s="40" t="s">
        <v>34</v>
      </c>
      <c r="G11" s="41">
        <v>3.1600000000000003E-2</v>
      </c>
      <c r="H11" s="42">
        <v>0.04</v>
      </c>
      <c r="I11" s="42">
        <v>4.5845999999999998E-2</v>
      </c>
      <c r="J11" s="43">
        <f t="shared" ref="J11:J18" si="7">I11/$J$5</f>
        <v>1.8090987652859493E-3</v>
      </c>
      <c r="K11" s="44">
        <f t="shared" si="2"/>
        <v>1.5282E-3</v>
      </c>
      <c r="L11" s="45">
        <f t="shared" si="3"/>
        <v>5.845999999999997E-3</v>
      </c>
      <c r="M11" s="45">
        <f t="shared" si="4"/>
        <v>14.614999999999991</v>
      </c>
      <c r="N11" s="46">
        <v>70100</v>
      </c>
      <c r="O11" s="37">
        <v>3213.8</v>
      </c>
      <c r="P11" s="47">
        <f t="shared" si="5"/>
        <v>0</v>
      </c>
      <c r="Q11" s="48">
        <f t="shared" si="6"/>
        <v>0.45082278481012628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4259089.0056783436</v>
      </c>
      <c r="E12" s="39">
        <f t="shared" si="1"/>
        <v>3597780.255766667</v>
      </c>
      <c r="F12" s="40" t="s">
        <v>39</v>
      </c>
      <c r="G12" s="41">
        <v>7.8E-2</v>
      </c>
      <c r="H12" s="42">
        <v>0.247</v>
      </c>
      <c r="I12" s="42">
        <v>0.247</v>
      </c>
      <c r="J12" s="43">
        <f t="shared" si="7"/>
        <v>9.7467040750693519E-3</v>
      </c>
      <c r="K12" s="44">
        <f t="shared" si="2"/>
        <v>8.2333333333333338E-3</v>
      </c>
      <c r="L12" s="45">
        <f t="shared" si="3"/>
        <v>0</v>
      </c>
      <c r="M12" s="45">
        <f t="shared" si="4"/>
        <v>0</v>
      </c>
      <c r="N12" s="46">
        <v>0</v>
      </c>
      <c r="O12" s="37">
        <v>0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162636103.86038142</v>
      </c>
      <c r="E13" s="39">
        <f t="shared" si="1"/>
        <v>137383596.01398</v>
      </c>
      <c r="F13" s="40" t="s">
        <v>34</v>
      </c>
      <c r="G13" s="41">
        <v>97.381</v>
      </c>
      <c r="H13" s="42">
        <v>196.1129</v>
      </c>
      <c r="I13" s="42">
        <v>199.7482</v>
      </c>
      <c r="J13" s="43">
        <f t="shared" si="7"/>
        <v>7.8821319632703153</v>
      </c>
      <c r="K13" s="44">
        <f t="shared" si="2"/>
        <v>6.6582733333333328</v>
      </c>
      <c r="L13" s="45">
        <f t="shared" si="3"/>
        <v>3.6353000000000009</v>
      </c>
      <c r="M13" s="45">
        <f t="shared" si="4"/>
        <v>1.8536771420951916</v>
      </c>
      <c r="N13" s="46">
        <v>3200</v>
      </c>
      <c r="O13" s="37">
        <v>639194.25</v>
      </c>
      <c r="P13" s="47">
        <f t="shared" si="5"/>
        <v>0</v>
      </c>
      <c r="Q13" s="48">
        <f t="shared" si="6"/>
        <v>1.0512030067466958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4481146.6998922722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0.51300415517384246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312754578.53197676</v>
      </c>
      <c r="E15" s="39">
        <f t="shared" si="1"/>
        <v>264193175.12331668</v>
      </c>
      <c r="F15" s="40" t="s">
        <v>47</v>
      </c>
      <c r="G15" s="41">
        <v>11.5</v>
      </c>
      <c r="H15" s="42">
        <v>14.875499999999999</v>
      </c>
      <c r="I15" s="42">
        <v>15.164300000000001</v>
      </c>
      <c r="J15" s="43">
        <f t="shared" si="7"/>
        <v>0.59838843969868094</v>
      </c>
      <c r="K15" s="44">
        <f t="shared" si="2"/>
        <v>0.50547666666666669</v>
      </c>
      <c r="L15" s="45">
        <f t="shared" si="3"/>
        <v>0.28880000000000194</v>
      </c>
      <c r="M15" s="45">
        <f t="shared" si="4"/>
        <v>1.9414473463077002</v>
      </c>
      <c r="N15" s="46">
        <v>1400</v>
      </c>
      <c r="O15" s="37">
        <v>21230</v>
      </c>
      <c r="P15" s="47">
        <f t="shared" si="5"/>
        <v>0</v>
      </c>
      <c r="Q15" s="48">
        <f t="shared" si="6"/>
        <v>0.31863478260869571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25901491.847493678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0.24425950698250726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42094142.057520628</v>
      </c>
      <c r="E17" s="39">
        <f t="shared" si="1"/>
        <v>35558184.620249398</v>
      </c>
      <c r="F17" s="40" t="s">
        <v>34</v>
      </c>
      <c r="G17" s="41">
        <v>1.9</v>
      </c>
      <c r="H17" s="42">
        <v>2.598023</v>
      </c>
      <c r="I17" s="42">
        <v>2.9797289999999998</v>
      </c>
      <c r="J17" s="43">
        <f t="shared" si="7"/>
        <v>0.11758112059474625</v>
      </c>
      <c r="K17" s="44">
        <f t="shared" si="2"/>
        <v>9.932429999999999E-2</v>
      </c>
      <c r="L17" s="45">
        <f t="shared" si="3"/>
        <v>0.38170599999999988</v>
      </c>
      <c r="M17" s="45">
        <f t="shared" si="4"/>
        <v>14.692171701328274</v>
      </c>
      <c r="N17" s="46">
        <v>110700</v>
      </c>
      <c r="O17" s="37">
        <v>329856</v>
      </c>
      <c r="P17" s="47">
        <f t="shared" si="5"/>
        <v>0</v>
      </c>
      <c r="Q17" s="48">
        <f t="shared" si="6"/>
        <v>0.56827842105263149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1418991705.0557575</v>
      </c>
      <c r="E18" s="39">
        <f t="shared" si="1"/>
        <v>1198664863.01175</v>
      </c>
      <c r="F18" s="40" t="s">
        <v>34</v>
      </c>
      <c r="G18" s="41">
        <v>20.701700000000002</v>
      </c>
      <c r="H18" s="42">
        <v>26.9392</v>
      </c>
      <c r="I18" s="42">
        <v>26.8035</v>
      </c>
      <c r="J18" s="43">
        <f t="shared" si="7"/>
        <v>1.0576752335065642</v>
      </c>
      <c r="K18" s="44">
        <f t="shared" si="2"/>
        <v>0.89344999999999997</v>
      </c>
      <c r="L18" s="45">
        <f t="shared" si="3"/>
        <v>-0.13569999999999993</v>
      </c>
      <c r="M18" s="45">
        <f t="shared" si="4"/>
        <v>-0.50372691096988742</v>
      </c>
      <c r="N18" s="46">
        <v>2727900</v>
      </c>
      <c r="O18" s="37">
        <v>73117327.599999994</v>
      </c>
      <c r="P18" s="47">
        <f t="shared" si="5"/>
        <v>0</v>
      </c>
      <c r="Q18" s="48">
        <f t="shared" si="6"/>
        <v>0.29474874044160604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262502191.12615865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0.390657369810472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2484330.7801703899</v>
      </c>
      <c r="E21" s="39">
        <f t="shared" si="1"/>
        <v>2098588.7399333329</v>
      </c>
      <c r="F21" s="40" t="s">
        <v>47</v>
      </c>
      <c r="G21" s="41">
        <v>0.35</v>
      </c>
      <c r="H21" s="42">
        <v>0.57799999999999996</v>
      </c>
      <c r="I21" s="42">
        <v>0.57799999999999996</v>
      </c>
      <c r="J21" s="43">
        <f t="shared" si="8"/>
        <v>2.2808076742469981E-2</v>
      </c>
      <c r="K21" s="44">
        <f t="shared" si="9"/>
        <v>1.9266666666666665E-2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0.65142857142857147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78704179.378815323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0.11404038371234991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54751014.757871352</v>
      </c>
      <c r="E23" s="39">
        <f t="shared" si="1"/>
        <v>46249824.696416669</v>
      </c>
      <c r="F23" s="40" t="s">
        <v>66</v>
      </c>
      <c r="G23" s="41">
        <v>0.88420599999999994</v>
      </c>
      <c r="H23" s="42">
        <v>1.1200000000000001</v>
      </c>
      <c r="I23" s="42">
        <v>1.1225000000000001</v>
      </c>
      <c r="J23" s="43">
        <f t="shared" si="8"/>
        <v>4.4294232082045942E-2</v>
      </c>
      <c r="K23" s="44">
        <f t="shared" si="9"/>
        <v>3.7416666666666668E-2</v>
      </c>
      <c r="L23" s="45">
        <f t="shared" si="10"/>
        <v>2.4999999999999467E-3</v>
      </c>
      <c r="M23" s="45">
        <f t="shared" si="11"/>
        <v>0.22321428571428092</v>
      </c>
      <c r="N23" s="46">
        <v>500</v>
      </c>
      <c r="O23" s="37">
        <v>561.25</v>
      </c>
      <c r="P23" s="47">
        <f t="shared" si="12"/>
        <v>0</v>
      </c>
      <c r="Q23" s="48">
        <f t="shared" si="13"/>
        <v>0.2695005462527964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2470303.5241848878</v>
      </c>
      <c r="E24" s="39">
        <f t="shared" si="1"/>
        <v>2086739.4959847</v>
      </c>
      <c r="F24" s="40" t="s">
        <v>44</v>
      </c>
      <c r="G24" s="41">
        <v>0.1</v>
      </c>
      <c r="H24" s="42">
        <v>0.11666700000000001</v>
      </c>
      <c r="I24" s="42">
        <v>0.11666700000000001</v>
      </c>
      <c r="J24" s="43">
        <f t="shared" si="8"/>
        <v>4.6037195316846807E-3</v>
      </c>
      <c r="K24" s="44">
        <f t="shared" si="9"/>
        <v>3.8889000000000003E-3</v>
      </c>
      <c r="L24" s="45">
        <f t="shared" si="10"/>
        <v>0</v>
      </c>
      <c r="M24" s="45">
        <f t="shared" si="11"/>
        <v>0</v>
      </c>
      <c r="N24" s="46">
        <v>0</v>
      </c>
      <c r="O24" s="37">
        <v>0</v>
      </c>
      <c r="P24" s="47">
        <f t="shared" si="12"/>
        <v>0</v>
      </c>
      <c r="Q24" s="48">
        <f t="shared" si="13"/>
        <v>0.1666700000000001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72282076.417316779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0.37447863025266459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45700</v>
      </c>
      <c r="O25" s="37">
        <v>433693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83272830.338622168</v>
      </c>
      <c r="E26" s="39">
        <f t="shared" si="1"/>
        <v>70343057.971944287</v>
      </c>
      <c r="F26" s="40" t="s">
        <v>66</v>
      </c>
      <c r="G26" s="41">
        <v>1.6675</v>
      </c>
      <c r="H26" s="42">
        <v>1.1995</v>
      </c>
      <c r="I26" s="42">
        <v>1.250481</v>
      </c>
      <c r="J26" s="43">
        <f t="shared" si="8"/>
        <v>4.9344405904845338E-2</v>
      </c>
      <c r="K26" s="44">
        <f t="shared" si="9"/>
        <v>4.1682699999999996E-2</v>
      </c>
      <c r="L26" s="45">
        <f t="shared" si="10"/>
        <v>5.0980999999999943E-2</v>
      </c>
      <c r="M26" s="45">
        <f t="shared" si="11"/>
        <v>4.2501875781575613</v>
      </c>
      <c r="N26" s="46">
        <v>38500</v>
      </c>
      <c r="O26" s="37">
        <v>48143.5</v>
      </c>
      <c r="P26" s="47">
        <f t="shared" si="12"/>
        <v>0</v>
      </c>
      <c r="Q26" s="48">
        <f t="shared" si="13"/>
        <v>-0.2500863568215892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29289546.137695871</v>
      </c>
      <c r="E27" s="39">
        <f t="shared" si="1"/>
        <v>24741758.308895834</v>
      </c>
      <c r="F27" s="40" t="s">
        <v>44</v>
      </c>
      <c r="G27" s="41">
        <v>1.7994999999999999</v>
      </c>
      <c r="H27" s="42">
        <v>3</v>
      </c>
      <c r="I27" s="42">
        <v>3.100625</v>
      </c>
      <c r="J27" s="43">
        <f t="shared" si="8"/>
        <v>0.12235171790591866</v>
      </c>
      <c r="K27" s="44">
        <f t="shared" si="9"/>
        <v>0.10335416666666666</v>
      </c>
      <c r="L27" s="45">
        <f t="shared" si="10"/>
        <v>0.10062499999999996</v>
      </c>
      <c r="M27" s="45">
        <f t="shared" si="11"/>
        <v>3.3541666666666656</v>
      </c>
      <c r="N27" s="46">
        <v>1600</v>
      </c>
      <c r="O27" s="37">
        <v>4961</v>
      </c>
      <c r="P27" s="47">
        <f t="shared" si="12"/>
        <v>0</v>
      </c>
      <c r="Q27" s="48">
        <f t="shared" si="13"/>
        <v>0.72304806890803008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31839555.603565637</v>
      </c>
      <c r="E28" s="39">
        <f t="shared" si="1"/>
        <v>26895827.805</v>
      </c>
      <c r="F28" s="40" t="s">
        <v>34</v>
      </c>
      <c r="G28" s="41">
        <v>3.1361369999999997</v>
      </c>
      <c r="H28" s="42">
        <v>3.1</v>
      </c>
      <c r="I28" s="42">
        <v>3.15</v>
      </c>
      <c r="J28" s="43">
        <f t="shared" si="8"/>
        <v>0.12430007221242291</v>
      </c>
      <c r="K28" s="44">
        <f t="shared" si="9"/>
        <v>0.105</v>
      </c>
      <c r="L28" s="45">
        <f t="shared" si="10"/>
        <v>4.9999999999999822E-2</v>
      </c>
      <c r="M28" s="45">
        <f t="shared" si="11"/>
        <v>1.6129032258064457</v>
      </c>
      <c r="N28" s="46">
        <v>200</v>
      </c>
      <c r="O28" s="37">
        <v>630</v>
      </c>
      <c r="P28" s="47">
        <f t="shared" si="12"/>
        <v>0</v>
      </c>
      <c r="Q28" s="48">
        <f t="shared" si="13"/>
        <v>4.420406378930597E-3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25345411.585161336</v>
      </c>
      <c r="E29" s="39">
        <f t="shared" si="1"/>
        <v>21410029.528333332</v>
      </c>
      <c r="F29" s="40" t="s">
        <v>44</v>
      </c>
      <c r="G29" s="41">
        <v>0.8</v>
      </c>
      <c r="H29" s="42">
        <v>0.85</v>
      </c>
      <c r="I29" s="42">
        <v>0.85</v>
      </c>
      <c r="J29" s="43">
        <f t="shared" si="8"/>
        <v>3.3541289327161737E-2</v>
      </c>
      <c r="K29" s="44">
        <f t="shared" si="9"/>
        <v>2.8333333333333332E-2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47">
        <f t="shared" si="12"/>
        <v>0</v>
      </c>
      <c r="Q29" s="48">
        <f t="shared" si="13"/>
        <v>6.25E-2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82933512.593767643</v>
      </c>
      <c r="E30" s="39">
        <f t="shared" si="1"/>
        <v>70056426.093333334</v>
      </c>
      <c r="F30" s="40" t="s">
        <v>47</v>
      </c>
      <c r="G30" s="41">
        <v>5.15</v>
      </c>
      <c r="H30" s="42">
        <v>5.2004999999999999</v>
      </c>
      <c r="I30" s="42">
        <v>5.2</v>
      </c>
      <c r="J30" s="43">
        <f t="shared" si="8"/>
        <v>0.20519377000146005</v>
      </c>
      <c r="K30" s="44">
        <f t="shared" si="9"/>
        <v>0.17333333333333334</v>
      </c>
      <c r="L30" s="45">
        <f t="shared" si="10"/>
        <v>-4.9999999999972289E-4</v>
      </c>
      <c r="M30" s="45">
        <f t="shared" si="11"/>
        <v>-9.6144601480573581E-3</v>
      </c>
      <c r="N30" s="46">
        <v>100</v>
      </c>
      <c r="O30" s="37">
        <v>520</v>
      </c>
      <c r="P30" s="47">
        <f t="shared" si="12"/>
        <v>0</v>
      </c>
      <c r="Q30" s="48">
        <f t="shared" si="13"/>
        <v>9.7087378640776656E-3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15186291.173473183</v>
      </c>
      <c r="E33" s="39">
        <f t="shared" si="15"/>
        <v>12828315.742968</v>
      </c>
      <c r="F33" s="40" t="s">
        <v>39</v>
      </c>
      <c r="G33" s="41">
        <v>1.4</v>
      </c>
      <c r="H33" s="42">
        <v>1.48</v>
      </c>
      <c r="I33" s="42">
        <v>1.480952</v>
      </c>
      <c r="J33" s="43">
        <f t="shared" si="16"/>
        <v>5.8438870013692745E-2</v>
      </c>
      <c r="K33" s="44">
        <f t="shared" si="17"/>
        <v>4.9365066666666665E-2</v>
      </c>
      <c r="L33" s="45">
        <f t="shared" ref="L33:L48" si="18">I33-H33</f>
        <v>9.5200000000006391E-4</v>
      </c>
      <c r="M33" s="45">
        <f t="shared" ref="M33:M48" si="19">((I33-H33)/H33)*100</f>
        <v>6.4324324324328649E-2</v>
      </c>
      <c r="N33" s="46">
        <v>2100</v>
      </c>
      <c r="O33" s="37">
        <v>3110</v>
      </c>
      <c r="P33" s="47">
        <f t="shared" ref="P33:P38" si="20">(R33)/J33</f>
        <v>0</v>
      </c>
      <c r="Q33" s="48">
        <f t="shared" ref="Q33:Q48" si="21">I33/G33-1</f>
        <v>5.7822857142857176E-2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3611493.317391356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2.9595255288672122E-2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171343200.18704203</v>
      </c>
      <c r="E35" s="39">
        <f t="shared" si="15"/>
        <v>144738741.49400002</v>
      </c>
      <c r="F35" s="40" t="s">
        <v>92</v>
      </c>
      <c r="G35" s="41">
        <v>1.44</v>
      </c>
      <c r="H35" s="42">
        <v>1.7395670000000001</v>
      </c>
      <c r="I35" s="42">
        <v>1.74</v>
      </c>
      <c r="J35" s="43">
        <f t="shared" si="16"/>
        <v>6.866099226971932E-2</v>
      </c>
      <c r="K35" s="44">
        <f t="shared" si="17"/>
        <v>5.8000000000000003E-2</v>
      </c>
      <c r="L35" s="45">
        <f t="shared" si="18"/>
        <v>4.3299999999990568E-4</v>
      </c>
      <c r="M35" s="45">
        <f t="shared" si="19"/>
        <v>2.4891251673543224E-2</v>
      </c>
      <c r="N35" s="46">
        <v>1600</v>
      </c>
      <c r="O35" s="37">
        <v>2784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37648847.975630797</v>
      </c>
      <c r="E36" s="39">
        <f t="shared" si="15"/>
        <v>31803111.350454602</v>
      </c>
      <c r="F36" s="40" t="s">
        <v>34</v>
      </c>
      <c r="G36" s="41">
        <v>3.6056249999999999</v>
      </c>
      <c r="H36" s="42">
        <v>3.7505000000000002</v>
      </c>
      <c r="I36" s="42">
        <v>3.7637860000000001</v>
      </c>
      <c r="J36" s="43">
        <f t="shared" si="16"/>
        <v>0.14852027669590678</v>
      </c>
      <c r="K36" s="44">
        <f t="shared" si="17"/>
        <v>0.12545953333333335</v>
      </c>
      <c r="L36" s="45">
        <f t="shared" si="18"/>
        <v>1.3285999999999909E-2</v>
      </c>
      <c r="M36" s="45">
        <f t="shared" si="19"/>
        <v>0.35424610051992822</v>
      </c>
      <c r="N36" s="46">
        <v>87700</v>
      </c>
      <c r="O36" s="37">
        <v>330084</v>
      </c>
      <c r="P36" s="47">
        <f t="shared" si="20"/>
        <v>0</v>
      </c>
      <c r="Q36" s="48">
        <f t="shared" si="21"/>
        <v>4.3865071936210809E-2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6341256.7643543696</v>
      </c>
      <c r="E37" s="39">
        <f t="shared" si="15"/>
        <v>5356649.8265530672</v>
      </c>
      <c r="F37" s="40" t="s">
        <v>34</v>
      </c>
      <c r="G37" s="41">
        <v>2.5099999999999997E-2</v>
      </c>
      <c r="H37" s="42">
        <v>3.4082000000000001E-2</v>
      </c>
      <c r="I37" s="42">
        <v>3.4082000000000001E-2</v>
      </c>
      <c r="J37" s="43">
        <f t="shared" si="16"/>
        <v>1.344887320998031E-3</v>
      </c>
      <c r="K37" s="44">
        <f t="shared" si="17"/>
        <v>1.1360666666666668E-3</v>
      </c>
      <c r="L37" s="45">
        <f t="shared" si="18"/>
        <v>0</v>
      </c>
      <c r="M37" s="45">
        <f t="shared" si="19"/>
        <v>0</v>
      </c>
      <c r="N37" s="46">
        <v>0</v>
      </c>
      <c r="O37" s="37">
        <v>0</v>
      </c>
      <c r="P37" s="47">
        <f t="shared" si="20"/>
        <v>0</v>
      </c>
      <c r="Q37" s="48">
        <f t="shared" si="21"/>
        <v>0.35784860557768949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24472970.322617877</v>
      </c>
      <c r="E38" s="39">
        <f t="shared" si="15"/>
        <v>20673052.220624998</v>
      </c>
      <c r="F38" s="40" t="s">
        <v>92</v>
      </c>
      <c r="G38" s="41">
        <v>0.61</v>
      </c>
      <c r="H38" s="42">
        <v>2.35</v>
      </c>
      <c r="I38" s="42">
        <v>2.3756249999999999</v>
      </c>
      <c r="J38" s="43">
        <f t="shared" si="16"/>
        <v>9.374297112686894E-2</v>
      </c>
      <c r="K38" s="44">
        <f t="shared" si="17"/>
        <v>7.9187499999999994E-2</v>
      </c>
      <c r="L38" s="45">
        <f t="shared" si="18"/>
        <v>2.5624999999999787E-2</v>
      </c>
      <c r="M38" s="45">
        <f t="shared" si="19"/>
        <v>1.0904255319148843</v>
      </c>
      <c r="N38" s="46">
        <v>32000</v>
      </c>
      <c r="O38" s="37">
        <v>76020</v>
      </c>
      <c r="P38" s="47">
        <f t="shared" si="20"/>
        <v>0</v>
      </c>
      <c r="Q38" s="48">
        <f t="shared" si="21"/>
        <v>2.894467213114754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16641041.918567944</v>
      </c>
      <c r="E39" s="39">
        <f t="shared" si="15"/>
        <v>14057187.3398719</v>
      </c>
      <c r="F39" s="40" t="s">
        <v>56</v>
      </c>
      <c r="G39" s="41">
        <v>0.11650199999999999</v>
      </c>
      <c r="H39" s="42">
        <v>0.10050000000000001</v>
      </c>
      <c r="I39" s="42">
        <v>0.100533</v>
      </c>
      <c r="J39" s="43">
        <f t="shared" si="16"/>
        <v>3.9670663999147654E-3</v>
      </c>
      <c r="K39" s="44">
        <f t="shared" si="17"/>
        <v>3.3511000000000001E-3</v>
      </c>
      <c r="L39" s="45">
        <f t="shared" si="18"/>
        <v>3.299999999999137E-5</v>
      </c>
      <c r="M39" s="45">
        <f t="shared" si="19"/>
        <v>3.2835820895513797E-2</v>
      </c>
      <c r="N39" s="46">
        <v>38000</v>
      </c>
      <c r="O39" s="37">
        <v>3820.25</v>
      </c>
      <c r="P39" s="47">
        <v>0</v>
      </c>
      <c r="Q39" s="48">
        <f t="shared" si="21"/>
        <v>-0.13707060822990158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85927476.708534092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0.23676204230937697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15361063.306610791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3.5593227027176338E-3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100</v>
      </c>
      <c r="O41" s="37">
        <v>9.02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7562717.3416357888</v>
      </c>
      <c r="E42" s="39">
        <f t="shared" si="15"/>
        <v>6388454.2200000007</v>
      </c>
      <c r="F42" s="40" t="s">
        <v>44</v>
      </c>
      <c r="G42" s="41">
        <v>1.7452379999999998</v>
      </c>
      <c r="H42" s="42">
        <v>1.8</v>
      </c>
      <c r="I42" s="42">
        <v>1.8</v>
      </c>
      <c r="J42" s="43">
        <f t="shared" si="16"/>
        <v>7.102861269281309E-2</v>
      </c>
      <c r="K42" s="44">
        <f t="shared" si="17"/>
        <v>6.0000000000000005E-2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3.1377955327583029E-2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2581486.9659272591</v>
      </c>
      <c r="E43" s="39">
        <f t="shared" si="15"/>
        <v>2180659.4847277333</v>
      </c>
      <c r="F43" s="40" t="s">
        <v>39</v>
      </c>
      <c r="G43" s="41">
        <v>0.03</v>
      </c>
      <c r="H43" s="42">
        <v>0.04</v>
      </c>
      <c r="I43" s="42">
        <v>3.6794E-2</v>
      </c>
      <c r="J43" s="43">
        <f t="shared" si="16"/>
        <v>1.4519037641218693E-3</v>
      </c>
      <c r="K43" s="44">
        <f t="shared" si="17"/>
        <v>1.2264666666666666E-3</v>
      </c>
      <c r="L43" s="45">
        <f t="shared" si="18"/>
        <v>-3.2060000000000005E-3</v>
      </c>
      <c r="M43" s="45">
        <f t="shared" si="19"/>
        <v>-8.0150000000000006</v>
      </c>
      <c r="N43" s="46">
        <v>6300</v>
      </c>
      <c r="O43" s="37">
        <v>231.8</v>
      </c>
      <c r="P43" s="47">
        <f t="shared" si="22"/>
        <v>0</v>
      </c>
      <c r="Q43" s="48">
        <f t="shared" si="21"/>
        <v>0.22646666666666682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35809766.653644755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0.2044045631937621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329.10231269162932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7.1028612692813092E-7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1636499.2364424136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2.8411445077125238E-3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57427944.472741283</v>
      </c>
      <c r="E47" s="39">
        <f t="shared" si="15"/>
        <v>48511107.534458734</v>
      </c>
      <c r="F47" s="40" t="s">
        <v>47</v>
      </c>
      <c r="G47" s="41">
        <v>0.9998999999999999</v>
      </c>
      <c r="H47" s="42">
        <v>0.8</v>
      </c>
      <c r="I47" s="42">
        <v>0.80041700000000005</v>
      </c>
      <c r="J47" s="43">
        <f t="shared" si="16"/>
        <v>3.1584727269857435E-2</v>
      </c>
      <c r="K47" s="44">
        <f t="shared" si="17"/>
        <v>2.6680566666666669E-2</v>
      </c>
      <c r="L47" s="45">
        <f t="shared" si="18"/>
        <v>4.170000000000007E-4</v>
      </c>
      <c r="M47" s="45">
        <f t="shared" si="19"/>
        <v>5.2125000000000088E-2</v>
      </c>
      <c r="N47" s="46">
        <v>1800</v>
      </c>
      <c r="O47" s="37">
        <v>1440.75</v>
      </c>
      <c r="P47" s="47">
        <f t="shared" si="22"/>
        <v>0</v>
      </c>
      <c r="Q47" s="48">
        <f t="shared" si="21"/>
        <v>-0.1995029502950294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4133013.7734139897</v>
      </c>
      <c r="E48" s="39">
        <f t="shared" si="15"/>
        <v>3491280.7248159996</v>
      </c>
      <c r="F48" s="40" t="s">
        <v>47</v>
      </c>
      <c r="G48" s="41">
        <v>1.4503460000000001</v>
      </c>
      <c r="H48" s="42">
        <v>1.1426829999999999</v>
      </c>
      <c r="I48" s="42">
        <v>1.0197239999999999</v>
      </c>
      <c r="J48" s="43">
        <f t="shared" si="16"/>
        <v>4.0238656138647848E-2</v>
      </c>
      <c r="K48" s="44">
        <f t="shared" si="17"/>
        <v>3.3990799999999995E-2</v>
      </c>
      <c r="L48" s="45">
        <f t="shared" si="18"/>
        <v>-0.12295900000000004</v>
      </c>
      <c r="M48" s="45">
        <f t="shared" si="19"/>
        <v>-10.760552139132205</v>
      </c>
      <c r="N48" s="46">
        <v>94300</v>
      </c>
      <c r="O48" s="37">
        <v>96160</v>
      </c>
      <c r="P48" s="47">
        <v>0</v>
      </c>
      <c r="Q48" s="48">
        <f t="shared" si="21"/>
        <v>-0.2969098408241897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3263800</v>
      </c>
      <c r="O49" s="58">
        <f>SUM(O10:O48)</f>
        <v>75112990.219999984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40" t="s">
        <v>119</v>
      </c>
      <c r="B51" s="141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3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72195132.070799991</v>
      </c>
      <c r="E53" s="39">
        <v>0</v>
      </c>
      <c r="F53" s="40" t="s">
        <v>92</v>
      </c>
      <c r="G53" s="66">
        <v>0.1</v>
      </c>
      <c r="H53" s="42">
        <v>0.13020000000000001</v>
      </c>
      <c r="I53" s="42">
        <v>0.13009999999999999</v>
      </c>
      <c r="J53" s="43">
        <f t="shared" si="24"/>
        <v>0.13009999999999999</v>
      </c>
      <c r="K53" s="39">
        <v>0</v>
      </c>
      <c r="L53" s="45">
        <f t="shared" si="25"/>
        <v>-1.0000000000001674E-4</v>
      </c>
      <c r="M53" s="45">
        <f t="shared" si="26"/>
        <v>-7.6804915514605776E-2</v>
      </c>
      <c r="N53" s="46">
        <v>15216</v>
      </c>
      <c r="O53" s="37">
        <v>1978.93</v>
      </c>
      <c r="P53" s="68">
        <f>(R53)/J53</f>
        <v>0</v>
      </c>
      <c r="Q53" s="48">
        <f t="shared" si="27"/>
        <v>0.30099999999999993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62403415</v>
      </c>
      <c r="E54" s="39">
        <v>0</v>
      </c>
      <c r="F54" s="40" t="s">
        <v>39</v>
      </c>
      <c r="G54" s="66">
        <v>39.9</v>
      </c>
      <c r="H54" s="42">
        <v>55.015900000000002</v>
      </c>
      <c r="I54" s="42">
        <v>59</v>
      </c>
      <c r="J54" s="43">
        <f t="shared" si="24"/>
        <v>59</v>
      </c>
      <c r="K54" s="39">
        <v>0</v>
      </c>
      <c r="L54" s="45">
        <f t="shared" si="25"/>
        <v>3.984099999999998</v>
      </c>
      <c r="M54" s="45">
        <f t="shared" si="26"/>
        <v>7.2417246650513718</v>
      </c>
      <c r="N54" s="46">
        <v>16</v>
      </c>
      <c r="O54" s="37">
        <v>944</v>
      </c>
      <c r="P54" s="69">
        <f>(R54)/J54</f>
        <v>9.4915254237288148E-3</v>
      </c>
      <c r="Q54" s="48">
        <f t="shared" si="27"/>
        <v>0.47869674185463662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798009926.24010003</v>
      </c>
      <c r="E55" s="39"/>
      <c r="F55" s="40" t="s">
        <v>56</v>
      </c>
      <c r="G55" s="66">
        <v>0.33</v>
      </c>
      <c r="H55" s="42">
        <v>0.26079999999999998</v>
      </c>
      <c r="I55" s="42">
        <v>0.26669999999999999</v>
      </c>
      <c r="J55" s="43">
        <f t="shared" si="24"/>
        <v>0.26669999999999999</v>
      </c>
      <c r="K55" s="39">
        <v>0</v>
      </c>
      <c r="L55" s="45">
        <f t="shared" si="25"/>
        <v>5.9000000000000163E-3</v>
      </c>
      <c r="M55" s="45">
        <f t="shared" si="26"/>
        <v>2.2622699386503129</v>
      </c>
      <c r="N55" s="46">
        <v>110146</v>
      </c>
      <c r="O55" s="37">
        <v>29377.31</v>
      </c>
      <c r="P55" s="68">
        <v>0</v>
      </c>
      <c r="Q55" s="48">
        <f t="shared" si="27"/>
        <v>-0.19181818181818189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12194818.859999999</v>
      </c>
      <c r="E56" s="39">
        <v>0</v>
      </c>
      <c r="F56" s="40" t="s">
        <v>34</v>
      </c>
      <c r="G56" s="66">
        <v>2.3E-2</v>
      </c>
      <c r="H56" s="42">
        <v>0.02</v>
      </c>
      <c r="I56" s="42">
        <v>0.02</v>
      </c>
      <c r="J56" s="43">
        <f t="shared" si="24"/>
        <v>0.02</v>
      </c>
      <c r="K56" s="39">
        <v>0</v>
      </c>
      <c r="L56" s="45">
        <f t="shared" si="25"/>
        <v>0</v>
      </c>
      <c r="M56" s="45">
        <f t="shared" si="26"/>
        <v>0</v>
      </c>
      <c r="N56" s="46">
        <v>126</v>
      </c>
      <c r="O56" s="37">
        <v>2.52</v>
      </c>
      <c r="P56" s="68">
        <f t="shared" ref="P56:P66" si="28">(R56)/J56</f>
        <v>0</v>
      </c>
      <c r="Q56" s="48">
        <f t="shared" si="27"/>
        <v>-0.13043478260869557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232401662.36750001</v>
      </c>
      <c r="E57" s="39">
        <v>0</v>
      </c>
      <c r="F57" s="40" t="s">
        <v>47</v>
      </c>
      <c r="G57" s="66">
        <v>9.0200000000000002E-2</v>
      </c>
      <c r="H57" s="42">
        <v>0.10730000000000001</v>
      </c>
      <c r="I57" s="42">
        <v>0.1075</v>
      </c>
      <c r="J57" s="43">
        <f t="shared" si="24"/>
        <v>0.1075</v>
      </c>
      <c r="K57" s="39">
        <v>0</v>
      </c>
      <c r="L57" s="45">
        <f t="shared" si="25"/>
        <v>1.9999999999999185E-4</v>
      </c>
      <c r="M57" s="70">
        <f t="shared" si="26"/>
        <v>0.18639328984155812</v>
      </c>
      <c r="N57" s="46">
        <v>670120</v>
      </c>
      <c r="O57" s="37">
        <v>72061.67</v>
      </c>
      <c r="P57" s="68">
        <f t="shared" si="28"/>
        <v>0</v>
      </c>
      <c r="Q57" s="48">
        <f t="shared" si="27"/>
        <v>0.19179600886917947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742426786.69499993</v>
      </c>
      <c r="E58" s="39">
        <v>0</v>
      </c>
      <c r="F58" s="40" t="s">
        <v>34</v>
      </c>
      <c r="G58" s="66">
        <v>0.95750000000000002</v>
      </c>
      <c r="H58" s="42">
        <v>1.206</v>
      </c>
      <c r="I58" s="42">
        <v>1.2890999999999999</v>
      </c>
      <c r="J58" s="43">
        <f t="shared" si="24"/>
        <v>1.2890999999999999</v>
      </c>
      <c r="K58" s="39">
        <v>0</v>
      </c>
      <c r="L58" s="45">
        <f t="shared" si="25"/>
        <v>8.3099999999999952E-2</v>
      </c>
      <c r="M58" s="45">
        <f t="shared" si="26"/>
        <v>6.8905472636815883</v>
      </c>
      <c r="N58" s="46">
        <v>44860</v>
      </c>
      <c r="O58" s="37">
        <v>57829.38</v>
      </c>
      <c r="P58" s="69">
        <f t="shared" si="28"/>
        <v>3.6459545419284776E-2</v>
      </c>
      <c r="Q58" s="48">
        <f t="shared" si="27"/>
        <v>0.34631853785900768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83</v>
      </c>
      <c r="O59" s="37">
        <v>12.45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15891622.32</v>
      </c>
      <c r="E60" s="39">
        <v>0</v>
      </c>
      <c r="F60" s="40" t="s">
        <v>92</v>
      </c>
      <c r="G60" s="66">
        <v>1.6799999999999999E-2</v>
      </c>
      <c r="H60" s="42">
        <v>0.02</v>
      </c>
      <c r="I60" s="42">
        <v>0.02</v>
      </c>
      <c r="J60" s="43">
        <f t="shared" si="24"/>
        <v>0.02</v>
      </c>
      <c r="K60" s="39">
        <v>0</v>
      </c>
      <c r="L60" s="45">
        <f t="shared" si="25"/>
        <v>0</v>
      </c>
      <c r="M60" s="70">
        <f t="shared" si="26"/>
        <v>0</v>
      </c>
      <c r="N60" s="46">
        <v>191228</v>
      </c>
      <c r="O60" s="37">
        <v>3824.56</v>
      </c>
      <c r="P60" s="68">
        <f t="shared" si="28"/>
        <v>0</v>
      </c>
      <c r="Q60" s="48">
        <f t="shared" si="27"/>
        <v>0.19047619047619047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3144823.5</v>
      </c>
      <c r="E61" s="39">
        <v>0</v>
      </c>
      <c r="F61" s="40" t="s">
        <v>140</v>
      </c>
      <c r="G61" s="66">
        <v>19.5</v>
      </c>
      <c r="H61" s="42">
        <v>18</v>
      </c>
      <c r="I61" s="42">
        <v>19.5</v>
      </c>
      <c r="J61" s="43">
        <f t="shared" si="24"/>
        <v>19.5</v>
      </c>
      <c r="K61" s="39">
        <v>0</v>
      </c>
      <c r="L61" s="45">
        <f t="shared" si="25"/>
        <v>1.5</v>
      </c>
      <c r="M61" s="45">
        <f t="shared" si="26"/>
        <v>8.3333333333333321</v>
      </c>
      <c r="N61" s="46">
        <v>1</v>
      </c>
      <c r="O61" s="37">
        <v>19.5</v>
      </c>
      <c r="P61" s="68">
        <f t="shared" si="28"/>
        <v>0</v>
      </c>
      <c r="Q61" s="48">
        <f t="shared" si="27"/>
        <v>0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726191586.80200005</v>
      </c>
      <c r="E62" s="39">
        <v>0</v>
      </c>
      <c r="F62" s="40" t="s">
        <v>92</v>
      </c>
      <c r="G62" s="66">
        <v>0.59499999999999997</v>
      </c>
      <c r="H62" s="42">
        <v>0.91259999999999997</v>
      </c>
      <c r="I62" s="42">
        <v>0.90200000000000002</v>
      </c>
      <c r="J62" s="43">
        <f t="shared" si="24"/>
        <v>0.90200000000000002</v>
      </c>
      <c r="K62" s="39">
        <v>0</v>
      </c>
      <c r="L62" s="45">
        <f t="shared" si="25"/>
        <v>-1.0599999999999943E-2</v>
      </c>
      <c r="M62" s="45">
        <f t="shared" si="26"/>
        <v>-1.1615165461319246</v>
      </c>
      <c r="N62" s="46">
        <v>952068</v>
      </c>
      <c r="O62" s="37">
        <v>858804</v>
      </c>
      <c r="P62" s="68">
        <f t="shared" si="28"/>
        <v>0</v>
      </c>
      <c r="Q62" s="48">
        <f t="shared" si="27"/>
        <v>0.51596638655462201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82829002.368599996</v>
      </c>
      <c r="E63" s="39">
        <v>0</v>
      </c>
      <c r="F63" s="40" t="s">
        <v>34</v>
      </c>
      <c r="G63" s="66">
        <v>0.22600000000000001</v>
      </c>
      <c r="H63" s="42">
        <v>0.3</v>
      </c>
      <c r="I63" s="42">
        <v>0.31769999999999998</v>
      </c>
      <c r="J63" s="43">
        <f t="shared" si="24"/>
        <v>0.31769999999999998</v>
      </c>
      <c r="K63" s="39">
        <v>0</v>
      </c>
      <c r="L63" s="45">
        <f t="shared" si="25"/>
        <v>1.7699999999999994E-2</v>
      </c>
      <c r="M63" s="45">
        <f t="shared" si="26"/>
        <v>5.8999999999999986</v>
      </c>
      <c r="N63" s="46">
        <v>13143</v>
      </c>
      <c r="O63" s="37">
        <v>4175.9799999999996</v>
      </c>
      <c r="P63" s="68">
        <f t="shared" si="28"/>
        <v>0</v>
      </c>
      <c r="Q63" s="48">
        <f t="shared" si="27"/>
        <v>0.40575221238938042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382341874.31880003</v>
      </c>
      <c r="E64" s="39">
        <v>0</v>
      </c>
      <c r="F64" s="40" t="s">
        <v>34</v>
      </c>
      <c r="G64" s="66">
        <v>0.49440000000000001</v>
      </c>
      <c r="H64" s="42">
        <v>0.66190000000000004</v>
      </c>
      <c r="I64" s="42">
        <v>0.68010000000000004</v>
      </c>
      <c r="J64" s="43">
        <f t="shared" si="24"/>
        <v>0.68010000000000004</v>
      </c>
      <c r="K64" s="39">
        <v>0</v>
      </c>
      <c r="L64" s="45">
        <f t="shared" si="25"/>
        <v>1.8199999999999994E-2</v>
      </c>
      <c r="M64" s="45">
        <f t="shared" si="26"/>
        <v>2.7496600694969016</v>
      </c>
      <c r="N64" s="46">
        <v>3591</v>
      </c>
      <c r="O64" s="37">
        <v>2442.33</v>
      </c>
      <c r="P64" s="68">
        <f t="shared" si="28"/>
        <v>0</v>
      </c>
      <c r="Q64" s="48">
        <f t="shared" si="27"/>
        <v>0.37560679611650483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17470230.6402</v>
      </c>
      <c r="E66" s="39">
        <v>0</v>
      </c>
      <c r="F66" s="40" t="s">
        <v>44</v>
      </c>
      <c r="G66" s="66">
        <v>4.2999999999999997E-2</v>
      </c>
      <c r="H66" s="42">
        <v>5.0200000000000002E-2</v>
      </c>
      <c r="I66" s="42">
        <v>5.0700000000000002E-2</v>
      </c>
      <c r="J66" s="43">
        <f t="shared" si="24"/>
        <v>5.0700000000000002E-2</v>
      </c>
      <c r="K66" s="39">
        <v>0</v>
      </c>
      <c r="L66" s="45">
        <f t="shared" si="25"/>
        <v>5.0000000000000044E-4</v>
      </c>
      <c r="M66" s="45">
        <f t="shared" si="26"/>
        <v>0.99601593625498097</v>
      </c>
      <c r="N66" s="46">
        <v>74408</v>
      </c>
      <c r="O66" s="37">
        <v>3775.04</v>
      </c>
      <c r="P66" s="68">
        <f t="shared" si="28"/>
        <v>0</v>
      </c>
      <c r="Q66" s="48">
        <f t="shared" si="27"/>
        <v>0.17906976744186065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2075006</v>
      </c>
      <c r="O67" s="58">
        <f>SUM(O52:O66)</f>
        <v>1035247.67</v>
      </c>
      <c r="P67" s="73"/>
      <c r="Q67" s="59"/>
    </row>
    <row r="68" spans="1:243" ht="12.6" hidden="1" x14ac:dyDescent="0.3">
      <c r="A68" s="128" t="s">
        <v>151</v>
      </c>
      <c r="B68" s="129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1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8" t="s">
        <v>155</v>
      </c>
      <c r="B71" s="129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1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311</v>
      </c>
      <c r="O72" s="90">
        <v>111.96</v>
      </c>
      <c r="P72" s="91">
        <f>(R72)/J72</f>
        <v>0</v>
      </c>
      <c r="Q72" s="92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68110327.875</v>
      </c>
      <c r="E73" s="39">
        <f>C73*K73</f>
        <v>68110327.875</v>
      </c>
      <c r="F73" s="86" t="s">
        <v>158</v>
      </c>
      <c r="G73" s="86">
        <v>0.1</v>
      </c>
      <c r="H73" s="87">
        <v>0.14799999999999999</v>
      </c>
      <c r="I73" s="87">
        <v>0.14449999999999999</v>
      </c>
      <c r="J73" s="88">
        <f>I73</f>
        <v>0.14449999999999999</v>
      </c>
      <c r="K73" s="88">
        <f>J73</f>
        <v>0.14449999999999999</v>
      </c>
      <c r="L73" s="45">
        <f>I73-H73</f>
        <v>-3.5000000000000031E-3</v>
      </c>
      <c r="M73" s="45">
        <f>((I73-H73)/H73)*100</f>
        <v>-2.3648648648648671</v>
      </c>
      <c r="N73" s="46">
        <v>13399</v>
      </c>
      <c r="O73" s="90">
        <v>1935.93</v>
      </c>
      <c r="P73" s="93">
        <f>(R73)/J73</f>
        <v>2.6242214532871972E-2</v>
      </c>
      <c r="Q73" s="92">
        <f>J73/G73-1</f>
        <v>0.44499999999999984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13710</v>
      </c>
      <c r="O74" s="58">
        <f>SUM(O72:O73)</f>
        <v>2047.89</v>
      </c>
      <c r="P74" s="83"/>
      <c r="Q74" s="45"/>
    </row>
    <row r="75" spans="1:243" ht="12.6" x14ac:dyDescent="0.3">
      <c r="A75" s="140" t="s">
        <v>161</v>
      </c>
      <c r="B75" s="141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3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168126.29038872384</v>
      </c>
      <c r="E76" s="39">
        <f>C76*K76</f>
        <v>142021.32128006668</v>
      </c>
      <c r="F76" s="40" t="s">
        <v>140</v>
      </c>
      <c r="G76" s="66">
        <v>0.105</v>
      </c>
      <c r="H76" s="42">
        <v>9.35E-2</v>
      </c>
      <c r="I76" s="42">
        <v>9.3854000000000007E-2</v>
      </c>
      <c r="J76" s="43">
        <f>I76/$J$5</f>
        <v>3.7035107864840447E-3</v>
      </c>
      <c r="K76" s="44">
        <f>I76/$K$4</f>
        <v>3.1284666666666671E-3</v>
      </c>
      <c r="L76" s="45">
        <f>I76-H76</f>
        <v>3.5400000000000709E-4</v>
      </c>
      <c r="M76" s="94">
        <f>((I76-H76)/H76)*100</f>
        <v>0.3786096256684568</v>
      </c>
      <c r="N76" s="37">
        <v>20200</v>
      </c>
      <c r="O76" s="37">
        <v>1895.85</v>
      </c>
      <c r="P76" s="40">
        <v>0</v>
      </c>
      <c r="Q76" s="48">
        <f>I76/G76-1</f>
        <v>-0.10615238095238089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295515.0505684262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2.1703187211692889E-3</v>
      </c>
      <c r="K77" s="44">
        <f>I77/$K$4</f>
        <v>1.8333333333333333E-3</v>
      </c>
      <c r="L77" s="45">
        <f>I77-H77</f>
        <v>0</v>
      </c>
      <c r="M77" s="94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0.29411764705882337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1560790.3116972288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3.1568272307916931E-3</v>
      </c>
      <c r="K78" s="44">
        <f>I78/$K$4</f>
        <v>2.6666666666666666E-3</v>
      </c>
      <c r="L78" s="45">
        <f>I78-H78</f>
        <v>0</v>
      </c>
      <c r="M78" s="94">
        <f>((I78-H78)/H78)*100</f>
        <v>0</v>
      </c>
      <c r="N78" s="37">
        <v>2300</v>
      </c>
      <c r="O78" s="37">
        <v>184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2614731.8914524959</v>
      </c>
      <c r="E79" s="39">
        <f>C79*K79</f>
        <v>2208742.4706666665</v>
      </c>
      <c r="F79" s="40" t="s">
        <v>140</v>
      </c>
      <c r="G79" s="66">
        <v>1.85</v>
      </c>
      <c r="H79" s="42">
        <v>1.6</v>
      </c>
      <c r="I79" s="42">
        <v>1.61</v>
      </c>
      <c r="J79" s="43">
        <f>I79/$J$5</f>
        <v>6.353114801968282E-2</v>
      </c>
      <c r="K79" s="44">
        <f>I79/$K$4</f>
        <v>5.3666666666666668E-2</v>
      </c>
      <c r="L79" s="45">
        <f>I79-H79</f>
        <v>1.0000000000000009E-2</v>
      </c>
      <c r="M79" s="94">
        <f>((I79-H79)/H79)*100</f>
        <v>0.62500000000000056</v>
      </c>
      <c r="N79" s="37">
        <v>2600</v>
      </c>
      <c r="O79" s="37">
        <v>4186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25100</v>
      </c>
      <c r="O80" s="58">
        <f>SUM(O76:O79)</f>
        <v>6265.85</v>
      </c>
      <c r="P80" s="73"/>
      <c r="Q80" s="59"/>
      <c r="DU80" s="95"/>
      <c r="DV80" s="95"/>
      <c r="DW80" s="96"/>
      <c r="DX80" s="97"/>
      <c r="DY80" s="97"/>
      <c r="DZ80" s="98"/>
      <c r="EA80" s="98"/>
      <c r="EB80" s="99"/>
      <c r="EC80" s="99"/>
      <c r="ED80" s="100"/>
      <c r="EE80" s="100"/>
      <c r="EF80" s="98"/>
      <c r="EG80" s="101"/>
      <c r="EH80" s="102"/>
      <c r="EI80" s="96"/>
      <c r="EJ80" s="95"/>
      <c r="EK80" s="95"/>
      <c r="EL80" s="96"/>
      <c r="EM80" s="97"/>
      <c r="EN80" s="97"/>
      <c r="EO80" s="98"/>
      <c r="EP80" s="98"/>
      <c r="EQ80" s="99"/>
      <c r="ER80" s="99"/>
      <c r="ES80" s="100"/>
      <c r="ET80" s="100"/>
      <c r="EU80" s="98"/>
      <c r="EV80" s="101"/>
      <c r="EW80" s="102"/>
      <c r="EX80" s="96"/>
      <c r="EY80" s="95"/>
      <c r="EZ80" s="95"/>
      <c r="FA80" s="96"/>
      <c r="FB80" s="97"/>
      <c r="FC80" s="97"/>
      <c r="FD80" s="98"/>
      <c r="FE80" s="98"/>
      <c r="FF80" s="99"/>
      <c r="FG80" s="99"/>
      <c r="FH80" s="100"/>
      <c r="FI80" s="100"/>
      <c r="FJ80" s="98"/>
      <c r="FK80" s="101"/>
      <c r="FL80" s="102"/>
      <c r="FM80" s="96"/>
      <c r="FN80" s="95"/>
      <c r="FO80" s="95"/>
      <c r="FP80" s="96"/>
      <c r="FQ80" s="97"/>
      <c r="FR80" s="97"/>
      <c r="FS80" s="98"/>
      <c r="FT80" s="98"/>
      <c r="FU80" s="99"/>
      <c r="FV80" s="99"/>
      <c r="FW80" s="100"/>
      <c r="FX80" s="100"/>
      <c r="FY80" s="98"/>
      <c r="FZ80" s="101"/>
      <c r="GA80" s="102"/>
      <c r="GB80" s="96"/>
      <c r="GC80" s="95"/>
      <c r="GD80" s="95"/>
      <c r="GE80" s="96"/>
      <c r="GF80" s="97"/>
      <c r="GG80" s="97"/>
      <c r="GH80" s="98"/>
      <c r="GI80" s="98"/>
      <c r="GJ80" s="99"/>
      <c r="GK80" s="99"/>
      <c r="GL80" s="100"/>
      <c r="GM80" s="100"/>
      <c r="GN80" s="98"/>
      <c r="GO80" s="101"/>
      <c r="GP80" s="102"/>
      <c r="GQ80" s="96"/>
      <c r="GR80" s="95"/>
      <c r="GS80" s="95"/>
      <c r="GT80" s="96"/>
      <c r="GU80" s="97"/>
      <c r="GV80" s="97"/>
      <c r="GW80" s="98"/>
      <c r="GX80" s="98"/>
      <c r="GY80" s="99"/>
      <c r="GZ80" s="99"/>
      <c r="HA80" s="100"/>
      <c r="HB80" s="100"/>
      <c r="HC80" s="98"/>
      <c r="HD80" s="101"/>
      <c r="HE80" s="102"/>
      <c r="HF80" s="96"/>
      <c r="HG80" s="95"/>
      <c r="HH80" s="95"/>
      <c r="HI80" s="96"/>
      <c r="HJ80" s="97"/>
      <c r="HK80" s="97"/>
      <c r="HL80" s="98"/>
      <c r="HM80" s="98"/>
      <c r="HN80" s="99"/>
      <c r="HO80" s="99"/>
      <c r="HP80" s="100"/>
      <c r="HQ80" s="100"/>
      <c r="HR80" s="98"/>
      <c r="HS80" s="101"/>
      <c r="HT80" s="102"/>
      <c r="HU80" s="96"/>
      <c r="HV80" s="95"/>
      <c r="HW80" s="95"/>
      <c r="HX80" s="96"/>
      <c r="HY80" s="97"/>
      <c r="HZ80" s="97"/>
      <c r="IA80" s="98"/>
      <c r="IB80" s="98"/>
      <c r="IC80" s="99"/>
      <c r="ID80" s="99"/>
      <c r="IE80" s="100"/>
      <c r="IF80" s="100"/>
      <c r="IG80" s="98"/>
      <c r="IH80" s="101"/>
      <c r="II80" s="102"/>
    </row>
    <row r="81" spans="1:38" ht="13.2" thickTop="1" x14ac:dyDescent="0.3">
      <c r="A81" s="128" t="s">
        <v>170</v>
      </c>
      <c r="B81" s="129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1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33683191.49195601</v>
      </c>
      <c r="E82" s="39">
        <f>C82*K82</f>
        <v>28453202.348999999</v>
      </c>
      <c r="F82" s="40" t="s">
        <v>173</v>
      </c>
      <c r="G82" s="40">
        <v>1.3</v>
      </c>
      <c r="H82" s="42">
        <v>2.3174999999999999</v>
      </c>
      <c r="I82" s="42">
        <v>2.3174999999999999</v>
      </c>
      <c r="J82" s="43">
        <f>I82/$J$5</f>
        <v>9.1449338841996852E-2</v>
      </c>
      <c r="K82" s="44">
        <f>I82/$K$4</f>
        <v>7.7249999999999999E-2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0.78269230769230758</v>
      </c>
      <c r="R82" s="67"/>
    </row>
    <row r="83" spans="1:38" s="104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85087763.981982425</v>
      </c>
      <c r="E83" s="39">
        <f>C83*K83</f>
        <v>71876186.868500009</v>
      </c>
      <c r="F83" s="40" t="s">
        <v>173</v>
      </c>
      <c r="G83" s="40">
        <v>1.44347</v>
      </c>
      <c r="H83" s="42">
        <v>1.0447679999999999</v>
      </c>
      <c r="I83" s="42">
        <v>1.1711910000000001</v>
      </c>
      <c r="J83" s="43">
        <f>I83/$J$5</f>
        <v>4.6215595515726925E-2</v>
      </c>
      <c r="K83" s="44">
        <f>I83/$K$4</f>
        <v>3.9039700000000004E-2</v>
      </c>
      <c r="L83" s="45">
        <f>I83-H83</f>
        <v>0.12642300000000017</v>
      </c>
      <c r="M83" s="45">
        <f>((I83-H83)/H83*100)</f>
        <v>12.100581181659486</v>
      </c>
      <c r="N83" s="47">
        <v>8597297</v>
      </c>
      <c r="O83" s="37">
        <v>10068995.5985</v>
      </c>
      <c r="P83" s="103">
        <f>(R83)/J83</f>
        <v>4.7083673286423815E-2</v>
      </c>
      <c r="Q83" s="48">
        <f>I83/G83-1</f>
        <v>-0.18862809757043786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5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8597297</v>
      </c>
      <c r="O84" s="58">
        <f>SUM(O82:O83)</f>
        <v>10068995.5985</v>
      </c>
      <c r="P84" s="106"/>
      <c r="Q84" s="82"/>
    </row>
    <row r="85" spans="1:38" ht="12.6" thickBot="1" x14ac:dyDescent="0.3">
      <c r="A85" s="107"/>
      <c r="B85" s="108"/>
      <c r="C85" s="108"/>
      <c r="D85" s="108"/>
      <c r="E85" s="108"/>
      <c r="F85" s="109"/>
      <c r="G85" s="109"/>
      <c r="H85" s="55"/>
      <c r="M85" s="84"/>
      <c r="N85" s="84"/>
      <c r="O85" s="55"/>
      <c r="P85" s="55"/>
      <c r="Q85" s="110"/>
    </row>
    <row r="86" spans="1:38" ht="12.6" thickBot="1" x14ac:dyDescent="0.3">
      <c r="A86" s="132" t="s">
        <v>176</v>
      </c>
      <c r="B86" s="133"/>
      <c r="C86" s="133"/>
      <c r="D86" s="133"/>
      <c r="E86" s="132" t="s">
        <v>177</v>
      </c>
      <c r="F86" s="133"/>
      <c r="G86" s="133"/>
      <c r="H86" s="134"/>
      <c r="L86" s="135" t="s">
        <v>178</v>
      </c>
      <c r="M86" s="136"/>
      <c r="N86" s="137"/>
      <c r="O86" s="135" t="s">
        <v>179</v>
      </c>
      <c r="P86" s="136"/>
      <c r="Q86" s="137"/>
    </row>
    <row r="87" spans="1:38" x14ac:dyDescent="0.25">
      <c r="A87" s="35" t="s">
        <v>50</v>
      </c>
      <c r="B87" s="111">
        <v>2.9797289999999998</v>
      </c>
      <c r="C87" s="111"/>
      <c r="D87" s="111">
        <v>14.692171701328274</v>
      </c>
      <c r="E87" s="35" t="s">
        <v>117</v>
      </c>
      <c r="F87" s="112">
        <v>1.0197239999999999</v>
      </c>
      <c r="G87" s="112"/>
      <c r="H87" s="113">
        <v>-10.760552139132205</v>
      </c>
      <c r="L87" s="35" t="s">
        <v>138</v>
      </c>
      <c r="M87" s="47">
        <v>19.5</v>
      </c>
      <c r="N87" s="114">
        <v>8.3333333333333321</v>
      </c>
      <c r="O87" s="35" t="s">
        <v>141</v>
      </c>
      <c r="P87" s="112">
        <v>0.90200000000000002</v>
      </c>
      <c r="Q87" s="115">
        <v>-1.1615165461319246</v>
      </c>
    </row>
    <row r="88" spans="1:38" x14ac:dyDescent="0.25">
      <c r="A88" s="35" t="s">
        <v>35</v>
      </c>
      <c r="B88" s="111">
        <v>4.5845999999999998E-2</v>
      </c>
      <c r="C88" s="111"/>
      <c r="D88" s="111">
        <v>14.614999999999991</v>
      </c>
      <c r="E88" s="35" t="s">
        <v>107</v>
      </c>
      <c r="F88" s="112">
        <v>3.6794E-2</v>
      </c>
      <c r="G88" s="112"/>
      <c r="H88" s="113">
        <v>-8.0150000000000006</v>
      </c>
      <c r="L88" s="35" t="s">
        <v>124</v>
      </c>
      <c r="M88" s="47">
        <v>59</v>
      </c>
      <c r="N88" s="114">
        <v>7.2417246650513718</v>
      </c>
      <c r="O88" s="35" t="s">
        <v>122</v>
      </c>
      <c r="P88" s="112">
        <v>0.13009999999999999</v>
      </c>
      <c r="Q88" s="115">
        <v>-7.6804915514605776E-2</v>
      </c>
    </row>
    <row r="89" spans="1:38" x14ac:dyDescent="0.25">
      <c r="A89" s="35" t="s">
        <v>72</v>
      </c>
      <c r="B89" s="111">
        <v>1.250481</v>
      </c>
      <c r="C89" s="111"/>
      <c r="D89" s="111">
        <v>4.2501875781575613</v>
      </c>
      <c r="E89" s="35" t="s">
        <v>52</v>
      </c>
      <c r="F89" s="112">
        <v>26.8035</v>
      </c>
      <c r="G89" s="112"/>
      <c r="H89" s="113">
        <v>-0.50372691096988742</v>
      </c>
      <c r="L89" s="35" t="s">
        <v>132</v>
      </c>
      <c r="M89" s="47">
        <v>1.2890999999999999</v>
      </c>
      <c r="N89" s="114">
        <v>6.8905472636815883</v>
      </c>
      <c r="O89" s="35"/>
      <c r="P89" s="112"/>
      <c r="Q89" s="115"/>
    </row>
    <row r="90" spans="1:38" x14ac:dyDescent="0.25">
      <c r="A90" s="35" t="s">
        <v>74</v>
      </c>
      <c r="B90" s="111">
        <v>3.100625</v>
      </c>
      <c r="C90" s="111"/>
      <c r="D90" s="111">
        <v>3.3541666666666656</v>
      </c>
      <c r="E90" s="35" t="s">
        <v>80</v>
      </c>
      <c r="F90" s="112">
        <v>5.2</v>
      </c>
      <c r="G90" s="112"/>
      <c r="H90" s="113">
        <v>-9.6144601480573581E-3</v>
      </c>
      <c r="L90" s="35" t="s">
        <v>143</v>
      </c>
      <c r="M90" s="47">
        <v>0.31769999999999998</v>
      </c>
      <c r="N90" s="114">
        <v>5.8999999999999986</v>
      </c>
      <c r="O90" s="35"/>
      <c r="P90" s="112"/>
      <c r="Q90" s="115"/>
    </row>
    <row r="91" spans="1:38" x14ac:dyDescent="0.25">
      <c r="A91" s="35" t="s">
        <v>45</v>
      </c>
      <c r="B91" s="111">
        <v>15.164300000000001</v>
      </c>
      <c r="C91" s="111"/>
      <c r="D91" s="111">
        <v>1.9414473463077002</v>
      </c>
      <c r="E91" s="35"/>
      <c r="F91" s="112"/>
      <c r="G91" s="112"/>
      <c r="H91" s="113"/>
      <c r="L91" s="35" t="s">
        <v>145</v>
      </c>
      <c r="M91" s="47">
        <v>0.68010000000000004</v>
      </c>
      <c r="N91" s="114">
        <v>2.7496600694969016</v>
      </c>
      <c r="O91" s="35"/>
      <c r="P91" s="112"/>
      <c r="Q91" s="115"/>
    </row>
    <row r="92" spans="1:38" ht="12.6" thickBot="1" x14ac:dyDescent="0.3">
      <c r="A92" s="116"/>
      <c r="B92" s="117"/>
      <c r="C92" s="117"/>
      <c r="D92" s="117"/>
      <c r="E92" s="116"/>
      <c r="F92" s="117"/>
      <c r="G92" s="117"/>
      <c r="H92" s="118"/>
      <c r="L92" s="116"/>
      <c r="M92" s="117"/>
      <c r="N92" s="118"/>
      <c r="O92" s="117"/>
      <c r="P92" s="117"/>
      <c r="Q92" s="118"/>
    </row>
    <row r="93" spans="1:38" x14ac:dyDescent="0.25">
      <c r="A93" s="119"/>
      <c r="B93" s="120"/>
      <c r="C93" s="120"/>
      <c r="D93" s="120"/>
      <c r="E93" s="84"/>
      <c r="F93" s="84"/>
      <c r="G93" s="84"/>
      <c r="H93" s="84"/>
      <c r="I93" s="84"/>
      <c r="J93" s="84"/>
      <c r="K93" s="84"/>
      <c r="L93" s="84"/>
      <c r="M93" s="120"/>
      <c r="Q93" s="16"/>
    </row>
    <row r="94" spans="1:38" x14ac:dyDescent="0.25">
      <c r="A94" s="12" t="s">
        <v>180</v>
      </c>
      <c r="B94" s="121"/>
      <c r="C94" s="121"/>
      <c r="D94" s="121"/>
      <c r="E94" s="121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9"/>
      <c r="B95" s="120"/>
      <c r="C95" s="120"/>
      <c r="D95" s="120"/>
      <c r="E95" s="120"/>
      <c r="F95" s="84"/>
      <c r="G95" s="84"/>
      <c r="H95" s="120"/>
      <c r="I95" s="84"/>
      <c r="J95" s="84"/>
      <c r="K95" s="84"/>
      <c r="L95" s="84"/>
      <c r="M95" s="120"/>
      <c r="Q95" s="16"/>
    </row>
    <row r="96" spans="1:38" ht="12.6" thickBot="1" x14ac:dyDescent="0.3">
      <c r="A96" s="122"/>
      <c r="B96" s="123"/>
      <c r="C96" s="123"/>
      <c r="D96" s="123"/>
      <c r="E96" s="123"/>
      <c r="F96" s="124"/>
      <c r="G96" s="124"/>
      <c r="H96" s="124"/>
      <c r="I96" s="125"/>
      <c r="J96" s="125"/>
      <c r="K96" s="125"/>
      <c r="L96" s="125"/>
      <c r="M96" s="125"/>
      <c r="N96" s="125"/>
      <c r="O96" s="125"/>
      <c r="P96" s="125"/>
      <c r="Q96" s="126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7"/>
      <c r="J100" s="127"/>
      <c r="K100" s="127"/>
      <c r="O100" s="127"/>
      <c r="P100" s="127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7"/>
      <c r="J103" s="127"/>
      <c r="K103" s="127"/>
      <c r="O103" s="127"/>
      <c r="P103" s="127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7"/>
      <c r="J105" s="127"/>
      <c r="K105" s="127"/>
      <c r="O105" s="127"/>
      <c r="P105" s="127"/>
    </row>
  </sheetData>
  <sheetProtection algorithmName="SHA-512" hashValue="kAIwiATAykoUZstmQLXRCze8WjB5x6EXI1BXk/QMIoJKLOBlTPeZ2B3rsgCzm9fIP/af0lO4Ux1sA4gQ3/Ssjg==" saltValue="XDBDvPF/SVr9/Zf5FIk03Q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2026-04-30T13:29:34Z</dcterms:created>
  <dcterms:modified xsi:type="dcterms:W3CDTF">2026-04-30T13:33:26Z</dcterms:modified>
</cp:coreProperties>
</file>