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Sept/23.09.26/"/>
    </mc:Choice>
  </mc:AlternateContent>
  <xr:revisionPtr revIDLastSave="0" documentId="8_{E8F093D6-6D95-414C-B789-115B52B49FE4}" xr6:coauthVersionLast="47" xr6:coauthVersionMax="47" xr10:uidLastSave="{00000000-0000-0000-0000-000000000000}"/>
  <bookViews>
    <workbookView xWindow="-108" yWindow="-108" windowWidth="23256" windowHeight="12456" xr2:uid="{98F7FD1B-1424-4CFF-BAB1-61C5A298C392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E84" i="1" s="1"/>
  <c r="J84" i="1"/>
  <c r="P84" i="1" s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M71" i="1"/>
  <c r="L71" i="1"/>
  <c r="J71" i="1"/>
  <c r="D71" i="1"/>
  <c r="M68" i="1"/>
  <c r="L68" i="1"/>
  <c r="D68" i="1"/>
  <c r="O66" i="1"/>
  <c r="N66" i="1"/>
  <c r="M65" i="1"/>
  <c r="L65" i="1"/>
  <c r="J65" i="1"/>
  <c r="M64" i="1"/>
  <c r="L64" i="1"/>
  <c r="J64" i="1"/>
  <c r="M63" i="1"/>
  <c r="L63" i="1"/>
  <c r="J63" i="1"/>
  <c r="D63" i="1"/>
  <c r="M62" i="1"/>
  <c r="L62" i="1"/>
  <c r="J62" i="1"/>
  <c r="M61" i="1"/>
  <c r="L61" i="1"/>
  <c r="J61" i="1"/>
  <c r="M60" i="1"/>
  <c r="L60" i="1"/>
  <c r="J60" i="1"/>
  <c r="M59" i="1"/>
  <c r="L59" i="1"/>
  <c r="J59" i="1"/>
  <c r="D59" i="1"/>
  <c r="M58" i="1"/>
  <c r="L58" i="1"/>
  <c r="J58" i="1"/>
  <c r="M57" i="1"/>
  <c r="L57" i="1"/>
  <c r="J57" i="1"/>
  <c r="D57" i="1"/>
  <c r="M56" i="1"/>
  <c r="L56" i="1"/>
  <c r="J56" i="1"/>
  <c r="D56" i="1"/>
  <c r="M55" i="1"/>
  <c r="L55" i="1"/>
  <c r="J55" i="1"/>
  <c r="M54" i="1"/>
  <c r="L54" i="1"/>
  <c r="J54" i="1"/>
  <c r="D54" i="1"/>
  <c r="M53" i="1"/>
  <c r="L53" i="1"/>
  <c r="J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D45" i="1" s="1"/>
  <c r="E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E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E41" i="1"/>
  <c r="Q40" i="1"/>
  <c r="M40" i="1"/>
  <c r="L40" i="1"/>
  <c r="K40" i="1"/>
  <c r="J40" i="1"/>
  <c r="E40" i="1"/>
  <c r="Q39" i="1"/>
  <c r="M39" i="1"/>
  <c r="L39" i="1"/>
  <c r="K39" i="1"/>
  <c r="J39" i="1"/>
  <c r="P39" i="1" s="1"/>
  <c r="E39" i="1"/>
  <c r="D39" i="1"/>
  <c r="Q38" i="1"/>
  <c r="M38" i="1"/>
  <c r="L38" i="1"/>
  <c r="K38" i="1"/>
  <c r="E38" i="1" s="1"/>
  <c r="J38" i="1"/>
  <c r="Q37" i="1"/>
  <c r="M37" i="1"/>
  <c r="L37" i="1"/>
  <c r="K37" i="1"/>
  <c r="E37" i="1" s="1"/>
  <c r="J37" i="1"/>
  <c r="D37" i="1"/>
  <c r="Q36" i="1"/>
  <c r="M36" i="1"/>
  <c r="L36" i="1"/>
  <c r="K36" i="1"/>
  <c r="E36" i="1" s="1"/>
  <c r="J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E33" i="1" s="1"/>
  <c r="J33" i="1"/>
  <c r="P33" i="1" s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D30" i="1" s="1"/>
  <c r="E30" i="1"/>
  <c r="Q29" i="1"/>
  <c r="M29" i="1"/>
  <c r="L29" i="1"/>
  <c r="K29" i="1"/>
  <c r="J29" i="1"/>
  <c r="P29" i="1" s="1"/>
  <c r="E29" i="1"/>
  <c r="D29" i="1"/>
  <c r="Q28" i="1"/>
  <c r="M28" i="1"/>
  <c r="L28" i="1"/>
  <c r="K28" i="1"/>
  <c r="E28" i="1" s="1"/>
  <c r="J28" i="1"/>
  <c r="P28" i="1" s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E26" i="1"/>
  <c r="Q25" i="1"/>
  <c r="M25" i="1"/>
  <c r="L25" i="1"/>
  <c r="K25" i="1"/>
  <c r="J25" i="1"/>
  <c r="E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P21" i="1"/>
  <c r="M21" i="1"/>
  <c r="L21" i="1"/>
  <c r="K21" i="1"/>
  <c r="J21" i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P75" i="1" l="1"/>
  <c r="Q75" i="1"/>
  <c r="K75" i="1"/>
  <c r="E75" i="1" s="1"/>
  <c r="K72" i="1"/>
  <c r="E72" i="1" s="1"/>
  <c r="D72" i="1"/>
  <c r="Q72" i="1"/>
  <c r="P72" i="1"/>
  <c r="P71" i="1"/>
  <c r="K71" i="1"/>
  <c r="E71" i="1" s="1"/>
  <c r="Q71" i="1"/>
  <c r="D65" i="1"/>
  <c r="P65" i="1"/>
  <c r="Q65" i="1"/>
  <c r="D64" i="1"/>
  <c r="P64" i="1"/>
  <c r="Q64" i="1"/>
  <c r="Q63" i="1"/>
  <c r="P63" i="1"/>
  <c r="Q62" i="1"/>
  <c r="P62" i="1"/>
  <c r="D62" i="1"/>
  <c r="D61" i="1"/>
  <c r="Q61" i="1"/>
  <c r="P61" i="1"/>
  <c r="P60" i="1"/>
  <c r="Q60" i="1"/>
  <c r="D60" i="1"/>
  <c r="P59" i="1"/>
  <c r="Q59" i="1"/>
  <c r="Q58" i="1"/>
  <c r="P58" i="1"/>
  <c r="D58" i="1"/>
  <c r="P57" i="1"/>
  <c r="Q57" i="1"/>
  <c r="P56" i="1"/>
  <c r="Q56" i="1"/>
  <c r="Q55" i="1"/>
  <c r="P55" i="1"/>
  <c r="D55" i="1"/>
  <c r="Q54" i="1"/>
  <c r="P54" i="1"/>
  <c r="P53" i="1"/>
  <c r="D53" i="1"/>
  <c r="Q53" i="1"/>
  <c r="P51" i="1"/>
  <c r="Q51" i="1"/>
  <c r="P50" i="1"/>
  <c r="Q50" i="1"/>
  <c r="D43" i="1"/>
  <c r="P43" i="1"/>
  <c r="D41" i="1"/>
  <c r="P41" i="1"/>
  <c r="P40" i="1"/>
  <c r="D40" i="1"/>
  <c r="P38" i="1"/>
  <c r="D38" i="1"/>
  <c r="D36" i="1"/>
  <c r="P36" i="1"/>
  <c r="D26" i="1"/>
  <c r="P26" i="1"/>
  <c r="P25" i="1"/>
  <c r="D25" i="1"/>
</calcChain>
</file>

<file path=xl/sharedStrings.xml><?xml version="1.0" encoding="utf-8"?>
<sst xmlns="http://schemas.openxmlformats.org/spreadsheetml/2006/main" count="270" uniqueCount="185">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</sst>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8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0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5" applyNumberFormat="1" applyFont="1" applyFill="1" applyBorder="1"/>
    <xf numFmtId="164" fontId="15" fillId="5" borderId="0" xfId="5" applyFont="1" applyFill="1" applyBorder="1"/>
    <xf numFmtId="164" fontId="4" fillId="3" borderId="0" xfId="2" applyNumberFormat="1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5" applyNumberFormat="1" applyFont="1" applyFill="1" applyBorder="1"/>
    <xf numFmtId="166" fontId="15" fillId="5" borderId="0" xfId="5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5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</cellXfs>
  <cellStyles count="9">
    <cellStyle name="Comma 2 2 2 2 2 2 2 2 2 2 2 2 2 2 2" xfId="3" xr:uid="{F443E73F-4337-4484-9D0A-4ABC93721F0B}"/>
    <cellStyle name="Comma 5 2 2 2 2 2 2 2 2 2 2 2 2 2" xfId="4" xr:uid="{FCBCD3E2-C18A-4F5A-AC7B-7894AC740B1A}"/>
    <cellStyle name="Comma 6 2 2 2 2 2 2 2 2" xfId="5" xr:uid="{49C3DC35-9679-4E17-8C64-5B1EF8AB1FE0}"/>
    <cellStyle name="Hyperlink 2" xfId="8" xr:uid="{8C32A17A-D579-4DCE-81DC-151660560442}"/>
    <cellStyle name="Normal" xfId="0" builtinId="0"/>
    <cellStyle name="Normal 2" xfId="2" xr:uid="{D1A93E56-347E-4D4D-AA5F-22FA452A1E52}"/>
    <cellStyle name="Normal 20" xfId="7" xr:uid="{20FD94C4-C087-47B7-A78F-B07DA62A85FB}"/>
    <cellStyle name="Percent" xfId="1" builtinId="5"/>
    <cellStyle name="Percent 3" xfId="6" xr:uid="{DD9F32F8-803A-4AB0-B098-465D76CFC5C3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E06F7552-896B-4305-99C5-7F5B8FE20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6DB49B32-3787-43C1-A9CE-5135CDF1C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A6A9-82B1-4C5B-B9CF-0DFCC5795C86}">
  <dimension ref="A1:II107"/>
  <sheetViews>
    <sheetView tabSelected="1" zoomScale="70" zoomScaleNormal="70" workbookViewId="0">
      <selection activeCell="J5" sqref="J5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26.649799999999999</v>
      </c>
      <c r="K5" s="22"/>
      <c r="L5" s="136" t="s">
        <v>12</v>
      </c>
      <c r="M5" s="137"/>
      <c r="N5" s="23" t="s">
        <v>13</v>
      </c>
      <c r="O5" s="24"/>
      <c r="P5" s="24"/>
      <c r="Q5" s="25"/>
    </row>
    <row r="6" spans="1:19" ht="6.6" customHeight="1" x14ac:dyDescent="0.3">
      <c r="A6" s="132"/>
      <c r="B6" s="134"/>
      <c r="C6" s="134"/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5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81580127.158552781</v>
      </c>
      <c r="E9" s="39">
        <f t="shared" ref="E9:E45" si="1">C9*K9</f>
        <v>67940439.7734375</v>
      </c>
      <c r="F9" s="40" t="s">
        <v>34</v>
      </c>
      <c r="G9" s="41">
        <v>8.9894999999999996</v>
      </c>
      <c r="H9" s="42">
        <v>17.25</v>
      </c>
      <c r="I9" s="43">
        <v>17.25</v>
      </c>
      <c r="J9" s="44">
        <f>(I9/$J$5)</f>
        <v>0.64728440738767268</v>
      </c>
      <c r="K9" s="45">
        <f t="shared" ref="K9:K17" si="2">I9/$K$4</f>
        <v>0.5390625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2.3173739130434783E-2</v>
      </c>
      <c r="Q9" s="49">
        <f t="shared" ref="Q9:Q17" si="6">I9/G9-1</f>
        <v>0.91890538962122492</v>
      </c>
      <c r="R9" s="50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3618035.9407034949</v>
      </c>
      <c r="E10" s="39">
        <f t="shared" si="1"/>
        <v>3013122.9441424999</v>
      </c>
      <c r="F10" s="40" t="s">
        <v>34</v>
      </c>
      <c r="G10" s="41">
        <v>3.1600000000000003E-2</v>
      </c>
      <c r="H10" s="42">
        <v>5.6482000000000004E-2</v>
      </c>
      <c r="I10" s="43">
        <v>5.9248000000000002E-2</v>
      </c>
      <c r="J10" s="44">
        <f t="shared" ref="J10:J17" si="7">I10/$J$5</f>
        <v>2.2232061779075265E-3</v>
      </c>
      <c r="K10" s="45">
        <f t="shared" si="2"/>
        <v>1.8515000000000001E-3</v>
      </c>
      <c r="L10" s="46">
        <f t="shared" si="3"/>
        <v>2.7659999999999976E-3</v>
      </c>
      <c r="M10" s="46">
        <f t="shared" si="4"/>
        <v>4.8971353705605276</v>
      </c>
      <c r="N10" s="51">
        <v>90400</v>
      </c>
      <c r="O10" s="37">
        <v>5356</v>
      </c>
      <c r="P10" s="52">
        <f t="shared" si="5"/>
        <v>0</v>
      </c>
      <c r="Q10" s="49">
        <f t="shared" si="6"/>
        <v>0.87493670886075936</v>
      </c>
      <c r="R10" s="50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3771315.0781619381</v>
      </c>
      <c r="E11" s="39">
        <f t="shared" si="1"/>
        <v>3140774.7678125002</v>
      </c>
      <c r="F11" s="40" t="s">
        <v>39</v>
      </c>
      <c r="G11" s="41">
        <v>7.8E-2</v>
      </c>
      <c r="H11" s="42">
        <v>0.23</v>
      </c>
      <c r="I11" s="43">
        <v>0.23</v>
      </c>
      <c r="J11" s="44">
        <f t="shared" si="7"/>
        <v>8.6304587651689704E-3</v>
      </c>
      <c r="K11" s="45">
        <f t="shared" si="2"/>
        <v>7.1875000000000003E-3</v>
      </c>
      <c r="L11" s="46">
        <f t="shared" si="3"/>
        <v>0</v>
      </c>
      <c r="M11" s="46">
        <f t="shared" si="4"/>
        <v>0</v>
      </c>
      <c r="N11" s="51">
        <v>0</v>
      </c>
      <c r="O11" s="37">
        <v>0</v>
      </c>
      <c r="P11" s="52">
        <f t="shared" si="5"/>
        <v>0</v>
      </c>
      <c r="Q11" s="49">
        <f t="shared" si="6"/>
        <v>1.9487179487179489</v>
      </c>
      <c r="R11" s="50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113427126.67637281</v>
      </c>
      <c r="E12" s="39">
        <f t="shared" si="1"/>
        <v>94462820.015625</v>
      </c>
      <c r="F12" s="40" t="s">
        <v>34</v>
      </c>
      <c r="G12" s="41">
        <v>97.381</v>
      </c>
      <c r="H12" s="42">
        <v>146.5</v>
      </c>
      <c r="I12" s="43">
        <v>146.5</v>
      </c>
      <c r="J12" s="44">
        <f t="shared" si="7"/>
        <v>5.4972269960750175</v>
      </c>
      <c r="K12" s="45">
        <f t="shared" si="2"/>
        <v>4.578125</v>
      </c>
      <c r="L12" s="46">
        <f t="shared" si="3"/>
        <v>0</v>
      </c>
      <c r="M12" s="46">
        <f t="shared" si="4"/>
        <v>0</v>
      </c>
      <c r="N12" s="51">
        <v>0</v>
      </c>
      <c r="O12" s="37">
        <v>0</v>
      </c>
      <c r="P12" s="52">
        <f t="shared" si="5"/>
        <v>0</v>
      </c>
      <c r="Q12" s="49">
        <f t="shared" si="6"/>
        <v>0.5044002423470697</v>
      </c>
      <c r="R12" s="50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8194346.6742714765</v>
      </c>
      <c r="E13" s="39">
        <f t="shared" si="1"/>
        <v>6824303.125</v>
      </c>
      <c r="F13" s="40" t="s">
        <v>44</v>
      </c>
      <c r="G13" s="41">
        <v>13.6</v>
      </c>
      <c r="H13" s="42">
        <v>25</v>
      </c>
      <c r="I13" s="43">
        <v>25</v>
      </c>
      <c r="J13" s="44">
        <f t="shared" si="7"/>
        <v>0.93809334404010536</v>
      </c>
      <c r="K13" s="45">
        <f t="shared" si="2"/>
        <v>0.78125</v>
      </c>
      <c r="L13" s="46">
        <f t="shared" si="3"/>
        <v>0</v>
      </c>
      <c r="M13" s="46">
        <f t="shared" si="4"/>
        <v>0</v>
      </c>
      <c r="N13" s="51">
        <v>0</v>
      </c>
      <c r="O13" s="37">
        <v>0</v>
      </c>
      <c r="P13" s="52">
        <f t="shared" si="5"/>
        <v>0</v>
      </c>
      <c r="Q13" s="49">
        <f t="shared" si="6"/>
        <v>0.83823529411764719</v>
      </c>
      <c r="R13" s="50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745214936.56003058</v>
      </c>
      <c r="E14" s="39">
        <f t="shared" si="1"/>
        <v>620619656.76054692</v>
      </c>
      <c r="F14" s="40" t="s">
        <v>47</v>
      </c>
      <c r="G14" s="41">
        <v>11.5</v>
      </c>
      <c r="H14" s="42">
        <v>37.9983</v>
      </c>
      <c r="I14" s="43">
        <v>37.997500000000002</v>
      </c>
      <c r="J14" s="44">
        <f t="shared" si="7"/>
        <v>1.4258080736065564</v>
      </c>
      <c r="K14" s="45">
        <f t="shared" si="2"/>
        <v>1.1874218750000001</v>
      </c>
      <c r="L14" s="46">
        <f t="shared" si="3"/>
        <v>-7.9999999999813554E-4</v>
      </c>
      <c r="M14" s="46">
        <f t="shared" si="4"/>
        <v>-2.1053573449289456E-3</v>
      </c>
      <c r="N14" s="51">
        <v>19800</v>
      </c>
      <c r="O14" s="37">
        <v>752350.5</v>
      </c>
      <c r="P14" s="52">
        <f t="shared" si="5"/>
        <v>0</v>
      </c>
      <c r="Q14" s="49">
        <f t="shared" si="6"/>
        <v>2.3041304347826088</v>
      </c>
      <c r="R14" s="50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31553863.021486089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0.29756320872952141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1">
        <v>0</v>
      </c>
      <c r="O15" s="37">
        <v>0</v>
      </c>
      <c r="P15" s="52">
        <f t="shared" si="5"/>
        <v>0</v>
      </c>
      <c r="Q15" s="49">
        <f t="shared" si="6"/>
        <v>0.4712430426716141</v>
      </c>
      <c r="R15" s="50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73884408.851098329</v>
      </c>
      <c r="E16" s="39">
        <f t="shared" si="1"/>
        <v>61531397.46875</v>
      </c>
      <c r="F16" s="40" t="s">
        <v>34</v>
      </c>
      <c r="G16" s="41">
        <v>1.9</v>
      </c>
      <c r="H16" s="42">
        <v>5.5</v>
      </c>
      <c r="I16" s="43">
        <v>5.5</v>
      </c>
      <c r="J16" s="44">
        <f t="shared" si="7"/>
        <v>0.2063805356888232</v>
      </c>
      <c r="K16" s="45">
        <f t="shared" si="2"/>
        <v>0.171875</v>
      </c>
      <c r="L16" s="46">
        <f t="shared" si="3"/>
        <v>0</v>
      </c>
      <c r="M16" s="46">
        <f t="shared" si="4"/>
        <v>0</v>
      </c>
      <c r="N16" s="51">
        <v>8100</v>
      </c>
      <c r="O16" s="37">
        <v>44550</v>
      </c>
      <c r="P16" s="52">
        <f t="shared" si="5"/>
        <v>0.24227090909090909</v>
      </c>
      <c r="Q16" s="49">
        <f t="shared" si="6"/>
        <v>1.8947368421052633</v>
      </c>
      <c r="R16" s="50">
        <v>0.05</v>
      </c>
      <c r="S16" s="53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1457319501.0926726</v>
      </c>
      <c r="E17" s="39">
        <f t="shared" si="1"/>
        <v>1213664788.7568595</v>
      </c>
      <c r="F17" s="40" t="s">
        <v>34</v>
      </c>
      <c r="G17" s="41">
        <v>20.701700000000002</v>
      </c>
      <c r="H17" s="42">
        <v>28.4941</v>
      </c>
      <c r="I17" s="43">
        <v>28.816100000000002</v>
      </c>
      <c r="J17" s="44">
        <f t="shared" si="7"/>
        <v>1.0812876644477634</v>
      </c>
      <c r="K17" s="45">
        <f t="shared" si="2"/>
        <v>0.90050312500000007</v>
      </c>
      <c r="L17" s="46">
        <f t="shared" si="3"/>
        <v>0.32200000000000273</v>
      </c>
      <c r="M17" s="46">
        <f t="shared" si="4"/>
        <v>1.1300585033392974</v>
      </c>
      <c r="N17" s="51">
        <v>267500</v>
      </c>
      <c r="O17" s="37">
        <v>7708319.25</v>
      </c>
      <c r="P17" s="48">
        <f t="shared" si="5"/>
        <v>0</v>
      </c>
      <c r="Q17" s="49">
        <f t="shared" si="6"/>
        <v>0.39196780940695697</v>
      </c>
      <c r="R17" s="50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1" t="s">
        <v>57</v>
      </c>
      <c r="O18" s="37" t="s">
        <v>57</v>
      </c>
      <c r="P18" s="52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327782912.10440606</v>
      </c>
      <c r="E19" s="39">
        <f t="shared" si="1"/>
        <v>272979657.84375</v>
      </c>
      <c r="F19" s="40" t="s">
        <v>47</v>
      </c>
      <c r="G19" s="41">
        <v>12.45</v>
      </c>
      <c r="H19" s="42">
        <v>13.083299999999999</v>
      </c>
      <c r="I19" s="43">
        <v>13</v>
      </c>
      <c r="J19" s="44">
        <f t="shared" ref="J19:J45" si="8">I19/$J$5</f>
        <v>0.48780853890085479</v>
      </c>
      <c r="K19" s="45">
        <f t="shared" ref="K19:K45" si="9">I19/$K$4</f>
        <v>0.40625</v>
      </c>
      <c r="L19" s="46">
        <f t="shared" ref="L19:L29" si="10">I19-H19</f>
        <v>-8.3299999999999486E-2</v>
      </c>
      <c r="M19" s="46">
        <f>((I19-H19)/H19)*100</f>
        <v>-0.63668952022807312</v>
      </c>
      <c r="N19" s="51">
        <v>200</v>
      </c>
      <c r="O19" s="37">
        <v>2600</v>
      </c>
      <c r="P19" s="52">
        <f>(R19)/J19</f>
        <v>0</v>
      </c>
      <c r="Q19" s="49">
        <f t="shared" ref="Q19:Q29" si="11">I19/G19-1</f>
        <v>4.4176706827309342E-2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3801103.9718872188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3.4897072398291921E-2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1">
        <v>0</v>
      </c>
      <c r="O20" s="37">
        <v>0</v>
      </c>
      <c r="P20" s="52">
        <f>(R20)/J20</f>
        <v>0</v>
      </c>
      <c r="Q20" s="49">
        <f t="shared" si="11"/>
        <v>1.6571428571428575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84941321.766017005</v>
      </c>
      <c r="E21" s="39">
        <f t="shared" si="1"/>
        <v>70739663.649999991</v>
      </c>
      <c r="F21" s="40" t="s">
        <v>47</v>
      </c>
      <c r="G21" s="41">
        <v>2.85</v>
      </c>
      <c r="H21" s="42">
        <v>3.32</v>
      </c>
      <c r="I21" s="43">
        <v>3.28</v>
      </c>
      <c r="J21" s="44">
        <f t="shared" si="8"/>
        <v>0.12307784673806182</v>
      </c>
      <c r="K21" s="45">
        <f t="shared" si="9"/>
        <v>0.10249999999999999</v>
      </c>
      <c r="L21" s="46">
        <f t="shared" si="10"/>
        <v>-4.0000000000000036E-2</v>
      </c>
      <c r="M21" s="46">
        <f>((I21-H21)/H21)*100</f>
        <v>-1.2048192771084349</v>
      </c>
      <c r="N21" s="51">
        <v>200</v>
      </c>
      <c r="O21" s="37">
        <v>656</v>
      </c>
      <c r="P21" s="52">
        <f>(R21)/J21</f>
        <v>0</v>
      </c>
      <c r="Q21" s="49">
        <f t="shared" si="11"/>
        <v>0.15087719298245594</v>
      </c>
      <c r="R21" s="50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4" t="s">
        <v>57</v>
      </c>
      <c r="O22" s="54" t="s">
        <v>57</v>
      </c>
      <c r="P22" s="54" t="s">
        <v>67</v>
      </c>
      <c r="Q22" s="49">
        <f t="shared" si="11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1862510.0677958559</v>
      </c>
      <c r="E23" s="39">
        <f t="shared" si="1"/>
        <v>1551110.0251483126</v>
      </c>
      <c r="F23" s="40" t="s">
        <v>44</v>
      </c>
      <c r="G23" s="41">
        <v>0.1</v>
      </c>
      <c r="H23" s="42">
        <v>8.6653000000000008E-2</v>
      </c>
      <c r="I23" s="43">
        <v>9.2502000000000001E-2</v>
      </c>
      <c r="J23" s="44">
        <f t="shared" si="8"/>
        <v>3.471020420415913E-3</v>
      </c>
      <c r="K23" s="45">
        <f t="shared" si="9"/>
        <v>2.8906875E-3</v>
      </c>
      <c r="L23" s="46">
        <f t="shared" si="10"/>
        <v>5.8489999999999931E-3</v>
      </c>
      <c r="M23" s="46">
        <f t="shared" ref="M23:M29" si="12">((I23-H23)/H23)*100</f>
        <v>6.7499105628195126</v>
      </c>
      <c r="N23" s="51">
        <v>14100</v>
      </c>
      <c r="O23" s="37">
        <v>1304.28</v>
      </c>
      <c r="P23" s="52">
        <f t="shared" ref="P23:P29" si="13">(R23)/J23</f>
        <v>0</v>
      </c>
      <c r="Q23" s="49">
        <f t="shared" si="11"/>
        <v>-7.4980000000000047E-2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65881701.145218208</v>
      </c>
      <c r="E24" s="39">
        <f t="shared" si="1"/>
        <v>54866692.474369876</v>
      </c>
      <c r="F24" s="40" t="s">
        <v>34</v>
      </c>
      <c r="G24" s="41">
        <v>8.1687659999999997</v>
      </c>
      <c r="H24" s="42">
        <v>9.1999999999999993</v>
      </c>
      <c r="I24" s="43">
        <v>9.0960990000000006</v>
      </c>
      <c r="J24" s="44">
        <f t="shared" si="8"/>
        <v>0.34131959714519439</v>
      </c>
      <c r="K24" s="45">
        <f t="shared" si="9"/>
        <v>0.28425309375000002</v>
      </c>
      <c r="L24" s="46">
        <f t="shared" si="10"/>
        <v>-0.10390099999999869</v>
      </c>
      <c r="M24" s="46">
        <f t="shared" si="12"/>
        <v>-1.1293586956521597</v>
      </c>
      <c r="N24" s="51">
        <v>14100</v>
      </c>
      <c r="O24" s="37">
        <v>128255</v>
      </c>
      <c r="P24" s="48">
        <f t="shared" si="13"/>
        <v>4.3947081050898847E-2</v>
      </c>
      <c r="Q24" s="49">
        <f t="shared" si="11"/>
        <v>0.11352179753955505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96733231.320768982</v>
      </c>
      <c r="E25" s="39">
        <f t="shared" si="1"/>
        <v>80560039.626632154</v>
      </c>
      <c r="F25" s="40" t="s">
        <v>66</v>
      </c>
      <c r="G25" s="41">
        <v>1.6675</v>
      </c>
      <c r="H25" s="42">
        <v>1.5423750000000001</v>
      </c>
      <c r="I25" s="43">
        <v>1.5275810000000001</v>
      </c>
      <c r="J25" s="44">
        <f t="shared" si="8"/>
        <v>5.732054274328513E-2</v>
      </c>
      <c r="K25" s="45">
        <f t="shared" si="9"/>
        <v>4.7736906250000002E-2</v>
      </c>
      <c r="L25" s="46">
        <f t="shared" si="10"/>
        <v>-1.4793999999999974E-2</v>
      </c>
      <c r="M25" s="46">
        <f t="shared" si="12"/>
        <v>-0.95917011103006555</v>
      </c>
      <c r="N25" s="51">
        <v>120700</v>
      </c>
      <c r="O25" s="37">
        <v>184379</v>
      </c>
      <c r="P25" s="52">
        <f t="shared" si="13"/>
        <v>0</v>
      </c>
      <c r="Q25" s="49">
        <f t="shared" si="11"/>
        <v>-8.3909445277361216E-2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26948206.778287265</v>
      </c>
      <c r="E26" s="39">
        <f t="shared" si="1"/>
        <v>22442635.03125</v>
      </c>
      <c r="F26" s="40" t="s">
        <v>44</v>
      </c>
      <c r="G26" s="41">
        <v>1.7994999999999999</v>
      </c>
      <c r="H26" s="42">
        <v>3.0230770000000002</v>
      </c>
      <c r="I26" s="43">
        <v>3</v>
      </c>
      <c r="J26" s="44">
        <f t="shared" si="8"/>
        <v>0.11257120128481264</v>
      </c>
      <c r="K26" s="45">
        <f t="shared" si="9"/>
        <v>9.375E-2</v>
      </c>
      <c r="L26" s="46">
        <f t="shared" si="10"/>
        <v>-2.3077000000000236E-2</v>
      </c>
      <c r="M26" s="46">
        <f t="shared" si="12"/>
        <v>-0.76336130373127231</v>
      </c>
      <c r="N26" s="51">
        <v>100</v>
      </c>
      <c r="O26" s="37">
        <v>300</v>
      </c>
      <c r="P26" s="52">
        <f t="shared" si="13"/>
        <v>0</v>
      </c>
      <c r="Q26" s="49">
        <f t="shared" si="11"/>
        <v>0.66712975826618526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24033742.305387616</v>
      </c>
      <c r="E27" s="39">
        <f t="shared" si="1"/>
        <v>20015450.802816216</v>
      </c>
      <c r="F27" s="40" t="s">
        <v>34</v>
      </c>
      <c r="G27" s="41">
        <v>3.1361369999999997</v>
      </c>
      <c r="H27" s="42">
        <v>2.5</v>
      </c>
      <c r="I27" s="43">
        <v>2.5004589999999998</v>
      </c>
      <c r="J27" s="44">
        <f t="shared" si="8"/>
        <v>9.3826557797807103E-2</v>
      </c>
      <c r="K27" s="45">
        <f t="shared" si="9"/>
        <v>7.8139343749999993E-2</v>
      </c>
      <c r="L27" s="46">
        <f t="shared" si="10"/>
        <v>4.5899999999976515E-4</v>
      </c>
      <c r="M27" s="46">
        <f t="shared" si="12"/>
        <v>1.8359999999990606E-2</v>
      </c>
      <c r="N27" s="51">
        <v>6100</v>
      </c>
      <c r="O27" s="37">
        <v>15252.8</v>
      </c>
      <c r="P27" s="52">
        <f t="shared" si="13"/>
        <v>0</v>
      </c>
      <c r="Q27" s="49">
        <f t="shared" si="11"/>
        <v>-0.20269458891623682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23191652.24268141</v>
      </c>
      <c r="E28" s="39">
        <f t="shared" si="1"/>
        <v>19314152.935531594</v>
      </c>
      <c r="F28" s="40" t="s">
        <v>44</v>
      </c>
      <c r="G28" s="41">
        <v>0.8</v>
      </c>
      <c r="H28" s="42">
        <v>0.80044499999999996</v>
      </c>
      <c r="I28" s="43">
        <v>0.81791100000000005</v>
      </c>
      <c r="J28" s="44">
        <f t="shared" si="8"/>
        <v>3.0691074604687469E-2</v>
      </c>
      <c r="K28" s="45">
        <f t="shared" si="9"/>
        <v>2.5559718750000002E-2</v>
      </c>
      <c r="L28" s="46">
        <f t="shared" si="10"/>
        <v>1.7466000000000093E-2</v>
      </c>
      <c r="M28" s="46">
        <f t="shared" si="12"/>
        <v>2.1820362423402102</v>
      </c>
      <c r="N28" s="51">
        <v>228000</v>
      </c>
      <c r="O28" s="37">
        <v>186483.75</v>
      </c>
      <c r="P28" s="52">
        <f t="shared" si="13"/>
        <v>0</v>
      </c>
      <c r="Q28" s="49">
        <f t="shared" si="11"/>
        <v>2.2388749999999957E-2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111895189.50764854</v>
      </c>
      <c r="E29" s="39">
        <f t="shared" si="1"/>
        <v>93187013.166904122</v>
      </c>
      <c r="F29" s="40" t="s">
        <v>47</v>
      </c>
      <c r="G29" s="41">
        <v>5.15</v>
      </c>
      <c r="H29" s="42">
        <v>6.6394739999999999</v>
      </c>
      <c r="I29" s="43">
        <v>6.6394739999999999</v>
      </c>
      <c r="J29" s="44">
        <f t="shared" si="8"/>
        <v>0.24913785469309338</v>
      </c>
      <c r="K29" s="45">
        <f t="shared" si="9"/>
        <v>0.2074835625</v>
      </c>
      <c r="L29" s="46">
        <f t="shared" si="10"/>
        <v>0</v>
      </c>
      <c r="M29" s="46">
        <f t="shared" si="12"/>
        <v>0</v>
      </c>
      <c r="N29" s="51">
        <v>0</v>
      </c>
      <c r="O29" s="37">
        <v>0</v>
      </c>
      <c r="P29" s="52">
        <f t="shared" si="13"/>
        <v>0</v>
      </c>
      <c r="Q29" s="49">
        <f t="shared" si="11"/>
        <v>0.28921825242718446</v>
      </c>
      <c r="R29" s="50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2">
        <v>0</v>
      </c>
      <c r="I30" s="55"/>
      <c r="J30" s="56">
        <f t="shared" si="8"/>
        <v>0</v>
      </c>
      <c r="K30" s="57">
        <f t="shared" si="9"/>
        <v>0</v>
      </c>
      <c r="L30" s="46">
        <v>0</v>
      </c>
      <c r="M30" s="46">
        <v>0</v>
      </c>
      <c r="N30" s="54" t="s">
        <v>57</v>
      </c>
      <c r="O30" s="54" t="s">
        <v>57</v>
      </c>
      <c r="P30" s="54" t="s">
        <v>85</v>
      </c>
      <c r="Q30" s="49">
        <v>0</v>
      </c>
      <c r="R30" s="50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14139171.457196677</v>
      </c>
      <c r="E31" s="39">
        <f t="shared" si="1"/>
        <v>11775190.359375</v>
      </c>
      <c r="F31" s="40" t="s">
        <v>39</v>
      </c>
      <c r="G31" s="41">
        <v>1.4</v>
      </c>
      <c r="H31" s="42">
        <v>1.45</v>
      </c>
      <c r="I31" s="43">
        <v>1.45</v>
      </c>
      <c r="J31" s="44">
        <f t="shared" si="8"/>
        <v>5.4409413954326115E-2</v>
      </c>
      <c r="K31" s="45">
        <f t="shared" si="9"/>
        <v>4.5312499999999999E-2</v>
      </c>
      <c r="L31" s="46">
        <f t="shared" ref="L31:L45" si="14">I31-H31</f>
        <v>0</v>
      </c>
      <c r="M31" s="46">
        <f t="shared" ref="M31:M45" si="15">((I31-H31)/H31)*100</f>
        <v>0</v>
      </c>
      <c r="N31" s="51">
        <v>0</v>
      </c>
      <c r="O31" s="37">
        <v>0</v>
      </c>
      <c r="P31" s="52">
        <f t="shared" ref="P31:P36" si="16">(R31)/J31</f>
        <v>0</v>
      </c>
      <c r="Q31" s="49">
        <f t="shared" ref="Q31:Q45" si="17">I31/G31-1</f>
        <v>3.5714285714285809E-2</v>
      </c>
      <c r="R31" s="50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4121101.2090147021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3.3771360385443795E-2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1">
        <v>0</v>
      </c>
      <c r="O32" s="37">
        <v>0</v>
      </c>
      <c r="P32" s="52">
        <f t="shared" si="16"/>
        <v>0</v>
      </c>
      <c r="Q32" s="49">
        <f t="shared" si="17"/>
        <v>0.38461538461538458</v>
      </c>
      <c r="R32" s="50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133016060.86467817</v>
      </c>
      <c r="E33" s="39">
        <f t="shared" si="1"/>
        <v>110776606.83848438</v>
      </c>
      <c r="F33" s="40" t="s">
        <v>92</v>
      </c>
      <c r="G33" s="41">
        <v>1.44</v>
      </c>
      <c r="H33" s="42">
        <v>1.4205000000000001</v>
      </c>
      <c r="I33" s="43">
        <v>1.4205000000000001</v>
      </c>
      <c r="J33" s="44">
        <f t="shared" si="8"/>
        <v>5.3302463808358791E-2</v>
      </c>
      <c r="K33" s="45">
        <f t="shared" si="9"/>
        <v>4.4390625000000003E-2</v>
      </c>
      <c r="L33" s="46">
        <f t="shared" si="14"/>
        <v>0</v>
      </c>
      <c r="M33" s="46">
        <f t="shared" si="15"/>
        <v>0</v>
      </c>
      <c r="N33" s="51">
        <v>300</v>
      </c>
      <c r="O33" s="37">
        <v>426.15</v>
      </c>
      <c r="P33" s="52">
        <f t="shared" si="16"/>
        <v>0</v>
      </c>
      <c r="Q33" s="49">
        <f t="shared" si="17"/>
        <v>-1.3541666666666563E-2</v>
      </c>
      <c r="R33" s="50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40123940.933473013</v>
      </c>
      <c r="E34" s="39">
        <f t="shared" si="1"/>
        <v>33415468.784027159</v>
      </c>
      <c r="F34" s="40" t="s">
        <v>34</v>
      </c>
      <c r="G34" s="41">
        <v>3.6056249999999999</v>
      </c>
      <c r="H34" s="42">
        <v>4.1060699999999999</v>
      </c>
      <c r="I34" s="43">
        <v>4.2182430000000002</v>
      </c>
      <c r="J34" s="44">
        <f t="shared" si="8"/>
        <v>0.15828422727375066</v>
      </c>
      <c r="K34" s="45">
        <f t="shared" si="9"/>
        <v>0.13182009375000001</v>
      </c>
      <c r="L34" s="46">
        <f t="shared" si="14"/>
        <v>0.1121730000000003</v>
      </c>
      <c r="M34" s="46">
        <f t="shared" si="15"/>
        <v>2.731882310822765</v>
      </c>
      <c r="N34" s="51">
        <v>920900</v>
      </c>
      <c r="O34" s="37">
        <v>3884580</v>
      </c>
      <c r="P34" s="52">
        <f t="shared" si="16"/>
        <v>0</v>
      </c>
      <c r="Q34" s="49">
        <f t="shared" si="17"/>
        <v>0.1699061882475299</v>
      </c>
      <c r="R34" s="50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10910945.622461107</v>
      </c>
      <c r="E35" s="39">
        <f t="shared" si="1"/>
        <v>9086703.7077957503</v>
      </c>
      <c r="F35" s="40" t="s">
        <v>34</v>
      </c>
      <c r="G35" s="41">
        <v>2.5099999999999997E-2</v>
      </c>
      <c r="H35" s="42">
        <v>6.5087000000000006E-2</v>
      </c>
      <c r="I35" s="43">
        <v>6.1669000000000002E-2</v>
      </c>
      <c r="J35" s="44">
        <f t="shared" si="8"/>
        <v>2.3140511373443704E-3</v>
      </c>
      <c r="K35" s="45">
        <f t="shared" si="9"/>
        <v>1.92715625E-3</v>
      </c>
      <c r="L35" s="46">
        <f t="shared" si="14"/>
        <v>-3.4180000000000044E-3</v>
      </c>
      <c r="M35" s="46">
        <f t="shared" si="15"/>
        <v>-5.2514326977737547</v>
      </c>
      <c r="N35" s="51">
        <v>302000</v>
      </c>
      <c r="O35" s="37">
        <v>18624.099999999999</v>
      </c>
      <c r="P35" s="52">
        <f t="shared" si="16"/>
        <v>0</v>
      </c>
      <c r="Q35" s="49">
        <f t="shared" si="17"/>
        <v>1.4569322709163348</v>
      </c>
      <c r="R35" s="50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62975728.932925209</v>
      </c>
      <c r="E36" s="39">
        <f t="shared" si="1"/>
        <v>52446580.65364594</v>
      </c>
      <c r="F36" s="40" t="s">
        <v>92</v>
      </c>
      <c r="G36" s="41">
        <v>0.61</v>
      </c>
      <c r="H36" s="42">
        <v>3.4291670000000001</v>
      </c>
      <c r="I36" s="43">
        <v>3.1961900000000001</v>
      </c>
      <c r="J36" s="44">
        <f t="shared" si="8"/>
        <v>0.11993298261150179</v>
      </c>
      <c r="K36" s="45">
        <f t="shared" si="9"/>
        <v>9.9880937500000003E-2</v>
      </c>
      <c r="L36" s="46">
        <f t="shared" si="14"/>
        <v>-0.23297699999999999</v>
      </c>
      <c r="M36" s="46">
        <f t="shared" si="15"/>
        <v>-6.7939823286529935</v>
      </c>
      <c r="N36" s="51">
        <v>2100</v>
      </c>
      <c r="O36" s="37">
        <v>6712</v>
      </c>
      <c r="P36" s="52">
        <f t="shared" si="16"/>
        <v>0</v>
      </c>
      <c r="Q36" s="49">
        <f t="shared" si="17"/>
        <v>4.2396557377049184</v>
      </c>
      <c r="R36" s="50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87669888.408580482</v>
      </c>
      <c r="E37" s="39">
        <f t="shared" si="1"/>
        <v>73012031.003468379</v>
      </c>
      <c r="F37" s="40" t="s">
        <v>56</v>
      </c>
      <c r="G37" s="41">
        <v>0.11650199999999999</v>
      </c>
      <c r="H37" s="42">
        <v>0.56416699999999997</v>
      </c>
      <c r="I37" s="43">
        <v>0.55697200000000002</v>
      </c>
      <c r="J37" s="44">
        <f t="shared" si="8"/>
        <v>2.0899669040668225E-2</v>
      </c>
      <c r="K37" s="45">
        <f t="shared" si="9"/>
        <v>1.7405375000000001E-2</v>
      </c>
      <c r="L37" s="46">
        <f t="shared" si="14"/>
        <v>-7.1949999999999514E-3</v>
      </c>
      <c r="M37" s="46">
        <f t="shared" si="15"/>
        <v>-1.2753315950773356</v>
      </c>
      <c r="N37" s="51">
        <v>205100</v>
      </c>
      <c r="O37" s="37">
        <v>114235</v>
      </c>
      <c r="P37" s="52">
        <v>0</v>
      </c>
      <c r="Q37" s="49">
        <f t="shared" si="17"/>
        <v>3.7807934627731719</v>
      </c>
      <c r="R37" s="50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22875141.525123831</v>
      </c>
      <c r="E38" s="39">
        <f t="shared" si="1"/>
        <v>19050560.831757657</v>
      </c>
      <c r="F38" s="40" t="s">
        <v>39</v>
      </c>
      <c r="G38" s="41">
        <v>0.1</v>
      </c>
      <c r="H38" s="42">
        <v>0.14050000000000001</v>
      </c>
      <c r="I38" s="43">
        <v>0.14125500000000002</v>
      </c>
      <c r="J38" s="44">
        <f t="shared" si="8"/>
        <v>5.3004150124954042E-3</v>
      </c>
      <c r="K38" s="45">
        <f t="shared" si="9"/>
        <v>4.4142187500000006E-3</v>
      </c>
      <c r="L38" s="46">
        <f t="shared" si="14"/>
        <v>7.5500000000000567E-4</v>
      </c>
      <c r="M38" s="46">
        <f t="shared" si="15"/>
        <v>0.53736654804270856</v>
      </c>
      <c r="N38" s="51">
        <v>14100</v>
      </c>
      <c r="O38" s="37">
        <v>1991.7</v>
      </c>
      <c r="P38" s="52">
        <f t="shared" ref="P38:P44" si="18">(R38)/J38</f>
        <v>0</v>
      </c>
      <c r="Q38" s="49">
        <f t="shared" si="17"/>
        <v>0.41255000000000019</v>
      </c>
      <c r="R38" s="50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7990621.8433158975</v>
      </c>
      <c r="E39" s="39">
        <f t="shared" si="1"/>
        <v>6654639.8125</v>
      </c>
      <c r="F39" s="40" t="s">
        <v>44</v>
      </c>
      <c r="G39" s="41">
        <v>1.7452379999999998</v>
      </c>
      <c r="H39" s="42">
        <v>2</v>
      </c>
      <c r="I39" s="43">
        <v>2</v>
      </c>
      <c r="J39" s="44">
        <f t="shared" si="8"/>
        <v>7.5047467523208428E-2</v>
      </c>
      <c r="K39" s="45">
        <f t="shared" si="9"/>
        <v>6.25E-2</v>
      </c>
      <c r="L39" s="46">
        <f t="shared" si="14"/>
        <v>0</v>
      </c>
      <c r="M39" s="46">
        <f t="shared" si="15"/>
        <v>0</v>
      </c>
      <c r="N39" s="51">
        <v>200</v>
      </c>
      <c r="O39" s="37">
        <v>400</v>
      </c>
      <c r="P39" s="52">
        <f t="shared" si="18"/>
        <v>0</v>
      </c>
      <c r="Q39" s="49">
        <f t="shared" si="17"/>
        <v>0.14597550591953667</v>
      </c>
      <c r="R39" s="50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4770283.5331597244</v>
      </c>
      <c r="E40" s="39">
        <f t="shared" si="1"/>
        <v>3972721.9406875004</v>
      </c>
      <c r="F40" s="40" t="s">
        <v>39</v>
      </c>
      <c r="G40" s="41">
        <v>0.03</v>
      </c>
      <c r="H40" s="42">
        <v>7.1500000000000008E-2</v>
      </c>
      <c r="I40" s="43">
        <v>7.1500000000000008E-2</v>
      </c>
      <c r="J40" s="44">
        <f t="shared" si="8"/>
        <v>2.6829469639547019E-3</v>
      </c>
      <c r="K40" s="45">
        <f t="shared" si="9"/>
        <v>2.2343750000000002E-3</v>
      </c>
      <c r="L40" s="46">
        <f t="shared" si="14"/>
        <v>0</v>
      </c>
      <c r="M40" s="46">
        <f t="shared" si="15"/>
        <v>0</v>
      </c>
      <c r="N40" s="51">
        <v>0</v>
      </c>
      <c r="O40" s="37">
        <v>0</v>
      </c>
      <c r="P40" s="52">
        <f t="shared" si="18"/>
        <v>0</v>
      </c>
      <c r="Q40" s="49">
        <f t="shared" si="17"/>
        <v>1.3833333333333337</v>
      </c>
      <c r="R40" s="50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46016649.055527627</v>
      </c>
      <c r="E41" s="39">
        <f t="shared" si="1"/>
        <v>38322952.9375</v>
      </c>
      <c r="F41" s="40" t="s">
        <v>47</v>
      </c>
      <c r="G41" s="41">
        <v>4.5</v>
      </c>
      <c r="H41" s="42">
        <v>7</v>
      </c>
      <c r="I41" s="43">
        <v>7</v>
      </c>
      <c r="J41" s="44">
        <f t="shared" si="8"/>
        <v>0.26266613633122954</v>
      </c>
      <c r="K41" s="45">
        <f t="shared" si="9"/>
        <v>0.21875</v>
      </c>
      <c r="L41" s="46">
        <f t="shared" si="14"/>
        <v>0</v>
      </c>
      <c r="M41" s="46">
        <f t="shared" si="15"/>
        <v>0</v>
      </c>
      <c r="N41" s="51">
        <v>0</v>
      </c>
      <c r="O41" s="37">
        <v>0</v>
      </c>
      <c r="P41" s="52">
        <f t="shared" si="18"/>
        <v>0</v>
      </c>
      <c r="Q41" s="49">
        <f t="shared" si="17"/>
        <v>0.55555555555555558</v>
      </c>
      <c r="R41" s="50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312.95086259559173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6.7542720770887588E-7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1">
        <v>0</v>
      </c>
      <c r="O42" s="37">
        <v>0</v>
      </c>
      <c r="P42" s="52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1556184.2865612502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2.7017088308355038E-3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1">
        <v>0</v>
      </c>
      <c r="O43" s="37">
        <v>0</v>
      </c>
      <c r="P43" s="52">
        <f t="shared" si="18"/>
        <v>0</v>
      </c>
      <c r="Q43" s="49">
        <f t="shared" si="17"/>
        <v>2.8571428571428692E-2</v>
      </c>
      <c r="R43" s="50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58053466.589372903</v>
      </c>
      <c r="E44" s="39">
        <f t="shared" si="1"/>
        <v>48347289.809795938</v>
      </c>
      <c r="F44" s="40" t="s">
        <v>47</v>
      </c>
      <c r="G44" s="41">
        <v>0.9998999999999999</v>
      </c>
      <c r="H44" s="42">
        <v>1</v>
      </c>
      <c r="I44" s="43">
        <v>0.85089499999999996</v>
      </c>
      <c r="J44" s="44">
        <f t="shared" si="8"/>
        <v>3.1928757439080219E-2</v>
      </c>
      <c r="K44" s="45">
        <f t="shared" si="9"/>
        <v>2.6590468749999999E-2</v>
      </c>
      <c r="L44" s="46">
        <f t="shared" si="14"/>
        <v>-0.14910500000000004</v>
      </c>
      <c r="M44" s="46">
        <f t="shared" si="15"/>
        <v>-14.910500000000004</v>
      </c>
      <c r="N44" s="51">
        <v>100400</v>
      </c>
      <c r="O44" s="37">
        <v>85429.85</v>
      </c>
      <c r="P44" s="52">
        <f t="shared" si="18"/>
        <v>0</v>
      </c>
      <c r="Q44" s="49">
        <f t="shared" si="17"/>
        <v>-0.14901990199019899</v>
      </c>
      <c r="R44" s="50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14819550.684306823</v>
      </c>
      <c r="E45" s="39">
        <f t="shared" si="1"/>
        <v>12341814.432082498</v>
      </c>
      <c r="F45" s="40" t="s">
        <v>47</v>
      </c>
      <c r="G45" s="41">
        <v>1.4503460000000001</v>
      </c>
      <c r="H45" s="42">
        <v>3.4024999999999999</v>
      </c>
      <c r="I45" s="43">
        <v>3.8450819999999997</v>
      </c>
      <c r="J45" s="44">
        <f t="shared" si="8"/>
        <v>0.14428183325953664</v>
      </c>
      <c r="K45" s="45">
        <f t="shared" si="9"/>
        <v>0.12015881249999999</v>
      </c>
      <c r="L45" s="46">
        <f t="shared" si="14"/>
        <v>0.44258199999999981</v>
      </c>
      <c r="M45" s="46">
        <f t="shared" si="15"/>
        <v>13.007553269654663</v>
      </c>
      <c r="N45" s="51">
        <v>36400</v>
      </c>
      <c r="O45" s="37">
        <v>139961</v>
      </c>
      <c r="P45" s="52">
        <v>0</v>
      </c>
      <c r="Q45" s="49">
        <f t="shared" si="17"/>
        <v>1.6511480708741222</v>
      </c>
      <c r="R45" s="50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1"/>
      <c r="O46" s="37"/>
      <c r="P46" s="52"/>
      <c r="Q46" s="49"/>
      <c r="R46" s="50"/>
    </row>
    <row r="47" spans="1:18" ht="14.25" customHeight="1" thickBot="1" x14ac:dyDescent="0.4">
      <c r="A47" s="58"/>
      <c r="B47" s="59" t="s">
        <v>117</v>
      </c>
      <c r="C47" s="60"/>
      <c r="D47" s="61"/>
      <c r="E47" s="61"/>
      <c r="F47" s="62"/>
      <c r="G47" s="62"/>
      <c r="H47" s="46"/>
      <c r="I47" s="46"/>
      <c r="J47" s="46"/>
      <c r="K47" s="46"/>
      <c r="L47" s="46"/>
      <c r="M47" s="46"/>
      <c r="N47" s="62">
        <f>SUM(N9:N45)</f>
        <v>2350800</v>
      </c>
      <c r="O47" s="62">
        <f>SUM(O9:O45)</f>
        <v>13282166.379999999</v>
      </c>
      <c r="P47" s="63"/>
      <c r="Q47" s="64"/>
    </row>
    <row r="48" spans="1:18" ht="13.5" customHeight="1" x14ac:dyDescent="0.35">
      <c r="A48" s="65"/>
      <c r="B48" s="66" t="s">
        <v>117</v>
      </c>
      <c r="C48" s="67"/>
      <c r="D48" s="67"/>
      <c r="E48" s="67"/>
      <c r="F48" s="68"/>
      <c r="G48" s="68"/>
      <c r="H48" s="69"/>
      <c r="I48" s="69"/>
      <c r="J48" s="69"/>
      <c r="K48" s="69"/>
      <c r="L48" s="69"/>
      <c r="M48" s="69"/>
      <c r="N48" s="68"/>
      <c r="O48" s="68"/>
      <c r="P48" s="68"/>
      <c r="Q48" s="70"/>
    </row>
    <row r="49" spans="1:20" ht="12.75" customHeight="1" x14ac:dyDescent="0.3">
      <c r="A49" s="138" t="s">
        <v>118</v>
      </c>
      <c r="B49" s="139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1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88852371.780600011</v>
      </c>
      <c r="E50" s="39">
        <v>0</v>
      </c>
      <c r="F50" s="40" t="s">
        <v>92</v>
      </c>
      <c r="G50" s="71">
        <v>0.1</v>
      </c>
      <c r="H50" s="42">
        <v>0.15709999999999999</v>
      </c>
      <c r="I50" s="42">
        <v>0.15690000000000001</v>
      </c>
      <c r="J50" s="44">
        <f t="shared" ref="J50:J65" si="20">I50</f>
        <v>0.15690000000000001</v>
      </c>
      <c r="K50" s="39">
        <v>0</v>
      </c>
      <c r="L50" s="46">
        <f t="shared" ref="L50:L65" si="21">I50-H50</f>
        <v>-1.9999999999997797E-4</v>
      </c>
      <c r="M50" s="46">
        <f t="shared" ref="M50:M65" si="22">((I50-H50)/H50)*100</f>
        <v>-0.12730744748566389</v>
      </c>
      <c r="N50" s="51">
        <v>1242</v>
      </c>
      <c r="O50" s="37">
        <v>194.89</v>
      </c>
      <c r="P50" s="72">
        <f>(R50)/J50</f>
        <v>0</v>
      </c>
      <c r="Q50" s="49">
        <f t="shared" ref="Q50:Q65" si="23">J50/G50-1</f>
        <v>0.56899999999999995</v>
      </c>
      <c r="T50" s="53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36970874.5</v>
      </c>
      <c r="E51" s="39">
        <v>0</v>
      </c>
      <c r="F51" s="40" t="s">
        <v>39</v>
      </c>
      <c r="G51" s="71">
        <v>39.9</v>
      </c>
      <c r="H51" s="42">
        <v>33.25</v>
      </c>
      <c r="I51" s="42">
        <v>33.25</v>
      </c>
      <c r="J51" s="44">
        <f t="shared" si="20"/>
        <v>33.25</v>
      </c>
      <c r="K51" s="39">
        <v>0</v>
      </c>
      <c r="L51" s="46">
        <f t="shared" si="21"/>
        <v>0</v>
      </c>
      <c r="M51" s="46">
        <f t="shared" si="22"/>
        <v>0</v>
      </c>
      <c r="N51" s="51">
        <v>0</v>
      </c>
      <c r="O51" s="37">
        <v>0</v>
      </c>
      <c r="P51" s="73">
        <f>(R51)/J51</f>
        <v>1.6842105263157898E-2</v>
      </c>
      <c r="Q51" s="49">
        <f t="shared" si="23"/>
        <v>-0.16666666666666663</v>
      </c>
      <c r="R51" s="53">
        <v>0.56000000000000005</v>
      </c>
      <c r="T51" s="53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680417912.36220002</v>
      </c>
      <c r="E52" s="39"/>
      <c r="F52" s="40" t="s">
        <v>56</v>
      </c>
      <c r="G52" s="71">
        <v>0.33</v>
      </c>
      <c r="H52" s="42">
        <v>0.22789999999999999</v>
      </c>
      <c r="I52" s="42">
        <v>0.22739999999999999</v>
      </c>
      <c r="J52" s="44">
        <f t="shared" si="20"/>
        <v>0.22739999999999999</v>
      </c>
      <c r="K52" s="39">
        <v>0</v>
      </c>
      <c r="L52" s="46">
        <f t="shared" si="21"/>
        <v>-5.0000000000000044E-4</v>
      </c>
      <c r="M52" s="46">
        <f t="shared" si="22"/>
        <v>-0.21939447125932446</v>
      </c>
      <c r="N52" s="51">
        <v>40191</v>
      </c>
      <c r="O52" s="37">
        <v>9137.77</v>
      </c>
      <c r="P52" s="72">
        <v>0</v>
      </c>
      <c r="Q52" s="49">
        <f t="shared" si="23"/>
        <v>-0.31090909090909102</v>
      </c>
      <c r="R52" s="53"/>
      <c r="T52" s="53"/>
    </row>
    <row r="53" spans="1:20" ht="12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15243523.575000001</v>
      </c>
      <c r="E53" s="39">
        <v>0</v>
      </c>
      <c r="F53" s="40" t="s">
        <v>34</v>
      </c>
      <c r="G53" s="71">
        <v>2.3E-2</v>
      </c>
      <c r="H53" s="42">
        <v>2.4899999999999999E-2</v>
      </c>
      <c r="I53" s="42">
        <v>2.5000000000000001E-2</v>
      </c>
      <c r="J53" s="44">
        <f t="shared" si="20"/>
        <v>2.5000000000000001E-2</v>
      </c>
      <c r="K53" s="39">
        <v>0</v>
      </c>
      <c r="L53" s="46">
        <f t="shared" si="21"/>
        <v>1.0000000000000286E-4</v>
      </c>
      <c r="M53" s="46">
        <f t="shared" si="22"/>
        <v>0.40160642570282273</v>
      </c>
      <c r="N53" s="51">
        <v>2900</v>
      </c>
      <c r="O53" s="37">
        <v>72.5</v>
      </c>
      <c r="P53" s="72">
        <f t="shared" ref="P53:P65" si="24">(R53)/J53</f>
        <v>0</v>
      </c>
      <c r="Q53" s="49">
        <f t="shared" si="23"/>
        <v>8.6956521739130599E-2</v>
      </c>
      <c r="T53" s="53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325269467.7216</v>
      </c>
      <c r="E54" s="39">
        <v>0</v>
      </c>
      <c r="F54" s="40" t="s">
        <v>47</v>
      </c>
      <c r="G54" s="71">
        <v>9.0200000000000002E-2</v>
      </c>
      <c r="H54" s="42">
        <v>0.16320000000000001</v>
      </c>
      <c r="I54" s="42">
        <v>0.15040000000000001</v>
      </c>
      <c r="J54" s="44">
        <f t="shared" si="20"/>
        <v>0.15040000000000001</v>
      </c>
      <c r="K54" s="39">
        <v>0</v>
      </c>
      <c r="L54" s="46">
        <f t="shared" si="21"/>
        <v>-1.2800000000000006E-2</v>
      </c>
      <c r="M54" s="74">
        <f t="shared" si="22"/>
        <v>-7.8431372549019631</v>
      </c>
      <c r="N54" s="51">
        <v>2240499</v>
      </c>
      <c r="O54" s="37">
        <v>337002.05</v>
      </c>
      <c r="P54" s="72">
        <f t="shared" si="24"/>
        <v>0</v>
      </c>
      <c r="Q54" s="49">
        <f t="shared" si="23"/>
        <v>0.66740576496674064</v>
      </c>
      <c r="R54" s="53"/>
      <c r="T54" s="53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864004860.28999996</v>
      </c>
      <c r="E55" s="39">
        <v>0</v>
      </c>
      <c r="F55" s="40" t="s">
        <v>34</v>
      </c>
      <c r="G55" s="71">
        <v>0.95750000000000002</v>
      </c>
      <c r="H55" s="42">
        <v>1.4925999999999999</v>
      </c>
      <c r="I55" s="42">
        <v>1.5002</v>
      </c>
      <c r="J55" s="44">
        <f t="shared" si="20"/>
        <v>1.5002</v>
      </c>
      <c r="K55" s="39">
        <v>0</v>
      </c>
      <c r="L55" s="46">
        <f t="shared" si="21"/>
        <v>7.6000000000000512E-3</v>
      </c>
      <c r="M55" s="46">
        <f t="shared" si="22"/>
        <v>0.50917861449819446</v>
      </c>
      <c r="N55" s="51">
        <v>405355</v>
      </c>
      <c r="O55" s="37">
        <v>608130.79</v>
      </c>
      <c r="P55" s="73">
        <f t="shared" si="24"/>
        <v>3.1329156112518332E-2</v>
      </c>
      <c r="Q55" s="49">
        <f t="shared" si="23"/>
        <v>0.56678851174934719</v>
      </c>
      <c r="R55" s="53">
        <v>4.7E-2</v>
      </c>
      <c r="T55" s="53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24713337.410999998</v>
      </c>
      <c r="E56" s="39">
        <v>0</v>
      </c>
      <c r="F56" s="40" t="s">
        <v>34</v>
      </c>
      <c r="G56" s="71">
        <v>0.1595</v>
      </c>
      <c r="H56" s="42">
        <v>0.15</v>
      </c>
      <c r="I56" s="42">
        <v>0.15049999999999999</v>
      </c>
      <c r="J56" s="44">
        <f t="shared" si="20"/>
        <v>0.15049999999999999</v>
      </c>
      <c r="K56" s="39">
        <v>0</v>
      </c>
      <c r="L56" s="46">
        <f t="shared" si="21"/>
        <v>5.0000000000000044E-4</v>
      </c>
      <c r="M56" s="46">
        <f t="shared" si="22"/>
        <v>0.33333333333333365</v>
      </c>
      <c r="N56" s="51">
        <v>369</v>
      </c>
      <c r="O56" s="37">
        <v>55.54</v>
      </c>
      <c r="P56" s="72">
        <f t="shared" si="24"/>
        <v>0</v>
      </c>
      <c r="Q56" s="49">
        <f t="shared" si="23"/>
        <v>-5.6426332288401326E-2</v>
      </c>
      <c r="T56" s="53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23937660.901799999</v>
      </c>
      <c r="E57" s="39">
        <v>0</v>
      </c>
      <c r="F57" s="40" t="s">
        <v>92</v>
      </c>
      <c r="G57" s="71">
        <v>1.6799999999999999E-2</v>
      </c>
      <c r="H57" s="42">
        <v>2.29E-2</v>
      </c>
      <c r="I57" s="42">
        <v>2.4299999999999999E-2</v>
      </c>
      <c r="J57" s="44">
        <f t="shared" si="20"/>
        <v>2.4299999999999999E-2</v>
      </c>
      <c r="K57" s="39">
        <v>0</v>
      </c>
      <c r="L57" s="46">
        <f t="shared" si="21"/>
        <v>1.3999999999999985E-3</v>
      </c>
      <c r="M57" s="74">
        <f t="shared" si="22"/>
        <v>6.113537117903924</v>
      </c>
      <c r="N57" s="51">
        <v>19275</v>
      </c>
      <c r="O57" s="37">
        <v>468.74</v>
      </c>
      <c r="P57" s="72">
        <f t="shared" si="24"/>
        <v>0</v>
      </c>
      <c r="Q57" s="49">
        <f t="shared" si="23"/>
        <v>0.4464285714285714</v>
      </c>
      <c r="R57" s="53"/>
      <c r="T57" s="53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1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1">
        <v>0</v>
      </c>
      <c r="O58" s="37">
        <v>0</v>
      </c>
      <c r="P58" s="72">
        <f t="shared" si="24"/>
        <v>0</v>
      </c>
      <c r="Q58" s="49">
        <f t="shared" si="23"/>
        <v>-0.12820512820512819</v>
      </c>
      <c r="T58" s="53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4052281786.4528999</v>
      </c>
      <c r="E59" s="39">
        <v>0</v>
      </c>
      <c r="F59" s="40" t="s">
        <v>47</v>
      </c>
      <c r="G59" s="71">
        <v>0.78169999999999995</v>
      </c>
      <c r="H59" s="52">
        <v>0.9022</v>
      </c>
      <c r="I59" s="42">
        <v>0.90090000000000003</v>
      </c>
      <c r="J59" s="44">
        <f t="shared" si="20"/>
        <v>0.90090000000000003</v>
      </c>
      <c r="K59" s="39">
        <v>0</v>
      </c>
      <c r="L59" s="46">
        <f t="shared" si="21"/>
        <v>-1.2999999999999678E-3</v>
      </c>
      <c r="M59" s="46">
        <f t="shared" si="22"/>
        <v>-0.14409221902016933</v>
      </c>
      <c r="N59" s="75">
        <v>172932</v>
      </c>
      <c r="O59" s="76">
        <v>155802.68</v>
      </c>
      <c r="P59" s="72">
        <f t="shared" si="24"/>
        <v>0</v>
      </c>
      <c r="Q59" s="49">
        <f t="shared" si="23"/>
        <v>0.15248816681591415</v>
      </c>
      <c r="R59" s="53"/>
      <c r="S59" s="53"/>
      <c r="T59" s="53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1188716050.9015</v>
      </c>
      <c r="E60" s="39">
        <v>0</v>
      </c>
      <c r="F60" s="40" t="s">
        <v>92</v>
      </c>
      <c r="G60" s="71">
        <v>0.59499999999999997</v>
      </c>
      <c r="H60" s="42">
        <v>1.5095000000000001</v>
      </c>
      <c r="I60" s="42">
        <v>1.4764999999999999</v>
      </c>
      <c r="J60" s="44">
        <f t="shared" si="20"/>
        <v>1.4764999999999999</v>
      </c>
      <c r="K60" s="39">
        <v>0</v>
      </c>
      <c r="L60" s="46">
        <f t="shared" si="21"/>
        <v>-3.300000000000014E-2</v>
      </c>
      <c r="M60" s="46">
        <f t="shared" si="22"/>
        <v>-2.1861543557469454</v>
      </c>
      <c r="N60" s="51">
        <v>461648</v>
      </c>
      <c r="O60" s="37">
        <v>681641.06</v>
      </c>
      <c r="P60" s="72">
        <f t="shared" si="24"/>
        <v>0</v>
      </c>
      <c r="Q60" s="49">
        <f t="shared" si="23"/>
        <v>1.4815126050420169</v>
      </c>
      <c r="T60" s="53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118442605.5274</v>
      </c>
      <c r="E61" s="39">
        <v>0</v>
      </c>
      <c r="F61" s="40" t="s">
        <v>34</v>
      </c>
      <c r="G61" s="71">
        <v>0.22600000000000001</v>
      </c>
      <c r="H61" s="42">
        <v>0.51019999999999999</v>
      </c>
      <c r="I61" s="42">
        <v>0.45429999999999998</v>
      </c>
      <c r="J61" s="44">
        <f t="shared" si="20"/>
        <v>0.45429999999999998</v>
      </c>
      <c r="K61" s="39">
        <v>0</v>
      </c>
      <c r="L61" s="46">
        <f t="shared" si="21"/>
        <v>-5.5900000000000005E-2</v>
      </c>
      <c r="M61" s="46">
        <f t="shared" si="22"/>
        <v>-10.956487651901217</v>
      </c>
      <c r="N61" s="51">
        <v>1370</v>
      </c>
      <c r="O61" s="37">
        <v>622.38</v>
      </c>
      <c r="P61" s="72">
        <f t="shared" si="24"/>
        <v>0</v>
      </c>
      <c r="Q61" s="49">
        <f t="shared" si="23"/>
        <v>1.0101769911504421</v>
      </c>
      <c r="T61" s="53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335174570.6056</v>
      </c>
      <c r="E62" s="39">
        <v>0</v>
      </c>
      <c r="F62" s="40" t="s">
        <v>34</v>
      </c>
      <c r="G62" s="71">
        <v>0.49440000000000001</v>
      </c>
      <c r="H62" s="42">
        <v>0.66910000000000003</v>
      </c>
      <c r="I62" s="42">
        <v>0.59619999999999995</v>
      </c>
      <c r="J62" s="44">
        <f t="shared" si="20"/>
        <v>0.59619999999999995</v>
      </c>
      <c r="K62" s="39">
        <v>0</v>
      </c>
      <c r="L62" s="46">
        <f t="shared" si="21"/>
        <v>-7.2900000000000076E-2</v>
      </c>
      <c r="M62" s="46">
        <f t="shared" si="22"/>
        <v>-10.895232401733683</v>
      </c>
      <c r="N62" s="51">
        <v>188594</v>
      </c>
      <c r="O62" s="37">
        <v>112431.79</v>
      </c>
      <c r="P62" s="72">
        <f t="shared" si="24"/>
        <v>0</v>
      </c>
      <c r="Q62" s="49">
        <f t="shared" si="23"/>
        <v>0.20590614886731373</v>
      </c>
      <c r="R62" s="53"/>
      <c r="T62" s="53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90766982.715000004</v>
      </c>
      <c r="E63" s="39">
        <v>0</v>
      </c>
      <c r="F63" s="40" t="s">
        <v>34</v>
      </c>
      <c r="G63" s="71">
        <v>0.25950000000000001</v>
      </c>
      <c r="H63" s="42">
        <v>0.24909999999999999</v>
      </c>
      <c r="I63" s="42">
        <v>0.249</v>
      </c>
      <c r="J63" s="44">
        <f t="shared" si="20"/>
        <v>0.249</v>
      </c>
      <c r="K63" s="39">
        <v>0</v>
      </c>
      <c r="L63" s="46">
        <f t="shared" si="21"/>
        <v>-9.9999999999988987E-5</v>
      </c>
      <c r="M63" s="46">
        <f t="shared" si="22"/>
        <v>-4.0144520272978317E-2</v>
      </c>
      <c r="N63" s="51">
        <v>446</v>
      </c>
      <c r="O63" s="37">
        <v>111.05</v>
      </c>
      <c r="P63" s="72">
        <f t="shared" si="24"/>
        <v>0</v>
      </c>
      <c r="Q63" s="49">
        <f t="shared" si="23"/>
        <v>-4.0462427745664775E-2</v>
      </c>
      <c r="R63" s="53"/>
      <c r="T63" s="53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1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51">
        <v>0</v>
      </c>
      <c r="O64" s="37">
        <v>0</v>
      </c>
      <c r="P64" s="72">
        <f t="shared" si="24"/>
        <v>0</v>
      </c>
      <c r="Q64" s="49">
        <f t="shared" si="23"/>
        <v>0</v>
      </c>
      <c r="T64" s="53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40660497.347999997</v>
      </c>
      <c r="E65" s="39">
        <v>0</v>
      </c>
      <c r="F65" s="40" t="s">
        <v>44</v>
      </c>
      <c r="G65" s="71">
        <v>4.2999999999999997E-2</v>
      </c>
      <c r="H65" s="42">
        <v>0.11119999999999999</v>
      </c>
      <c r="I65" s="42">
        <v>0.11799999999999999</v>
      </c>
      <c r="J65" s="44">
        <f t="shared" si="20"/>
        <v>0.11799999999999999</v>
      </c>
      <c r="K65" s="39">
        <v>0</v>
      </c>
      <c r="L65" s="46">
        <f t="shared" si="21"/>
        <v>6.8000000000000005E-3</v>
      </c>
      <c r="M65" s="46">
        <f t="shared" si="22"/>
        <v>6.1151079136690658</v>
      </c>
      <c r="N65" s="51">
        <v>3665</v>
      </c>
      <c r="O65" s="37">
        <v>432.43</v>
      </c>
      <c r="P65" s="72">
        <f t="shared" si="24"/>
        <v>0</v>
      </c>
      <c r="Q65" s="49">
        <f t="shared" si="23"/>
        <v>1.7441860465116279</v>
      </c>
      <c r="T65" s="53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2">
        <f>SUM(N50:N65)</f>
        <v>3538486</v>
      </c>
      <c r="O66" s="63">
        <f>SUM(O50:O65)</f>
        <v>1906103.67</v>
      </c>
      <c r="P66" s="80"/>
      <c r="Q66" s="64"/>
    </row>
    <row r="67" spans="1:20" ht="12.6" hidden="1" x14ac:dyDescent="0.3">
      <c r="A67" s="132" t="s">
        <v>152</v>
      </c>
      <c r="B67" s="133"/>
      <c r="C67" s="134"/>
      <c r="D67" s="134"/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5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4"/>
    </row>
    <row r="70" spans="1:20" ht="12.6" x14ac:dyDescent="0.3">
      <c r="A70" s="132" t="s">
        <v>156</v>
      </c>
      <c r="B70" s="133"/>
      <c r="C70" s="134"/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5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39644947.060200006</v>
      </c>
      <c r="E71" s="39">
        <f>C71*K71</f>
        <v>39644947.060200006</v>
      </c>
      <c r="F71" s="92" t="s">
        <v>159</v>
      </c>
      <c r="G71" s="92">
        <v>0.24</v>
      </c>
      <c r="H71" s="93">
        <v>0.32590000000000002</v>
      </c>
      <c r="I71" s="93">
        <v>0.28460000000000002</v>
      </c>
      <c r="J71" s="94">
        <f>I71</f>
        <v>0.28460000000000002</v>
      </c>
      <c r="K71" s="94">
        <f>J71</f>
        <v>0.28460000000000002</v>
      </c>
      <c r="L71" s="46">
        <f>I71-H71</f>
        <v>-4.1300000000000003E-2</v>
      </c>
      <c r="M71" s="46">
        <f>((I71-H71)/H71)*100</f>
        <v>-12.672598956735195</v>
      </c>
      <c r="N71" s="95">
        <v>1420</v>
      </c>
      <c r="O71" s="96">
        <v>404.1</v>
      </c>
      <c r="P71" s="72">
        <f>(R71)/J71</f>
        <v>0</v>
      </c>
      <c r="Q71" s="49">
        <f>J71/G71-1</f>
        <v>0.18583333333333352</v>
      </c>
      <c r="T71" s="53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82464641.875</v>
      </c>
      <c r="E72" s="39">
        <f>C72*K72</f>
        <v>82464641.875</v>
      </c>
      <c r="F72" s="92" t="s">
        <v>159</v>
      </c>
      <c r="G72" s="92">
        <v>0.1</v>
      </c>
      <c r="H72" s="93">
        <v>0.1507</v>
      </c>
      <c r="I72" s="93">
        <v>0.1525</v>
      </c>
      <c r="J72" s="94">
        <f>I72</f>
        <v>0.1525</v>
      </c>
      <c r="K72" s="94">
        <f>J72</f>
        <v>0.1525</v>
      </c>
      <c r="L72" s="46">
        <f>I72-H72</f>
        <v>1.799999999999996E-3</v>
      </c>
      <c r="M72" s="46">
        <f>((I72-H72)/H72)*100</f>
        <v>1.1944260119442576</v>
      </c>
      <c r="N72" s="51">
        <v>465</v>
      </c>
      <c r="O72" s="96">
        <v>70.92</v>
      </c>
      <c r="P72" s="97">
        <f>(R72)/J72</f>
        <v>2.4865573770491804E-2</v>
      </c>
      <c r="Q72" s="49">
        <f>J72/G72-1</f>
        <v>0.52499999999999991</v>
      </c>
      <c r="R72" s="5">
        <v>3.7919999999999998E-3</v>
      </c>
      <c r="T72" s="53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2">
        <f>SUM(N71:N72)</f>
        <v>1885</v>
      </c>
      <c r="O73" s="63">
        <f>SUM(O71:O72)</f>
        <v>475.02000000000004</v>
      </c>
      <c r="P73" s="90"/>
      <c r="Q73" s="64"/>
    </row>
    <row r="74" spans="1:20" ht="12.6" x14ac:dyDescent="0.3">
      <c r="A74" s="132" t="s">
        <v>162</v>
      </c>
      <c r="B74" s="133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5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7709154.1200000001</v>
      </c>
      <c r="E75" s="39">
        <f>C75*K75</f>
        <v>7709154.1200000001</v>
      </c>
      <c r="F75" s="92" t="s">
        <v>137</v>
      </c>
      <c r="G75" s="92">
        <v>0.1394</v>
      </c>
      <c r="H75" s="93">
        <v>0.1193</v>
      </c>
      <c r="I75" s="93">
        <v>0.12</v>
      </c>
      <c r="J75" s="94">
        <f>I75</f>
        <v>0.12</v>
      </c>
      <c r="K75" s="94">
        <f>J75</f>
        <v>0.12</v>
      </c>
      <c r="L75" s="46">
        <f>I75-H75</f>
        <v>6.999999999999923E-4</v>
      </c>
      <c r="M75" s="46">
        <f>((I75-H75)/H75)*100</f>
        <v>0.58675607711650646</v>
      </c>
      <c r="N75" s="95">
        <v>1388</v>
      </c>
      <c r="O75" s="96">
        <v>166.61</v>
      </c>
      <c r="P75" s="72">
        <f>(R75)/J75</f>
        <v>0</v>
      </c>
      <c r="Q75" s="49">
        <f>J75/G75-1</f>
        <v>-0.13916786226685796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2"/>
      <c r="O76" s="63"/>
      <c r="P76" s="90"/>
      <c r="Q76" s="64"/>
    </row>
    <row r="77" spans="1:20" ht="12.6" x14ac:dyDescent="0.3">
      <c r="A77" s="138" t="s">
        <v>165</v>
      </c>
      <c r="B77" s="139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1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154651.04841312132</v>
      </c>
      <c r="E78" s="39">
        <f>C78*K78</f>
        <v>128794.35968750001</v>
      </c>
      <c r="F78" s="40" t="s">
        <v>137</v>
      </c>
      <c r="G78" s="71">
        <v>0.105</v>
      </c>
      <c r="H78" s="42">
        <v>0.13</v>
      </c>
      <c r="I78" s="42">
        <v>0.13</v>
      </c>
      <c r="J78" s="44">
        <f>I78/$J$5</f>
        <v>4.8780853890085484E-3</v>
      </c>
      <c r="K78" s="45">
        <f>I78/$K$4</f>
        <v>4.0625000000000001E-3</v>
      </c>
      <c r="L78" s="46">
        <f>I78-H78</f>
        <v>0</v>
      </c>
      <c r="M78" s="98">
        <f>((I78-H78)/H78)*100</f>
        <v>0</v>
      </c>
      <c r="N78" s="37">
        <v>1000</v>
      </c>
      <c r="O78" s="37">
        <v>130</v>
      </c>
      <c r="P78" s="40">
        <v>0</v>
      </c>
      <c r="Q78" s="49">
        <f>I78/G78-1</f>
        <v>0.23809523809523814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408744.6870145367</v>
      </c>
      <c r="E79" s="39">
        <f>C79*K79</f>
        <v>340405.13</v>
      </c>
      <c r="F79" s="40" t="s">
        <v>137</v>
      </c>
      <c r="G79" s="71">
        <v>4.2500000000000003E-2</v>
      </c>
      <c r="H79" s="42">
        <v>0.08</v>
      </c>
      <c r="I79" s="42">
        <v>0.08</v>
      </c>
      <c r="J79" s="44">
        <f>I79/$J$5</f>
        <v>3.0018987009283373E-3</v>
      </c>
      <c r="K79" s="45">
        <f>I79/$K$4</f>
        <v>2.5000000000000001E-3</v>
      </c>
      <c r="L79" s="46">
        <f>I79-H79</f>
        <v>0</v>
      </c>
      <c r="M79" s="98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1445714.242341331</v>
      </c>
      <c r="E80" s="39">
        <f>C80*K80</f>
        <v>1203999.8567358751</v>
      </c>
      <c r="F80" s="40" t="s">
        <v>137</v>
      </c>
      <c r="G80" s="71">
        <v>6.0499999999999998E-2</v>
      </c>
      <c r="H80" s="42">
        <v>0.118119</v>
      </c>
      <c r="I80" s="42">
        <v>0.118119</v>
      </c>
      <c r="J80" s="44">
        <f>I80/$J$5</f>
        <v>4.4322659081869288E-3</v>
      </c>
      <c r="K80" s="45">
        <f>I80/$K$4</f>
        <v>3.6912187500000001E-3</v>
      </c>
      <c r="L80" s="46">
        <f>I80-H80</f>
        <v>0</v>
      </c>
      <c r="M80" s="98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0.95238016528925629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423476.78294020967</v>
      </c>
      <c r="E81" s="39">
        <f>C81*K81</f>
        <v>352674.11156250001</v>
      </c>
      <c r="F81" s="40" t="s">
        <v>137</v>
      </c>
      <c r="G81" s="71">
        <v>1.85</v>
      </c>
      <c r="H81" s="42">
        <v>1.7</v>
      </c>
      <c r="I81" s="42">
        <v>1.69</v>
      </c>
      <c r="J81" s="44">
        <f>I81/$J$5</f>
        <v>6.3415110057111118E-2</v>
      </c>
      <c r="K81" s="45">
        <f>I81/$K$4</f>
        <v>5.2812499999999998E-2</v>
      </c>
      <c r="L81" s="46">
        <f>I81-H81</f>
        <v>-1.0000000000000009E-2</v>
      </c>
      <c r="M81" s="98">
        <f>((I81-H81)/H81)*100</f>
        <v>-0.58823529411764752</v>
      </c>
      <c r="N81" s="37">
        <v>152</v>
      </c>
      <c r="O81" s="37">
        <v>256.89999999999998</v>
      </c>
      <c r="P81" s="40">
        <v>0</v>
      </c>
      <c r="Q81" s="49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2">
        <f>SUM(N78:N81)</f>
        <v>1152</v>
      </c>
      <c r="O82" s="63">
        <f>SUM(O78:O81)</f>
        <v>386.9</v>
      </c>
      <c r="P82" s="80"/>
      <c r="Q82" s="64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2" t="s">
        <v>174</v>
      </c>
      <c r="B83" s="133"/>
      <c r="C83" s="134"/>
      <c r="D83" s="134"/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5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27641951.834535342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7.5047467523208428E-2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2">
        <f>(R84)/J84</f>
        <v>0</v>
      </c>
      <c r="Q84" s="49">
        <f>I84/G84-1</f>
        <v>0.53846153846153832</v>
      </c>
      <c r="R84" s="53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76058794.513092026</v>
      </c>
      <c r="E85" s="39">
        <f>C85*K85</f>
        <v>63342239.437968753</v>
      </c>
      <c r="F85" s="40" t="s">
        <v>177</v>
      </c>
      <c r="G85" s="40">
        <v>1.44347</v>
      </c>
      <c r="H85" s="42">
        <v>1.056414</v>
      </c>
      <c r="I85" s="42">
        <v>1.100943</v>
      </c>
      <c r="J85" s="44">
        <f>I85/$J$5</f>
        <v>4.131149201870183E-2</v>
      </c>
      <c r="K85" s="45">
        <f>I85/$K$4</f>
        <v>3.440446875E-2</v>
      </c>
      <c r="L85" s="46">
        <f>I85-H85</f>
        <v>4.4529000000000041E-2</v>
      </c>
      <c r="M85" s="46">
        <f>((I85-H85)/H85*100)</f>
        <v>4.2151088493715569</v>
      </c>
      <c r="N85" s="76">
        <v>34359</v>
      </c>
      <c r="O85" s="76">
        <v>37836.877500000002</v>
      </c>
      <c r="P85" s="48">
        <f>(R85)/J85</f>
        <v>5.2672994696364842E-2</v>
      </c>
      <c r="Q85" s="49">
        <f>I85/G85-1</f>
        <v>-0.23729415921356178</v>
      </c>
      <c r="R85" s="53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113"/>
      <c r="G87" s="113"/>
      <c r="H87" s="60"/>
      <c r="M87" s="114"/>
      <c r="N87" s="114"/>
      <c r="O87" s="60"/>
      <c r="P87" s="60"/>
      <c r="Q87" s="115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3"/>
      <c r="J88" s="145" t="s">
        <v>182</v>
      </c>
      <c r="K88" s="146"/>
      <c r="L88" s="147"/>
      <c r="M88" s="145" t="s">
        <v>183</v>
      </c>
      <c r="N88" s="146"/>
      <c r="O88" s="147"/>
      <c r="Q88" s="16"/>
    </row>
    <row r="89" spans="1:243" ht="15" customHeight="1" x14ac:dyDescent="0.25">
      <c r="A89" s="35" t="s">
        <v>115</v>
      </c>
      <c r="B89" s="116">
        <v>3.8450819999999997</v>
      </c>
      <c r="D89" s="116">
        <v>13.007553269654663</v>
      </c>
      <c r="E89" s="35" t="s">
        <v>113</v>
      </c>
      <c r="F89" s="117">
        <v>0.85089499999999996</v>
      </c>
      <c r="H89" s="118">
        <v>-14.910500000000004</v>
      </c>
      <c r="J89" s="35" t="s">
        <v>133</v>
      </c>
      <c r="K89" s="52">
        <v>2.4299999999999999E-2</v>
      </c>
      <c r="L89" s="119">
        <v>6.113537117903924</v>
      </c>
      <c r="M89" s="60" t="s">
        <v>142</v>
      </c>
      <c r="N89" s="117">
        <v>0.45429999999999998</v>
      </c>
      <c r="O89" s="118">
        <v>-10.956487651901217</v>
      </c>
      <c r="Q89" s="16"/>
    </row>
    <row r="90" spans="1:243" ht="15" customHeight="1" x14ac:dyDescent="0.25">
      <c r="A90" s="35" t="s">
        <v>68</v>
      </c>
      <c r="B90" s="116">
        <v>9.2502000000000001E-2</v>
      </c>
      <c r="D90" s="116">
        <v>6.7499105628195126</v>
      </c>
      <c r="E90" s="35" t="s">
        <v>97</v>
      </c>
      <c r="F90" s="117">
        <v>3.1961900000000001</v>
      </c>
      <c r="H90" s="118">
        <v>-6.7939823286529935</v>
      </c>
      <c r="J90" s="35" t="s">
        <v>129</v>
      </c>
      <c r="K90" s="52">
        <v>1.5002</v>
      </c>
      <c r="L90" s="119">
        <v>0.50917861449819446</v>
      </c>
      <c r="M90" s="35" t="s">
        <v>144</v>
      </c>
      <c r="N90" s="117">
        <v>0.59619999999999995</v>
      </c>
      <c r="O90" s="118">
        <v>-10.895232401733683</v>
      </c>
      <c r="Q90" s="16"/>
    </row>
    <row r="91" spans="1:243" ht="15" customHeight="1" x14ac:dyDescent="0.25">
      <c r="A91" s="35" t="s">
        <v>35</v>
      </c>
      <c r="B91" s="116">
        <v>5.9248000000000002E-2</v>
      </c>
      <c r="C91" s="116"/>
      <c r="D91" s="116">
        <v>4.8971353705605276</v>
      </c>
      <c r="E91" s="35" t="s">
        <v>95</v>
      </c>
      <c r="F91" s="117">
        <v>6.1669000000000002E-2</v>
      </c>
      <c r="H91" s="118">
        <v>-5.2514326977737547</v>
      </c>
      <c r="J91" s="35" t="s">
        <v>125</v>
      </c>
      <c r="K91" s="52">
        <v>2.5000000000000001E-2</v>
      </c>
      <c r="L91" s="119">
        <v>0.40160642570282273</v>
      </c>
      <c r="M91" s="35" t="s">
        <v>127</v>
      </c>
      <c r="N91" s="117">
        <v>0.15040000000000001</v>
      </c>
      <c r="O91" s="118">
        <v>-7.8431372549019631</v>
      </c>
      <c r="Q91" s="16"/>
    </row>
    <row r="92" spans="1:243" ht="15" customHeight="1" x14ac:dyDescent="0.25">
      <c r="A92" s="35" t="s">
        <v>93</v>
      </c>
      <c r="B92" s="116">
        <v>4.2182430000000002</v>
      </c>
      <c r="C92" s="116"/>
      <c r="D92" s="116">
        <v>2.731882310822765</v>
      </c>
      <c r="E92" s="35" t="s">
        <v>99</v>
      </c>
      <c r="F92" s="117">
        <v>0.55697200000000002</v>
      </c>
      <c r="H92" s="118">
        <v>-1.2753315950773356</v>
      </c>
      <c r="J92" s="35" t="s">
        <v>131</v>
      </c>
      <c r="K92" s="52">
        <v>0.15049999999999999</v>
      </c>
      <c r="L92" s="119">
        <v>0.33333333333333365</v>
      </c>
      <c r="M92" s="35" t="s">
        <v>140</v>
      </c>
      <c r="N92" s="117">
        <v>1.4764999999999999</v>
      </c>
      <c r="O92" s="118">
        <v>-2.1861543557469454</v>
      </c>
      <c r="Q92" s="16"/>
    </row>
    <row r="93" spans="1:243" ht="15" customHeight="1" x14ac:dyDescent="0.25">
      <c r="A93" s="35" t="s">
        <v>79</v>
      </c>
      <c r="B93" s="116">
        <v>0.81791100000000005</v>
      </c>
      <c r="C93" s="116"/>
      <c r="D93" s="116">
        <v>2.1820362423402102</v>
      </c>
      <c r="E93" s="35" t="s">
        <v>62</v>
      </c>
      <c r="F93" s="117">
        <v>3.28</v>
      </c>
      <c r="G93" s="117"/>
      <c r="H93" s="118">
        <v>-1.2048192771084349</v>
      </c>
      <c r="J93" s="35"/>
      <c r="K93" s="52"/>
      <c r="L93" s="119"/>
      <c r="M93" s="35" t="s">
        <v>123</v>
      </c>
      <c r="N93" s="117">
        <v>0.22739999999999999</v>
      </c>
      <c r="O93" s="118">
        <v>-0.21939447125932446</v>
      </c>
      <c r="Q93" s="16"/>
    </row>
    <row r="94" spans="1:243" ht="15.75" customHeight="1" thickBot="1" x14ac:dyDescent="0.3">
      <c r="A94" s="120"/>
      <c r="B94" s="121"/>
      <c r="C94" s="121"/>
      <c r="D94" s="121"/>
      <c r="E94" s="120"/>
      <c r="F94" s="121"/>
      <c r="G94" s="121"/>
      <c r="H94" s="122"/>
      <c r="J94" s="120"/>
      <c r="K94" s="121"/>
      <c r="L94" s="122"/>
      <c r="M94" s="121"/>
      <c r="N94" s="121"/>
      <c r="O94" s="122"/>
      <c r="Q94" s="16"/>
    </row>
    <row r="95" spans="1:243" x14ac:dyDescent="0.25">
      <c r="A95" s="123"/>
      <c r="B95" s="124"/>
      <c r="C95" s="124"/>
      <c r="D95" s="124"/>
      <c r="E95" s="114"/>
      <c r="F95" s="114"/>
      <c r="G95" s="114"/>
      <c r="H95" s="114"/>
      <c r="I95" s="114"/>
      <c r="J95" s="114"/>
      <c r="K95" s="114"/>
      <c r="L95" s="114"/>
      <c r="M95" s="124"/>
      <c r="Q95" s="16"/>
    </row>
    <row r="96" spans="1:243" x14ac:dyDescent="0.25">
      <c r="A96" s="12" t="s">
        <v>184</v>
      </c>
      <c r="B96" s="125"/>
      <c r="C96" s="125"/>
      <c r="D96" s="125"/>
      <c r="E96" s="125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3"/>
      <c r="B97" s="124"/>
      <c r="C97" s="124"/>
      <c r="D97" s="124"/>
      <c r="E97" s="124"/>
      <c r="F97" s="114"/>
      <c r="G97" s="114"/>
      <c r="H97" s="124"/>
      <c r="I97" s="114"/>
      <c r="J97" s="114"/>
      <c r="K97" s="114"/>
      <c r="L97" s="114"/>
      <c r="M97" s="124"/>
      <c r="Q97" s="16"/>
    </row>
    <row r="98" spans="1:17" ht="12.6" thickBot="1" x14ac:dyDescent="0.3">
      <c r="A98" s="126"/>
      <c r="B98" s="127"/>
      <c r="C98" s="127"/>
      <c r="D98" s="127"/>
      <c r="E98" s="127"/>
      <c r="F98" s="128"/>
      <c r="G98" s="128"/>
      <c r="H98" s="128"/>
      <c r="I98" s="129"/>
      <c r="J98" s="129"/>
      <c r="K98" s="129"/>
      <c r="L98" s="129"/>
      <c r="M98" s="129"/>
      <c r="N98" s="129"/>
      <c r="O98" s="129"/>
      <c r="P98" s="129"/>
      <c r="Q98" s="130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1"/>
      <c r="J102" s="131"/>
      <c r="K102" s="131"/>
      <c r="O102" s="131"/>
      <c r="P102" s="131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1"/>
      <c r="J105" s="131"/>
      <c r="K105" s="131"/>
      <c r="O105" s="131"/>
      <c r="P105" s="131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1"/>
      <c r="J107" s="131"/>
      <c r="K107" s="131"/>
      <c r="O107" s="131"/>
      <c r="P107" s="131"/>
    </row>
  </sheetData>
  <sheetProtection algorithmName="SHA-512" hashValue="nj63AtLCg/LinnS22oGi3qQPd0So9uDefaVGgRDjr+e34/N5GCytp1PNYs2yQ7p6+X92Db0VE1U9AcPr0MZkPg==" saltValue="BCByeIq7xca+t6rvW8KvUA==" spinCount="100000" sheet="1" objects="1" scenarios="1"/>
  <mergeCells count="12">
    <mergeCell ref="A77:Q77"/>
    <mergeCell ref="A83:Q83"/>
    <mergeCell ref="A88:D88"/>
    <mergeCell ref="E88:H88"/>
    <mergeCell ref="J88:L88"/>
    <mergeCell ref="M88:O88"/>
    <mergeCell ref="A74:Q74"/>
    <mergeCell ref="L5:M5"/>
    <mergeCell ref="A6:Q6"/>
    <mergeCell ref="A49:Q49"/>
    <mergeCell ref="A67:Q67"/>
    <mergeCell ref="A70:Q70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2026-09-23T13:01:50Z</dcterms:created>
  <dcterms:modified xsi:type="dcterms:W3CDTF">2026-09-23T13:21:00Z</dcterms:modified>
</cp:coreProperties>
</file>