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tetser\Desktop\19.10.26\"/>
    </mc:Choice>
  </mc:AlternateContent>
  <xr:revisionPtr revIDLastSave="0" documentId="13_ncr:1_{D554DE99-B950-47C8-B819-A3D52CED9199}" xr6:coauthVersionLast="47" xr6:coauthVersionMax="47" xr10:uidLastSave="{00000000-0000-0000-0000-000000000000}"/>
  <bookViews>
    <workbookView xWindow="-120" yWindow="-120" windowWidth="29040" windowHeight="15720" xr2:uid="{6393F494-0BCF-4DDD-AE93-A1704FAF6C21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D78" i="1" s="1"/>
  <c r="E78" i="1"/>
  <c r="M75" i="1"/>
  <c r="L75" i="1"/>
  <c r="K75" i="1"/>
  <c r="E75" i="1" s="1"/>
  <c r="J75" i="1"/>
  <c r="D75" i="1"/>
  <c r="O73" i="1"/>
  <c r="N73" i="1"/>
  <c r="M72" i="1"/>
  <c r="L72" i="1"/>
  <c r="J72" i="1"/>
  <c r="D72" i="1"/>
  <c r="M71" i="1"/>
  <c r="L71" i="1"/>
  <c r="J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J31" i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Q75" i="1" l="1"/>
  <c r="P75" i="1"/>
  <c r="Q72" i="1"/>
  <c r="P72" i="1"/>
  <c r="K72" i="1"/>
  <c r="E72" i="1" s="1"/>
  <c r="D71" i="1"/>
  <c r="K71" i="1"/>
  <c r="E71" i="1" s="1"/>
  <c r="P71" i="1"/>
  <c r="Q71" i="1"/>
  <c r="Q65" i="1"/>
  <c r="P65" i="1"/>
  <c r="Q64" i="1"/>
  <c r="P64" i="1"/>
  <c r="Q63" i="1"/>
  <c r="P63" i="1"/>
  <c r="Q62" i="1"/>
  <c r="P62" i="1"/>
  <c r="P61" i="1"/>
  <c r="Q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1" i="1"/>
  <c r="P51" i="1"/>
  <c r="P50" i="1"/>
  <c r="Q50" i="1"/>
</calcChain>
</file>

<file path=xl/sharedStrings.xml><?xml version="1.0" encoding="utf-8"?>
<sst xmlns="http://schemas.openxmlformats.org/spreadsheetml/2006/main" count="269" uniqueCount="185">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</sst>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-* #,##0_-;\-* #,##0_-;_-* &quot;-&quot;??_-;_-@_-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8" fontId="4" fillId="3" borderId="0" xfId="2" applyNumberFormat="1" applyFont="1" applyFill="1" applyAlignment="1"/>
    <xf numFmtId="165" fontId="15" fillId="5" borderId="0" xfId="6" applyNumberFormat="1" applyFont="1" applyFill="1" applyBorder="1"/>
    <xf numFmtId="43" fontId="15" fillId="5" borderId="0" xfId="6" applyFont="1" applyFill="1" applyBorder="1"/>
    <xf numFmtId="43" fontId="4" fillId="3" borderId="0" xfId="2" applyNumberFormat="1" applyFont="1" applyFill="1" applyAlignment="1"/>
    <xf numFmtId="165" fontId="15" fillId="5" borderId="0" xfId="6" applyNumberFormat="1" applyFont="1" applyFill="1" applyBorder="1" applyAlignment="1">
      <alignment horizontal="right"/>
    </xf>
    <xf numFmtId="43" fontId="15" fillId="8" borderId="0" xfId="6" applyFont="1" applyFill="1" applyBorder="1"/>
    <xf numFmtId="43" fontId="15" fillId="6" borderId="0" xfId="6" applyFont="1" applyFill="1" applyBorder="1"/>
    <xf numFmtId="43" fontId="15" fillId="7" borderId="0" xfId="6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5" fontId="15" fillId="5" borderId="0" xfId="4" applyNumberFormat="1" applyFont="1" applyFill="1" applyBorder="1" applyAlignment="1">
      <alignment horizontal="right"/>
    </xf>
    <xf numFmtId="166" fontId="15" fillId="9" borderId="0" xfId="3" applyNumberFormat="1" applyFont="1" applyFill="1" applyBorder="1"/>
    <xf numFmtId="170" fontId="15" fillId="5" borderId="0" xfId="6" applyNumberFormat="1" applyFont="1" applyFill="1" applyBorder="1"/>
    <xf numFmtId="165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6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4" applyNumberFormat="1" applyFont="1" applyFill="1" applyBorder="1" applyAlignment="1"/>
    <xf numFmtId="43" fontId="15" fillId="5" borderId="12" xfId="4" applyFont="1" applyFill="1" applyBorder="1" applyAlignment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5" fontId="15" fillId="5" borderId="12" xfId="3" applyNumberFormat="1" applyFont="1" applyFill="1" applyBorder="1"/>
    <xf numFmtId="43" fontId="15" fillId="5" borderId="12" xfId="3" applyFont="1" applyFill="1" applyBorder="1"/>
    <xf numFmtId="166" fontId="15" fillId="5" borderId="13" xfId="3" applyNumberFormat="1" applyFont="1" applyFill="1" applyBorder="1"/>
    <xf numFmtId="43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0" fontId="23" fillId="2" borderId="16" xfId="7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43" fontId="15" fillId="5" borderId="5" xfId="3" applyFont="1" applyFill="1" applyBorder="1" applyAlignment="1"/>
    <xf numFmtId="43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2F2355B0-3FDD-4DE2-88BB-A94A23FDAF0F}"/>
    <cellStyle name="Comma 5 2 2 2 2 2 2 2 2 2 2 2 2 2" xfId="4" xr:uid="{A17BFA40-520A-4638-A975-594D0F916998}"/>
    <cellStyle name="Comma 6 2 2 2 2 2 2 2 2" xfId="6" xr:uid="{8C0E2DC6-CE68-436B-AF05-268CD744D654}"/>
    <cellStyle name="Hyperlink 2" xfId="8" xr:uid="{A5A63248-C448-4BEC-9A82-F43360A37EF7}"/>
    <cellStyle name="Normal" xfId="0" builtinId="0"/>
    <cellStyle name="Normal 2" xfId="2" xr:uid="{510C0DC5-4FDE-4CE0-AD21-23D0F05F1F15}"/>
    <cellStyle name="Normal 20" xfId="7" xr:uid="{C78B56BC-7782-4873-961D-DA4098FFF70E}"/>
    <cellStyle name="Percent" xfId="1" builtinId="5"/>
    <cellStyle name="Percent 3" xfId="5" xr:uid="{9ED41E16-51EC-4259-8824-31BAF3EF9A5A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4A0DA5FA-556A-451B-AE5B-64BE1620E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3CCACF8-3563-4C2D-8B1A-E91E7D566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D3E9-AE38-4E89-9270-DB2611836FF1}">
  <dimension ref="A1:II107"/>
  <sheetViews>
    <sheetView tabSelected="1" topLeftCell="A45" zoomScale="70" zoomScaleNormal="70" workbookViewId="0">
      <selection activeCell="M92" sqref="M92:O93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26.625900000000001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25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85203501.177424982</v>
      </c>
      <c r="E9" s="39">
        <f t="shared" ref="E9:E45" si="1">C9*K9</f>
        <v>70894371.9375</v>
      </c>
      <c r="F9" s="40" t="s">
        <v>34</v>
      </c>
      <c r="G9" s="41">
        <v>8.9894999999999996</v>
      </c>
      <c r="H9" s="42">
        <v>18</v>
      </c>
      <c r="I9" s="43">
        <v>18</v>
      </c>
      <c r="J9" s="44">
        <f>(I9/$J$5)</f>
        <v>0.67603348619201598</v>
      </c>
      <c r="K9" s="45">
        <f t="shared" ref="K9:K17" si="2">I9/$K$4</f>
        <v>0.5625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2.2188250000000003E-2</v>
      </c>
      <c r="Q9" s="48">
        <f t="shared" ref="Q9:Q17" si="6">I9/G9-1</f>
        <v>1.002336058735191</v>
      </c>
      <c r="R9" s="49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8556908.2472329568</v>
      </c>
      <c r="E10" s="39">
        <f t="shared" si="1"/>
        <v>7119855.7281250004</v>
      </c>
      <c r="F10" s="40" t="s">
        <v>34</v>
      </c>
      <c r="G10" s="41">
        <v>3.1600000000000003E-2</v>
      </c>
      <c r="H10" s="42">
        <v>0.13342000000000001</v>
      </c>
      <c r="I10" s="43">
        <v>0.14000000000000001</v>
      </c>
      <c r="J10" s="44">
        <f t="shared" ref="J10:J17" si="7">I10/$J$5</f>
        <v>5.2580382259379025E-3</v>
      </c>
      <c r="K10" s="45">
        <f t="shared" si="2"/>
        <v>4.3750000000000004E-3</v>
      </c>
      <c r="L10" s="46">
        <f t="shared" si="3"/>
        <v>6.5800000000000025E-3</v>
      </c>
      <c r="M10" s="46">
        <f t="shared" si="4"/>
        <v>4.9317943336831069</v>
      </c>
      <c r="N10" s="50">
        <v>3500</v>
      </c>
      <c r="O10" s="37">
        <v>490</v>
      </c>
      <c r="P10" s="51">
        <f t="shared" si="5"/>
        <v>0</v>
      </c>
      <c r="Q10" s="48">
        <f t="shared" si="6"/>
        <v>3.4303797468354427</v>
      </c>
      <c r="R10" s="49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2937701.5335068484</v>
      </c>
      <c r="E11" s="39">
        <f t="shared" si="1"/>
        <v>2444342.1019062498</v>
      </c>
      <c r="F11" s="40" t="s">
        <v>39</v>
      </c>
      <c r="G11" s="41">
        <v>7.8E-2</v>
      </c>
      <c r="H11" s="42">
        <v>0.17899999999999999</v>
      </c>
      <c r="I11" s="43">
        <v>0.17899999999999999</v>
      </c>
      <c r="J11" s="44">
        <f t="shared" si="7"/>
        <v>6.7227774460206034E-3</v>
      </c>
      <c r="K11" s="45">
        <f t="shared" si="2"/>
        <v>5.5937499999999998E-3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1.2948717948717947</v>
      </c>
      <c r="R11" s="49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147238900.09351796</v>
      </c>
      <c r="E12" s="39">
        <f t="shared" si="1"/>
        <v>122511507.1875</v>
      </c>
      <c r="F12" s="40" t="s">
        <v>34</v>
      </c>
      <c r="G12" s="41">
        <v>97.381</v>
      </c>
      <c r="H12" s="42">
        <v>190</v>
      </c>
      <c r="I12" s="43">
        <v>190</v>
      </c>
      <c r="J12" s="44">
        <f t="shared" si="7"/>
        <v>7.1359090209157241</v>
      </c>
      <c r="K12" s="45">
        <f t="shared" si="2"/>
        <v>5.9375</v>
      </c>
      <c r="L12" s="46">
        <f t="shared" si="3"/>
        <v>0</v>
      </c>
      <c r="M12" s="46">
        <f t="shared" si="4"/>
        <v>0</v>
      </c>
      <c r="N12" s="50">
        <v>0</v>
      </c>
      <c r="O12" s="37">
        <v>0</v>
      </c>
      <c r="P12" s="51">
        <f t="shared" si="5"/>
        <v>0</v>
      </c>
      <c r="Q12" s="48">
        <f t="shared" si="6"/>
        <v>0.95109929041599495</v>
      </c>
      <c r="R12" s="49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9842042.5225062799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1.1267224769866933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641894918.3126204</v>
      </c>
      <c r="E14" s="39">
        <f t="shared" si="1"/>
        <v>534094684.54687506</v>
      </c>
      <c r="F14" s="40" t="s">
        <v>47</v>
      </c>
      <c r="G14" s="41">
        <v>11.5</v>
      </c>
      <c r="H14" s="42">
        <v>33.979999999999997</v>
      </c>
      <c r="I14" s="43">
        <v>32.700000000000003</v>
      </c>
      <c r="J14" s="44">
        <f t="shared" si="7"/>
        <v>1.2281274999154959</v>
      </c>
      <c r="K14" s="45">
        <f t="shared" si="2"/>
        <v>1.0218750000000001</v>
      </c>
      <c r="L14" s="46">
        <f t="shared" si="3"/>
        <v>-1.279999999999994</v>
      </c>
      <c r="M14" s="46">
        <f t="shared" si="4"/>
        <v>-3.7669217186580166</v>
      </c>
      <c r="N14" s="50">
        <v>200</v>
      </c>
      <c r="O14" s="37">
        <v>6540</v>
      </c>
      <c r="P14" s="51">
        <f t="shared" si="5"/>
        <v>0</v>
      </c>
      <c r="Q14" s="48">
        <f t="shared" si="6"/>
        <v>1.8434782608695657</v>
      </c>
      <c r="R14" s="49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31582186.470692068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0.2978303080834826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79127280.17944932</v>
      </c>
      <c r="E16" s="39">
        <f t="shared" si="1"/>
        <v>65838595.291562498</v>
      </c>
      <c r="F16" s="40" t="s">
        <v>34</v>
      </c>
      <c r="G16" s="41">
        <v>1.9</v>
      </c>
      <c r="H16" s="42">
        <v>6.06</v>
      </c>
      <c r="I16" s="43">
        <v>5.8849999999999998</v>
      </c>
      <c r="J16" s="44">
        <f t="shared" si="7"/>
        <v>0.22102539256888967</v>
      </c>
      <c r="K16" s="45">
        <f t="shared" si="2"/>
        <v>0.18390624999999999</v>
      </c>
      <c r="L16" s="46">
        <f t="shared" si="3"/>
        <v>-0.17499999999999982</v>
      </c>
      <c r="M16" s="46">
        <f t="shared" si="4"/>
        <v>-2.8877887788778849</v>
      </c>
      <c r="N16" s="50">
        <v>1200</v>
      </c>
      <c r="O16" s="37">
        <v>7062</v>
      </c>
      <c r="P16" s="51">
        <f t="shared" si="5"/>
        <v>0.22621835174171626</v>
      </c>
      <c r="Q16" s="48">
        <f t="shared" si="6"/>
        <v>2.0973684210526318</v>
      </c>
      <c r="R16" s="49">
        <v>0.05</v>
      </c>
      <c r="S16" s="52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1649945288.4642959</v>
      </c>
      <c r="E17" s="39">
        <f t="shared" si="1"/>
        <v>1372852445.5037968</v>
      </c>
      <c r="F17" s="40" t="s">
        <v>34</v>
      </c>
      <c r="G17" s="41">
        <v>20.701700000000002</v>
      </c>
      <c r="H17" s="42">
        <v>32.518499999999996</v>
      </c>
      <c r="I17" s="43">
        <v>32.595700000000001</v>
      </c>
      <c r="J17" s="44">
        <f t="shared" si="7"/>
        <v>1.2242102614371719</v>
      </c>
      <c r="K17" s="45">
        <f t="shared" si="2"/>
        <v>1.018615625</v>
      </c>
      <c r="L17" s="46">
        <f t="shared" si="3"/>
        <v>7.720000000000482E-2</v>
      </c>
      <c r="M17" s="46">
        <f t="shared" si="4"/>
        <v>0.23740332426158903</v>
      </c>
      <c r="N17" s="50">
        <v>5000</v>
      </c>
      <c r="O17" s="37">
        <v>162978.6</v>
      </c>
      <c r="P17" s="47">
        <f t="shared" si="5"/>
        <v>0</v>
      </c>
      <c r="Q17" s="48">
        <f t="shared" si="6"/>
        <v>0.57454218735659368</v>
      </c>
      <c r="R17" s="49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339433653.62860972</v>
      </c>
      <c r="E19" s="39">
        <f t="shared" si="1"/>
        <v>282428953.69218749</v>
      </c>
      <c r="F19" s="40" t="s">
        <v>47</v>
      </c>
      <c r="G19" s="41">
        <v>12.45</v>
      </c>
      <c r="H19" s="42">
        <v>13.443099999999999</v>
      </c>
      <c r="I19" s="43">
        <v>13.45</v>
      </c>
      <c r="J19" s="44">
        <f t="shared" ref="J19:J45" si="8">I19/$J$5</f>
        <v>0.5051472438490342</v>
      </c>
      <c r="K19" s="45">
        <f t="shared" ref="K19:K45" si="9">I19/$K$4</f>
        <v>0.42031249999999998</v>
      </c>
      <c r="L19" s="46">
        <f t="shared" ref="L19:L29" si="10">I19-H19</f>
        <v>6.8999999999999062E-3</v>
      </c>
      <c r="M19" s="46">
        <f>((I19-H19)/H19)*100</f>
        <v>5.1327446794265506E-2</v>
      </c>
      <c r="N19" s="50">
        <v>700</v>
      </c>
      <c r="O19" s="37">
        <v>9415</v>
      </c>
      <c r="P19" s="51">
        <f>(R19)/J19</f>
        <v>0</v>
      </c>
      <c r="Q19" s="48">
        <f t="shared" ref="Q19:Q29" si="11">I19/G19-1</f>
        <v>8.032128514056236E-2</v>
      </c>
      <c r="R19" s="49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3804515.927348935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3.4928396786587497E-2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91134684.610097677</v>
      </c>
      <c r="E21" s="39">
        <f t="shared" si="1"/>
        <v>75829468.717500001</v>
      </c>
      <c r="F21" s="40" t="s">
        <v>47</v>
      </c>
      <c r="G21" s="41">
        <v>2.85</v>
      </c>
      <c r="H21" s="42">
        <v>3.516</v>
      </c>
      <c r="I21" s="43">
        <v>3.516</v>
      </c>
      <c r="J21" s="44">
        <f t="shared" si="8"/>
        <v>0.13205187430284046</v>
      </c>
      <c r="K21" s="45">
        <f t="shared" si="9"/>
        <v>0.109875</v>
      </c>
      <c r="L21" s="46">
        <f t="shared" si="10"/>
        <v>0</v>
      </c>
      <c r="M21" s="46">
        <f>((I21-H21)/H21)*100</f>
        <v>0</v>
      </c>
      <c r="N21" s="50">
        <v>0</v>
      </c>
      <c r="O21" s="37">
        <v>0</v>
      </c>
      <c r="P21" s="51">
        <f>(R21)/J21</f>
        <v>0</v>
      </c>
      <c r="Q21" s="48">
        <f t="shared" si="11"/>
        <v>0.23368421052631572</v>
      </c>
      <c r="R21" s="49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2015288.2080981301</v>
      </c>
      <c r="E23" s="39">
        <f t="shared" si="1"/>
        <v>1676839.4468750001</v>
      </c>
      <c r="F23" s="40" t="s">
        <v>44</v>
      </c>
      <c r="G23" s="41">
        <v>0.1</v>
      </c>
      <c r="H23" s="42">
        <v>0.10142899999999999</v>
      </c>
      <c r="I23" s="43">
        <v>0.1</v>
      </c>
      <c r="J23" s="44">
        <f t="shared" si="8"/>
        <v>3.7557415899556446E-3</v>
      </c>
      <c r="K23" s="45">
        <f t="shared" si="9"/>
        <v>3.1250000000000002E-3</v>
      </c>
      <c r="L23" s="46">
        <f t="shared" si="10"/>
        <v>-1.4289999999999858E-3</v>
      </c>
      <c r="M23" s="46">
        <f t="shared" ref="M23:M29" si="12">((I23-H23)/H23)*100</f>
        <v>-1.4088672864762404</v>
      </c>
      <c r="N23" s="50">
        <v>1000</v>
      </c>
      <c r="O23" s="37">
        <v>100</v>
      </c>
      <c r="P23" s="51">
        <f t="shared" ref="P23:P29" si="13">(R23)/J23</f>
        <v>0</v>
      </c>
      <c r="Q23" s="48">
        <f t="shared" si="11"/>
        <v>0</v>
      </c>
      <c r="R23" s="49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72493535.993149519</v>
      </c>
      <c r="E24" s="39">
        <f t="shared" si="1"/>
        <v>60318926.25</v>
      </c>
      <c r="F24" s="40" t="s">
        <v>34</v>
      </c>
      <c r="G24" s="41">
        <v>8.1687659999999997</v>
      </c>
      <c r="H24" s="42">
        <v>10</v>
      </c>
      <c r="I24" s="43">
        <v>10</v>
      </c>
      <c r="J24" s="44">
        <f t="shared" si="8"/>
        <v>0.37557415899556446</v>
      </c>
      <c r="K24" s="45">
        <f t="shared" si="9"/>
        <v>0.3125</v>
      </c>
      <c r="L24" s="46">
        <f t="shared" si="10"/>
        <v>0</v>
      </c>
      <c r="M24" s="46">
        <f t="shared" si="12"/>
        <v>0</v>
      </c>
      <c r="N24" s="50">
        <v>0</v>
      </c>
      <c r="O24" s="37">
        <v>0</v>
      </c>
      <c r="P24" s="47">
        <f t="shared" si="13"/>
        <v>3.9938849999999998E-2</v>
      </c>
      <c r="Q24" s="48">
        <f t="shared" si="11"/>
        <v>0.22417510796612361</v>
      </c>
      <c r="R24" s="49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95583111.877254277</v>
      </c>
      <c r="E25" s="39">
        <f t="shared" si="1"/>
        <v>79530824.329143286</v>
      </c>
      <c r="F25" s="40" t="s">
        <v>66</v>
      </c>
      <c r="G25" s="41">
        <v>1.6675</v>
      </c>
      <c r="H25" s="42">
        <v>1.508065</v>
      </c>
      <c r="I25" s="43">
        <v>1.508065</v>
      </c>
      <c r="J25" s="44">
        <f t="shared" si="8"/>
        <v>5.6639024408564588E-2</v>
      </c>
      <c r="K25" s="45">
        <f t="shared" si="9"/>
        <v>4.712703125E-2</v>
      </c>
      <c r="L25" s="46">
        <f t="shared" si="10"/>
        <v>0</v>
      </c>
      <c r="M25" s="46">
        <f t="shared" si="12"/>
        <v>0</v>
      </c>
      <c r="N25" s="50">
        <v>0</v>
      </c>
      <c r="O25" s="37">
        <v>0</v>
      </c>
      <c r="P25" s="51">
        <f t="shared" si="13"/>
        <v>0</v>
      </c>
      <c r="Q25" s="48">
        <f t="shared" si="11"/>
        <v>-9.5613193403298324E-2</v>
      </c>
      <c r="R25" s="49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23645800.570497144</v>
      </c>
      <c r="E26" s="39">
        <f t="shared" si="1"/>
        <v>19674710.044062499</v>
      </c>
      <c r="F26" s="40" t="s">
        <v>44</v>
      </c>
      <c r="G26" s="41">
        <v>1.7994999999999999</v>
      </c>
      <c r="H26" s="42">
        <v>2.63</v>
      </c>
      <c r="I26" s="43">
        <v>2.63</v>
      </c>
      <c r="J26" s="44">
        <f t="shared" si="8"/>
        <v>9.8776003815833444E-2</v>
      </c>
      <c r="K26" s="45">
        <f t="shared" si="9"/>
        <v>8.2187499999999997E-2</v>
      </c>
      <c r="L26" s="46">
        <f t="shared" si="10"/>
        <v>0</v>
      </c>
      <c r="M26" s="46">
        <f t="shared" si="12"/>
        <v>0</v>
      </c>
      <c r="N26" s="50">
        <v>0</v>
      </c>
      <c r="O26" s="37">
        <v>0</v>
      </c>
      <c r="P26" s="51">
        <f t="shared" si="13"/>
        <v>0</v>
      </c>
      <c r="Q26" s="48">
        <f t="shared" si="11"/>
        <v>0.46151708808002234</v>
      </c>
      <c r="R26" s="49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25974971.764334727</v>
      </c>
      <c r="E27" s="39">
        <f t="shared" si="1"/>
        <v>21612718.771875001</v>
      </c>
      <c r="F27" s="40" t="s">
        <v>34</v>
      </c>
      <c r="G27" s="41">
        <v>3.1361369999999997</v>
      </c>
      <c r="H27" s="42">
        <v>2.5005000000000002</v>
      </c>
      <c r="I27" s="43">
        <v>2.7</v>
      </c>
      <c r="J27" s="44">
        <f t="shared" si="8"/>
        <v>0.10140502292880241</v>
      </c>
      <c r="K27" s="45">
        <f t="shared" si="9"/>
        <v>8.4375000000000006E-2</v>
      </c>
      <c r="L27" s="46">
        <f t="shared" si="10"/>
        <v>0.19950000000000001</v>
      </c>
      <c r="M27" s="46">
        <f t="shared" si="12"/>
        <v>7.9784043191361729</v>
      </c>
      <c r="N27" s="50">
        <v>5300</v>
      </c>
      <c r="O27" s="37">
        <v>14310</v>
      </c>
      <c r="P27" s="51">
        <f t="shared" si="13"/>
        <v>0</v>
      </c>
      <c r="Q27" s="48">
        <f t="shared" si="11"/>
        <v>-0.13906822310377376</v>
      </c>
      <c r="R27" s="49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28522090.952981867</v>
      </c>
      <c r="E28" s="39">
        <f t="shared" si="1"/>
        <v>23732073.172031246</v>
      </c>
      <c r="F28" s="40" t="s">
        <v>44</v>
      </c>
      <c r="G28" s="41">
        <v>0.8</v>
      </c>
      <c r="H28" s="42">
        <v>1.0049999999999999</v>
      </c>
      <c r="I28" s="43">
        <v>1.0049999999999999</v>
      </c>
      <c r="J28" s="44">
        <f t="shared" si="8"/>
        <v>3.7745202979054225E-2</v>
      </c>
      <c r="K28" s="45">
        <f t="shared" si="9"/>
        <v>3.1406249999999997E-2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0.25624999999999987</v>
      </c>
      <c r="R28" s="49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124824294.13465835</v>
      </c>
      <c r="E29" s="39">
        <f t="shared" si="1"/>
        <v>103861224.16250001</v>
      </c>
      <c r="F29" s="40" t="s">
        <v>47</v>
      </c>
      <c r="G29" s="41">
        <v>5.15</v>
      </c>
      <c r="H29" s="42">
        <v>7.4</v>
      </c>
      <c r="I29" s="43">
        <v>7.4</v>
      </c>
      <c r="J29" s="44">
        <f t="shared" si="8"/>
        <v>0.27792487765671769</v>
      </c>
      <c r="K29" s="45">
        <f t="shared" si="9"/>
        <v>0.23125000000000001</v>
      </c>
      <c r="L29" s="46">
        <f t="shared" si="10"/>
        <v>0</v>
      </c>
      <c r="M29" s="46">
        <f t="shared" si="12"/>
        <v>0</v>
      </c>
      <c r="N29" s="50">
        <v>0</v>
      </c>
      <c r="O29" s="37">
        <v>0</v>
      </c>
      <c r="P29" s="51">
        <f t="shared" si="13"/>
        <v>0</v>
      </c>
      <c r="Q29" s="48">
        <f t="shared" si="11"/>
        <v>0.43689320388349517</v>
      </c>
      <c r="R29" s="49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12907475.130418126</v>
      </c>
      <c r="E31" s="39">
        <f t="shared" si="1"/>
        <v>10739785.68984375</v>
      </c>
      <c r="F31" s="40" t="s">
        <v>39</v>
      </c>
      <c r="G31" s="41">
        <v>1.4</v>
      </c>
      <c r="H31" s="42">
        <v>1.1499999999999999</v>
      </c>
      <c r="I31" s="43">
        <v>1.3225</v>
      </c>
      <c r="J31" s="44">
        <f t="shared" si="8"/>
        <v>4.9669682527163396E-2</v>
      </c>
      <c r="K31" s="45">
        <f t="shared" si="9"/>
        <v>4.1328125E-2</v>
      </c>
      <c r="L31" s="46">
        <f t="shared" ref="L31:L45" si="14">I31-H31</f>
        <v>0.1725000000000001</v>
      </c>
      <c r="M31" s="46">
        <f t="shared" ref="M31:M45" si="15">((I31-H31)/H31)*100</f>
        <v>15.000000000000011</v>
      </c>
      <c r="N31" s="50">
        <v>700</v>
      </c>
      <c r="O31" s="37">
        <v>925.75</v>
      </c>
      <c r="P31" s="51">
        <f t="shared" ref="P31:P36" si="16">(R31)/J31</f>
        <v>0</v>
      </c>
      <c r="Q31" s="48">
        <f t="shared" ref="Q31:Q45" si="17">I31/G31-1</f>
        <v>-5.5357142857142771E-2</v>
      </c>
      <c r="R31" s="49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4353955.9789528241</v>
      </c>
      <c r="E32" s="39">
        <f t="shared" si="1"/>
        <v>3622749.890625</v>
      </c>
      <c r="F32" s="40" t="s">
        <v>39</v>
      </c>
      <c r="G32" s="41">
        <v>0.65</v>
      </c>
      <c r="H32" s="42">
        <v>0.95</v>
      </c>
      <c r="I32" s="43">
        <v>0.95</v>
      </c>
      <c r="J32" s="44">
        <f t="shared" si="8"/>
        <v>3.5679545104578624E-2</v>
      </c>
      <c r="K32" s="45">
        <f t="shared" si="9"/>
        <v>2.9687499999999999E-2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0.46153846153846145</v>
      </c>
      <c r="R32" s="49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88203155.426010489</v>
      </c>
      <c r="E33" s="39">
        <f t="shared" si="1"/>
        <v>73390262.376794159</v>
      </c>
      <c r="F33" s="40" t="s">
        <v>92</v>
      </c>
      <c r="G33" s="41">
        <v>1.44</v>
      </c>
      <c r="H33" s="42">
        <v>0.94</v>
      </c>
      <c r="I33" s="43">
        <v>0.94109100000000001</v>
      </c>
      <c r="J33" s="44">
        <f t="shared" si="8"/>
        <v>3.5344946086329473E-2</v>
      </c>
      <c r="K33" s="45">
        <f t="shared" si="9"/>
        <v>2.940909375E-2</v>
      </c>
      <c r="L33" s="46">
        <f t="shared" si="14"/>
        <v>1.0910000000000641E-3</v>
      </c>
      <c r="M33" s="46">
        <f t="shared" si="15"/>
        <v>0.11606382978724086</v>
      </c>
      <c r="N33" s="50">
        <v>5500</v>
      </c>
      <c r="O33" s="37">
        <v>5176</v>
      </c>
      <c r="P33" s="51">
        <f t="shared" si="16"/>
        <v>0</v>
      </c>
      <c r="Q33" s="48">
        <f t="shared" si="17"/>
        <v>-0.3464645833333333</v>
      </c>
      <c r="R33" s="49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35416413.971358716</v>
      </c>
      <c r="E34" s="39">
        <f t="shared" si="1"/>
        <v>29468559.27375</v>
      </c>
      <c r="F34" s="40" t="s">
        <v>34</v>
      </c>
      <c r="G34" s="41">
        <v>3.6056249999999999</v>
      </c>
      <c r="H34" s="42">
        <v>3.719608</v>
      </c>
      <c r="I34" s="43">
        <v>3.72</v>
      </c>
      <c r="J34" s="44">
        <f t="shared" si="8"/>
        <v>0.13971358714634999</v>
      </c>
      <c r="K34" s="45">
        <f t="shared" si="9"/>
        <v>0.11625000000000001</v>
      </c>
      <c r="L34" s="46">
        <f t="shared" si="14"/>
        <v>3.9200000000016999E-4</v>
      </c>
      <c r="M34" s="46">
        <f t="shared" si="15"/>
        <v>1.0538744943020071E-2</v>
      </c>
      <c r="N34" s="50">
        <v>100</v>
      </c>
      <c r="O34" s="37">
        <v>372</v>
      </c>
      <c r="P34" s="51">
        <f t="shared" si="16"/>
        <v>0</v>
      </c>
      <c r="Q34" s="48">
        <f t="shared" si="17"/>
        <v>3.1721268850754214E-2</v>
      </c>
      <c r="R34" s="49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11827598.845494051</v>
      </c>
      <c r="E35" s="39">
        <f t="shared" si="1"/>
        <v>9841264.5031324998</v>
      </c>
      <c r="F35" s="40" t="s">
        <v>34</v>
      </c>
      <c r="G35" s="41">
        <v>2.5099999999999997E-2</v>
      </c>
      <c r="H35" s="42">
        <v>0.06</v>
      </c>
      <c r="I35" s="43">
        <v>6.6790000000000002E-2</v>
      </c>
      <c r="J35" s="44">
        <f t="shared" si="8"/>
        <v>2.5084598079313752E-3</v>
      </c>
      <c r="K35" s="45">
        <f t="shared" si="9"/>
        <v>2.0871875000000001E-3</v>
      </c>
      <c r="L35" s="46">
        <f t="shared" si="14"/>
        <v>6.7900000000000044E-3</v>
      </c>
      <c r="M35" s="46">
        <f t="shared" si="15"/>
        <v>11.316666666666675</v>
      </c>
      <c r="N35" s="50">
        <v>12000</v>
      </c>
      <c r="O35" s="37">
        <v>801.48</v>
      </c>
      <c r="P35" s="51">
        <f t="shared" si="16"/>
        <v>0</v>
      </c>
      <c r="Q35" s="48">
        <f t="shared" si="17"/>
        <v>1.6609561752988053</v>
      </c>
      <c r="R35" s="49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69023712.83224228</v>
      </c>
      <c r="E36" s="39">
        <f t="shared" si="1"/>
        <v>57431827.359375</v>
      </c>
      <c r="F36" s="40" t="s">
        <v>92</v>
      </c>
      <c r="G36" s="41">
        <v>0.61</v>
      </c>
      <c r="H36" s="42">
        <v>3.5</v>
      </c>
      <c r="I36" s="43">
        <v>3.5</v>
      </c>
      <c r="J36" s="44">
        <f t="shared" si="8"/>
        <v>0.13145095564844755</v>
      </c>
      <c r="K36" s="45">
        <f t="shared" si="9"/>
        <v>0.109375</v>
      </c>
      <c r="L36" s="46">
        <f t="shared" si="14"/>
        <v>0</v>
      </c>
      <c r="M36" s="46">
        <f t="shared" si="15"/>
        <v>0</v>
      </c>
      <c r="N36" s="50">
        <v>0</v>
      </c>
      <c r="O36" s="37">
        <v>0</v>
      </c>
      <c r="P36" s="51">
        <f t="shared" si="16"/>
        <v>0</v>
      </c>
      <c r="Q36" s="48">
        <f t="shared" si="17"/>
        <v>4.7377049180327866</v>
      </c>
      <c r="R36" s="49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138681712.5195891</v>
      </c>
      <c r="E37" s="39">
        <f t="shared" si="1"/>
        <v>115391419.04297897</v>
      </c>
      <c r="F37" s="40" t="s">
        <v>56</v>
      </c>
      <c r="G37" s="41">
        <v>0.11650199999999999</v>
      </c>
      <c r="H37" s="42">
        <v>0.87195599999999995</v>
      </c>
      <c r="I37" s="43">
        <v>0.88026300000000002</v>
      </c>
      <c r="J37" s="44">
        <f t="shared" si="8"/>
        <v>3.3060403591991257E-2</v>
      </c>
      <c r="K37" s="45">
        <f t="shared" si="9"/>
        <v>2.7508218750000001E-2</v>
      </c>
      <c r="L37" s="46">
        <f t="shared" si="14"/>
        <v>8.3070000000000643E-3</v>
      </c>
      <c r="M37" s="46">
        <f t="shared" si="15"/>
        <v>0.95268568597498771</v>
      </c>
      <c r="N37" s="50">
        <v>5700</v>
      </c>
      <c r="O37" s="37">
        <v>5017.5</v>
      </c>
      <c r="P37" s="51">
        <v>0</v>
      </c>
      <c r="Q37" s="48">
        <f t="shared" si="17"/>
        <v>6.5557758665087302</v>
      </c>
      <c r="R37" s="49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20215395.281616054</v>
      </c>
      <c r="E38" s="39">
        <f t="shared" si="1"/>
        <v>16820409.163399406</v>
      </c>
      <c r="F38" s="40" t="s">
        <v>39</v>
      </c>
      <c r="G38" s="41">
        <v>0.1</v>
      </c>
      <c r="H38" s="42">
        <v>0.124719</v>
      </c>
      <c r="I38" s="43">
        <v>0.124719</v>
      </c>
      <c r="J38" s="44">
        <f t="shared" si="8"/>
        <v>4.6841233535767799E-3</v>
      </c>
      <c r="K38" s="45">
        <f t="shared" si="9"/>
        <v>3.8974687499999999E-3</v>
      </c>
      <c r="L38" s="46">
        <f t="shared" si="14"/>
        <v>0</v>
      </c>
      <c r="M38" s="46">
        <f t="shared" si="15"/>
        <v>0</v>
      </c>
      <c r="N38" s="50">
        <v>0</v>
      </c>
      <c r="O38" s="37">
        <v>0</v>
      </c>
      <c r="P38" s="51">
        <f t="shared" ref="P38:P44" si="18">(R38)/J38</f>
        <v>0</v>
      </c>
      <c r="Q38" s="48">
        <f t="shared" si="17"/>
        <v>0.2471899999999998</v>
      </c>
      <c r="R38" s="49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8997518.7035931163</v>
      </c>
      <c r="E39" s="39">
        <f t="shared" si="1"/>
        <v>7486469.7890625</v>
      </c>
      <c r="F39" s="40" t="s">
        <v>44</v>
      </c>
      <c r="G39" s="41">
        <v>1.7452379999999998</v>
      </c>
      <c r="H39" s="42">
        <v>2.25</v>
      </c>
      <c r="I39" s="43">
        <v>2.25</v>
      </c>
      <c r="J39" s="44">
        <f t="shared" si="8"/>
        <v>8.4504185774001997E-2</v>
      </c>
      <c r="K39" s="45">
        <f t="shared" si="9"/>
        <v>7.03125E-2</v>
      </c>
      <c r="L39" s="46">
        <f t="shared" si="14"/>
        <v>0</v>
      </c>
      <c r="M39" s="46">
        <f t="shared" si="15"/>
        <v>0</v>
      </c>
      <c r="N39" s="50">
        <v>91800</v>
      </c>
      <c r="O39" s="37">
        <v>206550</v>
      </c>
      <c r="P39" s="51">
        <f t="shared" si="18"/>
        <v>0</v>
      </c>
      <c r="Q39" s="48">
        <f t="shared" si="17"/>
        <v>0.28922244415947862</v>
      </c>
      <c r="R39" s="49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3464798.639415306</v>
      </c>
      <c r="E40" s="39">
        <f t="shared" si="1"/>
        <v>2882918.19041275</v>
      </c>
      <c r="F40" s="40" t="s">
        <v>39</v>
      </c>
      <c r="G40" s="41">
        <v>0.03</v>
      </c>
      <c r="H40" s="42">
        <v>5.1886000000000002E-2</v>
      </c>
      <c r="I40" s="43">
        <v>5.1886000000000002E-2</v>
      </c>
      <c r="J40" s="44">
        <f t="shared" si="8"/>
        <v>1.9487040813643858E-3</v>
      </c>
      <c r="K40" s="45">
        <f t="shared" si="9"/>
        <v>1.6214375E-3</v>
      </c>
      <c r="L40" s="46">
        <f t="shared" si="14"/>
        <v>0</v>
      </c>
      <c r="M40" s="46">
        <f t="shared" si="15"/>
        <v>0</v>
      </c>
      <c r="N40" s="50">
        <v>0</v>
      </c>
      <c r="O40" s="37">
        <v>0</v>
      </c>
      <c r="P40" s="51">
        <f t="shared" si="18"/>
        <v>0</v>
      </c>
      <c r="Q40" s="48">
        <f t="shared" si="17"/>
        <v>0.72953333333333337</v>
      </c>
      <c r="R40" s="49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46189548.779196188</v>
      </c>
      <c r="E41" s="39">
        <f t="shared" si="1"/>
        <v>38432447.088749997</v>
      </c>
      <c r="F41" s="40" t="s">
        <v>47</v>
      </c>
      <c r="G41" s="41">
        <v>4.5</v>
      </c>
      <c r="H41" s="42">
        <v>7.0000070000000001</v>
      </c>
      <c r="I41" s="43">
        <v>7.02</v>
      </c>
      <c r="J41" s="44">
        <f t="shared" si="8"/>
        <v>0.26365305961488622</v>
      </c>
      <c r="K41" s="45">
        <f t="shared" si="9"/>
        <v>0.21937499999999999</v>
      </c>
      <c r="L41" s="46">
        <f t="shared" si="14"/>
        <v>1.9992999999999483E-2</v>
      </c>
      <c r="M41" s="46">
        <f t="shared" si="15"/>
        <v>0.28561400010027821</v>
      </c>
      <c r="N41" s="50">
        <v>400</v>
      </c>
      <c r="O41" s="37">
        <v>2808</v>
      </c>
      <c r="P41" s="51">
        <f t="shared" si="18"/>
        <v>0</v>
      </c>
      <c r="Q41" s="48">
        <f t="shared" si="17"/>
        <v>0.55999999999999983</v>
      </c>
      <c r="R41" s="49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313.2317742498845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6.7603348619201601E-7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1557581.1521864049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2.7041339447680642E-3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54630079.313750893</v>
      </c>
      <c r="E44" s="39">
        <f t="shared" si="1"/>
        <v>45455469.650000006</v>
      </c>
      <c r="F44" s="40" t="s">
        <v>47</v>
      </c>
      <c r="G44" s="41">
        <v>0.9998999999999999</v>
      </c>
      <c r="H44" s="42">
        <v>0.72250000000000003</v>
      </c>
      <c r="I44" s="43">
        <v>0.8</v>
      </c>
      <c r="J44" s="44">
        <f t="shared" si="8"/>
        <v>3.0045932719645157E-2</v>
      </c>
      <c r="K44" s="45">
        <f t="shared" si="9"/>
        <v>2.5000000000000001E-2</v>
      </c>
      <c r="L44" s="46">
        <f t="shared" si="14"/>
        <v>7.7500000000000013E-2</v>
      </c>
      <c r="M44" s="46">
        <f t="shared" si="15"/>
        <v>10.726643598615919</v>
      </c>
      <c r="N44" s="50">
        <v>100</v>
      </c>
      <c r="O44" s="37">
        <v>80</v>
      </c>
      <c r="P44" s="51">
        <f t="shared" si="18"/>
        <v>0</v>
      </c>
      <c r="Q44" s="48">
        <f t="shared" si="17"/>
        <v>-0.19991999199919974</v>
      </c>
      <c r="R44" s="49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15820850.435063602</v>
      </c>
      <c r="E45" s="39">
        <f t="shared" si="1"/>
        <v>13163886.924967501</v>
      </c>
      <c r="F45" s="40" t="s">
        <v>47</v>
      </c>
      <c r="G45" s="41">
        <v>1.4503460000000001</v>
      </c>
      <c r="H45" s="42">
        <v>3.9975000000000001</v>
      </c>
      <c r="I45" s="43">
        <v>4.1011980000000001</v>
      </c>
      <c r="J45" s="44">
        <f t="shared" si="8"/>
        <v>0.15403039897242909</v>
      </c>
      <c r="K45" s="45">
        <f t="shared" si="9"/>
        <v>0.1281624375</v>
      </c>
      <c r="L45" s="46">
        <f t="shared" si="14"/>
        <v>0.10369800000000007</v>
      </c>
      <c r="M45" s="46">
        <f t="shared" si="15"/>
        <v>2.5940712945591011</v>
      </c>
      <c r="N45" s="50">
        <v>16700</v>
      </c>
      <c r="O45" s="37">
        <v>68490</v>
      </c>
      <c r="P45" s="51">
        <v>0</v>
      </c>
      <c r="Q45" s="48">
        <f t="shared" si="17"/>
        <v>1.827737657083206</v>
      </c>
      <c r="R45" s="49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149900</v>
      </c>
      <c r="O47" s="61">
        <f>SUM(O9:O45)</f>
        <v>491116.33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93892436.209199995</v>
      </c>
      <c r="E50" s="39">
        <v>0</v>
      </c>
      <c r="F50" s="40" t="s">
        <v>92</v>
      </c>
      <c r="G50" s="70">
        <v>0.1</v>
      </c>
      <c r="H50" s="42">
        <v>0.183</v>
      </c>
      <c r="I50" s="42">
        <v>0.1658</v>
      </c>
      <c r="J50" s="44">
        <f t="shared" ref="J50:J65" si="20">I50</f>
        <v>0.1658</v>
      </c>
      <c r="K50" s="39">
        <v>0</v>
      </c>
      <c r="L50" s="46">
        <f t="shared" ref="L50:L65" si="21">I50-H50</f>
        <v>-1.7199999999999993E-2</v>
      </c>
      <c r="M50" s="46">
        <f t="shared" ref="M50:M65" si="22">((I50-H50)/H50)*100</f>
        <v>-9.3989071038251328</v>
      </c>
      <c r="N50" s="50">
        <v>946</v>
      </c>
      <c r="O50" s="37">
        <v>156.80000000000001</v>
      </c>
      <c r="P50" s="71">
        <f>(R50)/J50</f>
        <v>0</v>
      </c>
      <c r="Q50" s="48">
        <f t="shared" ref="Q50:Q65" si="23">J50/G50-1</f>
        <v>0.65799999999999992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37641909.770999998</v>
      </c>
      <c r="E51" s="39">
        <v>0</v>
      </c>
      <c r="F51" s="40" t="s">
        <v>39</v>
      </c>
      <c r="G51" s="70">
        <v>39.9</v>
      </c>
      <c r="H51" s="42">
        <v>35.503799999999998</v>
      </c>
      <c r="I51" s="42">
        <v>33.853499999999997</v>
      </c>
      <c r="J51" s="44">
        <f t="shared" si="20"/>
        <v>33.853499999999997</v>
      </c>
      <c r="K51" s="39">
        <v>0</v>
      </c>
      <c r="L51" s="46">
        <f t="shared" si="21"/>
        <v>-1.6503000000000014</v>
      </c>
      <c r="M51" s="46">
        <f t="shared" si="22"/>
        <v>-4.648234836834372</v>
      </c>
      <c r="N51" s="50">
        <v>242</v>
      </c>
      <c r="O51" s="37">
        <v>8192.5499999999993</v>
      </c>
      <c r="P51" s="72">
        <f>(R51)/J51</f>
        <v>1.6541864209018271E-2</v>
      </c>
      <c r="Q51" s="48">
        <f t="shared" si="23"/>
        <v>-0.15154135338345864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678024181.79980004</v>
      </c>
      <c r="E52" s="39"/>
      <c r="F52" s="40" t="s">
        <v>56</v>
      </c>
      <c r="G52" s="70">
        <v>0.33</v>
      </c>
      <c r="H52" s="42">
        <v>0.2301</v>
      </c>
      <c r="I52" s="42">
        <v>0.2266</v>
      </c>
      <c r="J52" s="44">
        <f t="shared" si="20"/>
        <v>0.2266</v>
      </c>
      <c r="K52" s="39">
        <v>0</v>
      </c>
      <c r="L52" s="46">
        <f t="shared" si="21"/>
        <v>-3.5000000000000031E-3</v>
      </c>
      <c r="M52" s="46">
        <f t="shared" si="22"/>
        <v>-1.5210777922642342</v>
      </c>
      <c r="N52" s="50">
        <v>31128</v>
      </c>
      <c r="O52" s="37">
        <v>7054.19</v>
      </c>
      <c r="P52" s="71">
        <v>0</v>
      </c>
      <c r="Q52" s="48">
        <f t="shared" si="23"/>
        <v>-0.31333333333333335</v>
      </c>
      <c r="R52" s="52"/>
      <c r="T52" s="52"/>
    </row>
    <row r="53" spans="1:20" ht="7.5" hidden="1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346031348.63999999</v>
      </c>
      <c r="E54" s="39">
        <v>0</v>
      </c>
      <c r="F54" s="40" t="s">
        <v>47</v>
      </c>
      <c r="G54" s="70">
        <v>9.0200000000000002E-2</v>
      </c>
      <c r="H54" s="42">
        <v>0.16</v>
      </c>
      <c r="I54" s="42">
        <v>0.16</v>
      </c>
      <c r="J54" s="44">
        <f t="shared" si="20"/>
        <v>0.16</v>
      </c>
      <c r="K54" s="39">
        <v>0</v>
      </c>
      <c r="L54" s="46">
        <f t="shared" si="21"/>
        <v>0</v>
      </c>
      <c r="M54" s="74">
        <f t="shared" si="22"/>
        <v>0</v>
      </c>
      <c r="N54" s="50">
        <v>50143</v>
      </c>
      <c r="O54" s="37">
        <v>8022.88</v>
      </c>
      <c r="P54" s="71">
        <f t="shared" si="24"/>
        <v>0</v>
      </c>
      <c r="Q54" s="48">
        <f t="shared" si="23"/>
        <v>0.77383592017738367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806412215.28999996</v>
      </c>
      <c r="E55" s="39">
        <v>0</v>
      </c>
      <c r="F55" s="40" t="s">
        <v>34</v>
      </c>
      <c r="G55" s="70">
        <v>0.95750000000000002</v>
      </c>
      <c r="H55" s="42">
        <v>1.4</v>
      </c>
      <c r="I55" s="42">
        <v>1.4001999999999999</v>
      </c>
      <c r="J55" s="44">
        <f t="shared" si="20"/>
        <v>1.4001999999999999</v>
      </c>
      <c r="K55" s="39">
        <v>0</v>
      </c>
      <c r="L55" s="46">
        <f t="shared" si="21"/>
        <v>1.9999999999997797E-4</v>
      </c>
      <c r="M55" s="46">
        <f t="shared" si="22"/>
        <v>1.4285714285712712E-2</v>
      </c>
      <c r="N55" s="50">
        <v>112570</v>
      </c>
      <c r="O55" s="37">
        <v>157621.23000000001</v>
      </c>
      <c r="P55" s="72">
        <f t="shared" si="24"/>
        <v>3.3566633338094558E-2</v>
      </c>
      <c r="Q55" s="48">
        <f t="shared" si="23"/>
        <v>0.46234986945169698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20230452.950400002</v>
      </c>
      <c r="E56" s="39">
        <v>0</v>
      </c>
      <c r="F56" s="40" t="s">
        <v>34</v>
      </c>
      <c r="G56" s="70">
        <v>0.1595</v>
      </c>
      <c r="H56" s="42">
        <v>0.1232</v>
      </c>
      <c r="I56" s="42">
        <v>0.1232</v>
      </c>
      <c r="J56" s="44">
        <f t="shared" si="20"/>
        <v>0.1232</v>
      </c>
      <c r="K56" s="39">
        <v>0</v>
      </c>
      <c r="L56" s="46">
        <f t="shared" si="21"/>
        <v>0</v>
      </c>
      <c r="M56" s="46">
        <f t="shared" si="22"/>
        <v>0</v>
      </c>
      <c r="N56" s="50">
        <v>0</v>
      </c>
      <c r="O56" s="37">
        <v>0</v>
      </c>
      <c r="P56" s="71">
        <f t="shared" si="24"/>
        <v>0</v>
      </c>
      <c r="Q56" s="48">
        <f t="shared" si="23"/>
        <v>-0.22758620689655173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22558536.405400001</v>
      </c>
      <c r="E57" s="39">
        <v>0</v>
      </c>
      <c r="F57" s="40" t="s">
        <v>92</v>
      </c>
      <c r="G57" s="70">
        <v>1.6799999999999999E-2</v>
      </c>
      <c r="H57" s="42">
        <v>2.24E-2</v>
      </c>
      <c r="I57" s="42">
        <v>2.29E-2</v>
      </c>
      <c r="J57" s="44">
        <f t="shared" si="20"/>
        <v>2.29E-2</v>
      </c>
      <c r="K57" s="39">
        <v>0</v>
      </c>
      <c r="L57" s="46">
        <f t="shared" si="21"/>
        <v>5.0000000000000044E-4</v>
      </c>
      <c r="M57" s="74">
        <f t="shared" si="22"/>
        <v>2.2321428571428594</v>
      </c>
      <c r="N57" s="50">
        <v>1190</v>
      </c>
      <c r="O57" s="37">
        <v>27.24</v>
      </c>
      <c r="P57" s="71">
        <f t="shared" si="24"/>
        <v>0</v>
      </c>
      <c r="Q57" s="48">
        <f t="shared" si="23"/>
        <v>0.36309523809523814</v>
      </c>
      <c r="R57" s="52"/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2687888.7090999996</v>
      </c>
      <c r="E58" s="39">
        <v>0</v>
      </c>
      <c r="F58" s="40" t="s">
        <v>137</v>
      </c>
      <c r="G58" s="70">
        <v>19.5</v>
      </c>
      <c r="H58" s="42">
        <v>16.666699999999999</v>
      </c>
      <c r="I58" s="42">
        <v>16.666699999999999</v>
      </c>
      <c r="J58" s="44">
        <f t="shared" si="20"/>
        <v>16.666699999999999</v>
      </c>
      <c r="K58" s="39">
        <v>0</v>
      </c>
      <c r="L58" s="46">
        <f t="shared" si="21"/>
        <v>0</v>
      </c>
      <c r="M58" s="46">
        <f t="shared" si="22"/>
        <v>0</v>
      </c>
      <c r="N58" s="50">
        <v>0</v>
      </c>
      <c r="O58" s="37">
        <v>0</v>
      </c>
      <c r="P58" s="71">
        <f t="shared" si="24"/>
        <v>0</v>
      </c>
      <c r="Q58" s="48">
        <f t="shared" si="23"/>
        <v>-0.14529743589743593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4081968832.5074997</v>
      </c>
      <c r="E59" s="39">
        <v>0</v>
      </c>
      <c r="F59" s="40" t="s">
        <v>47</v>
      </c>
      <c r="G59" s="70">
        <v>0.78169999999999995</v>
      </c>
      <c r="H59" s="51">
        <v>0.875</v>
      </c>
      <c r="I59" s="42">
        <v>0.90749999999999997</v>
      </c>
      <c r="J59" s="44">
        <f t="shared" si="20"/>
        <v>0.90749999999999997</v>
      </c>
      <c r="K59" s="39">
        <v>0</v>
      </c>
      <c r="L59" s="46">
        <f t="shared" si="21"/>
        <v>3.2499999999999973E-2</v>
      </c>
      <c r="M59" s="46">
        <f t="shared" si="22"/>
        <v>3.7142857142857109</v>
      </c>
      <c r="N59" s="75">
        <v>48</v>
      </c>
      <c r="O59" s="76">
        <v>43.56</v>
      </c>
      <c r="P59" s="71">
        <f t="shared" si="24"/>
        <v>0</v>
      </c>
      <c r="Q59" s="48">
        <f t="shared" si="23"/>
        <v>0.1609313035691442</v>
      </c>
      <c r="R59" s="52"/>
      <c r="S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1183080417.7444999</v>
      </c>
      <c r="E60" s="39">
        <v>0</v>
      </c>
      <c r="F60" s="40" t="s">
        <v>92</v>
      </c>
      <c r="G60" s="70">
        <v>0.59499999999999997</v>
      </c>
      <c r="H60" s="42">
        <v>1.4650000000000001</v>
      </c>
      <c r="I60" s="42">
        <v>1.4695</v>
      </c>
      <c r="J60" s="44">
        <f t="shared" si="20"/>
        <v>1.4695</v>
      </c>
      <c r="K60" s="39">
        <v>0</v>
      </c>
      <c r="L60" s="46">
        <f t="shared" si="21"/>
        <v>4.4999999999999485E-3</v>
      </c>
      <c r="M60" s="46">
        <f t="shared" si="22"/>
        <v>0.30716723549487701</v>
      </c>
      <c r="N60" s="50">
        <v>182539</v>
      </c>
      <c r="O60" s="37">
        <v>268241.48</v>
      </c>
      <c r="P60" s="71">
        <f t="shared" si="24"/>
        <v>0</v>
      </c>
      <c r="Q60" s="48">
        <f t="shared" si="23"/>
        <v>1.469747899159664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106892952.38</v>
      </c>
      <c r="E61" s="39">
        <v>0</v>
      </c>
      <c r="F61" s="40" t="s">
        <v>34</v>
      </c>
      <c r="G61" s="70">
        <v>0.22600000000000001</v>
      </c>
      <c r="H61" s="42">
        <v>0.40589999999999998</v>
      </c>
      <c r="I61" s="42">
        <v>0.41</v>
      </c>
      <c r="J61" s="44">
        <f t="shared" si="20"/>
        <v>0.41</v>
      </c>
      <c r="K61" s="39">
        <v>0</v>
      </c>
      <c r="L61" s="46">
        <f t="shared" si="21"/>
        <v>4.0999999999999925E-3</v>
      </c>
      <c r="M61" s="46">
        <f t="shared" si="22"/>
        <v>1.0101010101010082</v>
      </c>
      <c r="N61" s="50">
        <v>20</v>
      </c>
      <c r="O61" s="37">
        <v>8.1999999999999993</v>
      </c>
      <c r="P61" s="71">
        <f t="shared" si="24"/>
        <v>0</v>
      </c>
      <c r="Q61" s="48">
        <f t="shared" si="23"/>
        <v>0.81415929203539816</v>
      </c>
      <c r="T61" s="52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389088091.7748</v>
      </c>
      <c r="E62" s="39">
        <v>0</v>
      </c>
      <c r="F62" s="40" t="s">
        <v>34</v>
      </c>
      <c r="G62" s="70">
        <v>0.49440000000000001</v>
      </c>
      <c r="H62" s="42">
        <v>0.6825</v>
      </c>
      <c r="I62" s="42">
        <v>0.69210000000000005</v>
      </c>
      <c r="J62" s="44">
        <f t="shared" si="20"/>
        <v>0.69210000000000005</v>
      </c>
      <c r="K62" s="39">
        <v>0</v>
      </c>
      <c r="L62" s="46">
        <f t="shared" si="21"/>
        <v>9.6000000000000529E-3</v>
      </c>
      <c r="M62" s="46">
        <f t="shared" si="22"/>
        <v>1.4065934065934145</v>
      </c>
      <c r="N62" s="50">
        <v>614</v>
      </c>
      <c r="O62" s="37">
        <v>424.93</v>
      </c>
      <c r="P62" s="71">
        <f t="shared" si="24"/>
        <v>0</v>
      </c>
      <c r="Q62" s="48">
        <f t="shared" si="23"/>
        <v>0.39987864077669921</v>
      </c>
      <c r="R62" s="52"/>
      <c r="T62" s="52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87814321.831499994</v>
      </c>
      <c r="E63" s="39">
        <v>0</v>
      </c>
      <c r="F63" s="40" t="s">
        <v>34</v>
      </c>
      <c r="G63" s="70">
        <v>0.25950000000000001</v>
      </c>
      <c r="H63" s="42">
        <v>0.21</v>
      </c>
      <c r="I63" s="42">
        <v>0.2409</v>
      </c>
      <c r="J63" s="44">
        <f t="shared" si="20"/>
        <v>0.2409</v>
      </c>
      <c r="K63" s="39">
        <v>0</v>
      </c>
      <c r="L63" s="46">
        <f t="shared" si="21"/>
        <v>3.0900000000000011E-2</v>
      </c>
      <c r="M63" s="46">
        <f t="shared" si="22"/>
        <v>14.714285714285719</v>
      </c>
      <c r="N63" s="50">
        <v>25139</v>
      </c>
      <c r="O63" s="37">
        <v>6055.52</v>
      </c>
      <c r="P63" s="71">
        <f t="shared" si="24"/>
        <v>0</v>
      </c>
      <c r="Q63" s="48">
        <f t="shared" si="23"/>
        <v>-7.1676300578034646E-2</v>
      </c>
      <c r="R63" s="52"/>
      <c r="T63" s="52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420000000</v>
      </c>
      <c r="E64" s="39">
        <v>0</v>
      </c>
      <c r="F64" s="40" t="s">
        <v>66</v>
      </c>
      <c r="G64" s="70">
        <v>10</v>
      </c>
      <c r="H64" s="42">
        <v>14</v>
      </c>
      <c r="I64" s="42">
        <v>14</v>
      </c>
      <c r="J64" s="44">
        <f t="shared" si="20"/>
        <v>14</v>
      </c>
      <c r="K64" s="39">
        <v>0</v>
      </c>
      <c r="L64" s="46">
        <f t="shared" si="21"/>
        <v>0</v>
      </c>
      <c r="M64" s="46">
        <f t="shared" si="22"/>
        <v>0</v>
      </c>
      <c r="N64" s="50">
        <v>0</v>
      </c>
      <c r="O64" s="37">
        <v>0</v>
      </c>
      <c r="P64" s="71">
        <f t="shared" si="24"/>
        <v>0</v>
      </c>
      <c r="Q64" s="48">
        <f t="shared" si="23"/>
        <v>0.39999999999999991</v>
      </c>
      <c r="T64" s="52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0">
        <v>4.2999999999999997E-2</v>
      </c>
      <c r="H65" s="42">
        <v>0.12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0</v>
      </c>
      <c r="M65" s="46">
        <f t="shared" si="22"/>
        <v>0</v>
      </c>
      <c r="N65" s="50">
        <v>140</v>
      </c>
      <c r="O65" s="37">
        <v>16.8</v>
      </c>
      <c r="P65" s="71">
        <f t="shared" si="24"/>
        <v>0</v>
      </c>
      <c r="Q65" s="48">
        <f t="shared" si="23"/>
        <v>1.7906976744186047</v>
      </c>
      <c r="T65" s="52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404719</v>
      </c>
      <c r="O66" s="62">
        <f>SUM(O50:O65)</f>
        <v>455865.38</v>
      </c>
      <c r="P66" s="80"/>
      <c r="Q66" s="63"/>
    </row>
    <row r="67" spans="1:20" ht="12.75" hidden="1" x14ac:dyDescent="0.25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75" x14ac:dyDescent="0.25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48755205.449999996</v>
      </c>
      <c r="E71" s="39">
        <f>C71*K71</f>
        <v>48755205.449999996</v>
      </c>
      <c r="F71" s="92" t="s">
        <v>159</v>
      </c>
      <c r="G71" s="92">
        <v>0.24</v>
      </c>
      <c r="H71" s="93">
        <v>0.35</v>
      </c>
      <c r="I71" s="93">
        <v>0.35</v>
      </c>
      <c r="J71" s="94">
        <f>I71</f>
        <v>0.35</v>
      </c>
      <c r="K71" s="94">
        <f>J71</f>
        <v>0.35</v>
      </c>
      <c r="L71" s="46">
        <f>I71-H71</f>
        <v>0</v>
      </c>
      <c r="M71" s="46">
        <f>((I71-H71)/H71)*100</f>
        <v>0</v>
      </c>
      <c r="N71" s="95">
        <v>780</v>
      </c>
      <c r="O71" s="96">
        <v>273</v>
      </c>
      <c r="P71" s="71">
        <f>(R71)/J71</f>
        <v>0</v>
      </c>
      <c r="Q71" s="48">
        <f>J71/G71-1</f>
        <v>0.45833333333333326</v>
      </c>
      <c r="T71" s="52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86520280</v>
      </c>
      <c r="E72" s="39">
        <f>C72*K72</f>
        <v>86520280</v>
      </c>
      <c r="F72" s="92" t="s">
        <v>159</v>
      </c>
      <c r="G72" s="92">
        <v>0.1</v>
      </c>
      <c r="H72" s="93">
        <v>0.15989999999999999</v>
      </c>
      <c r="I72" s="93">
        <v>0.16</v>
      </c>
      <c r="J72" s="94">
        <f>I72</f>
        <v>0.16</v>
      </c>
      <c r="K72" s="94">
        <f>J72</f>
        <v>0.16</v>
      </c>
      <c r="L72" s="46">
        <f>I72-H72</f>
        <v>1.0000000000001674E-4</v>
      </c>
      <c r="M72" s="46">
        <f>((I72-H72)/H72)*100</f>
        <v>6.2539086929341306E-2</v>
      </c>
      <c r="N72" s="50">
        <v>2514</v>
      </c>
      <c r="O72" s="96">
        <v>402.24</v>
      </c>
      <c r="P72" s="97">
        <f>(R72)/J72</f>
        <v>2.3699999999999999E-2</v>
      </c>
      <c r="Q72" s="48">
        <f>J72/G72-1</f>
        <v>0.59999999999999987</v>
      </c>
      <c r="R72" s="5">
        <v>3.7919999999999998E-3</v>
      </c>
      <c r="T72" s="52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3294</v>
      </c>
      <c r="O73" s="62">
        <f>SUM(O71:O72)</f>
        <v>675.24</v>
      </c>
      <c r="P73" s="90"/>
      <c r="Q73" s="63"/>
    </row>
    <row r="74" spans="1:20" ht="12.75" x14ac:dyDescent="0.25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7644911.1689999998</v>
      </c>
      <c r="E75" s="39">
        <f>C75*K75</f>
        <v>7644911.1689999998</v>
      </c>
      <c r="F75" s="92" t="s">
        <v>137</v>
      </c>
      <c r="G75" s="92">
        <v>0.1394</v>
      </c>
      <c r="H75" s="93">
        <v>0.11310000000000001</v>
      </c>
      <c r="I75" s="93">
        <v>0.11899999999999999</v>
      </c>
      <c r="J75" s="94">
        <f>I75</f>
        <v>0.11899999999999999</v>
      </c>
      <c r="K75" s="94">
        <f>J75</f>
        <v>0.11899999999999999</v>
      </c>
      <c r="L75" s="46">
        <f>I75-H75</f>
        <v>5.8999999999999886E-3</v>
      </c>
      <c r="M75" s="46">
        <f>((I75-H75)/H75)*100</f>
        <v>5.2166224580017584</v>
      </c>
      <c r="N75" s="95">
        <v>4852</v>
      </c>
      <c r="O75" s="96">
        <v>577.64</v>
      </c>
      <c r="P75" s="71">
        <f>(R75)/J75</f>
        <v>0</v>
      </c>
      <c r="Q75" s="48">
        <f>J75/G75-1</f>
        <v>-0.14634146341463417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75" x14ac:dyDescent="0.25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130976.0409976752</v>
      </c>
      <c r="E78" s="39">
        <f>C78*K78</f>
        <v>108979.84281250001</v>
      </c>
      <c r="F78" s="40" t="s">
        <v>137</v>
      </c>
      <c r="G78" s="70">
        <v>0.105</v>
      </c>
      <c r="H78" s="42">
        <v>0.11</v>
      </c>
      <c r="I78" s="42">
        <v>0.11</v>
      </c>
      <c r="J78" s="44">
        <f>I78/$J$5</f>
        <v>4.1313157489512092E-3</v>
      </c>
      <c r="K78" s="45">
        <f>I78/$K$4</f>
        <v>3.4375E-3</v>
      </c>
      <c r="L78" s="46">
        <f>I78-H78</f>
        <v>0</v>
      </c>
      <c r="M78" s="98">
        <f>((I78-H78)/H78)*100</f>
        <v>0</v>
      </c>
      <c r="N78" s="37">
        <v>2</v>
      </c>
      <c r="O78" s="37">
        <v>0.253</v>
      </c>
      <c r="P78" s="40">
        <v>0</v>
      </c>
      <c r="Q78" s="48">
        <f>I78/G78-1</f>
        <v>4.7619047619047672E-2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409111.58533608256</v>
      </c>
      <c r="E79" s="39">
        <f>C79*K79</f>
        <v>340405.13</v>
      </c>
      <c r="F79" s="40" t="s">
        <v>137</v>
      </c>
      <c r="G79" s="70">
        <v>4.2500000000000003E-2</v>
      </c>
      <c r="H79" s="42">
        <v>8.6999999999999994E-2</v>
      </c>
      <c r="I79" s="42">
        <v>0.08</v>
      </c>
      <c r="J79" s="44">
        <f>I79/$J$5</f>
        <v>3.0045932719645159E-3</v>
      </c>
      <c r="K79" s="45">
        <f>I79/$K$4</f>
        <v>2.5000000000000001E-3</v>
      </c>
      <c r="L79" s="46">
        <f>I79-H79</f>
        <v>-6.9999999999999923E-3</v>
      </c>
      <c r="M79" s="98">
        <f>((I79-H79)/H79)*100</f>
        <v>-8.0459770114942444</v>
      </c>
      <c r="N79" s="37">
        <v>11115</v>
      </c>
      <c r="O79" s="37">
        <v>889.2</v>
      </c>
      <c r="P79" s="40">
        <v>0</v>
      </c>
      <c r="Q79" s="48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1470055.0606740052</v>
      </c>
      <c r="E80" s="39">
        <f>C80*K80</f>
        <v>1223173.095</v>
      </c>
      <c r="F80" s="40" t="s">
        <v>137</v>
      </c>
      <c r="G80" s="70">
        <v>6.0499999999999998E-2</v>
      </c>
      <c r="H80" s="42">
        <v>0.12</v>
      </c>
      <c r="I80" s="42">
        <v>0.12</v>
      </c>
      <c r="J80" s="44">
        <f>I80/$J$5</f>
        <v>4.5068899079467734E-3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0.98347107438016534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423856.90511870012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6.3472032870250383E-2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11117</v>
      </c>
      <c r="O82" s="62">
        <f>SUM(O78:O81)</f>
        <v>889.45300000000009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26283425.671996064</v>
      </c>
      <c r="E84" s="39">
        <f>C84*K84</f>
        <v>21869370.737500001</v>
      </c>
      <c r="F84" s="40" t="s">
        <v>177</v>
      </c>
      <c r="G84" s="40">
        <v>1.3</v>
      </c>
      <c r="H84" s="42">
        <v>1.9</v>
      </c>
      <c r="I84" s="42">
        <v>1.9</v>
      </c>
      <c r="J84" s="44">
        <f>I84/$J$5</f>
        <v>7.1359090209157247E-2</v>
      </c>
      <c r="K84" s="45">
        <f>I84/$K$4</f>
        <v>5.9374999999999997E-2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73187828.835081622</v>
      </c>
      <c r="E85" s="39">
        <f>C85*K85</f>
        <v>60896619.118124999</v>
      </c>
      <c r="F85" s="40" t="s">
        <v>177</v>
      </c>
      <c r="G85" s="40">
        <v>1.44347</v>
      </c>
      <c r="H85" s="42">
        <v>1.0786610000000001</v>
      </c>
      <c r="I85" s="42">
        <v>1.0584359999999999</v>
      </c>
      <c r="J85" s="44">
        <f>I85/$J$5</f>
        <v>3.9752121055062921E-2</v>
      </c>
      <c r="K85" s="45">
        <f>I85/$K$4</f>
        <v>3.3076124999999998E-2</v>
      </c>
      <c r="L85" s="46">
        <f>I85-H85</f>
        <v>-2.022500000000016E-2</v>
      </c>
      <c r="M85" s="46">
        <f>((I85-H85)/H85*100)</f>
        <v>-1.8750098501753707</v>
      </c>
      <c r="N85" s="76">
        <v>6513871</v>
      </c>
      <c r="O85" s="76">
        <v>6894530.7175000003</v>
      </c>
      <c r="P85" s="47">
        <f>(R85)/J85</f>
        <v>5.4739217486933563E-2</v>
      </c>
      <c r="Q85" s="48">
        <f>I85/G85-1</f>
        <v>-0.26674194822199293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25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">
      <c r="A89" s="35" t="s">
        <v>86</v>
      </c>
      <c r="B89" s="116">
        <v>1.3225</v>
      </c>
      <c r="D89" s="116">
        <v>15.000000000000011</v>
      </c>
      <c r="E89" s="35" t="s">
        <v>45</v>
      </c>
      <c r="F89" s="117">
        <v>32.700000000000003</v>
      </c>
      <c r="H89" s="118">
        <v>-3.7669217186580166</v>
      </c>
      <c r="J89" s="35" t="s">
        <v>146</v>
      </c>
      <c r="K89" s="51">
        <v>0.2409</v>
      </c>
      <c r="L89" s="119">
        <v>14.714285714285719</v>
      </c>
      <c r="M89" s="35" t="s">
        <v>119</v>
      </c>
      <c r="N89" s="117">
        <v>0.1658</v>
      </c>
      <c r="O89" s="118">
        <v>-9.3989071038251328</v>
      </c>
      <c r="P89" s="118">
        <v>-1.3931214627775275</v>
      </c>
      <c r="Q89" s="16"/>
    </row>
    <row r="90" spans="1:243" ht="15" customHeight="1" x14ac:dyDescent="0.2">
      <c r="A90" s="35" t="s">
        <v>95</v>
      </c>
      <c r="B90" s="116">
        <v>6.6790000000000002E-2</v>
      </c>
      <c r="D90" s="116">
        <v>11.316666666666675</v>
      </c>
      <c r="E90" s="35" t="s">
        <v>50</v>
      </c>
      <c r="F90" s="117">
        <v>5.8849999999999998</v>
      </c>
      <c r="H90" s="118">
        <v>-2.8877887788778849</v>
      </c>
      <c r="J90" s="35" t="s">
        <v>138</v>
      </c>
      <c r="K90" s="51">
        <v>0.90749999999999997</v>
      </c>
      <c r="L90" s="119">
        <v>3.7142857142857109</v>
      </c>
      <c r="M90" s="35" t="s">
        <v>121</v>
      </c>
      <c r="N90" s="117">
        <v>33.853499999999997</v>
      </c>
      <c r="O90" s="118">
        <v>-4.648234836834372</v>
      </c>
      <c r="P90" s="118">
        <v>-0.80321285140561771</v>
      </c>
      <c r="Q90" s="16"/>
    </row>
    <row r="91" spans="1:243" ht="15" customHeight="1" x14ac:dyDescent="0.2">
      <c r="A91" s="35" t="s">
        <v>113</v>
      </c>
      <c r="B91" s="116">
        <v>0.8</v>
      </c>
      <c r="C91" s="116"/>
      <c r="D91" s="116">
        <v>10.726643598615919</v>
      </c>
      <c r="E91" s="120" t="s">
        <v>68</v>
      </c>
      <c r="F91" s="117">
        <v>0.1</v>
      </c>
      <c r="G91" s="121"/>
      <c r="H91" s="118">
        <v>-1.4088672864762404</v>
      </c>
      <c r="J91" s="35" t="s">
        <v>133</v>
      </c>
      <c r="K91" s="51">
        <v>2.29E-2</v>
      </c>
      <c r="L91" s="119">
        <v>2.2321428571428594</v>
      </c>
      <c r="M91" s="35" t="s">
        <v>123</v>
      </c>
      <c r="N91" s="117">
        <v>0.2266</v>
      </c>
      <c r="O91" s="118">
        <v>-1.5210777922642342</v>
      </c>
      <c r="P91" s="118">
        <v>-0.77994428969359408</v>
      </c>
      <c r="Q91" s="16"/>
    </row>
    <row r="92" spans="1:243" ht="15" customHeight="1" x14ac:dyDescent="0.2">
      <c r="A92" s="35" t="s">
        <v>77</v>
      </c>
      <c r="B92" s="116">
        <v>2.7</v>
      </c>
      <c r="C92" s="116"/>
      <c r="D92" s="116">
        <v>7.9784043191361729</v>
      </c>
      <c r="E92" s="120"/>
      <c r="F92" s="117"/>
      <c r="G92" s="121"/>
      <c r="H92" s="118"/>
      <c r="J92" s="35" t="s">
        <v>144</v>
      </c>
      <c r="K92" s="51">
        <v>0.69210000000000005</v>
      </c>
      <c r="L92" s="119">
        <v>1.4065934065934145</v>
      </c>
      <c r="M92" s="35"/>
      <c r="N92" s="117"/>
      <c r="O92" s="118"/>
      <c r="P92" s="118">
        <v>-0.56417489421721045</v>
      </c>
      <c r="Q92" s="16"/>
    </row>
    <row r="93" spans="1:243" ht="15" customHeight="1" x14ac:dyDescent="0.2">
      <c r="A93" s="35" t="s">
        <v>35</v>
      </c>
      <c r="B93" s="116">
        <v>0.14000000000000001</v>
      </c>
      <c r="C93" s="116"/>
      <c r="D93" s="116">
        <v>4.9317943336831069</v>
      </c>
      <c r="E93" s="120"/>
      <c r="F93" s="117"/>
      <c r="G93" s="121"/>
      <c r="H93" s="118"/>
      <c r="J93" s="120" t="s">
        <v>142</v>
      </c>
      <c r="K93" s="121">
        <v>0.41</v>
      </c>
      <c r="L93" s="119">
        <v>1.0101010101010082</v>
      </c>
      <c r="M93" s="35"/>
      <c r="N93" s="117"/>
      <c r="O93" s="118"/>
      <c r="P93" s="118">
        <v>-0.53029298687524906</v>
      </c>
      <c r="Q93" s="16"/>
    </row>
    <row r="94" spans="1:243" ht="15.75" customHeight="1" thickBot="1" x14ac:dyDescent="0.25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75" thickBot="1" x14ac:dyDescent="0.25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3"/>
      <c r="J102" s="133"/>
      <c r="K102" s="133"/>
      <c r="O102" s="133"/>
      <c r="P102" s="133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3"/>
      <c r="J105" s="133"/>
      <c r="K105" s="133"/>
      <c r="O105" s="133"/>
      <c r="P105" s="133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3"/>
      <c r="J107" s="133"/>
      <c r="K107" s="133"/>
      <c r="O107" s="133"/>
      <c r="P107" s="133"/>
    </row>
  </sheetData>
  <sheetProtection algorithmName="SHA-512" hashValue="UMNCPrKdgtUsChX1O1cnPlJm+naETBoWPWp5zp9fjhEo1y0RpfEgJDy+NUJQOlu33xFhIqTeu0LceetmTmjqow==" saltValue="MvYy8f0qrvTwUGrNSniOtA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Rufaro Mutetse</cp:lastModifiedBy>
  <dcterms:created xsi:type="dcterms:W3CDTF">2026-10-19T13:36:55Z</dcterms:created>
  <dcterms:modified xsi:type="dcterms:W3CDTF">2026-10-19T13:38:55Z</dcterms:modified>
</cp:coreProperties>
</file>