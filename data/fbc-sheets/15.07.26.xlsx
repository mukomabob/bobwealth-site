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Price Sheets/16.07.26/"/>
    </mc:Choice>
  </mc:AlternateContent>
  <xr:revisionPtr revIDLastSave="0" documentId="8_{E3F44DB9-B23B-44DD-BE0C-AF89EDAA8ED8}" xr6:coauthVersionLast="47" xr6:coauthVersionMax="47" xr10:uidLastSave="{00000000-0000-0000-0000-000000000000}"/>
  <bookViews>
    <workbookView xWindow="-120" yWindow="-120" windowWidth="29040" windowHeight="15720" xr2:uid="{5A5A1EDC-0728-480B-A440-54ACA4005727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O84" i="1"/>
  <c r="M84" i="1"/>
  <c r="I84" i="1"/>
  <c r="L84" i="1" s="1"/>
  <c r="Q83" i="1"/>
  <c r="O83" i="1"/>
  <c r="M83" i="1"/>
  <c r="L83" i="1"/>
  <c r="K83" i="1"/>
  <c r="E83" i="1" s="1"/>
  <c r="I83" i="1"/>
  <c r="J83" i="1" s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4" i="1"/>
  <c r="P74" i="1"/>
  <c r="M74" i="1"/>
  <c r="L74" i="1"/>
  <c r="J74" i="1"/>
  <c r="K74" i="1" s="1"/>
  <c r="E74" i="1" s="1"/>
  <c r="D74" i="1"/>
  <c r="O72" i="1"/>
  <c r="N72" i="1"/>
  <c r="Q71" i="1"/>
  <c r="P71" i="1"/>
  <c r="M71" i="1"/>
  <c r="L71" i="1"/>
  <c r="J71" i="1"/>
  <c r="K71" i="1" s="1"/>
  <c r="E71" i="1" s="1"/>
  <c r="D71" i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M63" i="1"/>
  <c r="L63" i="1"/>
  <c r="J63" i="1"/>
  <c r="P63" i="1" s="1"/>
  <c r="D63" i="1"/>
  <c r="M62" i="1"/>
  <c r="L62" i="1"/>
  <c r="J62" i="1"/>
  <c r="Q62" i="1" s="1"/>
  <c r="D62" i="1"/>
  <c r="Q61" i="1"/>
  <c r="M61" i="1"/>
  <c r="L61" i="1"/>
  <c r="J61" i="1"/>
  <c r="P61" i="1" s="1"/>
  <c r="D61" i="1"/>
  <c r="M60" i="1"/>
  <c r="L60" i="1"/>
  <c r="J60" i="1"/>
  <c r="Q60" i="1" s="1"/>
  <c r="D60" i="1"/>
  <c r="Q59" i="1"/>
  <c r="M59" i="1"/>
  <c r="L59" i="1"/>
  <c r="J59" i="1"/>
  <c r="P59" i="1" s="1"/>
  <c r="D59" i="1"/>
  <c r="M58" i="1"/>
  <c r="L58" i="1"/>
  <c r="J58" i="1"/>
  <c r="Q58" i="1" s="1"/>
  <c r="D58" i="1"/>
  <c r="Q57" i="1"/>
  <c r="M57" i="1"/>
  <c r="L57" i="1"/>
  <c r="J57" i="1"/>
  <c r="P57" i="1" s="1"/>
  <c r="D57" i="1"/>
  <c r="M56" i="1"/>
  <c r="L56" i="1"/>
  <c r="J56" i="1"/>
  <c r="Q56" i="1" s="1"/>
  <c r="D56" i="1"/>
  <c r="Q55" i="1"/>
  <c r="M55" i="1"/>
  <c r="L55" i="1"/>
  <c r="J55" i="1"/>
  <c r="P55" i="1" s="1"/>
  <c r="D55" i="1"/>
  <c r="M54" i="1"/>
  <c r="L54" i="1"/>
  <c r="J54" i="1"/>
  <c r="Q54" i="1" s="1"/>
  <c r="D54" i="1"/>
  <c r="Q53" i="1"/>
  <c r="M53" i="1"/>
  <c r="L53" i="1"/>
  <c r="J53" i="1"/>
  <c r="P53" i="1" s="1"/>
  <c r="D53" i="1"/>
  <c r="M52" i="1"/>
  <c r="L52" i="1"/>
  <c r="J52" i="1"/>
  <c r="Q52" i="1" s="1"/>
  <c r="D52" i="1"/>
  <c r="Q51" i="1"/>
  <c r="P51" i="1"/>
  <c r="M51" i="1"/>
  <c r="L51" i="1"/>
  <c r="J51" i="1"/>
  <c r="D51" i="1"/>
  <c r="M50" i="1"/>
  <c r="L50" i="1"/>
  <c r="J50" i="1"/>
  <c r="Q50" i="1" s="1"/>
  <c r="D50" i="1"/>
  <c r="O47" i="1"/>
  <c r="N47" i="1"/>
  <c r="Q46" i="1"/>
  <c r="M46" i="1"/>
  <c r="L46" i="1"/>
  <c r="K46" i="1"/>
  <c r="J46" i="1"/>
  <c r="E46" i="1"/>
  <c r="D46" i="1"/>
  <c r="Q45" i="1"/>
  <c r="P45" i="1"/>
  <c r="M45" i="1"/>
  <c r="L45" i="1"/>
  <c r="K45" i="1"/>
  <c r="E45" i="1" s="1"/>
  <c r="J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P39" i="1"/>
  <c r="M39" i="1"/>
  <c r="L39" i="1"/>
  <c r="K39" i="1"/>
  <c r="E39" i="1" s="1"/>
  <c r="J39" i="1"/>
  <c r="D39" i="1"/>
  <c r="Q38" i="1"/>
  <c r="M38" i="1"/>
  <c r="L38" i="1"/>
  <c r="K38" i="1"/>
  <c r="J38" i="1"/>
  <c r="E38" i="1"/>
  <c r="D38" i="1"/>
  <c r="Q37" i="1"/>
  <c r="P37" i="1"/>
  <c r="M37" i="1"/>
  <c r="L37" i="1"/>
  <c r="K37" i="1"/>
  <c r="J37" i="1"/>
  <c r="E37" i="1"/>
  <c r="D37" i="1"/>
  <c r="Q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E34" i="1"/>
  <c r="D34" i="1"/>
  <c r="Q33" i="1"/>
  <c r="M33" i="1"/>
  <c r="L33" i="1"/>
  <c r="K33" i="1"/>
  <c r="E33" i="1" s="1"/>
  <c r="J33" i="1"/>
  <c r="D33" i="1" s="1"/>
  <c r="Q32" i="1"/>
  <c r="M32" i="1"/>
  <c r="L32" i="1"/>
  <c r="K32" i="1"/>
  <c r="J32" i="1"/>
  <c r="P32" i="1" s="1"/>
  <c r="E32" i="1"/>
  <c r="D32" i="1"/>
  <c r="K31" i="1"/>
  <c r="E31" i="1" s="1"/>
  <c r="J31" i="1"/>
  <c r="D31" i="1" s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D23" i="1"/>
  <c r="Q22" i="1"/>
  <c r="M22" i="1"/>
  <c r="L22" i="1"/>
  <c r="K22" i="1"/>
  <c r="J22" i="1"/>
  <c r="E22" i="1"/>
  <c r="D22" i="1"/>
  <c r="Q21" i="1"/>
  <c r="M21" i="1"/>
  <c r="L21" i="1"/>
  <c r="K21" i="1"/>
  <c r="J21" i="1"/>
  <c r="D21" i="1" s="1"/>
  <c r="E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E17" i="1" s="1"/>
  <c r="J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E11" i="1" s="1"/>
  <c r="J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D83" i="1" l="1"/>
  <c r="P83" i="1"/>
  <c r="K70" i="1"/>
  <c r="E70" i="1" s="1"/>
  <c r="P24" i="1"/>
  <c r="P27" i="1"/>
  <c r="P33" i="1"/>
  <c r="P36" i="1"/>
  <c r="P21" i="1"/>
  <c r="P54" i="1"/>
  <c r="P56" i="1"/>
  <c r="P58" i="1"/>
  <c r="P60" i="1"/>
  <c r="P62" i="1"/>
  <c r="P64" i="1"/>
  <c r="P50" i="1"/>
  <c r="P70" i="1"/>
  <c r="J84" i="1"/>
  <c r="K84" i="1"/>
  <c r="E84" i="1" s="1"/>
  <c r="D84" i="1" l="1"/>
  <c r="P84" i="1"/>
</calcChain>
</file>

<file path=xl/sharedStrings.xml><?xml version="1.0" encoding="utf-8"?>
<sst xmlns="http://schemas.openxmlformats.org/spreadsheetml/2006/main" count="264" uniqueCount="183">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</sst>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43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5" fontId="15" fillId="5" borderId="0" xfId="5" applyNumberFormat="1" applyFont="1" applyFill="1" applyBorder="1" applyAlignment="1"/>
    <xf numFmtId="43" fontId="15" fillId="6" borderId="0" xfId="5" applyFont="1" applyFill="1" applyBorder="1" applyAlignment="1"/>
    <xf numFmtId="43" fontId="15" fillId="7" borderId="0" xfId="5" applyFont="1" applyFill="1" applyBorder="1" applyAlignment="1"/>
    <xf numFmtId="43" fontId="15" fillId="5" borderId="0" xfId="5" applyFont="1" applyFill="1" applyBorder="1" applyAlignment="1"/>
    <xf numFmtId="166" fontId="15" fillId="5" borderId="0" xfId="5" applyNumberFormat="1" applyFont="1" applyFill="1" applyBorder="1" applyAlignment="1"/>
    <xf numFmtId="167" fontId="15" fillId="5" borderId="0" xfId="4" applyNumberFormat="1" applyFont="1" applyFill="1" applyBorder="1"/>
    <xf numFmtId="167" fontId="15" fillId="8" borderId="0" xfId="4" applyNumberFormat="1" applyFont="1" applyFill="1" applyBorder="1"/>
    <xf numFmtId="167" fontId="15" fillId="6" borderId="0" xfId="4" applyNumberFormat="1" applyFont="1" applyFill="1" applyBorder="1"/>
    <xf numFmtId="167" fontId="15" fillId="7" borderId="0" xfId="4" applyNumberFormat="1" applyFont="1" applyFill="1" applyBorder="1"/>
    <xf numFmtId="166" fontId="15" fillId="5" borderId="0" xfId="4" applyNumberFormat="1" applyFont="1" applyFill="1" applyBorder="1"/>
    <xf numFmtId="165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8" fontId="4" fillId="3" borderId="0" xfId="3" applyNumberFormat="1" applyFont="1" applyFill="1" applyAlignment="1"/>
    <xf numFmtId="43" fontId="15" fillId="5" borderId="0" xfId="6" applyFont="1" applyFill="1" applyBorder="1"/>
    <xf numFmtId="43" fontId="4" fillId="3" borderId="0" xfId="3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4" applyFont="1" applyFill="1" applyBorder="1"/>
    <xf numFmtId="49" fontId="15" fillId="5" borderId="0" xfId="4" applyNumberFormat="1" applyFont="1" applyFill="1" applyBorder="1"/>
    <xf numFmtId="43" fontId="15" fillId="5" borderId="0" xfId="4" applyFont="1" applyFill="1" applyBorder="1"/>
    <xf numFmtId="43" fontId="17" fillId="5" borderId="0" xfId="4" applyFont="1" applyFill="1" applyBorder="1"/>
    <xf numFmtId="165" fontId="18" fillId="5" borderId="0" xfId="4" applyNumberFormat="1" applyFont="1" applyFill="1" applyBorder="1"/>
    <xf numFmtId="43" fontId="18" fillId="5" borderId="0" xfId="4" applyFont="1" applyFill="1" applyBorder="1"/>
    <xf numFmtId="166" fontId="15" fillId="5" borderId="6" xfId="4" applyNumberFormat="1" applyFont="1" applyFill="1" applyBorder="1"/>
    <xf numFmtId="43" fontId="15" fillId="5" borderId="1" xfId="4" applyFont="1" applyFill="1" applyBorder="1"/>
    <xf numFmtId="49" fontId="15" fillId="5" borderId="2" xfId="4" applyNumberFormat="1" applyFont="1" applyFill="1" applyBorder="1"/>
    <xf numFmtId="43" fontId="15" fillId="5" borderId="2" xfId="4" applyFont="1" applyFill="1" applyBorder="1"/>
    <xf numFmtId="165" fontId="18" fillId="5" borderId="2" xfId="4" applyNumberFormat="1" applyFont="1" applyFill="1" applyBorder="1"/>
    <xf numFmtId="166" fontId="15" fillId="5" borderId="2" xfId="4" applyNumberFormat="1" applyFont="1" applyFill="1" applyBorder="1"/>
    <xf numFmtId="166" fontId="18" fillId="5" borderId="4" xfId="4" applyNumberFormat="1" applyFont="1" applyFill="1" applyBorder="1" applyAlignment="1">
      <alignment horizontal="left"/>
    </xf>
    <xf numFmtId="169" fontId="15" fillId="5" borderId="0" xfId="5" applyNumberFormat="1" applyFont="1" applyFill="1" applyBorder="1" applyAlignment="1"/>
    <xf numFmtId="43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6" fontId="15" fillId="9" borderId="0" xfId="4" applyNumberFormat="1" applyFont="1" applyFill="1" applyBorder="1"/>
    <xf numFmtId="0" fontId="4" fillId="3" borderId="5" xfId="3" applyFont="1" applyFill="1" applyBorder="1" applyAlignment="1"/>
    <xf numFmtId="165" fontId="17" fillId="5" borderId="0" xfId="5" applyNumberFormat="1" applyFont="1" applyFill="1" applyBorder="1" applyAlignment="1"/>
    <xf numFmtId="166" fontId="15" fillId="5" borderId="0" xfId="4" applyNumberFormat="1" applyFont="1" applyFill="1" applyBorder="1" applyAlignment="1">
      <alignment horizontal="center"/>
    </xf>
    <xf numFmtId="43" fontId="19" fillId="5" borderId="0" xfId="4" applyFont="1" applyFill="1" applyBorder="1"/>
    <xf numFmtId="43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43" fontId="15" fillId="5" borderId="8" xfId="5" applyFont="1" applyFill="1" applyBorder="1" applyAlignment="1"/>
    <xf numFmtId="165" fontId="15" fillId="5" borderId="8" xfId="5" applyNumberFormat="1" applyFont="1" applyFill="1" applyBorder="1" applyAlignment="1"/>
    <xf numFmtId="167" fontId="15" fillId="5" borderId="8" xfId="4" applyNumberFormat="1" applyFont="1" applyFill="1" applyBorder="1"/>
    <xf numFmtId="166" fontId="15" fillId="5" borderId="8" xfId="4" applyNumberFormat="1" applyFont="1" applyFill="1" applyBorder="1"/>
    <xf numFmtId="166" fontId="15" fillId="5" borderId="8" xfId="4" applyNumberFormat="1" applyFont="1" applyFill="1" applyBorder="1" applyAlignment="1">
      <alignment horizontal="center"/>
    </xf>
    <xf numFmtId="165" fontId="15" fillId="5" borderId="8" xfId="4" applyNumberFormat="1" applyFont="1" applyFill="1" applyBorder="1"/>
    <xf numFmtId="166" fontId="15" fillId="5" borderId="10" xfId="4" applyNumberFormat="1" applyFont="1" applyFill="1" applyBorder="1"/>
    <xf numFmtId="165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43" fontId="6" fillId="5" borderId="0" xfId="5" applyFont="1" applyFill="1" applyBorder="1" applyAlignment="1"/>
    <xf numFmtId="167" fontId="6" fillId="5" borderId="0" xfId="4" applyNumberFormat="1" applyFont="1" applyFill="1" applyBorder="1"/>
    <xf numFmtId="167" fontId="6" fillId="6" borderId="0" xfId="4" applyNumberFormat="1" applyFont="1" applyFill="1" applyBorder="1"/>
    <xf numFmtId="43" fontId="6" fillId="5" borderId="0" xfId="6" applyFont="1" applyFill="1" applyBorder="1"/>
    <xf numFmtId="165" fontId="6" fillId="5" borderId="0" xfId="4" applyNumberFormat="1" applyFont="1" applyFill="1" applyBorder="1"/>
    <xf numFmtId="9" fontId="20" fillId="5" borderId="0" xfId="2" applyFont="1" applyFill="1" applyBorder="1"/>
    <xf numFmtId="170" fontId="15" fillId="5" borderId="0" xfId="4" applyNumberFormat="1" applyFont="1" applyFill="1" applyBorder="1"/>
    <xf numFmtId="165" fontId="15" fillId="5" borderId="11" xfId="5" applyNumberFormat="1" applyFont="1" applyFill="1" applyBorder="1" applyAlignment="1"/>
    <xf numFmtId="43" fontId="15" fillId="5" borderId="11" xfId="5" applyFont="1" applyFill="1" applyBorder="1" applyAlignment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5" fontId="15" fillId="5" borderId="11" xfId="4" applyNumberFormat="1" applyFont="1" applyFill="1" applyBorder="1"/>
    <xf numFmtId="43" fontId="15" fillId="5" borderId="11" xfId="4" applyFont="1" applyFill="1" applyBorder="1"/>
    <xf numFmtId="166" fontId="15" fillId="5" borderId="12" xfId="4" applyNumberFormat="1" applyFont="1" applyFill="1" applyBorder="1"/>
    <xf numFmtId="43" fontId="15" fillId="5" borderId="13" xfId="4" applyFont="1" applyFill="1" applyBorder="1" applyAlignment="1">
      <alignment horizontal="left"/>
    </xf>
    <xf numFmtId="165" fontId="15" fillId="5" borderId="0" xfId="1" applyNumberFormat="1" applyFont="1" applyFill="1" applyBorder="1" applyAlignment="1"/>
    <xf numFmtId="2" fontId="15" fillId="5" borderId="0" xfId="6" applyNumberFormat="1" applyFont="1" applyFill="1" applyBorder="1"/>
    <xf numFmtId="0" fontId="4" fillId="3" borderId="8" xfId="3" applyFont="1" applyFill="1" applyBorder="1" applyAlignment="1"/>
    <xf numFmtId="165" fontId="15" fillId="5" borderId="8" xfId="5" applyNumberFormat="1" applyFont="1" applyFill="1" applyBorder="1" applyAlignment="1">
      <alignment horizontal="right"/>
    </xf>
    <xf numFmtId="43" fontId="15" fillId="5" borderId="5" xfId="4" applyFont="1" applyFill="1" applyBorder="1"/>
    <xf numFmtId="0" fontId="21" fillId="3" borderId="0" xfId="3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5" borderId="0" xfId="4" applyFont="1" applyFill="1" applyBorder="1" applyAlignment="1">
      <alignment horizontal="left"/>
    </xf>
    <xf numFmtId="43" fontId="15" fillId="5" borderId="6" xfId="4" applyFont="1" applyFill="1" applyBorder="1"/>
    <xf numFmtId="43" fontId="24" fillId="5" borderId="0" xfId="4" applyFont="1" applyFill="1" applyBorder="1" applyAlignment="1">
      <alignment horizontal="left"/>
    </xf>
    <xf numFmtId="43" fontId="25" fillId="5" borderId="0" xfId="4" applyFont="1" applyFill="1" applyBorder="1" applyAlignment="1">
      <alignment horizontal="left"/>
    </xf>
    <xf numFmtId="170" fontId="25" fillId="5" borderId="6" xfId="6" applyNumberFormat="1" applyFont="1" applyFill="1" applyBorder="1" applyAlignment="1">
      <alignment horizontal="left"/>
    </xf>
    <xf numFmtId="43" fontId="24" fillId="5" borderId="6" xfId="4" applyFont="1" applyFill="1" applyBorder="1" applyAlignment="1">
      <alignment horizontal="left"/>
    </xf>
    <xf numFmtId="43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43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43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4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/>
    </xf>
    <xf numFmtId="164" fontId="12" fillId="2" borderId="6" xfId="3" applyNumberFormat="1" applyFont="1" applyFill="1" applyBorder="1" applyAlignment="1">
      <alignment horizontal="center"/>
    </xf>
    <xf numFmtId="164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4" fontId="12" fillId="2" borderId="2" xfId="3" applyNumberFormat="1" applyFont="1" applyFill="1" applyBorder="1" applyAlignment="1">
      <alignment horizontal="center"/>
    </xf>
    <xf numFmtId="164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402AEB78-52C0-4002-A268-B340D5F30E76}"/>
    <cellStyle name="Comma 5 2 2 2 2 2 2 2 2" xfId="5" xr:uid="{33804AD6-1EB5-4FAC-856C-41DDD29E1A95}"/>
    <cellStyle name="Comma 6 2 2 2" xfId="6" xr:uid="{4120E38F-9FB7-40CC-8C43-CF16B5F7A6E8}"/>
    <cellStyle name="Hyperlink 2" xfId="9" xr:uid="{1EE66BFB-1B98-4BD3-80C4-FBC2ED3F273B}"/>
    <cellStyle name="Normal" xfId="0" builtinId="0"/>
    <cellStyle name="Normal 2" xfId="3" xr:uid="{7B7D4B55-AF16-40CC-ADB1-6B3EC2805168}"/>
    <cellStyle name="Normal 20" xfId="8" xr:uid="{6B779CAA-AB9C-46DB-AFE6-FF350A3342DB}"/>
    <cellStyle name="Percent" xfId="2" builtinId="5"/>
    <cellStyle name="Percent 3" xfId="7" xr:uid="{F6CF50C9-4243-4D13-ABA6-7398976951BC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15C2C84-7789-4E03-A040-8C053FD9D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10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3B39CD0-6296-4746-A38E-647BD1CB4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4557-2129-4AF9-B57B-0B05EA8A9B97}">
  <dimension ref="A1:II106"/>
  <sheetViews>
    <sheetView tabSelected="1" zoomScale="85" zoomScaleNormal="85" workbookViewId="0">
      <selection activeCell="E15" sqref="E15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15.140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bestFit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8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26.6357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25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">
      <c r="A9" s="35" t="s">
        <v>32</v>
      </c>
      <c r="B9" s="36" t="s">
        <v>33</v>
      </c>
      <c r="C9" s="37">
        <v>126034439</v>
      </c>
      <c r="D9" s="38">
        <f t="shared" ref="D9:D29" si="0">C9*J9</f>
        <v>74762222.738655269</v>
      </c>
      <c r="E9" s="39">
        <f t="shared" ref="E9:E29" si="1"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0.59318884054107834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2.5287056962025316E-2</v>
      </c>
      <c r="Q9" s="49">
        <f t="shared" ref="Q9:Q17" si="6">I9/G9-1</f>
        <v>0.75760609600089013</v>
      </c>
      <c r="R9" s="50">
        <v>1.4999999999999999E-2</v>
      </c>
    </row>
    <row r="10" spans="1:18" x14ac:dyDescent="0.2">
      <c r="A10" s="35" t="s">
        <v>35</v>
      </c>
      <c r="B10" s="36" t="s">
        <v>36</v>
      </c>
      <c r="C10" s="37">
        <v>1627395595</v>
      </c>
      <c r="D10" s="38">
        <f t="shared" si="0"/>
        <v>4289099.6207721215</v>
      </c>
      <c r="E10" s="39">
        <f t="shared" si="1"/>
        <v>3626767.3260000004</v>
      </c>
      <c r="F10" s="40" t="s">
        <v>34</v>
      </c>
      <c r="G10" s="41">
        <v>3.1600000000000003E-2</v>
      </c>
      <c r="H10" s="42">
        <v>6.8199999999999997E-2</v>
      </c>
      <c r="I10" s="43">
        <v>7.0199999999999999E-2</v>
      </c>
      <c r="J10" s="44">
        <f t="shared" ref="J10:J17" si="7">I10/$J$5</f>
        <v>2.6355605446825125E-3</v>
      </c>
      <c r="K10" s="45">
        <f t="shared" si="2"/>
        <v>2.2285714285714287E-3</v>
      </c>
      <c r="L10" s="46">
        <f t="shared" si="3"/>
        <v>2.0000000000000018E-3</v>
      </c>
      <c r="M10" s="46">
        <f t="shared" si="4"/>
        <v>2.9325513196480966</v>
      </c>
      <c r="N10" s="47">
        <v>100</v>
      </c>
      <c r="O10" s="37">
        <v>7.02</v>
      </c>
      <c r="P10" s="51">
        <f t="shared" si="5"/>
        <v>0</v>
      </c>
      <c r="Q10" s="49">
        <f t="shared" si="6"/>
        <v>1.221518987341772</v>
      </c>
      <c r="R10" s="50"/>
    </row>
    <row r="11" spans="1:18" x14ac:dyDescent="0.2">
      <c r="A11" s="35" t="s">
        <v>37</v>
      </c>
      <c r="B11" s="36" t="s">
        <v>38</v>
      </c>
      <c r="C11" s="37">
        <v>436977359</v>
      </c>
      <c r="D11" s="38">
        <f t="shared" si="0"/>
        <v>3609254.4584899219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8.2595914505719775E-3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">
      <c r="A12" s="35" t="s">
        <v>40</v>
      </c>
      <c r="B12" s="36" t="s">
        <v>41</v>
      </c>
      <c r="C12" s="37">
        <v>20633517</v>
      </c>
      <c r="D12" s="38">
        <f t="shared" si="0"/>
        <v>147068528.42050332</v>
      </c>
      <c r="E12" s="39">
        <f t="shared" si="1"/>
        <v>124357879.44285715</v>
      </c>
      <c r="F12" s="40" t="s">
        <v>34</v>
      </c>
      <c r="G12" s="41">
        <v>97.381</v>
      </c>
      <c r="H12" s="42">
        <v>189.9</v>
      </c>
      <c r="I12" s="43">
        <v>189.85</v>
      </c>
      <c r="J12" s="44">
        <f t="shared" si="7"/>
        <v>7.1276519858685896</v>
      </c>
      <c r="K12" s="45">
        <f t="shared" si="2"/>
        <v>6.0269841269841269</v>
      </c>
      <c r="L12" s="46">
        <f t="shared" si="3"/>
        <v>-5.0000000000011369E-2</v>
      </c>
      <c r="M12" s="46">
        <f t="shared" si="4"/>
        <v>-2.6329647182733739E-2</v>
      </c>
      <c r="N12" s="47">
        <v>200</v>
      </c>
      <c r="O12" s="37">
        <v>37970</v>
      </c>
      <c r="P12" s="51">
        <f t="shared" si="5"/>
        <v>0</v>
      </c>
      <c r="Q12" s="49">
        <f t="shared" si="6"/>
        <v>0.94955894887092951</v>
      </c>
      <c r="R12" s="50"/>
    </row>
    <row r="13" spans="1:18" x14ac:dyDescent="0.2">
      <c r="A13" s="35" t="s">
        <v>42</v>
      </c>
      <c r="B13" s="36" t="s">
        <v>43</v>
      </c>
      <c r="C13" s="37">
        <v>8735108</v>
      </c>
      <c r="D13" s="38">
        <f t="shared" si="0"/>
        <v>6231000.1989810662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0.71332835254939797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">
      <c r="A14" s="35" t="s">
        <v>45</v>
      </c>
      <c r="B14" s="36" t="s">
        <v>46</v>
      </c>
      <c r="C14" s="37">
        <v>522661465</v>
      </c>
      <c r="D14" s="38">
        <f t="shared" si="0"/>
        <v>755295138.30916786</v>
      </c>
      <c r="E14" s="39">
        <f t="shared" si="1"/>
        <v>638660784.61782551</v>
      </c>
      <c r="F14" s="40" t="s">
        <v>47</v>
      </c>
      <c r="G14" s="41">
        <v>11.5</v>
      </c>
      <c r="H14" s="42">
        <v>40</v>
      </c>
      <c r="I14" s="43">
        <v>38.491100000000003</v>
      </c>
      <c r="J14" s="44">
        <f t="shared" si="7"/>
        <v>1.445094365832323</v>
      </c>
      <c r="K14" s="45">
        <f t="shared" si="2"/>
        <v>1.2219396825396827</v>
      </c>
      <c r="L14" s="46">
        <f t="shared" si="3"/>
        <v>-1.508899999999997</v>
      </c>
      <c r="M14" s="46">
        <f t="shared" si="4"/>
        <v>-3.7722499999999921</v>
      </c>
      <c r="N14" s="47">
        <v>4043600</v>
      </c>
      <c r="O14" s="37">
        <v>155642670</v>
      </c>
      <c r="P14" s="51">
        <f t="shared" si="5"/>
        <v>0</v>
      </c>
      <c r="Q14" s="49">
        <f t="shared" si="6"/>
        <v>2.3470521739130437</v>
      </c>
      <c r="R14" s="50"/>
    </row>
    <row r="15" spans="1:18" x14ac:dyDescent="0.2">
      <c r="A15" s="35" t="s">
        <v>48</v>
      </c>
      <c r="B15" s="36" t="s">
        <v>49</v>
      </c>
      <c r="C15" s="37">
        <v>106040875</v>
      </c>
      <c r="D15" s="38">
        <f t="shared" si="0"/>
        <v>23886935.578941047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0.22526158501559937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">
      <c r="A16" s="35" t="s">
        <v>50</v>
      </c>
      <c r="B16" s="36" t="s">
        <v>51</v>
      </c>
      <c r="C16" s="37">
        <v>358000858</v>
      </c>
      <c r="D16" s="38">
        <f t="shared" si="0"/>
        <v>80641932.139127716</v>
      </c>
      <c r="E16" s="39">
        <f t="shared" si="1"/>
        <v>68189025.773909971</v>
      </c>
      <c r="F16" s="40" t="s">
        <v>34</v>
      </c>
      <c r="G16" s="41">
        <v>1.9</v>
      </c>
      <c r="H16" s="42">
        <v>5.7792819999999994</v>
      </c>
      <c r="I16" s="43">
        <v>5.9998580000000006</v>
      </c>
      <c r="J16" s="44">
        <f t="shared" si="7"/>
        <v>0.225256253824754</v>
      </c>
      <c r="K16" s="45">
        <f t="shared" si="2"/>
        <v>0.19047168253968255</v>
      </c>
      <c r="L16" s="46">
        <f t="shared" si="3"/>
        <v>0.22057600000000122</v>
      </c>
      <c r="M16" s="46">
        <f t="shared" si="4"/>
        <v>3.8166678836575416</v>
      </c>
      <c r="N16" s="47">
        <v>13492200</v>
      </c>
      <c r="O16" s="37">
        <v>80951289</v>
      </c>
      <c r="P16" s="51">
        <f t="shared" si="5"/>
        <v>0</v>
      </c>
      <c r="Q16" s="49">
        <f t="shared" si="6"/>
        <v>2.1578200000000005</v>
      </c>
      <c r="R16" s="50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1558627839.1401391</v>
      </c>
      <c r="E17" s="39">
        <f t="shared" si="1"/>
        <v>1317941064.6026983</v>
      </c>
      <c r="F17" s="40" t="s">
        <v>34</v>
      </c>
      <c r="G17" s="41">
        <v>20.701700000000002</v>
      </c>
      <c r="H17" s="42">
        <v>30.6356</v>
      </c>
      <c r="I17" s="43">
        <v>30.803000000000001</v>
      </c>
      <c r="J17" s="44">
        <f t="shared" si="7"/>
        <v>1.1564554338725845</v>
      </c>
      <c r="K17" s="45">
        <f t="shared" si="2"/>
        <v>0.97787301587301589</v>
      </c>
      <c r="L17" s="46">
        <f t="shared" si="3"/>
        <v>0.16740000000000066</v>
      </c>
      <c r="M17" s="46">
        <f t="shared" si="4"/>
        <v>0.54642311559101386</v>
      </c>
      <c r="N17" s="47">
        <v>253300</v>
      </c>
      <c r="O17" s="37">
        <v>7802396</v>
      </c>
      <c r="P17" s="48">
        <f t="shared" si="5"/>
        <v>4.3235561471285266E-2</v>
      </c>
      <c r="Q17" s="49">
        <f t="shared" si="6"/>
        <v>0.48794543443292082</v>
      </c>
      <c r="R17" s="50">
        <v>0.05</v>
      </c>
      <c r="S17" s="52"/>
    </row>
    <row r="18" spans="1:19" hidden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252021901.83588195</v>
      </c>
      <c r="E19" s="39">
        <f t="shared" si="1"/>
        <v>213104119.70571432</v>
      </c>
      <c r="F19" s="40" t="s">
        <v>47</v>
      </c>
      <c r="G19" s="41">
        <v>12.45</v>
      </c>
      <c r="H19" s="42">
        <v>10</v>
      </c>
      <c r="I19" s="43">
        <v>9.99</v>
      </c>
      <c r="J19" s="44">
        <f t="shared" ref="J19:J29" si="8">I19/$J$5</f>
        <v>0.37506053905097297</v>
      </c>
      <c r="K19" s="45">
        <f t="shared" ref="K19:K29" si="9">I19/$K$4</f>
        <v>0.31714285714285717</v>
      </c>
      <c r="L19" s="46">
        <f t="shared" ref="L19:L29" si="10">I19-H19</f>
        <v>-9.9999999999997868E-3</v>
      </c>
      <c r="M19" s="46">
        <f t="shared" ref="M19:M29" si="11">((I19-H19)/H19)*100</f>
        <v>-9.9999999999997882E-2</v>
      </c>
      <c r="N19" s="47">
        <v>24800</v>
      </c>
      <c r="O19" s="37">
        <v>247752</v>
      </c>
      <c r="P19" s="51">
        <f>(R19)/J19</f>
        <v>0</v>
      </c>
      <c r="Q19" s="49">
        <f t="shared" ref="Q19:Q29" si="12">I19/G19-1</f>
        <v>-0.19759036144578312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2862560.5371737932</v>
      </c>
      <c r="E20" s="39">
        <f t="shared" si="1"/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 t="shared" si="8"/>
        <v>2.6280518251819925E-2</v>
      </c>
      <c r="K20" s="45">
        <f t="shared" si="9"/>
        <v>2.222222222222222E-2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84208973.107521117</v>
      </c>
      <c r="E21" s="39">
        <f t="shared" si="1"/>
        <v>71205236.349206343</v>
      </c>
      <c r="F21" s="40" t="s">
        <v>47</v>
      </c>
      <c r="G21" s="41">
        <v>2.85</v>
      </c>
      <c r="H21" s="42">
        <v>3.25</v>
      </c>
      <c r="I21" s="43">
        <v>3.25</v>
      </c>
      <c r="J21" s="44">
        <f t="shared" si="8"/>
        <v>0.12201669188344966</v>
      </c>
      <c r="K21" s="45">
        <f t="shared" si="9"/>
        <v>0.10317460317460317</v>
      </c>
      <c r="L21" s="46">
        <f t="shared" si="10"/>
        <v>0</v>
      </c>
      <c r="M21" s="46">
        <f t="shared" si="11"/>
        <v>0</v>
      </c>
      <c r="N21" s="47">
        <v>0</v>
      </c>
      <c r="O21" s="37">
        <v>0</v>
      </c>
      <c r="P21" s="51">
        <f>(R21)/J21</f>
        <v>0</v>
      </c>
      <c r="Q21" s="49">
        <f t="shared" si="12"/>
        <v>0.14035087719298245</v>
      </c>
      <c r="R21" s="50"/>
    </row>
    <row r="22" spans="1:19" hidden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0.99</v>
      </c>
      <c r="I22" s="43"/>
      <c r="J22" s="44">
        <f t="shared" si="8"/>
        <v>0</v>
      </c>
      <c r="K22" s="45">
        <f t="shared" si="9"/>
        <v>0</v>
      </c>
      <c r="L22" s="46">
        <f t="shared" si="10"/>
        <v>-0.99</v>
      </c>
      <c r="M22" s="46">
        <f t="shared" si="11"/>
        <v>-100</v>
      </c>
      <c r="N22" s="53" t="s">
        <v>57</v>
      </c>
      <c r="O22" s="53" t="s">
        <v>57</v>
      </c>
      <c r="P22" s="53" t="s">
        <v>67</v>
      </c>
      <c r="Q22" s="49">
        <f t="shared" si="12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2477892.4762255168</v>
      </c>
      <c r="E23" s="39">
        <f t="shared" si="1"/>
        <v>2095250.8136190479</v>
      </c>
      <c r="F23" s="40" t="s">
        <v>44</v>
      </c>
      <c r="G23" s="41">
        <v>0.1</v>
      </c>
      <c r="H23" s="42">
        <v>0.12300000000000001</v>
      </c>
      <c r="I23" s="43">
        <v>0.12300000000000001</v>
      </c>
      <c r="J23" s="44">
        <f t="shared" si="8"/>
        <v>4.6178624928197871E-3</v>
      </c>
      <c r="K23" s="45">
        <f t="shared" si="9"/>
        <v>3.9047619047619052E-3</v>
      </c>
      <c r="L23" s="46">
        <f t="shared" si="10"/>
        <v>0</v>
      </c>
      <c r="M23" s="46">
        <f t="shared" si="11"/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2"/>
        <v>0.22999999999999998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79713550.009949058</v>
      </c>
      <c r="E24" s="39">
        <f t="shared" si="1"/>
        <v>67404006.476190478</v>
      </c>
      <c r="F24" s="40" t="s">
        <v>34</v>
      </c>
      <c r="G24" s="41">
        <v>8.1687659999999997</v>
      </c>
      <c r="H24" s="42">
        <v>11</v>
      </c>
      <c r="I24" s="43">
        <v>11</v>
      </c>
      <c r="J24" s="44">
        <f t="shared" si="8"/>
        <v>0.41297957252859885</v>
      </c>
      <c r="K24" s="45">
        <f t="shared" si="9"/>
        <v>0.34920634920634919</v>
      </c>
      <c r="L24" s="46">
        <f t="shared" si="10"/>
        <v>0</v>
      </c>
      <c r="M24" s="46">
        <f t="shared" si="11"/>
        <v>0</v>
      </c>
      <c r="N24" s="47">
        <v>3300</v>
      </c>
      <c r="O24" s="37">
        <v>36300</v>
      </c>
      <c r="P24" s="51">
        <f t="shared" si="13"/>
        <v>0</v>
      </c>
      <c r="Q24" s="49">
        <f t="shared" si="12"/>
        <v>0.34659261876273595</v>
      </c>
      <c r="R24" s="50"/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114044354.61429586</v>
      </c>
      <c r="E25" s="39">
        <f t="shared" si="1"/>
        <v>96433371.942857146</v>
      </c>
      <c r="F25" s="40" t="s">
        <v>66</v>
      </c>
      <c r="G25" s="41">
        <v>1.6675</v>
      </c>
      <c r="H25" s="42">
        <v>1.7725</v>
      </c>
      <c r="I25" s="43">
        <v>1.8</v>
      </c>
      <c r="J25" s="44">
        <f t="shared" si="8"/>
        <v>6.7578475504679811E-2</v>
      </c>
      <c r="K25" s="45">
        <f t="shared" si="9"/>
        <v>5.7142857142857141E-2</v>
      </c>
      <c r="L25" s="46">
        <f t="shared" si="10"/>
        <v>2.750000000000008E-2</v>
      </c>
      <c r="M25" s="46">
        <f t="shared" si="11"/>
        <v>1.5514809590973246</v>
      </c>
      <c r="N25" s="47">
        <v>100</v>
      </c>
      <c r="O25" s="37">
        <v>180</v>
      </c>
      <c r="P25" s="51">
        <f t="shared" si="13"/>
        <v>0</v>
      </c>
      <c r="Q25" s="49">
        <f t="shared" si="12"/>
        <v>7.946026986506749E-2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26962472.208351951</v>
      </c>
      <c r="E26" s="39">
        <f t="shared" si="1"/>
        <v>22798867.333333332</v>
      </c>
      <c r="F26" s="40" t="s">
        <v>44</v>
      </c>
      <c r="G26" s="41">
        <v>1.7994999999999999</v>
      </c>
      <c r="H26" s="42">
        <v>2.9995659999999997</v>
      </c>
      <c r="I26" s="43">
        <v>3</v>
      </c>
      <c r="J26" s="44">
        <f t="shared" si="8"/>
        <v>0.11263079250779968</v>
      </c>
      <c r="K26" s="45">
        <f t="shared" si="9"/>
        <v>9.5238095238095233E-2</v>
      </c>
      <c r="L26" s="46">
        <f t="shared" si="10"/>
        <v>4.3400000000026751E-4</v>
      </c>
      <c r="M26" s="46">
        <f t="shared" si="11"/>
        <v>1.4468759813928667E-2</v>
      </c>
      <c r="N26" s="47">
        <v>1100</v>
      </c>
      <c r="O26" s="37">
        <v>3300</v>
      </c>
      <c r="P26" s="51">
        <f t="shared" si="13"/>
        <v>0</v>
      </c>
      <c r="Q26" s="49">
        <f t="shared" si="12"/>
        <v>0.66712975826618526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24042050.800241783</v>
      </c>
      <c r="E27" s="39">
        <f t="shared" si="1"/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9.385899375649974E-2</v>
      </c>
      <c r="K27" s="45">
        <f t="shared" si="9"/>
        <v>7.9365079365079361E-2</v>
      </c>
      <c r="L27" s="46">
        <f t="shared" si="10"/>
        <v>0</v>
      </c>
      <c r="M27" s="46">
        <f t="shared" si="11"/>
        <v>0</v>
      </c>
      <c r="N27" s="47">
        <v>100</v>
      </c>
      <c r="O27" s="37">
        <v>250</v>
      </c>
      <c r="P27" s="51">
        <f t="shared" si="13"/>
        <v>0</v>
      </c>
      <c r="Q27" s="49">
        <f t="shared" si="12"/>
        <v>-0.20284094731830904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21523986.078390844</v>
      </c>
      <c r="E28" s="39">
        <f t="shared" si="1"/>
        <v>18200204.317085553</v>
      </c>
      <c r="F28" s="40" t="s">
        <v>44</v>
      </c>
      <c r="G28" s="41">
        <v>0.8</v>
      </c>
      <c r="H28" s="42">
        <v>0.86</v>
      </c>
      <c r="I28" s="43">
        <v>0.75869500000000001</v>
      </c>
      <c r="J28" s="44">
        <f t="shared" si="8"/>
        <v>2.8484139707235026E-2</v>
      </c>
      <c r="K28" s="45">
        <f t="shared" si="9"/>
        <v>2.4085555555555554E-2</v>
      </c>
      <c r="L28" s="46">
        <f t="shared" si="10"/>
        <v>-0.10130499999999998</v>
      </c>
      <c r="M28" s="46">
        <f t="shared" si="11"/>
        <v>-11.779651162790696</v>
      </c>
      <c r="N28" s="47">
        <v>45200</v>
      </c>
      <c r="O28" s="37">
        <v>34293</v>
      </c>
      <c r="P28" s="51">
        <f t="shared" si="13"/>
        <v>0</v>
      </c>
      <c r="Q28" s="49">
        <f t="shared" si="12"/>
        <v>-5.1631250000000017E-2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94426872.986255288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0.2102441460145594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100</v>
      </c>
      <c r="O29" s="37">
        <v>560</v>
      </c>
      <c r="P29" s="51">
        <f t="shared" si="13"/>
        <v>0</v>
      </c>
      <c r="Q29" s="49">
        <f t="shared" si="12"/>
        <v>8.737864077669899E-2</v>
      </c>
      <c r="R29" s="50"/>
    </row>
    <row r="30" spans="1:19" hidden="1" x14ac:dyDescent="0.2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">
      <c r="A31" s="35" t="s">
        <v>84</v>
      </c>
      <c r="B31" s="36" t="s">
        <v>85</v>
      </c>
      <c r="C31" s="37">
        <v>3171161098</v>
      </c>
      <c r="D31" s="38">
        <f t="shared" ref="D31:D46" si="14">C31*J31</f>
        <v>0</v>
      </c>
      <c r="E31" s="39">
        <f t="shared" ref="E31:E46" si="15"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 t="shared" ref="J31:J46" si="16">I31/$J$5</f>
        <v>0</v>
      </c>
      <c r="K31" s="56">
        <f t="shared" ref="K31:K46" si="17"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">
      <c r="A32" s="35" t="s">
        <v>87</v>
      </c>
      <c r="B32" s="36" t="s">
        <v>88</v>
      </c>
      <c r="C32" s="37">
        <v>259866270</v>
      </c>
      <c r="D32" s="38">
        <f t="shared" si="14"/>
        <v>12195393.306727437</v>
      </c>
      <c r="E32" s="39">
        <f t="shared" si="15"/>
        <v>10312153.571428571</v>
      </c>
      <c r="F32" s="40" t="s">
        <v>39</v>
      </c>
      <c r="G32" s="41">
        <v>1.4</v>
      </c>
      <c r="H32" s="42">
        <v>1.25</v>
      </c>
      <c r="I32" s="43">
        <v>1.25</v>
      </c>
      <c r="J32" s="44">
        <f t="shared" si="16"/>
        <v>4.692949687824987E-2</v>
      </c>
      <c r="K32" s="45">
        <f t="shared" si="17"/>
        <v>3.968253968253968E-2</v>
      </c>
      <c r="L32" s="46">
        <f t="shared" ref="L32:L46" si="18">I32-H32</f>
        <v>0</v>
      </c>
      <c r="M32" s="46">
        <f t="shared" ref="M32:M46" si="19">((I32-H32)/H32)*100</f>
        <v>0</v>
      </c>
      <c r="N32" s="47">
        <v>20700</v>
      </c>
      <c r="O32" s="37">
        <v>25875</v>
      </c>
      <c r="P32" s="51">
        <f t="shared" ref="P32:P37" si="20">(R32)/J32</f>
        <v>0</v>
      </c>
      <c r="Q32" s="49">
        <f t="shared" ref="Q32:Q46" si="21">I32/G32-1</f>
        <v>-0.1071428571428571</v>
      </c>
      <c r="R32" s="50"/>
    </row>
    <row r="33" spans="1:18" x14ac:dyDescent="0.2">
      <c r="A33" s="35" t="s">
        <v>89</v>
      </c>
      <c r="B33" s="36" t="s">
        <v>90</v>
      </c>
      <c r="C33" s="37">
        <v>122029470</v>
      </c>
      <c r="D33" s="38">
        <f t="shared" si="14"/>
        <v>3894211.5093652504</v>
      </c>
      <c r="E33" s="39">
        <f t="shared" si="15"/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 t="shared" si="16"/>
        <v>3.1912057877209909E-2</v>
      </c>
      <c r="K33" s="45">
        <f t="shared" si="17"/>
        <v>2.6984126984126982E-2</v>
      </c>
      <c r="L33" s="46">
        <f t="shared" si="18"/>
        <v>0</v>
      </c>
      <c r="M33" s="46">
        <f t="shared" si="19"/>
        <v>0</v>
      </c>
      <c r="N33" s="47">
        <v>0</v>
      </c>
      <c r="O33" s="37">
        <v>0</v>
      </c>
      <c r="P33" s="51">
        <f t="shared" si="20"/>
        <v>0</v>
      </c>
      <c r="Q33" s="49">
        <f t="shared" si="21"/>
        <v>0.30769230769230771</v>
      </c>
      <c r="R33" s="50"/>
    </row>
    <row r="34" spans="1:18" x14ac:dyDescent="0.2">
      <c r="A34" s="35" t="s">
        <v>91</v>
      </c>
      <c r="B34" s="36" t="s">
        <v>92</v>
      </c>
      <c r="C34" s="37">
        <v>2495495543</v>
      </c>
      <c r="D34" s="38">
        <f t="shared" si="14"/>
        <v>117112350.29490496</v>
      </c>
      <c r="E34" s="39">
        <f t="shared" si="15"/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 t="shared" si="16"/>
        <v>4.692949687824987E-2</v>
      </c>
      <c r="K34" s="45">
        <f t="shared" si="17"/>
        <v>3.968253968253968E-2</v>
      </c>
      <c r="L34" s="46">
        <f t="shared" si="18"/>
        <v>0</v>
      </c>
      <c r="M34" s="46">
        <f t="shared" si="19"/>
        <v>0</v>
      </c>
      <c r="N34" s="47">
        <v>100</v>
      </c>
      <c r="O34" s="37">
        <v>125</v>
      </c>
      <c r="P34" s="51">
        <f t="shared" si="20"/>
        <v>0</v>
      </c>
      <c r="Q34" s="49">
        <f t="shared" si="21"/>
        <v>-0.13194444444444442</v>
      </c>
      <c r="R34" s="50"/>
    </row>
    <row r="35" spans="1:18" x14ac:dyDescent="0.2">
      <c r="A35" s="35" t="s">
        <v>94</v>
      </c>
      <c r="B35" s="36" t="s">
        <v>95</v>
      </c>
      <c r="C35" s="37">
        <v>253492983</v>
      </c>
      <c r="D35" s="38">
        <f t="shared" si="14"/>
        <v>43921132.78588511</v>
      </c>
      <c r="E35" s="39">
        <f t="shared" si="15"/>
        <v>37138733.858571425</v>
      </c>
      <c r="F35" s="40" t="s">
        <v>34</v>
      </c>
      <c r="G35" s="41">
        <v>3.6056249999999999</v>
      </c>
      <c r="H35" s="42">
        <v>4.6124999999999998</v>
      </c>
      <c r="I35" s="43">
        <v>4.6150000000000002</v>
      </c>
      <c r="J35" s="44">
        <f t="shared" si="16"/>
        <v>0.17326370247449852</v>
      </c>
      <c r="K35" s="45">
        <f t="shared" si="17"/>
        <v>0.1465079365079365</v>
      </c>
      <c r="L35" s="46">
        <f t="shared" si="18"/>
        <v>2.5000000000003908E-3</v>
      </c>
      <c r="M35" s="46">
        <f t="shared" si="19"/>
        <v>5.420054200542853E-2</v>
      </c>
      <c r="N35" s="47">
        <v>31200</v>
      </c>
      <c r="O35" s="37">
        <v>143988</v>
      </c>
      <c r="P35" s="51">
        <f t="shared" si="20"/>
        <v>0</v>
      </c>
      <c r="Q35" s="49">
        <f t="shared" si="21"/>
        <v>0.27994453111457807</v>
      </c>
      <c r="R35" s="50"/>
    </row>
    <row r="36" spans="1:18" x14ac:dyDescent="0.2">
      <c r="A36" s="35" t="s">
        <v>96</v>
      </c>
      <c r="B36" s="36" t="s">
        <v>97</v>
      </c>
      <c r="C36" s="37">
        <v>4715084056</v>
      </c>
      <c r="D36" s="38">
        <f t="shared" si="14"/>
        <v>8073052.6464061392</v>
      </c>
      <c r="E36" s="39">
        <f t="shared" si="15"/>
        <v>6826393.9166311119</v>
      </c>
      <c r="F36" s="40" t="s">
        <v>34</v>
      </c>
      <c r="G36" s="41">
        <v>2.5099999999999997E-2</v>
      </c>
      <c r="H36" s="42">
        <v>4.5933000000000002E-2</v>
      </c>
      <c r="I36" s="43">
        <v>4.5605E-2</v>
      </c>
      <c r="J36" s="44">
        <f t="shared" si="16"/>
        <v>1.7121757641060682E-3</v>
      </c>
      <c r="K36" s="45">
        <f t="shared" si="17"/>
        <v>1.4477777777777779E-3</v>
      </c>
      <c r="L36" s="46">
        <f t="shared" si="18"/>
        <v>-3.280000000000019E-4</v>
      </c>
      <c r="M36" s="46">
        <f t="shared" si="19"/>
        <v>-0.71408355648444888</v>
      </c>
      <c r="N36" s="47">
        <v>25700</v>
      </c>
      <c r="O36" s="37">
        <v>1172.04</v>
      </c>
      <c r="P36" s="51">
        <f t="shared" si="20"/>
        <v>0</v>
      </c>
      <c r="Q36" s="49">
        <f t="shared" si="21"/>
        <v>0.81693227091633491</v>
      </c>
      <c r="R36" s="50"/>
    </row>
    <row r="37" spans="1:18" x14ac:dyDescent="0.2">
      <c r="A37" s="35" t="s">
        <v>98</v>
      </c>
      <c r="B37" s="36" t="s">
        <v>99</v>
      </c>
      <c r="C37" s="37">
        <v>525090993</v>
      </c>
      <c r="D37" s="38">
        <f t="shared" si="14"/>
        <v>70936834.703599647</v>
      </c>
      <c r="E37" s="39">
        <f t="shared" si="15"/>
        <v>59982611.051259339</v>
      </c>
      <c r="F37" s="40" t="s">
        <v>93</v>
      </c>
      <c r="G37" s="41">
        <v>0.61</v>
      </c>
      <c r="H37" s="42">
        <v>3.5925929999999999</v>
      </c>
      <c r="I37" s="43">
        <v>3.5983330000000002</v>
      </c>
      <c r="J37" s="44">
        <f t="shared" si="16"/>
        <v>0.13509436583232279</v>
      </c>
      <c r="K37" s="45">
        <f t="shared" si="17"/>
        <v>0.11423279365079365</v>
      </c>
      <c r="L37" s="46">
        <f t="shared" si="18"/>
        <v>5.7400000000003004E-3</v>
      </c>
      <c r="M37" s="46">
        <f t="shared" si="19"/>
        <v>0.15977317775768923</v>
      </c>
      <c r="N37" s="47">
        <v>600</v>
      </c>
      <c r="O37" s="37">
        <v>2159</v>
      </c>
      <c r="P37" s="51">
        <f t="shared" si="20"/>
        <v>0</v>
      </c>
      <c r="Q37" s="49">
        <f t="shared" si="21"/>
        <v>4.8989065573770496</v>
      </c>
      <c r="R37" s="50"/>
    </row>
    <row r="38" spans="1:18" x14ac:dyDescent="0.2">
      <c r="A38" s="35" t="s">
        <v>100</v>
      </c>
      <c r="B38" s="36" t="s">
        <v>101</v>
      </c>
      <c r="C38" s="37">
        <v>4194797929</v>
      </c>
      <c r="D38" s="38">
        <f t="shared" si="14"/>
        <v>33072439.060734279</v>
      </c>
      <c r="E38" s="39">
        <f t="shared" si="15"/>
        <v>27965319.526666664</v>
      </c>
      <c r="F38" s="40" t="s">
        <v>56</v>
      </c>
      <c r="G38" s="41">
        <v>0.11650199999999999</v>
      </c>
      <c r="H38" s="42">
        <v>0.20487100000000003</v>
      </c>
      <c r="I38" s="43">
        <v>0.21</v>
      </c>
      <c r="J38" s="44">
        <f t="shared" si="16"/>
        <v>7.8841554755459779E-3</v>
      </c>
      <c r="K38" s="45">
        <f t="shared" si="17"/>
        <v>6.6666666666666662E-3</v>
      </c>
      <c r="L38" s="46">
        <f t="shared" si="18"/>
        <v>5.1289999999999669E-3</v>
      </c>
      <c r="M38" s="46">
        <f t="shared" si="19"/>
        <v>2.5035266094273796</v>
      </c>
      <c r="N38" s="47">
        <v>100</v>
      </c>
      <c r="O38" s="37">
        <v>21</v>
      </c>
      <c r="P38" s="51">
        <v>0</v>
      </c>
      <c r="Q38" s="49">
        <f t="shared" si="21"/>
        <v>0.80254416233197712</v>
      </c>
      <c r="R38" s="50"/>
    </row>
    <row r="39" spans="1:18" x14ac:dyDescent="0.2">
      <c r="A39" s="35" t="s">
        <v>102</v>
      </c>
      <c r="B39" s="36" t="s">
        <v>103</v>
      </c>
      <c r="C39" s="37">
        <v>4315726499</v>
      </c>
      <c r="D39" s="38">
        <f t="shared" si="14"/>
        <v>19443347.833171271</v>
      </c>
      <c r="E39" s="39">
        <f t="shared" si="15"/>
        <v>16440862.853333334</v>
      </c>
      <c r="F39" s="40" t="s">
        <v>39</v>
      </c>
      <c r="G39" s="41">
        <v>0.1</v>
      </c>
      <c r="H39" s="42">
        <v>0.11500400000000001</v>
      </c>
      <c r="I39" s="43">
        <v>0.12</v>
      </c>
      <c r="J39" s="44">
        <f t="shared" si="16"/>
        <v>4.5052317003119874E-3</v>
      </c>
      <c r="K39" s="45">
        <f t="shared" si="17"/>
        <v>3.8095238095238095E-3</v>
      </c>
      <c r="L39" s="46">
        <f t="shared" si="18"/>
        <v>4.9959999999999866E-3</v>
      </c>
      <c r="M39" s="46">
        <f t="shared" si="19"/>
        <v>4.3441967235922103</v>
      </c>
      <c r="N39" s="47">
        <v>4000</v>
      </c>
      <c r="O39" s="37">
        <v>480</v>
      </c>
      <c r="P39" s="51">
        <f t="shared" ref="P39:P45" si="22">(R39)/J39</f>
        <v>0</v>
      </c>
      <c r="Q39" s="49">
        <f t="shared" si="21"/>
        <v>0.19999999999999996</v>
      </c>
      <c r="R39" s="50"/>
    </row>
    <row r="40" spans="1:18" x14ac:dyDescent="0.2">
      <c r="A40" s="35" t="s">
        <v>104</v>
      </c>
      <c r="B40" s="36" t="s">
        <v>105</v>
      </c>
      <c r="C40" s="37">
        <v>106474237</v>
      </c>
      <c r="D40" s="38">
        <f t="shared" si="14"/>
        <v>7995163.5958689284</v>
      </c>
      <c r="E40" s="39">
        <f t="shared" si="15"/>
        <v>6760532.6663646363</v>
      </c>
      <c r="F40" s="40" t="s">
        <v>44</v>
      </c>
      <c r="G40" s="41">
        <v>1.7452379999999998</v>
      </c>
      <c r="H40" s="42">
        <v>2.0000780000000002</v>
      </c>
      <c r="I40" s="43">
        <v>2.0000780000000002</v>
      </c>
      <c r="J40" s="44">
        <f t="shared" si="16"/>
        <v>7.5090123405804995E-2</v>
      </c>
      <c r="K40" s="45">
        <f t="shared" si="17"/>
        <v>6.3494539682539694E-2</v>
      </c>
      <c r="L40" s="46">
        <f t="shared" si="18"/>
        <v>0</v>
      </c>
      <c r="M40" s="46">
        <f t="shared" si="19"/>
        <v>0</v>
      </c>
      <c r="N40" s="47">
        <v>0</v>
      </c>
      <c r="O40" s="37">
        <v>0</v>
      </c>
      <c r="P40" s="51">
        <f t="shared" si="22"/>
        <v>0</v>
      </c>
      <c r="Q40" s="49">
        <f t="shared" si="21"/>
        <v>0.14602019896426754</v>
      </c>
      <c r="R40" s="50">
        <v>0</v>
      </c>
    </row>
    <row r="41" spans="1:18" x14ac:dyDescent="0.2">
      <c r="A41" s="35" t="s">
        <v>106</v>
      </c>
      <c r="B41" s="36" t="s">
        <v>107</v>
      </c>
      <c r="C41" s="37">
        <v>1778001428</v>
      </c>
      <c r="D41" s="38">
        <f t="shared" si="14"/>
        <v>4005154.1983127906</v>
      </c>
      <c r="E41" s="39">
        <f t="shared" si="15"/>
        <v>3386669.3866666667</v>
      </c>
      <c r="F41" s="40" t="s">
        <v>39</v>
      </c>
      <c r="G41" s="41">
        <v>0.03</v>
      </c>
      <c r="H41" s="42">
        <v>0.06</v>
      </c>
      <c r="I41" s="43">
        <v>0.06</v>
      </c>
      <c r="J41" s="44">
        <f t="shared" si="16"/>
        <v>2.2526158501559937E-3</v>
      </c>
      <c r="K41" s="45">
        <f t="shared" si="17"/>
        <v>1.9047619047619048E-3</v>
      </c>
      <c r="L41" s="46">
        <f t="shared" si="18"/>
        <v>0</v>
      </c>
      <c r="M41" s="46">
        <f t="shared" si="19"/>
        <v>0</v>
      </c>
      <c r="N41" s="47">
        <v>0</v>
      </c>
      <c r="O41" s="37">
        <v>0</v>
      </c>
      <c r="P41" s="51">
        <f t="shared" si="22"/>
        <v>0</v>
      </c>
      <c r="Q41" s="49">
        <f t="shared" si="21"/>
        <v>1</v>
      </c>
      <c r="R41" s="50">
        <v>0</v>
      </c>
    </row>
    <row r="42" spans="1:18" x14ac:dyDescent="0.2">
      <c r="A42" s="35" t="s">
        <v>108</v>
      </c>
      <c r="B42" s="36" t="s">
        <v>109</v>
      </c>
      <c r="C42" s="37">
        <v>175190642</v>
      </c>
      <c r="D42" s="38">
        <f t="shared" si="14"/>
        <v>39463721.69682043</v>
      </c>
      <c r="E42" s="39">
        <f t="shared" si="15"/>
        <v>33369646.095238093</v>
      </c>
      <c r="F42" s="40" t="s">
        <v>47</v>
      </c>
      <c r="G42" s="41">
        <v>4.5</v>
      </c>
      <c r="H42" s="42">
        <v>6</v>
      </c>
      <c r="I42" s="43">
        <v>6</v>
      </c>
      <c r="J42" s="44">
        <f t="shared" si="16"/>
        <v>0.22526158501559937</v>
      </c>
      <c r="K42" s="45">
        <f t="shared" si="17"/>
        <v>0.19047619047619047</v>
      </c>
      <c r="L42" s="46">
        <f t="shared" si="18"/>
        <v>0</v>
      </c>
      <c r="M42" s="46">
        <f t="shared" si="19"/>
        <v>0</v>
      </c>
      <c r="N42" s="47">
        <v>2100</v>
      </c>
      <c r="O42" s="37">
        <v>12600</v>
      </c>
      <c r="P42" s="51">
        <f t="shared" si="22"/>
        <v>0</v>
      </c>
      <c r="Q42" s="49">
        <f t="shared" si="21"/>
        <v>0.33333333333333326</v>
      </c>
      <c r="R42" s="50">
        <v>0</v>
      </c>
    </row>
    <row r="43" spans="1:18" x14ac:dyDescent="0.2">
      <c r="A43" s="35" t="s">
        <v>110</v>
      </c>
      <c r="B43" s="36" t="s">
        <v>111</v>
      </c>
      <c r="C43" s="37">
        <v>463337661</v>
      </c>
      <c r="D43" s="38">
        <f t="shared" si="14"/>
        <v>313.11652774284136</v>
      </c>
      <c r="E43" s="39">
        <f t="shared" si="15"/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 t="shared" si="16"/>
        <v>6.7578475504679806E-7</v>
      </c>
      <c r="K43" s="45">
        <f t="shared" si="17"/>
        <v>5.7142857142857149E-7</v>
      </c>
      <c r="L43" s="46">
        <f t="shared" si="18"/>
        <v>0</v>
      </c>
      <c r="M43" s="46">
        <f t="shared" si="19"/>
        <v>0</v>
      </c>
      <c r="N43" s="47">
        <v>0</v>
      </c>
      <c r="O43" s="37">
        <v>0</v>
      </c>
      <c r="P43" s="51">
        <f t="shared" si="22"/>
        <v>0</v>
      </c>
      <c r="Q43" s="49">
        <f t="shared" si="21"/>
        <v>0</v>
      </c>
      <c r="R43" s="50">
        <v>0</v>
      </c>
    </row>
    <row r="44" spans="1:18" x14ac:dyDescent="0.2">
      <c r="A44" s="35" t="s">
        <v>112</v>
      </c>
      <c r="B44" s="36" t="s">
        <v>113</v>
      </c>
      <c r="C44" s="37">
        <v>576000000</v>
      </c>
      <c r="D44" s="38">
        <f t="shared" si="14"/>
        <v>1518082.8737371273</v>
      </c>
      <c r="E44" s="39">
        <f t="shared" si="15"/>
        <v>1283657.142857143</v>
      </c>
      <c r="F44" s="40" t="s">
        <v>56</v>
      </c>
      <c r="G44" s="41">
        <v>7.0000000000000007E-2</v>
      </c>
      <c r="H44" s="42">
        <v>7.0199999999999999E-2</v>
      </c>
      <c r="I44" s="43">
        <v>7.0199999999999999E-2</v>
      </c>
      <c r="J44" s="44">
        <f t="shared" si="16"/>
        <v>2.6355605446825125E-3</v>
      </c>
      <c r="K44" s="45">
        <f t="shared" si="17"/>
        <v>2.2285714285714287E-3</v>
      </c>
      <c r="L44" s="46">
        <f t="shared" si="18"/>
        <v>0</v>
      </c>
      <c r="M44" s="46">
        <f t="shared" si="19"/>
        <v>0</v>
      </c>
      <c r="N44" s="47">
        <v>0</v>
      </c>
      <c r="O44" s="37">
        <v>0</v>
      </c>
      <c r="P44" s="51">
        <f t="shared" si="22"/>
        <v>0</v>
      </c>
      <c r="Q44" s="49">
        <f t="shared" si="21"/>
        <v>2.8571428571426694E-3</v>
      </c>
      <c r="R44" s="50"/>
    </row>
    <row r="45" spans="1:18" x14ac:dyDescent="0.2">
      <c r="A45" s="35" t="s">
        <v>114</v>
      </c>
      <c r="B45" s="36" t="s">
        <v>115</v>
      </c>
      <c r="C45" s="37">
        <v>1818218786</v>
      </c>
      <c r="D45" s="38">
        <f t="shared" si="14"/>
        <v>48250783.840252444</v>
      </c>
      <c r="E45" s="39">
        <f t="shared" si="15"/>
        <v>40799790.575676575</v>
      </c>
      <c r="F45" s="40" t="s">
        <v>47</v>
      </c>
      <c r="G45" s="41">
        <v>0.9998999999999999</v>
      </c>
      <c r="H45" s="42">
        <v>0.70011000000000001</v>
      </c>
      <c r="I45" s="43">
        <v>0.70684200000000008</v>
      </c>
      <c r="J45" s="44">
        <f t="shared" si="16"/>
        <v>2.6537391545932716E-2</v>
      </c>
      <c r="K45" s="45">
        <f t="shared" si="17"/>
        <v>2.2439428571428575E-2</v>
      </c>
      <c r="L45" s="46">
        <f t="shared" si="18"/>
        <v>6.7320000000000713E-3</v>
      </c>
      <c r="M45" s="46">
        <f t="shared" si="19"/>
        <v>0.96156318292840715</v>
      </c>
      <c r="N45" s="47">
        <v>7600</v>
      </c>
      <c r="O45" s="37">
        <v>5372</v>
      </c>
      <c r="P45" s="51">
        <f t="shared" si="22"/>
        <v>0</v>
      </c>
      <c r="Q45" s="49">
        <f t="shared" si="21"/>
        <v>-0.29308730873087296</v>
      </c>
      <c r="R45" s="50">
        <v>0</v>
      </c>
    </row>
    <row r="46" spans="1:18" x14ac:dyDescent="0.2">
      <c r="A46" s="35" t="s">
        <v>116</v>
      </c>
      <c r="B46" s="36" t="s">
        <v>117</v>
      </c>
      <c r="C46" s="37">
        <v>102712520</v>
      </c>
      <c r="D46" s="38">
        <f t="shared" si="14"/>
        <v>5822858.2391301896</v>
      </c>
      <c r="E46" s="39">
        <f t="shared" si="15"/>
        <v>4923679.5301587302</v>
      </c>
      <c r="F46" s="40" t="s">
        <v>47</v>
      </c>
      <c r="G46" s="41">
        <v>1.4503460000000001</v>
      </c>
      <c r="H46" s="42">
        <v>1.51</v>
      </c>
      <c r="I46" s="43">
        <v>1.51</v>
      </c>
      <c r="J46" s="44">
        <f t="shared" si="16"/>
        <v>5.669083222892584E-2</v>
      </c>
      <c r="K46" s="45">
        <f t="shared" si="17"/>
        <v>4.7936507936507937E-2</v>
      </c>
      <c r="L46" s="46">
        <f t="shared" si="18"/>
        <v>0</v>
      </c>
      <c r="M46" s="46">
        <f t="shared" si="19"/>
        <v>0</v>
      </c>
      <c r="N46" s="47">
        <v>0</v>
      </c>
      <c r="O46" s="37">
        <v>0</v>
      </c>
      <c r="P46" s="51">
        <v>0</v>
      </c>
      <c r="Q46" s="49">
        <f t="shared" si="21"/>
        <v>4.1130874977419074E-2</v>
      </c>
      <c r="R46" s="50"/>
    </row>
    <row r="47" spans="1:18" ht="14.25" thickBot="1" x14ac:dyDescent="0.35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17956200</v>
      </c>
      <c r="O47" s="61">
        <f>SUM(O9:O46)</f>
        <v>244948759.06</v>
      </c>
      <c r="P47" s="62"/>
      <c r="Q47" s="63"/>
    </row>
    <row r="48" spans="1:18" ht="13.5" x14ac:dyDescent="0.3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x14ac:dyDescent="0.25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4" si="23">C50*J50</f>
        <v>76412526.411599994</v>
      </c>
      <c r="E50" s="39">
        <v>0</v>
      </c>
      <c r="F50" s="40" t="s">
        <v>93</v>
      </c>
      <c r="G50" s="70">
        <v>0.1</v>
      </c>
      <c r="H50" s="42">
        <v>0.14019999999999999</v>
      </c>
      <c r="I50" s="42">
        <v>0.13769999999999999</v>
      </c>
      <c r="J50" s="44">
        <f t="shared" ref="J50:J64" si="24">I50</f>
        <v>0.13769999999999999</v>
      </c>
      <c r="K50" s="39">
        <v>0</v>
      </c>
      <c r="L50" s="46">
        <f t="shared" ref="L50:L64" si="25">I50-H50</f>
        <v>-2.5000000000000022E-3</v>
      </c>
      <c r="M50" s="46">
        <f t="shared" ref="M50:M64" si="26">((I50-H50)/H50)*100</f>
        <v>-1.7831669044222558</v>
      </c>
      <c r="N50" s="47">
        <v>190200</v>
      </c>
      <c r="O50" s="37">
        <v>26189.66</v>
      </c>
      <c r="P50" s="71">
        <f>(R50)/J50</f>
        <v>0</v>
      </c>
      <c r="Q50" s="49">
        <f t="shared" ref="Q50:Q64" si="27">J50/G50-1</f>
        <v>0.37699999999999978</v>
      </c>
      <c r="T50" s="52"/>
    </row>
    <row r="51" spans="1:20" x14ac:dyDescent="0.2">
      <c r="A51" s="35" t="s">
        <v>121</v>
      </c>
      <c r="B51" s="36" t="s">
        <v>122</v>
      </c>
      <c r="C51" s="40">
        <v>1057685</v>
      </c>
      <c r="D51" s="38">
        <f t="shared" si="23"/>
        <v>54260721.259000003</v>
      </c>
      <c r="E51" s="39">
        <v>0</v>
      </c>
      <c r="F51" s="40" t="s">
        <v>39</v>
      </c>
      <c r="G51" s="70">
        <v>39.9</v>
      </c>
      <c r="H51" s="42">
        <v>51.45</v>
      </c>
      <c r="I51" s="42">
        <v>51.301400000000001</v>
      </c>
      <c r="J51" s="44">
        <f t="shared" si="24"/>
        <v>51.301400000000001</v>
      </c>
      <c r="K51" s="39">
        <v>0</v>
      </c>
      <c r="L51" s="46">
        <f t="shared" si="25"/>
        <v>-0.14860000000000184</v>
      </c>
      <c r="M51" s="46">
        <f t="shared" si="26"/>
        <v>-0.28882410106900258</v>
      </c>
      <c r="N51" s="47">
        <v>2454</v>
      </c>
      <c r="O51" s="37">
        <v>125893.65</v>
      </c>
      <c r="P51" s="72">
        <f>(R51)/J51</f>
        <v>1.0915881437933468E-2</v>
      </c>
      <c r="Q51" s="49">
        <f t="shared" si="27"/>
        <v>0.28574937343358409</v>
      </c>
      <c r="R51" s="52">
        <v>0.56000000000000005</v>
      </c>
      <c r="T51" s="52"/>
    </row>
    <row r="52" spans="1:20" x14ac:dyDescent="0.2">
      <c r="A52" s="35" t="s">
        <v>123</v>
      </c>
      <c r="B52" s="36" t="s">
        <v>124</v>
      </c>
      <c r="C52" s="40">
        <v>2992163203</v>
      </c>
      <c r="D52" s="38">
        <f t="shared" si="23"/>
        <v>718119168.72000003</v>
      </c>
      <c r="E52" s="39"/>
      <c r="F52" s="40" t="s">
        <v>56</v>
      </c>
      <c r="G52" s="70">
        <v>0.33</v>
      </c>
      <c r="H52" s="42">
        <v>0.24840000000000001</v>
      </c>
      <c r="I52" s="42">
        <v>0.24</v>
      </c>
      <c r="J52" s="44">
        <f t="shared" si="24"/>
        <v>0.24</v>
      </c>
      <c r="K52" s="39">
        <v>0</v>
      </c>
      <c r="L52" s="46">
        <f t="shared" si="25"/>
        <v>-8.4000000000000186E-3</v>
      </c>
      <c r="M52" s="46">
        <f t="shared" si="26"/>
        <v>-3.3816425120773022</v>
      </c>
      <c r="N52" s="47">
        <v>52061</v>
      </c>
      <c r="O52" s="37">
        <v>12493.74</v>
      </c>
      <c r="P52" s="71">
        <v>0</v>
      </c>
      <c r="Q52" s="49">
        <f t="shared" si="27"/>
        <v>-0.27272727272727282</v>
      </c>
      <c r="R52" s="52"/>
      <c r="T52" s="52"/>
    </row>
    <row r="53" spans="1:20" x14ac:dyDescent="0.2">
      <c r="A53" s="35" t="s">
        <v>125</v>
      </c>
      <c r="B53" s="36" t="s">
        <v>126</v>
      </c>
      <c r="C53" s="40">
        <v>609740943</v>
      </c>
      <c r="D53" s="38">
        <f t="shared" si="23"/>
        <v>16584953.649599999</v>
      </c>
      <c r="E53" s="39">
        <v>0</v>
      </c>
      <c r="F53" s="40" t="s">
        <v>34</v>
      </c>
      <c r="G53" s="70">
        <v>2.3E-2</v>
      </c>
      <c r="H53" s="42">
        <v>3.0499999999999999E-2</v>
      </c>
      <c r="I53" s="42">
        <v>2.7199999999999998E-2</v>
      </c>
      <c r="J53" s="44">
        <f t="shared" si="24"/>
        <v>2.7199999999999998E-2</v>
      </c>
      <c r="K53" s="39">
        <v>0</v>
      </c>
      <c r="L53" s="46">
        <f t="shared" si="25"/>
        <v>-3.3000000000000008E-3</v>
      </c>
      <c r="M53" s="46">
        <f t="shared" si="26"/>
        <v>-10.819672131147543</v>
      </c>
      <c r="N53" s="47">
        <v>6330</v>
      </c>
      <c r="O53" s="37">
        <v>172.27</v>
      </c>
      <c r="P53" s="71">
        <f t="shared" ref="P53:P64" si="28">(R53)/J53</f>
        <v>0</v>
      </c>
      <c r="Q53" s="49">
        <f t="shared" si="27"/>
        <v>0.18260869565217397</v>
      </c>
      <c r="T53" s="52"/>
    </row>
    <row r="54" spans="1:20" x14ac:dyDescent="0.2">
      <c r="A54" s="35" t="s">
        <v>127</v>
      </c>
      <c r="B54" s="36" t="s">
        <v>128</v>
      </c>
      <c r="C54" s="40">
        <v>2162695929</v>
      </c>
      <c r="D54" s="38">
        <f t="shared" si="23"/>
        <v>291963950.41500002</v>
      </c>
      <c r="E54" s="39">
        <v>0</v>
      </c>
      <c r="F54" s="40" t="s">
        <v>47</v>
      </c>
      <c r="G54" s="70">
        <v>9.0200000000000002E-2</v>
      </c>
      <c r="H54" s="42">
        <v>0.13550000000000001</v>
      </c>
      <c r="I54" s="42">
        <v>0.13500000000000001</v>
      </c>
      <c r="J54" s="44">
        <f t="shared" si="24"/>
        <v>0.13500000000000001</v>
      </c>
      <c r="K54" s="39">
        <v>0</v>
      </c>
      <c r="L54" s="46">
        <f t="shared" si="25"/>
        <v>-5.0000000000000044E-4</v>
      </c>
      <c r="M54" s="73">
        <f t="shared" si="26"/>
        <v>-0.36900369003690064</v>
      </c>
      <c r="N54" s="47">
        <v>268766</v>
      </c>
      <c r="O54" s="37">
        <v>36286.54</v>
      </c>
      <c r="P54" s="71">
        <f t="shared" si="28"/>
        <v>0</v>
      </c>
      <c r="Q54" s="49">
        <f t="shared" si="27"/>
        <v>0.49667405764966754</v>
      </c>
      <c r="R54" s="52"/>
      <c r="T54" s="52"/>
    </row>
    <row r="55" spans="1:20" x14ac:dyDescent="0.2">
      <c r="A55" s="35" t="s">
        <v>129</v>
      </c>
      <c r="B55" s="36" t="s">
        <v>130</v>
      </c>
      <c r="C55" s="40">
        <v>575926450</v>
      </c>
      <c r="D55" s="38">
        <f t="shared" si="23"/>
        <v>815051112.03999996</v>
      </c>
      <c r="E55" s="39">
        <v>0</v>
      </c>
      <c r="F55" s="40" t="s">
        <v>34</v>
      </c>
      <c r="G55" s="70">
        <v>0.95750000000000002</v>
      </c>
      <c r="H55" s="42">
        <v>1.4204000000000001</v>
      </c>
      <c r="I55" s="42">
        <v>1.4152</v>
      </c>
      <c r="J55" s="44">
        <f t="shared" si="24"/>
        <v>1.4152</v>
      </c>
      <c r="K55" s="39">
        <v>0</v>
      </c>
      <c r="L55" s="46">
        <f t="shared" si="25"/>
        <v>-5.2000000000000934E-3</v>
      </c>
      <c r="M55" s="46">
        <f t="shared" si="26"/>
        <v>-0.3660940580118342</v>
      </c>
      <c r="N55" s="47">
        <v>126059</v>
      </c>
      <c r="O55" s="37">
        <v>178399.33</v>
      </c>
      <c r="P55" s="72">
        <f t="shared" si="28"/>
        <v>3.3210853589598646E-2</v>
      </c>
      <c r="Q55" s="49">
        <f t="shared" si="27"/>
        <v>0.47801566579634458</v>
      </c>
      <c r="R55" s="52">
        <v>4.7E-2</v>
      </c>
      <c r="T55" s="52"/>
    </row>
    <row r="56" spans="1:20" x14ac:dyDescent="0.2">
      <c r="A56" s="35" t="s">
        <v>131</v>
      </c>
      <c r="B56" s="36" t="s">
        <v>132</v>
      </c>
      <c r="C56" s="40">
        <v>164208222</v>
      </c>
      <c r="D56" s="38">
        <f t="shared" si="23"/>
        <v>21347068.859999999</v>
      </c>
      <c r="E56" s="39">
        <v>0</v>
      </c>
      <c r="F56" s="40" t="s">
        <v>34</v>
      </c>
      <c r="G56" s="70">
        <v>0.1595</v>
      </c>
      <c r="H56" s="42">
        <v>0.13</v>
      </c>
      <c r="I56" s="42">
        <v>0.13</v>
      </c>
      <c r="J56" s="44">
        <f t="shared" si="24"/>
        <v>0.13</v>
      </c>
      <c r="K56" s="39">
        <v>0</v>
      </c>
      <c r="L56" s="46">
        <f t="shared" si="25"/>
        <v>0</v>
      </c>
      <c r="M56" s="46">
        <f t="shared" si="26"/>
        <v>0</v>
      </c>
      <c r="N56" s="47">
        <v>50</v>
      </c>
      <c r="O56" s="37">
        <v>6.5</v>
      </c>
      <c r="P56" s="71">
        <f t="shared" si="28"/>
        <v>0</v>
      </c>
      <c r="Q56" s="49">
        <f t="shared" si="27"/>
        <v>-0.1849529780564263</v>
      </c>
      <c r="T56" s="52"/>
    </row>
    <row r="57" spans="1:20" x14ac:dyDescent="0.2">
      <c r="A57" s="35" t="s">
        <v>133</v>
      </c>
      <c r="B57" s="36" t="s">
        <v>134</v>
      </c>
      <c r="C57" s="40">
        <v>953802800</v>
      </c>
      <c r="D57" s="38">
        <f t="shared" si="23"/>
        <v>18217633.48</v>
      </c>
      <c r="E57" s="39">
        <v>0</v>
      </c>
      <c r="F57" s="40" t="s">
        <v>93</v>
      </c>
      <c r="G57" s="70">
        <v>1.6799999999999999E-2</v>
      </c>
      <c r="H57" s="42">
        <v>1.9300000000000001E-2</v>
      </c>
      <c r="I57" s="42">
        <v>1.9099999999999999E-2</v>
      </c>
      <c r="J57" s="44">
        <f t="shared" si="24"/>
        <v>1.9099999999999999E-2</v>
      </c>
      <c r="K57" s="39">
        <v>0</v>
      </c>
      <c r="L57" s="46">
        <f t="shared" si="25"/>
        <v>-2.0000000000000226E-4</v>
      </c>
      <c r="M57" s="73">
        <f t="shared" si="26"/>
        <v>-1.0362694300518251</v>
      </c>
      <c r="N57" s="47">
        <v>314728</v>
      </c>
      <c r="O57" s="37">
        <v>6008.56</v>
      </c>
      <c r="P57" s="71">
        <f t="shared" si="28"/>
        <v>0</v>
      </c>
      <c r="Q57" s="49">
        <f t="shared" si="27"/>
        <v>0.13690476190476186</v>
      </c>
      <c r="T57" s="52"/>
    </row>
    <row r="58" spans="1:20" x14ac:dyDescent="0.2">
      <c r="A58" s="35" t="s">
        <v>135</v>
      </c>
      <c r="B58" s="36" t="s">
        <v>136</v>
      </c>
      <c r="C58" s="40">
        <v>161273</v>
      </c>
      <c r="D58" s="38">
        <f t="shared" si="23"/>
        <v>2015912.5</v>
      </c>
      <c r="E58" s="39">
        <v>0</v>
      </c>
      <c r="F58" s="40" t="s">
        <v>137</v>
      </c>
      <c r="G58" s="70">
        <v>19.5</v>
      </c>
      <c r="H58" s="42">
        <v>12.5</v>
      </c>
      <c r="I58" s="42">
        <v>12.5</v>
      </c>
      <c r="J58" s="44">
        <f t="shared" si="24"/>
        <v>12.5</v>
      </c>
      <c r="K58" s="39">
        <v>0</v>
      </c>
      <c r="L58" s="46">
        <f t="shared" si="25"/>
        <v>0</v>
      </c>
      <c r="M58" s="46">
        <f t="shared" si="26"/>
        <v>0</v>
      </c>
      <c r="N58" s="47">
        <v>0</v>
      </c>
      <c r="O58" s="37">
        <v>0</v>
      </c>
      <c r="P58" s="71">
        <f t="shared" si="28"/>
        <v>0</v>
      </c>
      <c r="Q58" s="49">
        <f t="shared" si="27"/>
        <v>-0.35897435897435892</v>
      </c>
      <c r="T58" s="52"/>
    </row>
    <row r="59" spans="1:20" x14ac:dyDescent="0.2">
      <c r="A59" s="35" t="s">
        <v>138</v>
      </c>
      <c r="B59" s="36" t="s">
        <v>139</v>
      </c>
      <c r="C59" s="40">
        <v>805090451</v>
      </c>
      <c r="D59" s="38">
        <f t="shared" si="23"/>
        <v>932858305.57370007</v>
      </c>
      <c r="E59" s="39">
        <v>0</v>
      </c>
      <c r="F59" s="40" t="s">
        <v>93</v>
      </c>
      <c r="G59" s="70">
        <v>0.59499999999999997</v>
      </c>
      <c r="H59" s="42">
        <v>1.1077999999999999</v>
      </c>
      <c r="I59" s="42">
        <v>1.1587000000000001</v>
      </c>
      <c r="J59" s="44">
        <f t="shared" si="24"/>
        <v>1.1587000000000001</v>
      </c>
      <c r="K59" s="39">
        <v>0</v>
      </c>
      <c r="L59" s="46">
        <f t="shared" si="25"/>
        <v>5.0900000000000167E-2</v>
      </c>
      <c r="M59" s="46">
        <f t="shared" si="26"/>
        <v>4.5946921827044749</v>
      </c>
      <c r="N59" s="47">
        <v>69398</v>
      </c>
      <c r="O59" s="37">
        <v>80411.02</v>
      </c>
      <c r="P59" s="71">
        <f t="shared" si="28"/>
        <v>0</v>
      </c>
      <c r="Q59" s="49">
        <f t="shared" si="27"/>
        <v>0.94739495798319351</v>
      </c>
      <c r="R59" s="52"/>
      <c r="T59" s="52"/>
    </row>
    <row r="60" spans="1:20" x14ac:dyDescent="0.2">
      <c r="A60" s="35" t="s">
        <v>140</v>
      </c>
      <c r="B60" s="36" t="s">
        <v>141</v>
      </c>
      <c r="C60" s="40">
        <v>260714518</v>
      </c>
      <c r="D60" s="38">
        <f t="shared" si="23"/>
        <v>93857226.479999989</v>
      </c>
      <c r="E60" s="39">
        <v>0</v>
      </c>
      <c r="F60" s="40" t="s">
        <v>34</v>
      </c>
      <c r="G60" s="70">
        <v>0.22600000000000001</v>
      </c>
      <c r="H60" s="42">
        <v>0.36</v>
      </c>
      <c r="I60" s="42">
        <v>0.36</v>
      </c>
      <c r="J60" s="44">
        <f t="shared" si="24"/>
        <v>0.36</v>
      </c>
      <c r="K60" s="39">
        <v>0</v>
      </c>
      <c r="L60" s="46">
        <f t="shared" si="25"/>
        <v>0</v>
      </c>
      <c r="M60" s="46">
        <f t="shared" si="26"/>
        <v>0</v>
      </c>
      <c r="N60" s="47">
        <v>51448</v>
      </c>
      <c r="O60" s="37">
        <v>18521.330000000002</v>
      </c>
      <c r="P60" s="71">
        <f t="shared" si="28"/>
        <v>0</v>
      </c>
      <c r="Q60" s="49">
        <f t="shared" si="27"/>
        <v>0.5929203539823007</v>
      </c>
      <c r="T60" s="52"/>
    </row>
    <row r="61" spans="1:20" x14ac:dyDescent="0.2">
      <c r="A61" s="35" t="s">
        <v>142</v>
      </c>
      <c r="B61" s="36" t="s">
        <v>143</v>
      </c>
      <c r="C61" s="40">
        <v>562184788</v>
      </c>
      <c r="D61" s="38">
        <f t="shared" si="23"/>
        <v>393585570.07879996</v>
      </c>
      <c r="E61" s="39">
        <v>0</v>
      </c>
      <c r="F61" s="40" t="s">
        <v>34</v>
      </c>
      <c r="G61" s="70">
        <v>0.49440000000000001</v>
      </c>
      <c r="H61" s="42">
        <v>0.70179999999999998</v>
      </c>
      <c r="I61" s="42">
        <v>0.70009999999999994</v>
      </c>
      <c r="J61" s="44">
        <f t="shared" si="24"/>
        <v>0.70009999999999994</v>
      </c>
      <c r="K61" s="39">
        <v>0</v>
      </c>
      <c r="L61" s="46">
        <f t="shared" si="25"/>
        <v>-1.7000000000000348E-3</v>
      </c>
      <c r="M61" s="46">
        <f t="shared" si="26"/>
        <v>-0.24223425477344468</v>
      </c>
      <c r="N61" s="47">
        <v>115374</v>
      </c>
      <c r="O61" s="37">
        <v>80770.84</v>
      </c>
      <c r="P61" s="71">
        <f t="shared" si="28"/>
        <v>0</v>
      </c>
      <c r="Q61" s="49">
        <f t="shared" si="27"/>
        <v>0.41605987055016169</v>
      </c>
      <c r="R61" s="52"/>
      <c r="T61" s="52"/>
    </row>
    <row r="62" spans="1:20" x14ac:dyDescent="0.2">
      <c r="A62" s="35" t="s">
        <v>144</v>
      </c>
      <c r="B62" s="36" t="s">
        <v>145</v>
      </c>
      <c r="C62" s="40">
        <v>364526035</v>
      </c>
      <c r="D62" s="38">
        <f t="shared" si="23"/>
        <v>81216400.598000005</v>
      </c>
      <c r="E62" s="39">
        <v>0</v>
      </c>
      <c r="F62" s="40" t="s">
        <v>34</v>
      </c>
      <c r="G62" s="70">
        <v>0.25950000000000001</v>
      </c>
      <c r="H62" s="42">
        <v>0.25950000000000001</v>
      </c>
      <c r="I62" s="42">
        <v>0.2228</v>
      </c>
      <c r="J62" s="44">
        <f t="shared" si="24"/>
        <v>0.2228</v>
      </c>
      <c r="K62" s="39">
        <v>0</v>
      </c>
      <c r="L62" s="46">
        <f t="shared" si="25"/>
        <v>-3.670000000000001E-2</v>
      </c>
      <c r="M62" s="46">
        <f t="shared" si="26"/>
        <v>-14.14258188824663</v>
      </c>
      <c r="N62" s="47">
        <v>44220</v>
      </c>
      <c r="O62" s="37">
        <v>9853.2000000000007</v>
      </c>
      <c r="P62" s="71">
        <f t="shared" si="28"/>
        <v>0</v>
      </c>
      <c r="Q62" s="49">
        <f t="shared" si="27"/>
        <v>-0.1414258188824663</v>
      </c>
      <c r="R62" s="52"/>
      <c r="T62" s="52"/>
    </row>
    <row r="63" spans="1:20" x14ac:dyDescent="0.2">
      <c r="A63" s="35" t="s">
        <v>146</v>
      </c>
      <c r="B63" s="36" t="s">
        <v>147</v>
      </c>
      <c r="C63" s="40">
        <v>30000000</v>
      </c>
      <c r="D63" s="38">
        <f t="shared" si="23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4"/>
        <v>10</v>
      </c>
      <c r="K63" s="39">
        <v>0</v>
      </c>
      <c r="L63" s="46">
        <f t="shared" si="25"/>
        <v>0</v>
      </c>
      <c r="M63" s="46">
        <f t="shared" si="26"/>
        <v>0</v>
      </c>
      <c r="N63" s="47">
        <v>1</v>
      </c>
      <c r="O63" s="37">
        <v>10</v>
      </c>
      <c r="P63" s="71">
        <f t="shared" si="28"/>
        <v>0</v>
      </c>
      <c r="Q63" s="49">
        <f t="shared" si="27"/>
        <v>0</v>
      </c>
      <c r="T63" s="52"/>
    </row>
    <row r="64" spans="1:20" x14ac:dyDescent="0.2">
      <c r="A64" s="35" t="s">
        <v>148</v>
      </c>
      <c r="B64" s="36" t="s">
        <v>149</v>
      </c>
      <c r="C64" s="40">
        <v>344580486</v>
      </c>
      <c r="D64" s="38">
        <f t="shared" si="23"/>
        <v>48792596.817600004</v>
      </c>
      <c r="E64" s="39">
        <v>0</v>
      </c>
      <c r="F64" s="40" t="s">
        <v>44</v>
      </c>
      <c r="G64" s="70">
        <v>4.2999999999999997E-2</v>
      </c>
      <c r="H64" s="42">
        <v>0.1416</v>
      </c>
      <c r="I64" s="42">
        <v>0.1416</v>
      </c>
      <c r="J64" s="44">
        <f t="shared" si="24"/>
        <v>0.1416</v>
      </c>
      <c r="K64" s="39">
        <v>0</v>
      </c>
      <c r="L64" s="46">
        <f t="shared" si="25"/>
        <v>0</v>
      </c>
      <c r="M64" s="46">
        <f t="shared" si="26"/>
        <v>0</v>
      </c>
      <c r="N64" s="47">
        <v>0</v>
      </c>
      <c r="O64" s="37">
        <v>0</v>
      </c>
      <c r="P64" s="71">
        <f t="shared" si="28"/>
        <v>0</v>
      </c>
      <c r="Q64" s="49">
        <f t="shared" si="27"/>
        <v>2.2930232558139538</v>
      </c>
      <c r="T64" s="52"/>
    </row>
    <row r="65" spans="1:20" ht="13.5" x14ac:dyDescent="0.3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1241089</v>
      </c>
      <c r="O65" s="62">
        <f>SUM(O50:O64)</f>
        <v>575016.6399999999</v>
      </c>
      <c r="P65" s="77"/>
      <c r="Q65" s="63"/>
    </row>
    <row r="66" spans="1:20" ht="12.75" hidden="1" x14ac:dyDescent="0.25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75" hidden="1" thickBot="1" x14ac:dyDescent="0.25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75" thickBot="1" x14ac:dyDescent="0.25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75" x14ac:dyDescent="0.25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">
      <c r="A70" s="35" t="s">
        <v>155</v>
      </c>
      <c r="B70" s="88" t="s">
        <v>156</v>
      </c>
      <c r="C70" s="89">
        <v>139300587</v>
      </c>
      <c r="D70" s="38">
        <f>C70*J70</f>
        <v>49214897.387100004</v>
      </c>
      <c r="E70" s="39">
        <f>C70*K70</f>
        <v>49214897.387100004</v>
      </c>
      <c r="F70" s="89" t="s">
        <v>157</v>
      </c>
      <c r="G70" s="89">
        <v>0.24</v>
      </c>
      <c r="H70" s="90">
        <v>0.34449999999999997</v>
      </c>
      <c r="I70" s="90">
        <v>0.3533</v>
      </c>
      <c r="J70" s="91">
        <f>I70</f>
        <v>0.3533</v>
      </c>
      <c r="K70" s="91">
        <f>J70</f>
        <v>0.3533</v>
      </c>
      <c r="L70" s="46">
        <f>I70-H70</f>
        <v>8.80000000000003E-3</v>
      </c>
      <c r="M70" s="46">
        <f>((I70-H70)/H70)*100</f>
        <v>2.5544267053701106</v>
      </c>
      <c r="N70" s="92">
        <v>385</v>
      </c>
      <c r="O70" s="93">
        <v>136.03</v>
      </c>
      <c r="P70" s="71">
        <f>(R70)/J70</f>
        <v>0</v>
      </c>
      <c r="Q70" s="49">
        <f>J70/G70-1</f>
        <v>0.47208333333333341</v>
      </c>
      <c r="T70" s="52"/>
    </row>
    <row r="71" spans="1:20" x14ac:dyDescent="0.2">
      <c r="A71" s="35" t="s">
        <v>158</v>
      </c>
      <c r="B71" s="88" t="s">
        <v>159</v>
      </c>
      <c r="C71" s="89">
        <v>471351750</v>
      </c>
      <c r="D71" s="38">
        <f>C71*J71</f>
        <v>70467086.625</v>
      </c>
      <c r="E71" s="39">
        <f>C71*K71</f>
        <v>70467086.625</v>
      </c>
      <c r="F71" s="89" t="s">
        <v>157</v>
      </c>
      <c r="G71" s="89">
        <v>0.1</v>
      </c>
      <c r="H71" s="90">
        <v>0.1515</v>
      </c>
      <c r="I71" s="90">
        <v>0.14949999999999999</v>
      </c>
      <c r="J71" s="91">
        <f>I71</f>
        <v>0.14949999999999999</v>
      </c>
      <c r="K71" s="91">
        <f>J71</f>
        <v>0.14949999999999999</v>
      </c>
      <c r="L71" s="46">
        <f>I71-H71</f>
        <v>-2.0000000000000018E-3</v>
      </c>
      <c r="M71" s="46">
        <f>((I71-H71)/H71)*100</f>
        <v>-1.3201320132013215</v>
      </c>
      <c r="N71" s="47">
        <v>486620</v>
      </c>
      <c r="O71" s="93">
        <v>72752.800000000003</v>
      </c>
      <c r="P71" s="94">
        <f>(R71)/J71</f>
        <v>2.5364548494983277E-2</v>
      </c>
      <c r="Q71" s="49">
        <f>J71/G71-1</f>
        <v>0.49499999999999988</v>
      </c>
      <c r="R71" s="5">
        <v>3.7919999999999998E-3</v>
      </c>
      <c r="T71" s="52"/>
    </row>
    <row r="72" spans="1:20" ht="14.25" thickBot="1" x14ac:dyDescent="0.35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487005</v>
      </c>
      <c r="O72" s="62">
        <f>SUM(O70:O71)</f>
        <v>72888.83</v>
      </c>
      <c r="P72" s="87"/>
      <c r="Q72" s="63"/>
    </row>
    <row r="73" spans="1:20" ht="12.75" x14ac:dyDescent="0.25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">
      <c r="A74" s="35" t="s">
        <v>161</v>
      </c>
      <c r="B74" s="88" t="s">
        <v>162</v>
      </c>
      <c r="C74" s="89">
        <v>20819695</v>
      </c>
      <c r="D74" s="38">
        <f>C74*J74</f>
        <v>2498363.4</v>
      </c>
      <c r="E74" s="39">
        <f>C74*K74</f>
        <v>2498363.4</v>
      </c>
      <c r="F74" s="89" t="s">
        <v>137</v>
      </c>
      <c r="G74" s="89">
        <v>0.1394</v>
      </c>
      <c r="H74" s="90">
        <v>0.1201</v>
      </c>
      <c r="I74" s="90">
        <v>0.12</v>
      </c>
      <c r="J74" s="91">
        <f>I74</f>
        <v>0.12</v>
      </c>
      <c r="K74" s="91">
        <f>J74</f>
        <v>0.12</v>
      </c>
      <c r="L74" s="46">
        <f>I74-H74</f>
        <v>-1.0000000000000286E-4</v>
      </c>
      <c r="M74" s="46">
        <f>((I74-H74)/H74)*100</f>
        <v>-8.3263946711076495E-2</v>
      </c>
      <c r="N74" s="92">
        <v>4651</v>
      </c>
      <c r="O74" s="93">
        <v>558.12</v>
      </c>
      <c r="P74" s="71">
        <f>(R74)/J74</f>
        <v>0</v>
      </c>
      <c r="Q74" s="49">
        <f>J74/G74-1</f>
        <v>-0.13916786226685796</v>
      </c>
    </row>
    <row r="75" spans="1:20" ht="13.5" x14ac:dyDescent="0.3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75" x14ac:dyDescent="0.25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">
      <c r="A77" s="35" t="s">
        <v>164</v>
      </c>
      <c r="B77" s="36" t="s">
        <v>165</v>
      </c>
      <c r="C77" s="40">
        <v>31703227</v>
      </c>
      <c r="D77" s="38">
        <f>C77*J77</f>
        <v>107122.78746194018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3.3789237752339905E-3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">
      <c r="A78" s="35" t="s">
        <v>166</v>
      </c>
      <c r="B78" s="36" t="s">
        <v>167</v>
      </c>
      <c r="C78" s="40">
        <v>136162052</v>
      </c>
      <c r="D78" s="38">
        <f>C78*J78</f>
        <v>434521.12841036654</v>
      </c>
      <c r="E78" s="39">
        <f>C78*K78</f>
        <v>367421.41015873017</v>
      </c>
      <c r="F78" s="40" t="s">
        <v>137</v>
      </c>
      <c r="G78" s="70">
        <v>4.2500000000000003E-2</v>
      </c>
      <c r="H78" s="42">
        <v>8.5000000000000006E-2</v>
      </c>
      <c r="I78" s="42">
        <v>8.5000000000000006E-2</v>
      </c>
      <c r="J78" s="44">
        <f>I78/$J$5</f>
        <v>3.1912057877209912E-3</v>
      </c>
      <c r="K78" s="45">
        <f>I78/$K$4</f>
        <v>2.6984126984126986E-3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1</v>
      </c>
    </row>
    <row r="79" spans="1:20" x14ac:dyDescent="0.2">
      <c r="A79" s="35" t="s">
        <v>168</v>
      </c>
      <c r="B79" s="36" t="s">
        <v>169</v>
      </c>
      <c r="C79" s="40">
        <v>6677853</v>
      </c>
      <c r="D79" s="38">
        <f>C79*J79</f>
        <v>25071.062521352924</v>
      </c>
      <c r="E79" s="39">
        <f>C79*K79</f>
        <v>21199.533333333333</v>
      </c>
      <c r="F79" s="40" t="s">
        <v>137</v>
      </c>
      <c r="G79" s="70">
        <v>6.0499999999999998E-2</v>
      </c>
      <c r="H79" s="42">
        <v>0.1</v>
      </c>
      <c r="I79" s="42">
        <v>0.1</v>
      </c>
      <c r="J79" s="44">
        <f>I79/$J$5</f>
        <v>3.7543597502599896E-3</v>
      </c>
      <c r="K79" s="45">
        <f>I79/$K$4</f>
        <v>3.1746031746031746E-3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0.65289256198347112</v>
      </c>
    </row>
    <row r="80" spans="1:20" x14ac:dyDescent="0.2">
      <c r="A80" s="35" t="s">
        <v>170</v>
      </c>
      <c r="B80" s="36" t="s">
        <v>171</v>
      </c>
      <c r="C80" s="37">
        <v>494417400</v>
      </c>
      <c r="D80" s="38">
        <f>C80*J80</f>
        <v>28771422.189016998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5.8192576129029838E-2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100</v>
      </c>
      <c r="O80" s="37">
        <v>155</v>
      </c>
      <c r="P80" s="40">
        <v>0</v>
      </c>
      <c r="Q80" s="49">
        <f>I80/G80-1</f>
        <v>-0.16216216216216217</v>
      </c>
    </row>
    <row r="81" spans="1:243" ht="14.25" thickBot="1" x14ac:dyDescent="0.35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100</v>
      </c>
      <c r="O81" s="62">
        <f>SUM(O77:O80)</f>
        <v>155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5" thickTop="1" x14ac:dyDescent="0.25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">
      <c r="A83" s="35" t="s">
        <v>173</v>
      </c>
      <c r="B83" s="36" t="s">
        <v>174</v>
      </c>
      <c r="C83" s="40">
        <v>368326244</v>
      </c>
      <c r="D83" s="38">
        <f>C83*J83</f>
        <v>27368499.696225289</v>
      </c>
      <c r="E83" s="39">
        <f>C83*K83</f>
        <v>23142195.154245965</v>
      </c>
      <c r="F83" s="40" t="s">
        <v>175</v>
      </c>
      <c r="G83" s="40">
        <v>1.3</v>
      </c>
      <c r="H83" s="42">
        <v>1.9791669999999999</v>
      </c>
      <c r="I83" s="42">
        <f>197.9167/100</f>
        <v>1.9791669999999999</v>
      </c>
      <c r="J83" s="44">
        <f>I83/$J$5</f>
        <v>7.4305049238428122E-2</v>
      </c>
      <c r="K83" s="45">
        <f>I83/$K$4</f>
        <v>6.2830698412698407E-2</v>
      </c>
      <c r="L83" s="46">
        <f>I83-H83</f>
        <v>0</v>
      </c>
      <c r="M83" s="46">
        <f>((I83-H83)/H83*100)</f>
        <v>0</v>
      </c>
      <c r="N83" s="51">
        <v>0</v>
      </c>
      <c r="O83" s="104">
        <f>N83*I83</f>
        <v>0</v>
      </c>
      <c r="P83" s="51">
        <f>(R83)/J83</f>
        <v>0</v>
      </c>
      <c r="Q83" s="49">
        <f>I83/G83-1</f>
        <v>0.52243615384615372</v>
      </c>
      <c r="R83" s="52"/>
    </row>
    <row r="84" spans="1:243" s="106" customFormat="1" ht="12.75" thickBot="1" x14ac:dyDescent="0.25">
      <c r="A84" s="35" t="s">
        <v>176</v>
      </c>
      <c r="B84" s="36" t="s">
        <v>177</v>
      </c>
      <c r="C84" s="40">
        <v>1841105000</v>
      </c>
      <c r="D84" s="38">
        <f>C84*J84</f>
        <v>89823655.751491413</v>
      </c>
      <c r="E84" s="39">
        <f>C84*K84</f>
        <v>75952887.222222224</v>
      </c>
      <c r="F84" s="40" t="s">
        <v>175</v>
      </c>
      <c r="G84" s="40">
        <v>1.44347</v>
      </c>
      <c r="H84" s="42">
        <v>1.3</v>
      </c>
      <c r="I84" s="42">
        <f>129.95/100</f>
        <v>1.2994999999999999</v>
      </c>
      <c r="J84" s="44">
        <f>I84/$J$5</f>
        <v>4.8787904954628557E-2</v>
      </c>
      <c r="K84" s="45">
        <f>I84/$K$4</f>
        <v>4.1253968253968251E-2</v>
      </c>
      <c r="L84" s="46">
        <f>I84-H84</f>
        <v>-5.0000000000016698E-4</v>
      </c>
      <c r="M84" s="46">
        <f>((I84-H84)/H84*100)</f>
        <v>-3.8461538461551301E-2</v>
      </c>
      <c r="N84" s="105">
        <v>4999</v>
      </c>
      <c r="O84" s="104">
        <f>N84*I84</f>
        <v>6496.200499999999</v>
      </c>
      <c r="P84" s="48">
        <f>(R84)/J84</f>
        <v>4.4601218314736443E-2</v>
      </c>
      <c r="Q84" s="49">
        <f>I84/G84-1</f>
        <v>-9.9738823806521881E-2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75" thickBot="1" x14ac:dyDescent="0.25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3"/>
    </row>
    <row r="86" spans="1:243" ht="12.75" thickBot="1" x14ac:dyDescent="0.25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2.75" thickBot="1" x14ac:dyDescent="0.25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K87" s="52"/>
      <c r="L87" s="141" t="s">
        <v>180</v>
      </c>
      <c r="M87" s="142"/>
      <c r="N87" s="143"/>
      <c r="O87" s="141" t="s">
        <v>181</v>
      </c>
      <c r="P87" s="142"/>
      <c r="Q87" s="143"/>
    </row>
    <row r="88" spans="1:243" x14ac:dyDescent="0.2">
      <c r="A88" s="35" t="s">
        <v>102</v>
      </c>
      <c r="B88" s="113">
        <v>0.12</v>
      </c>
      <c r="D88" s="113">
        <v>4.3441967235922103</v>
      </c>
      <c r="E88" s="35" t="s">
        <v>79</v>
      </c>
      <c r="F88" s="114">
        <v>0.75869500000000001</v>
      </c>
      <c r="H88" s="115">
        <v>-11.779651162790696</v>
      </c>
      <c r="L88" s="35" t="s">
        <v>138</v>
      </c>
      <c r="M88" s="51">
        <v>1.1587000000000001</v>
      </c>
      <c r="N88" s="116">
        <v>4.5946921827044749</v>
      </c>
      <c r="O88" s="59" t="s">
        <v>144</v>
      </c>
      <c r="P88" s="114">
        <v>0.2228</v>
      </c>
      <c r="Q88" s="117">
        <v>-14.14258188824663</v>
      </c>
      <c r="R88" s="5">
        <v>-14.14258188824663</v>
      </c>
    </row>
    <row r="89" spans="1:243" x14ac:dyDescent="0.2">
      <c r="A89" s="35" t="s">
        <v>50</v>
      </c>
      <c r="B89" s="113">
        <v>5.9998580000000006</v>
      </c>
      <c r="D89" s="113">
        <v>3.8166678836575416</v>
      </c>
      <c r="E89" s="35" t="s">
        <v>45</v>
      </c>
      <c r="F89" s="114">
        <v>38.491100000000003</v>
      </c>
      <c r="H89" s="115">
        <v>-3.7722499999999921</v>
      </c>
      <c r="L89" s="35"/>
      <c r="M89" s="51"/>
      <c r="N89" s="116"/>
      <c r="O89" s="59" t="s">
        <v>125</v>
      </c>
      <c r="P89" s="114">
        <v>2.7199999999999998E-2</v>
      </c>
      <c r="Q89" s="117">
        <v>-10.819672131147543</v>
      </c>
      <c r="R89" s="5">
        <v>-10.819672131147543</v>
      </c>
    </row>
    <row r="90" spans="1:243" x14ac:dyDescent="0.2">
      <c r="A90" s="35" t="s">
        <v>35</v>
      </c>
      <c r="B90" s="113">
        <v>7.0199999999999999E-2</v>
      </c>
      <c r="C90" s="113"/>
      <c r="D90" s="113">
        <v>2.9325513196480966</v>
      </c>
      <c r="E90" s="35" t="s">
        <v>96</v>
      </c>
      <c r="F90" s="114">
        <v>4.5605E-2</v>
      </c>
      <c r="H90" s="115">
        <v>-0.71408355648444888</v>
      </c>
      <c r="L90" s="35"/>
      <c r="M90" s="51"/>
      <c r="N90" s="116"/>
      <c r="O90" s="35" t="s">
        <v>123</v>
      </c>
      <c r="P90" s="114">
        <v>0.24</v>
      </c>
      <c r="Q90" s="117">
        <v>-3.3816425120773022</v>
      </c>
      <c r="R90" s="5">
        <v>-3.3816425120773022</v>
      </c>
    </row>
    <row r="91" spans="1:243" x14ac:dyDescent="0.2">
      <c r="A91" s="35" t="s">
        <v>100</v>
      </c>
      <c r="B91" s="113">
        <v>0.21</v>
      </c>
      <c r="C91" s="113"/>
      <c r="D91" s="113">
        <v>2.5035266094273796</v>
      </c>
      <c r="E91" s="35" t="s">
        <v>58</v>
      </c>
      <c r="F91" s="114">
        <v>9.99</v>
      </c>
      <c r="H91" s="115">
        <v>-9.9999999999997882E-2</v>
      </c>
      <c r="L91" s="35"/>
      <c r="M91" s="51"/>
      <c r="N91" s="116"/>
      <c r="O91" s="35" t="s">
        <v>119</v>
      </c>
      <c r="P91" s="114">
        <v>0.13769999999999999</v>
      </c>
      <c r="Q91" s="117">
        <v>-1.7831669044222558</v>
      </c>
      <c r="R91" s="5">
        <v>-1.7831669044222558</v>
      </c>
    </row>
    <row r="92" spans="1:243" x14ac:dyDescent="0.2">
      <c r="A92" s="35" t="s">
        <v>73</v>
      </c>
      <c r="B92" s="113">
        <v>1.8</v>
      </c>
      <c r="C92" s="113"/>
      <c r="D92" s="113">
        <v>1.5514809590973246</v>
      </c>
      <c r="E92" s="35" t="s">
        <v>40</v>
      </c>
      <c r="F92" s="114">
        <v>189.85</v>
      </c>
      <c r="G92" s="114"/>
      <c r="H92" s="115">
        <v>-2.6329647182733739E-2</v>
      </c>
      <c r="L92" s="35"/>
      <c r="M92" s="51"/>
      <c r="N92" s="116"/>
      <c r="O92" s="35" t="s">
        <v>133</v>
      </c>
      <c r="P92" s="114">
        <v>1.9099999999999999E-2</v>
      </c>
      <c r="Q92" s="117">
        <v>-1.0362694300518251</v>
      </c>
      <c r="R92" s="5">
        <v>-1.0362694300518251</v>
      </c>
    </row>
    <row r="93" spans="1:243" ht="12.75" thickBot="1" x14ac:dyDescent="0.25">
      <c r="A93" s="118"/>
      <c r="B93" s="119"/>
      <c r="C93" s="119"/>
      <c r="D93" s="119"/>
      <c r="E93" s="118"/>
      <c r="F93" s="119"/>
      <c r="G93" s="119"/>
      <c r="H93" s="120"/>
      <c r="L93" s="118"/>
      <c r="M93" s="119"/>
      <c r="N93" s="120"/>
      <c r="O93" s="119"/>
      <c r="P93" s="119"/>
      <c r="Q93" s="120"/>
    </row>
    <row r="94" spans="1:243" x14ac:dyDescent="0.2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75" thickBot="1" x14ac:dyDescent="0.25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">
      <c r="I98" s="32"/>
      <c r="J98" s="32"/>
      <c r="K98" s="32"/>
      <c r="L98" s="32"/>
      <c r="M98" s="32"/>
      <c r="N98" s="32"/>
      <c r="O98" s="32"/>
      <c r="P98" s="32"/>
    </row>
    <row r="99" spans="1:17" x14ac:dyDescent="0.2">
      <c r="I99" s="32"/>
      <c r="J99" s="32"/>
      <c r="K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129"/>
      <c r="J101" s="129"/>
      <c r="K101" s="129"/>
      <c r="O101" s="129"/>
      <c r="P101" s="129"/>
    </row>
    <row r="103" spans="1:17" x14ac:dyDescent="0.2">
      <c r="I103" s="32"/>
      <c r="J103" s="32"/>
      <c r="K103" s="32"/>
      <c r="O103" s="32"/>
      <c r="P103" s="32"/>
    </row>
    <row r="104" spans="1:17" x14ac:dyDescent="0.2">
      <c r="I104" s="129"/>
      <c r="J104" s="129"/>
      <c r="K104" s="129"/>
      <c r="O104" s="129"/>
      <c r="P104" s="129"/>
    </row>
    <row r="105" spans="1:17" x14ac:dyDescent="0.2">
      <c r="I105" s="32"/>
      <c r="J105" s="32"/>
      <c r="K105" s="32"/>
      <c r="O105" s="32"/>
      <c r="P105" s="32"/>
    </row>
    <row r="106" spans="1:17" x14ac:dyDescent="0.2">
      <c r="I106" s="129"/>
      <c r="J106" s="129"/>
      <c r="K106" s="129"/>
      <c r="O106" s="129"/>
      <c r="P106" s="129"/>
    </row>
  </sheetData>
  <sheetProtection algorithmName="SHA-512" hashValue="Xp1gTk/P82R/YhkM7/Nh5CovD7/V11fLpohI3AsO6BBOWJ/mX5ITXy4hIAN5hubwbjMJifsZQpEbzeWErRHGSg==" saltValue="bHYyyj59o3yml8DehWE/QQ==" spinCount="100000" sheet="1" objects="1" scenarios="1"/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2026-07-15T13:11:32Z</dcterms:created>
  <dcterms:modified xsi:type="dcterms:W3CDTF">2026-07-15T13:23:26Z</dcterms:modified>
</cp:coreProperties>
</file>