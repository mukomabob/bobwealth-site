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22.09.26/"/>
    </mc:Choice>
  </mc:AlternateContent>
  <xr:revisionPtr revIDLastSave="0" documentId="8_{DF526B47-1561-4380-82F2-7F5F7647C7DE}" xr6:coauthVersionLast="47" xr6:coauthVersionMax="47" xr10:uidLastSave="{00000000-0000-0000-0000-000000000000}"/>
  <bookViews>
    <workbookView xWindow="-108" yWindow="-108" windowWidth="23256" windowHeight="12456" xr2:uid="{A74992DA-E2D2-4D3F-A32B-DE8F322E440B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E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M75" i="1"/>
  <c r="L75" i="1"/>
  <c r="J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M53" i="1"/>
  <c r="L53" i="1"/>
  <c r="J53" i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E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E38" i="1"/>
  <c r="Q37" i="1"/>
  <c r="M37" i="1"/>
  <c r="L37" i="1"/>
  <c r="K37" i="1"/>
  <c r="J37" i="1"/>
  <c r="E37" i="1"/>
  <c r="D37" i="1"/>
  <c r="Q36" i="1"/>
  <c r="M36" i="1"/>
  <c r="L36" i="1"/>
  <c r="K36" i="1"/>
  <c r="J36" i="1"/>
  <c r="E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P33" i="1" s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E26" i="1" s="1"/>
  <c r="J26" i="1"/>
  <c r="P26" i="1" s="1"/>
  <c r="D26" i="1"/>
  <c r="Q25" i="1"/>
  <c r="M25" i="1"/>
  <c r="L25" i="1"/>
  <c r="K25" i="1"/>
  <c r="E25" i="1" s="1"/>
  <c r="J25" i="1"/>
  <c r="P25" i="1" s="1"/>
  <c r="D25" i="1"/>
  <c r="R24" i="1"/>
  <c r="P24" i="1" s="1"/>
  <c r="Q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E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P84" i="1" l="1"/>
  <c r="D84" i="1"/>
  <c r="Q75" i="1"/>
  <c r="K75" i="1"/>
  <c r="E75" i="1" s="1"/>
  <c r="P75" i="1"/>
  <c r="D75" i="1"/>
  <c r="Q72" i="1"/>
  <c r="P72" i="1"/>
  <c r="K72" i="1"/>
  <c r="E72" i="1" s="1"/>
  <c r="Q71" i="1"/>
  <c r="P71" i="1"/>
  <c r="K71" i="1"/>
  <c r="E71" i="1" s="1"/>
  <c r="Q65" i="1"/>
  <c r="P65" i="1"/>
  <c r="P64" i="1"/>
  <c r="Q64" i="1"/>
  <c r="P63" i="1"/>
  <c r="Q63" i="1"/>
  <c r="P62" i="1"/>
  <c r="Q62" i="1"/>
  <c r="P61" i="1"/>
  <c r="Q61" i="1"/>
  <c r="Q60" i="1"/>
  <c r="P60" i="1"/>
  <c r="P59" i="1"/>
  <c r="D59" i="1"/>
  <c r="Q59" i="1"/>
  <c r="Q58" i="1"/>
  <c r="P58" i="1"/>
  <c r="Q57" i="1"/>
  <c r="P57" i="1"/>
  <c r="Q56" i="1"/>
  <c r="P56" i="1"/>
  <c r="P55" i="1"/>
  <c r="Q55" i="1"/>
  <c r="P54" i="1"/>
  <c r="Q54" i="1"/>
  <c r="P53" i="1"/>
  <c r="Q53" i="1"/>
  <c r="Q51" i="1"/>
  <c r="P51" i="1"/>
  <c r="P50" i="1"/>
  <c r="Q50" i="1"/>
  <c r="P40" i="1"/>
  <c r="D40" i="1"/>
  <c r="P38" i="1"/>
  <c r="D38" i="1"/>
  <c r="P36" i="1"/>
  <c r="D36" i="1"/>
  <c r="P21" i="1"/>
  <c r="D21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<sst xmlns="http://schemas.openxmlformats.org/spreadsheetml/2006/main" count="271" uniqueCount="185">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</sst>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E682BFB2-44D4-4AA4-A1B4-3FA29608C1E2}"/>
    <cellStyle name="Comma 5 2 2 2 2 2 2 2 2 2 2 2 2 2" xfId="4" xr:uid="{0007CF6A-3FAA-4E26-AE68-A26951359A55}"/>
    <cellStyle name="Comma 6 2 2 2 2 2 2 2 2" xfId="5" xr:uid="{C6A1CA7F-43E6-4341-A135-AF53D706626B}"/>
    <cellStyle name="Hyperlink 2" xfId="8" xr:uid="{3B2D7BF4-3FED-4300-8E37-96C15FE8E303}"/>
    <cellStyle name="Normal" xfId="0" builtinId="0"/>
    <cellStyle name="Normal 2" xfId="2" xr:uid="{BF710FCA-CC3F-47D7-BDEF-A743E87D1B8B}"/>
    <cellStyle name="Normal 20" xfId="7" xr:uid="{9B2C1313-7A57-400E-8886-E67442B6D08C}"/>
    <cellStyle name="Percent" xfId="1" builtinId="5"/>
    <cellStyle name="Percent 3" xfId="6" xr:uid="{3631A3F8-3465-4BAB-BF26-68FE80157EF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F4F5BF5-96B7-4F6D-A408-E54F3A34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472207C-2B15-4268-9CD8-B09666EF4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408F-5902-4408-ADA0-4E5467061E0F}">
  <dimension ref="A1:II107"/>
  <sheetViews>
    <sheetView tabSelected="1" topLeftCell="A33" zoomScale="70" zoomScaleNormal="70" workbookViewId="0">
      <selection activeCell="O59" sqref="O5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26.693899999999999</v>
      </c>
      <c r="K5" s="22"/>
      <c r="L5" s="146" t="s">
        <v>12</v>
      </c>
      <c r="M5" s="147"/>
      <c r="N5" s="23" t="s">
        <v>13</v>
      </c>
      <c r="O5" s="24"/>
      <c r="P5" s="24"/>
      <c r="Q5" s="25"/>
    </row>
    <row r="6" spans="1:19" ht="6.6" customHeight="1" x14ac:dyDescent="0.3">
      <c r="A6" s="136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81445351.662739426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0.64621505287724912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2.3212086956521737E-2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3443429.322683834</v>
      </c>
      <c r="E10" s="39">
        <f t="shared" si="1"/>
        <v>2872454.9373996877</v>
      </c>
      <c r="F10" s="40" t="s">
        <v>34</v>
      </c>
      <c r="G10" s="41">
        <v>3.1600000000000003E-2</v>
      </c>
      <c r="H10" s="42">
        <v>6.0176E-2</v>
      </c>
      <c r="I10" s="43">
        <v>5.6482000000000004E-2</v>
      </c>
      <c r="J10" s="44">
        <f t="shared" ref="J10:J17" si="7">I10/$J$5</f>
        <v>2.1159141227021904E-3</v>
      </c>
      <c r="K10" s="45">
        <f t="shared" si="2"/>
        <v>1.7650625000000001E-3</v>
      </c>
      <c r="L10" s="46">
        <f t="shared" si="3"/>
        <v>-3.6939999999999959E-3</v>
      </c>
      <c r="M10" s="46">
        <f t="shared" si="4"/>
        <v>-6.1386599308694425</v>
      </c>
      <c r="N10" s="51">
        <v>112900</v>
      </c>
      <c r="O10" s="37">
        <v>6376.8</v>
      </c>
      <c r="P10" s="52">
        <f t="shared" si="5"/>
        <v>0</v>
      </c>
      <c r="Q10" s="49">
        <f t="shared" si="6"/>
        <v>0.78740506329113913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3765084.6286979425</v>
      </c>
      <c r="E11" s="39">
        <f t="shared" si="1"/>
        <v>3140774.7678125002</v>
      </c>
      <c r="F11" s="40" t="s">
        <v>39</v>
      </c>
      <c r="G11" s="41">
        <v>7.8E-2</v>
      </c>
      <c r="H11" s="42">
        <v>0.20050000000000001</v>
      </c>
      <c r="I11" s="43">
        <v>0.23</v>
      </c>
      <c r="J11" s="44">
        <f t="shared" si="7"/>
        <v>8.6162007050299885E-3</v>
      </c>
      <c r="K11" s="45">
        <f t="shared" si="2"/>
        <v>7.1875000000000003E-3</v>
      </c>
      <c r="L11" s="46">
        <f t="shared" si="3"/>
        <v>2.9499999999999998E-2</v>
      </c>
      <c r="M11" s="46">
        <f t="shared" si="4"/>
        <v>14.713216957605985</v>
      </c>
      <c r="N11" s="51">
        <v>1000</v>
      </c>
      <c r="O11" s="37">
        <v>230</v>
      </c>
      <c r="P11" s="52">
        <f t="shared" si="5"/>
        <v>0</v>
      </c>
      <c r="Q11" s="49">
        <f t="shared" si="6"/>
        <v>1.9487179487179489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113239737.93638247</v>
      </c>
      <c r="E12" s="39">
        <f t="shared" si="1"/>
        <v>94462820.015625</v>
      </c>
      <c r="F12" s="40" t="s">
        <v>34</v>
      </c>
      <c r="G12" s="41">
        <v>97.381</v>
      </c>
      <c r="H12" s="42">
        <v>145.07380000000001</v>
      </c>
      <c r="I12" s="43">
        <v>146.5</v>
      </c>
      <c r="J12" s="44">
        <f t="shared" si="7"/>
        <v>5.4881452316821449</v>
      </c>
      <c r="K12" s="45">
        <f t="shared" si="2"/>
        <v>4.578125</v>
      </c>
      <c r="L12" s="46">
        <f t="shared" si="3"/>
        <v>1.4261999999999944</v>
      </c>
      <c r="M12" s="46">
        <f t="shared" si="4"/>
        <v>0.9830858500983598</v>
      </c>
      <c r="N12" s="51">
        <v>1400</v>
      </c>
      <c r="O12" s="37">
        <v>205100</v>
      </c>
      <c r="P12" s="52">
        <f t="shared" si="5"/>
        <v>0</v>
      </c>
      <c r="Q12" s="49">
        <f t="shared" si="6"/>
        <v>0.5044002423470697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8180809.0987079451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0.93654355489456398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743999458.50960338</v>
      </c>
      <c r="E14" s="39">
        <f t="shared" si="1"/>
        <v>620632723.29717183</v>
      </c>
      <c r="F14" s="40" t="s">
        <v>47</v>
      </c>
      <c r="G14" s="41">
        <v>11.5</v>
      </c>
      <c r="H14" s="42">
        <v>38.891500000000001</v>
      </c>
      <c r="I14" s="43">
        <v>37.9983</v>
      </c>
      <c r="J14" s="44">
        <f t="shared" si="7"/>
        <v>1.4234825184780044</v>
      </c>
      <c r="K14" s="45">
        <f t="shared" si="2"/>
        <v>1.187446875</v>
      </c>
      <c r="L14" s="46">
        <f t="shared" si="3"/>
        <v>-0.89320000000000022</v>
      </c>
      <c r="M14" s="46">
        <f t="shared" si="4"/>
        <v>-2.296645796639369</v>
      </c>
      <c r="N14" s="51">
        <v>600</v>
      </c>
      <c r="O14" s="37">
        <v>22799</v>
      </c>
      <c r="P14" s="52">
        <f t="shared" si="5"/>
        <v>0</v>
      </c>
      <c r="Q14" s="49">
        <f t="shared" si="6"/>
        <v>2.3042000000000002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31501734.057219066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0.29707161561255568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13643807</v>
      </c>
      <c r="O15" s="37">
        <v>103010742.84999999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73762347.165457278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0.20603958207680406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100</v>
      </c>
      <c r="O16" s="37">
        <v>550</v>
      </c>
      <c r="P16" s="52">
        <f t="shared" si="5"/>
        <v>0.24267181818181821</v>
      </c>
      <c r="Q16" s="49">
        <f t="shared" si="6"/>
        <v>1.8947368421052633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1438654282.6574423</v>
      </c>
      <c r="E17" s="39">
        <f t="shared" si="1"/>
        <v>1200102923.6196718</v>
      </c>
      <c r="F17" s="40" t="s">
        <v>34</v>
      </c>
      <c r="G17" s="41">
        <v>20.701700000000002</v>
      </c>
      <c r="H17" s="42">
        <v>28.194800000000001</v>
      </c>
      <c r="I17" s="43">
        <v>28.4941</v>
      </c>
      <c r="J17" s="44">
        <f t="shared" si="7"/>
        <v>1.0674386283008477</v>
      </c>
      <c r="K17" s="45">
        <f t="shared" si="2"/>
        <v>0.89044062499999999</v>
      </c>
      <c r="L17" s="46">
        <f t="shared" si="3"/>
        <v>0.29929999999999879</v>
      </c>
      <c r="M17" s="46">
        <f t="shared" si="4"/>
        <v>1.0615432632967738</v>
      </c>
      <c r="N17" s="51">
        <v>277200</v>
      </c>
      <c r="O17" s="37">
        <v>7898551.3499999996</v>
      </c>
      <c r="P17" s="48">
        <f t="shared" si="5"/>
        <v>0</v>
      </c>
      <c r="Q17" s="49">
        <f t="shared" si="6"/>
        <v>0.37641353125588695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329338256.30271709</v>
      </c>
      <c r="E19" s="39">
        <f t="shared" si="1"/>
        <v>274728827.49747187</v>
      </c>
      <c r="F19" s="40" t="s">
        <v>47</v>
      </c>
      <c r="G19" s="41">
        <v>12.45</v>
      </c>
      <c r="H19" s="42">
        <v>13.083299999999999</v>
      </c>
      <c r="I19" s="43">
        <v>13.083299999999999</v>
      </c>
      <c r="J19" s="44">
        <f t="shared" ref="J19:J45" si="8">I19/$J$5</f>
        <v>0.49012321167008194</v>
      </c>
      <c r="K19" s="45">
        <f t="shared" ref="K19:K45" si="9">I19/$K$4</f>
        <v>0.40885312499999998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5.0867469879518179E-2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3794824.3092991281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3.4839420242077777E-2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85835151.821202591</v>
      </c>
      <c r="E21" s="39">
        <f t="shared" si="1"/>
        <v>71602342.474999994</v>
      </c>
      <c r="F21" s="40" t="s">
        <v>47</v>
      </c>
      <c r="G21" s="41">
        <v>2.85</v>
      </c>
      <c r="H21" s="42">
        <v>3.326667</v>
      </c>
      <c r="I21" s="43">
        <v>3.32</v>
      </c>
      <c r="J21" s="44">
        <f t="shared" si="8"/>
        <v>0.12437298408999808</v>
      </c>
      <c r="K21" s="45">
        <f t="shared" si="9"/>
        <v>0.10375</v>
      </c>
      <c r="L21" s="46">
        <f t="shared" si="10"/>
        <v>-6.6670000000002005E-3</v>
      </c>
      <c r="M21" s="46">
        <f>((I21-H21)/H21)*100</f>
        <v>-0.20041080156204999</v>
      </c>
      <c r="N21" s="51">
        <v>80600</v>
      </c>
      <c r="O21" s="37">
        <v>267592</v>
      </c>
      <c r="P21" s="52">
        <f>(R21)/J21</f>
        <v>0</v>
      </c>
      <c r="Q21" s="49">
        <f t="shared" si="11"/>
        <v>0.16491228070175423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1741859.1494243632</v>
      </c>
      <c r="E23" s="39">
        <f t="shared" si="1"/>
        <v>1453031.6859005939</v>
      </c>
      <c r="F23" s="40" t="s">
        <v>44</v>
      </c>
      <c r="G23" s="41">
        <v>0.1</v>
      </c>
      <c r="H23" s="42">
        <v>9.0175000000000005E-2</v>
      </c>
      <c r="I23" s="43">
        <v>8.6653000000000008E-2</v>
      </c>
      <c r="J23" s="44">
        <f t="shared" si="8"/>
        <v>3.2461723464911464E-3</v>
      </c>
      <c r="K23" s="45">
        <f t="shared" si="9"/>
        <v>2.7079062500000002E-3</v>
      </c>
      <c r="L23" s="46">
        <f t="shared" si="10"/>
        <v>-3.5219999999999974E-3</v>
      </c>
      <c r="M23" s="46">
        <f t="shared" ref="M23:M29" si="12">((I23-H23)/H23)*100</f>
        <v>-3.9057388411422203</v>
      </c>
      <c r="N23" s="51">
        <v>273600</v>
      </c>
      <c r="O23" s="37">
        <v>23708.26</v>
      </c>
      <c r="P23" s="52">
        <f t="shared" ref="P23:P29" si="13">(R23)/J23</f>
        <v>0</v>
      </c>
      <c r="Q23" s="49">
        <f t="shared" si="11"/>
        <v>-0.13346999999999998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66524156.784883432</v>
      </c>
      <c r="E24" s="39">
        <f t="shared" si="1"/>
        <v>55493412.149999999</v>
      </c>
      <c r="F24" s="40" t="s">
        <v>34</v>
      </c>
      <c r="G24" s="41">
        <v>8.1687659999999997</v>
      </c>
      <c r="H24" s="42">
        <v>9.1999999999999993</v>
      </c>
      <c r="I24" s="43">
        <v>9.1999999999999993</v>
      </c>
      <c r="J24" s="44">
        <f t="shared" si="8"/>
        <v>0.3446480282011995</v>
      </c>
      <c r="K24" s="45">
        <f t="shared" si="9"/>
        <v>0.28749999999999998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4.3522663043478266E-2</v>
      </c>
      <c r="Q24" s="49">
        <f t="shared" si="11"/>
        <v>0.12624109932883365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97508696.214542463</v>
      </c>
      <c r="E25" s="39">
        <f t="shared" si="1"/>
        <v>81340230.808792979</v>
      </c>
      <c r="F25" s="40" t="s">
        <v>66</v>
      </c>
      <c r="G25" s="41">
        <v>1.6675</v>
      </c>
      <c r="H25" s="42">
        <v>1.55</v>
      </c>
      <c r="I25" s="43">
        <v>1.5423750000000001</v>
      </c>
      <c r="J25" s="44">
        <f t="shared" si="8"/>
        <v>5.7780054619220124E-2</v>
      </c>
      <c r="K25" s="45">
        <f t="shared" si="9"/>
        <v>4.8199218750000002E-2</v>
      </c>
      <c r="L25" s="46">
        <f t="shared" si="10"/>
        <v>-7.6249999999999929E-3</v>
      </c>
      <c r="M25" s="46">
        <f t="shared" si="12"/>
        <v>-0.49193548387096731</v>
      </c>
      <c r="N25" s="51">
        <v>400</v>
      </c>
      <c r="O25" s="37">
        <v>616.95000000000005</v>
      </c>
      <c r="P25" s="52">
        <f t="shared" si="13"/>
        <v>0</v>
      </c>
      <c r="Q25" s="49">
        <f t="shared" si="11"/>
        <v>-7.5037481259370264E-2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27110638.773099437</v>
      </c>
      <c r="E26" s="39">
        <f t="shared" si="1"/>
        <v>22615271.26078872</v>
      </c>
      <c r="F26" s="40" t="s">
        <v>44</v>
      </c>
      <c r="G26" s="41">
        <v>1.7994999999999999</v>
      </c>
      <c r="H26" s="42">
        <v>3.0230770000000002</v>
      </c>
      <c r="I26" s="43">
        <v>3.0230770000000002</v>
      </c>
      <c r="J26" s="44">
        <f t="shared" si="8"/>
        <v>0.11324973121199976</v>
      </c>
      <c r="K26" s="45">
        <f t="shared" si="9"/>
        <v>9.4471156250000007E-2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0.67995387607668811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23989632.556501675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2.5001959999999999</v>
      </c>
      <c r="I27" s="43">
        <v>2.5</v>
      </c>
      <c r="J27" s="44">
        <f t="shared" si="8"/>
        <v>9.3654355489456401E-2</v>
      </c>
      <c r="K27" s="45">
        <f t="shared" si="9"/>
        <v>7.8125E-2</v>
      </c>
      <c r="L27" s="46">
        <f t="shared" si="10"/>
        <v>-1.9599999999986295E-4</v>
      </c>
      <c r="M27" s="46">
        <f t="shared" si="12"/>
        <v>-7.8393853921797721E-3</v>
      </c>
      <c r="N27" s="51">
        <v>35200</v>
      </c>
      <c r="O27" s="37">
        <v>88000</v>
      </c>
      <c r="P27" s="52">
        <f t="shared" si="13"/>
        <v>0</v>
      </c>
      <c r="Q27" s="49">
        <f t="shared" si="11"/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22658912.493301652</v>
      </c>
      <c r="E28" s="39">
        <f t="shared" si="1"/>
        <v>18901710.75640453</v>
      </c>
      <c r="F28" s="40" t="s">
        <v>44</v>
      </c>
      <c r="G28" s="41">
        <v>0.8</v>
      </c>
      <c r="H28" s="42">
        <v>0.80044499999999996</v>
      </c>
      <c r="I28" s="43">
        <v>0.80044499999999996</v>
      </c>
      <c r="J28" s="44">
        <f t="shared" si="8"/>
        <v>2.9986064231903167E-2</v>
      </c>
      <c r="K28" s="45">
        <f t="shared" si="9"/>
        <v>2.5013906249999999E-2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5.5624999999981384E-4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111710331.62411383</v>
      </c>
      <c r="E29" s="39">
        <f t="shared" si="1"/>
        <v>93187013.166904122</v>
      </c>
      <c r="F29" s="40" t="s">
        <v>47</v>
      </c>
      <c r="G29" s="41">
        <v>5.15</v>
      </c>
      <c r="H29" s="42">
        <v>6.6394739999999999</v>
      </c>
      <c r="I29" s="43">
        <v>6.6394739999999999</v>
      </c>
      <c r="J29" s="44">
        <f t="shared" si="8"/>
        <v>0.2487262633036012</v>
      </c>
      <c r="K29" s="45">
        <f t="shared" si="9"/>
        <v>0.2074835625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0.28921825242718446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14115812.657573452</v>
      </c>
      <c r="E31" s="39">
        <f t="shared" si="1"/>
        <v>11775190.359375</v>
      </c>
      <c r="F31" s="40" t="s">
        <v>39</v>
      </c>
      <c r="G31" s="41">
        <v>1.4</v>
      </c>
      <c r="H31" s="42">
        <v>1.45</v>
      </c>
      <c r="I31" s="43">
        <v>1.45</v>
      </c>
      <c r="J31" s="44">
        <f t="shared" si="8"/>
        <v>5.4319526183884706E-2</v>
      </c>
      <c r="K31" s="45">
        <f t="shared" si="9"/>
        <v>4.5312499999999999E-2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3.5714285714285809E-2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4114292.8908851831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3.37155679762043E-2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132796309.97461967</v>
      </c>
      <c r="E33" s="39">
        <f t="shared" si="1"/>
        <v>110776606.83848438</v>
      </c>
      <c r="F33" s="40" t="s">
        <v>92</v>
      </c>
      <c r="G33" s="41">
        <v>1.44</v>
      </c>
      <c r="H33" s="42">
        <v>1.3019800000000001</v>
      </c>
      <c r="I33" s="43">
        <v>1.4205000000000001</v>
      </c>
      <c r="J33" s="44">
        <f t="shared" si="8"/>
        <v>5.3214404789109125E-2</v>
      </c>
      <c r="K33" s="45">
        <f t="shared" si="9"/>
        <v>4.4390625000000003E-2</v>
      </c>
      <c r="L33" s="46">
        <f t="shared" si="14"/>
        <v>0.11851999999999996</v>
      </c>
      <c r="M33" s="46">
        <f t="shared" si="15"/>
        <v>9.1030584187161043</v>
      </c>
      <c r="N33" s="51">
        <v>500</v>
      </c>
      <c r="O33" s="37">
        <v>710.25</v>
      </c>
      <c r="P33" s="52">
        <f t="shared" si="16"/>
        <v>0</v>
      </c>
      <c r="Q33" s="49">
        <f t="shared" si="17"/>
        <v>-1.3541666666666563E-2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38992426.460982099</v>
      </c>
      <c r="E34" s="39">
        <f t="shared" si="1"/>
        <v>32526872.897087812</v>
      </c>
      <c r="F34" s="40" t="s">
        <v>34</v>
      </c>
      <c r="G34" s="41">
        <v>3.6056249999999999</v>
      </c>
      <c r="H34" s="42">
        <v>4.2694999999999999</v>
      </c>
      <c r="I34" s="43">
        <v>4.1060699999999999</v>
      </c>
      <c r="J34" s="44">
        <f t="shared" si="8"/>
        <v>0.15382053577783689</v>
      </c>
      <c r="K34" s="45">
        <f t="shared" si="9"/>
        <v>0.1283146875</v>
      </c>
      <c r="L34" s="46">
        <f t="shared" si="14"/>
        <v>-0.16342999999999996</v>
      </c>
      <c r="M34" s="46">
        <f t="shared" si="15"/>
        <v>-3.82784869422649</v>
      </c>
      <c r="N34" s="51">
        <v>22200</v>
      </c>
      <c r="O34" s="37">
        <v>91154.75</v>
      </c>
      <c r="P34" s="52">
        <f t="shared" si="16"/>
        <v>0</v>
      </c>
      <c r="Q34" s="49">
        <f t="shared" si="17"/>
        <v>0.13879563182527299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11496659.384835938</v>
      </c>
      <c r="E35" s="39">
        <f t="shared" si="1"/>
        <v>9590333.6235272512</v>
      </c>
      <c r="F35" s="40" t="s">
        <v>34</v>
      </c>
      <c r="G35" s="41">
        <v>2.5099999999999997E-2</v>
      </c>
      <c r="H35" s="42">
        <v>6.2632999999999994E-2</v>
      </c>
      <c r="I35" s="43">
        <v>6.5087000000000006E-2</v>
      </c>
      <c r="J35" s="44">
        <f t="shared" si="8"/>
        <v>2.4382724142968997E-3</v>
      </c>
      <c r="K35" s="45">
        <f t="shared" si="9"/>
        <v>2.0339687500000002E-3</v>
      </c>
      <c r="L35" s="46">
        <f t="shared" si="14"/>
        <v>2.4540000000000117E-3</v>
      </c>
      <c r="M35" s="46">
        <f t="shared" si="15"/>
        <v>3.9180623632909359</v>
      </c>
      <c r="N35" s="51">
        <v>508400</v>
      </c>
      <c r="O35" s="37">
        <v>33090</v>
      </c>
      <c r="P35" s="52">
        <f t="shared" si="16"/>
        <v>0</v>
      </c>
      <c r="Q35" s="49">
        <f t="shared" si="17"/>
        <v>1.5931075697211159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67454538.497290805</v>
      </c>
      <c r="E36" s="39">
        <f t="shared" si="1"/>
        <v>56269522.03727597</v>
      </c>
      <c r="F36" s="40" t="s">
        <v>92</v>
      </c>
      <c r="G36" s="41">
        <v>0.61</v>
      </c>
      <c r="H36" s="42">
        <v>3.4001380000000001</v>
      </c>
      <c r="I36" s="43">
        <v>3.4291670000000001</v>
      </c>
      <c r="J36" s="44">
        <f t="shared" si="8"/>
        <v>0.12846257010028508</v>
      </c>
      <c r="K36" s="45">
        <f t="shared" si="9"/>
        <v>0.10716146875</v>
      </c>
      <c r="L36" s="46">
        <f t="shared" si="14"/>
        <v>2.9028999999999971E-2</v>
      </c>
      <c r="M36" s="46">
        <f t="shared" si="15"/>
        <v>0.85375946505700573</v>
      </c>
      <c r="N36" s="51">
        <v>300</v>
      </c>
      <c r="O36" s="37">
        <v>1028.75</v>
      </c>
      <c r="P36" s="52">
        <f t="shared" si="16"/>
        <v>0</v>
      </c>
      <c r="Q36" s="49">
        <f t="shared" si="17"/>
        <v>4.62158524590164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88655706.480137527</v>
      </c>
      <c r="E37" s="39">
        <f t="shared" si="1"/>
        <v>73955205.100316972</v>
      </c>
      <c r="F37" s="40" t="s">
        <v>56</v>
      </c>
      <c r="G37" s="41">
        <v>0.11650199999999999</v>
      </c>
      <c r="H37" s="42">
        <v>0.55002799999999996</v>
      </c>
      <c r="I37" s="43">
        <v>0.56416699999999997</v>
      </c>
      <c r="J37" s="44">
        <f t="shared" si="8"/>
        <v>2.1134678709368058E-2</v>
      </c>
      <c r="K37" s="45">
        <f t="shared" si="9"/>
        <v>1.7630218749999999E-2</v>
      </c>
      <c r="L37" s="46">
        <f t="shared" si="14"/>
        <v>1.4139000000000013E-2</v>
      </c>
      <c r="M37" s="46">
        <f t="shared" si="15"/>
        <v>2.5705964060011515</v>
      </c>
      <c r="N37" s="51">
        <v>300</v>
      </c>
      <c r="O37" s="37">
        <v>169.25</v>
      </c>
      <c r="P37" s="52">
        <v>0</v>
      </c>
      <c r="Q37" s="49">
        <f t="shared" si="17"/>
        <v>3.8425520591921165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22715286.005772855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5.2633747785074498E-3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104300</v>
      </c>
      <c r="O38" s="37">
        <v>14654.15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7977420.8339733044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7.4923484391565112E-2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4762402.7250420516</v>
      </c>
      <c r="E40" s="39">
        <f t="shared" si="1"/>
        <v>3972721.9406875004</v>
      </c>
      <c r="F40" s="40" t="s">
        <v>39</v>
      </c>
      <c r="G40" s="41">
        <v>0.03</v>
      </c>
      <c r="H40" s="42">
        <v>7.0098999999999995E-2</v>
      </c>
      <c r="I40" s="43">
        <v>7.1500000000000008E-2</v>
      </c>
      <c r="J40" s="44">
        <f t="shared" si="8"/>
        <v>2.6785145669984533E-3</v>
      </c>
      <c r="K40" s="45">
        <f t="shared" si="9"/>
        <v>2.2343750000000002E-3</v>
      </c>
      <c r="L40" s="46">
        <f t="shared" si="14"/>
        <v>1.4010000000000133E-3</v>
      </c>
      <c r="M40" s="46">
        <f t="shared" si="15"/>
        <v>1.9986019772036883</v>
      </c>
      <c r="N40" s="51">
        <v>7500</v>
      </c>
      <c r="O40" s="37">
        <v>536.25</v>
      </c>
      <c r="P40" s="52">
        <f t="shared" si="18"/>
        <v>0</v>
      </c>
      <c r="Q40" s="49">
        <f t="shared" si="17"/>
        <v>1.3833333333333337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45940626.660023458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0.26223219537047793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312.43384810762012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6.7431135952408603E-7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1553613.3723434943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2.6972454380963444E-3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68113643.416660726</v>
      </c>
      <c r="E44" s="39">
        <f t="shared" si="1"/>
        <v>56819337.0625</v>
      </c>
      <c r="F44" s="40" t="s">
        <v>47</v>
      </c>
      <c r="G44" s="41">
        <v>0.9998999999999999</v>
      </c>
      <c r="H44" s="42">
        <v>0.98</v>
      </c>
      <c r="I44" s="43">
        <v>1</v>
      </c>
      <c r="J44" s="44">
        <f t="shared" si="8"/>
        <v>3.7461742195782556E-2</v>
      </c>
      <c r="K44" s="45">
        <f t="shared" si="9"/>
        <v>3.125E-2</v>
      </c>
      <c r="L44" s="46">
        <f t="shared" si="14"/>
        <v>2.0000000000000018E-2</v>
      </c>
      <c r="M44" s="46">
        <f t="shared" si="15"/>
        <v>2.0408163265306141</v>
      </c>
      <c r="N44" s="51">
        <v>1000</v>
      </c>
      <c r="O44" s="37">
        <v>1000</v>
      </c>
      <c r="P44" s="52">
        <f t="shared" si="18"/>
        <v>0</v>
      </c>
      <c r="Q44" s="49">
        <f t="shared" si="17"/>
        <v>1.0001000100023916E-4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13092105.28622644</v>
      </c>
      <c r="E45" s="39">
        <f t="shared" si="1"/>
        <v>10921229.665625</v>
      </c>
      <c r="F45" s="40" t="s">
        <v>47</v>
      </c>
      <c r="G45" s="41">
        <v>1.4503460000000001</v>
      </c>
      <c r="H45" s="42">
        <v>3.4</v>
      </c>
      <c r="I45" s="43">
        <v>3.4024999999999999</v>
      </c>
      <c r="J45" s="44">
        <f t="shared" si="8"/>
        <v>0.12746357782115014</v>
      </c>
      <c r="K45" s="45">
        <f t="shared" si="9"/>
        <v>0.106328125</v>
      </c>
      <c r="L45" s="46">
        <f t="shared" si="14"/>
        <v>2.4999999999999467E-3</v>
      </c>
      <c r="M45" s="46">
        <f t="shared" si="15"/>
        <v>7.3529411764704317E-2</v>
      </c>
      <c r="N45" s="51">
        <v>200</v>
      </c>
      <c r="O45" s="37">
        <v>680.5</v>
      </c>
      <c r="P45" s="52">
        <v>0</v>
      </c>
      <c r="Q45" s="49">
        <f t="shared" si="17"/>
        <v>1.3459919219275949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15071507</v>
      </c>
      <c r="O47" s="62">
        <f>SUM(O9:O45)</f>
        <v>111667291.11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2" t="s">
        <v>118</v>
      </c>
      <c r="B49" s="133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5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88965631.655399993</v>
      </c>
      <c r="E50" s="39">
        <v>0</v>
      </c>
      <c r="F50" s="40" t="s">
        <v>92</v>
      </c>
      <c r="G50" s="71">
        <v>0.1</v>
      </c>
      <c r="H50" s="42">
        <v>0.1555</v>
      </c>
      <c r="I50" s="42">
        <v>0.15709999999999999</v>
      </c>
      <c r="J50" s="44">
        <f t="shared" ref="J50:J65" si="20">I50</f>
        <v>0.15709999999999999</v>
      </c>
      <c r="K50" s="39">
        <v>0</v>
      </c>
      <c r="L50" s="46">
        <f t="shared" ref="L50:L65" si="21">I50-H50</f>
        <v>1.5999999999999903E-3</v>
      </c>
      <c r="M50" s="46">
        <f t="shared" ref="M50:M65" si="22">((I50-H50)/H50)*100</f>
        <v>1.0289389067524053</v>
      </c>
      <c r="N50" s="51">
        <v>52557</v>
      </c>
      <c r="O50" s="37">
        <v>8258.84</v>
      </c>
      <c r="P50" s="72">
        <f>(R50)/J50</f>
        <v>0</v>
      </c>
      <c r="Q50" s="49">
        <f t="shared" ref="Q50:Q65" si="23">J50/G50-1</f>
        <v>0.57099999999999973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36970874.5</v>
      </c>
      <c r="E51" s="39">
        <v>0</v>
      </c>
      <c r="F51" s="40" t="s">
        <v>39</v>
      </c>
      <c r="G51" s="71">
        <v>39.9</v>
      </c>
      <c r="H51" s="42">
        <v>33.25</v>
      </c>
      <c r="I51" s="42">
        <v>33.25</v>
      </c>
      <c r="J51" s="44">
        <f t="shared" si="20"/>
        <v>33.25</v>
      </c>
      <c r="K51" s="39">
        <v>0</v>
      </c>
      <c r="L51" s="46">
        <f t="shared" si="21"/>
        <v>0</v>
      </c>
      <c r="M51" s="46">
        <f t="shared" si="22"/>
        <v>0</v>
      </c>
      <c r="N51" s="51">
        <v>0</v>
      </c>
      <c r="O51" s="37">
        <v>0</v>
      </c>
      <c r="P51" s="73">
        <f>(R51)/J51</f>
        <v>1.6842105263157898E-2</v>
      </c>
      <c r="Q51" s="49">
        <f t="shared" si="23"/>
        <v>-0.16666666666666663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681913993.96369994</v>
      </c>
      <c r="E52" s="39"/>
      <c r="F52" s="40" t="s">
        <v>56</v>
      </c>
      <c r="G52" s="71">
        <v>0.33</v>
      </c>
      <c r="H52" s="42">
        <v>0.19869999999999999</v>
      </c>
      <c r="I52" s="42">
        <v>0.22789999999999999</v>
      </c>
      <c r="J52" s="44">
        <f t="shared" si="20"/>
        <v>0.22789999999999999</v>
      </c>
      <c r="K52" s="39">
        <v>0</v>
      </c>
      <c r="L52" s="46">
        <f t="shared" si="21"/>
        <v>2.9200000000000004E-2</v>
      </c>
      <c r="M52" s="46">
        <f t="shared" si="22"/>
        <v>14.695520885757427</v>
      </c>
      <c r="N52" s="51">
        <v>47330</v>
      </c>
      <c r="O52" s="37">
        <v>10786.64</v>
      </c>
      <c r="P52" s="72">
        <v>0</v>
      </c>
      <c r="Q52" s="49">
        <f t="shared" si="23"/>
        <v>-0.30939393939393944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15182549.480699999</v>
      </c>
      <c r="E53" s="39">
        <v>0</v>
      </c>
      <c r="F53" s="40" t="s">
        <v>34</v>
      </c>
      <c r="G53" s="71">
        <v>2.3E-2</v>
      </c>
      <c r="H53" s="42">
        <v>2.5000000000000001E-2</v>
      </c>
      <c r="I53" s="42">
        <v>2.4899999999999999E-2</v>
      </c>
      <c r="J53" s="44">
        <f t="shared" si="20"/>
        <v>2.4899999999999999E-2</v>
      </c>
      <c r="K53" s="39">
        <v>0</v>
      </c>
      <c r="L53" s="46">
        <f t="shared" si="21"/>
        <v>-1.0000000000000286E-4</v>
      </c>
      <c r="M53" s="46">
        <f t="shared" si="22"/>
        <v>-0.40000000000001146</v>
      </c>
      <c r="N53" s="51">
        <v>9079</v>
      </c>
      <c r="O53" s="37">
        <v>226.1</v>
      </c>
      <c r="P53" s="72">
        <f t="shared" ref="P53:P65" si="24">(R53)/J53</f>
        <v>0</v>
      </c>
      <c r="Q53" s="49">
        <f t="shared" si="23"/>
        <v>8.260869565217388E-2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352951975.6128</v>
      </c>
      <c r="E54" s="39">
        <v>0</v>
      </c>
      <c r="F54" s="40" t="s">
        <v>47</v>
      </c>
      <c r="G54" s="71">
        <v>9.0200000000000002E-2</v>
      </c>
      <c r="H54" s="42">
        <v>0.16059999999999999</v>
      </c>
      <c r="I54" s="42">
        <v>0.16320000000000001</v>
      </c>
      <c r="J54" s="44">
        <f t="shared" si="20"/>
        <v>0.16320000000000001</v>
      </c>
      <c r="K54" s="39">
        <v>0</v>
      </c>
      <c r="L54" s="46">
        <f t="shared" si="21"/>
        <v>2.600000000000019E-3</v>
      </c>
      <c r="M54" s="74">
        <f t="shared" si="22"/>
        <v>1.6189290161893022</v>
      </c>
      <c r="N54" s="51">
        <v>21530</v>
      </c>
      <c r="O54" s="37">
        <v>3513.82</v>
      </c>
      <c r="P54" s="72">
        <f t="shared" si="24"/>
        <v>0</v>
      </c>
      <c r="Q54" s="49">
        <f t="shared" si="23"/>
        <v>0.80931263858093128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859627819.26999998</v>
      </c>
      <c r="E55" s="39">
        <v>0</v>
      </c>
      <c r="F55" s="40" t="s">
        <v>34</v>
      </c>
      <c r="G55" s="71">
        <v>0.95750000000000002</v>
      </c>
      <c r="H55" s="42">
        <v>1.4999</v>
      </c>
      <c r="I55" s="42">
        <v>1.4925999999999999</v>
      </c>
      <c r="J55" s="44">
        <f t="shared" si="20"/>
        <v>1.4925999999999999</v>
      </c>
      <c r="K55" s="39">
        <v>0</v>
      </c>
      <c r="L55" s="46">
        <f t="shared" si="21"/>
        <v>-7.3000000000000842E-3</v>
      </c>
      <c r="M55" s="46">
        <f t="shared" si="22"/>
        <v>-0.48669911327422394</v>
      </c>
      <c r="N55" s="51">
        <v>444600</v>
      </c>
      <c r="O55" s="37">
        <v>663607.76</v>
      </c>
      <c r="P55" s="73">
        <f t="shared" si="24"/>
        <v>3.1488677475546026E-2</v>
      </c>
      <c r="Q55" s="49">
        <f t="shared" si="23"/>
        <v>0.5588511749347258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51">
        <v>100</v>
      </c>
      <c r="O56" s="37">
        <v>15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22558536.405400001</v>
      </c>
      <c r="E57" s="39">
        <v>0</v>
      </c>
      <c r="F57" s="40" t="s">
        <v>92</v>
      </c>
      <c r="G57" s="71">
        <v>1.6799999999999999E-2</v>
      </c>
      <c r="H57" s="42">
        <v>2.4799999999999999E-2</v>
      </c>
      <c r="I57" s="42">
        <v>2.29E-2</v>
      </c>
      <c r="J57" s="44">
        <f t="shared" si="20"/>
        <v>2.29E-2</v>
      </c>
      <c r="K57" s="39">
        <v>0</v>
      </c>
      <c r="L57" s="46">
        <f t="shared" si="21"/>
        <v>-1.8999999999999989E-3</v>
      </c>
      <c r="M57" s="74">
        <f t="shared" si="22"/>
        <v>-7.6612903225806415</v>
      </c>
      <c r="N57" s="51">
        <v>26160</v>
      </c>
      <c r="O57" s="37">
        <v>600</v>
      </c>
      <c r="P57" s="72">
        <f t="shared" si="24"/>
        <v>0</v>
      </c>
      <c r="Q57" s="49">
        <f t="shared" si="23"/>
        <v>0.36309523809523814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4058129234.9182</v>
      </c>
      <c r="E59" s="39">
        <v>0</v>
      </c>
      <c r="F59" s="40" t="s">
        <v>47</v>
      </c>
      <c r="G59" s="71">
        <v>0.78169999999999995</v>
      </c>
      <c r="H59" s="52">
        <v>0.90600000000000003</v>
      </c>
      <c r="I59" s="42">
        <v>0.9022</v>
      </c>
      <c r="J59" s="44">
        <f t="shared" si="20"/>
        <v>0.9022</v>
      </c>
      <c r="K59" s="39">
        <v>0</v>
      </c>
      <c r="L59" s="46">
        <f t="shared" si="21"/>
        <v>-3.8000000000000256E-3</v>
      </c>
      <c r="M59" s="46">
        <f t="shared" si="22"/>
        <v>-0.41942604856512422</v>
      </c>
      <c r="N59" s="75">
        <v>13583</v>
      </c>
      <c r="O59" s="108">
        <v>12254.38</v>
      </c>
      <c r="P59" s="72">
        <f t="shared" si="24"/>
        <v>0</v>
      </c>
      <c r="Q59" s="49">
        <f t="shared" si="23"/>
        <v>0.15415120890367162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1215284035.7845001</v>
      </c>
      <c r="E60" s="39">
        <v>0</v>
      </c>
      <c r="F60" s="40" t="s">
        <v>92</v>
      </c>
      <c r="G60" s="71">
        <v>0.59499999999999997</v>
      </c>
      <c r="H60" s="42">
        <v>1.4001999999999999</v>
      </c>
      <c r="I60" s="42">
        <v>1.5095000000000001</v>
      </c>
      <c r="J60" s="44">
        <f t="shared" si="20"/>
        <v>1.5095000000000001</v>
      </c>
      <c r="K60" s="39">
        <v>0</v>
      </c>
      <c r="L60" s="46">
        <f t="shared" si="21"/>
        <v>0.10930000000000017</v>
      </c>
      <c r="M60" s="46">
        <f t="shared" si="22"/>
        <v>7.8060277103271094</v>
      </c>
      <c r="N60" s="51">
        <v>458220</v>
      </c>
      <c r="O60" s="37">
        <v>691693.69</v>
      </c>
      <c r="P60" s="72">
        <f t="shared" si="24"/>
        <v>0</v>
      </c>
      <c r="Q60" s="49">
        <f t="shared" si="23"/>
        <v>1.5369747899159667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133016547.0836</v>
      </c>
      <c r="E61" s="39">
        <v>0</v>
      </c>
      <c r="F61" s="40" t="s">
        <v>34</v>
      </c>
      <c r="G61" s="71">
        <v>0.22600000000000001</v>
      </c>
      <c r="H61" s="42">
        <v>0.5</v>
      </c>
      <c r="I61" s="42">
        <v>0.51019999999999999</v>
      </c>
      <c r="J61" s="44">
        <f t="shared" si="20"/>
        <v>0.51019999999999999</v>
      </c>
      <c r="K61" s="39">
        <v>0</v>
      </c>
      <c r="L61" s="46">
        <f t="shared" si="21"/>
        <v>1.0199999999999987E-2</v>
      </c>
      <c r="M61" s="46">
        <f t="shared" si="22"/>
        <v>2.0399999999999974</v>
      </c>
      <c r="N61" s="51">
        <v>3924</v>
      </c>
      <c r="O61" s="37">
        <v>2002.14</v>
      </c>
      <c r="P61" s="72">
        <f t="shared" si="24"/>
        <v>0</v>
      </c>
      <c r="Q61" s="49">
        <f t="shared" si="23"/>
        <v>1.2575221238938052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376157841.65079999</v>
      </c>
      <c r="E62" s="39">
        <v>0</v>
      </c>
      <c r="F62" s="40" t="s">
        <v>34</v>
      </c>
      <c r="G62" s="71">
        <v>0.49440000000000001</v>
      </c>
      <c r="H62" s="42">
        <v>0.70320000000000005</v>
      </c>
      <c r="I62" s="42">
        <v>0.66910000000000003</v>
      </c>
      <c r="J62" s="44">
        <f t="shared" si="20"/>
        <v>0.66910000000000003</v>
      </c>
      <c r="K62" s="39">
        <v>0</v>
      </c>
      <c r="L62" s="46">
        <f t="shared" si="21"/>
        <v>-3.4100000000000019E-2</v>
      </c>
      <c r="M62" s="46">
        <f t="shared" si="22"/>
        <v>-4.8492605233219592</v>
      </c>
      <c r="N62" s="51">
        <v>155308</v>
      </c>
      <c r="O62" s="37">
        <v>103921.62</v>
      </c>
      <c r="P62" s="72">
        <f t="shared" si="24"/>
        <v>0</v>
      </c>
      <c r="Q62" s="49">
        <f t="shared" si="23"/>
        <v>0.35335760517799364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90803435.318499997</v>
      </c>
      <c r="E63" s="39">
        <v>0</v>
      </c>
      <c r="F63" s="40" t="s">
        <v>34</v>
      </c>
      <c r="G63" s="71">
        <v>0.25950000000000001</v>
      </c>
      <c r="H63" s="42">
        <v>0.21679999999999999</v>
      </c>
      <c r="I63" s="42">
        <v>0.24909999999999999</v>
      </c>
      <c r="J63" s="44">
        <f t="shared" si="20"/>
        <v>0.24909999999999999</v>
      </c>
      <c r="K63" s="39">
        <v>0</v>
      </c>
      <c r="L63" s="46">
        <f t="shared" si="21"/>
        <v>3.2299999999999995E-2</v>
      </c>
      <c r="M63" s="46">
        <f t="shared" si="22"/>
        <v>14.89852398523985</v>
      </c>
      <c r="N63" s="51">
        <v>3963</v>
      </c>
      <c r="O63" s="37">
        <v>987</v>
      </c>
      <c r="P63" s="72">
        <f t="shared" si="24"/>
        <v>0</v>
      </c>
      <c r="Q63" s="49">
        <f t="shared" si="23"/>
        <v>-4.0077071290944177E-2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38317350.043200001</v>
      </c>
      <c r="E65" s="39">
        <v>0</v>
      </c>
      <c r="F65" s="40" t="s">
        <v>44</v>
      </c>
      <c r="G65" s="71">
        <v>4.2999999999999997E-2</v>
      </c>
      <c r="H65" s="42">
        <v>0.10920000000000001</v>
      </c>
      <c r="I65" s="42">
        <v>0.11119999999999999</v>
      </c>
      <c r="J65" s="44">
        <f t="shared" si="20"/>
        <v>0.11119999999999999</v>
      </c>
      <c r="K65" s="39">
        <v>0</v>
      </c>
      <c r="L65" s="46">
        <f t="shared" si="21"/>
        <v>1.9999999999999879E-3</v>
      </c>
      <c r="M65" s="46">
        <f t="shared" si="22"/>
        <v>1.8315018315018206</v>
      </c>
      <c r="N65" s="51">
        <v>1050</v>
      </c>
      <c r="O65" s="37">
        <v>116.8</v>
      </c>
      <c r="P65" s="72">
        <f t="shared" si="24"/>
        <v>0</v>
      </c>
      <c r="Q65" s="49">
        <f t="shared" si="23"/>
        <v>1.5860465116279072</v>
      </c>
      <c r="T65" s="53"/>
    </row>
    <row r="66" spans="1:20" ht="13.2" x14ac:dyDescent="0.35">
      <c r="A66" s="76"/>
      <c r="B66" s="36" t="s">
        <v>117</v>
      </c>
      <c r="C66" s="40"/>
      <c r="D66" s="77"/>
      <c r="E66" s="77"/>
      <c r="F66" s="40"/>
      <c r="G66" s="40"/>
      <c r="H66" s="42"/>
      <c r="I66" s="42"/>
      <c r="J66" s="42"/>
      <c r="K66" s="42"/>
      <c r="L66" s="46"/>
      <c r="M66" s="78"/>
      <c r="N66" s="62">
        <f>SUM(N50:N65)</f>
        <v>1237404</v>
      </c>
      <c r="O66" s="63">
        <f>SUM(O50:O65)</f>
        <v>1497983.7899999998</v>
      </c>
      <c r="P66" s="79"/>
      <c r="Q66" s="64"/>
    </row>
    <row r="67" spans="1:20" ht="12.6" hidden="1" x14ac:dyDescent="0.3">
      <c r="A67" s="136" t="s">
        <v>152</v>
      </c>
      <c r="B67" s="137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</row>
    <row r="68" spans="1:20" ht="12.6" hidden="1" thickBot="1" x14ac:dyDescent="0.3">
      <c r="A68" s="80" t="s">
        <v>153</v>
      </c>
      <c r="B68" s="81" t="s">
        <v>154</v>
      </c>
      <c r="C68" s="82">
        <v>20000</v>
      </c>
      <c r="D68" s="83">
        <f>C68*J68</f>
        <v>0</v>
      </c>
      <c r="E68" s="83"/>
      <c r="F68" s="82" t="s">
        <v>155</v>
      </c>
      <c r="G68" s="82"/>
      <c r="H68" s="84">
        <v>100</v>
      </c>
      <c r="I68" s="84"/>
      <c r="J68" s="84"/>
      <c r="K68" s="84"/>
      <c r="L68" s="85">
        <f>I68-H68</f>
        <v>-100</v>
      </c>
      <c r="M68" s="86">
        <f>((I68-H68)/H68)*100</f>
        <v>-100</v>
      </c>
      <c r="N68" s="87" t="s">
        <v>57</v>
      </c>
      <c r="O68" s="87" t="s">
        <v>57</v>
      </c>
      <c r="P68" s="87"/>
      <c r="Q68" s="88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8"/>
      <c r="N69" s="89"/>
      <c r="O69" s="89"/>
      <c r="P69" s="89"/>
      <c r="Q69" s="64"/>
    </row>
    <row r="70" spans="1:20" ht="12.6" x14ac:dyDescent="0.3">
      <c r="A70" s="136" t="s">
        <v>156</v>
      </c>
      <c r="B70" s="137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9"/>
    </row>
    <row r="71" spans="1:20" x14ac:dyDescent="0.25">
      <c r="A71" s="35" t="s">
        <v>157</v>
      </c>
      <c r="B71" s="90" t="s">
        <v>158</v>
      </c>
      <c r="C71" s="91">
        <v>139300587</v>
      </c>
      <c r="D71" s="38">
        <f>C71*J71</f>
        <v>45398061.303300001</v>
      </c>
      <c r="E71" s="39">
        <f>C71*K71</f>
        <v>45398061.303300001</v>
      </c>
      <c r="F71" s="91" t="s">
        <v>159</v>
      </c>
      <c r="G71" s="91">
        <v>0.24</v>
      </c>
      <c r="H71" s="92">
        <v>0.32700000000000001</v>
      </c>
      <c r="I71" s="92">
        <v>0.32590000000000002</v>
      </c>
      <c r="J71" s="93">
        <f>I71</f>
        <v>0.32590000000000002</v>
      </c>
      <c r="K71" s="93">
        <f>J71</f>
        <v>0.32590000000000002</v>
      </c>
      <c r="L71" s="46">
        <f>I71-H71</f>
        <v>-1.0999999999999899E-3</v>
      </c>
      <c r="M71" s="46">
        <f>((I71-H71)/H71)*100</f>
        <v>-0.33639143730886539</v>
      </c>
      <c r="N71" s="94">
        <v>335</v>
      </c>
      <c r="O71" s="95">
        <v>109.19</v>
      </c>
      <c r="P71" s="72">
        <f>(R71)/J71</f>
        <v>0</v>
      </c>
      <c r="Q71" s="49">
        <f>J71/G71-1</f>
        <v>0.35791666666666688</v>
      </c>
      <c r="T71" s="53"/>
    </row>
    <row r="72" spans="1:20" x14ac:dyDescent="0.25">
      <c r="A72" s="35" t="s">
        <v>160</v>
      </c>
      <c r="B72" s="90" t="s">
        <v>161</v>
      </c>
      <c r="C72" s="91">
        <v>540751750</v>
      </c>
      <c r="D72" s="38">
        <f>C72*J72</f>
        <v>81491288.724999994</v>
      </c>
      <c r="E72" s="39">
        <f>C72*K72</f>
        <v>81491288.724999994</v>
      </c>
      <c r="F72" s="91" t="s">
        <v>159</v>
      </c>
      <c r="G72" s="91">
        <v>0.1</v>
      </c>
      <c r="H72" s="92">
        <v>0.15</v>
      </c>
      <c r="I72" s="92">
        <v>0.1507</v>
      </c>
      <c r="J72" s="93">
        <f>I72</f>
        <v>0.1507</v>
      </c>
      <c r="K72" s="93">
        <f>J72</f>
        <v>0.1507</v>
      </c>
      <c r="L72" s="46">
        <f>I72-H72</f>
        <v>7.0000000000000617E-4</v>
      </c>
      <c r="M72" s="46">
        <f>((I72-H72)/H72)*100</f>
        <v>0.46666666666667078</v>
      </c>
      <c r="N72" s="51">
        <v>2420</v>
      </c>
      <c r="O72" s="95">
        <v>364.66</v>
      </c>
      <c r="P72" s="96">
        <f>(R72)/J72</f>
        <v>2.5162574651625746E-2</v>
      </c>
      <c r="Q72" s="49">
        <f>J72/G72-1</f>
        <v>0.5069999999999999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8"/>
      <c r="N73" s="62">
        <f>SUM(N71:N72)</f>
        <v>2755</v>
      </c>
      <c r="O73" s="63">
        <f>SUM(O71:O72)</f>
        <v>473.85</v>
      </c>
      <c r="P73" s="89"/>
      <c r="Q73" s="64"/>
    </row>
    <row r="74" spans="1:20" ht="12.6" x14ac:dyDescent="0.3">
      <c r="A74" s="136" t="s">
        <v>162</v>
      </c>
      <c r="B74" s="137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9"/>
    </row>
    <row r="75" spans="1:20" x14ac:dyDescent="0.25">
      <c r="A75" s="35" t="s">
        <v>163</v>
      </c>
      <c r="B75" s="90" t="s">
        <v>164</v>
      </c>
      <c r="C75" s="91">
        <v>64242951</v>
      </c>
      <c r="D75" s="38">
        <f>C75*J75</f>
        <v>7664184.0543</v>
      </c>
      <c r="E75" s="39">
        <f>C75*K75</f>
        <v>7664184.0543</v>
      </c>
      <c r="F75" s="91" t="s">
        <v>137</v>
      </c>
      <c r="G75" s="91">
        <v>0.1394</v>
      </c>
      <c r="H75" s="92">
        <v>0.1179</v>
      </c>
      <c r="I75" s="92">
        <v>0.1193</v>
      </c>
      <c r="J75" s="93">
        <f>I75</f>
        <v>0.1193</v>
      </c>
      <c r="K75" s="93">
        <f>J75</f>
        <v>0.1193</v>
      </c>
      <c r="L75" s="46">
        <f>I75-H75</f>
        <v>1.3999999999999985E-3</v>
      </c>
      <c r="M75" s="46">
        <f>((I75-H75)/H75)*100</f>
        <v>1.1874469889737052</v>
      </c>
      <c r="N75" s="94">
        <v>24706</v>
      </c>
      <c r="O75" s="95">
        <v>2947.55</v>
      </c>
      <c r="P75" s="72">
        <f>(R75)/J75</f>
        <v>0</v>
      </c>
      <c r="Q75" s="49">
        <f>J75/G75-1</f>
        <v>-0.14418938307030127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8"/>
      <c r="N76" s="62"/>
      <c r="O76" s="63"/>
      <c r="P76" s="89"/>
      <c r="Q76" s="64"/>
    </row>
    <row r="77" spans="1:20" ht="12.6" x14ac:dyDescent="0.3">
      <c r="A77" s="132" t="s">
        <v>165</v>
      </c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5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154395.5551642885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4.870026485451733E-3</v>
      </c>
      <c r="K78" s="45">
        <f>I78/$K$4</f>
        <v>4.0625000000000001E-3</v>
      </c>
      <c r="L78" s="46">
        <f>I78-H78</f>
        <v>0</v>
      </c>
      <c r="M78" s="97">
        <f>((I78-H78)/H78)*100</f>
        <v>0</v>
      </c>
      <c r="N78" s="37">
        <v>10000</v>
      </c>
      <c r="O78" s="37">
        <v>1300</v>
      </c>
      <c r="P78" s="40">
        <v>0</v>
      </c>
      <c r="Q78" s="49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408069.41510981915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2.9969393756626049E-3</v>
      </c>
      <c r="K79" s="45">
        <f>I79/$K$4</f>
        <v>2.5000000000000001E-3</v>
      </c>
      <c r="L79" s="46">
        <f>I79-H79</f>
        <v>0</v>
      </c>
      <c r="M79" s="97">
        <f>((I79-H79)/H79)*100</f>
        <v>0</v>
      </c>
      <c r="N79" s="37">
        <v>16100</v>
      </c>
      <c r="O79" s="37">
        <v>1288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1443325.8315775513</v>
      </c>
      <c r="E80" s="39">
        <f>C80*K80</f>
        <v>1203999.8567358751</v>
      </c>
      <c r="F80" s="40" t="s">
        <v>137</v>
      </c>
      <c r="G80" s="71">
        <v>6.0499999999999998E-2</v>
      </c>
      <c r="H80" s="42">
        <v>0.12</v>
      </c>
      <c r="I80" s="42">
        <v>0.118119</v>
      </c>
      <c r="J80" s="44">
        <f>I80/$J$5</f>
        <v>4.4249435264236397E-3</v>
      </c>
      <c r="K80" s="45">
        <f>I80/$K$4</f>
        <v>3.6912187500000001E-3</v>
      </c>
      <c r="L80" s="46">
        <f>I80-H80</f>
        <v>-1.8809999999999938E-3</v>
      </c>
      <c r="M80" s="97">
        <f>((I80-H80)/H80)*100</f>
        <v>-1.567499999999995</v>
      </c>
      <c r="N80" s="37">
        <v>10100</v>
      </c>
      <c r="O80" s="37">
        <v>1193</v>
      </c>
      <c r="P80" s="40">
        <v>0</v>
      </c>
      <c r="Q80" s="49">
        <f>I80/G80-1</f>
        <v>0.95238016528925629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425278.81276246638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6.368496173283035E-2</v>
      </c>
      <c r="K81" s="45">
        <f>I81/$K$4</f>
        <v>5.3124999999999999E-2</v>
      </c>
      <c r="L81" s="46">
        <f>I81-H81</f>
        <v>0</v>
      </c>
      <c r="M81" s="97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36200</v>
      </c>
      <c r="O82" s="63">
        <f>SUM(O78:O81)</f>
        <v>3781</v>
      </c>
      <c r="P82" s="79"/>
      <c r="Q82" s="64"/>
      <c r="V82" s="98"/>
      <c r="W82" s="98"/>
      <c r="DU82" s="99"/>
      <c r="DV82" s="99"/>
      <c r="DW82" s="100"/>
      <c r="DX82" s="101"/>
      <c r="DY82" s="101"/>
      <c r="DZ82" s="102"/>
      <c r="EA82" s="102"/>
      <c r="EB82" s="103"/>
      <c r="EC82" s="103"/>
      <c r="ED82" s="104"/>
      <c r="EE82" s="104"/>
      <c r="EF82" s="102"/>
      <c r="EG82" s="105"/>
      <c r="EH82" s="106"/>
      <c r="EI82" s="100"/>
      <c r="EJ82" s="99"/>
      <c r="EK82" s="99"/>
      <c r="EL82" s="100"/>
      <c r="EM82" s="101"/>
      <c r="EN82" s="101"/>
      <c r="EO82" s="102"/>
      <c r="EP82" s="102"/>
      <c r="EQ82" s="103"/>
      <c r="ER82" s="103"/>
      <c r="ES82" s="104"/>
      <c r="ET82" s="104"/>
      <c r="EU82" s="102"/>
      <c r="EV82" s="105"/>
      <c r="EW82" s="106"/>
      <c r="EX82" s="100"/>
      <c r="EY82" s="99"/>
      <c r="EZ82" s="99"/>
      <c r="FA82" s="100"/>
      <c r="FB82" s="101"/>
      <c r="FC82" s="101"/>
      <c r="FD82" s="102"/>
      <c r="FE82" s="102"/>
      <c r="FF82" s="103"/>
      <c r="FG82" s="103"/>
      <c r="FH82" s="104"/>
      <c r="FI82" s="104"/>
      <c r="FJ82" s="102"/>
      <c r="FK82" s="105"/>
      <c r="FL82" s="106"/>
      <c r="FM82" s="100"/>
      <c r="FN82" s="99"/>
      <c r="FO82" s="99"/>
      <c r="FP82" s="100"/>
      <c r="FQ82" s="101"/>
      <c r="FR82" s="101"/>
      <c r="FS82" s="102"/>
      <c r="FT82" s="102"/>
      <c r="FU82" s="103"/>
      <c r="FV82" s="103"/>
      <c r="FW82" s="104"/>
      <c r="FX82" s="104"/>
      <c r="FY82" s="102"/>
      <c r="FZ82" s="105"/>
      <c r="GA82" s="106"/>
      <c r="GB82" s="100"/>
      <c r="GC82" s="99"/>
      <c r="GD82" s="99"/>
      <c r="GE82" s="100"/>
      <c r="GF82" s="101"/>
      <c r="GG82" s="101"/>
      <c r="GH82" s="102"/>
      <c r="GI82" s="102"/>
      <c r="GJ82" s="103"/>
      <c r="GK82" s="103"/>
      <c r="GL82" s="104"/>
      <c r="GM82" s="104"/>
      <c r="GN82" s="102"/>
      <c r="GO82" s="105"/>
      <c r="GP82" s="106"/>
      <c r="GQ82" s="100"/>
      <c r="GR82" s="99"/>
      <c r="GS82" s="99"/>
      <c r="GT82" s="100"/>
      <c r="GU82" s="101"/>
      <c r="GV82" s="101"/>
      <c r="GW82" s="102"/>
      <c r="GX82" s="102"/>
      <c r="GY82" s="103"/>
      <c r="GZ82" s="103"/>
      <c r="HA82" s="104"/>
      <c r="HB82" s="104"/>
      <c r="HC82" s="102"/>
      <c r="HD82" s="105"/>
      <c r="HE82" s="106"/>
      <c r="HF82" s="100"/>
      <c r="HG82" s="99"/>
      <c r="HH82" s="99"/>
      <c r="HI82" s="100"/>
      <c r="HJ82" s="101"/>
      <c r="HK82" s="101"/>
      <c r="HL82" s="102"/>
      <c r="HM82" s="102"/>
      <c r="HN82" s="103"/>
      <c r="HO82" s="103"/>
      <c r="HP82" s="104"/>
      <c r="HQ82" s="104"/>
      <c r="HR82" s="102"/>
      <c r="HS82" s="105"/>
      <c r="HT82" s="106"/>
      <c r="HU82" s="100"/>
      <c r="HV82" s="99"/>
      <c r="HW82" s="99"/>
      <c r="HX82" s="100"/>
      <c r="HY82" s="101"/>
      <c r="HZ82" s="101"/>
      <c r="IA82" s="102"/>
      <c r="IB82" s="102"/>
      <c r="IC82" s="103"/>
      <c r="ID82" s="103"/>
      <c r="IE82" s="104"/>
      <c r="IF82" s="104"/>
      <c r="IG82" s="102"/>
      <c r="IH82" s="105"/>
      <c r="II82" s="106"/>
    </row>
    <row r="83" spans="1:243" ht="13.2" thickTop="1" x14ac:dyDescent="0.3">
      <c r="A83" s="136" t="s">
        <v>174</v>
      </c>
      <c r="B83" s="137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9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27596285.593337804</v>
      </c>
      <c r="E84" s="39">
        <f>C84*K84</f>
        <v>23020390.25</v>
      </c>
      <c r="F84" s="40" t="s">
        <v>177</v>
      </c>
      <c r="G84" s="40">
        <v>1.3</v>
      </c>
      <c r="H84" s="42">
        <v>2.1324999999999998</v>
      </c>
      <c r="I84" s="42">
        <v>2</v>
      </c>
      <c r="J84" s="44">
        <f>I84/$J$5</f>
        <v>7.4923484391565112E-2</v>
      </c>
      <c r="K84" s="45">
        <f>I84/$K$4</f>
        <v>6.25E-2</v>
      </c>
      <c r="L84" s="46">
        <f>I84-H84</f>
        <v>-0.13249999999999984</v>
      </c>
      <c r="M84" s="46">
        <f>((I84-H84)/H84*100)</f>
        <v>-6.2133645955451273</v>
      </c>
      <c r="N84" s="107">
        <v>200</v>
      </c>
      <c r="O84" s="108">
        <v>400</v>
      </c>
      <c r="P84" s="52">
        <f>(R84)/J84</f>
        <v>0</v>
      </c>
      <c r="Q84" s="49">
        <f>I84/G84-1</f>
        <v>0.53846153846153832</v>
      </c>
      <c r="R84" s="53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72861930.90818502</v>
      </c>
      <c r="E85" s="39">
        <f>C85*K85</f>
        <v>60780284.295937501</v>
      </c>
      <c r="F85" s="40" t="s">
        <v>177</v>
      </c>
      <c r="G85" s="40">
        <v>1.44347</v>
      </c>
      <c r="H85" s="42">
        <v>1.149648</v>
      </c>
      <c r="I85" s="42">
        <v>1.056414</v>
      </c>
      <c r="J85" s="44">
        <f>I85/$J$5</f>
        <v>3.9575108920015437E-2</v>
      </c>
      <c r="K85" s="45">
        <f>I85/$K$4</f>
        <v>3.3012937499999999E-2</v>
      </c>
      <c r="L85" s="46">
        <f>I85-H85</f>
        <v>-9.3234000000000039E-2</v>
      </c>
      <c r="M85" s="46">
        <f>((I85-H85)/H85*100)</f>
        <v>-8.1097866477391385</v>
      </c>
      <c r="N85" s="108">
        <v>3373715</v>
      </c>
      <c r="O85" s="108">
        <v>3564123.58</v>
      </c>
      <c r="P85" s="48">
        <f>(R85)/J85</f>
        <v>5.4984055872035011E-2</v>
      </c>
      <c r="Q85" s="49">
        <f>I85/G85-1</f>
        <v>-0.26814273937109889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0"/>
      <c r="B86" s="81"/>
      <c r="C86" s="82"/>
      <c r="D86" s="110"/>
      <c r="E86" s="83"/>
      <c r="F86" s="82"/>
      <c r="G86" s="82"/>
      <c r="H86" s="84"/>
      <c r="I86" s="84"/>
      <c r="J86" s="84"/>
      <c r="K86" s="84"/>
      <c r="L86" s="85"/>
      <c r="M86" s="85"/>
      <c r="N86" s="85"/>
      <c r="O86" s="85"/>
      <c r="P86" s="85"/>
      <c r="Q86" s="88"/>
    </row>
    <row r="87" spans="1:243" ht="12.6" thickBot="1" x14ac:dyDescent="0.3">
      <c r="A87" s="111"/>
      <c r="B87" s="112"/>
      <c r="C87" s="112"/>
      <c r="D87" s="112"/>
      <c r="E87" s="112"/>
      <c r="F87" s="113"/>
      <c r="G87" s="113"/>
      <c r="H87" s="60"/>
      <c r="M87" s="114"/>
      <c r="N87" s="114"/>
      <c r="O87" s="60"/>
      <c r="P87" s="60"/>
      <c r="Q87" s="115"/>
    </row>
    <row r="88" spans="1:243" ht="15" customHeight="1" thickBot="1" x14ac:dyDescent="0.3">
      <c r="A88" s="140" t="s">
        <v>180</v>
      </c>
      <c r="B88" s="141"/>
      <c r="C88" s="141"/>
      <c r="D88" s="142"/>
      <c r="E88" s="140" t="s">
        <v>181</v>
      </c>
      <c r="F88" s="141"/>
      <c r="G88" s="141"/>
      <c r="H88" s="142"/>
      <c r="I88" s="53"/>
      <c r="J88" s="143" t="s">
        <v>182</v>
      </c>
      <c r="K88" s="144"/>
      <c r="L88" s="145"/>
      <c r="M88" s="143" t="s">
        <v>183</v>
      </c>
      <c r="N88" s="144"/>
      <c r="O88" s="145"/>
      <c r="Q88" s="16"/>
    </row>
    <row r="89" spans="1:243" ht="15" customHeight="1" x14ac:dyDescent="0.25">
      <c r="A89" s="35" t="s">
        <v>37</v>
      </c>
      <c r="B89" s="116">
        <v>0.23</v>
      </c>
      <c r="D89" s="116">
        <v>14.713216957605985</v>
      </c>
      <c r="E89" s="35" t="s">
        <v>35</v>
      </c>
      <c r="F89" s="117">
        <v>5.6482000000000004E-2</v>
      </c>
      <c r="H89" s="118">
        <v>-6.1386599308694425</v>
      </c>
      <c r="J89" s="35" t="s">
        <v>146</v>
      </c>
      <c r="K89" s="52">
        <v>0.24909999999999999</v>
      </c>
      <c r="L89" s="119">
        <v>14.89852398523985</v>
      </c>
      <c r="M89" s="60" t="s">
        <v>133</v>
      </c>
      <c r="N89" s="117">
        <v>2.29E-2</v>
      </c>
      <c r="O89" s="118">
        <v>-7.6612903225806415</v>
      </c>
      <c r="Q89" s="16"/>
    </row>
    <row r="90" spans="1:243" ht="15" customHeight="1" x14ac:dyDescent="0.25">
      <c r="A90" s="35" t="s">
        <v>90</v>
      </c>
      <c r="B90" s="116">
        <v>1.4205000000000001</v>
      </c>
      <c r="D90" s="116">
        <v>9.1030584187161043</v>
      </c>
      <c r="E90" s="35" t="s">
        <v>68</v>
      </c>
      <c r="F90" s="117">
        <v>8.6653000000000008E-2</v>
      </c>
      <c r="H90" s="118">
        <v>-3.9057388411422203</v>
      </c>
      <c r="J90" s="35" t="s">
        <v>123</v>
      </c>
      <c r="K90" s="52">
        <v>0.22789999999999999</v>
      </c>
      <c r="L90" s="119">
        <v>14.695520885757427</v>
      </c>
      <c r="M90" s="35" t="s">
        <v>144</v>
      </c>
      <c r="N90" s="117">
        <v>0.66910000000000003</v>
      </c>
      <c r="O90" s="118">
        <v>-4.8492605233219592</v>
      </c>
      <c r="Q90" s="16"/>
    </row>
    <row r="91" spans="1:243" ht="15" customHeight="1" x14ac:dyDescent="0.25">
      <c r="A91" s="35" t="s">
        <v>95</v>
      </c>
      <c r="B91" s="116">
        <v>6.5087000000000006E-2</v>
      </c>
      <c r="C91" s="116"/>
      <c r="D91" s="116">
        <v>3.9180623632909359</v>
      </c>
      <c r="E91" s="35" t="s">
        <v>93</v>
      </c>
      <c r="F91" s="117">
        <v>4.1060699999999999</v>
      </c>
      <c r="H91" s="118">
        <v>-3.82784869422649</v>
      </c>
      <c r="J91" s="35" t="s">
        <v>140</v>
      </c>
      <c r="K91" s="52">
        <v>1.5095000000000001</v>
      </c>
      <c r="L91" s="119">
        <v>7.8060277103271094</v>
      </c>
      <c r="M91" s="35" t="s">
        <v>129</v>
      </c>
      <c r="N91" s="117">
        <v>1.4925999999999999</v>
      </c>
      <c r="O91" s="118">
        <v>-0.48669911327422394</v>
      </c>
      <c r="Q91" s="16"/>
    </row>
    <row r="92" spans="1:243" ht="15" customHeight="1" x14ac:dyDescent="0.25">
      <c r="A92" s="35" t="s">
        <v>99</v>
      </c>
      <c r="B92" s="116">
        <v>0.56416699999999997</v>
      </c>
      <c r="C92" s="116"/>
      <c r="D92" s="116">
        <v>2.5705964060011515</v>
      </c>
      <c r="E92" s="35" t="s">
        <v>45</v>
      </c>
      <c r="F92" s="117">
        <v>37.9983</v>
      </c>
      <c r="H92" s="118">
        <v>-2.296645796639369</v>
      </c>
      <c r="J92" s="35" t="s">
        <v>142</v>
      </c>
      <c r="K92" s="52">
        <v>0.51019999999999999</v>
      </c>
      <c r="L92" s="119">
        <v>2.0399999999999974</v>
      </c>
      <c r="M92" s="35" t="s">
        <v>138</v>
      </c>
      <c r="N92" s="117">
        <v>0.9022</v>
      </c>
      <c r="O92" s="118">
        <v>-0.41942604856512422</v>
      </c>
      <c r="Q92" s="16"/>
    </row>
    <row r="93" spans="1:243" ht="15" customHeight="1" x14ac:dyDescent="0.25">
      <c r="A93" s="35" t="s">
        <v>113</v>
      </c>
      <c r="B93" s="116">
        <v>1</v>
      </c>
      <c r="C93" s="116"/>
      <c r="D93" s="116">
        <v>2.0408163265306141</v>
      </c>
      <c r="E93" s="35" t="s">
        <v>73</v>
      </c>
      <c r="F93" s="117">
        <v>1.5423750000000001</v>
      </c>
      <c r="G93" s="117"/>
      <c r="H93" s="118">
        <v>-0.49193548387096731</v>
      </c>
      <c r="J93" s="35" t="s">
        <v>127</v>
      </c>
      <c r="K93" s="52">
        <v>0.16320000000000001</v>
      </c>
      <c r="L93" s="119">
        <v>1.6189290161893022</v>
      </c>
      <c r="M93" s="35" t="s">
        <v>125</v>
      </c>
      <c r="N93" s="117">
        <v>2.4899999999999999E-2</v>
      </c>
      <c r="O93" s="118">
        <v>-0.40000000000001146</v>
      </c>
      <c r="Q93" s="16"/>
    </row>
    <row r="94" spans="1:243" ht="15.75" customHeight="1" thickBot="1" x14ac:dyDescent="0.3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5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5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6" thickBot="1" x14ac:dyDescent="0.3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1"/>
      <c r="J102" s="131"/>
      <c r="K102" s="131"/>
      <c r="O102" s="131"/>
      <c r="P102" s="131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1"/>
      <c r="J105" s="131"/>
      <c r="K105" s="131"/>
      <c r="O105" s="131"/>
      <c r="P105" s="131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1"/>
      <c r="J107" s="131"/>
      <c r="K107" s="131"/>
      <c r="O107" s="131"/>
      <c r="P107" s="131"/>
    </row>
  </sheetData>
  <sheetProtection algorithmName="SHA-512" hashValue="PfLWmS0pWyjKu5Z+Dduk/D5Cy1ZdNynt4CivpQGL5OGjWR2VqgWRFCPJKpfss23ZFzDQ77O9bIV2FyWzdgdchw==" saltValue="qpGze8G5AGrck+zF1s29jw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2026-09-22T12:59:40Z</dcterms:created>
  <dcterms:modified xsi:type="dcterms:W3CDTF">2026-09-22T13:11:42Z</dcterms:modified>
</cp:coreProperties>
</file>