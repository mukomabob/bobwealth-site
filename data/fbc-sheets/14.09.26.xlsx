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Sept/14.09.26/"/>
    </mc:Choice>
  </mc:AlternateContent>
  <xr:revisionPtr revIDLastSave="0" documentId="8_{36C0B0E4-EBB2-43B2-8118-5ECB7778FEF5}" xr6:coauthVersionLast="47" xr6:coauthVersionMax="47" xr10:uidLastSave="{00000000-0000-0000-0000-000000000000}"/>
  <bookViews>
    <workbookView xWindow="-108" yWindow="-108" windowWidth="23256" windowHeight="12456" xr2:uid="{0862F593-D9CB-429F-ACB7-024992529F92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P84" i="1"/>
  <c r="M84" i="1"/>
  <c r="L84" i="1"/>
  <c r="K84" i="1"/>
  <c r="E84" i="1" s="1"/>
  <c r="J84" i="1"/>
  <c r="D84" i="1"/>
  <c r="O82" i="1"/>
  <c r="N82" i="1"/>
  <c r="Q81" i="1"/>
  <c r="M81" i="1"/>
  <c r="L81" i="1"/>
  <c r="K81" i="1"/>
  <c r="J81" i="1"/>
  <c r="D81" i="1" s="1"/>
  <c r="E81" i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 s="1"/>
  <c r="Q78" i="1"/>
  <c r="M78" i="1"/>
  <c r="L78" i="1"/>
  <c r="K78" i="1"/>
  <c r="E78" i="1" s="1"/>
  <c r="J78" i="1"/>
  <c r="D78" i="1" s="1"/>
  <c r="Q75" i="1"/>
  <c r="P75" i="1"/>
  <c r="M75" i="1"/>
  <c r="L75" i="1"/>
  <c r="J75" i="1"/>
  <c r="K75" i="1" s="1"/>
  <c r="E75" i="1" s="1"/>
  <c r="D75" i="1"/>
  <c r="O73" i="1"/>
  <c r="N73" i="1"/>
  <c r="Q72" i="1"/>
  <c r="P72" i="1"/>
  <c r="M72" i="1"/>
  <c r="L72" i="1"/>
  <c r="J72" i="1"/>
  <c r="K72" i="1" s="1"/>
  <c r="E72" i="1" s="1"/>
  <c r="D72" i="1"/>
  <c r="M71" i="1"/>
  <c r="L71" i="1"/>
  <c r="K71" i="1"/>
  <c r="J71" i="1"/>
  <c r="Q71" i="1" s="1"/>
  <c r="E71" i="1"/>
  <c r="D71" i="1"/>
  <c r="M68" i="1"/>
  <c r="L68" i="1"/>
  <c r="D68" i="1"/>
  <c r="O66" i="1"/>
  <c r="N66" i="1"/>
  <c r="P65" i="1"/>
  <c r="M65" i="1"/>
  <c r="L65" i="1"/>
  <c r="J65" i="1"/>
  <c r="Q65" i="1" s="1"/>
  <c r="D65" i="1"/>
  <c r="Q64" i="1"/>
  <c r="M64" i="1"/>
  <c r="L64" i="1"/>
  <c r="J64" i="1"/>
  <c r="P64" i="1" s="1"/>
  <c r="D64" i="1"/>
  <c r="P63" i="1"/>
  <c r="M63" i="1"/>
  <c r="L63" i="1"/>
  <c r="J63" i="1"/>
  <c r="Q63" i="1" s="1"/>
  <c r="D63" i="1"/>
  <c r="Q62" i="1"/>
  <c r="M62" i="1"/>
  <c r="L62" i="1"/>
  <c r="J62" i="1"/>
  <c r="P62" i="1" s="1"/>
  <c r="D62" i="1"/>
  <c r="P61" i="1"/>
  <c r="M61" i="1"/>
  <c r="L61" i="1"/>
  <c r="J61" i="1"/>
  <c r="Q61" i="1" s="1"/>
  <c r="D61" i="1"/>
  <c r="Q60" i="1"/>
  <c r="M60" i="1"/>
  <c r="L60" i="1"/>
  <c r="J60" i="1"/>
  <c r="P60" i="1" s="1"/>
  <c r="D60" i="1"/>
  <c r="P59" i="1"/>
  <c r="M59" i="1"/>
  <c r="L59" i="1"/>
  <c r="J59" i="1"/>
  <c r="Q59" i="1" s="1"/>
  <c r="D59" i="1"/>
  <c r="Q58" i="1"/>
  <c r="M58" i="1"/>
  <c r="L58" i="1"/>
  <c r="J58" i="1"/>
  <c r="P58" i="1" s="1"/>
  <c r="D58" i="1"/>
  <c r="P57" i="1"/>
  <c r="M57" i="1"/>
  <c r="L57" i="1"/>
  <c r="J57" i="1"/>
  <c r="Q57" i="1" s="1"/>
  <c r="D57" i="1"/>
  <c r="Q56" i="1"/>
  <c r="M56" i="1"/>
  <c r="L56" i="1"/>
  <c r="J56" i="1"/>
  <c r="P56" i="1" s="1"/>
  <c r="D56" i="1"/>
  <c r="P55" i="1"/>
  <c r="M55" i="1"/>
  <c r="L55" i="1"/>
  <c r="J55" i="1"/>
  <c r="Q55" i="1" s="1"/>
  <c r="D55" i="1"/>
  <c r="Q54" i="1"/>
  <c r="M54" i="1"/>
  <c r="L54" i="1"/>
  <c r="J54" i="1"/>
  <c r="P54" i="1" s="1"/>
  <c r="D54" i="1"/>
  <c r="P53" i="1"/>
  <c r="M53" i="1"/>
  <c r="L53" i="1"/>
  <c r="J53" i="1"/>
  <c r="Q53" i="1" s="1"/>
  <c r="D53" i="1"/>
  <c r="Q52" i="1"/>
  <c r="M52" i="1"/>
  <c r="L52" i="1"/>
  <c r="J52" i="1"/>
  <c r="D52" i="1"/>
  <c r="M51" i="1"/>
  <c r="L51" i="1"/>
  <c r="J51" i="1"/>
  <c r="Q51" i="1" s="1"/>
  <c r="Q50" i="1"/>
  <c r="P50" i="1"/>
  <c r="M50" i="1"/>
  <c r="L50" i="1"/>
  <c r="J50" i="1"/>
  <c r="D50" i="1"/>
  <c r="O47" i="1"/>
  <c r="N47" i="1"/>
  <c r="Q45" i="1"/>
  <c r="M45" i="1"/>
  <c r="L45" i="1"/>
  <c r="K45" i="1"/>
  <c r="J45" i="1"/>
  <c r="D45" i="1" s="1"/>
  <c r="E45" i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J43" i="1"/>
  <c r="E43" i="1"/>
  <c r="D43" i="1"/>
  <c r="Q42" i="1"/>
  <c r="M42" i="1"/>
  <c r="L42" i="1"/>
  <c r="K42" i="1"/>
  <c r="J42" i="1"/>
  <c r="D42" i="1" s="1"/>
  <c r="E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J40" i="1"/>
  <c r="E40" i="1"/>
  <c r="D40" i="1"/>
  <c r="Q39" i="1"/>
  <c r="M39" i="1"/>
  <c r="L39" i="1"/>
  <c r="K39" i="1"/>
  <c r="J39" i="1"/>
  <c r="D39" i="1" s="1"/>
  <c r="E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P34" i="1"/>
  <c r="M34" i="1"/>
  <c r="L34" i="1"/>
  <c r="K34" i="1"/>
  <c r="J34" i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P31" i="1"/>
  <c r="M31" i="1"/>
  <c r="L31" i="1"/>
  <c r="K31" i="1"/>
  <c r="J31" i="1"/>
  <c r="E31" i="1"/>
  <c r="D31" i="1"/>
  <c r="K30" i="1"/>
  <c r="J30" i="1"/>
  <c r="E30" i="1"/>
  <c r="D30" i="1"/>
  <c r="Q29" i="1"/>
  <c r="P29" i="1"/>
  <c r="M29" i="1"/>
  <c r="L29" i="1"/>
  <c r="K29" i="1"/>
  <c r="J29" i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J26" i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P23" i="1"/>
  <c r="M23" i="1"/>
  <c r="L23" i="1"/>
  <c r="K23" i="1"/>
  <c r="J23" i="1"/>
  <c r="E23" i="1"/>
  <c r="D23" i="1"/>
  <c r="Q22" i="1"/>
  <c r="L22" i="1"/>
  <c r="K22" i="1"/>
  <c r="E22" i="1" s="1"/>
  <c r="J22" i="1"/>
  <c r="D22" i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E20" i="1" s="1"/>
  <c r="J20" i="1"/>
  <c r="D20" i="1" s="1"/>
  <c r="Q19" i="1"/>
  <c r="M19" i="1"/>
  <c r="L19" i="1"/>
  <c r="K19" i="1"/>
  <c r="E19" i="1" s="1"/>
  <c r="J19" i="1"/>
  <c r="P19" i="1" s="1"/>
  <c r="D19" i="1"/>
  <c r="E18" i="1"/>
  <c r="D18" i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E16" i="1" s="1"/>
  <c r="J16" i="1"/>
  <c r="D16" i="1"/>
  <c r="Q15" i="1"/>
  <c r="M15" i="1"/>
  <c r="L15" i="1"/>
  <c r="K15" i="1"/>
  <c r="J15" i="1"/>
  <c r="D15" i="1" s="1"/>
  <c r="E15" i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E13" i="1" s="1"/>
  <c r="J13" i="1"/>
  <c r="D13" i="1"/>
  <c r="Q12" i="1"/>
  <c r="M12" i="1"/>
  <c r="L12" i="1"/>
  <c r="K12" i="1"/>
  <c r="J12" i="1"/>
  <c r="D12" i="1" s="1"/>
  <c r="E12" i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E10" i="1" s="1"/>
  <c r="J10" i="1"/>
  <c r="D10" i="1"/>
  <c r="Q9" i="1"/>
  <c r="M9" i="1"/>
  <c r="L9" i="1"/>
  <c r="K9" i="1"/>
  <c r="J9" i="1"/>
  <c r="D9" i="1" s="1"/>
  <c r="E9" i="1"/>
  <c r="D51" i="1" l="1"/>
  <c r="P9" i="1"/>
  <c r="P15" i="1"/>
  <c r="P42" i="1"/>
  <c r="P51" i="1"/>
  <c r="P71" i="1"/>
  <c r="P39" i="1"/>
  <c r="P12" i="1"/>
</calcChain>
</file>

<file path=xl/sharedStrings.xml><?xml version="1.0" encoding="utf-8"?>
<sst xmlns="http://schemas.openxmlformats.org/spreadsheetml/2006/main" count="269" uniqueCount="185">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</sst>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9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0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5" applyNumberFormat="1" applyFont="1" applyFill="1" applyBorder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5" applyNumberFormat="1" applyFont="1" applyFill="1" applyBorder="1"/>
    <xf numFmtId="164" fontId="15" fillId="5" borderId="0" xfId="5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166" fontId="15" fillId="5" borderId="0" xfId="5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5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" xfId="3" xr:uid="{57C4A406-C549-4CD1-80F4-71FBA007E229}"/>
    <cellStyle name="Comma 5 2 2 2 2 2 2 2 2 2 2 2" xfId="4" xr:uid="{635404B2-0457-4C13-881A-53056B921BF2}"/>
    <cellStyle name="Comma 6 2 2 2 2 2 2" xfId="5" xr:uid="{C326C30B-24C9-4296-BCC7-28D9FCE6AB89}"/>
    <cellStyle name="Hyperlink 2" xfId="8" xr:uid="{18B4561E-5C7A-43F9-B51A-2350ACEEC76C}"/>
    <cellStyle name="Normal" xfId="0" builtinId="0"/>
    <cellStyle name="Normal 2" xfId="2" xr:uid="{A8F9BD49-1B92-492B-99B7-068CDC0E9D4C}"/>
    <cellStyle name="Normal 20" xfId="7" xr:uid="{62813AD5-2F2C-4D1F-ADFE-6E1A79AC210F}"/>
    <cellStyle name="Percent" xfId="1" builtinId="5"/>
    <cellStyle name="Percent 3" xfId="6" xr:uid="{47D15546-CED7-424B-B5B2-78ECC0324E65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29836684-99B7-4F19-BC4F-F74734097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648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C34A1D7A-4C4B-4168-82B9-A3538687F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52272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C4053-09AF-4B8F-B750-64A325144CF9}">
  <dimension ref="A1:II107"/>
  <sheetViews>
    <sheetView tabSelected="1" topLeftCell="A34" zoomScale="70" zoomScaleNormal="70" workbookViewId="0">
      <selection activeCell="T45" sqref="T45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6.3320312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26.793299999999999</v>
      </c>
      <c r="K5" s="22"/>
      <c r="L5" s="147" t="s">
        <v>12</v>
      </c>
      <c r="M5" s="148"/>
      <c r="N5" s="23" t="s">
        <v>13</v>
      </c>
      <c r="O5" s="24"/>
      <c r="P5" s="24"/>
      <c r="Q5" s="25"/>
    </row>
    <row r="6" spans="1:19" ht="6.6" customHeight="1" x14ac:dyDescent="0.3">
      <c r="A6" s="137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40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81143198.962053955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0.64381767083561936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47">
        <v>100</v>
      </c>
      <c r="O9" s="37">
        <v>1725</v>
      </c>
      <c r="P9" s="48">
        <f t="shared" ref="P9:P17" si="5">(R9)/J9</f>
        <v>2.3298521739130433E-2</v>
      </c>
      <c r="Q9" s="49">
        <f t="shared" ref="Q9:Q17" si="6">I9/G9-1</f>
        <v>0.91890538962122492</v>
      </c>
      <c r="R9" s="50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3287128.5808692845</v>
      </c>
      <c r="E10" s="39">
        <f t="shared" si="1"/>
        <v>2752281.9439314064</v>
      </c>
      <c r="F10" s="40" t="s">
        <v>34</v>
      </c>
      <c r="G10" s="41">
        <v>3.1600000000000003E-2</v>
      </c>
      <c r="H10" s="42">
        <v>5.4119E-2</v>
      </c>
      <c r="I10" s="43">
        <v>5.4119E-2</v>
      </c>
      <c r="J10" s="44">
        <f t="shared" ref="J10:J17" si="7">I10/$J$5</f>
        <v>2.0198706393016164E-3</v>
      </c>
      <c r="K10" s="45">
        <f t="shared" si="2"/>
        <v>1.69121875E-3</v>
      </c>
      <c r="L10" s="46">
        <f t="shared" si="3"/>
        <v>0</v>
      </c>
      <c r="M10" s="46">
        <f t="shared" si="4"/>
        <v>0</v>
      </c>
      <c r="N10" s="51">
        <v>0</v>
      </c>
      <c r="O10" s="37">
        <v>0</v>
      </c>
      <c r="P10" s="52">
        <f t="shared" si="5"/>
        <v>0</v>
      </c>
      <c r="Q10" s="49">
        <f t="shared" si="6"/>
        <v>0.71262658227848097</v>
      </c>
      <c r="R10" s="50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3547251.5734344041</v>
      </c>
      <c r="E11" s="39">
        <f t="shared" si="1"/>
        <v>2970080.4869531249</v>
      </c>
      <c r="F11" s="40" t="s">
        <v>39</v>
      </c>
      <c r="G11" s="41">
        <v>7.8E-2</v>
      </c>
      <c r="H11" s="42">
        <v>0.2175</v>
      </c>
      <c r="I11" s="43">
        <v>0.2175</v>
      </c>
      <c r="J11" s="44">
        <f t="shared" si="7"/>
        <v>8.1177010670578104E-3</v>
      </c>
      <c r="K11" s="45">
        <f t="shared" si="2"/>
        <v>6.796875E-3</v>
      </c>
      <c r="L11" s="46">
        <f t="shared" si="3"/>
        <v>0</v>
      </c>
      <c r="M11" s="46">
        <f t="shared" si="4"/>
        <v>0</v>
      </c>
      <c r="N11" s="51">
        <v>0</v>
      </c>
      <c r="O11" s="37">
        <v>0</v>
      </c>
      <c r="P11" s="52">
        <f t="shared" si="5"/>
        <v>0</v>
      </c>
      <c r="Q11" s="49">
        <f t="shared" si="6"/>
        <v>1.7884615384615383</v>
      </c>
      <c r="R11" s="50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130916593.82164574</v>
      </c>
      <c r="E12" s="39">
        <f t="shared" si="1"/>
        <v>109615236.66379689</v>
      </c>
      <c r="F12" s="40" t="s">
        <v>34</v>
      </c>
      <c r="G12" s="41">
        <v>97.381</v>
      </c>
      <c r="H12" s="42">
        <v>169.99950000000001</v>
      </c>
      <c r="I12" s="43">
        <v>169.99950000000001</v>
      </c>
      <c r="J12" s="44">
        <f t="shared" si="7"/>
        <v>6.3448511381576749</v>
      </c>
      <c r="K12" s="45">
        <f t="shared" si="2"/>
        <v>5.3124843750000004</v>
      </c>
      <c r="L12" s="46">
        <f t="shared" si="3"/>
        <v>0</v>
      </c>
      <c r="M12" s="46">
        <f t="shared" si="4"/>
        <v>0</v>
      </c>
      <c r="N12" s="51">
        <v>0</v>
      </c>
      <c r="O12" s="37">
        <v>0</v>
      </c>
      <c r="P12" s="52">
        <f t="shared" si="5"/>
        <v>0</v>
      </c>
      <c r="Q12" s="49">
        <f t="shared" si="6"/>
        <v>0.74571528326881031</v>
      </c>
      <c r="R12" s="50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8150459.2566051958</v>
      </c>
      <c r="E13" s="39">
        <f t="shared" si="1"/>
        <v>6824303.125</v>
      </c>
      <c r="F13" s="40" t="s">
        <v>44</v>
      </c>
      <c r="G13" s="41">
        <v>13.6</v>
      </c>
      <c r="H13" s="42">
        <v>25</v>
      </c>
      <c r="I13" s="43">
        <v>25</v>
      </c>
      <c r="J13" s="44">
        <f t="shared" si="7"/>
        <v>0.93306908816756429</v>
      </c>
      <c r="K13" s="45">
        <f t="shared" si="2"/>
        <v>0.78125</v>
      </c>
      <c r="L13" s="46">
        <f t="shared" si="3"/>
        <v>0</v>
      </c>
      <c r="M13" s="46">
        <f t="shared" si="4"/>
        <v>0</v>
      </c>
      <c r="N13" s="51">
        <v>0</v>
      </c>
      <c r="O13" s="37">
        <v>0</v>
      </c>
      <c r="P13" s="52">
        <f t="shared" si="5"/>
        <v>0</v>
      </c>
      <c r="Q13" s="49">
        <f t="shared" si="6"/>
        <v>0.83823529411764719</v>
      </c>
      <c r="R13" s="50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760775738.81182992</v>
      </c>
      <c r="E14" s="39">
        <f t="shared" si="1"/>
        <v>636990393.83459377</v>
      </c>
      <c r="F14" s="40" t="s">
        <v>47</v>
      </c>
      <c r="G14" s="41">
        <v>11.5</v>
      </c>
      <c r="H14" s="42">
        <v>38.999499999999998</v>
      </c>
      <c r="I14" s="43">
        <v>38.9998</v>
      </c>
      <c r="J14" s="44">
        <f t="shared" si="7"/>
        <v>1.4555803129886951</v>
      </c>
      <c r="K14" s="45">
        <f t="shared" si="2"/>
        <v>1.21874375</v>
      </c>
      <c r="L14" s="46">
        <f t="shared" si="3"/>
        <v>3.0000000000285354E-4</v>
      </c>
      <c r="M14" s="46">
        <f t="shared" si="4"/>
        <v>7.692406312974616E-4</v>
      </c>
      <c r="N14" s="51">
        <v>1000</v>
      </c>
      <c r="O14" s="37">
        <v>38999.800000000003</v>
      </c>
      <c r="P14" s="52">
        <f t="shared" si="5"/>
        <v>0</v>
      </c>
      <c r="Q14" s="49">
        <f t="shared" si="6"/>
        <v>2.3912869565217392</v>
      </c>
      <c r="R14" s="50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27310374.531599317</v>
      </c>
      <c r="E15" s="39">
        <f t="shared" si="1"/>
        <v>22866720.560546871</v>
      </c>
      <c r="F15" s="40" t="s">
        <v>34</v>
      </c>
      <c r="G15" s="41">
        <v>5.39</v>
      </c>
      <c r="H15" s="42">
        <v>6.9004999999999992</v>
      </c>
      <c r="I15" s="43">
        <v>6.9004999999999992</v>
      </c>
      <c r="J15" s="44">
        <f t="shared" si="7"/>
        <v>0.25754572971601108</v>
      </c>
      <c r="K15" s="45">
        <f t="shared" si="2"/>
        <v>0.21564062499999997</v>
      </c>
      <c r="L15" s="46">
        <f t="shared" si="3"/>
        <v>0</v>
      </c>
      <c r="M15" s="46">
        <f t="shared" si="4"/>
        <v>0</v>
      </c>
      <c r="N15" s="51">
        <v>0</v>
      </c>
      <c r="O15" s="37">
        <v>0</v>
      </c>
      <c r="P15" s="52">
        <f t="shared" si="5"/>
        <v>0</v>
      </c>
      <c r="Q15" s="49">
        <f t="shared" si="6"/>
        <v>0.28024118738404447</v>
      </c>
      <c r="R15" s="50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80102680.286116317</v>
      </c>
      <c r="E16" s="39">
        <f t="shared" si="1"/>
        <v>67069223.240937501</v>
      </c>
      <c r="F16" s="40" t="s">
        <v>34</v>
      </c>
      <c r="G16" s="41">
        <v>1.9</v>
      </c>
      <c r="H16" s="42">
        <v>5.9950000000000001</v>
      </c>
      <c r="I16" s="43">
        <v>5.9950000000000001</v>
      </c>
      <c r="J16" s="44">
        <f t="shared" si="7"/>
        <v>0.22374996734258193</v>
      </c>
      <c r="K16" s="45">
        <f t="shared" si="2"/>
        <v>0.18734375</v>
      </c>
      <c r="L16" s="46">
        <f t="shared" si="3"/>
        <v>0</v>
      </c>
      <c r="M16" s="46">
        <f t="shared" si="4"/>
        <v>0</v>
      </c>
      <c r="N16" s="51">
        <v>0</v>
      </c>
      <c r="O16" s="37">
        <v>0</v>
      </c>
      <c r="P16" s="52">
        <f t="shared" si="5"/>
        <v>0.22346371976647206</v>
      </c>
      <c r="Q16" s="49">
        <f t="shared" si="6"/>
        <v>2.155263157894737</v>
      </c>
      <c r="R16" s="50">
        <v>0.05</v>
      </c>
      <c r="S16" s="53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1412084468.7156866</v>
      </c>
      <c r="E17" s="39">
        <f t="shared" si="1"/>
        <v>1182325087.36375</v>
      </c>
      <c r="F17" s="40" t="s">
        <v>34</v>
      </c>
      <c r="G17" s="41">
        <v>20.701700000000002</v>
      </c>
      <c r="H17" s="42">
        <v>28.009599999999999</v>
      </c>
      <c r="I17" s="43">
        <v>28.071999999999999</v>
      </c>
      <c r="J17" s="44">
        <f t="shared" si="7"/>
        <v>1.0477246177215946</v>
      </c>
      <c r="K17" s="45">
        <f t="shared" si="2"/>
        <v>0.87724999999999997</v>
      </c>
      <c r="L17" s="46">
        <f t="shared" si="3"/>
        <v>6.2400000000000233E-2</v>
      </c>
      <c r="M17" s="46">
        <f t="shared" si="4"/>
        <v>0.22278076088198417</v>
      </c>
      <c r="N17" s="51">
        <v>49500</v>
      </c>
      <c r="O17" s="37">
        <v>1389563.95</v>
      </c>
      <c r="P17" s="48">
        <f t="shared" si="5"/>
        <v>0</v>
      </c>
      <c r="Q17" s="49">
        <f t="shared" si="6"/>
        <v>0.35602390141872386</v>
      </c>
      <c r="R17" s="50"/>
    </row>
    <row r="18" spans="1:19" ht="11.25" hidden="1" customHeight="1" x14ac:dyDescent="0.25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338566881.06728178</v>
      </c>
      <c r="E19" s="39">
        <f t="shared" si="1"/>
        <v>283478875.453125</v>
      </c>
      <c r="F19" s="40" t="s">
        <v>47</v>
      </c>
      <c r="G19" s="41">
        <v>12.45</v>
      </c>
      <c r="H19" s="42">
        <v>13.5</v>
      </c>
      <c r="I19" s="43">
        <v>13.5</v>
      </c>
      <c r="J19" s="44">
        <f t="shared" ref="J19:J45" si="8">I19/$J$5</f>
        <v>0.50385730761048475</v>
      </c>
      <c r="K19" s="45">
        <f t="shared" ref="K19:K45" si="9">I19/$K$4</f>
        <v>0.421875</v>
      </c>
      <c r="L19" s="46">
        <f t="shared" ref="L19:L29" si="10">I19-H19</f>
        <v>0</v>
      </c>
      <c r="M19" s="46">
        <f>((I19-H19)/H19)*100</f>
        <v>0</v>
      </c>
      <c r="N19" s="51">
        <v>0</v>
      </c>
      <c r="O19" s="37">
        <v>0</v>
      </c>
      <c r="P19" s="52">
        <f>(R19)/J19</f>
        <v>0</v>
      </c>
      <c r="Q19" s="49">
        <f t="shared" ref="Q19:Q29" si="11">I19/G19-1</f>
        <v>8.4337349397590522E-2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3780745.956265186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3.4710170079833395E-2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1">
        <v>0</v>
      </c>
      <c r="O20" s="37">
        <v>0</v>
      </c>
      <c r="P20" s="52">
        <f>(R20)/J20</f>
        <v>0</v>
      </c>
      <c r="Q20" s="49">
        <f t="shared" si="11"/>
        <v>1.6571428571428575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76887767.990505099</v>
      </c>
      <c r="E21" s="39">
        <f t="shared" si="1"/>
        <v>64377407.315624997</v>
      </c>
      <c r="F21" s="40" t="s">
        <v>47</v>
      </c>
      <c r="G21" s="41">
        <v>2.85</v>
      </c>
      <c r="H21" s="42">
        <v>2.9849999999999999</v>
      </c>
      <c r="I21" s="43">
        <v>2.9849999999999999</v>
      </c>
      <c r="J21" s="44">
        <f t="shared" si="8"/>
        <v>0.11140844912720718</v>
      </c>
      <c r="K21" s="45">
        <f t="shared" si="9"/>
        <v>9.3281249999999996E-2</v>
      </c>
      <c r="L21" s="46">
        <f t="shared" si="10"/>
        <v>0</v>
      </c>
      <c r="M21" s="46">
        <f>((I21-H21)/H21)*100</f>
        <v>0</v>
      </c>
      <c r="N21" s="51">
        <v>0</v>
      </c>
      <c r="O21" s="37">
        <v>0</v>
      </c>
      <c r="P21" s="52">
        <f>(R21)/J21</f>
        <v>0</v>
      </c>
      <c r="Q21" s="49">
        <f t="shared" si="11"/>
        <v>4.7368421052631504E-2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2000313.8192706015</v>
      </c>
      <c r="E23" s="39">
        <f t="shared" si="1"/>
        <v>1674844.0079332187</v>
      </c>
      <c r="F23" s="40" t="s">
        <v>44</v>
      </c>
      <c r="G23" s="41">
        <v>0.1</v>
      </c>
      <c r="H23" s="42">
        <v>0.1</v>
      </c>
      <c r="I23" s="43">
        <v>9.9880999999999998E-2</v>
      </c>
      <c r="J23" s="44">
        <f t="shared" si="8"/>
        <v>3.7278349438105798E-3</v>
      </c>
      <c r="K23" s="45">
        <f t="shared" si="9"/>
        <v>3.1212812499999999E-3</v>
      </c>
      <c r="L23" s="46">
        <f t="shared" si="10"/>
        <v>-1.1900000000000799E-4</v>
      </c>
      <c r="M23" s="46">
        <f t="shared" ref="M23:M29" si="12">((I23-H23)/H23)*100</f>
        <v>-0.11900000000000799</v>
      </c>
      <c r="N23" s="51">
        <v>4200</v>
      </c>
      <c r="O23" s="37">
        <v>419.5</v>
      </c>
      <c r="P23" s="52">
        <f t="shared" ref="P23:P29" si="13">(R23)/J23</f>
        <v>0</v>
      </c>
      <c r="Q23" s="49">
        <f t="shared" si="11"/>
        <v>-1.1900000000000244E-3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66138177.510926992</v>
      </c>
      <c r="E24" s="39">
        <f t="shared" si="1"/>
        <v>55376875.984485</v>
      </c>
      <c r="F24" s="40" t="s">
        <v>34</v>
      </c>
      <c r="G24" s="41">
        <v>8.1687659999999997</v>
      </c>
      <c r="H24" s="42">
        <v>9.2672729999999994</v>
      </c>
      <c r="I24" s="43">
        <v>9.1806800000000006</v>
      </c>
      <c r="J24" s="44">
        <f t="shared" si="8"/>
        <v>0.34264834865432781</v>
      </c>
      <c r="K24" s="45">
        <f t="shared" si="9"/>
        <v>0.28689625000000002</v>
      </c>
      <c r="L24" s="46">
        <f t="shared" si="10"/>
        <v>-8.659299999999881E-2</v>
      </c>
      <c r="M24" s="46">
        <f t="shared" si="12"/>
        <v>-0.93439569547588397</v>
      </c>
      <c r="N24" s="51">
        <v>38900</v>
      </c>
      <c r="O24" s="37">
        <v>357128.45</v>
      </c>
      <c r="P24" s="48">
        <f t="shared" si="13"/>
        <v>4.3776659245284656E-2</v>
      </c>
      <c r="Q24" s="49">
        <f t="shared" si="11"/>
        <v>0.12387599302024332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100146625.24996921</v>
      </c>
      <c r="E25" s="39">
        <f t="shared" si="1"/>
        <v>83851830.447187498</v>
      </c>
      <c r="F25" s="40" t="s">
        <v>66</v>
      </c>
      <c r="G25" s="41">
        <v>1.6675</v>
      </c>
      <c r="H25" s="42">
        <v>1.6</v>
      </c>
      <c r="I25" s="43">
        <v>1.59</v>
      </c>
      <c r="J25" s="44">
        <f t="shared" si="8"/>
        <v>5.9343194007457092E-2</v>
      </c>
      <c r="K25" s="45">
        <f t="shared" si="9"/>
        <v>4.9687500000000002E-2</v>
      </c>
      <c r="L25" s="46">
        <f t="shared" si="10"/>
        <v>-1.0000000000000009E-2</v>
      </c>
      <c r="M25" s="46">
        <f t="shared" si="12"/>
        <v>-0.62500000000000056</v>
      </c>
      <c r="N25" s="51">
        <v>400</v>
      </c>
      <c r="O25" s="37">
        <v>636</v>
      </c>
      <c r="P25" s="52">
        <f t="shared" si="13"/>
        <v>0</v>
      </c>
      <c r="Q25" s="49">
        <f t="shared" si="11"/>
        <v>-4.6476761619190343E-2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27250608.411431216</v>
      </c>
      <c r="E26" s="39">
        <f t="shared" si="1"/>
        <v>22816678.948437497</v>
      </c>
      <c r="F26" s="40" t="s">
        <v>44</v>
      </c>
      <c r="G26" s="41">
        <v>1.7994999999999999</v>
      </c>
      <c r="H26" s="42">
        <v>2.99</v>
      </c>
      <c r="I26" s="43">
        <v>3.05</v>
      </c>
      <c r="J26" s="44">
        <f t="shared" si="8"/>
        <v>0.11383442875644284</v>
      </c>
      <c r="K26" s="45">
        <f t="shared" si="9"/>
        <v>9.5312499999999994E-2</v>
      </c>
      <c r="L26" s="46">
        <f t="shared" si="10"/>
        <v>5.9999999999999609E-2</v>
      </c>
      <c r="M26" s="46">
        <f t="shared" si="12"/>
        <v>2.006688963210689</v>
      </c>
      <c r="N26" s="51">
        <v>100</v>
      </c>
      <c r="O26" s="37">
        <v>305</v>
      </c>
      <c r="P26" s="52">
        <f t="shared" si="13"/>
        <v>0</v>
      </c>
      <c r="Q26" s="49">
        <f t="shared" si="11"/>
        <v>0.69491525423728806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22968509.114312161</v>
      </c>
      <c r="E27" s="39">
        <f t="shared" si="1"/>
        <v>19231317.351640623</v>
      </c>
      <c r="F27" s="40" t="s">
        <v>34</v>
      </c>
      <c r="G27" s="41">
        <v>3.1361369999999997</v>
      </c>
      <c r="H27" s="42">
        <v>2.4024999999999999</v>
      </c>
      <c r="I27" s="43">
        <v>2.4024999999999999</v>
      </c>
      <c r="J27" s="44">
        <f t="shared" si="8"/>
        <v>8.9667939372902933E-2</v>
      </c>
      <c r="K27" s="45">
        <f t="shared" si="9"/>
        <v>7.5078124999999996E-2</v>
      </c>
      <c r="L27" s="46">
        <f t="shared" si="10"/>
        <v>0</v>
      </c>
      <c r="M27" s="46">
        <f t="shared" si="12"/>
        <v>0</v>
      </c>
      <c r="N27" s="51">
        <v>16000</v>
      </c>
      <c r="O27" s="37">
        <v>38440</v>
      </c>
      <c r="P27" s="52">
        <f t="shared" si="13"/>
        <v>0</v>
      </c>
      <c r="Q27" s="49">
        <f t="shared" si="11"/>
        <v>-0.233930150372895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25382587.844722379</v>
      </c>
      <c r="E28" s="39">
        <f t="shared" si="1"/>
        <v>21252602.840624999</v>
      </c>
      <c r="F28" s="40" t="s">
        <v>44</v>
      </c>
      <c r="G28" s="41">
        <v>0.8</v>
      </c>
      <c r="H28" s="42">
        <v>0.9</v>
      </c>
      <c r="I28" s="43">
        <v>0.9</v>
      </c>
      <c r="J28" s="44">
        <f t="shared" si="8"/>
        <v>3.3590487174032319E-2</v>
      </c>
      <c r="K28" s="45">
        <f t="shared" si="9"/>
        <v>2.8125000000000001E-2</v>
      </c>
      <c r="L28" s="46">
        <f t="shared" si="10"/>
        <v>0</v>
      </c>
      <c r="M28" s="46">
        <f t="shared" si="12"/>
        <v>0</v>
      </c>
      <c r="N28" s="51">
        <v>0</v>
      </c>
      <c r="O28" s="37">
        <v>0</v>
      </c>
      <c r="P28" s="52">
        <f t="shared" si="13"/>
        <v>0</v>
      </c>
      <c r="Q28" s="49">
        <f t="shared" si="11"/>
        <v>0.125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114154385.55832987</v>
      </c>
      <c r="E29" s="39">
        <f t="shared" si="1"/>
        <v>95580396.830624998</v>
      </c>
      <c r="F29" s="40" t="s">
        <v>47</v>
      </c>
      <c r="G29" s="41">
        <v>5.15</v>
      </c>
      <c r="H29" s="42">
        <v>6.81</v>
      </c>
      <c r="I29" s="43">
        <v>6.81</v>
      </c>
      <c r="J29" s="44">
        <f t="shared" si="8"/>
        <v>0.25416801961684449</v>
      </c>
      <c r="K29" s="45">
        <f t="shared" si="9"/>
        <v>0.21281249999999999</v>
      </c>
      <c r="L29" s="46">
        <f t="shared" si="10"/>
        <v>0</v>
      </c>
      <c r="M29" s="46">
        <f t="shared" si="12"/>
        <v>0</v>
      </c>
      <c r="N29" s="51">
        <v>0</v>
      </c>
      <c r="O29" s="37">
        <v>0</v>
      </c>
      <c r="P29" s="52">
        <f t="shared" si="13"/>
        <v>0</v>
      </c>
      <c r="Q29" s="49">
        <f t="shared" si="11"/>
        <v>0.32233009708737836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13869466.101600027</v>
      </c>
      <c r="E31" s="39">
        <f t="shared" si="1"/>
        <v>11612773.940624999</v>
      </c>
      <c r="F31" s="40" t="s">
        <v>39</v>
      </c>
      <c r="G31" s="41">
        <v>1.4</v>
      </c>
      <c r="H31" s="42">
        <v>1.5400389999999999</v>
      </c>
      <c r="I31" s="43">
        <v>1.43</v>
      </c>
      <c r="J31" s="44">
        <f t="shared" si="8"/>
        <v>5.3371551843184678E-2</v>
      </c>
      <c r="K31" s="45">
        <f t="shared" si="9"/>
        <v>4.4687499999999998E-2</v>
      </c>
      <c r="L31" s="46">
        <f t="shared" ref="L31:L45" si="14">I31-H31</f>
        <v>-0.110039</v>
      </c>
      <c r="M31" s="46">
        <f t="shared" ref="M31:M45" si="15">((I31-H31)/H31)*100</f>
        <v>-7.1452086603001614</v>
      </c>
      <c r="N31" s="51">
        <v>71400</v>
      </c>
      <c r="O31" s="37">
        <v>102102</v>
      </c>
      <c r="P31" s="52">
        <f t="shared" ref="P31:P36" si="16">(R31)/J31</f>
        <v>0</v>
      </c>
      <c r="Q31" s="49">
        <f t="shared" ref="Q31:Q45" si="17">I31/G31-1</f>
        <v>2.1428571428571352E-2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4463387.5110568684</v>
      </c>
      <c r="E32" s="39">
        <f t="shared" si="1"/>
        <v>3737152.5187499998</v>
      </c>
      <c r="F32" s="40" t="s">
        <v>39</v>
      </c>
      <c r="G32" s="41">
        <v>0.65</v>
      </c>
      <c r="H32" s="42">
        <v>0.98</v>
      </c>
      <c r="I32" s="43">
        <v>0.98</v>
      </c>
      <c r="J32" s="44">
        <f t="shared" si="8"/>
        <v>3.6576308256168519E-2</v>
      </c>
      <c r="K32" s="45">
        <f t="shared" si="9"/>
        <v>3.0624999999999999E-2</v>
      </c>
      <c r="L32" s="46">
        <f t="shared" si="14"/>
        <v>0</v>
      </c>
      <c r="M32" s="46">
        <f t="shared" si="15"/>
        <v>0</v>
      </c>
      <c r="N32" s="51">
        <v>0</v>
      </c>
      <c r="O32" s="37">
        <v>0</v>
      </c>
      <c r="P32" s="52">
        <f t="shared" si="16"/>
        <v>0</v>
      </c>
      <c r="Q32" s="49">
        <f t="shared" si="17"/>
        <v>0.50769230769230766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120475863.15722166</v>
      </c>
      <c r="E33" s="39">
        <f t="shared" si="1"/>
        <v>100873310.7603246</v>
      </c>
      <c r="F33" s="40" t="s">
        <v>92</v>
      </c>
      <c r="G33" s="41">
        <v>1.44</v>
      </c>
      <c r="H33" s="42">
        <v>1.29</v>
      </c>
      <c r="I33" s="43">
        <v>1.293509</v>
      </c>
      <c r="J33" s="44">
        <f t="shared" si="8"/>
        <v>4.827733052666152E-2</v>
      </c>
      <c r="K33" s="45">
        <f t="shared" si="9"/>
        <v>4.0422156250000001E-2</v>
      </c>
      <c r="L33" s="46">
        <f t="shared" si="14"/>
        <v>3.5089999999999844E-3</v>
      </c>
      <c r="M33" s="46">
        <f t="shared" si="15"/>
        <v>0.27201550387596779</v>
      </c>
      <c r="N33" s="51">
        <v>5700</v>
      </c>
      <c r="O33" s="37">
        <v>7373</v>
      </c>
      <c r="P33" s="52">
        <f t="shared" si="16"/>
        <v>0</v>
      </c>
      <c r="Q33" s="49">
        <f t="shared" si="17"/>
        <v>-0.10172986111111104</v>
      </c>
      <c r="R33" s="50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42574763.970843464</v>
      </c>
      <c r="E34" s="39">
        <f t="shared" si="1"/>
        <v>35647450.734375</v>
      </c>
      <c r="F34" s="40" t="s">
        <v>34</v>
      </c>
      <c r="G34" s="41">
        <v>3.6056249999999999</v>
      </c>
      <c r="H34" s="42">
        <v>4.5124040000000001</v>
      </c>
      <c r="I34" s="43">
        <v>4.5</v>
      </c>
      <c r="J34" s="44">
        <f t="shared" si="8"/>
        <v>0.16795243587016159</v>
      </c>
      <c r="K34" s="45">
        <f t="shared" si="9"/>
        <v>0.140625</v>
      </c>
      <c r="L34" s="46">
        <f t="shared" si="14"/>
        <v>-1.2404000000000082E-2</v>
      </c>
      <c r="M34" s="46">
        <f t="shared" si="15"/>
        <v>-0.27488673443246842</v>
      </c>
      <c r="N34" s="51">
        <v>500</v>
      </c>
      <c r="O34" s="37">
        <v>2250</v>
      </c>
      <c r="P34" s="52">
        <f t="shared" si="16"/>
        <v>0</v>
      </c>
      <c r="Q34" s="49">
        <f t="shared" si="17"/>
        <v>0.24804992199687992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9678898.1976837497</v>
      </c>
      <c r="E35" s="39">
        <f t="shared" si="1"/>
        <v>8104050.7212500004</v>
      </c>
      <c r="F35" s="40" t="s">
        <v>34</v>
      </c>
      <c r="G35" s="41">
        <v>2.5099999999999997E-2</v>
      </c>
      <c r="H35" s="42">
        <v>5.2807000000000007E-2</v>
      </c>
      <c r="I35" s="43">
        <v>5.5E-2</v>
      </c>
      <c r="J35" s="44">
        <f t="shared" si="8"/>
        <v>2.0527519939686416E-3</v>
      </c>
      <c r="K35" s="45">
        <f t="shared" si="9"/>
        <v>1.71875E-3</v>
      </c>
      <c r="L35" s="46">
        <f t="shared" si="14"/>
        <v>2.1929999999999936E-3</v>
      </c>
      <c r="M35" s="46">
        <f t="shared" si="15"/>
        <v>4.1528585225443466</v>
      </c>
      <c r="N35" s="51">
        <v>100000</v>
      </c>
      <c r="O35" s="37">
        <v>5500</v>
      </c>
      <c r="P35" s="52">
        <f t="shared" si="16"/>
        <v>0</v>
      </c>
      <c r="Q35" s="49">
        <f t="shared" si="17"/>
        <v>1.1912350597609564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69033415.922730684</v>
      </c>
      <c r="E36" s="39">
        <f t="shared" si="1"/>
        <v>57801031.963828124</v>
      </c>
      <c r="F36" s="40" t="s">
        <v>92</v>
      </c>
      <c r="G36" s="41">
        <v>0.61</v>
      </c>
      <c r="H36" s="42">
        <v>3.5205360000000003</v>
      </c>
      <c r="I36" s="43">
        <v>3.5225</v>
      </c>
      <c r="J36" s="44">
        <f t="shared" si="8"/>
        <v>0.13146943452280982</v>
      </c>
      <c r="K36" s="45">
        <f t="shared" si="9"/>
        <v>0.110078125</v>
      </c>
      <c r="L36" s="46">
        <f t="shared" si="14"/>
        <v>1.9639999999996327E-3</v>
      </c>
      <c r="M36" s="46">
        <f t="shared" si="15"/>
        <v>5.5786959712942362E-2</v>
      </c>
      <c r="N36" s="51">
        <v>100</v>
      </c>
      <c r="O36" s="37">
        <v>352.25</v>
      </c>
      <c r="P36" s="52">
        <f t="shared" si="16"/>
        <v>0</v>
      </c>
      <c r="Q36" s="49">
        <f t="shared" si="17"/>
        <v>4.7745901639344259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65324012.999213174</v>
      </c>
      <c r="E37" s="39">
        <f t="shared" si="1"/>
        <v>54695183.671619318</v>
      </c>
      <c r="F37" s="40" t="s">
        <v>56</v>
      </c>
      <c r="G37" s="41">
        <v>0.11650199999999999</v>
      </c>
      <c r="H37" s="42">
        <v>0.40180100000000002</v>
      </c>
      <c r="I37" s="43">
        <v>0.41724200000000006</v>
      </c>
      <c r="J37" s="44">
        <f t="shared" si="8"/>
        <v>1.5572624499408437E-2</v>
      </c>
      <c r="K37" s="45">
        <f t="shared" si="9"/>
        <v>1.3038812500000002E-2</v>
      </c>
      <c r="L37" s="46">
        <f t="shared" si="14"/>
        <v>1.5441000000000038E-2</v>
      </c>
      <c r="M37" s="46">
        <f t="shared" si="15"/>
        <v>3.842947130544732</v>
      </c>
      <c r="N37" s="51">
        <v>25000</v>
      </c>
      <c r="O37" s="37">
        <v>10431.049999999999</v>
      </c>
      <c r="P37" s="52">
        <v>0</v>
      </c>
      <c r="Q37" s="49">
        <f t="shared" si="17"/>
        <v>2.5814149113319949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22631014.959318191</v>
      </c>
      <c r="E38" s="39">
        <f t="shared" si="1"/>
        <v>18948736.659671877</v>
      </c>
      <c r="F38" s="40" t="s">
        <v>39</v>
      </c>
      <c r="G38" s="41">
        <v>0.1</v>
      </c>
      <c r="H38" s="42">
        <v>0.14050000000000001</v>
      </c>
      <c r="I38" s="43">
        <v>0.14050000000000001</v>
      </c>
      <c r="J38" s="44">
        <f t="shared" si="8"/>
        <v>5.2438482755017123E-3</v>
      </c>
      <c r="K38" s="45">
        <f t="shared" si="9"/>
        <v>4.3906250000000004E-3</v>
      </c>
      <c r="L38" s="46">
        <f t="shared" si="14"/>
        <v>0</v>
      </c>
      <c r="M38" s="46">
        <f t="shared" si="15"/>
        <v>0</v>
      </c>
      <c r="N38" s="51">
        <v>1000</v>
      </c>
      <c r="O38" s="37">
        <v>140.5</v>
      </c>
      <c r="P38" s="52">
        <f t="shared" ref="P38:P44" si="18">(R38)/J38</f>
        <v>0</v>
      </c>
      <c r="Q38" s="49">
        <f t="shared" si="17"/>
        <v>0.40500000000000003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7947825.5384741714</v>
      </c>
      <c r="E39" s="39">
        <f t="shared" si="1"/>
        <v>6654639.8125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7.4645527053405145E-2</v>
      </c>
      <c r="K39" s="45">
        <f t="shared" si="9"/>
        <v>6.25E-2</v>
      </c>
      <c r="L39" s="46">
        <f t="shared" si="14"/>
        <v>0</v>
      </c>
      <c r="M39" s="46">
        <f t="shared" si="15"/>
        <v>0</v>
      </c>
      <c r="N39" s="51">
        <v>0</v>
      </c>
      <c r="O39" s="37">
        <v>0</v>
      </c>
      <c r="P39" s="52">
        <f t="shared" si="18"/>
        <v>0</v>
      </c>
      <c r="Q39" s="49">
        <f t="shared" si="17"/>
        <v>0.14597550591953667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4338744.7371356273</v>
      </c>
      <c r="E40" s="39">
        <f t="shared" si="1"/>
        <v>3632790.2926717498</v>
      </c>
      <c r="F40" s="40" t="s">
        <v>39</v>
      </c>
      <c r="G40" s="41">
        <v>0.03</v>
      </c>
      <c r="H40" s="42">
        <v>7.2000000000000008E-2</v>
      </c>
      <c r="I40" s="43">
        <v>6.5381999999999996E-2</v>
      </c>
      <c r="J40" s="44">
        <f t="shared" si="8"/>
        <v>2.4402369249028675E-3</v>
      </c>
      <c r="K40" s="45">
        <f t="shared" si="9"/>
        <v>2.0431874999999999E-3</v>
      </c>
      <c r="L40" s="46">
        <f t="shared" si="14"/>
        <v>-6.6180000000000128E-3</v>
      </c>
      <c r="M40" s="46">
        <f t="shared" si="15"/>
        <v>-9.1916666666666824</v>
      </c>
      <c r="N40" s="51">
        <v>6800</v>
      </c>
      <c r="O40" s="37">
        <v>444.6</v>
      </c>
      <c r="P40" s="52">
        <f t="shared" si="18"/>
        <v>0</v>
      </c>
      <c r="Q40" s="49">
        <f t="shared" si="17"/>
        <v>1.1793999999999998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45770192.324200459</v>
      </c>
      <c r="E41" s="39">
        <f t="shared" si="1"/>
        <v>38322952.9375</v>
      </c>
      <c r="F41" s="40" t="s">
        <v>47</v>
      </c>
      <c r="G41" s="41">
        <v>4.5</v>
      </c>
      <c r="H41" s="42">
        <v>7</v>
      </c>
      <c r="I41" s="43">
        <v>7</v>
      </c>
      <c r="J41" s="44">
        <f t="shared" si="8"/>
        <v>0.26125934468691803</v>
      </c>
      <c r="K41" s="45">
        <f t="shared" si="9"/>
        <v>0.21875</v>
      </c>
      <c r="L41" s="46">
        <f t="shared" si="14"/>
        <v>0</v>
      </c>
      <c r="M41" s="46">
        <f t="shared" si="15"/>
        <v>0</v>
      </c>
      <c r="N41" s="51">
        <v>0</v>
      </c>
      <c r="O41" s="37">
        <v>0</v>
      </c>
      <c r="P41" s="52">
        <f t="shared" si="18"/>
        <v>0</v>
      </c>
      <c r="Q41" s="49">
        <f t="shared" si="17"/>
        <v>0.55555555555555558</v>
      </c>
      <c r="R41" s="50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311.27475518133269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6.7180974348064636E-7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1547849.6489794094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2.6872389739225856E-3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1">
        <v>0</v>
      </c>
      <c r="O43" s="37">
        <v>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66503730.793892503</v>
      </c>
      <c r="E44" s="39">
        <f t="shared" si="1"/>
        <v>55682950.321249999</v>
      </c>
      <c r="F44" s="40" t="s">
        <v>47</v>
      </c>
      <c r="G44" s="41">
        <v>0.9998999999999999</v>
      </c>
      <c r="H44" s="42">
        <v>0.86</v>
      </c>
      <c r="I44" s="43">
        <v>0.98</v>
      </c>
      <c r="J44" s="44">
        <f t="shared" si="8"/>
        <v>3.6576308256168519E-2</v>
      </c>
      <c r="K44" s="45">
        <f t="shared" si="9"/>
        <v>3.0624999999999999E-2</v>
      </c>
      <c r="L44" s="46">
        <f t="shared" si="14"/>
        <v>0.12</v>
      </c>
      <c r="M44" s="46">
        <f t="shared" si="15"/>
        <v>13.953488372093023</v>
      </c>
      <c r="N44" s="51">
        <v>100</v>
      </c>
      <c r="O44" s="37">
        <v>98</v>
      </c>
      <c r="P44" s="52">
        <f t="shared" si="18"/>
        <v>0</v>
      </c>
      <c r="Q44" s="49">
        <f t="shared" si="17"/>
        <v>-1.9901990199019837E-2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13033951.323651809</v>
      </c>
      <c r="E45" s="39">
        <f t="shared" si="1"/>
        <v>10913205.25</v>
      </c>
      <c r="F45" s="40" t="s">
        <v>47</v>
      </c>
      <c r="G45" s="41">
        <v>1.4503460000000001</v>
      </c>
      <c r="H45" s="42">
        <v>3.54</v>
      </c>
      <c r="I45" s="43">
        <v>3.4</v>
      </c>
      <c r="J45" s="44">
        <f t="shared" si="8"/>
        <v>0.12689739599078875</v>
      </c>
      <c r="K45" s="45">
        <f t="shared" si="9"/>
        <v>0.10625</v>
      </c>
      <c r="L45" s="46">
        <f t="shared" si="14"/>
        <v>-0.14000000000000012</v>
      </c>
      <c r="M45" s="46">
        <f t="shared" si="15"/>
        <v>-3.9548022598870096</v>
      </c>
      <c r="N45" s="51">
        <v>2000</v>
      </c>
      <c r="O45" s="37">
        <v>6800</v>
      </c>
      <c r="P45" s="52">
        <v>0</v>
      </c>
      <c r="Q45" s="49">
        <f t="shared" si="17"/>
        <v>1.3442681953133939</v>
      </c>
      <c r="R45" s="50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1"/>
      <c r="O46" s="37"/>
      <c r="P46" s="52"/>
      <c r="Q46" s="49"/>
      <c r="R46" s="50"/>
    </row>
    <row r="47" spans="1:18" ht="14.25" customHeight="1" thickBot="1" x14ac:dyDescent="0.4">
      <c r="A47" s="58"/>
      <c r="B47" s="59" t="s">
        <v>117</v>
      </c>
      <c r="C47" s="60"/>
      <c r="D47" s="61"/>
      <c r="E47" s="61"/>
      <c r="F47" s="62"/>
      <c r="G47" s="62"/>
      <c r="H47" s="46"/>
      <c r="I47" s="46"/>
      <c r="J47" s="46"/>
      <c r="K47" s="46"/>
      <c r="L47" s="46"/>
      <c r="M47" s="46"/>
      <c r="N47" s="62">
        <f>SUM(N9:N45)</f>
        <v>322800</v>
      </c>
      <c r="O47" s="62">
        <f>SUM(O9:O45)</f>
        <v>1962709.1</v>
      </c>
      <c r="P47" s="63"/>
      <c r="Q47" s="64"/>
    </row>
    <row r="48" spans="1:18" ht="13.5" customHeight="1" x14ac:dyDescent="0.35">
      <c r="A48" s="65"/>
      <c r="B48" s="66" t="s">
        <v>117</v>
      </c>
      <c r="C48" s="67"/>
      <c r="D48" s="67"/>
      <c r="E48" s="67"/>
      <c r="F48" s="68"/>
      <c r="G48" s="68"/>
      <c r="H48" s="69"/>
      <c r="I48" s="69"/>
      <c r="J48" s="69"/>
      <c r="K48" s="69"/>
      <c r="L48" s="69"/>
      <c r="M48" s="69"/>
      <c r="N48" s="68"/>
      <c r="O48" s="68"/>
      <c r="P48" s="68"/>
      <c r="Q48" s="70"/>
    </row>
    <row r="49" spans="1:20" ht="12.75" customHeight="1" x14ac:dyDescent="0.3">
      <c r="A49" s="133" t="s">
        <v>118</v>
      </c>
      <c r="B49" s="134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6"/>
    </row>
    <row r="50" spans="1:20" ht="11.4" customHeight="1" x14ac:dyDescent="0.25">
      <c r="A50" s="35" t="s">
        <v>119</v>
      </c>
      <c r="B50" s="36" t="s">
        <v>120</v>
      </c>
      <c r="C50" s="40">
        <v>566299374</v>
      </c>
      <c r="D50" s="38">
        <f t="shared" ref="D50:D65" si="19">C50*J50</f>
        <v>87776402.969999999</v>
      </c>
      <c r="E50" s="39">
        <v>0</v>
      </c>
      <c r="F50" s="40" t="s">
        <v>92</v>
      </c>
      <c r="G50" s="71">
        <v>0.1</v>
      </c>
      <c r="H50" s="42">
        <v>0.15040000000000001</v>
      </c>
      <c r="I50" s="42">
        <v>0.155</v>
      </c>
      <c r="J50" s="44">
        <f t="shared" ref="J50:J65" si="20">I50</f>
        <v>0.155</v>
      </c>
      <c r="K50" s="39">
        <v>0</v>
      </c>
      <c r="L50" s="46">
        <f t="shared" ref="L50:L65" si="21">I50-H50</f>
        <v>4.599999999999993E-3</v>
      </c>
      <c r="M50" s="46">
        <f t="shared" ref="M50:M65" si="22">((I50-H50)/H50)*100</f>
        <v>3.0585106382978675</v>
      </c>
      <c r="N50" s="51">
        <v>131857</v>
      </c>
      <c r="O50" s="37">
        <v>20443.46</v>
      </c>
      <c r="P50" s="72">
        <f>(R50)/J50</f>
        <v>0</v>
      </c>
      <c r="Q50" s="49">
        <f t="shared" ref="Q50:Q65" si="23">J50/G50-1</f>
        <v>0.54999999999999982</v>
      </c>
      <c r="T50" s="53"/>
    </row>
    <row r="51" spans="1:20" ht="12" customHeight="1" x14ac:dyDescent="0.25">
      <c r="A51" s="35" t="s">
        <v>121</v>
      </c>
      <c r="B51" s="36" t="s">
        <v>122</v>
      </c>
      <c r="C51" s="40">
        <v>1111906</v>
      </c>
      <c r="D51" s="38">
        <f t="shared" si="19"/>
        <v>42252428</v>
      </c>
      <c r="E51" s="39">
        <v>0</v>
      </c>
      <c r="F51" s="40" t="s">
        <v>39</v>
      </c>
      <c r="G51" s="71">
        <v>39.9</v>
      </c>
      <c r="H51" s="42">
        <v>38.918700000000001</v>
      </c>
      <c r="I51" s="42">
        <v>38</v>
      </c>
      <c r="J51" s="44">
        <f t="shared" si="20"/>
        <v>38</v>
      </c>
      <c r="K51" s="39">
        <v>0</v>
      </c>
      <c r="L51" s="46">
        <f t="shared" si="21"/>
        <v>-0.91870000000000118</v>
      </c>
      <c r="M51" s="46">
        <f t="shared" si="22"/>
        <v>-2.3605618892717413</v>
      </c>
      <c r="N51" s="51">
        <v>14</v>
      </c>
      <c r="O51" s="37">
        <v>532</v>
      </c>
      <c r="P51" s="73">
        <f>(R51)/J51</f>
        <v>1.4736842105263159E-2</v>
      </c>
      <c r="Q51" s="49">
        <f t="shared" si="23"/>
        <v>-4.7619047619047561E-2</v>
      </c>
      <c r="R51" s="53">
        <v>0.56000000000000005</v>
      </c>
      <c r="T51" s="53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676528100.1983</v>
      </c>
      <c r="E52" s="39"/>
      <c r="F52" s="40" t="s">
        <v>56</v>
      </c>
      <c r="G52" s="71">
        <v>0.33</v>
      </c>
      <c r="H52" s="42">
        <v>0.2278</v>
      </c>
      <c r="I52" s="42">
        <v>0.2261</v>
      </c>
      <c r="J52" s="44">
        <f t="shared" si="20"/>
        <v>0.2261</v>
      </c>
      <c r="K52" s="39">
        <v>0</v>
      </c>
      <c r="L52" s="46">
        <f t="shared" si="21"/>
        <v>-1.7000000000000071E-3</v>
      </c>
      <c r="M52" s="46">
        <f t="shared" si="22"/>
        <v>-0.74626865671642106</v>
      </c>
      <c r="N52" s="51">
        <v>43950</v>
      </c>
      <c r="O52" s="37">
        <v>9935.34</v>
      </c>
      <c r="P52" s="72">
        <v>0</v>
      </c>
      <c r="Q52" s="49">
        <f t="shared" si="23"/>
        <v>-0.31484848484848493</v>
      </c>
      <c r="R52" s="53"/>
      <c r="T52" s="53"/>
    </row>
    <row r="53" spans="1:20" ht="12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14633782.632000001</v>
      </c>
      <c r="E53" s="39">
        <v>0</v>
      </c>
      <c r="F53" s="40" t="s">
        <v>34</v>
      </c>
      <c r="G53" s="71">
        <v>2.3E-2</v>
      </c>
      <c r="H53" s="42">
        <v>2.4E-2</v>
      </c>
      <c r="I53" s="42">
        <v>2.4E-2</v>
      </c>
      <c r="J53" s="44">
        <f t="shared" si="20"/>
        <v>2.4E-2</v>
      </c>
      <c r="K53" s="39">
        <v>0</v>
      </c>
      <c r="L53" s="46">
        <f t="shared" si="21"/>
        <v>0</v>
      </c>
      <c r="M53" s="46">
        <f t="shared" si="22"/>
        <v>0</v>
      </c>
      <c r="N53" s="51">
        <v>0</v>
      </c>
      <c r="O53" s="37">
        <v>0</v>
      </c>
      <c r="P53" s="72">
        <f t="shared" ref="P53:P65" si="24">(R53)/J53</f>
        <v>0</v>
      </c>
      <c r="Q53" s="49">
        <f t="shared" si="23"/>
        <v>4.3478260869565188E-2</v>
      </c>
      <c r="T53" s="53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346247618.23289996</v>
      </c>
      <c r="E54" s="39">
        <v>0</v>
      </c>
      <c r="F54" s="40" t="s">
        <v>47</v>
      </c>
      <c r="G54" s="71">
        <v>9.0200000000000002E-2</v>
      </c>
      <c r="H54" s="42">
        <v>0.1661</v>
      </c>
      <c r="I54" s="42">
        <v>0.16009999999999999</v>
      </c>
      <c r="J54" s="44">
        <f t="shared" si="20"/>
        <v>0.16009999999999999</v>
      </c>
      <c r="K54" s="39">
        <v>0</v>
      </c>
      <c r="L54" s="46">
        <f t="shared" si="21"/>
        <v>-6.0000000000000053E-3</v>
      </c>
      <c r="M54" s="74">
        <f t="shared" si="22"/>
        <v>-3.6122817579771254</v>
      </c>
      <c r="N54" s="51">
        <v>104912</v>
      </c>
      <c r="O54" s="37">
        <v>16794.89</v>
      </c>
      <c r="P54" s="72">
        <f t="shared" si="24"/>
        <v>0</v>
      </c>
      <c r="Q54" s="49">
        <f t="shared" si="23"/>
        <v>0.77494456762749442</v>
      </c>
      <c r="R54" s="53"/>
      <c r="T54" s="53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860088560.43000007</v>
      </c>
      <c r="E55" s="39">
        <v>0</v>
      </c>
      <c r="F55" s="40" t="s">
        <v>34</v>
      </c>
      <c r="G55" s="71">
        <v>0.95750000000000002</v>
      </c>
      <c r="H55" s="42">
        <v>1.4895</v>
      </c>
      <c r="I55" s="42">
        <v>1.4934000000000001</v>
      </c>
      <c r="J55" s="44">
        <f t="shared" si="20"/>
        <v>1.4934000000000001</v>
      </c>
      <c r="K55" s="39">
        <v>0</v>
      </c>
      <c r="L55" s="46">
        <f t="shared" si="21"/>
        <v>3.9000000000000146E-3</v>
      </c>
      <c r="M55" s="46">
        <f t="shared" si="22"/>
        <v>0.26183282980866157</v>
      </c>
      <c r="N55" s="51">
        <v>21700</v>
      </c>
      <c r="O55" s="37">
        <v>32406.35</v>
      </c>
      <c r="P55" s="73">
        <f t="shared" si="24"/>
        <v>3.1471809294227937E-2</v>
      </c>
      <c r="Q55" s="49">
        <f t="shared" si="23"/>
        <v>0.55968668407310718</v>
      </c>
      <c r="R55" s="53">
        <v>4.7E-2</v>
      </c>
      <c r="T55" s="53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24549129.188999999</v>
      </c>
      <c r="E56" s="39">
        <v>0</v>
      </c>
      <c r="F56" s="40" t="s">
        <v>34</v>
      </c>
      <c r="G56" s="71">
        <v>0.1595</v>
      </c>
      <c r="H56" s="42">
        <v>0.14949999999999999</v>
      </c>
      <c r="I56" s="42">
        <v>0.14949999999999999</v>
      </c>
      <c r="J56" s="44">
        <f t="shared" si="20"/>
        <v>0.14949999999999999</v>
      </c>
      <c r="K56" s="39">
        <v>0</v>
      </c>
      <c r="L56" s="46">
        <f t="shared" si="21"/>
        <v>0</v>
      </c>
      <c r="M56" s="46">
        <f t="shared" si="22"/>
        <v>0</v>
      </c>
      <c r="N56" s="51">
        <v>45</v>
      </c>
      <c r="O56" s="37">
        <v>6.73</v>
      </c>
      <c r="P56" s="72">
        <f t="shared" si="24"/>
        <v>0</v>
      </c>
      <c r="Q56" s="49">
        <f t="shared" si="23"/>
        <v>-6.2695924764890387E-2</v>
      </c>
      <c r="T56" s="53"/>
    </row>
    <row r="57" spans="1:20" ht="12" customHeight="1" x14ac:dyDescent="0.25">
      <c r="A57" s="35" t="s">
        <v>133</v>
      </c>
      <c r="B57" s="36" t="s">
        <v>134</v>
      </c>
      <c r="C57" s="40">
        <v>985088926</v>
      </c>
      <c r="D57" s="38">
        <f t="shared" si="19"/>
        <v>24627223.150000002</v>
      </c>
      <c r="E57" s="39">
        <v>0</v>
      </c>
      <c r="F57" s="40" t="s">
        <v>92</v>
      </c>
      <c r="G57" s="71">
        <v>1.6799999999999999E-2</v>
      </c>
      <c r="H57" s="42">
        <v>2.6499999999999999E-2</v>
      </c>
      <c r="I57" s="42">
        <v>2.5000000000000001E-2</v>
      </c>
      <c r="J57" s="44">
        <f t="shared" si="20"/>
        <v>2.5000000000000001E-2</v>
      </c>
      <c r="K57" s="39">
        <v>0</v>
      </c>
      <c r="L57" s="46">
        <f t="shared" si="21"/>
        <v>-1.4999999999999979E-3</v>
      </c>
      <c r="M57" s="74">
        <f t="shared" si="22"/>
        <v>-5.6603773584905577</v>
      </c>
      <c r="N57" s="51">
        <v>874503</v>
      </c>
      <c r="O57" s="37">
        <v>21862.240000000002</v>
      </c>
      <c r="P57" s="72">
        <f t="shared" si="24"/>
        <v>0</v>
      </c>
      <c r="Q57" s="49">
        <f t="shared" si="23"/>
        <v>0.48809523809523836</v>
      </c>
      <c r="R57" s="53"/>
      <c r="T57" s="53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1">
        <v>19.5</v>
      </c>
      <c r="H58" s="42">
        <v>17</v>
      </c>
      <c r="I58" s="42">
        <v>17</v>
      </c>
      <c r="J58" s="44">
        <f t="shared" si="20"/>
        <v>17</v>
      </c>
      <c r="K58" s="39">
        <v>0</v>
      </c>
      <c r="L58" s="46">
        <f t="shared" si="21"/>
        <v>0</v>
      </c>
      <c r="M58" s="46">
        <f t="shared" si="22"/>
        <v>0</v>
      </c>
      <c r="N58" s="51">
        <v>1</v>
      </c>
      <c r="O58" s="37">
        <v>17</v>
      </c>
      <c r="P58" s="72">
        <f t="shared" si="24"/>
        <v>0</v>
      </c>
      <c r="Q58" s="49">
        <f t="shared" si="23"/>
        <v>-0.12820512820512819</v>
      </c>
      <c r="T58" s="53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4024393955.3107004</v>
      </c>
      <c r="E59" s="39">
        <v>0</v>
      </c>
      <c r="F59" s="40" t="s">
        <v>47</v>
      </c>
      <c r="G59" s="71">
        <v>0.78169999999999995</v>
      </c>
      <c r="H59" s="52">
        <v>0.8982</v>
      </c>
      <c r="I59" s="42">
        <v>0.89470000000000005</v>
      </c>
      <c r="J59" s="44">
        <f t="shared" si="20"/>
        <v>0.89470000000000005</v>
      </c>
      <c r="K59" s="39">
        <v>0</v>
      </c>
      <c r="L59" s="46">
        <f t="shared" si="21"/>
        <v>-3.4999999999999476E-3</v>
      </c>
      <c r="M59" s="46">
        <f t="shared" si="22"/>
        <v>-0.38966822533956219</v>
      </c>
      <c r="N59" s="75">
        <v>9541</v>
      </c>
      <c r="O59" s="76">
        <v>8536.44</v>
      </c>
      <c r="P59" s="72">
        <f t="shared" si="24"/>
        <v>0</v>
      </c>
      <c r="Q59" s="49">
        <f t="shared" si="23"/>
        <v>0.14455673532045554</v>
      </c>
      <c r="R59" s="53"/>
      <c r="S59" s="53"/>
      <c r="T59" s="53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1100639155.5620999</v>
      </c>
      <c r="E60" s="39">
        <v>0</v>
      </c>
      <c r="F60" s="40" t="s">
        <v>92</v>
      </c>
      <c r="G60" s="71">
        <v>0.59499999999999997</v>
      </c>
      <c r="H60" s="42">
        <v>1.3854</v>
      </c>
      <c r="I60" s="42">
        <v>1.3671</v>
      </c>
      <c r="J60" s="44">
        <f t="shared" si="20"/>
        <v>1.3671</v>
      </c>
      <c r="K60" s="39">
        <v>0</v>
      </c>
      <c r="L60" s="46">
        <f t="shared" si="21"/>
        <v>-1.8299999999999983E-2</v>
      </c>
      <c r="M60" s="46">
        <f t="shared" si="22"/>
        <v>-1.3209181463837145</v>
      </c>
      <c r="N60" s="51">
        <v>53637</v>
      </c>
      <c r="O60" s="37">
        <v>73329.22</v>
      </c>
      <c r="P60" s="72">
        <f t="shared" si="24"/>
        <v>0</v>
      </c>
      <c r="Q60" s="49">
        <f t="shared" si="23"/>
        <v>1.2976470588235296</v>
      </c>
      <c r="T60" s="53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116774032.61220001</v>
      </c>
      <c r="E61" s="39">
        <v>0</v>
      </c>
      <c r="F61" s="40" t="s">
        <v>34</v>
      </c>
      <c r="G61" s="71">
        <v>0.22600000000000001</v>
      </c>
      <c r="H61" s="42">
        <v>0.45</v>
      </c>
      <c r="I61" s="42">
        <v>0.44790000000000002</v>
      </c>
      <c r="J61" s="44">
        <f t="shared" si="20"/>
        <v>0.44790000000000002</v>
      </c>
      <c r="K61" s="39">
        <v>0</v>
      </c>
      <c r="L61" s="46">
        <f t="shared" si="21"/>
        <v>-2.0999999999999908E-3</v>
      </c>
      <c r="M61" s="46">
        <f t="shared" si="22"/>
        <v>-0.46666666666666462</v>
      </c>
      <c r="N61" s="51">
        <v>2246</v>
      </c>
      <c r="O61" s="37">
        <v>1006.05</v>
      </c>
      <c r="P61" s="72">
        <f t="shared" si="24"/>
        <v>0</v>
      </c>
      <c r="Q61" s="49">
        <f t="shared" si="23"/>
        <v>0.98185840707964611</v>
      </c>
      <c r="T61" s="53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401624812.54720002</v>
      </c>
      <c r="E62" s="39">
        <v>0</v>
      </c>
      <c r="F62" s="40" t="s">
        <v>34</v>
      </c>
      <c r="G62" s="71">
        <v>0.49440000000000001</v>
      </c>
      <c r="H62" s="42">
        <v>0.71399999999999997</v>
      </c>
      <c r="I62" s="42">
        <v>0.71440000000000003</v>
      </c>
      <c r="J62" s="44">
        <f t="shared" si="20"/>
        <v>0.71440000000000003</v>
      </c>
      <c r="K62" s="39">
        <v>0</v>
      </c>
      <c r="L62" s="46">
        <f t="shared" si="21"/>
        <v>4.0000000000006697E-4</v>
      </c>
      <c r="M62" s="46">
        <f t="shared" si="22"/>
        <v>5.6022408963594818E-2</v>
      </c>
      <c r="N62" s="51">
        <v>871</v>
      </c>
      <c r="O62" s="37">
        <v>622.24</v>
      </c>
      <c r="P62" s="72">
        <f t="shared" si="24"/>
        <v>0</v>
      </c>
      <c r="Q62" s="49">
        <f t="shared" si="23"/>
        <v>0.44498381877022664</v>
      </c>
      <c r="R62" s="53"/>
      <c r="T62" s="53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91131508.75</v>
      </c>
      <c r="E63" s="39">
        <v>0</v>
      </c>
      <c r="F63" s="40" t="s">
        <v>34</v>
      </c>
      <c r="G63" s="71">
        <v>0.25950000000000001</v>
      </c>
      <c r="H63" s="42">
        <v>0.25</v>
      </c>
      <c r="I63" s="42">
        <v>0.25</v>
      </c>
      <c r="J63" s="44">
        <f t="shared" si="20"/>
        <v>0.25</v>
      </c>
      <c r="K63" s="39">
        <v>0</v>
      </c>
      <c r="L63" s="46">
        <f t="shared" si="21"/>
        <v>0</v>
      </c>
      <c r="M63" s="46">
        <f t="shared" si="22"/>
        <v>0</v>
      </c>
      <c r="N63" s="51">
        <v>400</v>
      </c>
      <c r="O63" s="37">
        <v>100</v>
      </c>
      <c r="P63" s="72">
        <f t="shared" si="24"/>
        <v>0</v>
      </c>
      <c r="Q63" s="49">
        <f t="shared" si="23"/>
        <v>-3.6608863198458574E-2</v>
      </c>
      <c r="R63" s="53"/>
      <c r="T63" s="53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1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51">
        <v>0</v>
      </c>
      <c r="O64" s="37">
        <v>0</v>
      </c>
      <c r="P64" s="72">
        <f t="shared" si="24"/>
        <v>0</v>
      </c>
      <c r="Q64" s="49">
        <f t="shared" si="23"/>
        <v>0</v>
      </c>
      <c r="T64" s="53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41349658.32</v>
      </c>
      <c r="E65" s="39">
        <v>0</v>
      </c>
      <c r="F65" s="40" t="s">
        <v>44</v>
      </c>
      <c r="G65" s="71">
        <v>4.2999999999999997E-2</v>
      </c>
      <c r="H65" s="42">
        <v>0.12</v>
      </c>
      <c r="I65" s="42">
        <v>0.12</v>
      </c>
      <c r="J65" s="44">
        <f t="shared" si="20"/>
        <v>0.12</v>
      </c>
      <c r="K65" s="39">
        <v>0</v>
      </c>
      <c r="L65" s="46">
        <f t="shared" si="21"/>
        <v>0</v>
      </c>
      <c r="M65" s="46">
        <f t="shared" si="22"/>
        <v>0</v>
      </c>
      <c r="N65" s="51">
        <v>13050</v>
      </c>
      <c r="O65" s="37">
        <v>1566</v>
      </c>
      <c r="P65" s="72">
        <f t="shared" si="24"/>
        <v>0</v>
      </c>
      <c r="Q65" s="49">
        <f t="shared" si="23"/>
        <v>1.7906976744186047</v>
      </c>
      <c r="T65" s="53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2">
        <f>SUM(N50:N65)</f>
        <v>1256727</v>
      </c>
      <c r="O66" s="63">
        <f>SUM(O50:O65)</f>
        <v>187157.96</v>
      </c>
      <c r="P66" s="80"/>
      <c r="Q66" s="64"/>
    </row>
    <row r="67" spans="1:20" ht="12.6" hidden="1" x14ac:dyDescent="0.3">
      <c r="A67" s="137" t="s">
        <v>152</v>
      </c>
      <c r="B67" s="138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40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4"/>
    </row>
    <row r="70" spans="1:20" ht="12.6" x14ac:dyDescent="0.3">
      <c r="A70" s="137" t="s">
        <v>156</v>
      </c>
      <c r="B70" s="138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40"/>
    </row>
    <row r="71" spans="1:20" x14ac:dyDescent="0.25">
      <c r="A71" s="35" t="s">
        <v>157</v>
      </c>
      <c r="B71" s="91" t="s">
        <v>158</v>
      </c>
      <c r="C71" s="92">
        <v>139300587</v>
      </c>
      <c r="D71" s="38">
        <f>C71*J71</f>
        <v>45147320.246699996</v>
      </c>
      <c r="E71" s="39">
        <f>C71*K71</f>
        <v>45147320.246699996</v>
      </c>
      <c r="F71" s="92" t="s">
        <v>159</v>
      </c>
      <c r="G71" s="92">
        <v>0.24</v>
      </c>
      <c r="H71" s="93">
        <v>0.31990000000000002</v>
      </c>
      <c r="I71" s="93">
        <v>0.3241</v>
      </c>
      <c r="J71" s="94">
        <f>I71</f>
        <v>0.3241</v>
      </c>
      <c r="K71" s="94">
        <f>J71</f>
        <v>0.3241</v>
      </c>
      <c r="L71" s="46">
        <f>I71-H71</f>
        <v>4.1999999999999815E-3</v>
      </c>
      <c r="M71" s="46">
        <f>((I71-H71)/H71)*100</f>
        <v>1.3129102844638891</v>
      </c>
      <c r="N71" s="95">
        <v>1118</v>
      </c>
      <c r="O71" s="96">
        <v>362.37</v>
      </c>
      <c r="P71" s="72">
        <f>(R71)/J71</f>
        <v>0</v>
      </c>
      <c r="Q71" s="49">
        <f>J71/G71-1</f>
        <v>0.35041666666666682</v>
      </c>
      <c r="T71" s="53"/>
    </row>
    <row r="72" spans="1:20" x14ac:dyDescent="0.25">
      <c r="A72" s="35" t="s">
        <v>160</v>
      </c>
      <c r="B72" s="91" t="s">
        <v>161</v>
      </c>
      <c r="C72" s="92">
        <v>540751750</v>
      </c>
      <c r="D72" s="38">
        <f>C72*J72</f>
        <v>81383138.375</v>
      </c>
      <c r="E72" s="39">
        <f>C72*K72</f>
        <v>81383138.375</v>
      </c>
      <c r="F72" s="92" t="s">
        <v>159</v>
      </c>
      <c r="G72" s="92">
        <v>0.1</v>
      </c>
      <c r="H72" s="93">
        <v>0.15010000000000001</v>
      </c>
      <c r="I72" s="93">
        <v>0.15049999999999999</v>
      </c>
      <c r="J72" s="94">
        <f>I72</f>
        <v>0.15049999999999999</v>
      </c>
      <c r="K72" s="94">
        <f>J72</f>
        <v>0.15049999999999999</v>
      </c>
      <c r="L72" s="46">
        <f>I72-H72</f>
        <v>3.999999999999837E-4</v>
      </c>
      <c r="M72" s="46">
        <f>((I72-H72)/H72)*100</f>
        <v>0.26648900732843683</v>
      </c>
      <c r="N72" s="51">
        <v>634</v>
      </c>
      <c r="O72" s="96">
        <v>95.42</v>
      </c>
      <c r="P72" s="97">
        <f>(R72)/J72</f>
        <v>2.5196013289036544E-2</v>
      </c>
      <c r="Q72" s="49">
        <f>J72/G72-1</f>
        <v>0.50499999999999989</v>
      </c>
      <c r="R72" s="5">
        <v>3.7919999999999998E-3</v>
      </c>
      <c r="T72" s="53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2">
        <f>SUM(N71:N72)</f>
        <v>1752</v>
      </c>
      <c r="O73" s="63">
        <f>SUM(O71:O72)</f>
        <v>457.79</v>
      </c>
      <c r="P73" s="90"/>
      <c r="Q73" s="64"/>
    </row>
    <row r="74" spans="1:20" ht="12.6" x14ac:dyDescent="0.3">
      <c r="A74" s="137" t="s">
        <v>162</v>
      </c>
      <c r="B74" s="138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40"/>
    </row>
    <row r="75" spans="1:20" x14ac:dyDescent="0.25">
      <c r="A75" s="35" t="s">
        <v>163</v>
      </c>
      <c r="B75" s="91" t="s">
        <v>164</v>
      </c>
      <c r="C75" s="92">
        <v>64242951</v>
      </c>
      <c r="D75" s="38">
        <f>C75*J75</f>
        <v>7799094.2513999995</v>
      </c>
      <c r="E75" s="39">
        <f>C75*K75</f>
        <v>7799094.2513999995</v>
      </c>
      <c r="F75" s="92" t="s">
        <v>137</v>
      </c>
      <c r="G75" s="92">
        <v>0.1394</v>
      </c>
      <c r="H75" s="93">
        <v>0.1211</v>
      </c>
      <c r="I75" s="93">
        <v>0.12139999999999999</v>
      </c>
      <c r="J75" s="94">
        <f>I75</f>
        <v>0.12139999999999999</v>
      </c>
      <c r="K75" s="94">
        <f>J75</f>
        <v>0.12139999999999999</v>
      </c>
      <c r="L75" s="46">
        <f>I75-H75</f>
        <v>2.9999999999999472E-4</v>
      </c>
      <c r="M75" s="46">
        <f>((I75-H75)/H75)*100</f>
        <v>0.24772914946324917</v>
      </c>
      <c r="N75" s="95">
        <v>4415</v>
      </c>
      <c r="O75" s="96">
        <v>536.19000000000005</v>
      </c>
      <c r="P75" s="72">
        <f>(R75)/J75</f>
        <v>0</v>
      </c>
      <c r="Q75" s="49">
        <f>J75/G75-1</f>
        <v>-0.12912482065997133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2"/>
      <c r="O76" s="63"/>
      <c r="P76" s="90"/>
      <c r="Q76" s="64"/>
    </row>
    <row r="77" spans="1:20" ht="12.6" x14ac:dyDescent="0.3">
      <c r="A77" s="133" t="s">
        <v>165</v>
      </c>
      <c r="B77" s="134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6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167374.55143005901</v>
      </c>
      <c r="E78" s="39">
        <f>C78*K78</f>
        <v>140141.14277596874</v>
      </c>
      <c r="F78" s="40" t="s">
        <v>137</v>
      </c>
      <c r="G78" s="71">
        <v>0.105</v>
      </c>
      <c r="H78" s="42">
        <v>0.13500000000000001</v>
      </c>
      <c r="I78" s="42">
        <v>0.141453</v>
      </c>
      <c r="J78" s="44">
        <f>I78/$J$5</f>
        <v>5.2794168691426592E-3</v>
      </c>
      <c r="K78" s="45">
        <f>I78/$K$4</f>
        <v>4.4204062499999999E-3</v>
      </c>
      <c r="L78" s="46">
        <f>I78-H78</f>
        <v>6.4529999999999865E-3</v>
      </c>
      <c r="M78" s="98">
        <f>((I78-H78)/H78)*100</f>
        <v>4.7799999999999896</v>
      </c>
      <c r="N78" s="37">
        <v>39100</v>
      </c>
      <c r="O78" s="37">
        <v>5530.8</v>
      </c>
      <c r="P78" s="40">
        <v>0</v>
      </c>
      <c r="Q78" s="49">
        <f>I78/G78-1</f>
        <v>0.34717142857142869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431965.24578905926</v>
      </c>
      <c r="E79" s="39">
        <f>C79*K79</f>
        <v>361680.450625</v>
      </c>
      <c r="F79" s="40" t="s">
        <v>137</v>
      </c>
      <c r="G79" s="71">
        <v>4.2500000000000003E-2</v>
      </c>
      <c r="H79" s="42">
        <v>8.5000000000000006E-2</v>
      </c>
      <c r="I79" s="42">
        <v>8.5000000000000006E-2</v>
      </c>
      <c r="J79" s="44">
        <f>I79/$J$5</f>
        <v>3.1724348997697188E-3</v>
      </c>
      <c r="K79" s="45">
        <f>I79/$K$4</f>
        <v>2.6562500000000002E-3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1</v>
      </c>
    </row>
    <row r="80" spans="1:20" x14ac:dyDescent="0.25">
      <c r="A80" s="35" t="s">
        <v>170</v>
      </c>
      <c r="B80" s="36" t="s">
        <v>171</v>
      </c>
      <c r="C80" s="40">
        <v>326179492</v>
      </c>
      <c r="D80" s="38">
        <f>C80*J80</f>
        <v>1460870.4056611168</v>
      </c>
      <c r="E80" s="39">
        <f>C80*K80</f>
        <v>1223173.095</v>
      </c>
      <c r="F80" s="40" t="s">
        <v>137</v>
      </c>
      <c r="G80" s="71">
        <v>6.0499999999999998E-2</v>
      </c>
      <c r="H80" s="42">
        <v>0.12</v>
      </c>
      <c r="I80" s="42">
        <v>0.12</v>
      </c>
      <c r="J80" s="44">
        <f>I80/$J$5</f>
        <v>4.478731623204309E-3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0.98347107438016534</v>
      </c>
    </row>
    <row r="81" spans="1:243" x14ac:dyDescent="0.25">
      <c r="A81" s="35" t="s">
        <v>172</v>
      </c>
      <c r="B81" s="36" t="s">
        <v>173</v>
      </c>
      <c r="C81" s="37">
        <v>6677853</v>
      </c>
      <c r="D81" s="38">
        <f>C81*J81</f>
        <v>423701.0782546383</v>
      </c>
      <c r="E81" s="39">
        <f>C81*K81</f>
        <v>354760.94062499999</v>
      </c>
      <c r="F81" s="40" t="s">
        <v>137</v>
      </c>
      <c r="G81" s="71">
        <v>1.85</v>
      </c>
      <c r="H81" s="42">
        <v>1.7</v>
      </c>
      <c r="I81" s="42">
        <v>1.7</v>
      </c>
      <c r="J81" s="44">
        <f>I81/$J$5</f>
        <v>6.3448697995394376E-2</v>
      </c>
      <c r="K81" s="45">
        <f>I81/$K$4</f>
        <v>5.3124999999999999E-2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-8.1081081081081141E-2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2">
        <f>SUM(N78:N81)</f>
        <v>39100</v>
      </c>
      <c r="O82" s="63">
        <f>SUM(O78:O81)</f>
        <v>5530.8</v>
      </c>
      <c r="P82" s="80"/>
      <c r="Q82" s="64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7" t="s">
        <v>174</v>
      </c>
      <c r="B83" s="138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40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29315377.923958603</v>
      </c>
      <c r="E84" s="39">
        <f>C84*K84</f>
        <v>24545491.104062498</v>
      </c>
      <c r="F84" s="40" t="s">
        <v>177</v>
      </c>
      <c r="G84" s="40">
        <v>1.3</v>
      </c>
      <c r="H84" s="42">
        <v>2.1324999999999998</v>
      </c>
      <c r="I84" s="42">
        <v>2.1324999999999998</v>
      </c>
      <c r="J84" s="44">
        <f>I84/$J$5</f>
        <v>7.9590793220693234E-2</v>
      </c>
      <c r="K84" s="45">
        <f>I84/$K$4</f>
        <v>6.6640624999999995E-2</v>
      </c>
      <c r="L84" s="46">
        <f>I84-H84</f>
        <v>0</v>
      </c>
      <c r="M84" s="46">
        <f>((I84-H84)/H84*100)</f>
        <v>0</v>
      </c>
      <c r="N84" s="108">
        <v>8</v>
      </c>
      <c r="O84" s="109">
        <v>17.059999999999999</v>
      </c>
      <c r="P84" s="52">
        <f>(R84)/J84</f>
        <v>0</v>
      </c>
      <c r="Q84" s="49">
        <f>I84/G84-1</f>
        <v>0.64038461538461511</v>
      </c>
      <c r="R84" s="53"/>
    </row>
    <row r="85" spans="1:243" s="110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74434561.385495633</v>
      </c>
      <c r="E85" s="39">
        <f>C85*K85</f>
        <v>62323360.424062505</v>
      </c>
      <c r="F85" s="40" t="s">
        <v>177</v>
      </c>
      <c r="G85" s="40">
        <v>1.44347</v>
      </c>
      <c r="H85" s="42">
        <v>1.106535</v>
      </c>
      <c r="I85" s="42">
        <v>1.083234</v>
      </c>
      <c r="J85" s="44">
        <f>I85/$J$5</f>
        <v>4.0429286426084135E-2</v>
      </c>
      <c r="K85" s="45">
        <f>I85/$K$4</f>
        <v>3.3851062500000001E-2</v>
      </c>
      <c r="L85" s="46">
        <f>I85-H85</f>
        <v>-2.3301000000000016E-2</v>
      </c>
      <c r="M85" s="46">
        <f>((I85-H85)/H85*100)</f>
        <v>-2.105762583198906</v>
      </c>
      <c r="N85" s="109">
        <v>32355</v>
      </c>
      <c r="O85" s="109">
        <v>35064.712500000001</v>
      </c>
      <c r="P85" s="48">
        <f>(R85)/J85</f>
        <v>5.3822369681896985E-2</v>
      </c>
      <c r="Q85" s="49">
        <f>I85/G85-1</f>
        <v>-0.24956251255654771</v>
      </c>
      <c r="R85" s="53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1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2"/>
      <c r="B87" s="113"/>
      <c r="C87" s="113"/>
      <c r="D87" s="113"/>
      <c r="E87" s="113"/>
      <c r="F87" s="114"/>
      <c r="G87" s="114"/>
      <c r="H87" s="60"/>
      <c r="M87" s="115"/>
      <c r="N87" s="115"/>
      <c r="O87" s="60"/>
      <c r="P87" s="60"/>
      <c r="Q87" s="116"/>
    </row>
    <row r="88" spans="1:243" ht="15" customHeight="1" thickBot="1" x14ac:dyDescent="0.3">
      <c r="A88" s="141" t="s">
        <v>180</v>
      </c>
      <c r="B88" s="142"/>
      <c r="C88" s="142"/>
      <c r="D88" s="143"/>
      <c r="E88" s="141" t="s">
        <v>181</v>
      </c>
      <c r="F88" s="142"/>
      <c r="G88" s="142"/>
      <c r="H88" s="143"/>
      <c r="I88" s="53"/>
      <c r="J88" s="144" t="s">
        <v>182</v>
      </c>
      <c r="K88" s="145"/>
      <c r="L88" s="146"/>
      <c r="M88" s="144" t="s">
        <v>183</v>
      </c>
      <c r="N88" s="145"/>
      <c r="O88" s="146"/>
      <c r="Q88" s="16"/>
    </row>
    <row r="89" spans="1:243" ht="15" customHeight="1" x14ac:dyDescent="0.25">
      <c r="A89" s="35" t="s">
        <v>113</v>
      </c>
      <c r="B89" s="117">
        <v>0.98</v>
      </c>
      <c r="D89" s="117">
        <v>13.953488372093023</v>
      </c>
      <c r="E89" s="35" t="s">
        <v>105</v>
      </c>
      <c r="F89" s="118">
        <v>6.5381999999999996E-2</v>
      </c>
      <c r="H89" s="119">
        <v>-9.1916666666666824</v>
      </c>
      <c r="J89" s="35" t="s">
        <v>119</v>
      </c>
      <c r="K89" s="52">
        <v>0.155</v>
      </c>
      <c r="L89" s="120">
        <v>3.0585106382978675</v>
      </c>
      <c r="M89" s="60" t="s">
        <v>133</v>
      </c>
      <c r="N89" s="118">
        <v>2.5000000000000001E-2</v>
      </c>
      <c r="O89" s="119">
        <v>-5.6603773584905577</v>
      </c>
      <c r="Q89" s="16"/>
    </row>
    <row r="90" spans="1:243" ht="15" customHeight="1" x14ac:dyDescent="0.25">
      <c r="A90" s="35" t="s">
        <v>95</v>
      </c>
      <c r="B90" s="117">
        <v>5.5E-2</v>
      </c>
      <c r="D90" s="117">
        <v>4.1528585225443466</v>
      </c>
      <c r="E90" s="35" t="s">
        <v>86</v>
      </c>
      <c r="F90" s="118">
        <v>1.43</v>
      </c>
      <c r="H90" s="119">
        <v>-7.1452086603001614</v>
      </c>
      <c r="J90" s="35" t="s">
        <v>129</v>
      </c>
      <c r="K90" s="52">
        <v>1.4934000000000001</v>
      </c>
      <c r="L90" s="120">
        <v>0.26183282980866157</v>
      </c>
      <c r="M90" s="35" t="s">
        <v>127</v>
      </c>
      <c r="N90" s="118">
        <v>0.16009999999999999</v>
      </c>
      <c r="O90" s="119">
        <v>-3.6122817579771254</v>
      </c>
      <c r="Q90" s="16"/>
    </row>
    <row r="91" spans="1:243" ht="15" customHeight="1" x14ac:dyDescent="0.25">
      <c r="A91" s="35" t="s">
        <v>99</v>
      </c>
      <c r="B91" s="117">
        <v>0.41724200000000006</v>
      </c>
      <c r="C91" s="117"/>
      <c r="D91" s="117">
        <v>3.842947130544732</v>
      </c>
      <c r="E91" s="35" t="s">
        <v>115</v>
      </c>
      <c r="F91" s="118">
        <v>3.4</v>
      </c>
      <c r="H91" s="119">
        <v>-3.9548022598870096</v>
      </c>
      <c r="J91" s="35" t="s">
        <v>144</v>
      </c>
      <c r="K91" s="52">
        <v>0.71440000000000003</v>
      </c>
      <c r="L91" s="120">
        <v>5.6022408963594818E-2</v>
      </c>
      <c r="M91" s="35" t="s">
        <v>121</v>
      </c>
      <c r="N91" s="118">
        <v>38</v>
      </c>
      <c r="O91" s="119">
        <v>-2.3605618892717413</v>
      </c>
      <c r="Q91" s="16"/>
    </row>
    <row r="92" spans="1:243" ht="15" customHeight="1" x14ac:dyDescent="0.25">
      <c r="A92" s="35" t="s">
        <v>75</v>
      </c>
      <c r="B92" s="117">
        <v>3.05</v>
      </c>
      <c r="C92" s="117"/>
      <c r="D92" s="117">
        <v>2.006688963210689</v>
      </c>
      <c r="E92" s="35" t="s">
        <v>70</v>
      </c>
      <c r="F92" s="118">
        <v>9.1806800000000006</v>
      </c>
      <c r="H92" s="119">
        <v>-0.93439569547588397</v>
      </c>
      <c r="J92" s="35"/>
      <c r="K92" s="52"/>
      <c r="L92" s="120"/>
      <c r="M92" s="35" t="s">
        <v>140</v>
      </c>
      <c r="N92" s="118">
        <v>1.3671</v>
      </c>
      <c r="O92" s="119">
        <v>-1.3209181463837145</v>
      </c>
      <c r="Q92" s="16"/>
    </row>
    <row r="93" spans="1:243" ht="15" customHeight="1" x14ac:dyDescent="0.25">
      <c r="A93" s="35" t="s">
        <v>90</v>
      </c>
      <c r="B93" s="117">
        <v>1.293509</v>
      </c>
      <c r="C93" s="117"/>
      <c r="D93" s="117">
        <v>0.27201550387596779</v>
      </c>
      <c r="E93" s="35" t="s">
        <v>73</v>
      </c>
      <c r="F93" s="118">
        <v>1.59</v>
      </c>
      <c r="G93" s="118"/>
      <c r="H93" s="119">
        <v>-0.62500000000000056</v>
      </c>
      <c r="J93" s="35"/>
      <c r="K93" s="52"/>
      <c r="L93" s="120"/>
      <c r="M93" s="35" t="s">
        <v>123</v>
      </c>
      <c r="N93" s="118">
        <v>0.2261</v>
      </c>
      <c r="O93" s="119">
        <v>-0.74626865671642106</v>
      </c>
      <c r="Q93" s="16"/>
    </row>
    <row r="94" spans="1:243" ht="15.75" customHeight="1" thickBot="1" x14ac:dyDescent="0.3">
      <c r="A94" s="121"/>
      <c r="B94" s="122"/>
      <c r="C94" s="122"/>
      <c r="D94" s="122"/>
      <c r="E94" s="121"/>
      <c r="F94" s="122"/>
      <c r="G94" s="122"/>
      <c r="H94" s="123"/>
      <c r="J94" s="121"/>
      <c r="K94" s="122"/>
      <c r="L94" s="123"/>
      <c r="M94" s="122"/>
      <c r="N94" s="122"/>
      <c r="O94" s="123"/>
      <c r="Q94" s="16"/>
    </row>
    <row r="95" spans="1:243" x14ac:dyDescent="0.25">
      <c r="A95" s="124"/>
      <c r="B95" s="125"/>
      <c r="C95" s="125"/>
      <c r="D95" s="125"/>
      <c r="E95" s="115"/>
      <c r="F95" s="115"/>
      <c r="G95" s="115"/>
      <c r="H95" s="115"/>
      <c r="I95" s="115"/>
      <c r="J95" s="115"/>
      <c r="K95" s="115"/>
      <c r="L95" s="115"/>
      <c r="M95" s="125"/>
      <c r="Q95" s="16"/>
    </row>
    <row r="96" spans="1:243" x14ac:dyDescent="0.25">
      <c r="A96" s="12" t="s">
        <v>184</v>
      </c>
      <c r="B96" s="126"/>
      <c r="C96" s="126"/>
      <c r="D96" s="126"/>
      <c r="E96" s="126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4"/>
      <c r="B97" s="125"/>
      <c r="C97" s="125"/>
      <c r="D97" s="125"/>
      <c r="E97" s="125"/>
      <c r="F97" s="115"/>
      <c r="G97" s="115"/>
      <c r="H97" s="125"/>
      <c r="I97" s="115"/>
      <c r="J97" s="115"/>
      <c r="K97" s="115"/>
      <c r="L97" s="115"/>
      <c r="M97" s="125"/>
      <c r="Q97" s="16"/>
    </row>
    <row r="98" spans="1:17" ht="12.6" thickBot="1" x14ac:dyDescent="0.3">
      <c r="A98" s="127"/>
      <c r="B98" s="128"/>
      <c r="C98" s="128"/>
      <c r="D98" s="128"/>
      <c r="E98" s="128"/>
      <c r="F98" s="129"/>
      <c r="G98" s="129"/>
      <c r="H98" s="129"/>
      <c r="I98" s="130"/>
      <c r="J98" s="130"/>
      <c r="K98" s="130"/>
      <c r="L98" s="130"/>
      <c r="M98" s="130"/>
      <c r="N98" s="130"/>
      <c r="O98" s="130"/>
      <c r="P98" s="130"/>
      <c r="Q98" s="131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2"/>
      <c r="J102" s="132"/>
      <c r="K102" s="132"/>
      <c r="O102" s="132"/>
      <c r="P102" s="132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2"/>
      <c r="J105" s="132"/>
      <c r="K105" s="132"/>
      <c r="O105" s="132"/>
      <c r="P105" s="132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2"/>
      <c r="J107" s="132"/>
      <c r="K107" s="132"/>
      <c r="O107" s="132"/>
      <c r="P107" s="132"/>
    </row>
  </sheetData>
  <sheetProtection algorithmName="SHA-512" hashValue="eBTaWAhRvMFBRrLdAyQHY+WTV15mRFyq24uRiRx7a0i58Mc0TSMX/K4VcMjNtU03WWP7q5Rw9G5BnvERRx4NJA==" saltValue="qlMmTrjKcOC4M5UpMTVoVQ==" spinCount="100000" sheet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2026-09-14T13:00:22Z</dcterms:created>
  <dcterms:modified xsi:type="dcterms:W3CDTF">2026-09-14T13:03:12Z</dcterms:modified>
</cp:coreProperties>
</file>