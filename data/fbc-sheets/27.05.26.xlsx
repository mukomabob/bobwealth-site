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May/27.05.26/"/>
    </mc:Choice>
  </mc:AlternateContent>
  <xr:revisionPtr revIDLastSave="0" documentId="8_{E337702E-7867-4FE7-A453-1A8546400B7B}" xr6:coauthVersionLast="47" xr6:coauthVersionMax="47" xr10:uidLastSave="{00000000-0000-0000-0000-000000000000}"/>
  <bookViews>
    <workbookView xWindow="-108" yWindow="-108" windowWidth="23256" windowHeight="12456" xr2:uid="{F0749F3A-1187-43E5-8F50-67F924E74BDB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5" i="1" l="1"/>
  <c r="N85" i="1"/>
  <c r="Q84" i="1"/>
  <c r="M84" i="1"/>
  <c r="L84" i="1"/>
  <c r="K84" i="1"/>
  <c r="J84" i="1"/>
  <c r="P84" i="1" s="1"/>
  <c r="E84" i="1"/>
  <c r="Q83" i="1"/>
  <c r="P83" i="1"/>
  <c r="M83" i="1"/>
  <c r="L83" i="1"/>
  <c r="K83" i="1"/>
  <c r="E83" i="1" s="1"/>
  <c r="J83" i="1"/>
  <c r="D83" i="1" s="1"/>
  <c r="O81" i="1"/>
  <c r="N81" i="1"/>
  <c r="Q80" i="1"/>
  <c r="M80" i="1"/>
  <c r="L80" i="1"/>
  <c r="K80" i="1"/>
  <c r="E80" i="1" s="1"/>
  <c r="J80" i="1"/>
  <c r="D80" i="1"/>
  <c r="Q79" i="1"/>
  <c r="M79" i="1"/>
  <c r="L79" i="1"/>
  <c r="K79" i="1"/>
  <c r="J79" i="1"/>
  <c r="E79" i="1"/>
  <c r="D79" i="1"/>
  <c r="Q78" i="1"/>
  <c r="M78" i="1"/>
  <c r="L78" i="1"/>
  <c r="K78" i="1"/>
  <c r="E78" i="1" s="1"/>
  <c r="J78" i="1"/>
  <c r="D78" i="1"/>
  <c r="Q77" i="1"/>
  <c r="M77" i="1"/>
  <c r="L77" i="1"/>
  <c r="K77" i="1"/>
  <c r="J77" i="1"/>
  <c r="E77" i="1"/>
  <c r="D77" i="1"/>
  <c r="Q74" i="1"/>
  <c r="P74" i="1"/>
  <c r="M74" i="1"/>
  <c r="L74" i="1"/>
  <c r="K74" i="1"/>
  <c r="E74" i="1" s="1"/>
  <c r="J74" i="1"/>
  <c r="D74" i="1" s="1"/>
  <c r="O72" i="1"/>
  <c r="N72" i="1"/>
  <c r="M71" i="1"/>
  <c r="L71" i="1"/>
  <c r="J71" i="1"/>
  <c r="D71" i="1" s="1"/>
  <c r="M70" i="1"/>
  <c r="L70" i="1"/>
  <c r="J70" i="1"/>
  <c r="D70" i="1" s="1"/>
  <c r="M67" i="1"/>
  <c r="L67" i="1"/>
  <c r="D67" i="1"/>
  <c r="O65" i="1"/>
  <c r="N65" i="1"/>
  <c r="M64" i="1"/>
  <c r="L64" i="1"/>
  <c r="J64" i="1"/>
  <c r="D64" i="1" s="1"/>
  <c r="M63" i="1"/>
  <c r="L63" i="1"/>
  <c r="J63" i="1"/>
  <c r="Q63" i="1" s="1"/>
  <c r="D63" i="1"/>
  <c r="M62" i="1"/>
  <c r="L62" i="1"/>
  <c r="J62" i="1"/>
  <c r="D62" i="1" s="1"/>
  <c r="M61" i="1"/>
  <c r="L61" i="1"/>
  <c r="J61" i="1"/>
  <c r="D61" i="1" s="1"/>
  <c r="M60" i="1"/>
  <c r="L60" i="1"/>
  <c r="J60" i="1"/>
  <c r="D60" i="1" s="1"/>
  <c r="M59" i="1"/>
  <c r="L59" i="1"/>
  <c r="J59" i="1"/>
  <c r="Q59" i="1" s="1"/>
  <c r="D59" i="1"/>
  <c r="M58" i="1"/>
  <c r="L58" i="1"/>
  <c r="J58" i="1"/>
  <c r="D58" i="1" s="1"/>
  <c r="M57" i="1"/>
  <c r="L57" i="1"/>
  <c r="J57" i="1"/>
  <c r="Q57" i="1" s="1"/>
  <c r="M56" i="1"/>
  <c r="L56" i="1"/>
  <c r="J56" i="1"/>
  <c r="D56" i="1" s="1"/>
  <c r="M55" i="1"/>
  <c r="L55" i="1"/>
  <c r="J55" i="1"/>
  <c r="D55" i="1" s="1"/>
  <c r="M54" i="1"/>
  <c r="L54" i="1"/>
  <c r="J54" i="1"/>
  <c r="D54" i="1" s="1"/>
  <c r="M53" i="1"/>
  <c r="L53" i="1"/>
  <c r="J53" i="1"/>
  <c r="Q53" i="1" s="1"/>
  <c r="M52" i="1"/>
  <c r="L52" i="1"/>
  <c r="J52" i="1"/>
  <c r="Q52" i="1" s="1"/>
  <c r="M51" i="1"/>
  <c r="L51" i="1"/>
  <c r="J51" i="1"/>
  <c r="Q51" i="1" s="1"/>
  <c r="O48" i="1"/>
  <c r="N48" i="1"/>
  <c r="Q47" i="1"/>
  <c r="M47" i="1"/>
  <c r="L47" i="1"/>
  <c r="K47" i="1"/>
  <c r="E47" i="1" s="1"/>
  <c r="J47" i="1"/>
  <c r="D47" i="1" s="1"/>
  <c r="Q46" i="1"/>
  <c r="M46" i="1"/>
  <c r="L46" i="1"/>
  <c r="K46" i="1"/>
  <c r="J46" i="1"/>
  <c r="P46" i="1" s="1"/>
  <c r="E46" i="1"/>
  <c r="Q45" i="1"/>
  <c r="M45" i="1"/>
  <c r="L45" i="1"/>
  <c r="K45" i="1"/>
  <c r="E45" i="1" s="1"/>
  <c r="J45" i="1"/>
  <c r="P45" i="1" s="1"/>
  <c r="Q44" i="1"/>
  <c r="M44" i="1"/>
  <c r="L44" i="1"/>
  <c r="K44" i="1"/>
  <c r="E44" i="1" s="1"/>
  <c r="J44" i="1"/>
  <c r="P44" i="1" s="1"/>
  <c r="D44" i="1"/>
  <c r="Q43" i="1"/>
  <c r="M43" i="1"/>
  <c r="L43" i="1"/>
  <c r="K43" i="1"/>
  <c r="J43" i="1"/>
  <c r="D43" i="1" s="1"/>
  <c r="E43" i="1"/>
  <c r="Q42" i="1"/>
  <c r="M42" i="1"/>
  <c r="L42" i="1"/>
  <c r="K42" i="1"/>
  <c r="E42" i="1" s="1"/>
  <c r="J42" i="1"/>
  <c r="P42" i="1" s="1"/>
  <c r="Q41" i="1"/>
  <c r="M41" i="1"/>
  <c r="L41" i="1"/>
  <c r="K41" i="1"/>
  <c r="E41" i="1" s="1"/>
  <c r="J41" i="1"/>
  <c r="D41" i="1" s="1"/>
  <c r="Q40" i="1"/>
  <c r="M40" i="1"/>
  <c r="L40" i="1"/>
  <c r="K40" i="1"/>
  <c r="E40" i="1" s="1"/>
  <c r="J40" i="1"/>
  <c r="D40" i="1" s="1"/>
  <c r="Q39" i="1"/>
  <c r="M39" i="1"/>
  <c r="L39" i="1"/>
  <c r="K39" i="1"/>
  <c r="E39" i="1" s="1"/>
  <c r="J39" i="1"/>
  <c r="P39" i="1" s="1"/>
  <c r="Q38" i="1"/>
  <c r="M38" i="1"/>
  <c r="L38" i="1"/>
  <c r="K38" i="1"/>
  <c r="E38" i="1" s="1"/>
  <c r="J38" i="1"/>
  <c r="D38" i="1" s="1"/>
  <c r="Q37" i="1"/>
  <c r="M37" i="1"/>
  <c r="L37" i="1"/>
  <c r="K37" i="1"/>
  <c r="E37" i="1" s="1"/>
  <c r="J37" i="1"/>
  <c r="P37" i="1" s="1"/>
  <c r="D37" i="1"/>
  <c r="Q36" i="1"/>
  <c r="M36" i="1"/>
  <c r="L36" i="1"/>
  <c r="K36" i="1"/>
  <c r="E36" i="1" s="1"/>
  <c r="J36" i="1"/>
  <c r="D36" i="1" s="1"/>
  <c r="Q35" i="1"/>
  <c r="M35" i="1"/>
  <c r="L35" i="1"/>
  <c r="K35" i="1"/>
  <c r="E35" i="1" s="1"/>
  <c r="J35" i="1"/>
  <c r="D35" i="1" s="1"/>
  <c r="Q34" i="1"/>
  <c r="M34" i="1"/>
  <c r="L34" i="1"/>
  <c r="K34" i="1"/>
  <c r="E34" i="1" s="1"/>
  <c r="J34" i="1"/>
  <c r="D34" i="1" s="1"/>
  <c r="Q33" i="1"/>
  <c r="M33" i="1"/>
  <c r="L33" i="1"/>
  <c r="K33" i="1"/>
  <c r="E33" i="1" s="1"/>
  <c r="J33" i="1"/>
  <c r="D33" i="1" s="1"/>
  <c r="Q32" i="1"/>
  <c r="M32" i="1"/>
  <c r="L32" i="1"/>
  <c r="K32" i="1"/>
  <c r="E32" i="1" s="1"/>
  <c r="J32" i="1"/>
  <c r="D32" i="1" s="1"/>
  <c r="K31" i="1"/>
  <c r="E31" i="1" s="1"/>
  <c r="J31" i="1"/>
  <c r="D31" i="1" s="1"/>
  <c r="Q29" i="1"/>
  <c r="M29" i="1"/>
  <c r="L29" i="1"/>
  <c r="K29" i="1"/>
  <c r="E29" i="1" s="1"/>
  <c r="J29" i="1"/>
  <c r="D29" i="1" s="1"/>
  <c r="Q28" i="1"/>
  <c r="M28" i="1"/>
  <c r="L28" i="1"/>
  <c r="K28" i="1"/>
  <c r="E28" i="1" s="1"/>
  <c r="J28" i="1"/>
  <c r="D28" i="1" s="1"/>
  <c r="Q27" i="1"/>
  <c r="M27" i="1"/>
  <c r="L27" i="1"/>
  <c r="K27" i="1"/>
  <c r="E27" i="1" s="1"/>
  <c r="J27" i="1"/>
  <c r="D27" i="1" s="1"/>
  <c r="Q26" i="1"/>
  <c r="M26" i="1"/>
  <c r="L26" i="1"/>
  <c r="K26" i="1"/>
  <c r="E26" i="1" s="1"/>
  <c r="J26" i="1"/>
  <c r="D26" i="1" s="1"/>
  <c r="Q25" i="1"/>
  <c r="M25" i="1"/>
  <c r="L25" i="1"/>
  <c r="K25" i="1"/>
  <c r="J25" i="1"/>
  <c r="P25" i="1" s="1"/>
  <c r="E25" i="1"/>
  <c r="Q24" i="1"/>
  <c r="M24" i="1"/>
  <c r="L24" i="1"/>
  <c r="K24" i="1"/>
  <c r="E24" i="1" s="1"/>
  <c r="J24" i="1"/>
  <c r="D24" i="1" s="1"/>
  <c r="Q23" i="1"/>
  <c r="M23" i="1"/>
  <c r="L23" i="1"/>
  <c r="K23" i="1"/>
  <c r="E23" i="1" s="1"/>
  <c r="J23" i="1"/>
  <c r="D23" i="1" s="1"/>
  <c r="Q22" i="1"/>
  <c r="M22" i="1"/>
  <c r="L22" i="1"/>
  <c r="K22" i="1"/>
  <c r="E22" i="1" s="1"/>
  <c r="J22" i="1"/>
  <c r="D22" i="1" s="1"/>
  <c r="Q21" i="1"/>
  <c r="M21" i="1"/>
  <c r="L21" i="1"/>
  <c r="K21" i="1"/>
  <c r="E21" i="1" s="1"/>
  <c r="J21" i="1"/>
  <c r="D21" i="1" s="1"/>
  <c r="Q20" i="1"/>
  <c r="M20" i="1"/>
  <c r="L20" i="1"/>
  <c r="K20" i="1"/>
  <c r="E20" i="1" s="1"/>
  <c r="J20" i="1"/>
  <c r="D20" i="1" s="1"/>
  <c r="Q19" i="1"/>
  <c r="M19" i="1"/>
  <c r="L19" i="1"/>
  <c r="K19" i="1"/>
  <c r="J19" i="1"/>
  <c r="D19" i="1" s="1"/>
  <c r="E19" i="1"/>
  <c r="E18" i="1"/>
  <c r="D18" i="1"/>
  <c r="Q17" i="1"/>
  <c r="M17" i="1"/>
  <c r="L17" i="1"/>
  <c r="K17" i="1"/>
  <c r="E17" i="1" s="1"/>
  <c r="J17" i="1"/>
  <c r="P17" i="1" s="1"/>
  <c r="Q16" i="1"/>
  <c r="M16" i="1"/>
  <c r="L16" i="1"/>
  <c r="K16" i="1"/>
  <c r="E16" i="1" s="1"/>
  <c r="J16" i="1"/>
  <c r="D16" i="1" s="1"/>
  <c r="Q15" i="1"/>
  <c r="M15" i="1"/>
  <c r="L15" i="1"/>
  <c r="K15" i="1"/>
  <c r="E15" i="1" s="1"/>
  <c r="J15" i="1"/>
  <c r="P15" i="1" s="1"/>
  <c r="Q14" i="1"/>
  <c r="M14" i="1"/>
  <c r="L14" i="1"/>
  <c r="K14" i="1"/>
  <c r="E14" i="1" s="1"/>
  <c r="J14" i="1"/>
  <c r="P14" i="1" s="1"/>
  <c r="D14" i="1"/>
  <c r="Q13" i="1"/>
  <c r="M13" i="1"/>
  <c r="L13" i="1"/>
  <c r="K13" i="1"/>
  <c r="E13" i="1" s="1"/>
  <c r="J13" i="1"/>
  <c r="D13" i="1" s="1"/>
  <c r="Q12" i="1"/>
  <c r="M12" i="1"/>
  <c r="L12" i="1"/>
  <c r="K12" i="1"/>
  <c r="J12" i="1"/>
  <c r="P12" i="1" s="1"/>
  <c r="E12" i="1"/>
  <c r="D12" i="1"/>
  <c r="Q11" i="1"/>
  <c r="M11" i="1"/>
  <c r="L11" i="1"/>
  <c r="K11" i="1"/>
  <c r="E11" i="1" s="1"/>
  <c r="J11" i="1"/>
  <c r="D11" i="1" s="1"/>
  <c r="Q10" i="1"/>
  <c r="M10" i="1"/>
  <c r="L10" i="1"/>
  <c r="K10" i="1"/>
  <c r="E10" i="1" s="1"/>
  <c r="J10" i="1"/>
  <c r="D10" i="1" s="1"/>
  <c r="Q9" i="1"/>
  <c r="M9" i="1"/>
  <c r="L9" i="1"/>
  <c r="K9" i="1"/>
  <c r="E9" i="1" s="1"/>
  <c r="J9" i="1"/>
  <c r="P9" i="1" s="1"/>
  <c r="Q55" i="1" l="1"/>
  <c r="P55" i="1"/>
  <c r="D57" i="1"/>
  <c r="P63" i="1"/>
  <c r="P11" i="1"/>
  <c r="D17" i="1"/>
  <c r="P28" i="1"/>
  <c r="D46" i="1"/>
  <c r="D25" i="1"/>
  <c r="D84" i="1"/>
  <c r="P22" i="1"/>
  <c r="P43" i="1"/>
  <c r="P41" i="1"/>
  <c r="D15" i="1"/>
  <c r="P36" i="1"/>
  <c r="P61" i="1"/>
  <c r="P21" i="1"/>
  <c r="P34" i="1"/>
  <c r="P19" i="1"/>
  <c r="P40" i="1"/>
  <c r="P27" i="1"/>
  <c r="P59" i="1"/>
  <c r="P71" i="1"/>
  <c r="Q71" i="1"/>
  <c r="P33" i="1"/>
  <c r="D9" i="1"/>
  <c r="P57" i="1"/>
  <c r="K71" i="1"/>
  <c r="E71" i="1" s="1"/>
  <c r="D52" i="1"/>
  <c r="Q61" i="1"/>
  <c r="P24" i="1"/>
  <c r="P10" i="1"/>
  <c r="P56" i="1"/>
  <c r="P58" i="1"/>
  <c r="P62" i="1"/>
  <c r="P64" i="1"/>
  <c r="Q56" i="1"/>
  <c r="Q62" i="1"/>
  <c r="P70" i="1"/>
  <c r="K70" i="1"/>
  <c r="E70" i="1" s="1"/>
  <c r="P13" i="1"/>
  <c r="P16" i="1"/>
  <c r="P54" i="1"/>
  <c r="P60" i="1"/>
  <c r="P20" i="1"/>
  <c r="P23" i="1"/>
  <c r="P26" i="1"/>
  <c r="P29" i="1"/>
  <c r="P32" i="1"/>
  <c r="P35" i="1"/>
  <c r="P52" i="1"/>
  <c r="Q54" i="1"/>
  <c r="Q58" i="1"/>
  <c r="Q60" i="1"/>
  <c r="Q64" i="1"/>
  <c r="D39" i="1"/>
  <c r="D42" i="1"/>
  <c r="D45" i="1"/>
  <c r="Q70" i="1"/>
  <c r="D51" i="1"/>
  <c r="D53" i="1"/>
  <c r="P51" i="1"/>
</calcChain>
</file>

<file path=xl/sharedStrings.xml><?xml version="1.0" encoding="utf-8"?>
<sst xmlns="http://schemas.openxmlformats.org/spreadsheetml/2006/main" count="265" uniqueCount="182">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</sst>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6" fontId="15" fillId="5" borderId="0" xfId="5" applyNumberFormat="1" applyFont="1" applyFill="1" applyBorder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164" fontId="4" fillId="3" borderId="0" xfId="2" applyNumberFormat="1" applyFont="1" applyFill="1" applyAlignment="1"/>
    <xf numFmtId="9" fontId="15" fillId="5" borderId="0" xfId="1" applyFont="1" applyFill="1" applyBorder="1" applyAlignment="1">
      <alignment horizontal="right"/>
    </xf>
    <xf numFmtId="167" fontId="15" fillId="8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" xfId="3" xr:uid="{075E2424-02D0-47AD-99EB-11C4DCFD93AE}"/>
    <cellStyle name="Comma 5 2 2 2 2 2 2 2 2" xfId="4" xr:uid="{CDDE12CD-31BD-48CA-A954-90DE84F736C4}"/>
    <cellStyle name="Comma 6 2 2 2" xfId="5" xr:uid="{E63145E8-A196-4982-B5A7-932010DDF431}"/>
    <cellStyle name="Hyperlink 2" xfId="8" xr:uid="{ADED9256-E597-4087-BD5A-692535AD63E0}"/>
    <cellStyle name="Normal" xfId="0" builtinId="0"/>
    <cellStyle name="Normal 2" xfId="2" xr:uid="{90A6B5BC-77C1-4CA5-9B7B-252E896C6DFC}"/>
    <cellStyle name="Normal 20" xfId="7" xr:uid="{BBCD2412-4C5A-4E6F-9C7F-02E5D31C392B}"/>
    <cellStyle name="Percent" xfId="1" builtinId="5"/>
    <cellStyle name="Percent 3" xfId="6" xr:uid="{1B89A77E-8B2A-4260-87AD-7A89664D1D4E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9ABAC8BF-DEF1-4418-AB26-F5B8BC8F3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4490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788B0A41-D21F-4CB7-8A77-8642ED2D2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00456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42CF7-74E2-42CF-B853-CF66DCFB587F}">
  <dimension ref="A1:II106"/>
  <sheetViews>
    <sheetView tabSelected="1" zoomScale="60" zoomScaleNormal="60" workbookViewId="0">
      <selection activeCell="P112" sqref="P112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26.464700000000001</v>
      </c>
      <c r="K5" s="22"/>
      <c r="L5" s="141" t="s">
        <v>12</v>
      </c>
      <c r="M5" s="142"/>
      <c r="N5" s="23" t="s">
        <v>13</v>
      </c>
      <c r="O5" s="24"/>
      <c r="P5" s="24"/>
      <c r="Q5" s="25"/>
    </row>
    <row r="6" spans="1:18" ht="6.6" customHeight="1" x14ac:dyDescent="0.3">
      <c r="A6" s="131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4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124748059</v>
      </c>
      <c r="D9" s="38">
        <f>C9*J9</f>
        <v>74477297.388596892</v>
      </c>
      <c r="E9" s="39">
        <f>C9*K9</f>
        <v>65700644.406666674</v>
      </c>
      <c r="F9" s="40" t="s">
        <v>34</v>
      </c>
      <c r="G9" s="41">
        <v>8.9894999999999996</v>
      </c>
      <c r="H9" s="42">
        <v>15.8</v>
      </c>
      <c r="I9" s="42">
        <v>15.8</v>
      </c>
      <c r="J9" s="43">
        <f>(I9/$J$5)</f>
        <v>0.59702169304772024</v>
      </c>
      <c r="K9" s="44">
        <f>I9/$K$4</f>
        <v>0.52666666666666673</v>
      </c>
      <c r="L9" s="45">
        <f>I9-H9</f>
        <v>0</v>
      </c>
      <c r="M9" s="45">
        <f>((I9-H9)/H9)*100</f>
        <v>0</v>
      </c>
      <c r="N9" s="46">
        <v>0</v>
      </c>
      <c r="O9" s="37">
        <v>0</v>
      </c>
      <c r="P9" s="47">
        <f>(R9)/J9</f>
        <v>2.5124715189873414E-2</v>
      </c>
      <c r="Q9" s="48">
        <f>I9/G9-1</f>
        <v>0.75760609600089013</v>
      </c>
      <c r="R9" s="49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3689584.0761467163</v>
      </c>
      <c r="E10" s="39">
        <f>C10*K10</f>
        <v>3254791.19</v>
      </c>
      <c r="F10" s="40" t="s">
        <v>34</v>
      </c>
      <c r="G10" s="41">
        <v>3.1600000000000003E-2</v>
      </c>
      <c r="H10" s="42">
        <v>6.0717E-2</v>
      </c>
      <c r="I10" s="42">
        <v>0.06</v>
      </c>
      <c r="J10" s="43">
        <f>I10/$J$5</f>
        <v>2.2671709862571651E-3</v>
      </c>
      <c r="K10" s="44">
        <f>I10/$K$4</f>
        <v>2E-3</v>
      </c>
      <c r="L10" s="45">
        <f>I10-H10</f>
        <v>-7.1700000000000236E-4</v>
      </c>
      <c r="M10" s="45">
        <f>((I10-H10)/H10)*100</f>
        <v>-1.1808883838134334</v>
      </c>
      <c r="N10" s="46">
        <v>135100</v>
      </c>
      <c r="O10" s="37">
        <v>8106</v>
      </c>
      <c r="P10" s="50">
        <f>(R10)/J10</f>
        <v>0</v>
      </c>
      <c r="Q10" s="48">
        <f>I10/G10-1</f>
        <v>0.89873417721518956</v>
      </c>
      <c r="R10" s="49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3303414.560842745</v>
      </c>
      <c r="E11" s="39">
        <f>C11*K11</f>
        <v>2914129.1776111666</v>
      </c>
      <c r="F11" s="40" t="s">
        <v>39</v>
      </c>
      <c r="G11" s="41">
        <v>7.8E-2</v>
      </c>
      <c r="H11" s="42">
        <v>0.21735600000000002</v>
      </c>
      <c r="I11" s="42">
        <v>0.20006499999999999</v>
      </c>
      <c r="J11" s="43">
        <f>I11/$J$5</f>
        <v>7.5596927227589957E-3</v>
      </c>
      <c r="K11" s="44">
        <f>I11/$K$4</f>
        <v>6.668833333333333E-3</v>
      </c>
      <c r="L11" s="45">
        <f>I11-H11</f>
        <v>-1.7291000000000029E-2</v>
      </c>
      <c r="M11" s="45">
        <f>((I11-H11)/H11)*100</f>
        <v>-7.9551519166712801</v>
      </c>
      <c r="N11" s="46">
        <v>301400</v>
      </c>
      <c r="O11" s="37">
        <v>60299.6</v>
      </c>
      <c r="P11" s="50">
        <f>(R11)/J11</f>
        <v>0</v>
      </c>
      <c r="Q11" s="48">
        <f>I11/G11-1</f>
        <v>1.5649358974358973</v>
      </c>
      <c r="R11" s="49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146121495.38179162</v>
      </c>
      <c r="E12" s="39">
        <f>C12*K12</f>
        <v>128902051.29435001</v>
      </c>
      <c r="F12" s="40" t="s">
        <v>34</v>
      </c>
      <c r="G12" s="41">
        <v>97.381</v>
      </c>
      <c r="H12" s="42">
        <v>168.43340000000001</v>
      </c>
      <c r="I12" s="42">
        <v>187.41650000000001</v>
      </c>
      <c r="J12" s="43">
        <f>I12/$J$5</f>
        <v>7.0817541857644342</v>
      </c>
      <c r="K12" s="44">
        <f>I12/$K$4</f>
        <v>6.2472166666666675</v>
      </c>
      <c r="L12" s="45">
        <f>I12-H12</f>
        <v>18.983100000000007</v>
      </c>
      <c r="M12" s="45">
        <f>((I12-H12)/H12)*100</f>
        <v>11.270389364579714</v>
      </c>
      <c r="N12" s="46">
        <v>1200</v>
      </c>
      <c r="O12" s="37">
        <v>224899.8</v>
      </c>
      <c r="P12" s="50">
        <f>(R12)/J12</f>
        <v>0</v>
      </c>
      <c r="Q12" s="48">
        <f>I12/G12-1</f>
        <v>0.9245694745381543</v>
      </c>
      <c r="R12" s="49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4786127.692889018</v>
      </c>
      <c r="E13" s="39">
        <f>C13*K13</f>
        <v>4222114.4517999999</v>
      </c>
      <c r="F13" s="40" t="s">
        <v>44</v>
      </c>
      <c r="G13" s="41">
        <v>13.6</v>
      </c>
      <c r="H13" s="42">
        <v>14.500499999999999</v>
      </c>
      <c r="I13" s="42">
        <v>14.500499999999999</v>
      </c>
      <c r="J13" s="43">
        <f>I13/$J$5</f>
        <v>0.54791854810370033</v>
      </c>
      <c r="K13" s="44">
        <f>I13/$K$4</f>
        <v>0.48334999999999995</v>
      </c>
      <c r="L13" s="45">
        <f>I13-H13</f>
        <v>0</v>
      </c>
      <c r="M13" s="45">
        <f>((I13-H13)/H13)*100</f>
        <v>0</v>
      </c>
      <c r="N13" s="46">
        <v>0</v>
      </c>
      <c r="O13" s="37">
        <v>0</v>
      </c>
      <c r="P13" s="50">
        <f>(R13)/J13</f>
        <v>0</v>
      </c>
      <c r="Q13" s="48">
        <f>I13/G13-1</f>
        <v>6.6213235294117601E-2</v>
      </c>
      <c r="R13" s="49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316955853.85961294</v>
      </c>
      <c r="E14" s="39">
        <f>C14*K14</f>
        <v>279604719.52128333</v>
      </c>
      <c r="F14" s="40" t="s">
        <v>47</v>
      </c>
      <c r="G14" s="41">
        <v>11.5</v>
      </c>
      <c r="H14" s="42">
        <v>16</v>
      </c>
      <c r="I14" s="42">
        <v>16.0489</v>
      </c>
      <c r="J14" s="43">
        <f>I14/$J$5</f>
        <v>0.60642667402237693</v>
      </c>
      <c r="K14" s="44">
        <f>I14/$K$4</f>
        <v>0.53496333333333335</v>
      </c>
      <c r="L14" s="45">
        <f>I14-H14</f>
        <v>4.8899999999999721E-2</v>
      </c>
      <c r="M14" s="45">
        <f>((I14-H14)/H14)*100</f>
        <v>0.30562499999999826</v>
      </c>
      <c r="N14" s="46">
        <v>20500</v>
      </c>
      <c r="O14" s="37">
        <v>329002.5</v>
      </c>
      <c r="P14" s="50">
        <f>(R14)/J14</f>
        <v>0</v>
      </c>
      <c r="Q14" s="48">
        <f>I14/G14-1</f>
        <v>0.39555652173913036</v>
      </c>
      <c r="R14" s="49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24041279.515732277</v>
      </c>
      <c r="E15" s="39">
        <f>C15*K15</f>
        <v>21208175</v>
      </c>
      <c r="F15" s="40" t="s">
        <v>34</v>
      </c>
      <c r="G15" s="41">
        <v>5.39</v>
      </c>
      <c r="H15" s="42">
        <v>6</v>
      </c>
      <c r="I15" s="42">
        <v>6</v>
      </c>
      <c r="J15" s="43">
        <f>I15/$J$5</f>
        <v>0.22671709862571651</v>
      </c>
      <c r="K15" s="44">
        <f>I15/$K$4</f>
        <v>0.2</v>
      </c>
      <c r="L15" s="45">
        <f>I15-H15</f>
        <v>0</v>
      </c>
      <c r="M15" s="45">
        <f>((I15-H15)/H15)*100</f>
        <v>0</v>
      </c>
      <c r="N15" s="46">
        <v>0</v>
      </c>
      <c r="O15" s="37">
        <v>0</v>
      </c>
      <c r="P15" s="50">
        <f>(R15)/J15</f>
        <v>0</v>
      </c>
      <c r="Q15" s="48">
        <f>I15/G15-1</f>
        <v>0.1131725417439704</v>
      </c>
      <c r="R15" s="49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37606411.001825072</v>
      </c>
      <c r="E16" s="39">
        <f>C16*K16</f>
        <v>33174746.174666665</v>
      </c>
      <c r="F16" s="40" t="s">
        <v>34</v>
      </c>
      <c r="G16" s="41">
        <v>1.9</v>
      </c>
      <c r="H16" s="42">
        <v>2.7827220000000001</v>
      </c>
      <c r="I16" s="42">
        <v>2.78</v>
      </c>
      <c r="J16" s="43">
        <f>I16/$J$5</f>
        <v>0.10504558902991531</v>
      </c>
      <c r="K16" s="44">
        <f>I16/$K$4</f>
        <v>9.2666666666666661E-2</v>
      </c>
      <c r="L16" s="45">
        <f>I16-H16</f>
        <v>-2.7220000000003353E-3</v>
      </c>
      <c r="M16" s="45">
        <f>((I16-H16)/H16)*100</f>
        <v>-9.7817891977723087E-2</v>
      </c>
      <c r="N16" s="46">
        <v>400</v>
      </c>
      <c r="O16" s="37">
        <v>1112</v>
      </c>
      <c r="P16" s="50">
        <f>(R16)/J16</f>
        <v>0</v>
      </c>
      <c r="Q16" s="48">
        <f>I16/G16-1</f>
        <v>0.46315789473684199</v>
      </c>
      <c r="R16" s="49"/>
    </row>
    <row r="17" spans="1:19" x14ac:dyDescent="0.25">
      <c r="A17" s="35" t="s">
        <v>52</v>
      </c>
      <c r="B17" s="36" t="s">
        <v>53</v>
      </c>
      <c r="C17" s="37">
        <v>1341613815</v>
      </c>
      <c r="D17" s="38">
        <f>C17*J17</f>
        <v>1560061335.2899144</v>
      </c>
      <c r="E17" s="39">
        <f>C17*K17</f>
        <v>1376218507.3348999</v>
      </c>
      <c r="F17" s="40" t="s">
        <v>34</v>
      </c>
      <c r="G17" s="41">
        <v>20.701700000000002</v>
      </c>
      <c r="H17" s="42">
        <v>30.755100000000002</v>
      </c>
      <c r="I17" s="42">
        <v>30.773800000000001</v>
      </c>
      <c r="J17" s="43">
        <f>I17/$J$5</f>
        <v>1.1628244416146791</v>
      </c>
      <c r="K17" s="44">
        <f>I17/$K$4</f>
        <v>1.0257933333333333</v>
      </c>
      <c r="L17" s="45">
        <f>I17-H17</f>
        <v>1.8699999999999051E-2</v>
      </c>
      <c r="M17" s="45">
        <f>((I17-H17)/H17)*100</f>
        <v>6.0802923742725758E-2</v>
      </c>
      <c r="N17" s="46">
        <v>180400</v>
      </c>
      <c r="O17" s="37">
        <v>5551589.9500000002</v>
      </c>
      <c r="P17" s="47">
        <f>(R17)/J17</f>
        <v>4.2998752185300484E-2</v>
      </c>
      <c r="Q17" s="48">
        <f>I17/G17-1</f>
        <v>0.48653492225276174</v>
      </c>
      <c r="R17" s="49">
        <v>0.05</v>
      </c>
    </row>
    <row r="18" spans="1:19" hidden="1" x14ac:dyDescent="0.25">
      <c r="A18" s="35" t="s">
        <v>54</v>
      </c>
      <c r="B18" s="36" t="s">
        <v>55</v>
      </c>
      <c r="C18" s="37">
        <v>2992163203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2"/>
      <c r="J18" s="43"/>
      <c r="K18" s="44"/>
      <c r="L18" s="45"/>
      <c r="M18" s="45"/>
      <c r="N18" s="46" t="s">
        <v>57</v>
      </c>
      <c r="O18" s="37" t="s">
        <v>57</v>
      </c>
      <c r="P18" s="50"/>
      <c r="Q18" s="48"/>
      <c r="R18" s="49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>C19*J19</f>
        <v>255173750.93426341</v>
      </c>
      <c r="E19" s="39">
        <f>C19*K19</f>
        <v>225103225.54500002</v>
      </c>
      <c r="F19" s="40" t="s">
        <v>47</v>
      </c>
      <c r="G19" s="41">
        <v>12.45</v>
      </c>
      <c r="H19" s="42">
        <v>10.008099999999999</v>
      </c>
      <c r="I19" s="42">
        <v>10.050000000000001</v>
      </c>
      <c r="J19" s="43">
        <f>I19/$J$5</f>
        <v>0.37975114019807521</v>
      </c>
      <c r="K19" s="44">
        <f>I19/$K$4</f>
        <v>0.33500000000000002</v>
      </c>
      <c r="L19" s="45">
        <f>I19-H19</f>
        <v>4.1900000000001825E-2</v>
      </c>
      <c r="M19" s="45">
        <f>((I19-H19)/H19)*100</f>
        <v>0.41866088468342472</v>
      </c>
      <c r="N19" s="46">
        <v>1600</v>
      </c>
      <c r="O19" s="37">
        <v>16080</v>
      </c>
      <c r="P19" s="50">
        <f>(R19)/J19</f>
        <v>0</v>
      </c>
      <c r="Q19" s="48">
        <f>I19/G19-1</f>
        <v>-0.19277108433734924</v>
      </c>
      <c r="R19" s="49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>C20*J20</f>
        <v>2430377.1943570115</v>
      </c>
      <c r="E20" s="39">
        <f>C20*K20</f>
        <v>2143973.4445166667</v>
      </c>
      <c r="F20" s="40" t="s">
        <v>47</v>
      </c>
      <c r="G20" s="41">
        <v>0.35</v>
      </c>
      <c r="H20" s="42">
        <v>0.57851300000000005</v>
      </c>
      <c r="I20" s="42">
        <v>0.59050000000000002</v>
      </c>
      <c r="J20" s="43">
        <f>I20/$J$5</f>
        <v>2.2312741123080935E-2</v>
      </c>
      <c r="K20" s="44">
        <f>I20/$K$4</f>
        <v>1.9683333333333334E-2</v>
      </c>
      <c r="L20" s="45">
        <f>I20-H20</f>
        <v>1.198699999999997E-2</v>
      </c>
      <c r="M20" s="45">
        <f>((I20-H20)/H20)*100</f>
        <v>2.0720364105905951</v>
      </c>
      <c r="N20" s="46">
        <v>900</v>
      </c>
      <c r="O20" s="37">
        <v>531.45000000000005</v>
      </c>
      <c r="P20" s="50">
        <f>(R20)/J20</f>
        <v>0</v>
      </c>
      <c r="Q20" s="48">
        <f>I20/G20-1</f>
        <v>0.68714285714285728</v>
      </c>
      <c r="R20" s="49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>C21*J21</f>
        <v>41724595.253299676</v>
      </c>
      <c r="E21" s="39">
        <f>C21*K21</f>
        <v>36807629.866666667</v>
      </c>
      <c r="F21" s="40" t="s">
        <v>47</v>
      </c>
      <c r="G21" s="41">
        <v>2.85</v>
      </c>
      <c r="H21" s="42">
        <v>1.6</v>
      </c>
      <c r="I21" s="42">
        <v>1.6</v>
      </c>
      <c r="J21" s="43">
        <f>I21/$J$5</f>
        <v>6.0457892966857739E-2</v>
      </c>
      <c r="K21" s="44">
        <f>I21/$K$4</f>
        <v>5.3333333333333337E-2</v>
      </c>
      <c r="L21" s="45">
        <f>I21-H21</f>
        <v>0</v>
      </c>
      <c r="M21" s="45">
        <f>((I21-H21)/H21)*100</f>
        <v>0</v>
      </c>
      <c r="N21" s="46">
        <v>2400</v>
      </c>
      <c r="O21" s="37">
        <v>3840</v>
      </c>
      <c r="P21" s="50">
        <f>(R21)/J21</f>
        <v>0</v>
      </c>
      <c r="Q21" s="48">
        <f>I21/G21-1</f>
        <v>-0.43859649122807021</v>
      </c>
      <c r="R21" s="49"/>
    </row>
    <row r="22" spans="1:19" x14ac:dyDescent="0.25">
      <c r="A22" s="35" t="s">
        <v>64</v>
      </c>
      <c r="B22" s="36" t="s">
        <v>65</v>
      </c>
      <c r="C22" s="37">
        <v>1236075493</v>
      </c>
      <c r="D22" s="38">
        <f>C22*J22</f>
        <v>53712561.145601496</v>
      </c>
      <c r="E22" s="39">
        <f>C22*K22</f>
        <v>47382893.898333326</v>
      </c>
      <c r="F22" s="40" t="s">
        <v>66</v>
      </c>
      <c r="G22" s="41">
        <v>0.88420599999999994</v>
      </c>
      <c r="H22" s="42">
        <v>1.1499999999999999</v>
      </c>
      <c r="I22" s="42">
        <v>1.1499999999999999</v>
      </c>
      <c r="J22" s="43">
        <f>I22/$J$5</f>
        <v>4.3454110569928997E-2</v>
      </c>
      <c r="K22" s="44">
        <f>I22/$K$4</f>
        <v>3.833333333333333E-2</v>
      </c>
      <c r="L22" s="45">
        <f>I22-H22</f>
        <v>0</v>
      </c>
      <c r="M22" s="45">
        <f>((I22-H22)/H22)*100</f>
        <v>0</v>
      </c>
      <c r="N22" s="46">
        <v>0</v>
      </c>
      <c r="O22" s="37">
        <v>0</v>
      </c>
      <c r="P22" s="50">
        <f>(R22)/J22</f>
        <v>0</v>
      </c>
      <c r="Q22" s="48">
        <f>I22/G22-1</f>
        <v>0.3006018959382768</v>
      </c>
      <c r="R22" s="49"/>
    </row>
    <row r="23" spans="1:19" x14ac:dyDescent="0.25">
      <c r="A23" s="35" t="s">
        <v>67</v>
      </c>
      <c r="B23" s="36" t="s">
        <v>68</v>
      </c>
      <c r="C23" s="37">
        <v>536588623</v>
      </c>
      <c r="D23" s="38">
        <f>C23*J23</f>
        <v>2422938.4972623908</v>
      </c>
      <c r="E23" s="39">
        <f>C23*K23</f>
        <v>2137411.3482833332</v>
      </c>
      <c r="F23" s="40" t="s">
        <v>44</v>
      </c>
      <c r="G23" s="41">
        <v>0.1</v>
      </c>
      <c r="H23" s="42">
        <v>0.1195</v>
      </c>
      <c r="I23" s="42">
        <v>0.1195</v>
      </c>
      <c r="J23" s="43">
        <f>I23/$J$5</f>
        <v>4.5154488809621869E-3</v>
      </c>
      <c r="K23" s="44">
        <f>I23/$K$4</f>
        <v>3.9833333333333335E-3</v>
      </c>
      <c r="L23" s="45">
        <f>I23-H23</f>
        <v>0</v>
      </c>
      <c r="M23" s="45">
        <f>((I23-H23)/H23)*100</f>
        <v>0</v>
      </c>
      <c r="N23" s="46">
        <v>0</v>
      </c>
      <c r="O23" s="37">
        <v>0</v>
      </c>
      <c r="P23" s="50">
        <f>(R23)/J23</f>
        <v>0</v>
      </c>
      <c r="Q23" s="48">
        <f>I23/G23-1</f>
        <v>0.19499999999999984</v>
      </c>
      <c r="R23" s="49"/>
    </row>
    <row r="24" spans="1:19" x14ac:dyDescent="0.25">
      <c r="A24" s="35" t="s">
        <v>69</v>
      </c>
      <c r="B24" s="36" t="s">
        <v>70</v>
      </c>
      <c r="C24" s="37">
        <v>193020564</v>
      </c>
      <c r="D24" s="38">
        <f>C24*J24</f>
        <v>72938750.497152805</v>
      </c>
      <c r="E24" s="39">
        <f>C24*K24</f>
        <v>64343405.009399995</v>
      </c>
      <c r="F24" s="40" t="s">
        <v>34</v>
      </c>
      <c r="G24" s="41">
        <v>8.1687659999999997</v>
      </c>
      <c r="H24" s="42">
        <v>10.000499999999999</v>
      </c>
      <c r="I24" s="42">
        <v>10.000499999999999</v>
      </c>
      <c r="J24" s="43">
        <f>I24/$J$5</f>
        <v>0.37788072413441298</v>
      </c>
      <c r="K24" s="44">
        <f>I24/$K$4</f>
        <v>0.33334999999999998</v>
      </c>
      <c r="L24" s="45">
        <f>I24-H24</f>
        <v>0</v>
      </c>
      <c r="M24" s="45">
        <f>((I24-H24)/H24)*100</f>
        <v>0</v>
      </c>
      <c r="N24" s="46">
        <v>0</v>
      </c>
      <c r="O24" s="37">
        <v>0</v>
      </c>
      <c r="P24" s="50">
        <f>(R24)/J24</f>
        <v>0</v>
      </c>
      <c r="Q24" s="48">
        <f>I24/G24-1</f>
        <v>0.22423631672152178</v>
      </c>
      <c r="R24" s="49"/>
      <c r="S24" s="5" t="s">
        <v>71</v>
      </c>
    </row>
    <row r="25" spans="1:19" x14ac:dyDescent="0.25">
      <c r="A25" s="35" t="s">
        <v>72</v>
      </c>
      <c r="B25" s="36" t="s">
        <v>73</v>
      </c>
      <c r="C25" s="37">
        <v>1687584009</v>
      </c>
      <c r="D25" s="38">
        <f>C25*J25</f>
        <v>80346871.543603361</v>
      </c>
      <c r="E25" s="39">
        <f>C25*K25</f>
        <v>70878528.378000006</v>
      </c>
      <c r="F25" s="40" t="s">
        <v>66</v>
      </c>
      <c r="G25" s="41">
        <v>1.6675</v>
      </c>
      <c r="H25" s="42">
        <v>1.217514</v>
      </c>
      <c r="I25" s="42">
        <v>1.26</v>
      </c>
      <c r="J25" s="43">
        <f>I25/$J$5</f>
        <v>4.7610590711400468E-2</v>
      </c>
      <c r="K25" s="44">
        <f>I25/$K$4</f>
        <v>4.2000000000000003E-2</v>
      </c>
      <c r="L25" s="45">
        <f>I25-H25</f>
        <v>4.2486000000000024E-2</v>
      </c>
      <c r="M25" s="45">
        <f>((I25-H25)/H25)*100</f>
        <v>3.4895697297936636</v>
      </c>
      <c r="N25" s="46">
        <v>3000</v>
      </c>
      <c r="O25" s="37">
        <v>3780</v>
      </c>
      <c r="P25" s="50">
        <f>(R25)/J25</f>
        <v>0</v>
      </c>
      <c r="Q25" s="48">
        <f>I25/G25-1</f>
        <v>-0.24437781109445278</v>
      </c>
      <c r="R25" s="49"/>
    </row>
    <row r="26" spans="1:19" x14ac:dyDescent="0.25">
      <c r="A26" s="35" t="s">
        <v>74</v>
      </c>
      <c r="B26" s="36" t="s">
        <v>75</v>
      </c>
      <c r="C26" s="37">
        <v>239388107</v>
      </c>
      <c r="D26" s="38">
        <f>C26*J26</f>
        <v>31111616.39510132</v>
      </c>
      <c r="E26" s="39">
        <f>C26*K26</f>
        <v>27445319.813714597</v>
      </c>
      <c r="F26" s="40" t="s">
        <v>44</v>
      </c>
      <c r="G26" s="41">
        <v>1.7994999999999999</v>
      </c>
      <c r="H26" s="42">
        <v>3.4394999999999998</v>
      </c>
      <c r="I26" s="42">
        <v>3.4394339999999999</v>
      </c>
      <c r="J26" s="43">
        <f>I26/$J$5</f>
        <v>0.1299630828991071</v>
      </c>
      <c r="K26" s="44">
        <f>I26/$K$4</f>
        <v>0.11464779999999999</v>
      </c>
      <c r="L26" s="45">
        <f>I26-H26</f>
        <v>-6.5999999999899472E-5</v>
      </c>
      <c r="M26" s="45">
        <f>((I26-H26)/H26)*100</f>
        <v>-1.918883558653859E-3</v>
      </c>
      <c r="N26" s="46">
        <v>14500</v>
      </c>
      <c r="O26" s="37">
        <v>49871.8</v>
      </c>
      <c r="P26" s="50">
        <f>(R26)/J26</f>
        <v>0</v>
      </c>
      <c r="Q26" s="48">
        <f>I26/G26-1</f>
        <v>0.91132759099749938</v>
      </c>
      <c r="R26" s="49"/>
    </row>
    <row r="27" spans="1:19" x14ac:dyDescent="0.25">
      <c r="A27" s="35" t="s">
        <v>76</v>
      </c>
      <c r="B27" s="36" t="s">
        <v>77</v>
      </c>
      <c r="C27" s="37">
        <v>256150741</v>
      </c>
      <c r="D27" s="38">
        <f>C27*J27</f>
        <v>29036876.405173682</v>
      </c>
      <c r="E27" s="39">
        <f>C27*K27</f>
        <v>25615074.100000001</v>
      </c>
      <c r="F27" s="40" t="s">
        <v>34</v>
      </c>
      <c r="G27" s="41">
        <v>3.1361369999999997</v>
      </c>
      <c r="H27" s="42">
        <v>3.0350000000000001</v>
      </c>
      <c r="I27" s="42">
        <v>3</v>
      </c>
      <c r="J27" s="43">
        <f>I27/$J$5</f>
        <v>0.11335854931285826</v>
      </c>
      <c r="K27" s="44">
        <f>I27/$K$4</f>
        <v>0.1</v>
      </c>
      <c r="L27" s="45">
        <f>I27-H27</f>
        <v>-3.5000000000000142E-2</v>
      </c>
      <c r="M27" s="45">
        <f>((I27-H27)/H27)*100</f>
        <v>-1.1532125205930852</v>
      </c>
      <c r="N27" s="46">
        <v>8200</v>
      </c>
      <c r="O27" s="37">
        <v>24600</v>
      </c>
      <c r="P27" s="50">
        <f>(R27)/J27</f>
        <v>0</v>
      </c>
      <c r="Q27" s="48">
        <f>I27/G27-1</f>
        <v>-4.3409136781970892E-2</v>
      </c>
      <c r="R27" s="49"/>
    </row>
    <row r="28" spans="1:19" x14ac:dyDescent="0.25">
      <c r="A28" s="35" t="s">
        <v>78</v>
      </c>
      <c r="B28" s="36" t="s">
        <v>79</v>
      </c>
      <c r="C28" s="37">
        <v>755648101</v>
      </c>
      <c r="D28" s="38">
        <f>C28*J28</f>
        <v>27767848.425355285</v>
      </c>
      <c r="E28" s="39">
        <f>C28*K28</f>
        <v>24495592.607416671</v>
      </c>
      <c r="F28" s="40" t="s">
        <v>44</v>
      </c>
      <c r="G28" s="41">
        <v>0.8</v>
      </c>
      <c r="H28" s="42">
        <v>0.97250000000000003</v>
      </c>
      <c r="I28" s="42">
        <v>0.97250000000000003</v>
      </c>
      <c r="J28" s="43">
        <f>I28/$J$5</f>
        <v>3.6747063068918222E-2</v>
      </c>
      <c r="K28" s="44">
        <f>I28/$K$4</f>
        <v>3.241666666666667E-2</v>
      </c>
      <c r="L28" s="45">
        <f>I28-H28</f>
        <v>0</v>
      </c>
      <c r="M28" s="45">
        <f>((I28-H28)/H28)*100</f>
        <v>0</v>
      </c>
      <c r="N28" s="46">
        <v>0</v>
      </c>
      <c r="O28" s="37">
        <v>0</v>
      </c>
      <c r="P28" s="50">
        <f>(R28)/J28</f>
        <v>0</v>
      </c>
      <c r="Q28" s="48">
        <f>I28/G28-1</f>
        <v>0.21562499999999996</v>
      </c>
      <c r="R28" s="49"/>
    </row>
    <row r="29" spans="1:19" x14ac:dyDescent="0.25">
      <c r="A29" s="35" t="s">
        <v>80</v>
      </c>
      <c r="B29" s="36" t="s">
        <v>81</v>
      </c>
      <c r="C29" s="37">
        <v>404171689</v>
      </c>
      <c r="D29" s="38">
        <f>C29*J29</f>
        <v>80178553.592143491</v>
      </c>
      <c r="E29" s="39">
        <f>C29*K29</f>
        <v>70730045.574999988</v>
      </c>
      <c r="F29" s="40" t="s">
        <v>47</v>
      </c>
      <c r="G29" s="41">
        <v>5.15</v>
      </c>
      <c r="H29" s="42">
        <v>5.25</v>
      </c>
      <c r="I29" s="42">
        <v>5.25</v>
      </c>
      <c r="J29" s="43">
        <f>I29/$J$5</f>
        <v>0.19837746129750194</v>
      </c>
      <c r="K29" s="44">
        <f>I29/$K$4</f>
        <v>0.17499999999999999</v>
      </c>
      <c r="L29" s="45">
        <f>I29-H29</f>
        <v>0</v>
      </c>
      <c r="M29" s="45">
        <f>((I29-H29)/H29)*100</f>
        <v>0</v>
      </c>
      <c r="N29" s="46">
        <v>0</v>
      </c>
      <c r="O29" s="37">
        <v>0</v>
      </c>
      <c r="P29" s="50">
        <f>(R29)/J29</f>
        <v>0</v>
      </c>
      <c r="Q29" s="48">
        <f>I29/G29-1</f>
        <v>1.9417475728155331E-2</v>
      </c>
      <c r="R29" s="49"/>
    </row>
    <row r="30" spans="1:19" hidden="1" x14ac:dyDescent="0.25">
      <c r="A30" s="35"/>
      <c r="B30" s="36" t="s">
        <v>82</v>
      </c>
      <c r="C30" s="37"/>
      <c r="D30" s="38"/>
      <c r="E30" s="39"/>
      <c r="F30" s="40"/>
      <c r="G30" s="41"/>
      <c r="H30" s="42"/>
      <c r="I30" s="42"/>
      <c r="J30" s="43"/>
      <c r="K30" s="44"/>
      <c r="L30" s="45"/>
      <c r="M30" s="45"/>
      <c r="N30" s="46"/>
      <c r="O30" s="37"/>
      <c r="P30" s="50"/>
      <c r="Q30" s="48"/>
      <c r="R30" s="49"/>
    </row>
    <row r="31" spans="1:19" x14ac:dyDescent="0.25">
      <c r="A31" s="35" t="s">
        <v>83</v>
      </c>
      <c r="B31" s="36" t="s">
        <v>84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0">
        <v>0</v>
      </c>
      <c r="I31" s="50"/>
      <c r="J31" s="51">
        <f>I31/$J$5</f>
        <v>0</v>
      </c>
      <c r="K31" s="52">
        <f>I31/$K$4</f>
        <v>0</v>
      </c>
      <c r="L31" s="45">
        <v>0</v>
      </c>
      <c r="M31" s="45">
        <v>0</v>
      </c>
      <c r="N31" s="53" t="s">
        <v>85</v>
      </c>
      <c r="O31" s="53" t="s">
        <v>85</v>
      </c>
      <c r="P31" s="53" t="s">
        <v>85</v>
      </c>
      <c r="Q31" s="48">
        <v>0</v>
      </c>
      <c r="R31" s="49"/>
    </row>
    <row r="32" spans="1:19" x14ac:dyDescent="0.25">
      <c r="A32" s="35" t="s">
        <v>86</v>
      </c>
      <c r="B32" s="36" t="s">
        <v>87</v>
      </c>
      <c r="C32" s="37">
        <v>259866270</v>
      </c>
      <c r="D32" s="38">
        <f>C32*J32</f>
        <v>12458305.972200705</v>
      </c>
      <c r="E32" s="39">
        <f>C32*K32</f>
        <v>10990177.668749999</v>
      </c>
      <c r="F32" s="40" t="s">
        <v>39</v>
      </c>
      <c r="G32" s="41">
        <v>1.4</v>
      </c>
      <c r="H32" s="42">
        <v>1.45</v>
      </c>
      <c r="I32" s="42">
        <v>1.26875</v>
      </c>
      <c r="J32" s="43">
        <f>I32/$J$5</f>
        <v>4.7941219813562974E-2</v>
      </c>
      <c r="K32" s="44">
        <f>I32/$K$4</f>
        <v>4.2291666666666665E-2</v>
      </c>
      <c r="L32" s="45">
        <f>I32-H32</f>
        <v>-0.18124999999999991</v>
      </c>
      <c r="M32" s="45">
        <f>((I32-H32)/H32)*100</f>
        <v>-12.499999999999995</v>
      </c>
      <c r="N32" s="46">
        <v>30000</v>
      </c>
      <c r="O32" s="37">
        <v>38062.5</v>
      </c>
      <c r="P32" s="50">
        <f>(R32)/J32</f>
        <v>0</v>
      </c>
      <c r="Q32" s="48">
        <f>I32/G32-1</f>
        <v>-9.3749999999999889E-2</v>
      </c>
      <c r="R32" s="49"/>
    </row>
    <row r="33" spans="1:18" x14ac:dyDescent="0.25">
      <c r="A33" s="35" t="s">
        <v>88</v>
      </c>
      <c r="B33" s="36" t="s">
        <v>89</v>
      </c>
      <c r="C33" s="37">
        <v>122029470</v>
      </c>
      <c r="D33" s="38">
        <f>C33*J33</f>
        <v>3458270.9231542391</v>
      </c>
      <c r="E33" s="39">
        <f>C33*K33</f>
        <v>3050736.75</v>
      </c>
      <c r="F33" s="40" t="s">
        <v>39</v>
      </c>
      <c r="G33" s="41">
        <v>0.65</v>
      </c>
      <c r="H33" s="42">
        <v>0.75</v>
      </c>
      <c r="I33" s="42">
        <v>0.75</v>
      </c>
      <c r="J33" s="43">
        <f>I33/$J$5</f>
        <v>2.8339637328214564E-2</v>
      </c>
      <c r="K33" s="44">
        <f>I33/$K$4</f>
        <v>2.5000000000000001E-2</v>
      </c>
      <c r="L33" s="45">
        <f>I33-H33</f>
        <v>0</v>
      </c>
      <c r="M33" s="45">
        <f>((I33-H33)/H33)*100</f>
        <v>0</v>
      </c>
      <c r="N33" s="46">
        <v>0</v>
      </c>
      <c r="O33" s="37">
        <v>0</v>
      </c>
      <c r="P33" s="50">
        <f>(R33)/J33</f>
        <v>0</v>
      </c>
      <c r="Q33" s="48">
        <f>I33/G33-1</f>
        <v>0.15384615384615374</v>
      </c>
      <c r="R33" s="49"/>
    </row>
    <row r="34" spans="1:18" x14ac:dyDescent="0.25">
      <c r="A34" s="35" t="s">
        <v>90</v>
      </c>
      <c r="B34" s="36" t="s">
        <v>91</v>
      </c>
      <c r="C34" s="37">
        <v>2495495543</v>
      </c>
      <c r="D34" s="38">
        <f>C34*J34</f>
        <v>162659308.87843052</v>
      </c>
      <c r="E34" s="39">
        <f>C34*K34</f>
        <v>143490993.7225</v>
      </c>
      <c r="F34" s="40" t="s">
        <v>92</v>
      </c>
      <c r="G34" s="41">
        <v>1.44</v>
      </c>
      <c r="H34" s="42">
        <v>1.717697</v>
      </c>
      <c r="I34" s="42">
        <v>1.7250000000000001</v>
      </c>
      <c r="J34" s="43">
        <f>I34/$J$5</f>
        <v>6.5181165854893502E-2</v>
      </c>
      <c r="K34" s="44">
        <f>I34/$K$4</f>
        <v>5.7500000000000002E-2</v>
      </c>
      <c r="L34" s="45">
        <f>I34-H34</f>
        <v>7.3030000000000594E-3</v>
      </c>
      <c r="M34" s="45">
        <f>((I34-H34)/H34)*100</f>
        <v>0.42516229579489623</v>
      </c>
      <c r="N34" s="46">
        <v>2300</v>
      </c>
      <c r="O34" s="37">
        <v>3967.5</v>
      </c>
      <c r="P34" s="50">
        <f>(R34)/J34</f>
        <v>0</v>
      </c>
      <c r="Q34" s="48">
        <f>I34/G34-1</f>
        <v>0.19791666666666674</v>
      </c>
      <c r="R34" s="49"/>
    </row>
    <row r="35" spans="1:18" x14ac:dyDescent="0.25">
      <c r="A35" s="35" t="s">
        <v>93</v>
      </c>
      <c r="B35" s="36" t="s">
        <v>94</v>
      </c>
      <c r="C35" s="37">
        <v>253492983</v>
      </c>
      <c r="D35" s="38">
        <f>C35*J35</f>
        <v>38505699.73058451</v>
      </c>
      <c r="E35" s="39">
        <f>C35*K35</f>
        <v>33968059.721999995</v>
      </c>
      <c r="F35" s="40" t="s">
        <v>34</v>
      </c>
      <c r="G35" s="41">
        <v>3.6056249999999999</v>
      </c>
      <c r="H35" s="42">
        <v>4.01</v>
      </c>
      <c r="I35" s="42">
        <v>4.0199999999999996</v>
      </c>
      <c r="J35" s="43">
        <f>I35/$J$5</f>
        <v>0.15190045607923006</v>
      </c>
      <c r="K35" s="44">
        <f>I35/$K$4</f>
        <v>0.13399999999999998</v>
      </c>
      <c r="L35" s="45">
        <f>I35-H35</f>
        <v>9.9999999999997868E-3</v>
      </c>
      <c r="M35" s="45">
        <f>((I35-H35)/H35)*100</f>
        <v>0.24937655860348598</v>
      </c>
      <c r="N35" s="46">
        <v>100</v>
      </c>
      <c r="O35" s="37">
        <v>402</v>
      </c>
      <c r="P35" s="50">
        <f>(R35)/J35</f>
        <v>0</v>
      </c>
      <c r="Q35" s="48">
        <f>I35/G35-1</f>
        <v>0.11492459698387925</v>
      </c>
      <c r="R35" s="49"/>
    </row>
    <row r="36" spans="1:18" x14ac:dyDescent="0.25">
      <c r="A36" s="35" t="s">
        <v>95</v>
      </c>
      <c r="B36" s="36" t="s">
        <v>96</v>
      </c>
      <c r="C36" s="37">
        <v>4715084056</v>
      </c>
      <c r="D36" s="38">
        <f>C36*J36</f>
        <v>6663372.1030051354</v>
      </c>
      <c r="E36" s="39">
        <f>C36*K36</f>
        <v>5878138.1231466671</v>
      </c>
      <c r="F36" s="40" t="s">
        <v>34</v>
      </c>
      <c r="G36" s="41">
        <v>2.5099999999999997E-2</v>
      </c>
      <c r="H36" s="42">
        <v>3.7405000000000001E-2</v>
      </c>
      <c r="I36" s="42">
        <v>3.7400000000000003E-2</v>
      </c>
      <c r="J36" s="43">
        <f>I36/$J$5</f>
        <v>1.4132032481002997E-3</v>
      </c>
      <c r="K36" s="44">
        <f>I36/$K$4</f>
        <v>1.2466666666666668E-3</v>
      </c>
      <c r="L36" s="45">
        <f>I36-H36</f>
        <v>-4.9999999999980616E-6</v>
      </c>
      <c r="M36" s="45">
        <f>((I36-H36)/H36)*100</f>
        <v>-1.3367196898805136E-2</v>
      </c>
      <c r="N36" s="46">
        <v>300</v>
      </c>
      <c r="O36" s="37">
        <v>11.22</v>
      </c>
      <c r="P36" s="50">
        <f>(R36)/J36</f>
        <v>0</v>
      </c>
      <c r="Q36" s="48">
        <f>I36/G36-1</f>
        <v>0.49003984063745043</v>
      </c>
      <c r="R36" s="49"/>
    </row>
    <row r="37" spans="1:18" x14ac:dyDescent="0.25">
      <c r="A37" s="35" t="s">
        <v>97</v>
      </c>
      <c r="B37" s="36" t="s">
        <v>98</v>
      </c>
      <c r="C37" s="37">
        <v>261064590</v>
      </c>
      <c r="D37" s="38">
        <f>C37*J37</f>
        <v>54322144.533458911</v>
      </c>
      <c r="E37" s="39">
        <f>C37*K37</f>
        <v>47920641.947820999</v>
      </c>
      <c r="F37" s="40" t="s">
        <v>92</v>
      </c>
      <c r="G37" s="41">
        <v>0.61</v>
      </c>
      <c r="H37" s="42">
        <v>5.2505300000000004</v>
      </c>
      <c r="I37" s="42">
        <v>5.5067570000000003</v>
      </c>
      <c r="J37" s="43">
        <f>I37/$J$5</f>
        <v>0.20807932831280915</v>
      </c>
      <c r="K37" s="44">
        <f>I37/$K$4</f>
        <v>0.18355856666666667</v>
      </c>
      <c r="L37" s="45">
        <f>I37-H37</f>
        <v>0.25622699999999998</v>
      </c>
      <c r="M37" s="45">
        <f>((I37-H37)/H37)*100</f>
        <v>4.8800216359110404</v>
      </c>
      <c r="N37" s="46">
        <v>7400</v>
      </c>
      <c r="O37" s="37">
        <v>40750</v>
      </c>
      <c r="P37" s="50">
        <f>(R37)/J37</f>
        <v>0</v>
      </c>
      <c r="Q37" s="48">
        <f>I37/G37-1</f>
        <v>8.02747049180328</v>
      </c>
      <c r="R37" s="49"/>
    </row>
    <row r="38" spans="1:18" x14ac:dyDescent="0.25">
      <c r="A38" s="35" t="s">
        <v>99</v>
      </c>
      <c r="B38" s="36" t="s">
        <v>100</v>
      </c>
      <c r="C38" s="37">
        <v>4194797929</v>
      </c>
      <c r="D38" s="38">
        <f>C38*J38</f>
        <v>23147494.978573117</v>
      </c>
      <c r="E38" s="39">
        <f>C38*K38</f>
        <v>20419717.011981465</v>
      </c>
      <c r="F38" s="40" t="s">
        <v>56</v>
      </c>
      <c r="G38" s="41">
        <v>0.11650199999999999</v>
      </c>
      <c r="H38" s="42">
        <v>0.14859600000000001</v>
      </c>
      <c r="I38" s="42">
        <v>0.146036</v>
      </c>
      <c r="J38" s="43">
        <f>I38/$J$5</f>
        <v>5.5181430358175231E-3</v>
      </c>
      <c r="K38" s="44">
        <f>I38/$K$4</f>
        <v>4.8678666666666665E-3</v>
      </c>
      <c r="L38" s="45">
        <f>I38-H38</f>
        <v>-2.5600000000000067E-3</v>
      </c>
      <c r="M38" s="45">
        <f>((I38-H38)/H38)*100</f>
        <v>-1.7227919997846552</v>
      </c>
      <c r="N38" s="46">
        <v>31900</v>
      </c>
      <c r="O38" s="37">
        <v>4658.55</v>
      </c>
      <c r="P38" s="50">
        <v>0</v>
      </c>
      <c r="Q38" s="48">
        <f>I38/G38-1</f>
        <v>0.25350637757291716</v>
      </c>
      <c r="R38" s="49"/>
    </row>
    <row r="39" spans="1:18" x14ac:dyDescent="0.25">
      <c r="A39" s="35" t="s">
        <v>101</v>
      </c>
      <c r="B39" s="36" t="s">
        <v>102</v>
      </c>
      <c r="C39" s="37">
        <v>362927587</v>
      </c>
      <c r="D39" s="38">
        <f>C39*J39</f>
        <v>86807393.460345298</v>
      </c>
      <c r="E39" s="39">
        <f>C39*K39</f>
        <v>76577720.856999993</v>
      </c>
      <c r="F39" s="40" t="s">
        <v>34</v>
      </c>
      <c r="G39" s="41">
        <v>2.6005000000000003</v>
      </c>
      <c r="H39" s="42">
        <v>6.34</v>
      </c>
      <c r="I39" s="42">
        <v>6.33</v>
      </c>
      <c r="J39" s="43">
        <f>I39/$J$5</f>
        <v>0.23918653905013093</v>
      </c>
      <c r="K39" s="44">
        <f>I39/$K$4</f>
        <v>0.21099999999999999</v>
      </c>
      <c r="L39" s="45">
        <f>I39-H39</f>
        <v>-9.9999999999997868E-3</v>
      </c>
      <c r="M39" s="45">
        <f>((I39-H39)/H39)*100</f>
        <v>-0.15772870662460231</v>
      </c>
      <c r="N39" s="46">
        <v>400</v>
      </c>
      <c r="O39" s="37">
        <v>2532</v>
      </c>
      <c r="P39" s="50">
        <f>(R39)/J39</f>
        <v>0</v>
      </c>
      <c r="Q39" s="48">
        <f>I39/G39-1</f>
        <v>1.4341472793693519</v>
      </c>
      <c r="R39" s="49"/>
    </row>
    <row r="40" spans="1:18" x14ac:dyDescent="0.25">
      <c r="A40" s="35" t="s">
        <v>103</v>
      </c>
      <c r="B40" s="36" t="s">
        <v>104</v>
      </c>
      <c r="C40" s="37">
        <v>4315726499</v>
      </c>
      <c r="D40" s="38">
        <f>C40*J40</f>
        <v>14705436.025113603</v>
      </c>
      <c r="E40" s="39">
        <f>C40*K40</f>
        <v>12972498.425794132</v>
      </c>
      <c r="F40" s="40" t="s">
        <v>39</v>
      </c>
      <c r="G40" s="41">
        <v>0.1</v>
      </c>
      <c r="H40" s="42">
        <v>9.0175999999999992E-2</v>
      </c>
      <c r="I40" s="42">
        <v>9.0175999999999992E-2</v>
      </c>
      <c r="J40" s="43">
        <f>I40/$J$5</f>
        <v>3.407406847612102E-3</v>
      </c>
      <c r="K40" s="44">
        <f>I40/$K$4</f>
        <v>3.0058666666666666E-3</v>
      </c>
      <c r="L40" s="45">
        <f>I40-H40</f>
        <v>0</v>
      </c>
      <c r="M40" s="45">
        <f>((I40-H40)/H40)*100</f>
        <v>0</v>
      </c>
      <c r="N40" s="46">
        <v>0</v>
      </c>
      <c r="O40" s="37">
        <v>0</v>
      </c>
      <c r="P40" s="50">
        <f>(R40)/J40</f>
        <v>0</v>
      </c>
      <c r="Q40" s="48">
        <f>I40/G40-1</f>
        <v>-9.8240000000000105E-2</v>
      </c>
      <c r="R40" s="49"/>
    </row>
    <row r="41" spans="1:18" x14ac:dyDescent="0.25">
      <c r="A41" s="35" t="s">
        <v>105</v>
      </c>
      <c r="B41" s="36" t="s">
        <v>106</v>
      </c>
      <c r="C41" s="37">
        <v>106474237</v>
      </c>
      <c r="D41" s="38">
        <f>C41*J41</f>
        <v>6034882.5227567283</v>
      </c>
      <c r="E41" s="39">
        <f>C41*K41</f>
        <v>5323711.8500000006</v>
      </c>
      <c r="F41" s="40" t="s">
        <v>44</v>
      </c>
      <c r="G41" s="41">
        <v>1.7452379999999998</v>
      </c>
      <c r="H41" s="42">
        <v>1.5</v>
      </c>
      <c r="I41" s="42">
        <v>1.5</v>
      </c>
      <c r="J41" s="43">
        <f>I41/$J$5</f>
        <v>5.6679274656429128E-2</v>
      </c>
      <c r="K41" s="44">
        <f>I41/$K$4</f>
        <v>0.05</v>
      </c>
      <c r="L41" s="45">
        <f>I41-H41</f>
        <v>0</v>
      </c>
      <c r="M41" s="45">
        <f>((I41-H41)/H41)*100</f>
        <v>0</v>
      </c>
      <c r="N41" s="46">
        <v>0</v>
      </c>
      <c r="O41" s="37">
        <v>0</v>
      </c>
      <c r="P41" s="50">
        <f>(R41)/J41</f>
        <v>0</v>
      </c>
      <c r="Q41" s="48">
        <f>I41/G41-1</f>
        <v>-0.14051837056034755</v>
      </c>
      <c r="R41" s="49">
        <v>0</v>
      </c>
    </row>
    <row r="42" spans="1:18" x14ac:dyDescent="0.25">
      <c r="A42" s="35" t="s">
        <v>107</v>
      </c>
      <c r="B42" s="36" t="s">
        <v>108</v>
      </c>
      <c r="C42" s="37">
        <v>1778001428</v>
      </c>
      <c r="D42" s="38">
        <f>C42*J42</f>
        <v>2294732.8620678866</v>
      </c>
      <c r="E42" s="39">
        <f>C42*K42</f>
        <v>2024313.8924922666</v>
      </c>
      <c r="F42" s="40" t="s">
        <v>39</v>
      </c>
      <c r="G42" s="41">
        <v>0.03</v>
      </c>
      <c r="H42" s="42">
        <v>3.9E-2</v>
      </c>
      <c r="I42" s="42">
        <v>3.4155999999999999E-2</v>
      </c>
      <c r="J42" s="43">
        <f>I42/$J$5</f>
        <v>1.2906248701099955E-3</v>
      </c>
      <c r="K42" s="44">
        <f>I42/$K$4</f>
        <v>1.1385333333333333E-3</v>
      </c>
      <c r="L42" s="45">
        <f>I42-H42</f>
        <v>-4.8440000000000011E-3</v>
      </c>
      <c r="M42" s="45">
        <f>((I42-H42)/H42)*100</f>
        <v>-12.420512820512823</v>
      </c>
      <c r="N42" s="46">
        <v>616100</v>
      </c>
      <c r="O42" s="37">
        <v>21043.45</v>
      </c>
      <c r="P42" s="50">
        <f>(R42)/J42</f>
        <v>0</v>
      </c>
      <c r="Q42" s="48">
        <f>I42/G42-1</f>
        <v>0.1385333333333334</v>
      </c>
      <c r="R42" s="49">
        <v>0</v>
      </c>
    </row>
    <row r="43" spans="1:18" x14ac:dyDescent="0.25">
      <c r="A43" s="35" t="s">
        <v>109</v>
      </c>
      <c r="B43" s="36" t="s">
        <v>110</v>
      </c>
      <c r="C43" s="37">
        <v>175190642</v>
      </c>
      <c r="D43" s="38">
        <f>C43*J43</f>
        <v>34424156.518050984</v>
      </c>
      <c r="E43" s="39">
        <f>C43*K43</f>
        <v>30367499.166775465</v>
      </c>
      <c r="F43" s="40" t="s">
        <v>47</v>
      </c>
      <c r="G43" s="41">
        <v>4.5</v>
      </c>
      <c r="H43" s="42">
        <v>5.2001919999999995</v>
      </c>
      <c r="I43" s="42">
        <v>5.2001919999999995</v>
      </c>
      <c r="J43" s="43">
        <f>I43/$J$5</f>
        <v>0.19649540708944366</v>
      </c>
      <c r="K43" s="44">
        <f>I43/$K$4</f>
        <v>0.17333973333333333</v>
      </c>
      <c r="L43" s="45">
        <f>I43-H43</f>
        <v>0</v>
      </c>
      <c r="M43" s="45">
        <f>((I43-H43)/H43)*100</f>
        <v>0</v>
      </c>
      <c r="N43" s="46">
        <v>0</v>
      </c>
      <c r="O43" s="37">
        <v>0</v>
      </c>
      <c r="P43" s="50">
        <f>(R43)/J43</f>
        <v>0</v>
      </c>
      <c r="Q43" s="48">
        <f>I43/G43-1</f>
        <v>0.15559822222222208</v>
      </c>
      <c r="R43" s="49">
        <v>0</v>
      </c>
    </row>
    <row r="44" spans="1:18" x14ac:dyDescent="0.25">
      <c r="A44" s="35" t="s">
        <v>111</v>
      </c>
      <c r="B44" s="36" t="s">
        <v>112</v>
      </c>
      <c r="C44" s="37">
        <v>463337661</v>
      </c>
      <c r="D44" s="38">
        <f>C44*J44</f>
        <v>315.13971055783742</v>
      </c>
      <c r="E44" s="39">
        <f>C44*K44</f>
        <v>278.0025966</v>
      </c>
      <c r="F44" s="40" t="s">
        <v>44</v>
      </c>
      <c r="G44" s="41">
        <v>1.8E-5</v>
      </c>
      <c r="H44" s="42">
        <v>1.8E-5</v>
      </c>
      <c r="I44" s="42">
        <v>1.8E-5</v>
      </c>
      <c r="J44" s="43">
        <f>I44/$J$5</f>
        <v>6.8015129587714952E-7</v>
      </c>
      <c r="K44" s="44">
        <f>I44/$K$4</f>
        <v>5.9999999999999997E-7</v>
      </c>
      <c r="L44" s="45">
        <f>I44-H44</f>
        <v>0</v>
      </c>
      <c r="M44" s="45">
        <f>((I44-H44)/H44)*100</f>
        <v>0</v>
      </c>
      <c r="N44" s="46">
        <v>0</v>
      </c>
      <c r="O44" s="37">
        <v>0</v>
      </c>
      <c r="P44" s="50">
        <f>(R44)/J44</f>
        <v>0</v>
      </c>
      <c r="Q44" s="48">
        <f>I44/G44-1</f>
        <v>0</v>
      </c>
      <c r="R44" s="49">
        <v>0</v>
      </c>
    </row>
    <row r="45" spans="1:18" x14ac:dyDescent="0.25">
      <c r="A45" s="35" t="s">
        <v>113</v>
      </c>
      <c r="B45" s="36" t="s">
        <v>114</v>
      </c>
      <c r="C45" s="37">
        <v>576000000</v>
      </c>
      <c r="D45" s="38">
        <f>C45*J45</f>
        <v>1527891.8710584287</v>
      </c>
      <c r="E45" s="39">
        <f>C45*K45</f>
        <v>1347840</v>
      </c>
      <c r="F45" s="40" t="s">
        <v>56</v>
      </c>
      <c r="G45" s="41">
        <v>7.0000000000000007E-2</v>
      </c>
      <c r="H45" s="42">
        <v>7.0199999999999999E-2</v>
      </c>
      <c r="I45" s="42">
        <v>7.0199999999999999E-2</v>
      </c>
      <c r="J45" s="43">
        <f>I45/$J$5</f>
        <v>2.6525900539208832E-3</v>
      </c>
      <c r="K45" s="44">
        <f>I45/$K$4</f>
        <v>2.3400000000000001E-3</v>
      </c>
      <c r="L45" s="45">
        <f>I45-H45</f>
        <v>0</v>
      </c>
      <c r="M45" s="45">
        <f>((I45-H45)/H45)*100</f>
        <v>0</v>
      </c>
      <c r="N45" s="46">
        <v>0</v>
      </c>
      <c r="O45" s="37">
        <v>0</v>
      </c>
      <c r="P45" s="50">
        <f>(R45)/J45</f>
        <v>0</v>
      </c>
      <c r="Q45" s="48">
        <f>I45/G45-1</f>
        <v>2.8571428571426694E-3</v>
      </c>
      <c r="R45" s="49"/>
    </row>
    <row r="46" spans="1:18" x14ac:dyDescent="0.25">
      <c r="A46" s="35" t="s">
        <v>115</v>
      </c>
      <c r="B46" s="36" t="s">
        <v>116</v>
      </c>
      <c r="C46" s="37">
        <v>1818218786</v>
      </c>
      <c r="D46" s="38">
        <f>C46*J46</f>
        <v>44657306.181441694</v>
      </c>
      <c r="E46" s="39">
        <f>C46*K46</f>
        <v>39394740.363333337</v>
      </c>
      <c r="F46" s="40" t="s">
        <v>47</v>
      </c>
      <c r="G46" s="41">
        <v>0.9998999999999999</v>
      </c>
      <c r="H46" s="42">
        <v>0.65</v>
      </c>
      <c r="I46" s="42">
        <v>0.65</v>
      </c>
      <c r="J46" s="43">
        <f>I46/$J$5</f>
        <v>2.4561019017785957E-2</v>
      </c>
      <c r="K46" s="44">
        <f>I46/$K$4</f>
        <v>2.1666666666666667E-2</v>
      </c>
      <c r="L46" s="45">
        <f>I46-H46</f>
        <v>0</v>
      </c>
      <c r="M46" s="45">
        <f>((I46-H46)/H46)*100</f>
        <v>0</v>
      </c>
      <c r="N46" s="46">
        <v>0</v>
      </c>
      <c r="O46" s="37">
        <v>0</v>
      </c>
      <c r="P46" s="50">
        <f>(R46)/J46</f>
        <v>0</v>
      </c>
      <c r="Q46" s="48">
        <f>I46/G46-1</f>
        <v>-0.34993499349934987</v>
      </c>
      <c r="R46" s="49">
        <v>0</v>
      </c>
    </row>
    <row r="47" spans="1:18" x14ac:dyDescent="0.25">
      <c r="A47" s="35" t="s">
        <v>117</v>
      </c>
      <c r="B47" s="36" t="s">
        <v>118</v>
      </c>
      <c r="C47" s="37">
        <v>102712520</v>
      </c>
      <c r="D47" s="38">
        <f>C47*J47</f>
        <v>4273812.973456718</v>
      </c>
      <c r="E47" s="39">
        <f>C47*K47</f>
        <v>3770172.6066213334</v>
      </c>
      <c r="F47" s="40" t="s">
        <v>47</v>
      </c>
      <c r="G47" s="41">
        <v>1.4503460000000001</v>
      </c>
      <c r="H47" s="42">
        <v>1.2</v>
      </c>
      <c r="I47" s="42">
        <v>1.1011820000000001</v>
      </c>
      <c r="J47" s="43">
        <f>I47/$J$5</f>
        <v>4.1609464683143964E-2</v>
      </c>
      <c r="K47" s="44">
        <f>I47/$K$4</f>
        <v>3.6706066666666669E-2</v>
      </c>
      <c r="L47" s="45">
        <f>I47-H47</f>
        <v>-9.881799999999985E-2</v>
      </c>
      <c r="M47" s="45">
        <f>((I47-H47)/H47)*100</f>
        <v>-8.2348333333333219</v>
      </c>
      <c r="N47" s="46">
        <v>88800</v>
      </c>
      <c r="O47" s="37">
        <v>97785</v>
      </c>
      <c r="P47" s="50">
        <v>0</v>
      </c>
      <c r="Q47" s="48">
        <f>I47/G47-1</f>
        <v>-0.24074531180835468</v>
      </c>
      <c r="R47" s="49"/>
    </row>
    <row r="48" spans="1:18" ht="13.8" thickBot="1" x14ac:dyDescent="0.4">
      <c r="A48" s="54"/>
      <c r="B48" s="55" t="s">
        <v>82</v>
      </c>
      <c r="C48" s="56"/>
      <c r="D48" s="57"/>
      <c r="E48" s="57"/>
      <c r="F48" s="58"/>
      <c r="G48" s="58"/>
      <c r="H48" s="45"/>
      <c r="I48" s="45"/>
      <c r="J48" s="45"/>
      <c r="K48" s="45"/>
      <c r="L48" s="45"/>
      <c r="M48" s="45"/>
      <c r="N48" s="58">
        <f>SUM(N9:N47)</f>
        <v>1446900</v>
      </c>
      <c r="O48" s="59">
        <f>SUM(O9:O47)</f>
        <v>6482925.3200000003</v>
      </c>
      <c r="P48" s="59"/>
      <c r="Q48" s="60"/>
    </row>
    <row r="49" spans="1:20" ht="13.2" x14ac:dyDescent="0.35">
      <c r="A49" s="61"/>
      <c r="B49" s="62" t="s">
        <v>82</v>
      </c>
      <c r="C49" s="63"/>
      <c r="D49" s="63"/>
      <c r="E49" s="63"/>
      <c r="F49" s="64"/>
      <c r="G49" s="64"/>
      <c r="H49" s="65"/>
      <c r="I49" s="65"/>
      <c r="J49" s="65"/>
      <c r="K49" s="65"/>
      <c r="L49" s="65"/>
      <c r="M49" s="65"/>
      <c r="N49" s="64"/>
      <c r="O49" s="64"/>
      <c r="P49" s="64"/>
      <c r="Q49" s="66"/>
    </row>
    <row r="50" spans="1:20" ht="12.6" x14ac:dyDescent="0.3">
      <c r="A50" s="127" t="s">
        <v>119</v>
      </c>
      <c r="B50" s="128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30"/>
    </row>
    <row r="51" spans="1:20" x14ac:dyDescent="0.25">
      <c r="A51" s="35" t="s">
        <v>120</v>
      </c>
      <c r="B51" s="36" t="s">
        <v>121</v>
      </c>
      <c r="C51" s="40">
        <v>554920308</v>
      </c>
      <c r="D51" s="38">
        <f>C51*J51</f>
        <v>68199705.853200004</v>
      </c>
      <c r="E51" s="39">
        <v>0</v>
      </c>
      <c r="F51" s="40" t="s">
        <v>92</v>
      </c>
      <c r="G51" s="67">
        <v>0.1</v>
      </c>
      <c r="H51" s="42">
        <v>0.1336</v>
      </c>
      <c r="I51" s="42">
        <v>0.1229</v>
      </c>
      <c r="J51" s="43">
        <f>I51</f>
        <v>0.1229</v>
      </c>
      <c r="K51" s="39">
        <v>0</v>
      </c>
      <c r="L51" s="45">
        <f>I51-H51</f>
        <v>-1.0700000000000001E-2</v>
      </c>
      <c r="M51" s="45">
        <f>((I51-H51)/H51)*100</f>
        <v>-8.0089820359281436</v>
      </c>
      <c r="N51" s="46">
        <v>15406</v>
      </c>
      <c r="O51" s="37">
        <v>1892.94</v>
      </c>
      <c r="P51" s="68">
        <f>(R51)/J51</f>
        <v>0</v>
      </c>
      <c r="Q51" s="48">
        <f>J51/G51-1</f>
        <v>0.22899999999999987</v>
      </c>
      <c r="T51" s="69"/>
    </row>
    <row r="52" spans="1:20" x14ac:dyDescent="0.25">
      <c r="A52" s="35" t="s">
        <v>122</v>
      </c>
      <c r="B52" s="36" t="s">
        <v>123</v>
      </c>
      <c r="C52" s="40">
        <v>1057685</v>
      </c>
      <c r="D52" s="38">
        <f>C52*J52</f>
        <v>71106681.790999994</v>
      </c>
      <c r="E52" s="39">
        <v>0</v>
      </c>
      <c r="F52" s="40" t="s">
        <v>39</v>
      </c>
      <c r="G52" s="67">
        <v>39.9</v>
      </c>
      <c r="H52" s="42">
        <v>56.874499999999998</v>
      </c>
      <c r="I52" s="42">
        <v>67.2286</v>
      </c>
      <c r="J52" s="43">
        <f>I52</f>
        <v>67.2286</v>
      </c>
      <c r="K52" s="39">
        <v>0</v>
      </c>
      <c r="L52" s="45">
        <f>I52-H52</f>
        <v>10.354100000000003</v>
      </c>
      <c r="M52" s="45">
        <f>((I52-H52)/H52)*100</f>
        <v>18.205171034470638</v>
      </c>
      <c r="N52" s="46">
        <v>409</v>
      </c>
      <c r="O52" s="37">
        <v>27496.5</v>
      </c>
      <c r="P52" s="70">
        <f>(R52)/J52</f>
        <v>8.3297882151346318E-3</v>
      </c>
      <c r="Q52" s="48">
        <f>J52/G52-1</f>
        <v>0.68492731829573938</v>
      </c>
      <c r="R52" s="69">
        <v>0.56000000000000005</v>
      </c>
      <c r="T52" s="69"/>
    </row>
    <row r="53" spans="1:20" x14ac:dyDescent="0.25">
      <c r="A53" s="35" t="s">
        <v>124</v>
      </c>
      <c r="B53" s="36" t="s">
        <v>125</v>
      </c>
      <c r="C53" s="40">
        <v>2992163203</v>
      </c>
      <c r="D53" s="38">
        <f>C53*J53</f>
        <v>739064311.14100003</v>
      </c>
      <c r="E53" s="39"/>
      <c r="F53" s="40" t="s">
        <v>56</v>
      </c>
      <c r="G53" s="67">
        <v>0.33</v>
      </c>
      <c r="H53" s="42">
        <v>0.26329999999999998</v>
      </c>
      <c r="I53" s="42">
        <v>0.247</v>
      </c>
      <c r="J53" s="43">
        <f>I53</f>
        <v>0.247</v>
      </c>
      <c r="K53" s="39">
        <v>0</v>
      </c>
      <c r="L53" s="45">
        <f>I53-H53</f>
        <v>-1.6299999999999981E-2</v>
      </c>
      <c r="M53" s="45">
        <f>((I53-H53)/H53)*100</f>
        <v>-6.1906570451955876</v>
      </c>
      <c r="N53" s="46">
        <v>13967</v>
      </c>
      <c r="O53" s="37">
        <v>3450.49</v>
      </c>
      <c r="P53" s="68">
        <v>0</v>
      </c>
      <c r="Q53" s="48">
        <f>J53/G53-1</f>
        <v>-0.25151515151515158</v>
      </c>
      <c r="R53" s="69"/>
      <c r="T53" s="69"/>
    </row>
    <row r="54" spans="1:20" x14ac:dyDescent="0.25">
      <c r="A54" s="35" t="s">
        <v>126</v>
      </c>
      <c r="B54" s="36" t="s">
        <v>127</v>
      </c>
      <c r="C54" s="40">
        <v>609740943</v>
      </c>
      <c r="D54" s="38">
        <f>C54*J54</f>
        <v>23109181.739700001</v>
      </c>
      <c r="E54" s="39">
        <v>0</v>
      </c>
      <c r="F54" s="40" t="s">
        <v>34</v>
      </c>
      <c r="G54" s="67">
        <v>2.3E-2</v>
      </c>
      <c r="H54" s="42">
        <v>3.5000000000000003E-2</v>
      </c>
      <c r="I54" s="42">
        <v>3.7900000000000003E-2</v>
      </c>
      <c r="J54" s="43">
        <f>I54</f>
        <v>3.7900000000000003E-2</v>
      </c>
      <c r="K54" s="39">
        <v>0</v>
      </c>
      <c r="L54" s="45">
        <f>I54-H54</f>
        <v>2.8999999999999998E-3</v>
      </c>
      <c r="M54" s="45">
        <f>((I54-H54)/H54)*100</f>
        <v>8.2857142857142829</v>
      </c>
      <c r="N54" s="46">
        <v>171752</v>
      </c>
      <c r="O54" s="37">
        <v>6517.07</v>
      </c>
      <c r="P54" s="68">
        <f>(R54)/J54</f>
        <v>0</v>
      </c>
      <c r="Q54" s="48">
        <f>J54/G54-1</f>
        <v>0.647826086956522</v>
      </c>
      <c r="T54" s="69"/>
    </row>
    <row r="55" spans="1:20" x14ac:dyDescent="0.25">
      <c r="A55" s="35" t="s">
        <v>128</v>
      </c>
      <c r="B55" s="36" t="s">
        <v>129</v>
      </c>
      <c r="C55" s="40">
        <v>2161875929</v>
      </c>
      <c r="D55" s="38">
        <f>C55*J55</f>
        <v>240184415.7119</v>
      </c>
      <c r="E55" s="39">
        <v>0</v>
      </c>
      <c r="F55" s="40" t="s">
        <v>47</v>
      </c>
      <c r="G55" s="67">
        <v>9.0200000000000002E-2</v>
      </c>
      <c r="H55" s="42">
        <v>0.1099</v>
      </c>
      <c r="I55" s="42">
        <v>0.1111</v>
      </c>
      <c r="J55" s="43">
        <f>I55</f>
        <v>0.1111</v>
      </c>
      <c r="K55" s="39">
        <v>0</v>
      </c>
      <c r="L55" s="45">
        <f>I55-H55</f>
        <v>1.2000000000000066E-3</v>
      </c>
      <c r="M55" s="71">
        <f>((I55-H55)/H55)*100</f>
        <v>1.0919017288444099</v>
      </c>
      <c r="N55" s="46">
        <v>117196</v>
      </c>
      <c r="O55" s="37">
        <v>13019.78</v>
      </c>
      <c r="P55" s="68">
        <f>(R55)/J55</f>
        <v>0</v>
      </c>
      <c r="Q55" s="48">
        <f>J55/G55-1</f>
        <v>0.23170731707317072</v>
      </c>
      <c r="R55" s="69"/>
      <c r="T55" s="69"/>
    </row>
    <row r="56" spans="1:20" x14ac:dyDescent="0.25">
      <c r="A56" s="35" t="s">
        <v>130</v>
      </c>
      <c r="B56" s="36" t="s">
        <v>131</v>
      </c>
      <c r="C56" s="40">
        <v>575926450</v>
      </c>
      <c r="D56" s="38">
        <f>C56*J56</f>
        <v>747840495.32500005</v>
      </c>
      <c r="E56" s="39">
        <v>0</v>
      </c>
      <c r="F56" s="40" t="s">
        <v>34</v>
      </c>
      <c r="G56" s="67">
        <v>0.95750000000000002</v>
      </c>
      <c r="H56" s="42">
        <v>1.2943</v>
      </c>
      <c r="I56" s="42">
        <v>1.2985</v>
      </c>
      <c r="J56" s="43">
        <f>I56</f>
        <v>1.2985</v>
      </c>
      <c r="K56" s="39">
        <v>0</v>
      </c>
      <c r="L56" s="45">
        <f>I56-H56</f>
        <v>4.1999999999999815E-3</v>
      </c>
      <c r="M56" s="45">
        <f>((I56-H56)/H56)*100</f>
        <v>0.32449972958355727</v>
      </c>
      <c r="N56" s="46">
        <v>361555</v>
      </c>
      <c r="O56" s="37">
        <v>469462.69</v>
      </c>
      <c r="P56" s="70">
        <f>(R56)/J56</f>
        <v>3.6195610319599537E-2</v>
      </c>
      <c r="Q56" s="48">
        <f>J56/G56-1</f>
        <v>0.35613577023498699</v>
      </c>
      <c r="R56" s="69">
        <v>4.7E-2</v>
      </c>
      <c r="T56" s="69"/>
    </row>
    <row r="57" spans="1:20" x14ac:dyDescent="0.25">
      <c r="A57" s="35" t="s">
        <v>132</v>
      </c>
      <c r="B57" s="36" t="s">
        <v>133</v>
      </c>
      <c r="C57" s="40">
        <v>164208222</v>
      </c>
      <c r="D57" s="38">
        <f>C57*J57</f>
        <v>24631233.300000001</v>
      </c>
      <c r="E57" s="39">
        <v>0</v>
      </c>
      <c r="F57" s="40" t="s">
        <v>34</v>
      </c>
      <c r="G57" s="67">
        <v>0.1595</v>
      </c>
      <c r="H57" s="42">
        <v>0.1522</v>
      </c>
      <c r="I57" s="42">
        <v>0.15</v>
      </c>
      <c r="J57" s="43">
        <f>I57</f>
        <v>0.15</v>
      </c>
      <c r="K57" s="39">
        <v>0</v>
      </c>
      <c r="L57" s="45">
        <f>I57-H57</f>
        <v>-2.2000000000000075E-3</v>
      </c>
      <c r="M57" s="45">
        <f>((I57-H57)/H57)*100</f>
        <v>-1.4454664914586119</v>
      </c>
      <c r="N57" s="46">
        <v>66</v>
      </c>
      <c r="O57" s="37">
        <v>9.9</v>
      </c>
      <c r="P57" s="68">
        <f>(R57)/J57</f>
        <v>0</v>
      </c>
      <c r="Q57" s="48">
        <f>J57/G57-1</f>
        <v>-5.9561128526645857E-2</v>
      </c>
      <c r="T57" s="69"/>
    </row>
    <row r="58" spans="1:20" x14ac:dyDescent="0.25">
      <c r="A58" s="35" t="s">
        <v>134</v>
      </c>
      <c r="B58" s="36" t="s">
        <v>135</v>
      </c>
      <c r="C58" s="40">
        <v>794581116</v>
      </c>
      <c r="D58" s="38">
        <f>C58*J58</f>
        <v>15812164.2084</v>
      </c>
      <c r="E58" s="39">
        <v>0</v>
      </c>
      <c r="F58" s="40" t="s">
        <v>92</v>
      </c>
      <c r="G58" s="67">
        <v>1.6799999999999999E-2</v>
      </c>
      <c r="H58" s="42">
        <v>0.02</v>
      </c>
      <c r="I58" s="42">
        <v>1.9900000000000001E-2</v>
      </c>
      <c r="J58" s="43">
        <f>I58</f>
        <v>1.9900000000000001E-2</v>
      </c>
      <c r="K58" s="39">
        <v>0</v>
      </c>
      <c r="L58" s="45">
        <f>I58-H58</f>
        <v>-9.9999999999999395E-5</v>
      </c>
      <c r="M58" s="71">
        <f>((I58-H58)/H58)*100</f>
        <v>-0.499999999999997</v>
      </c>
      <c r="N58" s="46">
        <v>5650</v>
      </c>
      <c r="O58" s="37">
        <v>112.35</v>
      </c>
      <c r="P58" s="68">
        <f>(R58)/J58</f>
        <v>0</v>
      </c>
      <c r="Q58" s="48">
        <f>J58/G58-1</f>
        <v>0.18452380952380976</v>
      </c>
      <c r="T58" s="69"/>
    </row>
    <row r="59" spans="1:20" x14ac:dyDescent="0.25">
      <c r="A59" s="35" t="s">
        <v>136</v>
      </c>
      <c r="B59" s="36" t="s">
        <v>137</v>
      </c>
      <c r="C59" s="40">
        <v>161273</v>
      </c>
      <c r="D59" s="38">
        <f>C59*J59</f>
        <v>2902914</v>
      </c>
      <c r="E59" s="39">
        <v>0</v>
      </c>
      <c r="F59" s="40" t="s">
        <v>138</v>
      </c>
      <c r="G59" s="67">
        <v>19.5</v>
      </c>
      <c r="H59" s="42">
        <v>18</v>
      </c>
      <c r="I59" s="42">
        <v>18</v>
      </c>
      <c r="J59" s="43">
        <f>I59</f>
        <v>18</v>
      </c>
      <c r="K59" s="39">
        <v>0</v>
      </c>
      <c r="L59" s="45">
        <f>I59-H59</f>
        <v>0</v>
      </c>
      <c r="M59" s="45">
        <f>((I59-H59)/H59)*100</f>
        <v>0</v>
      </c>
      <c r="N59" s="46">
        <v>0</v>
      </c>
      <c r="O59" s="37">
        <v>0</v>
      </c>
      <c r="P59" s="68">
        <f>(R59)/J59</f>
        <v>0</v>
      </c>
      <c r="Q59" s="48">
        <f>J59/G59-1</f>
        <v>-7.6923076923076872E-2</v>
      </c>
      <c r="T59" s="69"/>
    </row>
    <row r="60" spans="1:20" x14ac:dyDescent="0.25">
      <c r="A60" s="35" t="s">
        <v>139</v>
      </c>
      <c r="B60" s="36" t="s">
        <v>140</v>
      </c>
      <c r="C60" s="40">
        <v>805090451</v>
      </c>
      <c r="D60" s="38">
        <f>C60*J60</f>
        <v>919171767.9066999</v>
      </c>
      <c r="E60" s="39">
        <v>0</v>
      </c>
      <c r="F60" s="40" t="s">
        <v>92</v>
      </c>
      <c r="G60" s="67">
        <v>0.59499999999999997</v>
      </c>
      <c r="H60" s="42">
        <v>1.1269</v>
      </c>
      <c r="I60" s="42">
        <v>1.1416999999999999</v>
      </c>
      <c r="J60" s="43">
        <f>I60</f>
        <v>1.1416999999999999</v>
      </c>
      <c r="K60" s="39">
        <v>0</v>
      </c>
      <c r="L60" s="45">
        <f>I60-H60</f>
        <v>1.4799999999999924E-2</v>
      </c>
      <c r="M60" s="45">
        <f>((I60-H60)/H60)*100</f>
        <v>1.3133374744875255</v>
      </c>
      <c r="N60" s="46">
        <v>108280</v>
      </c>
      <c r="O60" s="37">
        <v>123622.68</v>
      </c>
      <c r="P60" s="68">
        <f>(R60)/J60</f>
        <v>0</v>
      </c>
      <c r="Q60" s="48">
        <f>J60/G60-1</f>
        <v>0.91882352941176459</v>
      </c>
      <c r="R60" s="69"/>
      <c r="T60" s="69"/>
    </row>
    <row r="61" spans="1:20" x14ac:dyDescent="0.25">
      <c r="A61" s="35" t="s">
        <v>141</v>
      </c>
      <c r="B61" s="36" t="s">
        <v>142</v>
      </c>
      <c r="C61" s="40">
        <v>260714518</v>
      </c>
      <c r="D61" s="38">
        <f>C61*J61</f>
        <v>82411859.139799997</v>
      </c>
      <c r="E61" s="39">
        <v>0</v>
      </c>
      <c r="F61" s="40" t="s">
        <v>34</v>
      </c>
      <c r="G61" s="67">
        <v>0.22600000000000001</v>
      </c>
      <c r="H61" s="42">
        <v>0.3</v>
      </c>
      <c r="I61" s="42">
        <v>0.31609999999999999</v>
      </c>
      <c r="J61" s="43">
        <f>I61</f>
        <v>0.31609999999999999</v>
      </c>
      <c r="K61" s="39">
        <v>0</v>
      </c>
      <c r="L61" s="45">
        <f>I61-H61</f>
        <v>1.6100000000000003E-2</v>
      </c>
      <c r="M61" s="45">
        <f>((I61-H61)/H61)*100</f>
        <v>5.366666666666668</v>
      </c>
      <c r="N61" s="46">
        <v>77808</v>
      </c>
      <c r="O61" s="37">
        <v>24592.639999999999</v>
      </c>
      <c r="P61" s="68">
        <f>(R61)/J61</f>
        <v>0</v>
      </c>
      <c r="Q61" s="48">
        <f>J61/G61-1</f>
        <v>0.39867256637168125</v>
      </c>
      <c r="T61" s="69"/>
    </row>
    <row r="62" spans="1:20" x14ac:dyDescent="0.25">
      <c r="A62" s="35" t="s">
        <v>143</v>
      </c>
      <c r="B62" s="36" t="s">
        <v>144</v>
      </c>
      <c r="C62" s="40">
        <v>562184788</v>
      </c>
      <c r="D62" s="38">
        <f>C62*J62</f>
        <v>358449020.82879996</v>
      </c>
      <c r="E62" s="39">
        <v>0</v>
      </c>
      <c r="F62" s="40" t="s">
        <v>34</v>
      </c>
      <c r="G62" s="67">
        <v>0.49440000000000001</v>
      </c>
      <c r="H62" s="42">
        <v>0.60829999999999995</v>
      </c>
      <c r="I62" s="42">
        <v>0.63759999999999994</v>
      </c>
      <c r="J62" s="43">
        <f>I62</f>
        <v>0.63759999999999994</v>
      </c>
      <c r="K62" s="39">
        <v>0</v>
      </c>
      <c r="L62" s="45">
        <f>I62-H62</f>
        <v>2.9299999999999993E-2</v>
      </c>
      <c r="M62" s="45">
        <f>((I62-H62)/H62)*100</f>
        <v>4.8167022850567145</v>
      </c>
      <c r="N62" s="46">
        <v>48645</v>
      </c>
      <c r="O62" s="37">
        <v>31016.240000000002</v>
      </c>
      <c r="P62" s="68">
        <f>(R62)/J62</f>
        <v>0</v>
      </c>
      <c r="Q62" s="48">
        <f>J62/G62-1</f>
        <v>0.28964401294498376</v>
      </c>
      <c r="R62" s="69"/>
      <c r="T62" s="69"/>
    </row>
    <row r="63" spans="1:20" x14ac:dyDescent="0.25">
      <c r="A63" s="35" t="s">
        <v>145</v>
      </c>
      <c r="B63" s="36" t="s">
        <v>146</v>
      </c>
      <c r="C63" s="40">
        <v>30000000</v>
      </c>
      <c r="D63" s="38">
        <f>C63*J63</f>
        <v>300000000</v>
      </c>
      <c r="E63" s="39">
        <v>0</v>
      </c>
      <c r="F63" s="40" t="s">
        <v>66</v>
      </c>
      <c r="G63" s="67">
        <v>10</v>
      </c>
      <c r="H63" s="42">
        <v>10</v>
      </c>
      <c r="I63" s="42">
        <v>10</v>
      </c>
      <c r="J63" s="43">
        <f>I63</f>
        <v>10</v>
      </c>
      <c r="K63" s="39">
        <v>0</v>
      </c>
      <c r="L63" s="45">
        <f>I63-H63</f>
        <v>0</v>
      </c>
      <c r="M63" s="45">
        <f>((I63-H63)/H63)*100</f>
        <v>0</v>
      </c>
      <c r="N63" s="46">
        <v>0</v>
      </c>
      <c r="O63" s="37">
        <v>0</v>
      </c>
      <c r="P63" s="68">
        <f>(R63)/J63</f>
        <v>0</v>
      </c>
      <c r="Q63" s="48">
        <f>J63/G63-1</f>
        <v>0</v>
      </c>
      <c r="T63" s="69"/>
    </row>
    <row r="64" spans="1:20" x14ac:dyDescent="0.25">
      <c r="A64" s="35" t="s">
        <v>147</v>
      </c>
      <c r="B64" s="36" t="s">
        <v>148</v>
      </c>
      <c r="C64" s="40">
        <v>344580486</v>
      </c>
      <c r="D64" s="38">
        <f>C64*J64</f>
        <v>27566438.879999999</v>
      </c>
      <c r="E64" s="39">
        <v>0</v>
      </c>
      <c r="F64" s="40" t="s">
        <v>44</v>
      </c>
      <c r="G64" s="67">
        <v>4.2999999999999997E-2</v>
      </c>
      <c r="H64" s="42">
        <v>6.6699999999999995E-2</v>
      </c>
      <c r="I64" s="42">
        <v>0.08</v>
      </c>
      <c r="J64" s="43">
        <f>I64</f>
        <v>0.08</v>
      </c>
      <c r="K64" s="39">
        <v>0</v>
      </c>
      <c r="L64" s="45">
        <f>I64-H64</f>
        <v>1.3300000000000006E-2</v>
      </c>
      <c r="M64" s="45">
        <f>((I64-H64)/H64)*100</f>
        <v>19.940029985007506</v>
      </c>
      <c r="N64" s="46">
        <v>110</v>
      </c>
      <c r="O64" s="37">
        <v>8.8000000000000007</v>
      </c>
      <c r="P64" s="68">
        <f>(R64)/J64</f>
        <v>0</v>
      </c>
      <c r="Q64" s="48">
        <f>J64/G64-1</f>
        <v>0.86046511627906996</v>
      </c>
      <c r="T64" s="69"/>
    </row>
    <row r="65" spans="1:20" ht="13.2" x14ac:dyDescent="0.35">
      <c r="A65" s="72"/>
      <c r="B65" s="36" t="s">
        <v>82</v>
      </c>
      <c r="C65" s="40"/>
      <c r="D65" s="73"/>
      <c r="E65" s="73"/>
      <c r="F65" s="40"/>
      <c r="G65" s="40"/>
      <c r="H65" s="42"/>
      <c r="I65" s="42"/>
      <c r="J65" s="42"/>
      <c r="K65" s="42"/>
      <c r="L65" s="45"/>
      <c r="M65" s="74"/>
      <c r="N65" s="58">
        <f>SUM(N51:N64)</f>
        <v>920844</v>
      </c>
      <c r="O65" s="59">
        <f>SUM(O51:O64)</f>
        <v>701202.08</v>
      </c>
      <c r="P65" s="75"/>
      <c r="Q65" s="60"/>
    </row>
    <row r="66" spans="1:20" ht="12.6" hidden="1" x14ac:dyDescent="0.3">
      <c r="A66" s="131" t="s">
        <v>149</v>
      </c>
      <c r="B66" s="132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4"/>
    </row>
    <row r="67" spans="1:20" ht="12.6" hidden="1" thickBot="1" x14ac:dyDescent="0.3">
      <c r="A67" s="76" t="s">
        <v>150</v>
      </c>
      <c r="B67" s="77" t="s">
        <v>151</v>
      </c>
      <c r="C67" s="78">
        <v>20000</v>
      </c>
      <c r="D67" s="79">
        <f>C67*J67</f>
        <v>0</v>
      </c>
      <c r="E67" s="79"/>
      <c r="F67" s="78" t="s">
        <v>152</v>
      </c>
      <c r="G67" s="78"/>
      <c r="H67" s="80">
        <v>100</v>
      </c>
      <c r="I67" s="80"/>
      <c r="J67" s="80"/>
      <c r="K67" s="80"/>
      <c r="L67" s="81">
        <f>I67-H67</f>
        <v>-100</v>
      </c>
      <c r="M67" s="82">
        <f>((I67-H67)/H67)*100</f>
        <v>-100</v>
      </c>
      <c r="N67" s="83" t="s">
        <v>57</v>
      </c>
      <c r="O67" s="83" t="s">
        <v>57</v>
      </c>
      <c r="P67" s="83"/>
      <c r="Q67" s="84">
        <v>100</v>
      </c>
    </row>
    <row r="68" spans="1:20" ht="12.6" thickBot="1" x14ac:dyDescent="0.3">
      <c r="A68" s="35"/>
      <c r="B68" s="36" t="s">
        <v>82</v>
      </c>
      <c r="C68" s="40"/>
      <c r="D68" s="37"/>
      <c r="E68" s="37"/>
      <c r="F68" s="40"/>
      <c r="G68" s="40"/>
      <c r="H68" s="42"/>
      <c r="I68" s="42"/>
      <c r="J68" s="42"/>
      <c r="K68" s="42"/>
      <c r="L68" s="45"/>
      <c r="M68" s="74"/>
      <c r="N68" s="85"/>
      <c r="O68" s="85"/>
      <c r="P68" s="85"/>
      <c r="Q68" s="60"/>
    </row>
    <row r="69" spans="1:20" ht="12.6" x14ac:dyDescent="0.3">
      <c r="A69" s="131" t="s">
        <v>153</v>
      </c>
      <c r="B69" s="132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4"/>
    </row>
    <row r="70" spans="1:20" x14ac:dyDescent="0.25">
      <c r="A70" s="35" t="s">
        <v>154</v>
      </c>
      <c r="B70" s="86" t="s">
        <v>155</v>
      </c>
      <c r="C70" s="87">
        <v>139300587</v>
      </c>
      <c r="D70" s="38">
        <f>C70*J70</f>
        <v>49521358.678499997</v>
      </c>
      <c r="E70" s="39">
        <f>C70*K70</f>
        <v>49521358.678499997</v>
      </c>
      <c r="F70" s="87" t="s">
        <v>156</v>
      </c>
      <c r="G70" s="87">
        <v>0.24</v>
      </c>
      <c r="H70" s="88">
        <v>0.35899999999999999</v>
      </c>
      <c r="I70" s="88">
        <v>0.35549999999999998</v>
      </c>
      <c r="J70" s="89">
        <f>I70</f>
        <v>0.35549999999999998</v>
      </c>
      <c r="K70" s="89">
        <f>J70</f>
        <v>0.35549999999999998</v>
      </c>
      <c r="L70" s="45">
        <f>I70-H70</f>
        <v>-3.5000000000000031E-3</v>
      </c>
      <c r="M70" s="45">
        <f>((I70-H70)/H70)*100</f>
        <v>-0.97493036211699258</v>
      </c>
      <c r="N70" s="90">
        <v>158</v>
      </c>
      <c r="O70" s="91">
        <v>56.16</v>
      </c>
      <c r="P70" s="68">
        <f>(R70)/J70</f>
        <v>0</v>
      </c>
      <c r="Q70" s="48">
        <f>J70/G70-1</f>
        <v>0.48124999999999996</v>
      </c>
      <c r="T70" s="69"/>
    </row>
    <row r="71" spans="1:20" x14ac:dyDescent="0.25">
      <c r="A71" s="35" t="s">
        <v>157</v>
      </c>
      <c r="B71" s="86" t="s">
        <v>158</v>
      </c>
      <c r="C71" s="87">
        <v>471351750</v>
      </c>
      <c r="D71" s="38">
        <f>C71*J71</f>
        <v>70325681.099999994</v>
      </c>
      <c r="E71" s="39">
        <f>C71*K71</f>
        <v>70325681.099999994</v>
      </c>
      <c r="F71" s="87" t="s">
        <v>156</v>
      </c>
      <c r="G71" s="87">
        <v>0.1</v>
      </c>
      <c r="H71" s="88">
        <v>0.14680000000000001</v>
      </c>
      <c r="I71" s="88">
        <v>0.1492</v>
      </c>
      <c r="J71" s="89">
        <f>I71</f>
        <v>0.1492</v>
      </c>
      <c r="K71" s="89">
        <f>J71</f>
        <v>0.1492</v>
      </c>
      <c r="L71" s="45">
        <f>I71-H71</f>
        <v>2.3999999999999855E-3</v>
      </c>
      <c r="M71" s="45">
        <f>((I71-H71)/H71)*100</f>
        <v>1.634877384196175</v>
      </c>
      <c r="N71" s="46">
        <v>807</v>
      </c>
      <c r="O71" s="91">
        <v>120.38</v>
      </c>
      <c r="P71" s="92">
        <f>(R71)/J71</f>
        <v>2.5415549597855226E-2</v>
      </c>
      <c r="Q71" s="48">
        <f>J71/G71-1</f>
        <v>0.49199999999999999</v>
      </c>
      <c r="R71" s="5">
        <v>3.7919999999999998E-3</v>
      </c>
      <c r="T71" s="69"/>
    </row>
    <row r="72" spans="1:20" ht="13.8" thickBot="1" x14ac:dyDescent="0.4">
      <c r="A72" s="35"/>
      <c r="B72" s="36" t="s">
        <v>82</v>
      </c>
      <c r="C72" s="40"/>
      <c r="D72" s="37"/>
      <c r="E72" s="37"/>
      <c r="F72" s="40"/>
      <c r="G72" s="40"/>
      <c r="H72" s="42"/>
      <c r="I72" s="42"/>
      <c r="J72" s="42"/>
      <c r="K72" s="42"/>
      <c r="L72" s="45"/>
      <c r="M72" s="74"/>
      <c r="N72" s="58">
        <f>SUM(N70:N71)</f>
        <v>965</v>
      </c>
      <c r="O72" s="59">
        <f>SUM(O70:O71)</f>
        <v>176.54</v>
      </c>
      <c r="P72" s="85"/>
      <c r="Q72" s="60"/>
    </row>
    <row r="73" spans="1:20" ht="12.6" x14ac:dyDescent="0.3">
      <c r="A73" s="131" t="s">
        <v>159</v>
      </c>
      <c r="B73" s="132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4"/>
    </row>
    <row r="74" spans="1:20" x14ac:dyDescent="0.25">
      <c r="A74" s="35" t="s">
        <v>160</v>
      </c>
      <c r="B74" s="86" t="s">
        <v>161</v>
      </c>
      <c r="C74" s="87">
        <v>20819695</v>
      </c>
      <c r="D74" s="38">
        <f>C74*J74</f>
        <v>3227052.7250000001</v>
      </c>
      <c r="E74" s="39">
        <f>C74*K74</f>
        <v>3227052.7250000001</v>
      </c>
      <c r="F74" s="87" t="s">
        <v>138</v>
      </c>
      <c r="G74" s="87">
        <v>0.1394</v>
      </c>
      <c r="H74" s="88">
        <v>0.16059999999999999</v>
      </c>
      <c r="I74" s="88">
        <v>0.155</v>
      </c>
      <c r="J74" s="89">
        <f>I74</f>
        <v>0.155</v>
      </c>
      <c r="K74" s="89">
        <f>J74</f>
        <v>0.155</v>
      </c>
      <c r="L74" s="45">
        <f>I74-H74</f>
        <v>-5.5999999999999939E-3</v>
      </c>
      <c r="M74" s="45">
        <f>((I74-H74)/H74)*100</f>
        <v>-3.486924034869237</v>
      </c>
      <c r="N74" s="90">
        <v>1836</v>
      </c>
      <c r="O74" s="91">
        <v>284.54000000000002</v>
      </c>
      <c r="P74" s="68">
        <f>(R74)/J74</f>
        <v>0</v>
      </c>
      <c r="Q74" s="48">
        <f>J74/G74-1</f>
        <v>0.11190817790530838</v>
      </c>
    </row>
    <row r="75" spans="1:20" ht="13.2" x14ac:dyDescent="0.35">
      <c r="A75" s="35"/>
      <c r="B75" s="36" t="s">
        <v>82</v>
      </c>
      <c r="C75" s="40"/>
      <c r="D75" s="37"/>
      <c r="E75" s="37"/>
      <c r="F75" s="40"/>
      <c r="G75" s="40"/>
      <c r="H75" s="42"/>
      <c r="I75" s="42"/>
      <c r="J75" s="42"/>
      <c r="K75" s="42"/>
      <c r="L75" s="45"/>
      <c r="M75" s="74"/>
      <c r="N75" s="58"/>
      <c r="O75" s="59"/>
      <c r="P75" s="85"/>
      <c r="Q75" s="60"/>
    </row>
    <row r="76" spans="1:20" ht="12.6" x14ac:dyDescent="0.3">
      <c r="A76" s="127" t="s">
        <v>162</v>
      </c>
      <c r="B76" s="128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30"/>
    </row>
    <row r="77" spans="1:20" x14ac:dyDescent="0.25">
      <c r="A77" s="35" t="s">
        <v>163</v>
      </c>
      <c r="B77" s="36" t="s">
        <v>164</v>
      </c>
      <c r="C77" s="40">
        <v>45396463</v>
      </c>
      <c r="D77" s="38">
        <f>C77*J77</f>
        <v>131224.96833517856</v>
      </c>
      <c r="E77" s="39">
        <f>C77*K77</f>
        <v>115760.98064999998</v>
      </c>
      <c r="F77" s="40" t="s">
        <v>138</v>
      </c>
      <c r="G77" s="67">
        <v>0.105</v>
      </c>
      <c r="H77" s="42">
        <v>0.09</v>
      </c>
      <c r="I77" s="42">
        <v>7.6499999999999999E-2</v>
      </c>
      <c r="J77" s="43">
        <f>I77/$J$5</f>
        <v>2.8906430074778855E-3</v>
      </c>
      <c r="K77" s="44">
        <f>I77/$K$4</f>
        <v>2.5499999999999997E-3</v>
      </c>
      <c r="L77" s="45">
        <f>I77-H77</f>
        <v>-1.3499999999999998E-2</v>
      </c>
      <c r="M77" s="93">
        <f>((I77-H77)/H77)*100</f>
        <v>-15</v>
      </c>
      <c r="N77" s="37">
        <v>405000</v>
      </c>
      <c r="O77" s="37">
        <v>30982.5</v>
      </c>
      <c r="P77" s="40">
        <v>0</v>
      </c>
      <c r="Q77" s="48">
        <f>I77/G77-1</f>
        <v>-0.27142857142857146</v>
      </c>
    </row>
    <row r="78" spans="1:20" x14ac:dyDescent="0.25">
      <c r="A78" s="35" t="s">
        <v>165</v>
      </c>
      <c r="B78" s="36" t="s">
        <v>166</v>
      </c>
      <c r="C78" s="40">
        <v>136162052</v>
      </c>
      <c r="D78" s="38">
        <f>C78*J78</f>
        <v>282977.43258000282</v>
      </c>
      <c r="E78" s="39">
        <f>C78*K78</f>
        <v>249630.42866666667</v>
      </c>
      <c r="F78" s="40" t="s">
        <v>138</v>
      </c>
      <c r="G78" s="67">
        <v>4.2500000000000003E-2</v>
      </c>
      <c r="H78" s="42">
        <v>5.5E-2</v>
      </c>
      <c r="I78" s="42">
        <v>5.5E-2</v>
      </c>
      <c r="J78" s="43">
        <f>I78/$J$5</f>
        <v>2.0782400707357348E-3</v>
      </c>
      <c r="K78" s="44">
        <f>I78/$K$4</f>
        <v>1.8333333333333333E-3</v>
      </c>
      <c r="L78" s="45">
        <f>I78-H78</f>
        <v>0</v>
      </c>
      <c r="M78" s="93">
        <f>((I78-H78)/H78)*100</f>
        <v>0</v>
      </c>
      <c r="N78" s="37">
        <v>0</v>
      </c>
      <c r="O78" s="37">
        <v>0</v>
      </c>
      <c r="P78" s="40">
        <v>0</v>
      </c>
      <c r="Q78" s="48">
        <f>I78/G78-1</f>
        <v>0.29411764705882337</v>
      </c>
    </row>
    <row r="79" spans="1:20" x14ac:dyDescent="0.25">
      <c r="A79" s="35" t="s">
        <v>167</v>
      </c>
      <c r="B79" s="36" t="s">
        <v>168</v>
      </c>
      <c r="C79" s="40">
        <v>494417400</v>
      </c>
      <c r="D79" s="38">
        <f>C79*J79</f>
        <v>1868214.6406345055</v>
      </c>
      <c r="E79" s="39">
        <f>C79*K79</f>
        <v>1648058</v>
      </c>
      <c r="F79" s="40" t="s">
        <v>138</v>
      </c>
      <c r="G79" s="67">
        <v>6.0499999999999998E-2</v>
      </c>
      <c r="H79" s="42">
        <v>0.1</v>
      </c>
      <c r="I79" s="42">
        <v>0.1</v>
      </c>
      <c r="J79" s="43">
        <f>I79/$J$5</f>
        <v>3.7786183104286087E-3</v>
      </c>
      <c r="K79" s="44">
        <f>I79/$K$4</f>
        <v>3.3333333333333335E-3</v>
      </c>
      <c r="L79" s="45">
        <f>I79-H79</f>
        <v>0</v>
      </c>
      <c r="M79" s="93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0.65289256198347112</v>
      </c>
    </row>
    <row r="80" spans="1:20" x14ac:dyDescent="0.25">
      <c r="A80" s="35" t="s">
        <v>169</v>
      </c>
      <c r="B80" s="36" t="s">
        <v>170</v>
      </c>
      <c r="C80" s="37">
        <v>41156692</v>
      </c>
      <c r="D80" s="38">
        <f>C80*J80</f>
        <v>2410489.1648119949</v>
      </c>
      <c r="E80" s="39">
        <f>C80*K80</f>
        <v>2126429.0866666664</v>
      </c>
      <c r="F80" s="40" t="s">
        <v>138</v>
      </c>
      <c r="G80" s="67">
        <v>1.85</v>
      </c>
      <c r="H80" s="42">
        <v>1.55</v>
      </c>
      <c r="I80" s="42">
        <v>1.55</v>
      </c>
      <c r="J80" s="43">
        <f>I80/$J$5</f>
        <v>5.8568583811643433E-2</v>
      </c>
      <c r="K80" s="44">
        <f>I80/$K$4</f>
        <v>5.1666666666666666E-2</v>
      </c>
      <c r="L80" s="45">
        <f>I80-H80</f>
        <v>0</v>
      </c>
      <c r="M80" s="93">
        <f>((I80-H80)/H80)*100</f>
        <v>0</v>
      </c>
      <c r="N80" s="37">
        <v>900</v>
      </c>
      <c r="O80" s="37">
        <v>1395</v>
      </c>
      <c r="P80" s="40">
        <v>0</v>
      </c>
      <c r="Q80" s="48">
        <f>I80/G80-1</f>
        <v>-0.16216216216216217</v>
      </c>
    </row>
    <row r="81" spans="1:243" ht="13.8" thickBot="1" x14ac:dyDescent="0.4">
      <c r="A81" s="35"/>
      <c r="B81" s="36" t="s">
        <v>82</v>
      </c>
      <c r="C81" s="37"/>
      <c r="D81" s="37"/>
      <c r="E81" s="37"/>
      <c r="F81" s="40"/>
      <c r="G81" s="40"/>
      <c r="H81" s="42"/>
      <c r="I81" s="42"/>
      <c r="J81" s="42"/>
      <c r="K81" s="42"/>
      <c r="L81" s="45"/>
      <c r="M81" s="45"/>
      <c r="N81" s="58">
        <f>SUM(N77:N80)</f>
        <v>405900</v>
      </c>
      <c r="O81" s="59">
        <f>SUM(O77:O80)</f>
        <v>32377.5</v>
      </c>
      <c r="P81" s="75"/>
      <c r="Q81" s="60"/>
      <c r="DU81" s="94"/>
      <c r="DV81" s="94"/>
      <c r="DW81" s="95"/>
      <c r="DX81" s="96"/>
      <c r="DY81" s="96"/>
      <c r="DZ81" s="97"/>
      <c r="EA81" s="97"/>
      <c r="EB81" s="98"/>
      <c r="EC81" s="98"/>
      <c r="ED81" s="99"/>
      <c r="EE81" s="99"/>
      <c r="EF81" s="97"/>
      <c r="EG81" s="100"/>
      <c r="EH81" s="101"/>
      <c r="EI81" s="95"/>
      <c r="EJ81" s="94"/>
      <c r="EK81" s="94"/>
      <c r="EL81" s="95"/>
      <c r="EM81" s="96"/>
      <c r="EN81" s="96"/>
      <c r="EO81" s="97"/>
      <c r="EP81" s="97"/>
      <c r="EQ81" s="98"/>
      <c r="ER81" s="98"/>
      <c r="ES81" s="99"/>
      <c r="ET81" s="99"/>
      <c r="EU81" s="97"/>
      <c r="EV81" s="100"/>
      <c r="EW81" s="101"/>
      <c r="EX81" s="95"/>
      <c r="EY81" s="94"/>
      <c r="EZ81" s="94"/>
      <c r="FA81" s="95"/>
      <c r="FB81" s="96"/>
      <c r="FC81" s="96"/>
      <c r="FD81" s="97"/>
      <c r="FE81" s="97"/>
      <c r="FF81" s="98"/>
      <c r="FG81" s="98"/>
      <c r="FH81" s="99"/>
      <c r="FI81" s="99"/>
      <c r="FJ81" s="97"/>
      <c r="FK81" s="100"/>
      <c r="FL81" s="101"/>
      <c r="FM81" s="95"/>
      <c r="FN81" s="94"/>
      <c r="FO81" s="94"/>
      <c r="FP81" s="95"/>
      <c r="FQ81" s="96"/>
      <c r="FR81" s="96"/>
      <c r="FS81" s="97"/>
      <c r="FT81" s="97"/>
      <c r="FU81" s="98"/>
      <c r="FV81" s="98"/>
      <c r="FW81" s="99"/>
      <c r="FX81" s="99"/>
      <c r="FY81" s="97"/>
      <c r="FZ81" s="100"/>
      <c r="GA81" s="101"/>
      <c r="GB81" s="95"/>
      <c r="GC81" s="94"/>
      <c r="GD81" s="94"/>
      <c r="GE81" s="95"/>
      <c r="GF81" s="96"/>
      <c r="GG81" s="96"/>
      <c r="GH81" s="97"/>
      <c r="GI81" s="97"/>
      <c r="GJ81" s="98"/>
      <c r="GK81" s="98"/>
      <c r="GL81" s="99"/>
      <c r="GM81" s="99"/>
      <c r="GN81" s="97"/>
      <c r="GO81" s="100"/>
      <c r="GP81" s="101"/>
      <c r="GQ81" s="95"/>
      <c r="GR81" s="94"/>
      <c r="GS81" s="94"/>
      <c r="GT81" s="95"/>
      <c r="GU81" s="96"/>
      <c r="GV81" s="96"/>
      <c r="GW81" s="97"/>
      <c r="GX81" s="97"/>
      <c r="GY81" s="98"/>
      <c r="GZ81" s="98"/>
      <c r="HA81" s="99"/>
      <c r="HB81" s="99"/>
      <c r="HC81" s="97"/>
      <c r="HD81" s="100"/>
      <c r="HE81" s="101"/>
      <c r="HF81" s="95"/>
      <c r="HG81" s="94"/>
      <c r="HH81" s="94"/>
      <c r="HI81" s="95"/>
      <c r="HJ81" s="96"/>
      <c r="HK81" s="96"/>
      <c r="HL81" s="97"/>
      <c r="HM81" s="97"/>
      <c r="HN81" s="98"/>
      <c r="HO81" s="98"/>
      <c r="HP81" s="99"/>
      <c r="HQ81" s="99"/>
      <c r="HR81" s="97"/>
      <c r="HS81" s="100"/>
      <c r="HT81" s="101"/>
      <c r="HU81" s="95"/>
      <c r="HV81" s="94"/>
      <c r="HW81" s="94"/>
      <c r="HX81" s="95"/>
      <c r="HY81" s="96"/>
      <c r="HZ81" s="96"/>
      <c r="IA81" s="97"/>
      <c r="IB81" s="97"/>
      <c r="IC81" s="98"/>
      <c r="ID81" s="98"/>
      <c r="IE81" s="99"/>
      <c r="IF81" s="99"/>
      <c r="IG81" s="97"/>
      <c r="IH81" s="100"/>
      <c r="II81" s="101"/>
    </row>
    <row r="82" spans="1:243" ht="13.2" thickTop="1" x14ac:dyDescent="0.3">
      <c r="A82" s="131" t="s">
        <v>171</v>
      </c>
      <c r="B82" s="132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4"/>
    </row>
    <row r="83" spans="1:243" x14ac:dyDescent="0.25">
      <c r="A83" s="35" t="s">
        <v>172</v>
      </c>
      <c r="B83" s="36" t="s">
        <v>173</v>
      </c>
      <c r="C83" s="40">
        <v>368326244</v>
      </c>
      <c r="D83" s="38">
        <f>C83*J83</f>
        <v>27835285.79579591</v>
      </c>
      <c r="E83" s="39">
        <f>C83*K83</f>
        <v>24555082.933333334</v>
      </c>
      <c r="F83" s="40" t="s">
        <v>174</v>
      </c>
      <c r="G83" s="40">
        <v>1.3</v>
      </c>
      <c r="H83" s="42">
        <v>2</v>
      </c>
      <c r="I83" s="42">
        <v>2</v>
      </c>
      <c r="J83" s="43">
        <f>I83/$J$5</f>
        <v>7.5572366208572175E-2</v>
      </c>
      <c r="K83" s="44">
        <f>I83/$K$4</f>
        <v>6.6666666666666666E-2</v>
      </c>
      <c r="L83" s="45">
        <f>I83-H83</f>
        <v>0</v>
      </c>
      <c r="M83" s="45">
        <f>((I83-H83)/H83*100)</f>
        <v>0</v>
      </c>
      <c r="N83" s="50">
        <v>0</v>
      </c>
      <c r="O83" s="37">
        <v>0</v>
      </c>
      <c r="P83" s="50">
        <f>(R83)/J83</f>
        <v>0</v>
      </c>
      <c r="Q83" s="48">
        <f>I83/G83-1</f>
        <v>0.53846153846153832</v>
      </c>
      <c r="R83" s="69"/>
    </row>
    <row r="84" spans="1:243" s="102" customFormat="1" ht="12.6" thickBot="1" x14ac:dyDescent="0.3">
      <c r="A84" s="35" t="s">
        <v>175</v>
      </c>
      <c r="B84" s="36" t="s">
        <v>176</v>
      </c>
      <c r="C84" s="40">
        <v>1841105000</v>
      </c>
      <c r="D84" s="38">
        <f>C84*J84</f>
        <v>80062782.890227363</v>
      </c>
      <c r="E84" s="39">
        <f>C84*K84</f>
        <v>70627917.678500012</v>
      </c>
      <c r="F84" s="40" t="s">
        <v>174</v>
      </c>
      <c r="G84" s="40">
        <v>1.44347</v>
      </c>
      <c r="H84" s="42">
        <v>1.0989169999999999</v>
      </c>
      <c r="I84" s="42">
        <v>1.1508510000000001</v>
      </c>
      <c r="J84" s="43">
        <f>I84/$J$5</f>
        <v>4.348626661175075E-2</v>
      </c>
      <c r="K84" s="44">
        <f>I84/$K$4</f>
        <v>3.8361700000000006E-2</v>
      </c>
      <c r="L84" s="45">
        <f>I84-H84</f>
        <v>5.1934000000000147E-2</v>
      </c>
      <c r="M84" s="45">
        <f>((I84-H84)/H84*100)</f>
        <v>4.7259256158563527</v>
      </c>
      <c r="N84" s="50">
        <v>4700</v>
      </c>
      <c r="O84" s="37">
        <v>5409</v>
      </c>
      <c r="P84" s="47">
        <f>(R84)/J84</f>
        <v>5.0038786254693261E-2</v>
      </c>
      <c r="Q84" s="48">
        <f>I84/G84-1</f>
        <v>-0.20271914206737929</v>
      </c>
      <c r="R84" s="69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3.8" thickBot="1" x14ac:dyDescent="0.4">
      <c r="A85" s="76"/>
      <c r="B85" s="77" t="s">
        <v>82</v>
      </c>
      <c r="C85" s="78"/>
      <c r="D85" s="103"/>
      <c r="E85" s="79"/>
      <c r="F85" s="78"/>
      <c r="G85" s="78"/>
      <c r="H85" s="80"/>
      <c r="I85" s="80"/>
      <c r="J85" s="80"/>
      <c r="K85" s="80"/>
      <c r="L85" s="81"/>
      <c r="M85" s="81"/>
      <c r="N85" s="58">
        <f>SUM(N83:N84)</f>
        <v>4700</v>
      </c>
      <c r="O85" s="59">
        <f>SUM(O83:O84)</f>
        <v>5409</v>
      </c>
      <c r="P85" s="104"/>
      <c r="Q85" s="84"/>
    </row>
    <row r="86" spans="1:243" ht="12.6" thickBot="1" x14ac:dyDescent="0.3">
      <c r="A86" s="105"/>
      <c r="B86" s="106"/>
      <c r="C86" s="106"/>
      <c r="D86" s="106"/>
      <c r="E86" s="106"/>
      <c r="F86" s="107"/>
      <c r="G86" s="107"/>
      <c r="H86" s="56"/>
      <c r="M86" s="108"/>
      <c r="N86" s="108"/>
      <c r="O86" s="56"/>
      <c r="P86" s="56"/>
      <c r="Q86" s="109"/>
    </row>
    <row r="87" spans="1:243" ht="12.6" thickBot="1" x14ac:dyDescent="0.3">
      <c r="A87" s="135" t="s">
        <v>177</v>
      </c>
      <c r="B87" s="136"/>
      <c r="C87" s="136"/>
      <c r="D87" s="137"/>
      <c r="E87" s="135" t="s">
        <v>178</v>
      </c>
      <c r="F87" s="136"/>
      <c r="G87" s="136"/>
      <c r="H87" s="137"/>
      <c r="L87" s="138" t="s">
        <v>179</v>
      </c>
      <c r="M87" s="139"/>
      <c r="N87" s="140"/>
      <c r="O87" s="138" t="s">
        <v>180</v>
      </c>
      <c r="P87" s="139"/>
      <c r="Q87" s="140"/>
    </row>
    <row r="88" spans="1:243" x14ac:dyDescent="0.25">
      <c r="A88" s="35" t="s">
        <v>40</v>
      </c>
      <c r="B88" s="110">
        <v>187.41650000000001</v>
      </c>
      <c r="D88" s="110">
        <v>11.270389364579714</v>
      </c>
      <c r="E88" s="35" t="s">
        <v>86</v>
      </c>
      <c r="F88" s="111">
        <v>1.26875</v>
      </c>
      <c r="H88" s="112">
        <v>-12.499999999999995</v>
      </c>
      <c r="L88" s="35" t="s">
        <v>147</v>
      </c>
      <c r="M88" s="50">
        <v>0.08</v>
      </c>
      <c r="N88" s="113">
        <v>19.940029985007506</v>
      </c>
      <c r="O88" s="35" t="s">
        <v>120</v>
      </c>
      <c r="P88" s="111">
        <v>0.1229</v>
      </c>
      <c r="Q88" s="114">
        <v>-8.0089820359281436</v>
      </c>
    </row>
    <row r="89" spans="1:243" x14ac:dyDescent="0.25">
      <c r="A89" s="35" t="s">
        <v>97</v>
      </c>
      <c r="B89" s="110">
        <v>5.5067570000000003</v>
      </c>
      <c r="D89" s="110">
        <v>4.8800216359110404</v>
      </c>
      <c r="E89" s="35" t="s">
        <v>107</v>
      </c>
      <c r="F89" s="111">
        <v>3.4155999999999999E-2</v>
      </c>
      <c r="H89" s="112">
        <v>-12.420512820512823</v>
      </c>
      <c r="L89" s="35" t="s">
        <v>122</v>
      </c>
      <c r="M89" s="50">
        <v>67.2286</v>
      </c>
      <c r="N89" s="113">
        <v>18.205171034470638</v>
      </c>
      <c r="O89" s="35" t="s">
        <v>124</v>
      </c>
      <c r="P89" s="111">
        <v>0.247</v>
      </c>
      <c r="Q89" s="114">
        <v>-6.1906570451955876</v>
      </c>
    </row>
    <row r="90" spans="1:243" x14ac:dyDescent="0.25">
      <c r="A90" s="35" t="s">
        <v>72</v>
      </c>
      <c r="B90" s="110">
        <v>1.26</v>
      </c>
      <c r="C90" s="110"/>
      <c r="D90" s="110">
        <v>3.4895697297936636</v>
      </c>
      <c r="E90" s="35" t="s">
        <v>117</v>
      </c>
      <c r="F90" s="111">
        <v>1.1011820000000001</v>
      </c>
      <c r="H90" s="112">
        <v>-8.2348333333333219</v>
      </c>
      <c r="L90" s="35" t="s">
        <v>126</v>
      </c>
      <c r="M90" s="50">
        <v>3.7900000000000003E-2</v>
      </c>
      <c r="N90" s="113">
        <v>8.2857142857142829</v>
      </c>
      <c r="O90" s="35" t="s">
        <v>132</v>
      </c>
      <c r="P90" s="111">
        <v>0.15</v>
      </c>
      <c r="Q90" s="114">
        <v>-1.4454664914586119</v>
      </c>
    </row>
    <row r="91" spans="1:243" x14ac:dyDescent="0.25">
      <c r="A91" s="35" t="s">
        <v>60</v>
      </c>
      <c r="B91" s="110">
        <v>0.59050000000000002</v>
      </c>
      <c r="C91" s="110"/>
      <c r="D91" s="110">
        <v>2.0720364105905951</v>
      </c>
      <c r="E91" s="35" t="s">
        <v>37</v>
      </c>
      <c r="F91" s="111">
        <v>0.20006499999999999</v>
      </c>
      <c r="G91" s="111"/>
      <c r="H91" s="112">
        <v>-7.9551519166712801</v>
      </c>
      <c r="L91" s="35" t="s">
        <v>141</v>
      </c>
      <c r="M91" s="50">
        <v>0.31609999999999999</v>
      </c>
      <c r="N91" s="113">
        <v>5.366666666666668</v>
      </c>
      <c r="O91" s="35" t="s">
        <v>134</v>
      </c>
      <c r="P91" s="111">
        <v>1.9900000000000001E-2</v>
      </c>
      <c r="Q91" s="114">
        <v>-0.499999999999997</v>
      </c>
    </row>
    <row r="92" spans="1:243" x14ac:dyDescent="0.25">
      <c r="A92" s="35" t="s">
        <v>90</v>
      </c>
      <c r="B92" s="110">
        <v>1.7250000000000001</v>
      </c>
      <c r="C92" s="110"/>
      <c r="D92" s="110">
        <v>0.42516229579489623</v>
      </c>
      <c r="E92" s="35" t="s">
        <v>99</v>
      </c>
      <c r="F92" s="111">
        <v>0.146036</v>
      </c>
      <c r="G92" s="111"/>
      <c r="H92" s="112">
        <v>-1.7227919997846552</v>
      </c>
      <c r="L92" s="35" t="s">
        <v>143</v>
      </c>
      <c r="M92" s="50">
        <v>0.63759999999999994</v>
      </c>
      <c r="N92" s="113">
        <v>4.8167022850567145</v>
      </c>
      <c r="O92" s="35"/>
      <c r="P92" s="111"/>
      <c r="Q92" s="114"/>
    </row>
    <row r="93" spans="1:243" ht="12.6" thickBot="1" x14ac:dyDescent="0.3">
      <c r="A93" s="115"/>
      <c r="B93" s="116"/>
      <c r="C93" s="116"/>
      <c r="D93" s="116"/>
      <c r="E93" s="115"/>
      <c r="F93" s="116"/>
      <c r="G93" s="116"/>
      <c r="H93" s="117"/>
      <c r="L93" s="115"/>
      <c r="M93" s="116"/>
      <c r="N93" s="117"/>
      <c r="O93" s="116"/>
      <c r="P93" s="116"/>
      <c r="Q93" s="117"/>
    </row>
    <row r="94" spans="1:243" x14ac:dyDescent="0.25">
      <c r="A94" s="118"/>
      <c r="B94" s="119"/>
      <c r="C94" s="119"/>
      <c r="D94" s="119"/>
      <c r="E94" s="108"/>
      <c r="F94" s="108"/>
      <c r="G94" s="108"/>
      <c r="H94" s="108"/>
      <c r="I94" s="108"/>
      <c r="J94" s="108"/>
      <c r="K94" s="108"/>
      <c r="L94" s="108"/>
      <c r="M94" s="119"/>
      <c r="Q94" s="16"/>
    </row>
    <row r="95" spans="1:243" x14ac:dyDescent="0.25">
      <c r="A95" s="12" t="s">
        <v>181</v>
      </c>
      <c r="B95" s="120"/>
      <c r="C95" s="120"/>
      <c r="D95" s="120"/>
      <c r="E95" s="120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18"/>
      <c r="B96" s="119"/>
      <c r="C96" s="119"/>
      <c r="D96" s="119"/>
      <c r="E96" s="119"/>
      <c r="F96" s="108"/>
      <c r="G96" s="108"/>
      <c r="H96" s="119"/>
      <c r="I96" s="108"/>
      <c r="J96" s="108"/>
      <c r="K96" s="108"/>
      <c r="L96" s="108"/>
      <c r="M96" s="119"/>
      <c r="Q96" s="16"/>
    </row>
    <row r="97" spans="1:17" ht="12.6" thickBot="1" x14ac:dyDescent="0.3">
      <c r="A97" s="121"/>
      <c r="B97" s="122"/>
      <c r="C97" s="122"/>
      <c r="D97" s="122"/>
      <c r="E97" s="122"/>
      <c r="F97" s="123"/>
      <c r="G97" s="123"/>
      <c r="H97" s="123"/>
      <c r="I97" s="124"/>
      <c r="J97" s="124"/>
      <c r="K97" s="124"/>
      <c r="L97" s="124"/>
      <c r="M97" s="124"/>
      <c r="N97" s="124"/>
      <c r="O97" s="124"/>
      <c r="P97" s="124"/>
      <c r="Q97" s="125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6"/>
      <c r="J101" s="126"/>
      <c r="K101" s="126"/>
      <c r="O101" s="126"/>
      <c r="P101" s="126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6"/>
      <c r="J104" s="126"/>
      <c r="K104" s="126"/>
      <c r="O104" s="126"/>
      <c r="P104" s="126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6"/>
      <c r="J106" s="126"/>
      <c r="K106" s="126"/>
      <c r="O106" s="126"/>
      <c r="P106" s="126"/>
    </row>
  </sheetData>
  <sheetProtection algorithmName="SHA-512" hashValue="SAOLpiGHGEVqBYhgBzBRe9RMHmE5vE4Hl+bgcF80wkpDoAEnwxQKAuWmO0SeB0JAVQ/qIKmcSVnQ9AWAGEaTTA==" saltValue="a9i/5Hv+E2K9Gb1l0T/NIQ==" spinCount="100000" sheet="1"/>
  <sortState xmlns:xlrd2="http://schemas.microsoft.com/office/spreadsheetml/2017/richdata2" ref="A51:II64">
    <sortCondition ref="A51:A64"/>
  </sortState>
  <mergeCells count="12">
    <mergeCell ref="A73:Q73"/>
    <mergeCell ref="L5:M5"/>
    <mergeCell ref="A6:Q6"/>
    <mergeCell ref="A50:Q50"/>
    <mergeCell ref="A66:Q66"/>
    <mergeCell ref="A69:Q69"/>
    <mergeCell ref="A76:Q76"/>
    <mergeCell ref="A82:Q82"/>
    <mergeCell ref="A87:D87"/>
    <mergeCell ref="E87:H87"/>
    <mergeCell ref="L87:N87"/>
    <mergeCell ref="O87:Q87"/>
  </mergeCells>
  <conditionalFormatting sqref="A9:A11">
    <cfRule type="duplicateValues" dxfId="40" priority="45" stopIfTrue="1"/>
  </conditionalFormatting>
  <conditionalFormatting sqref="A29:A34">
    <cfRule type="duplicateValues" dxfId="39" priority="46" stopIfTrue="1"/>
  </conditionalFormatting>
  <conditionalFormatting sqref="A91:A92">
    <cfRule type="duplicateValues" dxfId="38" priority="47" stopIfTrue="1"/>
  </conditionalFormatting>
  <conditionalFormatting sqref="L9:M26 L28:M47 L51:M64">
    <cfRule type="cellIs" dxfId="37" priority="41" stopIfTrue="1" operator="lessThan">
      <formula>0</formula>
    </cfRule>
    <cfRule type="cellIs" dxfId="36" priority="42" stopIfTrue="1" operator="greaterThan">
      <formula>0</formula>
    </cfRule>
    <cfRule type="cellIs" dxfId="35" priority="43" stopIfTrue="1" operator="greaterThan">
      <formula>0</formula>
    </cfRule>
    <cfRule type="cellIs" priority="44" stopIfTrue="1" operator="greaterThan">
      <formula>0</formula>
    </cfRule>
  </conditionalFormatting>
  <conditionalFormatting sqref="L9:M47 L51:M64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0:M71">
    <cfRule type="cellIs" dxfId="29" priority="9" stopIfTrue="1" operator="lessThan">
      <formula>0</formula>
    </cfRule>
    <cfRule type="cellIs" dxfId="28" priority="10" stopIfTrue="1" operator="greaterThan">
      <formula>0</formula>
    </cfRule>
    <cfRule type="cellIs" dxfId="27" priority="11" stopIfTrue="1" operator="less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  <cfRule type="cellIs" priority="14" stopIfTrue="1" operator="greaterThan">
      <formula>0</formula>
    </cfRule>
  </conditionalFormatting>
  <conditionalFormatting sqref="L74:M74">
    <cfRule type="cellIs" dxfId="24" priority="1" stopIfTrue="1" operator="lessThan">
      <formula>0</formula>
    </cfRule>
    <cfRule type="cellIs" dxfId="23" priority="2" stopIfTrue="1" operator="greaterThan">
      <formula>0</formula>
    </cfRule>
    <cfRule type="cellIs" dxfId="22" priority="3" stopIfTrue="1" operator="lessThan">
      <formula>0</formula>
    </cfRule>
    <cfRule type="cellIs" dxfId="21" priority="4" stopIfTrue="1" operator="greaterThan">
      <formula>0</formula>
    </cfRule>
    <cfRule type="cellIs" dxfId="20" priority="5" stopIfTrue="1" operator="greaterThan">
      <formula>0</formula>
    </cfRule>
    <cfRule type="cellIs" priority="6" stopIfTrue="1" operator="greaterThan">
      <formula>0</formula>
    </cfRule>
  </conditionalFormatting>
  <conditionalFormatting sqref="L77:M80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7" stopIfTrue="1" operator="lessThan">
      <formula>0</formula>
    </cfRule>
    <cfRule type="cellIs" dxfId="16" priority="38" stopIfTrue="1" operator="greaterThan">
      <formula>0</formula>
    </cfRule>
    <cfRule type="cellIs" dxfId="15" priority="39" stopIfTrue="1" operator="greaterThan">
      <formula>0</formula>
    </cfRule>
    <cfRule type="cellIs" priority="40" stopIfTrue="1" operator="greaterThan">
      <formula>0</formula>
    </cfRule>
  </conditionalFormatting>
  <conditionalFormatting sqref="L83:M84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1" stopIfTrue="1" operator="lessThan">
      <formula>0</formula>
    </cfRule>
    <cfRule type="cellIs" dxfId="11" priority="32" stopIfTrue="1" operator="greaterThan">
      <formula>0</formula>
    </cfRule>
    <cfRule type="cellIs" dxfId="10" priority="33" stopIfTrue="1" operator="greaterThan">
      <formula>0</formula>
    </cfRule>
    <cfRule type="cellIs" priority="34" stopIfTrue="1" operator="greaterThan">
      <formula>0</formula>
    </cfRule>
  </conditionalFormatting>
  <conditionalFormatting sqref="Q9:Q47 Q51:Q64">
    <cfRule type="cellIs" dxfId="9" priority="17" stopIfTrue="1" operator="greaterThan">
      <formula>0</formula>
    </cfRule>
    <cfRule type="cellIs" dxfId="8" priority="18" stopIfTrue="1" operator="lessThan">
      <formula>0</formula>
    </cfRule>
  </conditionalFormatting>
  <conditionalFormatting sqref="Q70:Q71">
    <cfRule type="cellIs" dxfId="7" priority="15" stopIfTrue="1" operator="greaterThan">
      <formula>0</formula>
    </cfRule>
    <cfRule type="cellIs" dxfId="6" priority="16" stopIfTrue="1" operator="lessThan">
      <formula>0</formula>
    </cfRule>
  </conditionalFormatting>
  <conditionalFormatting sqref="Q74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7:Q80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3:Q84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2026-05-27T14:04:37Z</dcterms:created>
  <dcterms:modified xsi:type="dcterms:W3CDTF">2026-05-27T14:14:03Z</dcterms:modified>
</cp:coreProperties>
</file>