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30.10.26/"/>
    </mc:Choice>
  </mc:AlternateContent>
  <xr:revisionPtr revIDLastSave="0" documentId="8_{C97BA2D5-72A6-4F30-ACB3-B9BCF3754655}" xr6:coauthVersionLast="47" xr6:coauthVersionMax="47" xr10:uidLastSave="{00000000-0000-0000-0000-000000000000}"/>
  <bookViews>
    <workbookView xWindow="-108" yWindow="-108" windowWidth="23256" windowHeight="12456" xr2:uid="{65EAE904-E8A5-453C-9DA9-50AB3524E664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P75" i="1"/>
  <c r="Q75" i="1"/>
  <c r="K72" i="1"/>
  <c r="E72" i="1" s="1"/>
  <c r="Q72" i="1"/>
  <c r="P72" i="1"/>
  <c r="Q71" i="1"/>
  <c r="K71" i="1"/>
  <c r="E71" i="1" s="1"/>
  <c r="P71" i="1"/>
  <c r="Q65" i="1"/>
  <c r="P65" i="1"/>
  <c r="P64" i="1"/>
  <c r="Q64" i="1"/>
  <c r="P63" i="1"/>
  <c r="Q63" i="1"/>
  <c r="P62" i="1"/>
  <c r="Q62" i="1"/>
  <c r="Q61" i="1"/>
  <c r="P61" i="1"/>
  <c r="P60" i="1"/>
  <c r="Q60" i="1"/>
  <c r="Q59" i="1"/>
  <c r="P59" i="1"/>
  <c r="P58" i="1"/>
  <c r="Q58" i="1"/>
  <c r="Q57" i="1"/>
  <c r="P57" i="1"/>
  <c r="Q56" i="1"/>
  <c r="P56" i="1"/>
  <c r="Q55" i="1"/>
  <c r="P55" i="1"/>
  <c r="P54" i="1"/>
  <c r="Q54" i="1"/>
  <c r="P51" i="1"/>
  <c r="Q51" i="1"/>
  <c r="P50" i="1"/>
  <c r="Q50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<sst xmlns="http://schemas.openxmlformats.org/spreadsheetml/2006/main" count="271" uniqueCount="185">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</sst>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</cellXfs>
  <cellStyles count="9">
    <cellStyle name="Comma 2 2 2 2 2 2 2 2 2 2 2 2 2 2 2" xfId="3" xr:uid="{FD7FC6AF-DFA1-46A0-8F3E-879FCD52D82B}"/>
    <cellStyle name="Comma 5 2 2 2 2 2 2 2 2 2 2 2 2 2" xfId="4" xr:uid="{67357E6E-83AA-414F-A723-8058F09DF0EB}"/>
    <cellStyle name="Comma 6 2 2 2 2 2 2 2 2" xfId="6" xr:uid="{1D541FAB-C0B7-462F-A7BE-29C7B38BB6CD}"/>
    <cellStyle name="Hyperlink 2" xfId="8" xr:uid="{9122889B-5FC4-424C-82CA-90F7C1BB4FA7}"/>
    <cellStyle name="Normal" xfId="0" builtinId="0"/>
    <cellStyle name="Normal 2" xfId="2" xr:uid="{DC000EEA-05DB-4584-A730-F3D3BA777D2D}"/>
    <cellStyle name="Normal 20" xfId="7" xr:uid="{579C12A9-2F70-44D1-8A86-C45751A96792}"/>
    <cellStyle name="Percent" xfId="1" builtinId="5"/>
    <cellStyle name="Percent 3" xfId="5" xr:uid="{BC42666E-F28B-40A6-BF04-011A62C8F47B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2FAE0F7-2649-4C62-A6B3-C217D3FDF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0A085F2-F70A-4966-A135-562B2332A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DE1E-6EA2-454A-A92E-B235D083F830}">
  <dimension ref="A1:II107"/>
  <sheetViews>
    <sheetView tabSelected="1" zoomScale="70" zoomScaleNormal="70" workbookViewId="0">
      <selection activeCell="L44" sqref="L4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26.571400000000001</v>
      </c>
      <c r="K5" s="22"/>
      <c r="L5" s="138" t="s">
        <v>12</v>
      </c>
      <c r="M5" s="139"/>
      <c r="N5" s="23" t="s">
        <v>13</v>
      </c>
      <c r="O5" s="24"/>
      <c r="P5" s="24"/>
      <c r="Q5" s="25"/>
    </row>
    <row r="6" spans="1:19" ht="6.6" customHeight="1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90121496.834942833</v>
      </c>
      <c r="E9" s="39">
        <f t="shared" ref="E9:E45" si="1">C9*K9</f>
        <v>74832948.15625</v>
      </c>
      <c r="F9" s="40" t="s">
        <v>34</v>
      </c>
      <c r="G9" s="41">
        <v>8.9894999999999996</v>
      </c>
      <c r="H9" s="42">
        <v>19</v>
      </c>
      <c r="I9" s="43">
        <v>19</v>
      </c>
      <c r="J9" s="44">
        <f>(I9/$J$5)</f>
        <v>0.71505453231670135</v>
      </c>
      <c r="K9" s="45">
        <f t="shared" ref="K9:K17" si="2">I9/$K$4</f>
        <v>0.59375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2.0977421052631579E-2</v>
      </c>
      <c r="Q9" s="48">
        <f t="shared" ref="Q9:Q17" si="6">I9/G9-1</f>
        <v>1.113576950887146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7962059.0087686386</v>
      </c>
      <c r="E10" s="39">
        <f t="shared" si="1"/>
        <v>6611345.460799844</v>
      </c>
      <c r="F10" s="40" t="s">
        <v>34</v>
      </c>
      <c r="G10" s="41">
        <v>3.1600000000000003E-2</v>
      </c>
      <c r="H10" s="42">
        <v>0.130772</v>
      </c>
      <c r="I10" s="43">
        <v>0.13000100000000001</v>
      </c>
      <c r="J10" s="44">
        <f t="shared" ref="J10:J17" si="7">I10/$J$5</f>
        <v>4.8925160134580788E-3</v>
      </c>
      <c r="K10" s="45">
        <f t="shared" si="2"/>
        <v>4.0625312500000002E-3</v>
      </c>
      <c r="L10" s="46">
        <f t="shared" si="3"/>
        <v>-7.7099999999999391E-4</v>
      </c>
      <c r="M10" s="46">
        <f t="shared" si="4"/>
        <v>-0.58957575016058017</v>
      </c>
      <c r="N10" s="50">
        <v>105300</v>
      </c>
      <c r="O10" s="37">
        <v>13689.1</v>
      </c>
      <c r="P10" s="51">
        <f t="shared" si="5"/>
        <v>0</v>
      </c>
      <c r="Q10" s="48">
        <f t="shared" si="6"/>
        <v>3.113955696202531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2960172.3891100953</v>
      </c>
      <c r="E11" s="39">
        <f t="shared" si="1"/>
        <v>2457997.6443749997</v>
      </c>
      <c r="F11" s="40" t="s">
        <v>39</v>
      </c>
      <c r="G11" s="41">
        <v>7.8E-2</v>
      </c>
      <c r="H11" s="42">
        <v>0.18</v>
      </c>
      <c r="I11" s="43">
        <v>0.18</v>
      </c>
      <c r="J11" s="44">
        <f t="shared" si="7"/>
        <v>6.7742008324740127E-3</v>
      </c>
      <c r="K11" s="45">
        <f t="shared" si="2"/>
        <v>5.6249999999999998E-3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1.3076923076923075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177231791.27742603</v>
      </c>
      <c r="E12" s="39">
        <f t="shared" si="1"/>
        <v>147165525.58590618</v>
      </c>
      <c r="F12" s="40" t="s">
        <v>34</v>
      </c>
      <c r="G12" s="41">
        <v>97.381</v>
      </c>
      <c r="H12" s="42">
        <v>200</v>
      </c>
      <c r="I12" s="43">
        <v>228.23529399999998</v>
      </c>
      <c r="J12" s="44">
        <f t="shared" si="7"/>
        <v>8.5895095478597288</v>
      </c>
      <c r="K12" s="45">
        <f t="shared" si="2"/>
        <v>7.1323529374999994</v>
      </c>
      <c r="L12" s="46">
        <f t="shared" si="3"/>
        <v>28.235293999999982</v>
      </c>
      <c r="M12" s="46">
        <f t="shared" si="4"/>
        <v>14.117646999999991</v>
      </c>
      <c r="N12" s="50">
        <v>6800</v>
      </c>
      <c r="O12" s="37">
        <v>1552000</v>
      </c>
      <c r="P12" s="51">
        <f t="shared" si="5"/>
        <v>0</v>
      </c>
      <c r="Q12" s="48">
        <f t="shared" si="6"/>
        <v>1.3437353693225575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9862229.3142250702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1.1290334720790023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5">
      <c r="A14" s="35" t="s">
        <v>45</v>
      </c>
      <c r="B14" s="36" t="s">
        <v>46</v>
      </c>
      <c r="C14" s="37">
        <v>622766140</v>
      </c>
      <c r="D14" s="38">
        <f t="shared" si="0"/>
        <v>657420769.21050453</v>
      </c>
      <c r="E14" s="39">
        <f t="shared" si="1"/>
        <v>545893444.59375</v>
      </c>
      <c r="F14" s="40" t="s">
        <v>47</v>
      </c>
      <c r="G14" s="41">
        <v>11.5</v>
      </c>
      <c r="H14" s="42">
        <v>28.001718</v>
      </c>
      <c r="I14" s="43">
        <v>28.05</v>
      </c>
      <c r="J14" s="44">
        <f t="shared" si="7"/>
        <v>1.0556462963938671</v>
      </c>
      <c r="K14" s="45">
        <f t="shared" si="2"/>
        <v>0.87656250000000002</v>
      </c>
      <c r="L14" s="46">
        <f t="shared" si="3"/>
        <v>4.828200000000038E-2</v>
      </c>
      <c r="M14" s="46">
        <f t="shared" si="4"/>
        <v>0.17242513477208926</v>
      </c>
      <c r="N14" s="50">
        <v>100</v>
      </c>
      <c r="O14" s="37">
        <v>2805</v>
      </c>
      <c r="P14" s="51">
        <f t="shared" si="5"/>
        <v>0</v>
      </c>
      <c r="Q14" s="48">
        <f t="shared" si="6"/>
        <v>1.4391304347826086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31648959.37690524</v>
      </c>
      <c r="E15" s="39">
        <f t="shared" si="1"/>
        <v>26279911.224609375</v>
      </c>
      <c r="F15" s="40" t="s">
        <v>34</v>
      </c>
      <c r="G15" s="41">
        <v>5.39</v>
      </c>
      <c r="H15" s="42">
        <v>7.93</v>
      </c>
      <c r="I15" s="43">
        <v>7.9304999999999994</v>
      </c>
      <c r="J15" s="44">
        <f t="shared" si="7"/>
        <v>0.29845999834408421</v>
      </c>
      <c r="K15" s="45">
        <f t="shared" si="2"/>
        <v>0.24782812499999998</v>
      </c>
      <c r="L15" s="46">
        <f t="shared" si="3"/>
        <v>4.9999999999972289E-4</v>
      </c>
      <c r="M15" s="46">
        <f t="shared" si="4"/>
        <v>6.3051702395929754E-3</v>
      </c>
      <c r="N15" s="50">
        <v>400</v>
      </c>
      <c r="O15" s="37">
        <v>3172.2</v>
      </c>
      <c r="P15" s="51">
        <f t="shared" si="5"/>
        <v>0</v>
      </c>
      <c r="Q15" s="48">
        <f t="shared" si="6"/>
        <v>0.47133580705009281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68713141.791550308</v>
      </c>
      <c r="E16" s="39">
        <f t="shared" si="1"/>
        <v>57056386.743749999</v>
      </c>
      <c r="F16" s="40" t="s">
        <v>34</v>
      </c>
      <c r="G16" s="41">
        <v>1.9</v>
      </c>
      <c r="H16" s="42">
        <v>5.0999999999999996</v>
      </c>
      <c r="I16" s="43">
        <v>5.0999999999999996</v>
      </c>
      <c r="J16" s="44">
        <f t="shared" si="7"/>
        <v>0.19193569025343035</v>
      </c>
      <c r="K16" s="45">
        <f t="shared" si="2"/>
        <v>0.15937499999999999</v>
      </c>
      <c r="L16" s="46">
        <f t="shared" si="3"/>
        <v>0</v>
      </c>
      <c r="M16" s="46">
        <f t="shared" si="4"/>
        <v>0</v>
      </c>
      <c r="N16" s="50">
        <v>0</v>
      </c>
      <c r="O16" s="37">
        <v>0</v>
      </c>
      <c r="P16" s="51">
        <f t="shared" si="5"/>
        <v>0.26050392156862751</v>
      </c>
      <c r="Q16" s="48">
        <f t="shared" si="6"/>
        <v>1.6842105263157894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1350855925</v>
      </c>
      <c r="D17" s="38">
        <f t="shared" si="0"/>
        <v>1878485920.9205751</v>
      </c>
      <c r="E17" s="39">
        <f t="shared" si="1"/>
        <v>1559812524.9734054</v>
      </c>
      <c r="F17" s="40" t="s">
        <v>34</v>
      </c>
      <c r="G17" s="41">
        <v>20.701700000000002</v>
      </c>
      <c r="H17" s="42">
        <v>36.987754000000002</v>
      </c>
      <c r="I17" s="43">
        <v>36.949906999999996</v>
      </c>
      <c r="J17" s="44">
        <f t="shared" si="7"/>
        <v>1.3905893931068742</v>
      </c>
      <c r="K17" s="45">
        <f t="shared" si="2"/>
        <v>1.1546845937499999</v>
      </c>
      <c r="L17" s="46">
        <f t="shared" si="3"/>
        <v>-3.7847000000006403E-2</v>
      </c>
      <c r="M17" s="46">
        <f t="shared" si="4"/>
        <v>-0.10232305535504103</v>
      </c>
      <c r="N17" s="50">
        <v>248200</v>
      </c>
      <c r="O17" s="37">
        <v>9170967</v>
      </c>
      <c r="P17" s="47">
        <f t="shared" si="5"/>
        <v>0</v>
      </c>
      <c r="Q17" s="48">
        <f t="shared" si="6"/>
        <v>0.78487307805639106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316105234.6753155</v>
      </c>
      <c r="E19" s="39">
        <f t="shared" si="1"/>
        <v>262479957.27036497</v>
      </c>
      <c r="F19" s="40" t="s">
        <v>47</v>
      </c>
      <c r="G19" s="41">
        <v>12.45</v>
      </c>
      <c r="H19" s="42">
        <v>11.8</v>
      </c>
      <c r="I19" s="43">
        <v>12.499976999999999</v>
      </c>
      <c r="J19" s="44">
        <f t="shared" ref="J19:J45" si="8">I19/$J$5</f>
        <v>0.47042974777392232</v>
      </c>
      <c r="K19" s="45">
        <f t="shared" ref="K19:K45" si="9">I19/$K$4</f>
        <v>0.39062428124999998</v>
      </c>
      <c r="L19" s="46">
        <f t="shared" ref="L19:L29" si="10">I19-H19</f>
        <v>0.69997699999999874</v>
      </c>
      <c r="M19" s="46">
        <f>((I19-H19)/H19)*100</f>
        <v>5.9320084745762598</v>
      </c>
      <c r="N19" s="50">
        <v>55700</v>
      </c>
      <c r="O19" s="37">
        <v>696248.7</v>
      </c>
      <c r="P19" s="51">
        <f>(R19)/J19</f>
        <v>0</v>
      </c>
      <c r="Q19" s="48">
        <f t="shared" ref="Q19:Q29" si="11">I19/G19-1</f>
        <v>4.0142168674699441E-3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3812319.2842680472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3.5000037634449067E-2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103768931.20980754</v>
      </c>
      <c r="E21" s="39">
        <f t="shared" si="1"/>
        <v>86165180.585883752</v>
      </c>
      <c r="F21" s="40" t="s">
        <v>47</v>
      </c>
      <c r="G21" s="41">
        <v>2.85</v>
      </c>
      <c r="H21" s="42">
        <v>3.9952380000000001</v>
      </c>
      <c r="I21" s="43">
        <v>3.9952380000000001</v>
      </c>
      <c r="J21" s="44">
        <f t="shared" si="8"/>
        <v>0.1503585810307323</v>
      </c>
      <c r="K21" s="45">
        <f t="shared" si="9"/>
        <v>0.1248511875</v>
      </c>
      <c r="L21" s="46">
        <f t="shared" si="10"/>
        <v>0</v>
      </c>
      <c r="M21" s="46">
        <f>((I21-H21)/H21)*100</f>
        <v>0</v>
      </c>
      <c r="N21" s="50">
        <v>0</v>
      </c>
      <c r="O21" s="37">
        <v>0</v>
      </c>
      <c r="P21" s="51">
        <f>(R21)/J21</f>
        <v>0</v>
      </c>
      <c r="Q21" s="48">
        <f t="shared" si="11"/>
        <v>0.40183789473684217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2009324.6117442059</v>
      </c>
      <c r="E23" s="39">
        <f t="shared" si="1"/>
        <v>1668455.2496406247</v>
      </c>
      <c r="F23" s="40" t="s">
        <v>44</v>
      </c>
      <c r="G23" s="41">
        <v>0.1</v>
      </c>
      <c r="H23" s="42">
        <v>9.9499999999999991E-2</v>
      </c>
      <c r="I23" s="43">
        <v>9.9499999999999991E-2</v>
      </c>
      <c r="J23" s="44">
        <f t="shared" si="8"/>
        <v>3.7446276823953572E-3</v>
      </c>
      <c r="K23" s="45">
        <f t="shared" si="9"/>
        <v>3.1093749999999997E-3</v>
      </c>
      <c r="L23" s="46">
        <f t="shared" si="10"/>
        <v>0</v>
      </c>
      <c r="M23" s="46">
        <f t="shared" ref="M23:M29" si="12">((I23-H23)/H23)*100</f>
        <v>0</v>
      </c>
      <c r="N23" s="50">
        <v>0</v>
      </c>
      <c r="O23" s="37">
        <v>0</v>
      </c>
      <c r="P23" s="51">
        <f t="shared" ref="P23:P29" si="13">(R23)/J23</f>
        <v>0</v>
      </c>
      <c r="Q23" s="48">
        <f t="shared" si="11"/>
        <v>-5.0000000000001155E-3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90788529.910107553</v>
      </c>
      <c r="E24" s="39">
        <f t="shared" si="1"/>
        <v>75386823.239169747</v>
      </c>
      <c r="F24" s="40" t="s">
        <v>34</v>
      </c>
      <c r="G24" s="41">
        <v>8.1687659999999997</v>
      </c>
      <c r="H24" s="42">
        <v>11.043749999999999</v>
      </c>
      <c r="I24" s="43">
        <v>12.498037999999999</v>
      </c>
      <c r="J24" s="44">
        <f t="shared" si="8"/>
        <v>0.47035677457717695</v>
      </c>
      <c r="K24" s="45">
        <f t="shared" si="9"/>
        <v>0.39056368749999998</v>
      </c>
      <c r="L24" s="46">
        <f t="shared" si="10"/>
        <v>1.454288</v>
      </c>
      <c r="M24" s="46">
        <f t="shared" si="12"/>
        <v>13.168425580079232</v>
      </c>
      <c r="N24" s="50">
        <v>137600</v>
      </c>
      <c r="O24" s="37">
        <v>1719730</v>
      </c>
      <c r="P24" s="47">
        <f t="shared" si="13"/>
        <v>3.1890685562005812E-2</v>
      </c>
      <c r="Q24" s="48">
        <f t="shared" si="11"/>
        <v>0.52997870180147166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109239426.43142626</v>
      </c>
      <c r="E25" s="39">
        <f t="shared" si="1"/>
        <v>90707640.483750001</v>
      </c>
      <c r="F25" s="40" t="s">
        <v>66</v>
      </c>
      <c r="G25" s="41">
        <v>1.6675</v>
      </c>
      <c r="H25" s="42">
        <v>1.72</v>
      </c>
      <c r="I25" s="43">
        <v>1.72</v>
      </c>
      <c r="J25" s="44">
        <f t="shared" si="8"/>
        <v>6.4731252399196124E-2</v>
      </c>
      <c r="K25" s="45">
        <f t="shared" si="9"/>
        <v>5.3749999999999999E-2</v>
      </c>
      <c r="L25" s="46">
        <f t="shared" si="10"/>
        <v>0</v>
      </c>
      <c r="M25" s="46">
        <f t="shared" si="12"/>
        <v>0</v>
      </c>
      <c r="N25" s="50">
        <v>0</v>
      </c>
      <c r="O25" s="37">
        <v>0</v>
      </c>
      <c r="P25" s="51">
        <f t="shared" si="13"/>
        <v>0</v>
      </c>
      <c r="Q25" s="48">
        <f t="shared" si="11"/>
        <v>3.1484257871064569E-2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24324946.705856673</v>
      </c>
      <c r="E26" s="39">
        <f t="shared" si="1"/>
        <v>20198371.528125003</v>
      </c>
      <c r="F26" s="40" t="s">
        <v>44</v>
      </c>
      <c r="G26" s="41">
        <v>1.7994999999999999</v>
      </c>
      <c r="H26" s="42">
        <v>2.7</v>
      </c>
      <c r="I26" s="43">
        <v>2.7</v>
      </c>
      <c r="J26" s="44">
        <f t="shared" si="8"/>
        <v>0.1016130124871102</v>
      </c>
      <c r="K26" s="45">
        <f t="shared" si="9"/>
        <v>8.4375000000000006E-2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0.50041678243956667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24576720.508748055</v>
      </c>
      <c r="E27" s="39">
        <f t="shared" si="1"/>
        <v>20407433.478942126</v>
      </c>
      <c r="F27" s="40" t="s">
        <v>34</v>
      </c>
      <c r="G27" s="41">
        <v>3.1361369999999997</v>
      </c>
      <c r="H27" s="42">
        <v>2.5494280000000002</v>
      </c>
      <c r="I27" s="43">
        <v>2.5494280000000002</v>
      </c>
      <c r="J27" s="44">
        <f t="shared" si="8"/>
        <v>9.5946318221847557E-2</v>
      </c>
      <c r="K27" s="45">
        <f t="shared" si="9"/>
        <v>7.9669625000000008E-2</v>
      </c>
      <c r="L27" s="46">
        <f t="shared" si="10"/>
        <v>0</v>
      </c>
      <c r="M27" s="46">
        <f t="shared" si="12"/>
        <v>0</v>
      </c>
      <c r="N27" s="50">
        <v>0</v>
      </c>
      <c r="O27" s="37">
        <v>0</v>
      </c>
      <c r="P27" s="51">
        <f t="shared" si="13"/>
        <v>0</v>
      </c>
      <c r="Q27" s="48">
        <f t="shared" si="11"/>
        <v>-0.18708015625592878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32704159.967107486</v>
      </c>
      <c r="E28" s="39">
        <f t="shared" si="1"/>
        <v>27156103.629687499</v>
      </c>
      <c r="F28" s="40" t="s">
        <v>44</v>
      </c>
      <c r="G28" s="41">
        <v>0.8</v>
      </c>
      <c r="H28" s="42">
        <v>1.1499999999999999</v>
      </c>
      <c r="I28" s="43">
        <v>1.1499999999999999</v>
      </c>
      <c r="J28" s="44">
        <f t="shared" si="8"/>
        <v>4.3279616429695078E-2</v>
      </c>
      <c r="K28" s="45">
        <f t="shared" si="9"/>
        <v>3.5937499999999997E-2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121361714.37109073</v>
      </c>
      <c r="E29" s="39">
        <f t="shared" si="1"/>
        <v>100773458.03874999</v>
      </c>
      <c r="F29" s="40" t="s">
        <v>47</v>
      </c>
      <c r="G29" s="41">
        <v>5.15</v>
      </c>
      <c r="H29" s="42">
        <v>7.18</v>
      </c>
      <c r="I29" s="43">
        <v>7.18</v>
      </c>
      <c r="J29" s="44">
        <f t="shared" si="8"/>
        <v>0.27021534431757455</v>
      </c>
      <c r="K29" s="45">
        <f t="shared" si="9"/>
        <v>0.22437499999999999</v>
      </c>
      <c r="L29" s="46">
        <f t="shared" si="10"/>
        <v>0</v>
      </c>
      <c r="M29" s="46">
        <f t="shared" si="12"/>
        <v>0</v>
      </c>
      <c r="N29" s="50">
        <v>1300</v>
      </c>
      <c r="O29" s="37">
        <v>9334</v>
      </c>
      <c r="P29" s="51">
        <f t="shared" si="13"/>
        <v>0</v>
      </c>
      <c r="Q29" s="48">
        <f t="shared" si="11"/>
        <v>0.39417475728155327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11246912.488615578</v>
      </c>
      <c r="E31" s="39">
        <f t="shared" si="1"/>
        <v>9338944.078125</v>
      </c>
      <c r="F31" s="40" t="s">
        <v>39</v>
      </c>
      <c r="G31" s="41">
        <v>1.4</v>
      </c>
      <c r="H31" s="42">
        <v>1.1499999999999999</v>
      </c>
      <c r="I31" s="43">
        <v>1.1499999999999999</v>
      </c>
      <c r="J31" s="44">
        <f t="shared" si="8"/>
        <v>4.3279616429695078E-2</v>
      </c>
      <c r="K31" s="45">
        <f t="shared" si="9"/>
        <v>3.5937499999999997E-2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-0.1785714285714286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4362886.2799852472</v>
      </c>
      <c r="E32" s="39">
        <f t="shared" si="1"/>
        <v>3622749.890625</v>
      </c>
      <c r="F32" s="40" t="s">
        <v>39</v>
      </c>
      <c r="G32" s="41">
        <v>0.65</v>
      </c>
      <c r="H32" s="42">
        <v>0.95</v>
      </c>
      <c r="I32" s="43">
        <v>0.95</v>
      </c>
      <c r="J32" s="44">
        <f t="shared" si="8"/>
        <v>3.5752726615835069E-2</v>
      </c>
      <c r="K32" s="45">
        <f t="shared" si="9"/>
        <v>2.9687499999999999E-2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93916599.915698826</v>
      </c>
      <c r="E33" s="39">
        <f t="shared" si="1"/>
        <v>77984235.71875</v>
      </c>
      <c r="F33" s="40" t="s">
        <v>92</v>
      </c>
      <c r="G33" s="41">
        <v>1.44</v>
      </c>
      <c r="H33" s="42">
        <v>1</v>
      </c>
      <c r="I33" s="43">
        <v>1</v>
      </c>
      <c r="J33" s="44">
        <f t="shared" si="8"/>
        <v>3.7634449069300073E-2</v>
      </c>
      <c r="K33" s="45">
        <f t="shared" si="9"/>
        <v>3.125E-2</v>
      </c>
      <c r="L33" s="46">
        <f t="shared" si="14"/>
        <v>0</v>
      </c>
      <c r="M33" s="46">
        <f t="shared" si="15"/>
        <v>0</v>
      </c>
      <c r="N33" s="50">
        <v>0</v>
      </c>
      <c r="O33" s="37">
        <v>0</v>
      </c>
      <c r="P33" s="51">
        <f t="shared" si="16"/>
        <v>0</v>
      </c>
      <c r="Q33" s="48">
        <f t="shared" si="17"/>
        <v>-0.30555555555555558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259005925</v>
      </c>
      <c r="D34" s="38">
        <f t="shared" si="0"/>
        <v>36219646.121136822</v>
      </c>
      <c r="E34" s="39">
        <f t="shared" si="1"/>
        <v>30075209.529474217</v>
      </c>
      <c r="F34" s="40" t="s">
        <v>34</v>
      </c>
      <c r="G34" s="41">
        <v>3.6056249999999999</v>
      </c>
      <c r="H34" s="42">
        <v>3.8105000000000002</v>
      </c>
      <c r="I34" s="43">
        <v>3.7157709999999997</v>
      </c>
      <c r="J34" s="44">
        <f t="shared" si="8"/>
        <v>0.13984099445268219</v>
      </c>
      <c r="K34" s="45">
        <f t="shared" si="9"/>
        <v>0.11611784374999999</v>
      </c>
      <c r="L34" s="46">
        <f t="shared" si="14"/>
        <v>-9.4729000000000507E-2</v>
      </c>
      <c r="M34" s="46">
        <f t="shared" si="15"/>
        <v>-2.4859992127017585</v>
      </c>
      <c r="N34" s="50">
        <v>62900</v>
      </c>
      <c r="O34" s="37">
        <v>233722</v>
      </c>
      <c r="P34" s="51">
        <f t="shared" si="16"/>
        <v>0</v>
      </c>
      <c r="Q34" s="48">
        <f t="shared" si="17"/>
        <v>3.0548379268503956E-2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9829642.6307256687</v>
      </c>
      <c r="E35" s="39">
        <f t="shared" si="1"/>
        <v>8162105.1936895</v>
      </c>
      <c r="F35" s="40" t="s">
        <v>34</v>
      </c>
      <c r="G35" s="41">
        <v>2.5099999999999997E-2</v>
      </c>
      <c r="H35" s="42">
        <v>0.06</v>
      </c>
      <c r="I35" s="43">
        <v>5.5393999999999999E-2</v>
      </c>
      <c r="J35" s="44">
        <f t="shared" si="8"/>
        <v>2.0847226717448084E-3</v>
      </c>
      <c r="K35" s="45">
        <f t="shared" si="9"/>
        <v>1.7310625E-3</v>
      </c>
      <c r="L35" s="46">
        <f t="shared" si="14"/>
        <v>-4.605999999999999E-3</v>
      </c>
      <c r="M35" s="46">
        <f t="shared" si="15"/>
        <v>-7.676666666666665</v>
      </c>
      <c r="N35" s="50">
        <v>12700</v>
      </c>
      <c r="O35" s="37">
        <v>703.5</v>
      </c>
      <c r="P35" s="51">
        <f t="shared" si="16"/>
        <v>0</v>
      </c>
      <c r="Q35" s="48">
        <f t="shared" si="17"/>
        <v>1.2069322709163348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69160918.521062002</v>
      </c>
      <c r="E36" s="39">
        <f t="shared" si="1"/>
        <v>57428200.949704587</v>
      </c>
      <c r="F36" s="40" t="s">
        <v>92</v>
      </c>
      <c r="G36" s="41">
        <v>0.61</v>
      </c>
      <c r="H36" s="42">
        <v>3.5</v>
      </c>
      <c r="I36" s="43">
        <v>3.4997789999999998</v>
      </c>
      <c r="J36" s="44">
        <f t="shared" si="8"/>
        <v>0.13171225452930593</v>
      </c>
      <c r="K36" s="45">
        <f t="shared" si="9"/>
        <v>0.10936809374999999</v>
      </c>
      <c r="L36" s="46">
        <f t="shared" si="14"/>
        <v>-2.2100000000024878E-4</v>
      </c>
      <c r="M36" s="46">
        <f t="shared" si="15"/>
        <v>-6.3142857142928221E-3</v>
      </c>
      <c r="N36" s="50">
        <v>10200</v>
      </c>
      <c r="O36" s="37">
        <v>35697.75</v>
      </c>
      <c r="P36" s="51">
        <f t="shared" si="16"/>
        <v>0</v>
      </c>
      <c r="Q36" s="48">
        <f t="shared" si="17"/>
        <v>4.7373426229508198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133793900.39017515</v>
      </c>
      <c r="E37" s="39">
        <f t="shared" si="1"/>
        <v>111096601.40085939</v>
      </c>
      <c r="F37" s="40" t="s">
        <v>56</v>
      </c>
      <c r="G37" s="41">
        <v>0.11650199999999999</v>
      </c>
      <c r="H37" s="42">
        <v>0.84748900000000005</v>
      </c>
      <c r="I37" s="43">
        <v>0.84750000000000003</v>
      </c>
      <c r="J37" s="44">
        <f t="shared" si="8"/>
        <v>3.1895195586231814E-2</v>
      </c>
      <c r="K37" s="45">
        <f t="shared" si="9"/>
        <v>2.6484375000000001E-2</v>
      </c>
      <c r="L37" s="46">
        <f t="shared" si="14"/>
        <v>1.0999999999983245E-5</v>
      </c>
      <c r="M37" s="46">
        <f t="shared" si="15"/>
        <v>1.2979519498168407E-3</v>
      </c>
      <c r="N37" s="50">
        <v>14100</v>
      </c>
      <c r="O37" s="37">
        <v>11949.75</v>
      </c>
      <c r="P37" s="51">
        <v>0</v>
      </c>
      <c r="Q37" s="48">
        <f t="shared" si="17"/>
        <v>6.2745532265540511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22738798.477310196</v>
      </c>
      <c r="E38" s="39">
        <f t="shared" si="1"/>
        <v>18881303.433125</v>
      </c>
      <c r="F38" s="40" t="s">
        <v>39</v>
      </c>
      <c r="G38" s="41">
        <v>0.1</v>
      </c>
      <c r="H38" s="42">
        <v>0.13800000000000001</v>
      </c>
      <c r="I38" s="43">
        <v>0.14000000000000001</v>
      </c>
      <c r="J38" s="44">
        <f t="shared" si="8"/>
        <v>5.2688228697020112E-3</v>
      </c>
      <c r="K38" s="45">
        <f t="shared" si="9"/>
        <v>4.3750000000000004E-3</v>
      </c>
      <c r="L38" s="46">
        <f t="shared" si="14"/>
        <v>2.0000000000000018E-3</v>
      </c>
      <c r="M38" s="46">
        <f t="shared" si="15"/>
        <v>1.4492753623188419</v>
      </c>
      <c r="N38" s="50">
        <v>2000</v>
      </c>
      <c r="O38" s="37">
        <v>280</v>
      </c>
      <c r="P38" s="51">
        <f t="shared" ref="P38:P44" si="18">(R38)/J38</f>
        <v>0</v>
      </c>
      <c r="Q38" s="48">
        <f t="shared" si="17"/>
        <v>0.40000000000000013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9496825.2214787323</v>
      </c>
      <c r="E39" s="39">
        <f t="shared" si="1"/>
        <v>7885748.1778124999</v>
      </c>
      <c r="F39" s="40" t="s">
        <v>44</v>
      </c>
      <c r="G39" s="41">
        <v>1.7452379999999998</v>
      </c>
      <c r="H39" s="42">
        <v>2.37</v>
      </c>
      <c r="I39" s="43">
        <v>2.37</v>
      </c>
      <c r="J39" s="44">
        <f t="shared" si="8"/>
        <v>8.9193644294241176E-2</v>
      </c>
      <c r="K39" s="45">
        <f t="shared" si="9"/>
        <v>7.4062500000000003E-2</v>
      </c>
      <c r="L39" s="46">
        <f t="shared" si="14"/>
        <v>0</v>
      </c>
      <c r="M39" s="46">
        <f t="shared" si="15"/>
        <v>0</v>
      </c>
      <c r="N39" s="50">
        <v>0</v>
      </c>
      <c r="O39" s="37">
        <v>0</v>
      </c>
      <c r="P39" s="51">
        <f t="shared" si="18"/>
        <v>0</v>
      </c>
      <c r="Q39" s="48">
        <f t="shared" si="17"/>
        <v>0.35798097451465094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3412619.313547649</v>
      </c>
      <c r="E40" s="39">
        <f t="shared" si="1"/>
        <v>2833689.7758749998</v>
      </c>
      <c r="F40" s="40" t="s">
        <v>39</v>
      </c>
      <c r="G40" s="41">
        <v>0.03</v>
      </c>
      <c r="H40" s="42">
        <v>5.0999999999999997E-2</v>
      </c>
      <c r="I40" s="43">
        <v>5.0999999999999997E-2</v>
      </c>
      <c r="J40" s="44">
        <f t="shared" si="8"/>
        <v>1.9193569025343037E-3</v>
      </c>
      <c r="K40" s="45">
        <f t="shared" si="9"/>
        <v>1.5937499999999999E-3</v>
      </c>
      <c r="L40" s="46">
        <f t="shared" si="14"/>
        <v>0</v>
      </c>
      <c r="M40" s="46">
        <f t="shared" si="15"/>
        <v>0</v>
      </c>
      <c r="N40" s="50">
        <v>0</v>
      </c>
      <c r="O40" s="37">
        <v>0</v>
      </c>
      <c r="P40" s="51">
        <f t="shared" si="18"/>
        <v>0</v>
      </c>
      <c r="Q40" s="48">
        <f t="shared" si="17"/>
        <v>0.7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49449024.703252368</v>
      </c>
      <c r="E41" s="39">
        <f t="shared" si="1"/>
        <v>41060306.71875</v>
      </c>
      <c r="F41" s="40" t="s">
        <v>47</v>
      </c>
      <c r="G41" s="41">
        <v>4.5</v>
      </c>
      <c r="H41" s="42">
        <v>7.5</v>
      </c>
      <c r="I41" s="43">
        <v>7.5</v>
      </c>
      <c r="J41" s="44">
        <f t="shared" si="8"/>
        <v>0.28225836801975057</v>
      </c>
      <c r="K41" s="45">
        <f t="shared" si="9"/>
        <v>0.234375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0.66666666666666674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313.87423688627621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6.7742008324740135E-7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1560775.8718020127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2.7096803329896054E-3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49292619.24105414</v>
      </c>
      <c r="E44" s="39">
        <f t="shared" si="1"/>
        <v>40930434.465679564</v>
      </c>
      <c r="F44" s="40" t="s">
        <v>47</v>
      </c>
      <c r="G44" s="41">
        <v>0.9998999999999999</v>
      </c>
      <c r="H44" s="42">
        <v>0.72036100000000003</v>
      </c>
      <c r="I44" s="43">
        <v>0.72036100000000003</v>
      </c>
      <c r="J44" s="44">
        <f t="shared" si="8"/>
        <v>2.7110389366010072E-2</v>
      </c>
      <c r="K44" s="45">
        <f t="shared" si="9"/>
        <v>2.2511281250000001E-2</v>
      </c>
      <c r="L44" s="46">
        <f t="shared" si="14"/>
        <v>0</v>
      </c>
      <c r="M44" s="46">
        <f t="shared" si="15"/>
        <v>0</v>
      </c>
      <c r="N44" s="50">
        <v>0</v>
      </c>
      <c r="O44" s="37">
        <v>0</v>
      </c>
      <c r="P44" s="51">
        <f t="shared" si="18"/>
        <v>0</v>
      </c>
      <c r="Q44" s="48">
        <f t="shared" si="17"/>
        <v>-0.27956695669566944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17394880.962237593</v>
      </c>
      <c r="E45" s="39">
        <f t="shared" si="1"/>
        <v>14443948.125</v>
      </c>
      <c r="F45" s="40" t="s">
        <v>47</v>
      </c>
      <c r="G45" s="41">
        <v>1.4503460000000001</v>
      </c>
      <c r="H45" s="42">
        <v>4.5</v>
      </c>
      <c r="I45" s="43">
        <v>4.5</v>
      </c>
      <c r="J45" s="44">
        <f t="shared" si="8"/>
        <v>0.16935502081185033</v>
      </c>
      <c r="K45" s="45">
        <f t="shared" si="9"/>
        <v>0.140625</v>
      </c>
      <c r="L45" s="46">
        <f t="shared" si="14"/>
        <v>0</v>
      </c>
      <c r="M45" s="46">
        <f t="shared" si="15"/>
        <v>0</v>
      </c>
      <c r="N45" s="50">
        <v>5400</v>
      </c>
      <c r="O45" s="37">
        <v>24300</v>
      </c>
      <c r="P45" s="51">
        <v>0</v>
      </c>
      <c r="Q45" s="48">
        <f t="shared" si="17"/>
        <v>2.1027079055618452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662700</v>
      </c>
      <c r="O47" s="61">
        <f>SUM(O9:O45)</f>
        <v>13474599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40" t="s">
        <v>118</v>
      </c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3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109975338.43080001</v>
      </c>
      <c r="E50" s="39">
        <v>0</v>
      </c>
      <c r="F50" s="40" t="s">
        <v>92</v>
      </c>
      <c r="G50" s="70">
        <v>0.1</v>
      </c>
      <c r="H50" s="42">
        <v>0.18990000000000001</v>
      </c>
      <c r="I50" s="42">
        <v>0.19420000000000001</v>
      </c>
      <c r="J50" s="44">
        <f t="shared" ref="J50:J65" si="20">I50</f>
        <v>0.19420000000000001</v>
      </c>
      <c r="K50" s="39">
        <v>0</v>
      </c>
      <c r="L50" s="46">
        <f t="shared" ref="L50:L65" si="21">I50-H50</f>
        <v>4.2999999999999983E-3</v>
      </c>
      <c r="M50" s="46">
        <f t="shared" ref="M50:M65" si="22">((I50-H50)/H50)*100</f>
        <v>2.2643496577145856</v>
      </c>
      <c r="N50" s="50">
        <v>2069</v>
      </c>
      <c r="O50" s="37">
        <v>401.86</v>
      </c>
      <c r="P50" s="71">
        <f>(R50)/J50</f>
        <v>0</v>
      </c>
      <c r="Q50" s="48">
        <f t="shared" ref="Q50:Q65" si="23">J50/G50-1</f>
        <v>0.94199999999999995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19335079</v>
      </c>
      <c r="D51" s="38">
        <f t="shared" si="19"/>
        <v>731034201.38730001</v>
      </c>
      <c r="E51" s="39">
        <v>0</v>
      </c>
      <c r="F51" s="40" t="s">
        <v>39</v>
      </c>
      <c r="G51" s="70">
        <v>39.9</v>
      </c>
      <c r="H51" s="42">
        <v>34.994700000000002</v>
      </c>
      <c r="I51" s="42">
        <v>37.808700000000002</v>
      </c>
      <c r="J51" s="44">
        <f t="shared" si="20"/>
        <v>37.808700000000002</v>
      </c>
      <c r="K51" s="39">
        <v>0</v>
      </c>
      <c r="L51" s="46">
        <f t="shared" si="21"/>
        <v>2.8140000000000001</v>
      </c>
      <c r="M51" s="46">
        <f t="shared" si="22"/>
        <v>8.041217670104329</v>
      </c>
      <c r="N51" s="50">
        <v>21621</v>
      </c>
      <c r="O51" s="37">
        <v>817462.4</v>
      </c>
      <c r="P51" s="72">
        <f>(R51)/J51</f>
        <v>1.4811405840454711E-2</v>
      </c>
      <c r="Q51" s="48">
        <f t="shared" si="23"/>
        <v>-5.2413533834586357E-2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666055528.9878</v>
      </c>
      <c r="E52" s="39"/>
      <c r="F52" s="40" t="s">
        <v>56</v>
      </c>
      <c r="G52" s="70">
        <v>0.33</v>
      </c>
      <c r="H52" s="42">
        <v>0.21929999999999999</v>
      </c>
      <c r="I52" s="42">
        <v>0.22259999999999999</v>
      </c>
      <c r="J52" s="44">
        <f t="shared" si="20"/>
        <v>0.22259999999999999</v>
      </c>
      <c r="K52" s="39">
        <v>0</v>
      </c>
      <c r="L52" s="46">
        <f t="shared" si="21"/>
        <v>3.2999999999999974E-3</v>
      </c>
      <c r="M52" s="46">
        <f t="shared" si="22"/>
        <v>1.5047879616963051</v>
      </c>
      <c r="N52" s="50">
        <v>105426</v>
      </c>
      <c r="O52" s="37">
        <v>23473.07</v>
      </c>
      <c r="P52" s="71">
        <v>0</v>
      </c>
      <c r="Q52" s="48">
        <f t="shared" si="23"/>
        <v>-0.32545454545454555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2162285929</v>
      </c>
      <c r="D54" s="38">
        <f t="shared" si="19"/>
        <v>346181977.23289996</v>
      </c>
      <c r="E54" s="39">
        <v>0</v>
      </c>
      <c r="F54" s="40" t="s">
        <v>47</v>
      </c>
      <c r="G54" s="70">
        <v>9.0200000000000002E-2</v>
      </c>
      <c r="H54" s="42">
        <v>0.1691</v>
      </c>
      <c r="I54" s="42">
        <v>0.16009999999999999</v>
      </c>
      <c r="J54" s="44">
        <f t="shared" si="20"/>
        <v>0.16009999999999999</v>
      </c>
      <c r="K54" s="39">
        <v>0</v>
      </c>
      <c r="L54" s="46">
        <f t="shared" si="21"/>
        <v>-9.000000000000008E-3</v>
      </c>
      <c r="M54" s="74">
        <f t="shared" si="22"/>
        <v>-5.3222945002956878</v>
      </c>
      <c r="N54" s="50">
        <v>3403219</v>
      </c>
      <c r="O54" s="37">
        <v>544945.81999999995</v>
      </c>
      <c r="P54" s="71">
        <f t="shared" si="24"/>
        <v>0</v>
      </c>
      <c r="Q54" s="48">
        <f t="shared" si="23"/>
        <v>0.77494456762749442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1045076136.17</v>
      </c>
      <c r="E55" s="39">
        <v>0</v>
      </c>
      <c r="F55" s="40" t="s">
        <v>34</v>
      </c>
      <c r="G55" s="70">
        <v>0.95750000000000002</v>
      </c>
      <c r="H55" s="42">
        <v>1.6680999999999999</v>
      </c>
      <c r="I55" s="42">
        <v>1.8146</v>
      </c>
      <c r="J55" s="44">
        <f t="shared" si="20"/>
        <v>1.8146</v>
      </c>
      <c r="K55" s="39">
        <v>0</v>
      </c>
      <c r="L55" s="46">
        <f t="shared" si="21"/>
        <v>0.14650000000000007</v>
      </c>
      <c r="M55" s="46">
        <f t="shared" si="22"/>
        <v>8.7824470954978757</v>
      </c>
      <c r="N55" s="50">
        <v>1869720</v>
      </c>
      <c r="O55" s="37">
        <v>3392781.07</v>
      </c>
      <c r="P55" s="72">
        <f t="shared" si="24"/>
        <v>2.5901025019287996E-2</v>
      </c>
      <c r="Q55" s="48">
        <f t="shared" si="23"/>
        <v>0.89514360313315922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182365267</v>
      </c>
      <c r="D56" s="38">
        <f t="shared" si="19"/>
        <v>25713502.646999996</v>
      </c>
      <c r="E56" s="39">
        <v>0</v>
      </c>
      <c r="F56" s="40" t="s">
        <v>34</v>
      </c>
      <c r="G56" s="70">
        <v>0.1595</v>
      </c>
      <c r="H56" s="42">
        <v>0.13039999999999999</v>
      </c>
      <c r="I56" s="42">
        <v>0.14099999999999999</v>
      </c>
      <c r="J56" s="44">
        <f t="shared" si="20"/>
        <v>0.14099999999999999</v>
      </c>
      <c r="K56" s="39">
        <v>0</v>
      </c>
      <c r="L56" s="46">
        <f t="shared" si="21"/>
        <v>1.0599999999999998E-2</v>
      </c>
      <c r="M56" s="46">
        <f t="shared" si="22"/>
        <v>8.1288343558282197</v>
      </c>
      <c r="N56" s="50">
        <v>543</v>
      </c>
      <c r="O56" s="37">
        <v>76.540000000000006</v>
      </c>
      <c r="P56" s="71">
        <f t="shared" si="24"/>
        <v>0</v>
      </c>
      <c r="Q56" s="48">
        <f t="shared" si="23"/>
        <v>-0.11598746081504707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4558531619</v>
      </c>
      <c r="D57" s="38">
        <f t="shared" si="19"/>
        <v>103022814.58939999</v>
      </c>
      <c r="E57" s="39">
        <v>0</v>
      </c>
      <c r="F57" s="40" t="s">
        <v>92</v>
      </c>
      <c r="G57" s="70">
        <v>1.6799999999999999E-2</v>
      </c>
      <c r="H57" s="42">
        <v>2.3E-2</v>
      </c>
      <c r="I57" s="42">
        <v>2.2599999999999999E-2</v>
      </c>
      <c r="J57" s="44">
        <f t="shared" si="20"/>
        <v>2.2599999999999999E-2</v>
      </c>
      <c r="K57" s="39">
        <v>0</v>
      </c>
      <c r="L57" s="46">
        <f t="shared" si="21"/>
        <v>-4.0000000000000105E-4</v>
      </c>
      <c r="M57" s="74">
        <f t="shared" si="22"/>
        <v>-1.7391304347826133</v>
      </c>
      <c r="N57" s="50">
        <v>671077</v>
      </c>
      <c r="O57" s="37">
        <v>15142.86</v>
      </c>
      <c r="P57" s="71">
        <f t="shared" si="24"/>
        <v>0</v>
      </c>
      <c r="Q57" s="48">
        <f t="shared" si="23"/>
        <v>0.34523809523809534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2692646.2626</v>
      </c>
      <c r="E58" s="39">
        <v>0</v>
      </c>
      <c r="F58" s="40" t="s">
        <v>137</v>
      </c>
      <c r="G58" s="70">
        <v>19.5</v>
      </c>
      <c r="H58" s="42">
        <v>16.696200000000001</v>
      </c>
      <c r="I58" s="42">
        <v>16.696200000000001</v>
      </c>
      <c r="J58" s="44">
        <f t="shared" si="20"/>
        <v>16.696200000000001</v>
      </c>
      <c r="K58" s="39">
        <v>0</v>
      </c>
      <c r="L58" s="46">
        <f t="shared" si="21"/>
        <v>0</v>
      </c>
      <c r="M58" s="46">
        <f t="shared" si="22"/>
        <v>0</v>
      </c>
      <c r="N58" s="50">
        <v>0</v>
      </c>
      <c r="O58" s="37">
        <v>0</v>
      </c>
      <c r="P58" s="71">
        <f t="shared" si="24"/>
        <v>0</v>
      </c>
      <c r="Q58" s="48">
        <f t="shared" si="23"/>
        <v>-0.14378461538461529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4047783749.1719003</v>
      </c>
      <c r="E59" s="39">
        <v>0</v>
      </c>
      <c r="F59" s="40" t="s">
        <v>47</v>
      </c>
      <c r="G59" s="70">
        <v>0.78169999999999995</v>
      </c>
      <c r="H59" s="51">
        <v>0.89739999999999998</v>
      </c>
      <c r="I59" s="42">
        <v>0.89990000000000003</v>
      </c>
      <c r="J59" s="44">
        <f t="shared" si="20"/>
        <v>0.89990000000000003</v>
      </c>
      <c r="K59" s="39">
        <v>0</v>
      </c>
      <c r="L59" s="46">
        <f t="shared" si="21"/>
        <v>2.5000000000000577E-3</v>
      </c>
      <c r="M59" s="46">
        <f t="shared" si="22"/>
        <v>0.27858257187430996</v>
      </c>
      <c r="N59" s="75">
        <v>1059</v>
      </c>
      <c r="O59" s="76">
        <v>953.02</v>
      </c>
      <c r="P59" s="71">
        <f t="shared" si="24"/>
        <v>0</v>
      </c>
      <c r="Q59" s="48">
        <f t="shared" si="23"/>
        <v>0.15120890367148543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1230258718.1731</v>
      </c>
      <c r="E60" s="39">
        <v>0</v>
      </c>
      <c r="F60" s="40" t="s">
        <v>92</v>
      </c>
      <c r="G60" s="70">
        <v>0.59499999999999997</v>
      </c>
      <c r="H60" s="42">
        <v>1.5005999999999999</v>
      </c>
      <c r="I60" s="42">
        <v>1.5281</v>
      </c>
      <c r="J60" s="44">
        <f t="shared" si="20"/>
        <v>1.5281</v>
      </c>
      <c r="K60" s="39">
        <v>0</v>
      </c>
      <c r="L60" s="46">
        <f t="shared" si="21"/>
        <v>2.750000000000008E-2</v>
      </c>
      <c r="M60" s="46">
        <f t="shared" si="22"/>
        <v>1.8326002932160523</v>
      </c>
      <c r="N60" s="50">
        <v>41084</v>
      </c>
      <c r="O60" s="37">
        <v>62778.43</v>
      </c>
      <c r="P60" s="71">
        <f t="shared" si="24"/>
        <v>0</v>
      </c>
      <c r="Q60" s="48">
        <f t="shared" si="23"/>
        <v>1.5682352941176472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394429709</v>
      </c>
      <c r="D61" s="38">
        <f t="shared" si="19"/>
        <v>150080504.27450001</v>
      </c>
      <c r="E61" s="39">
        <v>0</v>
      </c>
      <c r="F61" s="40" t="s">
        <v>34</v>
      </c>
      <c r="G61" s="70">
        <v>0.22600000000000001</v>
      </c>
      <c r="H61" s="42">
        <v>0.38009999999999999</v>
      </c>
      <c r="I61" s="42">
        <v>0.3805</v>
      </c>
      <c r="J61" s="44">
        <f t="shared" si="20"/>
        <v>0.3805</v>
      </c>
      <c r="K61" s="39">
        <v>0</v>
      </c>
      <c r="L61" s="46">
        <f t="shared" si="21"/>
        <v>4.0000000000001146E-4</v>
      </c>
      <c r="M61" s="46">
        <f t="shared" si="22"/>
        <v>0.10523546435148948</v>
      </c>
      <c r="N61" s="50">
        <v>80578</v>
      </c>
      <c r="O61" s="37">
        <v>30661.17</v>
      </c>
      <c r="P61" s="71">
        <f t="shared" si="24"/>
        <v>0</v>
      </c>
      <c r="Q61" s="48">
        <f t="shared" si="23"/>
        <v>0.6836283185840708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393416914.64239997</v>
      </c>
      <c r="E62" s="39">
        <v>0</v>
      </c>
      <c r="F62" s="40" t="s">
        <v>34</v>
      </c>
      <c r="G62" s="70">
        <v>0.49440000000000001</v>
      </c>
      <c r="H62" s="42">
        <v>0.69469999999999998</v>
      </c>
      <c r="I62" s="42">
        <v>0.69979999999999998</v>
      </c>
      <c r="J62" s="44">
        <f t="shared" si="20"/>
        <v>0.69979999999999998</v>
      </c>
      <c r="K62" s="39">
        <v>0</v>
      </c>
      <c r="L62" s="46">
        <f t="shared" si="21"/>
        <v>5.0999999999999934E-3</v>
      </c>
      <c r="M62" s="46">
        <f t="shared" si="22"/>
        <v>0.73412984021879857</v>
      </c>
      <c r="N62" s="50">
        <v>3318</v>
      </c>
      <c r="O62" s="37">
        <v>2322.04</v>
      </c>
      <c r="P62" s="71">
        <f t="shared" si="24"/>
        <v>0</v>
      </c>
      <c r="Q62" s="48">
        <f t="shared" si="23"/>
        <v>0.41545307443365687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80195727.700000003</v>
      </c>
      <c r="E63" s="39">
        <v>0</v>
      </c>
      <c r="F63" s="40" t="s">
        <v>34</v>
      </c>
      <c r="G63" s="70">
        <v>0.25950000000000001</v>
      </c>
      <c r="H63" s="42">
        <v>0.215</v>
      </c>
      <c r="I63" s="42">
        <v>0.22</v>
      </c>
      <c r="J63" s="44">
        <f t="shared" si="20"/>
        <v>0.22</v>
      </c>
      <c r="K63" s="39">
        <v>0</v>
      </c>
      <c r="L63" s="46">
        <f t="shared" si="21"/>
        <v>5.0000000000000044E-3</v>
      </c>
      <c r="M63" s="46">
        <f t="shared" si="22"/>
        <v>2.3255813953488391</v>
      </c>
      <c r="N63" s="50">
        <v>67</v>
      </c>
      <c r="O63" s="37">
        <v>14.74</v>
      </c>
      <c r="P63" s="71">
        <f t="shared" si="24"/>
        <v>0</v>
      </c>
      <c r="Q63" s="48">
        <f t="shared" si="23"/>
        <v>-0.1522157996146436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1000000000</v>
      </c>
      <c r="D64" s="38">
        <f t="shared" si="19"/>
        <v>238300000</v>
      </c>
      <c r="E64" s="39">
        <v>0</v>
      </c>
      <c r="F64" s="40" t="s">
        <v>66</v>
      </c>
      <c r="G64" s="70">
        <v>10</v>
      </c>
      <c r="H64" s="42">
        <v>0.27910000000000001</v>
      </c>
      <c r="I64" s="42">
        <v>0.23830000000000001</v>
      </c>
      <c r="J64" s="44">
        <f t="shared" si="20"/>
        <v>0.23830000000000001</v>
      </c>
      <c r="K64" s="39">
        <v>0</v>
      </c>
      <c r="L64" s="46">
        <f t="shared" si="21"/>
        <v>-4.0800000000000003E-2</v>
      </c>
      <c r="M64" s="46">
        <f t="shared" si="22"/>
        <v>-14.618416338230025</v>
      </c>
      <c r="N64" s="50">
        <v>100</v>
      </c>
      <c r="O64" s="37">
        <v>23.83</v>
      </c>
      <c r="P64" s="71">
        <f t="shared" si="24"/>
        <v>0</v>
      </c>
      <c r="Q64" s="48">
        <f t="shared" si="23"/>
        <v>-0.97616999999999998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34458048.600000001</v>
      </c>
      <c r="E65" s="39">
        <v>0</v>
      </c>
      <c r="F65" s="40" t="s">
        <v>44</v>
      </c>
      <c r="G65" s="70">
        <v>4.2999999999999997E-2</v>
      </c>
      <c r="H65" s="42">
        <v>0.11</v>
      </c>
      <c r="I65" s="42">
        <v>0.1</v>
      </c>
      <c r="J65" s="44">
        <f t="shared" si="20"/>
        <v>0.1</v>
      </c>
      <c r="K65" s="39">
        <v>0</v>
      </c>
      <c r="L65" s="46">
        <f t="shared" si="21"/>
        <v>-9.999999999999995E-3</v>
      </c>
      <c r="M65" s="46">
        <f t="shared" si="22"/>
        <v>-9.0909090909090864</v>
      </c>
      <c r="N65" s="50">
        <v>855</v>
      </c>
      <c r="O65" s="37">
        <v>85.5</v>
      </c>
      <c r="P65" s="71">
        <f t="shared" si="24"/>
        <v>0</v>
      </c>
      <c r="Q65" s="48">
        <f t="shared" si="23"/>
        <v>1.3255813953488373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6200736</v>
      </c>
      <c r="O66" s="62">
        <f>SUM(O50:O65)</f>
        <v>4891122.3499999996</v>
      </c>
      <c r="P66" s="80"/>
      <c r="Q66" s="63"/>
    </row>
    <row r="67" spans="1:20" ht="12.6" hidden="1" x14ac:dyDescent="0.3">
      <c r="A67" s="134" t="s">
        <v>152</v>
      </c>
      <c r="B67" s="135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7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4" t="s">
        <v>156</v>
      </c>
      <c r="B70" s="135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7"/>
    </row>
    <row r="71" spans="1:20" x14ac:dyDescent="0.25">
      <c r="A71" s="35" t="s">
        <v>157</v>
      </c>
      <c r="B71" s="91" t="s">
        <v>158</v>
      </c>
      <c r="C71" s="92">
        <v>181618500</v>
      </c>
      <c r="D71" s="38">
        <f>C71*J71</f>
        <v>59934105</v>
      </c>
      <c r="E71" s="39">
        <f>C71*K71</f>
        <v>59934105</v>
      </c>
      <c r="F71" s="92" t="s">
        <v>159</v>
      </c>
      <c r="G71" s="92">
        <v>0.24</v>
      </c>
      <c r="H71" s="93">
        <v>0.33439999999999998</v>
      </c>
      <c r="I71" s="93">
        <v>0.33</v>
      </c>
      <c r="J71" s="94">
        <f>I71</f>
        <v>0.33</v>
      </c>
      <c r="K71" s="94">
        <f>J71</f>
        <v>0.33</v>
      </c>
      <c r="L71" s="46">
        <f>I71-H71</f>
        <v>-4.3999999999999595E-3</v>
      </c>
      <c r="M71" s="46">
        <f>((I71-H71)/H71)*100</f>
        <v>-1.3157894736841984</v>
      </c>
      <c r="N71" s="95">
        <v>358</v>
      </c>
      <c r="O71" s="96">
        <v>118.14</v>
      </c>
      <c r="P71" s="71">
        <f>(R71)/J71</f>
        <v>0</v>
      </c>
      <c r="Q71" s="48">
        <f>J71/G71-1</f>
        <v>0.37500000000000022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81112762.5</v>
      </c>
      <c r="E72" s="39">
        <f>C72*K72</f>
        <v>81112762.5</v>
      </c>
      <c r="F72" s="92" t="s">
        <v>159</v>
      </c>
      <c r="G72" s="92">
        <v>0.1</v>
      </c>
      <c r="H72" s="93">
        <v>0.14860000000000001</v>
      </c>
      <c r="I72" s="93">
        <v>0.15</v>
      </c>
      <c r="J72" s="94">
        <f>I72</f>
        <v>0.15</v>
      </c>
      <c r="K72" s="94">
        <f>J72</f>
        <v>0.15</v>
      </c>
      <c r="L72" s="46">
        <f>I72-H72</f>
        <v>1.3999999999999846E-3</v>
      </c>
      <c r="M72" s="46">
        <f>((I72-H72)/H72)*100</f>
        <v>0.9421265141318873</v>
      </c>
      <c r="N72" s="50">
        <v>659685</v>
      </c>
      <c r="O72" s="96">
        <v>98952.63</v>
      </c>
      <c r="P72" s="97">
        <f>(R72)/J72</f>
        <v>2.528E-2</v>
      </c>
      <c r="Q72" s="48">
        <f>J72/G72-1</f>
        <v>0.49999999999999978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660043</v>
      </c>
      <c r="O73" s="62">
        <f>SUM(O71:O72)</f>
        <v>99070.77</v>
      </c>
      <c r="P73" s="90"/>
      <c r="Q73" s="63"/>
    </row>
    <row r="74" spans="1:20" ht="12.6" x14ac:dyDescent="0.3">
      <c r="A74" s="134" t="s">
        <v>162</v>
      </c>
      <c r="B74" s="135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7"/>
    </row>
    <row r="75" spans="1:20" x14ac:dyDescent="0.25">
      <c r="A75" s="35" t="s">
        <v>163</v>
      </c>
      <c r="B75" s="91" t="s">
        <v>164</v>
      </c>
      <c r="C75" s="92">
        <v>83887224</v>
      </c>
      <c r="D75" s="38">
        <f>C75*J75</f>
        <v>9521199.9240000006</v>
      </c>
      <c r="E75" s="39">
        <f>C75*K75</f>
        <v>9521199.9240000006</v>
      </c>
      <c r="F75" s="92" t="s">
        <v>137</v>
      </c>
      <c r="G75" s="92">
        <v>0.1394</v>
      </c>
      <c r="H75" s="93">
        <v>0.11840000000000001</v>
      </c>
      <c r="I75" s="93">
        <v>0.1135</v>
      </c>
      <c r="J75" s="94">
        <f>I75</f>
        <v>0.1135</v>
      </c>
      <c r="K75" s="94">
        <f>J75</f>
        <v>0.1135</v>
      </c>
      <c r="L75" s="46">
        <f>I75-H75</f>
        <v>-4.9000000000000016E-3</v>
      </c>
      <c r="M75" s="46">
        <f>((I75-H75)/H75)*100</f>
        <v>-4.1385135135135149</v>
      </c>
      <c r="N75" s="95">
        <v>5919</v>
      </c>
      <c r="O75" s="96">
        <v>671.88</v>
      </c>
      <c r="P75" s="71">
        <f>(R75)/J75</f>
        <v>0</v>
      </c>
      <c r="Q75" s="48">
        <f>J75/G75-1</f>
        <v>-0.18579626972740315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40" t="s">
        <v>165</v>
      </c>
      <c r="B77" s="141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3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119313.3481863959</v>
      </c>
      <c r="E78" s="39">
        <f>C78*K78</f>
        <v>99072.584375000006</v>
      </c>
      <c r="F78" s="40" t="s">
        <v>137</v>
      </c>
      <c r="G78" s="70">
        <v>0.105</v>
      </c>
      <c r="H78" s="42">
        <v>0.1</v>
      </c>
      <c r="I78" s="42">
        <v>0.1</v>
      </c>
      <c r="J78" s="44">
        <f>I78/$J$5</f>
        <v>3.7634449069300076E-3</v>
      </c>
      <c r="K78" s="45">
        <f>I78/$K$4</f>
        <v>3.1250000000000002E-3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-4.7619047619047561E-2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461194.54300488491</v>
      </c>
      <c r="E79" s="39">
        <f>C79*K79</f>
        <v>382955.77124999999</v>
      </c>
      <c r="F79" s="40" t="s">
        <v>137</v>
      </c>
      <c r="G79" s="70">
        <v>4.2500000000000003E-2</v>
      </c>
      <c r="H79" s="42">
        <v>0.09</v>
      </c>
      <c r="I79" s="42">
        <v>0.09</v>
      </c>
      <c r="J79" s="44">
        <f>I79/$J$5</f>
        <v>3.3871004162370063E-3</v>
      </c>
      <c r="K79" s="45">
        <f>I79/$K$4</f>
        <v>2.8124999999999999E-3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1.117647058823529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1595826.1122861423</v>
      </c>
      <c r="E80" s="39">
        <f>C80*K80</f>
        <v>1325104.18625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4.8924783790090095E-3</v>
      </c>
      <c r="K80" s="45">
        <f>I80/$K$4</f>
        <v>4.0625000000000001E-3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1.1487603305785123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424726.26846910582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6.3602218927117121E-2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0</v>
      </c>
      <c r="O82" s="62">
        <f>SUM(O78:O81)</f>
        <v>0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4" t="s">
        <v>174</v>
      </c>
      <c r="B83" s="135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7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26337335.014338724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7.1505453231670138E-2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100</v>
      </c>
      <c r="O84" s="76">
        <v>190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1869440929</v>
      </c>
      <c r="D85" s="38">
        <f>C85*J85</f>
        <v>73136597.93478322</v>
      </c>
      <c r="E85" s="39">
        <f>C85*K85</f>
        <v>60729431.198884346</v>
      </c>
      <c r="F85" s="40" t="s">
        <v>177</v>
      </c>
      <c r="G85" s="40">
        <v>1.44347</v>
      </c>
      <c r="H85" s="42">
        <v>1.0067709999999999</v>
      </c>
      <c r="I85" s="42">
        <v>1.039531</v>
      </c>
      <c r="J85" s="44">
        <f>I85/$J$5</f>
        <v>3.9122176475458577E-2</v>
      </c>
      <c r="K85" s="45">
        <f>I85/$K$4</f>
        <v>3.2485343749999999E-2</v>
      </c>
      <c r="L85" s="46">
        <f>I85-H85</f>
        <v>3.2760000000000122E-2</v>
      </c>
      <c r="M85" s="46">
        <f>((I85-H85)/H85*100)</f>
        <v>3.2539673868238284</v>
      </c>
      <c r="N85" s="76">
        <v>1613943</v>
      </c>
      <c r="O85" s="76">
        <v>1677749.4850000001</v>
      </c>
      <c r="P85" s="47">
        <f>(R85)/J85</f>
        <v>5.5620627379077678E-2</v>
      </c>
      <c r="Q85" s="48">
        <f>I85/G85-1</f>
        <v>-0.27983886052359941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4" t="s">
        <v>180</v>
      </c>
      <c r="B88" s="145"/>
      <c r="C88" s="145"/>
      <c r="D88" s="146"/>
      <c r="E88" s="144" t="s">
        <v>181</v>
      </c>
      <c r="F88" s="145"/>
      <c r="G88" s="145"/>
      <c r="H88" s="146"/>
      <c r="I88" s="52"/>
      <c r="J88" s="147" t="s">
        <v>182</v>
      </c>
      <c r="K88" s="148"/>
      <c r="L88" s="149"/>
      <c r="M88" s="147" t="s">
        <v>183</v>
      </c>
      <c r="N88" s="148"/>
      <c r="O88" s="149"/>
      <c r="P88" s="115"/>
      <c r="Q88" s="16"/>
    </row>
    <row r="89" spans="1:243" ht="15" customHeight="1" x14ac:dyDescent="0.25">
      <c r="A89" s="35" t="s">
        <v>40</v>
      </c>
      <c r="B89" s="116">
        <v>228.23529399999998</v>
      </c>
      <c r="D89" s="116">
        <v>14.117646999999991</v>
      </c>
      <c r="E89" s="35" t="s">
        <v>95</v>
      </c>
      <c r="F89" s="117">
        <v>5.5393999999999999E-2</v>
      </c>
      <c r="H89" s="118">
        <v>-7.676666666666665</v>
      </c>
      <c r="J89" s="35" t="s">
        <v>129</v>
      </c>
      <c r="K89" s="51">
        <v>1.8146</v>
      </c>
      <c r="L89" s="119">
        <v>8.7824470954978757</v>
      </c>
      <c r="M89" s="35" t="s">
        <v>148</v>
      </c>
      <c r="N89" s="117">
        <v>0.23830000000000001</v>
      </c>
      <c r="O89" s="118">
        <v>-14.618416338230025</v>
      </c>
      <c r="P89" s="118">
        <v>-1.3931214627775275</v>
      </c>
      <c r="Q89" s="16"/>
    </row>
    <row r="90" spans="1:243" ht="15" customHeight="1" x14ac:dyDescent="0.25">
      <c r="A90" s="35" t="s">
        <v>70</v>
      </c>
      <c r="B90" s="116">
        <v>12.498037999999999</v>
      </c>
      <c r="D90" s="116">
        <v>13.168425580079232</v>
      </c>
      <c r="E90" s="35" t="s">
        <v>93</v>
      </c>
      <c r="F90" s="117">
        <v>3.7157709999999997</v>
      </c>
      <c r="H90" s="118">
        <v>-2.4859992127017585</v>
      </c>
      <c r="J90" s="35" t="s">
        <v>131</v>
      </c>
      <c r="K90" s="51">
        <v>0.14099999999999999</v>
      </c>
      <c r="L90" s="119">
        <v>8.1288343558282197</v>
      </c>
      <c r="M90" s="35" t="s">
        <v>127</v>
      </c>
      <c r="N90" s="117">
        <v>0.16009999999999999</v>
      </c>
      <c r="O90" s="118">
        <v>-5.3222945002956878</v>
      </c>
      <c r="P90" s="118">
        <v>-0.80321285140561771</v>
      </c>
      <c r="Q90" s="16"/>
    </row>
    <row r="91" spans="1:243" ht="15" customHeight="1" x14ac:dyDescent="0.25">
      <c r="A91" s="35" t="s">
        <v>58</v>
      </c>
      <c r="B91" s="116">
        <v>12.499976999999999</v>
      </c>
      <c r="C91" s="116"/>
      <c r="D91" s="116">
        <v>5.9320084745762598</v>
      </c>
      <c r="E91" s="120" t="s">
        <v>35</v>
      </c>
      <c r="F91" s="117">
        <v>0.13000100000000001</v>
      </c>
      <c r="G91" s="121"/>
      <c r="H91" s="118">
        <v>-0.58957575016058017</v>
      </c>
      <c r="J91" s="35" t="s">
        <v>121</v>
      </c>
      <c r="K91" s="51">
        <v>37.808700000000002</v>
      </c>
      <c r="L91" s="119">
        <v>8.041217670104329</v>
      </c>
      <c r="M91" s="35" t="s">
        <v>133</v>
      </c>
      <c r="N91" s="117">
        <v>2.2599999999999999E-2</v>
      </c>
      <c r="O91" s="118">
        <v>-1.7391304347826133</v>
      </c>
      <c r="P91" s="118">
        <v>-0.77994428969359408</v>
      </c>
      <c r="Q91" s="16"/>
    </row>
    <row r="92" spans="1:243" ht="15" customHeight="1" x14ac:dyDescent="0.25">
      <c r="A92" s="35" t="s">
        <v>101</v>
      </c>
      <c r="B92" s="116">
        <v>0.14000000000000001</v>
      </c>
      <c r="C92" s="116"/>
      <c r="D92" s="116">
        <v>1.4492753623188419</v>
      </c>
      <c r="E92" s="120" t="s">
        <v>52</v>
      </c>
      <c r="F92" s="117">
        <v>36.949906999999996</v>
      </c>
      <c r="G92" s="121"/>
      <c r="H92" s="118">
        <v>-0.10232305535504103</v>
      </c>
      <c r="J92" s="35" t="s">
        <v>146</v>
      </c>
      <c r="K92" s="51">
        <v>0.22</v>
      </c>
      <c r="L92" s="119">
        <v>2.3255813953488391</v>
      </c>
      <c r="M92" s="35"/>
      <c r="N92" s="117"/>
      <c r="O92" s="118"/>
      <c r="P92" s="118">
        <v>-0.56417489421721045</v>
      </c>
      <c r="Q92" s="16"/>
    </row>
    <row r="93" spans="1:243" ht="15" customHeight="1" x14ac:dyDescent="0.25">
      <c r="A93" s="35" t="s">
        <v>45</v>
      </c>
      <c r="B93" s="116">
        <v>28.05</v>
      </c>
      <c r="C93" s="116"/>
      <c r="D93" s="116">
        <v>0.17242513477208926</v>
      </c>
      <c r="E93" s="120" t="s">
        <v>97</v>
      </c>
      <c r="F93" s="117">
        <v>3.4997789999999998</v>
      </c>
      <c r="G93" s="121"/>
      <c r="H93" s="118">
        <v>-6.3142857142928221E-3</v>
      </c>
      <c r="J93" s="120" t="s">
        <v>119</v>
      </c>
      <c r="K93" s="121">
        <v>0.19420000000000001</v>
      </c>
      <c r="L93" s="119">
        <v>2.2643496577145856</v>
      </c>
      <c r="M93" s="35"/>
      <c r="N93" s="117"/>
      <c r="O93" s="118"/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rBba2fTwliyRvcfFHNHY0P2vMTZUFqFcHuU9e94MckEFZj13rwoxRUfqgo7uLvVatlPsP+IKZ0DOZB1Fx+U+yg==" saltValue="y/27lep3/bAfLtrZstVTyg==" spinCount="100000" sheet="1"/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2026-10-30T13:08:47Z</dcterms:created>
  <dcterms:modified xsi:type="dcterms:W3CDTF">2026-10-30T13:18:55Z</dcterms:modified>
</cp:coreProperties>
</file>