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18.08.26/"/>
    </mc:Choice>
  </mc:AlternateContent>
  <xr:revisionPtr revIDLastSave="3" documentId="8_{6A3EB485-6013-4364-91C0-847BDBD2FE09}" xr6:coauthVersionLast="47" xr6:coauthVersionMax="47" xr10:uidLastSave="{9AF095D0-5271-403B-A7F8-3FF068F14F5A}"/>
  <bookViews>
    <workbookView xWindow="-108" yWindow="-108" windowWidth="23256" windowHeight="12456" xr2:uid="{1565E01C-8C27-4442-90BB-94E54C720DD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K72" i="1"/>
  <c r="E72" i="1" s="1"/>
  <c r="J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E31" i="1" s="1"/>
  <c r="J31" i="1"/>
  <c r="D31" i="1"/>
  <c r="K30" i="1"/>
  <c r="J30" i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P25" i="1" s="1"/>
  <c r="E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J9" i="1"/>
  <c r="D9" i="1" s="1"/>
  <c r="E9" i="1"/>
  <c r="D85" i="1" l="1"/>
  <c r="K71" i="1"/>
  <c r="E71" i="1" s="1"/>
  <c r="P9" i="1"/>
  <c r="P12" i="1"/>
  <c r="P15" i="1"/>
  <c r="P42" i="1"/>
  <c r="P53" i="1"/>
  <c r="P55" i="1"/>
  <c r="P57" i="1"/>
  <c r="P59" i="1"/>
  <c r="P61" i="1"/>
  <c r="P63" i="1"/>
  <c r="P65" i="1"/>
  <c r="P51" i="1"/>
  <c r="P71" i="1"/>
  <c r="P39" i="1"/>
</calcChain>
</file>

<file path=xl/sharedStrings.xml><?xml version="1.0" encoding="utf-8"?>
<sst xmlns="http://schemas.openxmlformats.org/spreadsheetml/2006/main" count="268" uniqueCount="185">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</sst>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</cellXfs>
  <cellStyles count="10">
    <cellStyle name="Comma" xfId="1" builtinId="3"/>
    <cellStyle name="Comma 2 2 2 2 2 2 2 2 2 2 2 2" xfId="4" xr:uid="{4825D6C7-0668-4468-9A85-E42C6C3A4BD1}"/>
    <cellStyle name="Comma 5 2 2 2 2 2 2 2 2 2 2" xfId="5" xr:uid="{80EA367C-8B09-489F-99D0-70E8C8A8621A}"/>
    <cellStyle name="Comma 6 2 2 2 2 2" xfId="6" xr:uid="{57F947E1-FE95-4FFD-B917-95769DA60FC3}"/>
    <cellStyle name="Hyperlink 2" xfId="9" xr:uid="{F3E67D13-0E7D-424E-9C2B-B5518E2BE479}"/>
    <cellStyle name="Normal" xfId="0" builtinId="0"/>
    <cellStyle name="Normal 2" xfId="3" xr:uid="{7CD03D02-5F41-40B3-B61F-6F27F519A5A8}"/>
    <cellStyle name="Normal 20" xfId="8" xr:uid="{BBE19FBD-F56A-498B-A076-9C3D1B03A300}"/>
    <cellStyle name="Percent" xfId="2" builtinId="5"/>
    <cellStyle name="Percent 3" xfId="7" xr:uid="{E69DB79A-A860-4EF1-9F8B-FE7D5803D9DC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807933A-715E-4334-AFC4-7E70818CA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41FC1C5-C4BB-4163-8985-8631E83E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6A60-014C-4B5A-B861-9A8A129E0E9B}">
  <dimension ref="A1:II107"/>
  <sheetViews>
    <sheetView tabSelected="1" zoomScale="60" zoomScaleNormal="60" workbookViewId="0">
      <selection activeCell="J71" sqref="J7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26.785299999999999</v>
      </c>
      <c r="K5" s="22"/>
      <c r="L5" s="135" t="s">
        <v>12</v>
      </c>
      <c r="M5" s="136"/>
      <c r="N5" s="23" t="s">
        <v>13</v>
      </c>
      <c r="O5" s="24"/>
      <c r="P5" s="24"/>
      <c r="Q5" s="25"/>
    </row>
    <row r="6" spans="1:19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72966464.777952835</v>
      </c>
      <c r="E9" s="39">
        <f t="shared" ref="E9:E45" si="1">C9*K9</f>
        <v>62045353.937044449</v>
      </c>
      <c r="F9" s="40" t="s">
        <v>34</v>
      </c>
      <c r="G9" s="41">
        <v>8.9894999999999996</v>
      </c>
      <c r="H9" s="42">
        <v>15</v>
      </c>
      <c r="I9" s="43">
        <v>15.507100000000001</v>
      </c>
      <c r="J9" s="44">
        <f>(I9/$J$5)</f>
        <v>0.57894068761596851</v>
      </c>
      <c r="K9" s="45">
        <f t="shared" ref="K9:K17" si="2">I9/$K$4</f>
        <v>0.49228888888888894</v>
      </c>
      <c r="L9" s="46">
        <f t="shared" ref="L9:L17" si="3">I9-H9</f>
        <v>0.50710000000000122</v>
      </c>
      <c r="M9" s="46">
        <f t="shared" ref="M9:M17" si="4">((I9-H9)/H9)*100</f>
        <v>3.3806666666666749</v>
      </c>
      <c r="N9" s="47">
        <v>0</v>
      </c>
      <c r="O9" s="37">
        <v>0</v>
      </c>
      <c r="P9" s="48">
        <f t="shared" ref="P9:P17" si="5">(R9)/J9</f>
        <v>2.5909389892371879E-2</v>
      </c>
      <c r="Q9" s="49">
        <f t="shared" ref="Q9:Q17" si="6">I9/G9-1</f>
        <v>0.72502363868958253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4615226.4184978334</v>
      </c>
      <c r="E10" s="39">
        <f t="shared" si="1"/>
        <v>3924451.5615044446</v>
      </c>
      <c r="F10" s="40" t="s">
        <v>34</v>
      </c>
      <c r="G10" s="41">
        <v>3.1600000000000003E-2</v>
      </c>
      <c r="H10" s="42">
        <v>7.5199999999999989E-2</v>
      </c>
      <c r="I10" s="43">
        <v>7.5962000000000002E-2</v>
      </c>
      <c r="J10" s="44">
        <f t="shared" ref="J10:J17" si="7">I10/$J$5</f>
        <v>2.8359585294919229E-3</v>
      </c>
      <c r="K10" s="45">
        <f t="shared" si="2"/>
        <v>2.4114920634920635E-3</v>
      </c>
      <c r="L10" s="46">
        <f t="shared" si="3"/>
        <v>7.6200000000001267E-4</v>
      </c>
      <c r="M10" s="46">
        <f t="shared" si="4"/>
        <v>1.0132978723404427</v>
      </c>
      <c r="N10" s="47">
        <v>2600</v>
      </c>
      <c r="O10" s="37">
        <v>197.5</v>
      </c>
      <c r="P10" s="51">
        <f t="shared" si="5"/>
        <v>0</v>
      </c>
      <c r="Q10" s="49">
        <f t="shared" si="6"/>
        <v>1.4038607594936705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3589096.219941535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8.2134603681870283E-3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141740698.36813477</v>
      </c>
      <c r="E12" s="39">
        <f t="shared" si="1"/>
        <v>120525940.57142857</v>
      </c>
      <c r="F12" s="40" t="s">
        <v>34</v>
      </c>
      <c r="G12" s="41">
        <v>97.381</v>
      </c>
      <c r="H12" s="42">
        <v>189.8895</v>
      </c>
      <c r="I12" s="43">
        <v>184</v>
      </c>
      <c r="J12" s="44">
        <f t="shared" si="7"/>
        <v>6.8694395806655146</v>
      </c>
      <c r="K12" s="45">
        <f t="shared" si="2"/>
        <v>5.8412698412698409</v>
      </c>
      <c r="L12" s="46">
        <f t="shared" si="3"/>
        <v>-5.8894999999999982</v>
      </c>
      <c r="M12" s="46">
        <f t="shared" si="4"/>
        <v>-3.1015406328417305</v>
      </c>
      <c r="N12" s="47">
        <v>400</v>
      </c>
      <c r="O12" s="37">
        <v>73600</v>
      </c>
      <c r="P12" s="51">
        <f t="shared" si="5"/>
        <v>0</v>
      </c>
      <c r="Q12" s="49">
        <f t="shared" si="6"/>
        <v>0.88948562861338454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7680025.7379980814</v>
      </c>
      <c r="E13" s="39">
        <f t="shared" si="1"/>
        <v>6530533.1238095239</v>
      </c>
      <c r="F13" s="40" t="s">
        <v>44</v>
      </c>
      <c r="G13" s="41">
        <v>13.6</v>
      </c>
      <c r="H13" s="42">
        <v>23.55</v>
      </c>
      <c r="I13" s="43">
        <v>23.55</v>
      </c>
      <c r="J13" s="44">
        <f t="shared" si="7"/>
        <v>0.87921359850365688</v>
      </c>
      <c r="K13" s="45">
        <f t="shared" si="2"/>
        <v>0.74761904761904763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0.73161764705882359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778999797.34692168</v>
      </c>
      <c r="E14" s="39">
        <f t="shared" si="1"/>
        <v>662404548.31353974</v>
      </c>
      <c r="F14" s="40" t="s">
        <v>47</v>
      </c>
      <c r="G14" s="41">
        <v>11.5</v>
      </c>
      <c r="H14" s="42">
        <v>41.514300000000006</v>
      </c>
      <c r="I14" s="43">
        <v>39.9221</v>
      </c>
      <c r="J14" s="44">
        <f t="shared" si="7"/>
        <v>1.4904481189309062</v>
      </c>
      <c r="K14" s="45">
        <f t="shared" si="2"/>
        <v>1.267368253968254</v>
      </c>
      <c r="L14" s="46">
        <f t="shared" si="3"/>
        <v>-1.5922000000000054</v>
      </c>
      <c r="M14" s="46">
        <f t="shared" si="4"/>
        <v>-3.8353049431159989</v>
      </c>
      <c r="N14" s="47">
        <v>3900</v>
      </c>
      <c r="O14" s="37">
        <v>155696.25</v>
      </c>
      <c r="P14" s="51">
        <f t="shared" si="5"/>
        <v>0</v>
      </c>
      <c r="Q14" s="49">
        <f t="shared" si="6"/>
        <v>2.4714869565217392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23753523.387828398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0.22400346458691894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51560501.092583619</v>
      </c>
      <c r="E16" s="39">
        <f t="shared" si="1"/>
        <v>43843285.394132704</v>
      </c>
      <c r="F16" s="40" t="s">
        <v>34</v>
      </c>
      <c r="G16" s="41">
        <v>1.9</v>
      </c>
      <c r="H16" s="42">
        <v>3.85771</v>
      </c>
      <c r="I16" s="43">
        <v>3.85771</v>
      </c>
      <c r="J16" s="44">
        <f t="shared" si="7"/>
        <v>0.14402340089526719</v>
      </c>
      <c r="K16" s="45">
        <f t="shared" si="2"/>
        <v>0.12246698412698413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0.34716580562043287</v>
      </c>
      <c r="Q16" s="49">
        <f t="shared" si="6"/>
        <v>1.0303736842105264</v>
      </c>
      <c r="R16" s="50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1628870450.3641922</v>
      </c>
      <c r="E17" s="39">
        <f t="shared" si="1"/>
        <v>1385072497.5917461</v>
      </c>
      <c r="F17" s="40" t="s">
        <v>34</v>
      </c>
      <c r="G17" s="41">
        <v>20.701700000000002</v>
      </c>
      <c r="H17" s="42">
        <v>32.399899999999995</v>
      </c>
      <c r="I17" s="43">
        <v>32.372</v>
      </c>
      <c r="J17" s="44">
        <f t="shared" si="7"/>
        <v>1.2085733592679566</v>
      </c>
      <c r="K17" s="45">
        <f t="shared" si="2"/>
        <v>1.0276825396825398</v>
      </c>
      <c r="L17" s="46">
        <f t="shared" si="3"/>
        <v>-2.7899999999995373E-2</v>
      </c>
      <c r="M17" s="46">
        <f t="shared" si="4"/>
        <v>-8.6111376886951432E-2</v>
      </c>
      <c r="N17" s="47">
        <v>74300</v>
      </c>
      <c r="O17" s="37">
        <v>2405242.7000000002</v>
      </c>
      <c r="P17" s="48">
        <f t="shared" si="5"/>
        <v>0</v>
      </c>
      <c r="Q17" s="49">
        <f t="shared" si="6"/>
        <v>0.56373631151064862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338668001.27308637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0.50400779532056761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4600</v>
      </c>
      <c r="O19" s="37">
        <v>62100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3273558.6032263967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3.0053798165411628E-2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86315227.046178311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0.12506860106102974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2013311.6527162287</v>
      </c>
      <c r="E23" s="39">
        <f t="shared" si="1"/>
        <v>1711973.2257619048</v>
      </c>
      <c r="F23" s="40" t="s">
        <v>44</v>
      </c>
      <c r="G23" s="41">
        <v>0.1</v>
      </c>
      <c r="H23" s="42">
        <v>0.105</v>
      </c>
      <c r="I23" s="43">
        <v>0.10050000000000001</v>
      </c>
      <c r="J23" s="44">
        <f t="shared" si="8"/>
        <v>3.7520580318308925E-3</v>
      </c>
      <c r="K23" s="45">
        <f t="shared" si="9"/>
        <v>3.1904761904761906E-3</v>
      </c>
      <c r="L23" s="46">
        <f t="shared" si="10"/>
        <v>-4.4999999999999901E-3</v>
      </c>
      <c r="M23" s="46">
        <f t="shared" ref="M23:M29" si="12">((I23-H23)/H23)*100</f>
        <v>-4.2857142857142767</v>
      </c>
      <c r="N23" s="47">
        <v>200</v>
      </c>
      <c r="O23" s="37">
        <v>20.100000000000001</v>
      </c>
      <c r="P23" s="51">
        <f t="shared" ref="P23:P29" si="13">(R23)/J23</f>
        <v>0</v>
      </c>
      <c r="Q23" s="49">
        <f t="shared" si="11"/>
        <v>4.9999999999998934E-3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77466784.504933685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0.4013395407182298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24200</v>
      </c>
      <c r="O24" s="37">
        <v>260150</v>
      </c>
      <c r="P24" s="48">
        <f t="shared" si="13"/>
        <v>3.737483720930232E-2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107106988.35928662</v>
      </c>
      <c r="E25" s="39">
        <f t="shared" si="1"/>
        <v>91075962.390476182</v>
      </c>
      <c r="F25" s="40" t="s">
        <v>66</v>
      </c>
      <c r="G25" s="41">
        <v>1.6675</v>
      </c>
      <c r="H25" s="42">
        <v>1.7</v>
      </c>
      <c r="I25" s="43">
        <v>1.7</v>
      </c>
      <c r="J25" s="44">
        <f t="shared" si="8"/>
        <v>6.3467648299627033E-2</v>
      </c>
      <c r="K25" s="45">
        <f t="shared" si="9"/>
        <v>5.3968253968253964E-2</v>
      </c>
      <c r="L25" s="46">
        <f t="shared" si="10"/>
        <v>0</v>
      </c>
      <c r="M25" s="46">
        <f t="shared" si="12"/>
        <v>0</v>
      </c>
      <c r="N25" s="47">
        <v>100</v>
      </c>
      <c r="O25" s="37">
        <v>170</v>
      </c>
      <c r="P25" s="51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20555776.717079889</v>
      </c>
      <c r="E26" s="39">
        <f t="shared" si="1"/>
        <v>17479131.622222219</v>
      </c>
      <c r="F26" s="40" t="s">
        <v>44</v>
      </c>
      <c r="G26" s="41">
        <v>1.7994999999999999</v>
      </c>
      <c r="H26" s="42">
        <v>2.4999229999999999</v>
      </c>
      <c r="I26" s="43">
        <v>2.2999999999999998</v>
      </c>
      <c r="J26" s="44">
        <f t="shared" si="8"/>
        <v>8.5867994758318925E-2</v>
      </c>
      <c r="K26" s="45">
        <f t="shared" si="9"/>
        <v>7.3015873015873006E-2</v>
      </c>
      <c r="L26" s="46">
        <f t="shared" si="10"/>
        <v>-0.19992300000000007</v>
      </c>
      <c r="M26" s="46">
        <f t="shared" si="12"/>
        <v>-7.9971663127224355</v>
      </c>
      <c r="N26" s="47">
        <v>10200</v>
      </c>
      <c r="O26" s="37">
        <v>23460</v>
      </c>
      <c r="P26" s="51">
        <f t="shared" si="13"/>
        <v>0</v>
      </c>
      <c r="Q26" s="49">
        <f t="shared" si="11"/>
        <v>0.2781328146707418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23907772.266877729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9.3334776911216236E-2</v>
      </c>
      <c r="K27" s="45">
        <f t="shared" si="9"/>
        <v>7.9365079365079361E-2</v>
      </c>
      <c r="L27" s="46">
        <f t="shared" si="10"/>
        <v>0</v>
      </c>
      <c r="M27" s="46">
        <f t="shared" si="12"/>
        <v>0</v>
      </c>
      <c r="N27" s="47">
        <v>1000</v>
      </c>
      <c r="O27" s="37">
        <v>2500</v>
      </c>
      <c r="P27" s="51">
        <f t="shared" si="13"/>
        <v>0</v>
      </c>
      <c r="Q27" s="49">
        <f t="shared" si="11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27068741.171818126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3.5821887378524792E-2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100</v>
      </c>
      <c r="O28" s="37">
        <v>95.95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94059180.643182352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0.20942546844724533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11187551.781071337</v>
      </c>
      <c r="E31" s="39">
        <f t="shared" si="1"/>
        <v>9513077.1657628585</v>
      </c>
      <c r="F31" s="40" t="s">
        <v>39</v>
      </c>
      <c r="G31" s="41">
        <v>1.4</v>
      </c>
      <c r="H31" s="42">
        <v>1.349442</v>
      </c>
      <c r="I31" s="43">
        <v>1.1531390000000001</v>
      </c>
      <c r="J31" s="44">
        <f t="shared" si="8"/>
        <v>4.3051188525049196E-2</v>
      </c>
      <c r="K31" s="45">
        <f t="shared" si="9"/>
        <v>3.6607587301587308E-2</v>
      </c>
      <c r="L31" s="46">
        <f t="shared" ref="L31:L45" si="14">I31-H31</f>
        <v>-0.19630299999999989</v>
      </c>
      <c r="M31" s="46">
        <f t="shared" ref="M31:M45" si="15">((I31-H31)/H31)*100</f>
        <v>-14.546975712924295</v>
      </c>
      <c r="N31" s="47">
        <v>392700</v>
      </c>
      <c r="O31" s="37">
        <v>452837.5</v>
      </c>
      <c r="P31" s="51">
        <f t="shared" ref="P31:P36" si="16">(R31)/J31</f>
        <v>0</v>
      </c>
      <c r="Q31" s="49">
        <f t="shared" ref="Q31:Q45" si="17">I31/G31-1</f>
        <v>-0.17632928571428552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3883851.3354339879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8"/>
        <v>3.1827158926724733E-2</v>
      </c>
      <c r="K32" s="45">
        <f t="shared" si="9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148921512.25633273</v>
      </c>
      <c r="E33" s="39">
        <f t="shared" si="1"/>
        <v>126631980.38855712</v>
      </c>
      <c r="F33" s="40" t="s">
        <v>92</v>
      </c>
      <c r="G33" s="41">
        <v>1.44</v>
      </c>
      <c r="H33" s="42">
        <v>1.5984430000000001</v>
      </c>
      <c r="I33" s="43">
        <v>1.5984430000000001</v>
      </c>
      <c r="J33" s="44">
        <f t="shared" si="8"/>
        <v>5.9676128324118081E-2</v>
      </c>
      <c r="K33" s="45">
        <f t="shared" si="9"/>
        <v>5.0744222222222225E-2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0.11002986111111124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46556595.095006138</v>
      </c>
      <c r="E34" s="39">
        <f t="shared" si="1"/>
        <v>39588329.098357715</v>
      </c>
      <c r="F34" s="40" t="s">
        <v>34</v>
      </c>
      <c r="G34" s="41">
        <v>3.6056249999999999</v>
      </c>
      <c r="H34" s="42">
        <v>4.915</v>
      </c>
      <c r="I34" s="43">
        <v>4.9193959999999999</v>
      </c>
      <c r="J34" s="44">
        <f t="shared" si="8"/>
        <v>0.18366029127917177</v>
      </c>
      <c r="K34" s="45">
        <f t="shared" si="9"/>
        <v>0.15617130158730158</v>
      </c>
      <c r="L34" s="46">
        <f t="shared" si="14"/>
        <v>4.3959999999998445E-3</v>
      </c>
      <c r="M34" s="46">
        <f t="shared" si="15"/>
        <v>8.9440488301115853E-2</v>
      </c>
      <c r="N34" s="47">
        <v>136100</v>
      </c>
      <c r="O34" s="37">
        <v>669529.75</v>
      </c>
      <c r="P34" s="51">
        <f t="shared" si="16"/>
        <v>0</v>
      </c>
      <c r="Q34" s="49">
        <f t="shared" si="17"/>
        <v>0.36436706534928076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6538024.0999315307</v>
      </c>
      <c r="E35" s="39">
        <f t="shared" si="1"/>
        <v>5559458.3150443174</v>
      </c>
      <c r="F35" s="40" t="s">
        <v>34</v>
      </c>
      <c r="G35" s="41">
        <v>2.5099999999999997E-2</v>
      </c>
      <c r="H35" s="42">
        <v>3.7141E-2</v>
      </c>
      <c r="I35" s="43">
        <v>3.7141E-2</v>
      </c>
      <c r="J35" s="44">
        <f t="shared" si="8"/>
        <v>1.3866187797037929E-3</v>
      </c>
      <c r="K35" s="45">
        <f t="shared" si="9"/>
        <v>1.1790793650793652E-3</v>
      </c>
      <c r="L35" s="46">
        <f t="shared" si="14"/>
        <v>0</v>
      </c>
      <c r="M35" s="46">
        <f t="shared" si="15"/>
        <v>0</v>
      </c>
      <c r="N35" s="47">
        <v>0</v>
      </c>
      <c r="O35" s="37">
        <v>0</v>
      </c>
      <c r="P35" s="51">
        <f t="shared" si="16"/>
        <v>0</v>
      </c>
      <c r="Q35" s="49">
        <f t="shared" si="17"/>
        <v>0.47972111553784869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90597108.962341174</v>
      </c>
      <c r="E36" s="39">
        <f t="shared" si="1"/>
        <v>77037166.434571341</v>
      </c>
      <c r="F36" s="40" t="s">
        <v>92</v>
      </c>
      <c r="G36" s="41">
        <v>0.61</v>
      </c>
      <c r="H36" s="42">
        <v>4.621429</v>
      </c>
      <c r="I36" s="43">
        <v>4.621429</v>
      </c>
      <c r="J36" s="44">
        <f t="shared" si="8"/>
        <v>0.17253601789041004</v>
      </c>
      <c r="K36" s="45">
        <f t="shared" si="9"/>
        <v>0.14671203174603176</v>
      </c>
      <c r="L36" s="46">
        <f t="shared" si="14"/>
        <v>0</v>
      </c>
      <c r="M36" s="46">
        <f t="shared" si="15"/>
        <v>0</v>
      </c>
      <c r="N36" s="47">
        <v>0</v>
      </c>
      <c r="O36" s="37">
        <v>0</v>
      </c>
      <c r="P36" s="51">
        <f t="shared" si="16"/>
        <v>0</v>
      </c>
      <c r="Q36" s="49">
        <f t="shared" si="17"/>
        <v>6.5761131147540981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47239300.933854021</v>
      </c>
      <c r="E37" s="39">
        <f t="shared" si="1"/>
        <v>40168852.295351118</v>
      </c>
      <c r="F37" s="40" t="s">
        <v>56</v>
      </c>
      <c r="G37" s="41">
        <v>0.11650199999999999</v>
      </c>
      <c r="H37" s="42">
        <v>0.30049999999999999</v>
      </c>
      <c r="I37" s="43">
        <v>0.30164000000000002</v>
      </c>
      <c r="J37" s="44">
        <f t="shared" si="8"/>
        <v>1.1261400842999706E-2</v>
      </c>
      <c r="K37" s="45">
        <f t="shared" si="9"/>
        <v>9.5758730158730168E-3</v>
      </c>
      <c r="L37" s="46">
        <f t="shared" si="14"/>
        <v>1.1400000000000299E-3</v>
      </c>
      <c r="M37" s="46">
        <f t="shared" si="15"/>
        <v>0.37936772046590012</v>
      </c>
      <c r="N37" s="47">
        <v>22100</v>
      </c>
      <c r="O37" s="37">
        <v>6666.25</v>
      </c>
      <c r="P37" s="51">
        <v>0</v>
      </c>
      <c r="Q37" s="49">
        <f t="shared" si="17"/>
        <v>1.5891401005991317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20140368.499699462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4.6667388455608116E-3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7155179.3931746148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6.7201039376075689E-2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3850025.30582073</v>
      </c>
      <c r="E40" s="39">
        <f t="shared" si="1"/>
        <v>3273780.4071111106</v>
      </c>
      <c r="F40" s="40" t="s">
        <v>39</v>
      </c>
      <c r="G40" s="41">
        <v>0.03</v>
      </c>
      <c r="H40" s="42">
        <v>5.7999999999999996E-2</v>
      </c>
      <c r="I40" s="43">
        <v>5.7999999999999996E-2</v>
      </c>
      <c r="J40" s="44">
        <f t="shared" si="8"/>
        <v>2.1653668243402165E-3</v>
      </c>
      <c r="K40" s="45">
        <f t="shared" si="9"/>
        <v>1.8412698412698411E-3</v>
      </c>
      <c r="L40" s="46">
        <f t="shared" si="14"/>
        <v>0</v>
      </c>
      <c r="M40" s="46">
        <f t="shared" si="15"/>
        <v>0</v>
      </c>
      <c r="N40" s="47">
        <v>9000</v>
      </c>
      <c r="O40" s="37">
        <v>522</v>
      </c>
      <c r="P40" s="51">
        <f t="shared" si="18"/>
        <v>0</v>
      </c>
      <c r="Q40" s="49">
        <f t="shared" si="17"/>
        <v>0.93333333333333335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44573860.484295495</v>
      </c>
      <c r="E41" s="39">
        <f t="shared" si="1"/>
        <v>37902356.356507942</v>
      </c>
      <c r="F41" s="40" t="s">
        <v>47</v>
      </c>
      <c r="G41" s="41">
        <v>4.5</v>
      </c>
      <c r="H41" s="42">
        <v>6.9771429999999999</v>
      </c>
      <c r="I41" s="43">
        <v>6.8150000000000004</v>
      </c>
      <c r="J41" s="44">
        <f t="shared" si="8"/>
        <v>0.25443060185997546</v>
      </c>
      <c r="K41" s="45">
        <f t="shared" si="9"/>
        <v>0.21634920634920637</v>
      </c>
      <c r="L41" s="46">
        <f t="shared" si="14"/>
        <v>-0.16214299999999948</v>
      </c>
      <c r="M41" s="46">
        <f t="shared" si="15"/>
        <v>-2.3239168238346193</v>
      </c>
      <c r="N41" s="47">
        <v>1200</v>
      </c>
      <c r="O41" s="37">
        <v>8178</v>
      </c>
      <c r="P41" s="51">
        <f t="shared" si="18"/>
        <v>0</v>
      </c>
      <c r="Q41" s="49">
        <f t="shared" si="17"/>
        <v>0.51444444444444448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311.36772401279808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6.7201039376075691E-7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1720346.6080275376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2.9867128611589192E-3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64487157.011495106</v>
      </c>
      <c r="E44" s="39">
        <f t="shared" si="1"/>
        <v>54835169.73650793</v>
      </c>
      <c r="F44" s="40" t="s">
        <v>47</v>
      </c>
      <c r="G44" s="41">
        <v>0.9998999999999999</v>
      </c>
      <c r="H44" s="42">
        <v>0.95</v>
      </c>
      <c r="I44" s="43">
        <v>0.95</v>
      </c>
      <c r="J44" s="44">
        <f t="shared" si="8"/>
        <v>3.5467215226262165E-2</v>
      </c>
      <c r="K44" s="45">
        <f t="shared" si="9"/>
        <v>3.0158730158730156E-2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-4.9904990499049839E-2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8781371.5284129735</v>
      </c>
      <c r="E45" s="39">
        <f t="shared" si="1"/>
        <v>7467037.1682539675</v>
      </c>
      <c r="F45" s="40" t="s">
        <v>47</v>
      </c>
      <c r="G45" s="41">
        <v>1.4503460000000001</v>
      </c>
      <c r="H45" s="42">
        <v>2.29</v>
      </c>
      <c r="I45" s="43">
        <v>2.29</v>
      </c>
      <c r="J45" s="44">
        <f t="shared" si="8"/>
        <v>8.5494655650674073E-2</v>
      </c>
      <c r="K45" s="45">
        <f t="shared" si="9"/>
        <v>7.2698412698412693E-2</v>
      </c>
      <c r="L45" s="46">
        <f t="shared" si="14"/>
        <v>0</v>
      </c>
      <c r="M45" s="46">
        <f t="shared" si="15"/>
        <v>0</v>
      </c>
      <c r="N45" s="47">
        <v>0</v>
      </c>
      <c r="O45" s="37">
        <v>0</v>
      </c>
      <c r="P45" s="51">
        <v>0</v>
      </c>
      <c r="Q45" s="49">
        <f t="shared" si="17"/>
        <v>0.57893357860813888</v>
      </c>
      <c r="R45" s="50"/>
    </row>
    <row r="46" spans="1:18" ht="12" customHeight="1" x14ac:dyDescent="0.25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682700</v>
      </c>
      <c r="O47" s="61">
        <f>SUM(O9:O45)</f>
        <v>4120966.0000000005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7" t="s">
        <v>118</v>
      </c>
      <c r="B49" s="138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40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74192845.1796</v>
      </c>
      <c r="E50" s="39">
        <v>0</v>
      </c>
      <c r="F50" s="40" t="s">
        <v>92</v>
      </c>
      <c r="G50" s="70">
        <v>0.1</v>
      </c>
      <c r="H50" s="42">
        <v>0.13</v>
      </c>
      <c r="I50" s="42">
        <v>0.13370000000000001</v>
      </c>
      <c r="J50" s="44">
        <f t="shared" ref="J50:J65" si="20">I50</f>
        <v>0.13370000000000001</v>
      </c>
      <c r="K50" s="39">
        <v>0</v>
      </c>
      <c r="L50" s="46">
        <f t="shared" ref="L50:L65" si="21">I50-H50</f>
        <v>3.7000000000000088E-3</v>
      </c>
      <c r="M50" s="46">
        <f t="shared" ref="M50:M65" si="22">((I50-H50)/H50)*100</f>
        <v>2.8461538461538529</v>
      </c>
      <c r="N50" s="47">
        <v>86648</v>
      </c>
      <c r="O50" s="37">
        <v>11584.21</v>
      </c>
      <c r="P50" s="71">
        <f>(R50)/J50</f>
        <v>0</v>
      </c>
      <c r="Q50" s="49">
        <f t="shared" ref="Q50:Q65" si="23">J50/G50-1</f>
        <v>0.33699999999999997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41910662.3565</v>
      </c>
      <c r="E51" s="39">
        <v>0</v>
      </c>
      <c r="F51" s="40" t="s">
        <v>39</v>
      </c>
      <c r="G51" s="70">
        <v>39.9</v>
      </c>
      <c r="H51" s="42">
        <v>40</v>
      </c>
      <c r="I51" s="42">
        <v>39.624899999999997</v>
      </c>
      <c r="J51" s="44">
        <f t="shared" si="20"/>
        <v>39.624899999999997</v>
      </c>
      <c r="K51" s="39">
        <v>0</v>
      </c>
      <c r="L51" s="46">
        <f t="shared" si="21"/>
        <v>-0.37510000000000332</v>
      </c>
      <c r="M51" s="46">
        <f t="shared" si="22"/>
        <v>-0.93775000000000841</v>
      </c>
      <c r="N51" s="47">
        <v>1592</v>
      </c>
      <c r="O51" s="37">
        <v>63082.85</v>
      </c>
      <c r="P51" s="72">
        <f>(R51)/J51</f>
        <v>1.4132527779249919E-2</v>
      </c>
      <c r="Q51" s="49">
        <f t="shared" si="23"/>
        <v>-6.8947368421052868E-3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681614777.64339995</v>
      </c>
      <c r="E52" s="39"/>
      <c r="F52" s="40" t="s">
        <v>56</v>
      </c>
      <c r="G52" s="70">
        <v>0.33</v>
      </c>
      <c r="H52" s="42">
        <v>0.22969999999999999</v>
      </c>
      <c r="I52" s="42">
        <v>0.2278</v>
      </c>
      <c r="J52" s="44">
        <f t="shared" si="20"/>
        <v>0.2278</v>
      </c>
      <c r="K52" s="39">
        <v>0</v>
      </c>
      <c r="L52" s="46">
        <f t="shared" si="21"/>
        <v>-1.899999999999985E-3</v>
      </c>
      <c r="M52" s="46">
        <f t="shared" si="22"/>
        <v>-0.82716586852415552</v>
      </c>
      <c r="N52" s="47">
        <v>36607</v>
      </c>
      <c r="O52" s="37">
        <v>8339.4</v>
      </c>
      <c r="P52" s="71">
        <v>0</v>
      </c>
      <c r="Q52" s="49">
        <f t="shared" si="23"/>
        <v>-0.30969696969696969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10975336.973999999</v>
      </c>
      <c r="E53" s="39">
        <v>0</v>
      </c>
      <c r="F53" s="40" t="s">
        <v>34</v>
      </c>
      <c r="G53" s="70">
        <v>2.3E-2</v>
      </c>
      <c r="H53" s="42">
        <v>2.23E-2</v>
      </c>
      <c r="I53" s="42">
        <v>1.7999999999999999E-2</v>
      </c>
      <c r="J53" s="44">
        <f t="shared" si="20"/>
        <v>1.7999999999999999E-2</v>
      </c>
      <c r="K53" s="39">
        <v>0</v>
      </c>
      <c r="L53" s="46">
        <f t="shared" si="21"/>
        <v>-4.3000000000000017E-3</v>
      </c>
      <c r="M53" s="46">
        <f t="shared" si="22"/>
        <v>-19.28251121076234</v>
      </c>
      <c r="N53" s="47">
        <v>69</v>
      </c>
      <c r="O53" s="37">
        <v>1.24</v>
      </c>
      <c r="P53" s="71">
        <f t="shared" ref="P53:P65" si="24">(R53)/J53</f>
        <v>0</v>
      </c>
      <c r="Q53" s="49">
        <f t="shared" si="23"/>
        <v>-0.21739130434782616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302993699.65289998</v>
      </c>
      <c r="E54" s="39">
        <v>0</v>
      </c>
      <c r="F54" s="40" t="s">
        <v>47</v>
      </c>
      <c r="G54" s="70">
        <v>9.0200000000000002E-2</v>
      </c>
      <c r="H54" s="42">
        <v>0.14119999999999999</v>
      </c>
      <c r="I54" s="42">
        <v>0.1401</v>
      </c>
      <c r="J54" s="44">
        <f t="shared" si="20"/>
        <v>0.1401</v>
      </c>
      <c r="K54" s="39">
        <v>0</v>
      </c>
      <c r="L54" s="46">
        <f t="shared" si="21"/>
        <v>-1.0999999999999899E-3</v>
      </c>
      <c r="M54" s="73">
        <f t="shared" si="22"/>
        <v>-0.7790368271954603</v>
      </c>
      <c r="N54" s="47">
        <v>213389</v>
      </c>
      <c r="O54" s="37">
        <v>29899.54</v>
      </c>
      <c r="P54" s="71">
        <f t="shared" si="24"/>
        <v>0</v>
      </c>
      <c r="Q54" s="49">
        <f t="shared" si="23"/>
        <v>0.55321507760532151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835323723.07999992</v>
      </c>
      <c r="E55" s="39">
        <v>0</v>
      </c>
      <c r="F55" s="40" t="s">
        <v>34</v>
      </c>
      <c r="G55" s="70">
        <v>0.95750000000000002</v>
      </c>
      <c r="H55" s="42">
        <v>1.4573</v>
      </c>
      <c r="I55" s="42">
        <v>1.4503999999999999</v>
      </c>
      <c r="J55" s="44">
        <f t="shared" si="20"/>
        <v>1.4503999999999999</v>
      </c>
      <c r="K55" s="39">
        <v>0</v>
      </c>
      <c r="L55" s="46">
        <f t="shared" si="21"/>
        <v>-6.9000000000001283E-3</v>
      </c>
      <c r="M55" s="46">
        <f t="shared" si="22"/>
        <v>-0.47347835037398806</v>
      </c>
      <c r="N55" s="47">
        <v>128396</v>
      </c>
      <c r="O55" s="37">
        <v>186222.86</v>
      </c>
      <c r="P55" s="72">
        <f t="shared" si="24"/>
        <v>3.2404853833425264E-2</v>
      </c>
      <c r="Q55" s="49">
        <f t="shared" si="23"/>
        <v>0.51477806788511726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949</v>
      </c>
      <c r="O56" s="37">
        <v>142.35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19076056</v>
      </c>
      <c r="E57" s="39">
        <v>0</v>
      </c>
      <c r="F57" s="40" t="s">
        <v>92</v>
      </c>
      <c r="G57" s="70">
        <v>1.6799999999999999E-2</v>
      </c>
      <c r="H57" s="42">
        <v>1.8100000000000002E-2</v>
      </c>
      <c r="I57" s="42">
        <v>0.02</v>
      </c>
      <c r="J57" s="44">
        <f t="shared" si="20"/>
        <v>0.02</v>
      </c>
      <c r="K57" s="39">
        <v>0</v>
      </c>
      <c r="L57" s="46">
        <f t="shared" si="21"/>
        <v>1.8999999999999989E-3</v>
      </c>
      <c r="M57" s="73">
        <f t="shared" si="22"/>
        <v>10.497237569060767</v>
      </c>
      <c r="N57" s="47">
        <v>5473</v>
      </c>
      <c r="O57" s="37">
        <v>109.46</v>
      </c>
      <c r="P57" s="71">
        <f t="shared" si="24"/>
        <v>0</v>
      </c>
      <c r="Q57" s="49">
        <f t="shared" si="23"/>
        <v>0.19047619047619047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2902914</v>
      </c>
      <c r="E58" s="39">
        <v>0</v>
      </c>
      <c r="F58" s="40" t="s">
        <v>137</v>
      </c>
      <c r="G58" s="70">
        <v>19.5</v>
      </c>
      <c r="H58" s="42">
        <v>18</v>
      </c>
      <c r="I58" s="42">
        <v>18</v>
      </c>
      <c r="J58" s="44">
        <f t="shared" si="20"/>
        <v>18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-7.6923076923076872E-2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4271786005.7656999</v>
      </c>
      <c r="E59" s="39">
        <v>0</v>
      </c>
      <c r="F59" s="40" t="s">
        <v>47</v>
      </c>
      <c r="G59" s="70">
        <v>0.78169999999999995</v>
      </c>
      <c r="H59" s="74">
        <v>0.85660000000000003</v>
      </c>
      <c r="I59" s="42">
        <v>0.94969999999999999</v>
      </c>
      <c r="J59" s="44">
        <f t="shared" si="20"/>
        <v>0.94969999999999999</v>
      </c>
      <c r="K59" s="39">
        <v>0</v>
      </c>
      <c r="L59" s="46">
        <f t="shared" si="21"/>
        <v>9.3099999999999961E-2</v>
      </c>
      <c r="M59" s="46">
        <f t="shared" si="22"/>
        <v>10.868550081718418</v>
      </c>
      <c r="N59" s="47">
        <v>6892</v>
      </c>
      <c r="O59" s="37">
        <v>6545.17</v>
      </c>
      <c r="P59" s="71">
        <f t="shared" si="24"/>
        <v>0</v>
      </c>
      <c r="Q59" s="49">
        <f t="shared" si="23"/>
        <v>0.2149162082640399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1051206601.8707001</v>
      </c>
      <c r="E60" s="39">
        <v>0</v>
      </c>
      <c r="F60" s="40" t="s">
        <v>92</v>
      </c>
      <c r="G60" s="70">
        <v>0.59499999999999997</v>
      </c>
      <c r="H60" s="42">
        <v>1.3192999999999999</v>
      </c>
      <c r="I60" s="42">
        <v>1.3057000000000001</v>
      </c>
      <c r="J60" s="44">
        <f t="shared" si="20"/>
        <v>1.3057000000000001</v>
      </c>
      <c r="K60" s="39">
        <v>0</v>
      </c>
      <c r="L60" s="46">
        <f t="shared" si="21"/>
        <v>-1.3599999999999834E-2</v>
      </c>
      <c r="M60" s="46">
        <f t="shared" si="22"/>
        <v>-1.0308496930190127</v>
      </c>
      <c r="N60" s="47">
        <v>461425</v>
      </c>
      <c r="O60" s="37">
        <v>602470.63</v>
      </c>
      <c r="P60" s="71">
        <f t="shared" si="24"/>
        <v>0</v>
      </c>
      <c r="Q60" s="49">
        <f t="shared" si="23"/>
        <v>1.1944537815126051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108796168.36140001</v>
      </c>
      <c r="E61" s="39">
        <v>0</v>
      </c>
      <c r="F61" s="40" t="s">
        <v>34</v>
      </c>
      <c r="G61" s="70">
        <v>0.22600000000000001</v>
      </c>
      <c r="H61" s="42">
        <v>0.41499999999999998</v>
      </c>
      <c r="I61" s="42">
        <v>0.4173</v>
      </c>
      <c r="J61" s="44">
        <f t="shared" si="20"/>
        <v>0.4173</v>
      </c>
      <c r="K61" s="39">
        <v>0</v>
      </c>
      <c r="L61" s="46">
        <f t="shared" si="21"/>
        <v>2.3000000000000242E-3</v>
      </c>
      <c r="M61" s="46">
        <f t="shared" si="22"/>
        <v>0.55421686746988541</v>
      </c>
      <c r="N61" s="47">
        <v>11</v>
      </c>
      <c r="O61" s="37">
        <v>4.59</v>
      </c>
      <c r="P61" s="71">
        <f t="shared" si="24"/>
        <v>0</v>
      </c>
      <c r="Q61" s="49">
        <f t="shared" si="23"/>
        <v>0.84646017699115039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405897416.93599999</v>
      </c>
      <c r="E62" s="39">
        <v>0</v>
      </c>
      <c r="F62" s="40" t="s">
        <v>34</v>
      </c>
      <c r="G62" s="70">
        <v>0.49440000000000001</v>
      </c>
      <c r="H62" s="42">
        <v>0.76419999999999999</v>
      </c>
      <c r="I62" s="42">
        <v>0.72199999999999998</v>
      </c>
      <c r="J62" s="44">
        <f t="shared" si="20"/>
        <v>0.72199999999999998</v>
      </c>
      <c r="K62" s="39">
        <v>0</v>
      </c>
      <c r="L62" s="46">
        <f t="shared" si="21"/>
        <v>-4.2200000000000015E-2</v>
      </c>
      <c r="M62" s="46">
        <f t="shared" si="22"/>
        <v>-5.5221146296780965</v>
      </c>
      <c r="N62" s="47">
        <v>73552</v>
      </c>
      <c r="O62" s="37">
        <v>53104.89</v>
      </c>
      <c r="P62" s="71">
        <f t="shared" si="24"/>
        <v>0</v>
      </c>
      <c r="Q62" s="49">
        <f t="shared" si="23"/>
        <v>0.46035598705501601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83840988.049999997</v>
      </c>
      <c r="E63" s="39">
        <v>0</v>
      </c>
      <c r="F63" s="40" t="s">
        <v>34</v>
      </c>
      <c r="G63" s="70">
        <v>0.25950000000000001</v>
      </c>
      <c r="H63" s="42">
        <v>0.22</v>
      </c>
      <c r="I63" s="42">
        <v>0.23</v>
      </c>
      <c r="J63" s="44">
        <f t="shared" si="20"/>
        <v>0.23</v>
      </c>
      <c r="K63" s="39">
        <v>0</v>
      </c>
      <c r="L63" s="46">
        <f t="shared" si="21"/>
        <v>1.0000000000000009E-2</v>
      </c>
      <c r="M63" s="46">
        <f t="shared" si="22"/>
        <v>4.5454545454545494</v>
      </c>
      <c r="N63" s="47">
        <v>22</v>
      </c>
      <c r="O63" s="37">
        <v>5.0599999999999996</v>
      </c>
      <c r="P63" s="71">
        <f t="shared" si="24"/>
        <v>0</v>
      </c>
      <c r="Q63" s="49">
        <f t="shared" si="23"/>
        <v>-0.11368015414258192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40660497.347999997</v>
      </c>
      <c r="E65" s="39">
        <v>0</v>
      </c>
      <c r="F65" s="40" t="s">
        <v>44</v>
      </c>
      <c r="G65" s="70">
        <v>4.2999999999999997E-2</v>
      </c>
      <c r="H65" s="42">
        <v>0.1176</v>
      </c>
      <c r="I65" s="42">
        <v>0.11799999999999999</v>
      </c>
      <c r="J65" s="44">
        <f t="shared" si="20"/>
        <v>0.11799999999999999</v>
      </c>
      <c r="K65" s="39">
        <v>0</v>
      </c>
      <c r="L65" s="46">
        <f t="shared" si="21"/>
        <v>3.9999999999999758E-4</v>
      </c>
      <c r="M65" s="46">
        <f t="shared" si="22"/>
        <v>0.34013605442176664</v>
      </c>
      <c r="N65" s="47">
        <v>42</v>
      </c>
      <c r="O65" s="37">
        <v>4.96</v>
      </c>
      <c r="P65" s="71">
        <f t="shared" si="24"/>
        <v>0</v>
      </c>
      <c r="Q65" s="49">
        <f t="shared" si="23"/>
        <v>1.7441860465116279</v>
      </c>
      <c r="T65" s="52"/>
    </row>
    <row r="66" spans="1:20" ht="13.2" x14ac:dyDescent="0.35">
      <c r="A66" s="75"/>
      <c r="B66" s="36" t="s">
        <v>117</v>
      </c>
      <c r="C66" s="40"/>
      <c r="D66" s="76"/>
      <c r="E66" s="76"/>
      <c r="F66" s="40"/>
      <c r="G66" s="40"/>
      <c r="H66" s="42"/>
      <c r="I66" s="42"/>
      <c r="J66" s="42"/>
      <c r="K66" s="42"/>
      <c r="L66" s="46"/>
      <c r="M66" s="77"/>
      <c r="N66" s="61">
        <f>SUM(N50:N65)</f>
        <v>1015067</v>
      </c>
      <c r="O66" s="62">
        <f>SUM(O50:O65)</f>
        <v>961517.21</v>
      </c>
      <c r="P66" s="78"/>
      <c r="Q66" s="63"/>
    </row>
    <row r="67" spans="1:20" ht="12.6" hidden="1" x14ac:dyDescent="0.3">
      <c r="A67" s="131" t="s">
        <v>152</v>
      </c>
      <c r="B67" s="13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</row>
    <row r="68" spans="1:20" ht="12.6" hidden="1" thickBot="1" x14ac:dyDescent="0.3">
      <c r="A68" s="79" t="s">
        <v>153</v>
      </c>
      <c r="B68" s="80" t="s">
        <v>154</v>
      </c>
      <c r="C68" s="81">
        <v>20000</v>
      </c>
      <c r="D68" s="82">
        <f>C68*J68</f>
        <v>0</v>
      </c>
      <c r="E68" s="82"/>
      <c r="F68" s="81" t="s">
        <v>155</v>
      </c>
      <c r="G68" s="81"/>
      <c r="H68" s="83">
        <v>100</v>
      </c>
      <c r="I68" s="83"/>
      <c r="J68" s="83"/>
      <c r="K68" s="83"/>
      <c r="L68" s="84">
        <f>I68-H68</f>
        <v>-100</v>
      </c>
      <c r="M68" s="85">
        <f>((I68-H68)/H68)*100</f>
        <v>-100</v>
      </c>
      <c r="N68" s="86" t="s">
        <v>57</v>
      </c>
      <c r="O68" s="86" t="s">
        <v>57</v>
      </c>
      <c r="P68" s="86"/>
      <c r="Q68" s="87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7"/>
      <c r="N69" s="88"/>
      <c r="O69" s="88"/>
      <c r="P69" s="88"/>
      <c r="Q69" s="63"/>
    </row>
    <row r="70" spans="1:20" ht="12.6" x14ac:dyDescent="0.3">
      <c r="A70" s="131" t="s">
        <v>156</v>
      </c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4"/>
    </row>
    <row r="71" spans="1:20" x14ac:dyDescent="0.25">
      <c r="A71" s="35" t="s">
        <v>157</v>
      </c>
      <c r="B71" s="89" t="s">
        <v>158</v>
      </c>
      <c r="C71" s="90">
        <v>139300587</v>
      </c>
      <c r="D71" s="38">
        <f>C71*J71</f>
        <v>48769135.508700006</v>
      </c>
      <c r="E71" s="39">
        <f>C71*K71</f>
        <v>48769135.508700006</v>
      </c>
      <c r="F71" s="90" t="s">
        <v>159</v>
      </c>
      <c r="G71" s="90">
        <v>0.24</v>
      </c>
      <c r="H71" s="91">
        <v>0.35</v>
      </c>
      <c r="I71" s="91">
        <v>0.35010000000000002</v>
      </c>
      <c r="J71" s="92">
        <f>I71</f>
        <v>0.35010000000000002</v>
      </c>
      <c r="K71" s="92">
        <f>J71</f>
        <v>0.35010000000000002</v>
      </c>
      <c r="L71" s="46">
        <f>I71-H71</f>
        <v>1.000000000000445E-4</v>
      </c>
      <c r="M71" s="46">
        <f>((I71-H71)/H71)*100</f>
        <v>2.8571428571441286E-2</v>
      </c>
      <c r="N71" s="93">
        <v>197</v>
      </c>
      <c r="O71" s="94">
        <v>68.959999999999994</v>
      </c>
      <c r="P71" s="71">
        <f>(R71)/J71</f>
        <v>0</v>
      </c>
      <c r="Q71" s="49">
        <f>J71/G71-1</f>
        <v>0.45875000000000021</v>
      </c>
      <c r="T71" s="52"/>
    </row>
    <row r="72" spans="1:20" x14ac:dyDescent="0.25">
      <c r="A72" s="35" t="s">
        <v>160</v>
      </c>
      <c r="B72" s="89" t="s">
        <v>161</v>
      </c>
      <c r="C72" s="90">
        <v>471351750</v>
      </c>
      <c r="D72" s="38">
        <f>C72*J72</f>
        <v>69665788.649999991</v>
      </c>
      <c r="E72" s="39">
        <f>C72*K72</f>
        <v>69665788.649999991</v>
      </c>
      <c r="F72" s="90" t="s">
        <v>159</v>
      </c>
      <c r="G72" s="90">
        <v>0.1</v>
      </c>
      <c r="H72" s="91">
        <v>0.1497</v>
      </c>
      <c r="I72" s="91">
        <v>0.14779999999999999</v>
      </c>
      <c r="J72" s="92">
        <f>I72</f>
        <v>0.14779999999999999</v>
      </c>
      <c r="K72" s="92">
        <f>J72</f>
        <v>0.14779999999999999</v>
      </c>
      <c r="L72" s="46">
        <f>I72-H72</f>
        <v>-1.9000000000000128E-3</v>
      </c>
      <c r="M72" s="46">
        <f>((I72-H72)/H72)*100</f>
        <v>-1.2692050768203158</v>
      </c>
      <c r="N72" s="47">
        <v>19807</v>
      </c>
      <c r="O72" s="94">
        <v>2927.82</v>
      </c>
      <c r="P72" s="95">
        <f>(R72)/J72</f>
        <v>2.5656292286874154E-2</v>
      </c>
      <c r="Q72" s="49">
        <f>J72/G72-1</f>
        <v>0.47799999999999976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7"/>
      <c r="N73" s="61">
        <f>SUM(N71:N72)</f>
        <v>20004</v>
      </c>
      <c r="O73" s="62">
        <f>SUM(O71:O72)</f>
        <v>2996.78</v>
      </c>
      <c r="P73" s="88"/>
      <c r="Q73" s="63"/>
    </row>
    <row r="74" spans="1:20" ht="12.6" x14ac:dyDescent="0.3">
      <c r="A74" s="131" t="s">
        <v>162</v>
      </c>
      <c r="B74" s="132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4"/>
    </row>
    <row r="75" spans="1:20" x14ac:dyDescent="0.25">
      <c r="A75" s="35" t="s">
        <v>163</v>
      </c>
      <c r="B75" s="89" t="s">
        <v>164</v>
      </c>
      <c r="C75" s="90">
        <v>20819695</v>
      </c>
      <c r="D75" s="38">
        <f>C75*J75</f>
        <v>2498363.4</v>
      </c>
      <c r="E75" s="39">
        <f>C75*K75</f>
        <v>2498363.4</v>
      </c>
      <c r="F75" s="90" t="s">
        <v>137</v>
      </c>
      <c r="G75" s="90">
        <v>0.1394</v>
      </c>
      <c r="H75" s="91">
        <v>0.12</v>
      </c>
      <c r="I75" s="91">
        <v>0.12</v>
      </c>
      <c r="J75" s="92">
        <f>I75</f>
        <v>0.12</v>
      </c>
      <c r="K75" s="92">
        <f>J75</f>
        <v>0.12</v>
      </c>
      <c r="L75" s="46">
        <f>I75-H75</f>
        <v>0</v>
      </c>
      <c r="M75" s="46">
        <f>((I75-H75)/H75)*100</f>
        <v>0</v>
      </c>
      <c r="N75" s="93">
        <v>1111</v>
      </c>
      <c r="O75" s="94">
        <v>133.27000000000001</v>
      </c>
      <c r="P75" s="71">
        <f>(R75)/J75</f>
        <v>0</v>
      </c>
      <c r="Q75" s="49">
        <f>J75/G75-1</f>
        <v>-0.13916786226685796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7"/>
      <c r="N76" s="61"/>
      <c r="O76" s="62"/>
      <c r="P76" s="88"/>
      <c r="Q76" s="63"/>
    </row>
    <row r="77" spans="1:20" ht="12.6" x14ac:dyDescent="0.3">
      <c r="A77" s="137" t="s">
        <v>165</v>
      </c>
      <c r="B77" s="138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40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133747.41559736125</v>
      </c>
      <c r="E78" s="39">
        <f>C78*K78</f>
        <v>113729.03653968254</v>
      </c>
      <c r="F78" s="40" t="s">
        <v>137</v>
      </c>
      <c r="G78" s="70">
        <v>0.105</v>
      </c>
      <c r="H78" s="42">
        <v>0.113</v>
      </c>
      <c r="I78" s="42">
        <v>0.113</v>
      </c>
      <c r="J78" s="44">
        <f>I78/$J$5</f>
        <v>4.218731916386974E-3</v>
      </c>
      <c r="K78" s="45">
        <f>I78/$K$4</f>
        <v>3.5873015873015873E-3</v>
      </c>
      <c r="L78" s="46">
        <f>I78-H78</f>
        <v>0</v>
      </c>
      <c r="M78" s="96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7.6190476190476364E-2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406676.95191018953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2.9867128611589192E-3</v>
      </c>
      <c r="K79" s="45">
        <f>I79/$K$4</f>
        <v>2.5396825396825397E-3</v>
      </c>
      <c r="L79" s="46">
        <f>I79-H79</f>
        <v>0</v>
      </c>
      <c r="M79" s="96">
        <f>((I79-H79)/H79)*100</f>
        <v>0</v>
      </c>
      <c r="N79" s="37">
        <v>500</v>
      </c>
      <c r="O79" s="37">
        <v>40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32410.347840046597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4.8534083993832444E-3</v>
      </c>
      <c r="K80" s="45">
        <f>I80/$K$4</f>
        <v>4.1269841269841274E-3</v>
      </c>
      <c r="L80" s="46">
        <f>I80-H80</f>
        <v>0</v>
      </c>
      <c r="M80" s="96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31379509.656416018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6.3467648299627033E-2</v>
      </c>
      <c r="K81" s="45">
        <f>I81/$K$4</f>
        <v>5.3968253968253964E-2</v>
      </c>
      <c r="L81" s="46">
        <f>I81-H81</f>
        <v>0</v>
      </c>
      <c r="M81" s="96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500</v>
      </c>
      <c r="O82" s="62">
        <f>SUM(O78:O81)</f>
        <v>40</v>
      </c>
      <c r="P82" s="78"/>
      <c r="Q82" s="63"/>
      <c r="V82" s="97"/>
      <c r="W82" s="97"/>
      <c r="DU82" s="98"/>
      <c r="DV82" s="98"/>
      <c r="DW82" s="99"/>
      <c r="DX82" s="100"/>
      <c r="DY82" s="100"/>
      <c r="DZ82" s="101"/>
      <c r="EA82" s="101"/>
      <c r="EB82" s="102"/>
      <c r="EC82" s="102"/>
      <c r="ED82" s="103"/>
      <c r="EE82" s="103"/>
      <c r="EF82" s="101"/>
      <c r="EG82" s="104"/>
      <c r="EH82" s="105"/>
      <c r="EI82" s="99"/>
      <c r="EJ82" s="98"/>
      <c r="EK82" s="98"/>
      <c r="EL82" s="99"/>
      <c r="EM82" s="100"/>
      <c r="EN82" s="100"/>
      <c r="EO82" s="101"/>
      <c r="EP82" s="101"/>
      <c r="EQ82" s="102"/>
      <c r="ER82" s="102"/>
      <c r="ES82" s="103"/>
      <c r="ET82" s="103"/>
      <c r="EU82" s="101"/>
      <c r="EV82" s="104"/>
      <c r="EW82" s="105"/>
      <c r="EX82" s="99"/>
      <c r="EY82" s="98"/>
      <c r="EZ82" s="98"/>
      <c r="FA82" s="99"/>
      <c r="FB82" s="100"/>
      <c r="FC82" s="100"/>
      <c r="FD82" s="101"/>
      <c r="FE82" s="101"/>
      <c r="FF82" s="102"/>
      <c r="FG82" s="102"/>
      <c r="FH82" s="103"/>
      <c r="FI82" s="103"/>
      <c r="FJ82" s="101"/>
      <c r="FK82" s="104"/>
      <c r="FL82" s="105"/>
      <c r="FM82" s="99"/>
      <c r="FN82" s="98"/>
      <c r="FO82" s="98"/>
      <c r="FP82" s="99"/>
      <c r="FQ82" s="100"/>
      <c r="FR82" s="100"/>
      <c r="FS82" s="101"/>
      <c r="FT82" s="101"/>
      <c r="FU82" s="102"/>
      <c r="FV82" s="102"/>
      <c r="FW82" s="103"/>
      <c r="FX82" s="103"/>
      <c r="FY82" s="101"/>
      <c r="FZ82" s="104"/>
      <c r="GA82" s="105"/>
      <c r="GB82" s="99"/>
      <c r="GC82" s="98"/>
      <c r="GD82" s="98"/>
      <c r="GE82" s="99"/>
      <c r="GF82" s="100"/>
      <c r="GG82" s="100"/>
      <c r="GH82" s="101"/>
      <c r="GI82" s="101"/>
      <c r="GJ82" s="102"/>
      <c r="GK82" s="102"/>
      <c r="GL82" s="103"/>
      <c r="GM82" s="103"/>
      <c r="GN82" s="101"/>
      <c r="GO82" s="104"/>
      <c r="GP82" s="105"/>
      <c r="GQ82" s="99"/>
      <c r="GR82" s="98"/>
      <c r="GS82" s="98"/>
      <c r="GT82" s="99"/>
      <c r="GU82" s="100"/>
      <c r="GV82" s="100"/>
      <c r="GW82" s="101"/>
      <c r="GX82" s="101"/>
      <c r="GY82" s="102"/>
      <c r="GZ82" s="102"/>
      <c r="HA82" s="103"/>
      <c r="HB82" s="103"/>
      <c r="HC82" s="101"/>
      <c r="HD82" s="104"/>
      <c r="HE82" s="105"/>
      <c r="HF82" s="99"/>
      <c r="HG82" s="98"/>
      <c r="HH82" s="98"/>
      <c r="HI82" s="99"/>
      <c r="HJ82" s="100"/>
      <c r="HK82" s="100"/>
      <c r="HL82" s="101"/>
      <c r="HM82" s="101"/>
      <c r="HN82" s="102"/>
      <c r="HO82" s="102"/>
      <c r="HP82" s="103"/>
      <c r="HQ82" s="103"/>
      <c r="HR82" s="101"/>
      <c r="HS82" s="104"/>
      <c r="HT82" s="105"/>
      <c r="HU82" s="99"/>
      <c r="HV82" s="98"/>
      <c r="HW82" s="98"/>
      <c r="HX82" s="99"/>
      <c r="HY82" s="100"/>
      <c r="HZ82" s="100"/>
      <c r="IA82" s="101"/>
      <c r="IB82" s="101"/>
      <c r="IC82" s="102"/>
      <c r="ID82" s="102"/>
      <c r="IE82" s="103"/>
      <c r="IF82" s="103"/>
      <c r="IG82" s="101"/>
      <c r="IH82" s="104"/>
      <c r="II82" s="105"/>
    </row>
    <row r="83" spans="1:243" ht="13.2" thickTop="1" x14ac:dyDescent="0.3">
      <c r="A83" s="131" t="s">
        <v>174</v>
      </c>
      <c r="B83" s="132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4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27261474.716728952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7.4014478090594471E-2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6">
        <v>0</v>
      </c>
      <c r="O84" s="107">
        <v>0</v>
      </c>
      <c r="P84" s="51">
        <f>(R84)/J84</f>
        <v>0</v>
      </c>
      <c r="Q84" s="49">
        <f>I84/G84-1</f>
        <v>0.52499999999999991</v>
      </c>
      <c r="R84" s="52"/>
    </row>
    <row r="85" spans="1:243" s="108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73759607.155977353</v>
      </c>
      <c r="E85" s="39">
        <f>C85*K85</f>
        <v>62719784.303333335</v>
      </c>
      <c r="F85" s="40" t="s">
        <v>177</v>
      </c>
      <c r="G85" s="40">
        <v>1.44347</v>
      </c>
      <c r="H85" s="42">
        <v>1.099542</v>
      </c>
      <c r="I85" s="42">
        <v>1.073091</v>
      </c>
      <c r="J85" s="44">
        <f>I85/$J$5</f>
        <v>4.0062683636173574E-2</v>
      </c>
      <c r="K85" s="45">
        <f>I85/$K$4</f>
        <v>3.4066380952380952E-2</v>
      </c>
      <c r="L85" s="46">
        <f>I85-H85</f>
        <v>-2.6451000000000002E-2</v>
      </c>
      <c r="M85" s="46">
        <f>((I85-H85)/H85*100)</f>
        <v>-2.4056379838150797</v>
      </c>
      <c r="N85" s="107">
        <v>14815280</v>
      </c>
      <c r="O85" s="107">
        <v>15898191.379000001</v>
      </c>
      <c r="P85" s="48">
        <f>(R85)/J85</f>
        <v>5.4314883639877694E-2</v>
      </c>
      <c r="Q85" s="49">
        <f>I85/G85-1</f>
        <v>-0.25658932987869509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9"/>
      <c r="B86" s="80"/>
      <c r="C86" s="81"/>
      <c r="D86" s="109"/>
      <c r="E86" s="82"/>
      <c r="F86" s="81"/>
      <c r="G86" s="81"/>
      <c r="H86" s="83"/>
      <c r="I86" s="83"/>
      <c r="J86" s="83"/>
      <c r="K86" s="83"/>
      <c r="L86" s="84"/>
      <c r="M86" s="84"/>
      <c r="N86" s="84"/>
      <c r="O86" s="84"/>
      <c r="P86" s="84"/>
      <c r="Q86" s="87"/>
    </row>
    <row r="87" spans="1:243" ht="12.6" thickBot="1" x14ac:dyDescent="0.3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2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32</v>
      </c>
      <c r="B89" s="115">
        <v>15.507100000000001</v>
      </c>
      <c r="D89" s="115">
        <v>3.3806666666666749</v>
      </c>
      <c r="E89" s="35" t="s">
        <v>86</v>
      </c>
      <c r="F89" s="116">
        <v>1.1531390000000001</v>
      </c>
      <c r="H89" s="117">
        <v>-14.546975712924295</v>
      </c>
      <c r="J89" s="35" t="s">
        <v>138</v>
      </c>
      <c r="K89" s="51">
        <v>0.94969999999999999</v>
      </c>
      <c r="L89" s="118">
        <v>10.868550081718418</v>
      </c>
      <c r="M89" s="59" t="s">
        <v>125</v>
      </c>
      <c r="N89" s="116">
        <v>1.7999999999999999E-2</v>
      </c>
      <c r="O89" s="117">
        <v>-19.28251121076234</v>
      </c>
      <c r="Q89" s="16"/>
    </row>
    <row r="90" spans="1:243" ht="15" customHeight="1" x14ac:dyDescent="0.25">
      <c r="A90" s="35" t="s">
        <v>35</v>
      </c>
      <c r="B90" s="115">
        <v>7.5962000000000002E-2</v>
      </c>
      <c r="D90" s="115">
        <v>1.0132978723404427</v>
      </c>
      <c r="E90" s="35" t="s">
        <v>75</v>
      </c>
      <c r="F90" s="116">
        <v>2.2999999999999998</v>
      </c>
      <c r="H90" s="117">
        <v>-7.9971663127224355</v>
      </c>
      <c r="J90" s="35" t="s">
        <v>133</v>
      </c>
      <c r="K90" s="51">
        <v>0.02</v>
      </c>
      <c r="L90" s="118">
        <v>10.497237569060767</v>
      </c>
      <c r="M90" s="35" t="s">
        <v>144</v>
      </c>
      <c r="N90" s="116">
        <v>0.72199999999999998</v>
      </c>
      <c r="O90" s="117">
        <v>-5.5221146296780965</v>
      </c>
      <c r="Q90" s="16"/>
    </row>
    <row r="91" spans="1:243" ht="15" customHeight="1" x14ac:dyDescent="0.25">
      <c r="A91" s="35" t="s">
        <v>99</v>
      </c>
      <c r="B91" s="115">
        <v>0.30164000000000002</v>
      </c>
      <c r="C91" s="115"/>
      <c r="D91" s="115">
        <v>0.37936772046590012</v>
      </c>
      <c r="E91" s="35" t="s">
        <v>68</v>
      </c>
      <c r="F91" s="116">
        <v>0.10050000000000001</v>
      </c>
      <c r="H91" s="117">
        <v>-4.2857142857142767</v>
      </c>
      <c r="J91" s="35" t="s">
        <v>146</v>
      </c>
      <c r="K91" s="51">
        <v>0.23</v>
      </c>
      <c r="L91" s="118">
        <v>4.5454545454545494</v>
      </c>
      <c r="M91" s="35" t="s">
        <v>140</v>
      </c>
      <c r="N91" s="116">
        <v>1.3057000000000001</v>
      </c>
      <c r="O91" s="117">
        <v>-1.0308496930190127</v>
      </c>
      <c r="Q91" s="16"/>
    </row>
    <row r="92" spans="1:243" ht="15" customHeight="1" x14ac:dyDescent="0.25">
      <c r="A92" s="35" t="s">
        <v>93</v>
      </c>
      <c r="B92" s="115">
        <v>4.9193959999999999</v>
      </c>
      <c r="C92" s="115"/>
      <c r="D92" s="115">
        <v>8.9440488301115853E-2</v>
      </c>
      <c r="E92" s="35" t="s">
        <v>45</v>
      </c>
      <c r="F92" s="116">
        <v>39.9221</v>
      </c>
      <c r="H92" s="117">
        <v>-3.8353049431159989</v>
      </c>
      <c r="J92" s="35" t="s">
        <v>119</v>
      </c>
      <c r="K92" s="51">
        <v>0.13370000000000001</v>
      </c>
      <c r="L92" s="118">
        <v>2.8461538461538529</v>
      </c>
      <c r="M92" s="35" t="s">
        <v>121</v>
      </c>
      <c r="N92" s="116">
        <v>39.624899999999997</v>
      </c>
      <c r="O92" s="117">
        <v>-0.93775000000000841</v>
      </c>
      <c r="Q92" s="16"/>
    </row>
    <row r="93" spans="1:243" ht="15" customHeight="1" x14ac:dyDescent="0.25">
      <c r="A93" s="35"/>
      <c r="B93" s="115"/>
      <c r="C93" s="115"/>
      <c r="D93" s="115"/>
      <c r="E93" s="35" t="s">
        <v>40</v>
      </c>
      <c r="F93" s="116">
        <v>184</v>
      </c>
      <c r="G93" s="116"/>
      <c r="H93" s="117">
        <v>-3.1015406328417305</v>
      </c>
      <c r="J93" s="35" t="s">
        <v>142</v>
      </c>
      <c r="K93" s="51">
        <v>0.4173</v>
      </c>
      <c r="L93" s="118">
        <v>0.55421686746988541</v>
      </c>
      <c r="M93" s="35"/>
      <c r="N93" s="116"/>
      <c r="O93" s="117"/>
      <c r="Q93" s="16"/>
    </row>
    <row r="94" spans="1:243" ht="15.75" customHeight="1" thickBot="1" x14ac:dyDescent="0.3">
      <c r="A94" s="119"/>
      <c r="B94" s="120"/>
      <c r="C94" s="120"/>
      <c r="D94" s="120"/>
      <c r="E94" s="119"/>
      <c r="F94" s="120"/>
      <c r="G94" s="120"/>
      <c r="H94" s="121"/>
      <c r="J94" s="119"/>
      <c r="K94" s="120"/>
      <c r="L94" s="121"/>
      <c r="M94" s="120"/>
      <c r="N94" s="120"/>
      <c r="O94" s="121"/>
      <c r="Q94" s="16"/>
    </row>
    <row r="95" spans="1:243" x14ac:dyDescent="0.25">
      <c r="A95" s="122"/>
      <c r="B95" s="123"/>
      <c r="C95" s="123"/>
      <c r="D95" s="123"/>
      <c r="E95" s="113"/>
      <c r="F95" s="113"/>
      <c r="G95" s="113"/>
      <c r="H95" s="113"/>
      <c r="I95" s="113"/>
      <c r="J95" s="113"/>
      <c r="K95" s="113"/>
      <c r="L95" s="113"/>
      <c r="M95" s="123"/>
      <c r="Q95" s="16"/>
    </row>
    <row r="96" spans="1:243" x14ac:dyDescent="0.25">
      <c r="A96" s="12" t="s">
        <v>184</v>
      </c>
      <c r="B96" s="124"/>
      <c r="C96" s="124"/>
      <c r="D96" s="124"/>
      <c r="E96" s="124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2"/>
      <c r="B97" s="123"/>
      <c r="C97" s="123"/>
      <c r="D97" s="123"/>
      <c r="E97" s="123"/>
      <c r="F97" s="113"/>
      <c r="G97" s="113"/>
      <c r="H97" s="123"/>
      <c r="I97" s="113"/>
      <c r="J97" s="113"/>
      <c r="K97" s="113"/>
      <c r="L97" s="113"/>
      <c r="M97" s="123"/>
      <c r="Q97" s="16"/>
    </row>
    <row r="98" spans="1:17" ht="12.6" thickBot="1" x14ac:dyDescent="0.3">
      <c r="A98" s="125"/>
      <c r="B98" s="126"/>
      <c r="C98" s="126"/>
      <c r="D98" s="126"/>
      <c r="E98" s="126"/>
      <c r="F98" s="127"/>
      <c r="G98" s="127"/>
      <c r="H98" s="127"/>
      <c r="I98" s="128"/>
      <c r="J98" s="128"/>
      <c r="K98" s="128"/>
      <c r="L98" s="128"/>
      <c r="M98" s="128"/>
      <c r="N98" s="128"/>
      <c r="O98" s="128"/>
      <c r="P98" s="128"/>
      <c r="Q98" s="129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0"/>
      <c r="J102" s="130"/>
      <c r="K102" s="130"/>
      <c r="O102" s="130"/>
      <c r="P102" s="130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0"/>
      <c r="J105" s="130"/>
      <c r="K105" s="130"/>
      <c r="O105" s="130"/>
      <c r="P105" s="130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0"/>
      <c r="J107" s="130"/>
      <c r="K107" s="130"/>
      <c r="O107" s="130"/>
      <c r="P107" s="130"/>
    </row>
  </sheetData>
  <sheetProtection algorithmName="SHA-512" hashValue="/vRCkIcdhH3/Dvb+rdCBFVvpIq1dVdTPYw4dyzpik4iBhe7MAKzfB2cLXOq6rMUa13TxywRK1ECblwpdhVi1Dg==" saltValue="DSWINHLNqNN9VFStvJabxw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2026-08-18T13:17:58Z</dcterms:created>
  <dcterms:modified xsi:type="dcterms:W3CDTF">2026-08-18T13:35:08Z</dcterms:modified>
</cp:coreProperties>
</file>