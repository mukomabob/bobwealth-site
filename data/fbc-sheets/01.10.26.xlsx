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sokisit_fbc_co_zw/Documents/Desktop/ANALYSIS CORNER/PRICE SHEET SYSTEM/01.10.26/"/>
    </mc:Choice>
  </mc:AlternateContent>
  <xr:revisionPtr revIDLastSave="1" documentId="8_{E9027728-86B9-49BB-8146-96250950613A}" xr6:coauthVersionLast="47" xr6:coauthVersionMax="47" xr10:uidLastSave="{8F35CBAD-6117-4B37-8A76-D815D2C5F1F4}"/>
  <bookViews>
    <workbookView xWindow="-120" yWindow="-120" windowWidth="29040" windowHeight="15720" xr2:uid="{B99A3EFF-36EB-4B13-A19F-E168A4E1CC81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E84" i="1" s="1"/>
  <c r="J84" i="1"/>
  <c r="D84" i="1" s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J72" i="1"/>
  <c r="K72" i="1" s="1"/>
  <c r="E72" i="1" s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Q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Q57" i="1" s="1"/>
  <c r="D57" i="1"/>
  <c r="Q56" i="1"/>
  <c r="M56" i="1"/>
  <c r="L56" i="1"/>
  <c r="J56" i="1"/>
  <c r="P56" i="1" s="1"/>
  <c r="D56" i="1"/>
  <c r="M55" i="1"/>
  <c r="L55" i="1"/>
  <c r="J55" i="1"/>
  <c r="P55" i="1" s="1"/>
  <c r="D55" i="1"/>
  <c r="Q54" i="1"/>
  <c r="M54" i="1"/>
  <c r="L54" i="1"/>
  <c r="J54" i="1"/>
  <c r="P54" i="1" s="1"/>
  <c r="D54" i="1"/>
  <c r="L53" i="1"/>
  <c r="J53" i="1"/>
  <c r="P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 s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 s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J32" i="1"/>
  <c r="E32" i="1"/>
  <c r="D32" i="1"/>
  <c r="Q31" i="1"/>
  <c r="M31" i="1"/>
  <c r="L31" i="1"/>
  <c r="K31" i="1"/>
  <c r="E31" i="1" s="1"/>
  <c r="J31" i="1"/>
  <c r="D31" i="1" s="1"/>
  <c r="K30" i="1"/>
  <c r="J30" i="1"/>
  <c r="E30" i="1"/>
  <c r="D30" i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J27" i="1"/>
  <c r="E27" i="1"/>
  <c r="D27" i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D25" i="1"/>
  <c r="R24" i="1"/>
  <c r="P24" i="1" s="1"/>
  <c r="Q24" i="1"/>
  <c r="M24" i="1"/>
  <c r="L24" i="1"/>
  <c r="K24" i="1"/>
  <c r="J24" i="1"/>
  <c r="E24" i="1"/>
  <c r="D24" i="1"/>
  <c r="Q23" i="1"/>
  <c r="P23" i="1"/>
  <c r="M23" i="1"/>
  <c r="L23" i="1"/>
  <c r="K23" i="1"/>
  <c r="E23" i="1" s="1"/>
  <c r="J23" i="1"/>
  <c r="D23" i="1" s="1"/>
  <c r="Q22" i="1"/>
  <c r="L22" i="1"/>
  <c r="K22" i="1"/>
  <c r="J22" i="1"/>
  <c r="E22" i="1"/>
  <c r="D22" i="1"/>
  <c r="Q21" i="1"/>
  <c r="P21" i="1"/>
  <c r="M21" i="1"/>
  <c r="L21" i="1"/>
  <c r="K21" i="1"/>
  <c r="J21" i="1"/>
  <c r="E21" i="1"/>
  <c r="D21" i="1"/>
  <c r="Q20" i="1"/>
  <c r="M20" i="1"/>
  <c r="L20" i="1"/>
  <c r="K20" i="1"/>
  <c r="J20" i="1"/>
  <c r="D20" i="1" s="1"/>
  <c r="E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 s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 s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E10" i="1" s="1"/>
  <c r="J10" i="1"/>
  <c r="D10" i="1" s="1"/>
  <c r="Q9" i="1"/>
  <c r="M9" i="1"/>
  <c r="L9" i="1"/>
  <c r="K9" i="1"/>
  <c r="J9" i="1"/>
  <c r="P9" i="1" s="1"/>
  <c r="E9" i="1"/>
  <c r="D9" i="1"/>
  <c r="P34" i="1" l="1"/>
  <c r="P57" i="1"/>
  <c r="P59" i="1"/>
  <c r="P61" i="1"/>
  <c r="P65" i="1"/>
  <c r="P51" i="1"/>
  <c r="K71" i="1"/>
  <c r="E71" i="1" s="1"/>
  <c r="P26" i="1"/>
  <c r="P29" i="1"/>
  <c r="P20" i="1"/>
  <c r="P63" i="1"/>
  <c r="Q55" i="1"/>
  <c r="P71" i="1"/>
  <c r="D72" i="1"/>
  <c r="P31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<sst xmlns="http://schemas.openxmlformats.org/spreadsheetml/2006/main" count="269" uniqueCount="185">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</sst>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1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6" fontId="15" fillId="5" borderId="0" xfId="5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5" xfId="7" applyFont="1" applyFill="1" applyBorder="1"/>
    <xf numFmtId="0" fontId="23" fillId="2" borderId="3" xfId="7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164" fontId="15" fillId="5" borderId="6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69D44C09-6187-4BF5-BCCD-6E989BFBE035}"/>
    <cellStyle name="Comma 5 2 2 2 2 2 2 2 2 2 2 2 2 2" xfId="4" xr:uid="{43228914-94B2-4768-881C-D381062B0035}"/>
    <cellStyle name="Comma 6 2 2 2 2 2 2 2 2" xfId="5" xr:uid="{23612AC6-AB11-4E00-AA98-7682CF61C294}"/>
    <cellStyle name="Hyperlink 2" xfId="8" xr:uid="{CE5652B8-1F80-460D-BB5C-DC45CAF20DD4}"/>
    <cellStyle name="Normal" xfId="0" builtinId="0"/>
    <cellStyle name="Normal 2" xfId="2" xr:uid="{2D29F82B-3720-45CF-9FA8-90FA7E96AE2D}"/>
    <cellStyle name="Normal 20" xfId="7" xr:uid="{56F5ED36-E536-48DA-AA94-53F5BE6B77D7}"/>
    <cellStyle name="Percent" xfId="1" builtinId="5"/>
    <cellStyle name="Percent 3" xfId="6" xr:uid="{97D422DC-A841-4F17-BF53-7A07214185A9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4E989E5-E687-42A9-87A5-F2E5982D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FC2F52D-D1BB-4247-839D-113326184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B427-951E-4F06-9FAB-AB671F593919}">
  <dimension ref="A1:II107"/>
  <sheetViews>
    <sheetView tabSelected="1" zoomScale="70" zoomScaleNormal="70" workbookViewId="0">
      <selection activeCell="J19" sqref="J19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26.781300000000002</v>
      </c>
      <c r="K5" s="22"/>
      <c r="L5" s="149" t="s">
        <v>12</v>
      </c>
      <c r="M5" s="150"/>
      <c r="N5" s="23" t="s">
        <v>13</v>
      </c>
      <c r="O5" s="24"/>
      <c r="P5" s="24"/>
      <c r="Q5" s="25"/>
    </row>
    <row r="6" spans="1:19" ht="6.6" customHeight="1" x14ac:dyDescent="0.25">
      <c r="A6" s="142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5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81179557.107011229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0.64410614869330463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2.328808695652174E-2</v>
      </c>
      <c r="Q9" s="49">
        <f t="shared" ref="Q9:Q17" si="6">I9/G9-1</f>
        <v>0.91890538962122492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5456797.2589456076</v>
      </c>
      <c r="E10" s="39">
        <f t="shared" si="1"/>
        <v>4566878.8884687498</v>
      </c>
      <c r="F10" s="40" t="s">
        <v>34</v>
      </c>
      <c r="G10" s="41">
        <v>3.1600000000000003E-2</v>
      </c>
      <c r="H10" s="42">
        <v>7.8100000000000003E-2</v>
      </c>
      <c r="I10" s="43">
        <v>8.9800000000000005E-2</v>
      </c>
      <c r="J10" s="44">
        <f t="shared" ref="J10:J17" si="7">I10/$J$5</f>
        <v>3.3530859218932614E-3</v>
      </c>
      <c r="K10" s="45">
        <f t="shared" si="2"/>
        <v>2.8062500000000002E-3</v>
      </c>
      <c r="L10" s="46">
        <f t="shared" si="3"/>
        <v>1.1700000000000002E-2</v>
      </c>
      <c r="M10" s="46">
        <f t="shared" si="4"/>
        <v>14.980793854033292</v>
      </c>
      <c r="N10" s="51">
        <v>484300</v>
      </c>
      <c r="O10" s="37">
        <v>43490.14</v>
      </c>
      <c r="P10" s="52">
        <f t="shared" si="5"/>
        <v>0</v>
      </c>
      <c r="Q10" s="49">
        <f t="shared" si="6"/>
        <v>1.8417721518987342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3328568.1141692144</v>
      </c>
      <c r="E11" s="39">
        <f t="shared" si="1"/>
        <v>2785730.663625</v>
      </c>
      <c r="F11" s="40" t="s">
        <v>39</v>
      </c>
      <c r="G11" s="41">
        <v>7.8E-2</v>
      </c>
      <c r="H11" s="42">
        <v>0.20399999999999999</v>
      </c>
      <c r="I11" s="43">
        <v>0.20399999999999999</v>
      </c>
      <c r="J11" s="44">
        <f t="shared" si="7"/>
        <v>7.6172553236773409E-3</v>
      </c>
      <c r="K11" s="45">
        <f t="shared" si="2"/>
        <v>6.3749999999999996E-3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1.6153846153846154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136479543.88863125</v>
      </c>
      <c r="E12" s="39">
        <f t="shared" si="1"/>
        <v>114221862.77326874</v>
      </c>
      <c r="F12" s="40" t="s">
        <v>34</v>
      </c>
      <c r="G12" s="41">
        <v>97.381</v>
      </c>
      <c r="H12" s="42">
        <v>166.75</v>
      </c>
      <c r="I12" s="43">
        <v>177.1438</v>
      </c>
      <c r="J12" s="44">
        <f t="shared" si="7"/>
        <v>6.614458596109972</v>
      </c>
      <c r="K12" s="45">
        <f t="shared" si="2"/>
        <v>5.53574375</v>
      </c>
      <c r="L12" s="46">
        <f t="shared" si="3"/>
        <v>10.393799999999999</v>
      </c>
      <c r="M12" s="46">
        <f t="shared" si="4"/>
        <v>6.2331634182908537</v>
      </c>
      <c r="N12" s="51">
        <v>2500</v>
      </c>
      <c r="O12" s="37">
        <v>442859.5</v>
      </c>
      <c r="P12" s="52">
        <f t="shared" si="5"/>
        <v>0</v>
      </c>
      <c r="Q12" s="49">
        <f t="shared" si="6"/>
        <v>0.81907969727154173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8806440.1653392483</v>
      </c>
      <c r="E13" s="39">
        <f t="shared" si="1"/>
        <v>7370247.375</v>
      </c>
      <c r="F13" s="40" t="s">
        <v>44</v>
      </c>
      <c r="G13" s="41">
        <v>13.6</v>
      </c>
      <c r="H13" s="42">
        <v>27</v>
      </c>
      <c r="I13" s="43">
        <v>27</v>
      </c>
      <c r="J13" s="44">
        <f t="shared" si="7"/>
        <v>1.0081661457808246</v>
      </c>
      <c r="K13" s="45">
        <f t="shared" si="2"/>
        <v>0.84375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0.98529411764705888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722065538.48547471</v>
      </c>
      <c r="E14" s="39">
        <f t="shared" si="1"/>
        <v>604307931.43253267</v>
      </c>
      <c r="F14" s="40" t="s">
        <v>47</v>
      </c>
      <c r="G14" s="41">
        <v>11.5</v>
      </c>
      <c r="H14" s="42">
        <v>36.998800000000003</v>
      </c>
      <c r="I14" s="43">
        <v>36.998812999999998</v>
      </c>
      <c r="J14" s="44">
        <f t="shared" si="7"/>
        <v>1.3815166926176099</v>
      </c>
      <c r="K14" s="45">
        <f t="shared" si="2"/>
        <v>1.1562129062499999</v>
      </c>
      <c r="L14" s="46">
        <f t="shared" si="3"/>
        <v>1.2999999995599865E-5</v>
      </c>
      <c r="M14" s="46">
        <f t="shared" si="4"/>
        <v>3.5136274678097301E-5</v>
      </c>
      <c r="N14" s="51">
        <v>0</v>
      </c>
      <c r="O14" s="37">
        <v>0</v>
      </c>
      <c r="P14" s="52">
        <f t="shared" si="5"/>
        <v>0</v>
      </c>
      <c r="Q14" s="49">
        <f t="shared" si="6"/>
        <v>2.2172880869565215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31398929.056841899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0.29610213096451626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80205410.043575168</v>
      </c>
      <c r="E16" s="39">
        <f t="shared" si="1"/>
        <v>67125160.875</v>
      </c>
      <c r="F16" s="40" t="s">
        <v>34</v>
      </c>
      <c r="G16" s="41">
        <v>1.9</v>
      </c>
      <c r="H16" s="42">
        <v>5.5004999999999997</v>
      </c>
      <c r="I16" s="43">
        <v>6</v>
      </c>
      <c r="J16" s="44">
        <f t="shared" si="7"/>
        <v>0.22403692128462768</v>
      </c>
      <c r="K16" s="45">
        <f t="shared" si="2"/>
        <v>0.1875</v>
      </c>
      <c r="L16" s="46">
        <f t="shared" si="3"/>
        <v>0.49950000000000028</v>
      </c>
      <c r="M16" s="46">
        <f t="shared" si="4"/>
        <v>9.0809926370330025</v>
      </c>
      <c r="N16" s="51">
        <v>3700</v>
      </c>
      <c r="O16" s="37">
        <v>22200</v>
      </c>
      <c r="P16" s="52">
        <f t="shared" si="5"/>
        <v>0.22317750000000003</v>
      </c>
      <c r="Q16" s="49">
        <f t="shared" si="6"/>
        <v>2.1578947368421053</v>
      </c>
      <c r="R16" s="50">
        <v>0.05</v>
      </c>
      <c r="S16" s="53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1635600800.3811421</v>
      </c>
      <c r="E17" s="39">
        <f t="shared" si="1"/>
        <v>1368859866.1014836</v>
      </c>
      <c r="F17" s="40" t="s">
        <v>34</v>
      </c>
      <c r="G17" s="41">
        <v>20.701700000000002</v>
      </c>
      <c r="H17" s="42">
        <v>31.504799999999999</v>
      </c>
      <c r="I17" s="43">
        <v>32.500903999999998</v>
      </c>
      <c r="J17" s="44">
        <f t="shared" si="7"/>
        <v>1.2135670785212069</v>
      </c>
      <c r="K17" s="45">
        <f t="shared" si="2"/>
        <v>1.01565325</v>
      </c>
      <c r="L17" s="46">
        <f t="shared" si="3"/>
        <v>0.99610399999999899</v>
      </c>
      <c r="M17" s="46">
        <f t="shared" si="4"/>
        <v>3.1617531296818235</v>
      </c>
      <c r="N17" s="51">
        <v>28100</v>
      </c>
      <c r="O17" s="37">
        <v>913275.4</v>
      </c>
      <c r="P17" s="48">
        <f t="shared" si="5"/>
        <v>0</v>
      </c>
      <c r="Q17" s="49">
        <f t="shared" si="6"/>
        <v>0.56996304651308805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338718584.03064823</v>
      </c>
      <c r="E19" s="39">
        <f t="shared" si="1"/>
        <v>283478875.453125</v>
      </c>
      <c r="F19" s="40" t="s">
        <v>47</v>
      </c>
      <c r="G19" s="41">
        <v>12.45</v>
      </c>
      <c r="H19" s="42">
        <v>13.458299999999999</v>
      </c>
      <c r="I19" s="43">
        <v>13.5</v>
      </c>
      <c r="J19" s="44">
        <f t="shared" ref="J19:J45" si="8">I19/$J$5</f>
        <v>0.50408307289041232</v>
      </c>
      <c r="K19" s="45">
        <f t="shared" ref="K19:K45" si="9">I19/$K$4</f>
        <v>0.421875</v>
      </c>
      <c r="L19" s="46">
        <f t="shared" ref="L19:L29" si="10">I19-H19</f>
        <v>4.1700000000000514E-2</v>
      </c>
      <c r="M19" s="46">
        <f>((I19-H19)/H19)*100</f>
        <v>0.30984596865874975</v>
      </c>
      <c r="N19" s="51">
        <v>3700</v>
      </c>
      <c r="O19" s="37">
        <v>49950</v>
      </c>
      <c r="P19" s="52">
        <f>(R19)/J19</f>
        <v>0</v>
      </c>
      <c r="Q19" s="49">
        <f t="shared" ref="Q19:Q29" si="11">I19/G19-1</f>
        <v>8.4337349397590522E-2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3782440.0096335877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3.4725722799117294E-2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74796228.400040329</v>
      </c>
      <c r="E21" s="39">
        <f t="shared" si="1"/>
        <v>62598132.239062496</v>
      </c>
      <c r="F21" s="40" t="s">
        <v>47</v>
      </c>
      <c r="G21" s="41">
        <v>2.85</v>
      </c>
      <c r="H21" s="42">
        <v>2.80986</v>
      </c>
      <c r="I21" s="43">
        <v>2.9024999999999999</v>
      </c>
      <c r="J21" s="44">
        <f t="shared" si="8"/>
        <v>0.10837786067143865</v>
      </c>
      <c r="K21" s="45">
        <f t="shared" si="9"/>
        <v>9.0703124999999996E-2</v>
      </c>
      <c r="L21" s="46">
        <f t="shared" si="10"/>
        <v>9.2639999999999834E-2</v>
      </c>
      <c r="M21" s="46">
        <f>((I21-H21)/H21)*100</f>
        <v>3.2969614144476891</v>
      </c>
      <c r="N21" s="51">
        <v>300</v>
      </c>
      <c r="O21" s="37">
        <v>870.75</v>
      </c>
      <c r="P21" s="52">
        <f>(R21)/J21</f>
        <v>0</v>
      </c>
      <c r="Q21" s="49">
        <f t="shared" si="11"/>
        <v>1.8421052631578894E-2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1967529.6859599797</v>
      </c>
      <c r="E23" s="39">
        <f t="shared" si="1"/>
        <v>1646656.3368312502</v>
      </c>
      <c r="F23" s="40" t="s">
        <v>44</v>
      </c>
      <c r="G23" s="41">
        <v>0.1</v>
      </c>
      <c r="H23" s="42">
        <v>9.9000000000000005E-2</v>
      </c>
      <c r="I23" s="43">
        <v>9.820000000000001E-2</v>
      </c>
      <c r="J23" s="44">
        <f t="shared" si="8"/>
        <v>3.6667376116917404E-3</v>
      </c>
      <c r="K23" s="45">
        <f t="shared" si="9"/>
        <v>3.0687500000000003E-3</v>
      </c>
      <c r="L23" s="46">
        <f t="shared" si="10"/>
        <v>-7.9999999999999516E-4</v>
      </c>
      <c r="M23" s="46">
        <f t="shared" ref="M23:M29" si="12">((I23-H23)/H23)*100</f>
        <v>-0.80808080808080318</v>
      </c>
      <c r="N23" s="51">
        <v>1000</v>
      </c>
      <c r="O23" s="37">
        <v>98.2</v>
      </c>
      <c r="P23" s="52">
        <f t="shared" ref="P23:P29" si="13">(R23)/J23</f>
        <v>0</v>
      </c>
      <c r="Q23" s="49">
        <f t="shared" si="11"/>
        <v>-1.7999999999999905E-2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65589931.880901963</v>
      </c>
      <c r="E24" s="39">
        <f t="shared" si="1"/>
        <v>54893238.833812505</v>
      </c>
      <c r="F24" s="40" t="s">
        <v>34</v>
      </c>
      <c r="G24" s="41">
        <v>8.1687659999999997</v>
      </c>
      <c r="H24" s="42">
        <v>9.1005000000000003</v>
      </c>
      <c r="I24" s="43">
        <v>9.1005000000000003</v>
      </c>
      <c r="J24" s="44">
        <f t="shared" si="8"/>
        <v>0.33980800035845904</v>
      </c>
      <c r="K24" s="45">
        <f t="shared" si="9"/>
        <v>0.28439062500000001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4.4142574583814077E-2</v>
      </c>
      <c r="Q24" s="49">
        <f t="shared" si="11"/>
        <v>0.11406055700457096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107139621.20876789</v>
      </c>
      <c r="E25" s="39">
        <f t="shared" si="1"/>
        <v>89666823.046199247</v>
      </c>
      <c r="F25" s="40" t="s">
        <v>66</v>
      </c>
      <c r="G25" s="41">
        <v>1.6675</v>
      </c>
      <c r="H25" s="42">
        <v>1.700264</v>
      </c>
      <c r="I25" s="43">
        <v>1.700264</v>
      </c>
      <c r="J25" s="44">
        <f t="shared" si="8"/>
        <v>6.3486985321847697E-2</v>
      </c>
      <c r="K25" s="45">
        <f t="shared" si="9"/>
        <v>5.313325E-2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1.9648575712143845E-2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22346572.70184793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9.3348717201928208E-2</v>
      </c>
      <c r="K26" s="45">
        <f t="shared" si="9"/>
        <v>7.8125E-2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0.38927479855515434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23915733.205263332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9.3365856026406471E-2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1">
        <v>0</v>
      </c>
      <c r="O27" s="37">
        <v>0</v>
      </c>
      <c r="P27" s="52">
        <f t="shared" si="13"/>
        <v>0</v>
      </c>
      <c r="Q27" s="49">
        <f t="shared" si="11"/>
        <v>-0.20269458891623682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33240300.086802579</v>
      </c>
      <c r="E28" s="39">
        <f t="shared" si="1"/>
        <v>27819326.522333935</v>
      </c>
      <c r="F28" s="40" t="s">
        <v>44</v>
      </c>
      <c r="G28" s="41">
        <v>0.8</v>
      </c>
      <c r="H28" s="42">
        <v>1.178086</v>
      </c>
      <c r="I28" s="43">
        <v>1.178086</v>
      </c>
      <c r="J28" s="44">
        <f t="shared" si="8"/>
        <v>4.3989126741420317E-2</v>
      </c>
      <c r="K28" s="45">
        <f t="shared" si="9"/>
        <v>3.6815187499999999E-2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0.47260749999999985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109006751.61399932</v>
      </c>
      <c r="E29" s="39">
        <f t="shared" si="1"/>
        <v>91229453.65625</v>
      </c>
      <c r="F29" s="40" t="s">
        <v>47</v>
      </c>
      <c r="G29" s="41">
        <v>5.15</v>
      </c>
      <c r="H29" s="42">
        <v>6</v>
      </c>
      <c r="I29" s="43">
        <v>6.5</v>
      </c>
      <c r="J29" s="44">
        <f t="shared" si="8"/>
        <v>0.24270666472501334</v>
      </c>
      <c r="K29" s="45">
        <f t="shared" si="9"/>
        <v>0.203125</v>
      </c>
      <c r="L29" s="46">
        <f t="shared" si="10"/>
        <v>0.5</v>
      </c>
      <c r="M29" s="46">
        <f t="shared" si="12"/>
        <v>8.3333333333333321</v>
      </c>
      <c r="N29" s="51">
        <v>20900</v>
      </c>
      <c r="O29" s="37">
        <v>135850</v>
      </c>
      <c r="P29" s="52">
        <f t="shared" si="13"/>
        <v>0</v>
      </c>
      <c r="Q29" s="49">
        <f t="shared" si="11"/>
        <v>0.26213592233009697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13885383.919749975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5.343280572638371E-2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2.2142857142857242E-2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4100866.0147192259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3.3605538192694157E-2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115916570.7225564</v>
      </c>
      <c r="E33" s="39">
        <f t="shared" si="1"/>
        <v>97012389.234125003</v>
      </c>
      <c r="F33" s="40" t="s">
        <v>92</v>
      </c>
      <c r="G33" s="41">
        <v>1.44</v>
      </c>
      <c r="H33" s="42">
        <v>1.2424999999999999</v>
      </c>
      <c r="I33" s="43">
        <v>1.244</v>
      </c>
      <c r="J33" s="44">
        <f t="shared" si="8"/>
        <v>4.6450321679679475E-2</v>
      </c>
      <c r="K33" s="45">
        <f t="shared" si="9"/>
        <v>3.8875E-2</v>
      </c>
      <c r="L33" s="46">
        <f t="shared" si="14"/>
        <v>1.5000000000000568E-3</v>
      </c>
      <c r="M33" s="46">
        <f t="shared" si="15"/>
        <v>0.12072434607646332</v>
      </c>
      <c r="N33" s="51">
        <v>500</v>
      </c>
      <c r="O33" s="37">
        <v>622</v>
      </c>
      <c r="P33" s="52">
        <f t="shared" si="16"/>
        <v>0</v>
      </c>
      <c r="Q33" s="49">
        <f t="shared" si="17"/>
        <v>-0.13611111111111107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34210293.73313237</v>
      </c>
      <c r="E34" s="39">
        <f t="shared" si="1"/>
        <v>28631129.361098066</v>
      </c>
      <c r="F34" s="40" t="s">
        <v>34</v>
      </c>
      <c r="G34" s="41">
        <v>3.6056249999999999</v>
      </c>
      <c r="H34" s="42">
        <v>3.6142860000000003</v>
      </c>
      <c r="I34" s="43">
        <v>3.6142860000000003</v>
      </c>
      <c r="J34" s="44">
        <f t="shared" si="8"/>
        <v>0.13495558468035532</v>
      </c>
      <c r="K34" s="45">
        <f t="shared" si="9"/>
        <v>0.11294643750000001</v>
      </c>
      <c r="L34" s="46">
        <f t="shared" si="14"/>
        <v>0</v>
      </c>
      <c r="M34" s="46">
        <f t="shared" si="15"/>
        <v>0</v>
      </c>
      <c r="N34" s="51">
        <v>0</v>
      </c>
      <c r="O34" s="37">
        <v>0</v>
      </c>
      <c r="P34" s="52">
        <f t="shared" si="16"/>
        <v>0</v>
      </c>
      <c r="Q34" s="49">
        <f t="shared" si="17"/>
        <v>2.4020800832034173E-3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11959499.532883914</v>
      </c>
      <c r="E35" s="39">
        <f t="shared" si="1"/>
        <v>10009092.02625075</v>
      </c>
      <c r="F35" s="40" t="s">
        <v>34</v>
      </c>
      <c r="G35" s="41">
        <v>2.5099999999999997E-2</v>
      </c>
      <c r="H35" s="42">
        <v>6.7821999999999993E-2</v>
      </c>
      <c r="I35" s="43">
        <v>6.7929000000000003E-2</v>
      </c>
      <c r="J35" s="44">
        <f t="shared" si="8"/>
        <v>2.5364340043239125E-3</v>
      </c>
      <c r="K35" s="45">
        <f t="shared" si="9"/>
        <v>2.1227812500000001E-3</v>
      </c>
      <c r="L35" s="46">
        <f t="shared" si="14"/>
        <v>1.0700000000000986E-4</v>
      </c>
      <c r="M35" s="46">
        <f t="shared" si="15"/>
        <v>0.15776591666422382</v>
      </c>
      <c r="N35" s="51">
        <v>1400</v>
      </c>
      <c r="O35" s="37">
        <v>95.1</v>
      </c>
      <c r="P35" s="52">
        <f t="shared" si="16"/>
        <v>0</v>
      </c>
      <c r="Q35" s="49">
        <f t="shared" si="17"/>
        <v>1.7063346613545822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68623198.855171323</v>
      </c>
      <c r="E36" s="39">
        <f t="shared" si="1"/>
        <v>57431827.359375</v>
      </c>
      <c r="F36" s="40" t="s">
        <v>92</v>
      </c>
      <c r="G36" s="41">
        <v>0.61</v>
      </c>
      <c r="H36" s="42">
        <v>3.5</v>
      </c>
      <c r="I36" s="43">
        <v>3.5</v>
      </c>
      <c r="J36" s="44">
        <f t="shared" si="8"/>
        <v>0.13068820408269949</v>
      </c>
      <c r="K36" s="45">
        <f t="shared" si="9"/>
        <v>0.109375</v>
      </c>
      <c r="L36" s="46">
        <f t="shared" si="14"/>
        <v>0</v>
      </c>
      <c r="M36" s="46">
        <f t="shared" si="15"/>
        <v>0</v>
      </c>
      <c r="N36" s="51">
        <v>0</v>
      </c>
      <c r="O36" s="37">
        <v>0</v>
      </c>
      <c r="P36" s="52">
        <f t="shared" si="16"/>
        <v>0</v>
      </c>
      <c r="Q36" s="49">
        <f t="shared" si="17"/>
        <v>4.7377049180327866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133815076.73946261</v>
      </c>
      <c r="E37" s="39">
        <f t="shared" si="1"/>
        <v>111991928.58383031</v>
      </c>
      <c r="F37" s="40" t="s">
        <v>56</v>
      </c>
      <c r="G37" s="41">
        <v>0.11650199999999999</v>
      </c>
      <c r="H37" s="42">
        <v>0.79206199999999993</v>
      </c>
      <c r="I37" s="43">
        <v>0.85433000000000003</v>
      </c>
      <c r="J37" s="44">
        <f t="shared" si="8"/>
        <v>3.1900243826849334E-2</v>
      </c>
      <c r="K37" s="45">
        <f t="shared" si="9"/>
        <v>2.6697812500000001E-2</v>
      </c>
      <c r="L37" s="46">
        <f t="shared" si="14"/>
        <v>6.2268000000000101E-2</v>
      </c>
      <c r="M37" s="46">
        <f t="shared" si="15"/>
        <v>7.861505791213327</v>
      </c>
      <c r="N37" s="51">
        <v>17900</v>
      </c>
      <c r="O37" s="37">
        <v>15292.5</v>
      </c>
      <c r="P37" s="52">
        <v>0</v>
      </c>
      <c r="Q37" s="49">
        <f t="shared" si="17"/>
        <v>6.3331788295479914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22721728.831647452</v>
      </c>
      <c r="E38" s="39">
        <f t="shared" si="1"/>
        <v>19016169.886218749</v>
      </c>
      <c r="F38" s="40" t="s">
        <v>39</v>
      </c>
      <c r="G38" s="41">
        <v>0.1</v>
      </c>
      <c r="H38" s="42">
        <v>0.14050000000000001</v>
      </c>
      <c r="I38" s="43">
        <v>0.14099999999999999</v>
      </c>
      <c r="J38" s="44">
        <f t="shared" si="8"/>
        <v>5.2648676501887504E-3</v>
      </c>
      <c r="K38" s="45">
        <f t="shared" si="9"/>
        <v>4.4062499999999996E-3</v>
      </c>
      <c r="L38" s="46">
        <f t="shared" si="14"/>
        <v>4.9999999999997269E-4</v>
      </c>
      <c r="M38" s="46">
        <f t="shared" si="15"/>
        <v>0.35587188612097698</v>
      </c>
      <c r="N38" s="51">
        <v>100</v>
      </c>
      <c r="O38" s="37">
        <v>14.1</v>
      </c>
      <c r="P38" s="52">
        <f t="shared" ref="P38:P44" si="18">(R38)/J38</f>
        <v>0</v>
      </c>
      <c r="Q38" s="49">
        <f t="shared" si="17"/>
        <v>0.4099999999999997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7951386.7512032641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7.4678973761542561E-2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1000</v>
      </c>
      <c r="O39" s="37">
        <v>2000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4182349.4736893279</v>
      </c>
      <c r="E40" s="39">
        <f t="shared" si="1"/>
        <v>3500273.6237411248</v>
      </c>
      <c r="F40" s="40" t="s">
        <v>39</v>
      </c>
      <c r="G40" s="41">
        <v>0.03</v>
      </c>
      <c r="H40" s="42">
        <v>6.2049E-2</v>
      </c>
      <c r="I40" s="43">
        <v>6.2996999999999997E-2</v>
      </c>
      <c r="J40" s="44">
        <f t="shared" si="8"/>
        <v>2.3522756550279486E-3</v>
      </c>
      <c r="K40" s="45">
        <f t="shared" si="9"/>
        <v>1.9686562499999999E-3</v>
      </c>
      <c r="L40" s="46">
        <f t="shared" si="14"/>
        <v>9.4799999999999746E-4</v>
      </c>
      <c r="M40" s="46">
        <f t="shared" si="15"/>
        <v>1.5278247836387331</v>
      </c>
      <c r="N40" s="51">
        <v>39300</v>
      </c>
      <c r="O40" s="37">
        <v>2475.8000000000002</v>
      </c>
      <c r="P40" s="52">
        <f t="shared" si="18"/>
        <v>0</v>
      </c>
      <c r="Q40" s="49">
        <f t="shared" si="17"/>
        <v>1.0998999999999999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47099006.485868871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0.26884430554155325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0.60000000000000009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311.41422925698151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6.7211076385388308E-7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1548543.199919347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2.6884430554155328E-3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52276344.509788543</v>
      </c>
      <c r="E44" s="39">
        <f t="shared" si="1"/>
        <v>43750889.538125001</v>
      </c>
      <c r="F44" s="40" t="s">
        <v>47</v>
      </c>
      <c r="G44" s="41">
        <v>0.9998999999999999</v>
      </c>
      <c r="H44" s="42">
        <v>0.77</v>
      </c>
      <c r="I44" s="43">
        <v>0.77</v>
      </c>
      <c r="J44" s="44">
        <f t="shared" si="8"/>
        <v>2.8751404898193889E-2</v>
      </c>
      <c r="K44" s="45">
        <f t="shared" si="9"/>
        <v>2.4062500000000001E-2</v>
      </c>
      <c r="L44" s="46">
        <f t="shared" si="14"/>
        <v>0</v>
      </c>
      <c r="M44" s="46">
        <f t="shared" si="15"/>
        <v>0</v>
      </c>
      <c r="N44" s="51">
        <v>600</v>
      </c>
      <c r="O44" s="37">
        <v>462</v>
      </c>
      <c r="P44" s="52">
        <f t="shared" si="18"/>
        <v>0</v>
      </c>
      <c r="Q44" s="49">
        <f t="shared" si="17"/>
        <v>-0.22992299229922986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17258547.568639312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</v>
      </c>
      <c r="I45" s="43">
        <v>4.5</v>
      </c>
      <c r="J45" s="44">
        <f t="shared" si="8"/>
        <v>0.16802769096347078</v>
      </c>
      <c r="K45" s="45">
        <f t="shared" si="9"/>
        <v>0.140625</v>
      </c>
      <c r="L45" s="46">
        <f t="shared" si="14"/>
        <v>0</v>
      </c>
      <c r="M45" s="46">
        <f t="shared" si="15"/>
        <v>0</v>
      </c>
      <c r="N45" s="51">
        <v>300</v>
      </c>
      <c r="O45" s="37">
        <v>1350</v>
      </c>
      <c r="P45" s="52">
        <v>0</v>
      </c>
      <c r="Q45" s="49">
        <f t="shared" si="17"/>
        <v>2.1027079055618452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35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605600</v>
      </c>
      <c r="O47" s="62">
        <f>SUM(O9:O45)</f>
        <v>1630905.4900000002</v>
      </c>
      <c r="P47" s="63"/>
      <c r="Q47" s="64"/>
    </row>
    <row r="48" spans="1:18" ht="13.5" customHeight="1" x14ac:dyDescent="0.3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25">
      <c r="A49" s="138" t="s">
        <v>118</v>
      </c>
      <c r="B49" s="139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1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92986357.210800007</v>
      </c>
      <c r="E50" s="39">
        <v>0</v>
      </c>
      <c r="F50" s="40" t="s">
        <v>92</v>
      </c>
      <c r="G50" s="71">
        <v>0.1</v>
      </c>
      <c r="H50" s="42">
        <v>0.15770000000000001</v>
      </c>
      <c r="I50" s="42">
        <v>0.16420000000000001</v>
      </c>
      <c r="J50" s="44">
        <f t="shared" ref="J50:J65" si="20">I50</f>
        <v>0.16420000000000001</v>
      </c>
      <c r="K50" s="39">
        <v>0</v>
      </c>
      <c r="L50" s="46">
        <f t="shared" ref="L50:L65" si="21">I50-H50</f>
        <v>6.5000000000000058E-3</v>
      </c>
      <c r="M50" s="46">
        <f t="shared" ref="M50:M65" si="22">((I50-H50)/H50)*100</f>
        <v>4.1217501585288554</v>
      </c>
      <c r="N50" s="51">
        <v>587524</v>
      </c>
      <c r="O50" s="37">
        <v>96498.95</v>
      </c>
      <c r="P50" s="72">
        <f>(R50)/J50</f>
        <v>0</v>
      </c>
      <c r="Q50" s="49">
        <f t="shared" ref="Q50:Q65" si="23">J50/G50-1</f>
        <v>0.64200000000000013</v>
      </c>
      <c r="T50" s="53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44266645.719000004</v>
      </c>
      <c r="E51" s="39">
        <v>0</v>
      </c>
      <c r="F51" s="40" t="s">
        <v>39</v>
      </c>
      <c r="G51" s="71">
        <v>39.9</v>
      </c>
      <c r="H51" s="42">
        <v>34.217199999999998</v>
      </c>
      <c r="I51" s="42">
        <v>39.811500000000002</v>
      </c>
      <c r="J51" s="44">
        <f t="shared" si="20"/>
        <v>39.811500000000002</v>
      </c>
      <c r="K51" s="39">
        <v>0</v>
      </c>
      <c r="L51" s="46">
        <f t="shared" si="21"/>
        <v>5.594300000000004</v>
      </c>
      <c r="M51" s="46">
        <f t="shared" si="22"/>
        <v>16.349379844055047</v>
      </c>
      <c r="N51" s="51">
        <v>4772</v>
      </c>
      <c r="O51" s="37">
        <v>189980.35</v>
      </c>
      <c r="P51" s="73">
        <f>(R51)/J51</f>
        <v>1.4066287379274834E-2</v>
      </c>
      <c r="Q51" s="49">
        <f t="shared" si="23"/>
        <v>-2.2180451127818968E-3</v>
      </c>
      <c r="R51" s="53">
        <v>0.56000000000000005</v>
      </c>
      <c r="T51" s="53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687299887.72909999</v>
      </c>
      <c r="E52" s="39"/>
      <c r="F52" s="40" t="s">
        <v>56</v>
      </c>
      <c r="G52" s="71">
        <v>0.33</v>
      </c>
      <c r="H52" s="42">
        <v>0.21779999999999999</v>
      </c>
      <c r="I52" s="42">
        <v>0.22969999999999999</v>
      </c>
      <c r="J52" s="44">
        <f t="shared" si="20"/>
        <v>0.22969999999999999</v>
      </c>
      <c r="K52" s="39">
        <v>0</v>
      </c>
      <c r="L52" s="46">
        <f t="shared" si="21"/>
        <v>1.1899999999999994E-2</v>
      </c>
      <c r="M52" s="46">
        <f t="shared" si="22"/>
        <v>5.4637281910009152</v>
      </c>
      <c r="N52" s="51">
        <v>68843</v>
      </c>
      <c r="O52" s="37">
        <v>15813.06</v>
      </c>
      <c r="P52" s="72">
        <v>0</v>
      </c>
      <c r="Q52" s="49">
        <f t="shared" si="23"/>
        <v>-0.30393939393939406</v>
      </c>
      <c r="R52" s="53"/>
      <c r="T52" s="53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1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4" t="s">
        <v>57</v>
      </c>
      <c r="O53" s="74" t="s">
        <v>57</v>
      </c>
      <c r="P53" s="72" t="e">
        <f t="shared" ref="P53:P65" si="24">(R53)/J53</f>
        <v>#DIV/0!</v>
      </c>
      <c r="Q53" s="49">
        <v>0</v>
      </c>
      <c r="T53" s="53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327432163.65060002</v>
      </c>
      <c r="E54" s="39">
        <v>0</v>
      </c>
      <c r="F54" s="40" t="s">
        <v>47</v>
      </c>
      <c r="G54" s="71">
        <v>9.0200000000000002E-2</v>
      </c>
      <c r="H54" s="42">
        <v>0.15679999999999999</v>
      </c>
      <c r="I54" s="42">
        <v>0.15140000000000001</v>
      </c>
      <c r="J54" s="44">
        <f t="shared" si="20"/>
        <v>0.15140000000000001</v>
      </c>
      <c r="K54" s="39">
        <v>0</v>
      </c>
      <c r="L54" s="46">
        <f t="shared" si="21"/>
        <v>-5.3999999999999881E-3</v>
      </c>
      <c r="M54" s="75">
        <f t="shared" si="22"/>
        <v>-3.4438775510204009</v>
      </c>
      <c r="N54" s="51">
        <v>106193</v>
      </c>
      <c r="O54" s="37">
        <v>16079.11</v>
      </c>
      <c r="P54" s="72">
        <f t="shared" si="24"/>
        <v>0</v>
      </c>
      <c r="Q54" s="49">
        <f t="shared" si="23"/>
        <v>0.6784922394678492</v>
      </c>
      <c r="R54" s="53"/>
      <c r="T54" s="53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868842642.46999991</v>
      </c>
      <c r="E55" s="39">
        <v>0</v>
      </c>
      <c r="F55" s="40" t="s">
        <v>34</v>
      </c>
      <c r="G55" s="71">
        <v>0.95750000000000002</v>
      </c>
      <c r="H55" s="42">
        <v>1.5394000000000001</v>
      </c>
      <c r="I55" s="42">
        <v>1.5085999999999999</v>
      </c>
      <c r="J55" s="44">
        <f t="shared" si="20"/>
        <v>1.5085999999999999</v>
      </c>
      <c r="K55" s="39">
        <v>0</v>
      </c>
      <c r="L55" s="46">
        <f t="shared" si="21"/>
        <v>-3.0800000000000161E-2</v>
      </c>
      <c r="M55" s="46">
        <f t="shared" si="22"/>
        <v>-2.0007795244900715</v>
      </c>
      <c r="N55" s="51">
        <v>399078</v>
      </c>
      <c r="O55" s="37">
        <v>602058.17000000004</v>
      </c>
      <c r="P55" s="73">
        <f t="shared" si="24"/>
        <v>3.1154712978920855E-2</v>
      </c>
      <c r="Q55" s="49">
        <f t="shared" si="23"/>
        <v>0.57556135770234973</v>
      </c>
      <c r="R55" s="53">
        <v>4.7E-2</v>
      </c>
      <c r="T55" s="53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21199281.460200001</v>
      </c>
      <c r="E56" s="39">
        <v>0</v>
      </c>
      <c r="F56" s="40" t="s">
        <v>34</v>
      </c>
      <c r="G56" s="71">
        <v>0.1595</v>
      </c>
      <c r="H56" s="42">
        <v>0.12509999999999999</v>
      </c>
      <c r="I56" s="42">
        <v>0.12909999999999999</v>
      </c>
      <c r="J56" s="44">
        <f t="shared" si="20"/>
        <v>0.12909999999999999</v>
      </c>
      <c r="K56" s="39">
        <v>0</v>
      </c>
      <c r="L56" s="46">
        <f t="shared" si="21"/>
        <v>4.0000000000000036E-3</v>
      </c>
      <c r="M56" s="46">
        <f t="shared" si="22"/>
        <v>3.1974420463629123</v>
      </c>
      <c r="N56" s="51">
        <v>10839</v>
      </c>
      <c r="O56" s="37">
        <v>1399.75</v>
      </c>
      <c r="P56" s="72">
        <f t="shared" si="24"/>
        <v>0</v>
      </c>
      <c r="Q56" s="49">
        <f t="shared" si="23"/>
        <v>-0.19059561128526648</v>
      </c>
      <c r="T56" s="53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24528714.257399999</v>
      </c>
      <c r="E57" s="39">
        <v>0</v>
      </c>
      <c r="F57" s="40" t="s">
        <v>92</v>
      </c>
      <c r="G57" s="71">
        <v>1.6799999999999999E-2</v>
      </c>
      <c r="H57" s="42">
        <v>2.1299999999999999E-2</v>
      </c>
      <c r="I57" s="42">
        <v>2.4899999999999999E-2</v>
      </c>
      <c r="J57" s="44">
        <f t="shared" si="20"/>
        <v>2.4899999999999999E-2</v>
      </c>
      <c r="K57" s="39">
        <v>0</v>
      </c>
      <c r="L57" s="46">
        <f t="shared" si="21"/>
        <v>3.599999999999999E-3</v>
      </c>
      <c r="M57" s="75">
        <f t="shared" si="22"/>
        <v>16.901408450704221</v>
      </c>
      <c r="N57" s="51">
        <v>1959</v>
      </c>
      <c r="O57" s="37">
        <v>48.82</v>
      </c>
      <c r="P57" s="72">
        <f t="shared" si="24"/>
        <v>0</v>
      </c>
      <c r="Q57" s="49">
        <f t="shared" si="23"/>
        <v>0.48214285714285721</v>
      </c>
      <c r="R57" s="53"/>
      <c r="T57" s="53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4036988459.6974998</v>
      </c>
      <c r="E59" s="39">
        <v>0</v>
      </c>
      <c r="F59" s="40" t="s">
        <v>47</v>
      </c>
      <c r="G59" s="71">
        <v>0.78169999999999995</v>
      </c>
      <c r="H59" s="52">
        <v>0.89839999999999998</v>
      </c>
      <c r="I59" s="42">
        <v>0.89749999999999996</v>
      </c>
      <c r="J59" s="44">
        <f t="shared" si="20"/>
        <v>0.89749999999999996</v>
      </c>
      <c r="K59" s="39">
        <v>0</v>
      </c>
      <c r="L59" s="46">
        <f t="shared" si="21"/>
        <v>-9.000000000000119E-4</v>
      </c>
      <c r="M59" s="46">
        <f t="shared" si="22"/>
        <v>-0.10017809439002805</v>
      </c>
      <c r="N59" s="76">
        <v>440321</v>
      </c>
      <c r="O59" s="77">
        <v>395186.79</v>
      </c>
      <c r="P59" s="72">
        <f t="shared" si="24"/>
        <v>0</v>
      </c>
      <c r="Q59" s="49">
        <f t="shared" si="23"/>
        <v>0.1481386721248561</v>
      </c>
      <c r="R59" s="53"/>
      <c r="S59" s="53"/>
      <c r="T59" s="53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1204334805.6508999</v>
      </c>
      <c r="E60" s="39">
        <v>0</v>
      </c>
      <c r="F60" s="40" t="s">
        <v>92</v>
      </c>
      <c r="G60" s="71">
        <v>0.59499999999999997</v>
      </c>
      <c r="H60" s="42">
        <v>1.4988999999999999</v>
      </c>
      <c r="I60" s="42">
        <v>1.4959</v>
      </c>
      <c r="J60" s="44">
        <f t="shared" si="20"/>
        <v>1.4959</v>
      </c>
      <c r="K60" s="39">
        <v>0</v>
      </c>
      <c r="L60" s="46">
        <f t="shared" si="21"/>
        <v>-2.9999999999998916E-3</v>
      </c>
      <c r="M60" s="46">
        <f t="shared" si="22"/>
        <v>-0.20014677430114694</v>
      </c>
      <c r="N60" s="51">
        <v>457033</v>
      </c>
      <c r="O60" s="37">
        <v>683655.67</v>
      </c>
      <c r="P60" s="72">
        <f t="shared" si="24"/>
        <v>0</v>
      </c>
      <c r="Q60" s="49">
        <f t="shared" si="23"/>
        <v>1.5141176470588236</v>
      </c>
      <c r="T60" s="53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93987583.738999993</v>
      </c>
      <c r="E61" s="39">
        <v>0</v>
      </c>
      <c r="F61" s="40" t="s">
        <v>34</v>
      </c>
      <c r="G61" s="71">
        <v>0.22600000000000001</v>
      </c>
      <c r="H61" s="42">
        <v>0.3639</v>
      </c>
      <c r="I61" s="42">
        <v>0.36049999999999999</v>
      </c>
      <c r="J61" s="44">
        <f t="shared" si="20"/>
        <v>0.36049999999999999</v>
      </c>
      <c r="K61" s="39">
        <v>0</v>
      </c>
      <c r="L61" s="46">
        <f t="shared" si="21"/>
        <v>-3.4000000000000141E-3</v>
      </c>
      <c r="M61" s="46">
        <f t="shared" si="22"/>
        <v>-0.93432261610332901</v>
      </c>
      <c r="N61" s="51">
        <v>14996</v>
      </c>
      <c r="O61" s="37">
        <v>5406.42</v>
      </c>
      <c r="P61" s="72">
        <f t="shared" si="24"/>
        <v>0</v>
      </c>
      <c r="Q61" s="49">
        <f t="shared" si="23"/>
        <v>0.59513274336283173</v>
      </c>
      <c r="T61" s="53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403198929.95359999</v>
      </c>
      <c r="E62" s="39">
        <v>0</v>
      </c>
      <c r="F62" s="40" t="s">
        <v>34</v>
      </c>
      <c r="G62" s="71">
        <v>0.49440000000000001</v>
      </c>
      <c r="H62" s="42">
        <v>0.71919999999999995</v>
      </c>
      <c r="I62" s="42">
        <v>0.71719999999999995</v>
      </c>
      <c r="J62" s="44">
        <f t="shared" si="20"/>
        <v>0.71719999999999995</v>
      </c>
      <c r="K62" s="39">
        <v>0</v>
      </c>
      <c r="L62" s="46">
        <f t="shared" si="21"/>
        <v>-2.0000000000000018E-3</v>
      </c>
      <c r="M62" s="46">
        <f t="shared" si="22"/>
        <v>-0.27808676307007812</v>
      </c>
      <c r="N62" s="51">
        <v>2299</v>
      </c>
      <c r="O62" s="37">
        <v>1648.77</v>
      </c>
      <c r="P62" s="72">
        <f t="shared" si="24"/>
        <v>0</v>
      </c>
      <c r="Q62" s="49">
        <f t="shared" si="23"/>
        <v>0.45064724919093835</v>
      </c>
      <c r="R62" s="53"/>
      <c r="T62" s="53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77534687.644500002</v>
      </c>
      <c r="E63" s="39">
        <v>0</v>
      </c>
      <c r="F63" s="40" t="s">
        <v>34</v>
      </c>
      <c r="G63" s="71">
        <v>0.25950000000000001</v>
      </c>
      <c r="H63" s="42">
        <v>0.21329999999999999</v>
      </c>
      <c r="I63" s="42">
        <v>0.2127</v>
      </c>
      <c r="J63" s="44">
        <f t="shared" si="20"/>
        <v>0.2127</v>
      </c>
      <c r="K63" s="39">
        <v>0</v>
      </c>
      <c r="L63" s="46">
        <f t="shared" si="21"/>
        <v>-5.9999999999998943E-4</v>
      </c>
      <c r="M63" s="46">
        <f t="shared" si="22"/>
        <v>-0.28129395218002318</v>
      </c>
      <c r="N63" s="51">
        <v>53179</v>
      </c>
      <c r="O63" s="37">
        <v>11313.1</v>
      </c>
      <c r="P63" s="72">
        <f t="shared" si="24"/>
        <v>0</v>
      </c>
      <c r="Q63" s="49">
        <f t="shared" si="23"/>
        <v>-0.18034682080924858</v>
      </c>
      <c r="R63" s="53"/>
      <c r="T63" s="53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41073993.931199998</v>
      </c>
      <c r="E65" s="39">
        <v>0</v>
      </c>
      <c r="F65" s="40" t="s">
        <v>44</v>
      </c>
      <c r="G65" s="71">
        <v>4.2999999999999997E-2</v>
      </c>
      <c r="H65" s="42">
        <v>0.1195</v>
      </c>
      <c r="I65" s="42">
        <v>0.1192</v>
      </c>
      <c r="J65" s="44">
        <f t="shared" si="20"/>
        <v>0.1192</v>
      </c>
      <c r="K65" s="39">
        <v>0</v>
      </c>
      <c r="L65" s="46">
        <f t="shared" si="21"/>
        <v>-2.9999999999999472E-4</v>
      </c>
      <c r="M65" s="46">
        <f t="shared" si="22"/>
        <v>-0.25104602510459806</v>
      </c>
      <c r="N65" s="51">
        <v>492</v>
      </c>
      <c r="O65" s="37">
        <v>58.64</v>
      </c>
      <c r="P65" s="72">
        <f t="shared" si="24"/>
        <v>0</v>
      </c>
      <c r="Q65" s="49">
        <f t="shared" si="23"/>
        <v>1.7720930232558141</v>
      </c>
      <c r="T65" s="53"/>
    </row>
    <row r="66" spans="1:20" ht="13.5" x14ac:dyDescent="0.3">
      <c r="A66" s="78"/>
      <c r="B66" s="36" t="s">
        <v>117</v>
      </c>
      <c r="C66" s="40"/>
      <c r="D66" s="79"/>
      <c r="E66" s="79"/>
      <c r="F66" s="40"/>
      <c r="G66" s="40"/>
      <c r="H66" s="42"/>
      <c r="I66" s="42"/>
      <c r="J66" s="42"/>
      <c r="K66" s="42"/>
      <c r="L66" s="46"/>
      <c r="M66" s="80"/>
      <c r="N66" s="62">
        <f>SUM(N50:N65)</f>
        <v>2147528</v>
      </c>
      <c r="O66" s="63">
        <f>SUM(O50:O65)</f>
        <v>2019147.5999999999</v>
      </c>
      <c r="P66" s="81"/>
      <c r="Q66" s="64"/>
    </row>
    <row r="67" spans="1:20" ht="12.75" hidden="1" x14ac:dyDescent="0.25">
      <c r="A67" s="142" t="s">
        <v>152</v>
      </c>
      <c r="B67" s="14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5"/>
    </row>
    <row r="68" spans="1:20" ht="12.75" hidden="1" thickBot="1" x14ac:dyDescent="0.25">
      <c r="A68" s="82" t="s">
        <v>153</v>
      </c>
      <c r="B68" s="83" t="s">
        <v>154</v>
      </c>
      <c r="C68" s="84">
        <v>20000</v>
      </c>
      <c r="D68" s="85">
        <f>C68*J68</f>
        <v>0</v>
      </c>
      <c r="E68" s="85"/>
      <c r="F68" s="84" t="s">
        <v>155</v>
      </c>
      <c r="G68" s="84"/>
      <c r="H68" s="86">
        <v>100</v>
      </c>
      <c r="I68" s="86"/>
      <c r="J68" s="86"/>
      <c r="K68" s="86"/>
      <c r="L68" s="87">
        <f>I68-H68</f>
        <v>-100</v>
      </c>
      <c r="M68" s="88">
        <f>((I68-H68)/H68)*100</f>
        <v>-100</v>
      </c>
      <c r="N68" s="89" t="s">
        <v>57</v>
      </c>
      <c r="O68" s="89" t="s">
        <v>57</v>
      </c>
      <c r="P68" s="89"/>
      <c r="Q68" s="90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80"/>
      <c r="N69" s="91"/>
      <c r="O69" s="91"/>
      <c r="P69" s="91"/>
      <c r="Q69" s="64"/>
    </row>
    <row r="70" spans="1:20" ht="12.75" x14ac:dyDescent="0.25">
      <c r="A70" s="142" t="s">
        <v>156</v>
      </c>
      <c r="B70" s="143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5"/>
    </row>
    <row r="71" spans="1:20" x14ac:dyDescent="0.2">
      <c r="A71" s="35" t="s">
        <v>157</v>
      </c>
      <c r="B71" s="92" t="s">
        <v>158</v>
      </c>
      <c r="C71" s="93">
        <v>139300587</v>
      </c>
      <c r="D71" s="38">
        <f>C71*J71</f>
        <v>45969193.710000001</v>
      </c>
      <c r="E71" s="39">
        <f>C71*K71</f>
        <v>45969193.710000001</v>
      </c>
      <c r="F71" s="93" t="s">
        <v>159</v>
      </c>
      <c r="G71" s="93">
        <v>0.24</v>
      </c>
      <c r="H71" s="94">
        <v>0.33019999999999999</v>
      </c>
      <c r="I71" s="94">
        <v>0.33</v>
      </c>
      <c r="J71" s="95">
        <f>I71</f>
        <v>0.33</v>
      </c>
      <c r="K71" s="95">
        <f>J71</f>
        <v>0.33</v>
      </c>
      <c r="L71" s="46">
        <f>I71-H71</f>
        <v>-1.9999999999997797E-4</v>
      </c>
      <c r="M71" s="46">
        <f>((I71-H71)/H71)*100</f>
        <v>-6.0569351907927914E-2</v>
      </c>
      <c r="N71" s="96">
        <v>1461</v>
      </c>
      <c r="O71" s="97">
        <v>482.13</v>
      </c>
      <c r="P71" s="72">
        <f>(R71)/J71</f>
        <v>0</v>
      </c>
      <c r="Q71" s="49">
        <f>J71/G71-1</f>
        <v>0.37500000000000022</v>
      </c>
      <c r="T71" s="53"/>
    </row>
    <row r="72" spans="1:20" x14ac:dyDescent="0.2">
      <c r="A72" s="35" t="s">
        <v>160</v>
      </c>
      <c r="B72" s="92" t="s">
        <v>161</v>
      </c>
      <c r="C72" s="93">
        <v>540751750</v>
      </c>
      <c r="D72" s="38">
        <f>C72*J72</f>
        <v>90143316.724999994</v>
      </c>
      <c r="E72" s="39">
        <f>C72*K72</f>
        <v>90143316.724999994</v>
      </c>
      <c r="F72" s="93" t="s">
        <v>159</v>
      </c>
      <c r="G72" s="93">
        <v>0.1</v>
      </c>
      <c r="H72" s="94">
        <v>0.16400000000000001</v>
      </c>
      <c r="I72" s="94">
        <v>0.16669999999999999</v>
      </c>
      <c r="J72" s="95">
        <f>I72</f>
        <v>0.16669999999999999</v>
      </c>
      <c r="K72" s="95">
        <f>J72</f>
        <v>0.16669999999999999</v>
      </c>
      <c r="L72" s="46">
        <f>I72-H72</f>
        <v>2.6999999999999802E-3</v>
      </c>
      <c r="M72" s="46">
        <f>((I72-H72)/H72)*100</f>
        <v>1.6463414634146221</v>
      </c>
      <c r="N72" s="51">
        <v>2851</v>
      </c>
      <c r="O72" s="97">
        <v>475.33</v>
      </c>
      <c r="P72" s="98">
        <f>(R72)/J72</f>
        <v>2.2747450509898022E-2</v>
      </c>
      <c r="Q72" s="49">
        <f>J72/G72-1</f>
        <v>0.66699999999999982</v>
      </c>
      <c r="R72" s="5">
        <v>3.7919999999999998E-3</v>
      </c>
      <c r="T72" s="53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80"/>
      <c r="N73" s="62">
        <f>SUM(N71:N72)</f>
        <v>4312</v>
      </c>
      <c r="O73" s="63">
        <f>SUM(O71:O72)</f>
        <v>957.46</v>
      </c>
      <c r="P73" s="91"/>
      <c r="Q73" s="64"/>
    </row>
    <row r="74" spans="1:20" ht="12.75" x14ac:dyDescent="0.25">
      <c r="A74" s="142" t="s">
        <v>162</v>
      </c>
      <c r="B74" s="143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5"/>
    </row>
    <row r="75" spans="1:20" x14ac:dyDescent="0.2">
      <c r="A75" s="35" t="s">
        <v>163</v>
      </c>
      <c r="B75" s="92" t="s">
        <v>164</v>
      </c>
      <c r="C75" s="93">
        <v>64242951</v>
      </c>
      <c r="D75" s="38">
        <f>C75*J75</f>
        <v>7426485.1355999997</v>
      </c>
      <c r="E75" s="39">
        <f>C75*K75</f>
        <v>7426485.1355999997</v>
      </c>
      <c r="F75" s="93" t="s">
        <v>137</v>
      </c>
      <c r="G75" s="93">
        <v>0.1394</v>
      </c>
      <c r="H75" s="94">
        <v>0.1135</v>
      </c>
      <c r="I75" s="94">
        <v>0.11559999999999999</v>
      </c>
      <c r="J75" s="95">
        <f>I75</f>
        <v>0.11559999999999999</v>
      </c>
      <c r="K75" s="95">
        <f>J75</f>
        <v>0.11559999999999999</v>
      </c>
      <c r="L75" s="46">
        <f>I75-H75</f>
        <v>2.0999999999999908E-3</v>
      </c>
      <c r="M75" s="46">
        <f>((I75-H75)/H75)*100</f>
        <v>1.8502202643171723</v>
      </c>
      <c r="N75" s="96">
        <v>725</v>
      </c>
      <c r="O75" s="97">
        <v>83.82</v>
      </c>
      <c r="P75" s="72">
        <f>(R75)/J75</f>
        <v>0</v>
      </c>
      <c r="Q75" s="49">
        <f>J75/G75-1</f>
        <v>-0.17073170731707321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80"/>
      <c r="N76" s="62"/>
      <c r="O76" s="63"/>
      <c r="P76" s="91"/>
      <c r="Q76" s="64"/>
    </row>
    <row r="77" spans="1:20" ht="12.75" x14ac:dyDescent="0.25">
      <c r="A77" s="138" t="s">
        <v>165</v>
      </c>
      <c r="B77" s="139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1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153891.68972379982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4.8541332945002671E-3</v>
      </c>
      <c r="K78" s="45">
        <f>I78/$K$4</f>
        <v>4.0625000000000001E-3</v>
      </c>
      <c r="L78" s="46">
        <f>I78-H78</f>
        <v>0</v>
      </c>
      <c r="M78" s="99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0.23809523809523814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406737.69234503177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2.9871589504617026E-3</v>
      </c>
      <c r="K79" s="45">
        <f>I79/$K$4</f>
        <v>2.5000000000000001E-3</v>
      </c>
      <c r="L79" s="46">
        <f>I79-H79</f>
        <v>0</v>
      </c>
      <c r="M79" s="99">
        <f>((I79-H79)/H79)*100</f>
        <v>0</v>
      </c>
      <c r="N79" s="37">
        <v>20000</v>
      </c>
      <c r="O79" s="37">
        <v>1600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1461524.983477277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4.4807384256925539E-3</v>
      </c>
      <c r="K80" s="45">
        <f>I80/$K$4</f>
        <v>3.7499999999999999E-3</v>
      </c>
      <c r="L80" s="46">
        <f>I80-H80</f>
        <v>0</v>
      </c>
      <c r="M80" s="99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421397.45158002037</v>
      </c>
      <c r="E81" s="39">
        <f>C81*K81</f>
        <v>352674.11156250001</v>
      </c>
      <c r="F81" s="40" t="s">
        <v>137</v>
      </c>
      <c r="G81" s="71">
        <v>1.85</v>
      </c>
      <c r="H81" s="42">
        <v>1.69</v>
      </c>
      <c r="I81" s="42">
        <v>1.69</v>
      </c>
      <c r="J81" s="44">
        <f>I81/$J$5</f>
        <v>6.310373282850347E-2</v>
      </c>
      <c r="K81" s="45">
        <f>I81/$K$4</f>
        <v>5.2812499999999998E-2</v>
      </c>
      <c r="L81" s="46">
        <f>I81-H81</f>
        <v>0</v>
      </c>
      <c r="M81" s="99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20000</v>
      </c>
      <c r="O82" s="63">
        <f>SUM(O78:O81)</f>
        <v>1600</v>
      </c>
      <c r="P82" s="81"/>
      <c r="Q82" s="64"/>
      <c r="V82" s="100"/>
      <c r="W82" s="100"/>
      <c r="DU82" s="101"/>
      <c r="DV82" s="101"/>
      <c r="DW82" s="102"/>
      <c r="DX82" s="103"/>
      <c r="DY82" s="103"/>
      <c r="DZ82" s="104"/>
      <c r="EA82" s="104"/>
      <c r="EB82" s="105"/>
      <c r="EC82" s="105"/>
      <c r="ED82" s="106"/>
      <c r="EE82" s="106"/>
      <c r="EF82" s="104"/>
      <c r="EG82" s="107"/>
      <c r="EH82" s="108"/>
      <c r="EI82" s="102"/>
      <c r="EJ82" s="101"/>
      <c r="EK82" s="101"/>
      <c r="EL82" s="102"/>
      <c r="EM82" s="103"/>
      <c r="EN82" s="103"/>
      <c r="EO82" s="104"/>
      <c r="EP82" s="104"/>
      <c r="EQ82" s="105"/>
      <c r="ER82" s="105"/>
      <c r="ES82" s="106"/>
      <c r="ET82" s="106"/>
      <c r="EU82" s="104"/>
      <c r="EV82" s="107"/>
      <c r="EW82" s="108"/>
      <c r="EX82" s="102"/>
      <c r="EY82" s="101"/>
      <c r="EZ82" s="101"/>
      <c r="FA82" s="102"/>
      <c r="FB82" s="103"/>
      <c r="FC82" s="103"/>
      <c r="FD82" s="104"/>
      <c r="FE82" s="104"/>
      <c r="FF82" s="105"/>
      <c r="FG82" s="105"/>
      <c r="FH82" s="106"/>
      <c r="FI82" s="106"/>
      <c r="FJ82" s="104"/>
      <c r="FK82" s="107"/>
      <c r="FL82" s="108"/>
      <c r="FM82" s="102"/>
      <c r="FN82" s="101"/>
      <c r="FO82" s="101"/>
      <c r="FP82" s="102"/>
      <c r="FQ82" s="103"/>
      <c r="FR82" s="103"/>
      <c r="FS82" s="104"/>
      <c r="FT82" s="104"/>
      <c r="FU82" s="105"/>
      <c r="FV82" s="105"/>
      <c r="FW82" s="106"/>
      <c r="FX82" s="106"/>
      <c r="FY82" s="104"/>
      <c r="FZ82" s="107"/>
      <c r="GA82" s="108"/>
      <c r="GB82" s="102"/>
      <c r="GC82" s="101"/>
      <c r="GD82" s="101"/>
      <c r="GE82" s="102"/>
      <c r="GF82" s="103"/>
      <c r="GG82" s="103"/>
      <c r="GH82" s="104"/>
      <c r="GI82" s="104"/>
      <c r="GJ82" s="105"/>
      <c r="GK82" s="105"/>
      <c r="GL82" s="106"/>
      <c r="GM82" s="106"/>
      <c r="GN82" s="104"/>
      <c r="GO82" s="107"/>
      <c r="GP82" s="108"/>
      <c r="GQ82" s="102"/>
      <c r="GR82" s="101"/>
      <c r="GS82" s="101"/>
      <c r="GT82" s="102"/>
      <c r="GU82" s="103"/>
      <c r="GV82" s="103"/>
      <c r="GW82" s="104"/>
      <c r="GX82" s="104"/>
      <c r="GY82" s="105"/>
      <c r="GZ82" s="105"/>
      <c r="HA82" s="106"/>
      <c r="HB82" s="106"/>
      <c r="HC82" s="104"/>
      <c r="HD82" s="107"/>
      <c r="HE82" s="108"/>
      <c r="HF82" s="102"/>
      <c r="HG82" s="101"/>
      <c r="HH82" s="101"/>
      <c r="HI82" s="102"/>
      <c r="HJ82" s="103"/>
      <c r="HK82" s="103"/>
      <c r="HL82" s="104"/>
      <c r="HM82" s="104"/>
      <c r="HN82" s="105"/>
      <c r="HO82" s="105"/>
      <c r="HP82" s="106"/>
      <c r="HQ82" s="106"/>
      <c r="HR82" s="104"/>
      <c r="HS82" s="107"/>
      <c r="HT82" s="108"/>
      <c r="HU82" s="102"/>
      <c r="HV82" s="101"/>
      <c r="HW82" s="101"/>
      <c r="HX82" s="102"/>
      <c r="HY82" s="103"/>
      <c r="HZ82" s="103"/>
      <c r="IA82" s="104"/>
      <c r="IB82" s="104"/>
      <c r="IC82" s="105"/>
      <c r="ID82" s="105"/>
      <c r="IE82" s="106"/>
      <c r="IF82" s="106"/>
      <c r="IG82" s="104"/>
      <c r="IH82" s="107"/>
      <c r="II82" s="108"/>
    </row>
    <row r="83" spans="1:243" ht="13.5" thickTop="1" x14ac:dyDescent="0.25">
      <c r="A83" s="142" t="s">
        <v>174</v>
      </c>
      <c r="B83" s="143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5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27506225.911363523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7.4678973761542561E-2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9">
        <v>0</v>
      </c>
      <c r="O84" s="77">
        <v>0</v>
      </c>
      <c r="P84" s="52">
        <f>(R84)/J84</f>
        <v>0</v>
      </c>
      <c r="Q84" s="49">
        <f>I84/G84-1</f>
        <v>0.53846153846153832</v>
      </c>
      <c r="R84" s="53"/>
    </row>
    <row r="85" spans="1:243" s="110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77064171.828850716</v>
      </c>
      <c r="E85" s="39">
        <f>C85*K85</f>
        <v>64496209.53125</v>
      </c>
      <c r="F85" s="40" t="s">
        <v>177</v>
      </c>
      <c r="G85" s="40">
        <v>1.44347</v>
      </c>
      <c r="H85" s="42">
        <v>1.081769</v>
      </c>
      <c r="I85" s="42">
        <v>1.121</v>
      </c>
      <c r="J85" s="44">
        <f>I85/$J$5</f>
        <v>4.1857564793344605E-2</v>
      </c>
      <c r="K85" s="45">
        <f>I85/$K$4</f>
        <v>3.503125E-2</v>
      </c>
      <c r="L85" s="46">
        <f>I85-H85</f>
        <v>3.9231000000000016E-2</v>
      </c>
      <c r="M85" s="46">
        <f>((I85-H85)/H85*100)</f>
        <v>3.6265598293166121</v>
      </c>
      <c r="N85" s="77">
        <v>517</v>
      </c>
      <c r="O85" s="77">
        <v>577.59249999999997</v>
      </c>
      <c r="P85" s="48">
        <f>(R85)/J85</f>
        <v>5.198582408563783E-2</v>
      </c>
      <c r="Q85" s="49">
        <f>I85/G85-1</f>
        <v>-0.22339917005549126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2"/>
      <c r="B86" s="83"/>
      <c r="C86" s="84"/>
      <c r="D86" s="111"/>
      <c r="E86" s="85"/>
      <c r="F86" s="84"/>
      <c r="G86" s="84"/>
      <c r="H86" s="86"/>
      <c r="I86" s="86"/>
      <c r="J86" s="86"/>
      <c r="K86" s="86"/>
      <c r="L86" s="87"/>
      <c r="M86" s="87"/>
      <c r="N86" s="87"/>
      <c r="O86" s="87"/>
      <c r="P86" s="87"/>
      <c r="Q86" s="90"/>
    </row>
    <row r="87" spans="1:243" ht="12.75" thickBot="1" x14ac:dyDescent="0.25">
      <c r="A87" s="112"/>
      <c r="B87" s="113"/>
      <c r="C87" s="113"/>
      <c r="D87" s="113"/>
      <c r="E87" s="113"/>
      <c r="F87" s="74"/>
      <c r="G87" s="74"/>
      <c r="H87" s="60"/>
      <c r="M87" s="114"/>
      <c r="N87" s="114"/>
      <c r="O87" s="60"/>
      <c r="P87" s="60"/>
      <c r="Q87" s="115"/>
    </row>
    <row r="88" spans="1:243" ht="15" customHeight="1" thickBot="1" x14ac:dyDescent="0.25">
      <c r="A88" s="146" t="s">
        <v>180</v>
      </c>
      <c r="B88" s="147"/>
      <c r="C88" s="147"/>
      <c r="D88" s="148"/>
      <c r="E88" s="146" t="s">
        <v>181</v>
      </c>
      <c r="F88" s="147"/>
      <c r="G88" s="147"/>
      <c r="H88" s="148"/>
      <c r="I88" s="53"/>
      <c r="J88" s="116" t="s">
        <v>182</v>
      </c>
      <c r="K88" s="117"/>
      <c r="L88" s="118"/>
      <c r="M88" s="116" t="s">
        <v>183</v>
      </c>
      <c r="N88" s="117"/>
      <c r="O88" s="118"/>
    </row>
    <row r="89" spans="1:243" ht="15" customHeight="1" x14ac:dyDescent="0.2">
      <c r="A89" s="35" t="s">
        <v>35</v>
      </c>
      <c r="B89" s="119">
        <v>8.9800000000000005E-2</v>
      </c>
      <c r="D89" s="119">
        <v>14.980793854033292</v>
      </c>
      <c r="E89" s="35" t="s">
        <v>68</v>
      </c>
      <c r="F89" s="120">
        <v>9.820000000000001E-2</v>
      </c>
      <c r="H89" s="121">
        <v>-0.80808080808080318</v>
      </c>
      <c r="J89" s="35" t="s">
        <v>133</v>
      </c>
      <c r="K89" s="52">
        <v>2.4899999999999999E-2</v>
      </c>
      <c r="L89" s="122">
        <v>16.901408450704221</v>
      </c>
      <c r="M89" s="35" t="s">
        <v>127</v>
      </c>
      <c r="N89" s="120">
        <v>0.15140000000000001</v>
      </c>
      <c r="O89" s="121">
        <v>-3.4438775510204009</v>
      </c>
    </row>
    <row r="90" spans="1:243" ht="15" customHeight="1" x14ac:dyDescent="0.2">
      <c r="A90" s="35" t="s">
        <v>50</v>
      </c>
      <c r="B90" s="119">
        <v>6</v>
      </c>
      <c r="D90" s="119">
        <v>9.0809926370330025</v>
      </c>
      <c r="E90" s="35"/>
      <c r="F90" s="120"/>
      <c r="H90" s="121"/>
      <c r="J90" s="35" t="s">
        <v>121</v>
      </c>
      <c r="K90" s="52">
        <v>39.811500000000002</v>
      </c>
      <c r="L90" s="122">
        <v>16.349379844055047</v>
      </c>
      <c r="M90" s="35" t="s">
        <v>129</v>
      </c>
      <c r="N90" s="120">
        <v>1.5085999999999999</v>
      </c>
      <c r="O90" s="121">
        <v>-2.0007795244900715</v>
      </c>
    </row>
    <row r="91" spans="1:243" ht="15" customHeight="1" x14ac:dyDescent="0.2">
      <c r="A91" s="35" t="s">
        <v>81</v>
      </c>
      <c r="B91" s="119">
        <v>6.5</v>
      </c>
      <c r="C91" s="119"/>
      <c r="D91" s="119">
        <v>8.3333333333333321</v>
      </c>
      <c r="E91" s="123"/>
      <c r="F91" s="124"/>
      <c r="G91" s="124"/>
      <c r="H91" s="125"/>
      <c r="J91" s="35" t="s">
        <v>123</v>
      </c>
      <c r="K91" s="52">
        <v>0.22969999999999999</v>
      </c>
      <c r="L91" s="122">
        <v>5.4637281910009152</v>
      </c>
      <c r="M91" s="35" t="s">
        <v>142</v>
      </c>
      <c r="N91" s="120">
        <v>0.36049999999999999</v>
      </c>
      <c r="O91" s="121">
        <v>-0.93432261610332901</v>
      </c>
    </row>
    <row r="92" spans="1:243" ht="15" customHeight="1" x14ac:dyDescent="0.2">
      <c r="A92" s="35" t="s">
        <v>99</v>
      </c>
      <c r="B92" s="119">
        <v>0.85433000000000003</v>
      </c>
      <c r="C92" s="119"/>
      <c r="D92" s="119">
        <v>7.861505791213327</v>
      </c>
      <c r="E92" s="123"/>
      <c r="F92" s="124"/>
      <c r="G92" s="124"/>
      <c r="H92" s="125"/>
      <c r="J92" s="35" t="s">
        <v>119</v>
      </c>
      <c r="K92" s="52">
        <v>0.16420000000000001</v>
      </c>
      <c r="L92" s="122">
        <v>4.1217501585288554</v>
      </c>
      <c r="M92" s="35" t="s">
        <v>146</v>
      </c>
      <c r="N92" s="120">
        <v>0.2127</v>
      </c>
      <c r="O92" s="121">
        <v>-0.28129395218002318</v>
      </c>
    </row>
    <row r="93" spans="1:243" ht="15" customHeight="1" x14ac:dyDescent="0.2">
      <c r="A93" s="35" t="s">
        <v>40</v>
      </c>
      <c r="B93" s="119">
        <v>177.1438</v>
      </c>
      <c r="C93" s="119"/>
      <c r="D93" s="119">
        <v>6.2331634182908537</v>
      </c>
      <c r="E93" s="123"/>
      <c r="F93" s="124"/>
      <c r="G93" s="124"/>
      <c r="H93" s="125"/>
      <c r="J93" s="123" t="s">
        <v>131</v>
      </c>
      <c r="K93" s="124">
        <v>0.12909999999999999</v>
      </c>
      <c r="L93" s="125">
        <v>3.1974420463629123</v>
      </c>
      <c r="M93" s="35" t="s">
        <v>144</v>
      </c>
      <c r="N93" s="120">
        <v>0.71719999999999995</v>
      </c>
      <c r="O93" s="121">
        <v>-0.27808676307007812</v>
      </c>
    </row>
    <row r="94" spans="1:243" ht="15.75" customHeight="1" thickBot="1" x14ac:dyDescent="0.25">
      <c r="A94" s="126"/>
      <c r="B94" s="127"/>
      <c r="C94" s="127"/>
      <c r="D94" s="127"/>
      <c r="E94" s="126"/>
      <c r="F94" s="127"/>
      <c r="G94" s="127"/>
      <c r="H94" s="128"/>
      <c r="J94" s="126"/>
      <c r="K94" s="127"/>
      <c r="L94" s="128"/>
      <c r="M94" s="127"/>
      <c r="N94" s="127"/>
      <c r="O94" s="128"/>
    </row>
    <row r="95" spans="1:243" x14ac:dyDescent="0.2">
      <c r="A95" s="129"/>
      <c r="B95" s="130"/>
      <c r="C95" s="130"/>
      <c r="D95" s="130"/>
      <c r="E95" s="114"/>
      <c r="F95" s="114"/>
      <c r="G95" s="114"/>
      <c r="H95" s="114"/>
      <c r="I95" s="114"/>
      <c r="J95" s="114"/>
      <c r="K95" s="114"/>
      <c r="L95" s="114"/>
      <c r="M95" s="130"/>
      <c r="Q95" s="16"/>
    </row>
    <row r="96" spans="1:243" x14ac:dyDescent="0.2">
      <c r="A96" s="12" t="s">
        <v>184</v>
      </c>
      <c r="B96" s="131"/>
      <c r="C96" s="131"/>
      <c r="D96" s="131"/>
      <c r="E96" s="131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9"/>
      <c r="B97" s="130"/>
      <c r="C97" s="130"/>
      <c r="D97" s="130"/>
      <c r="E97" s="130"/>
      <c r="F97" s="114"/>
      <c r="G97" s="114"/>
      <c r="H97" s="130"/>
      <c r="I97" s="114"/>
      <c r="J97" s="114"/>
      <c r="K97" s="114"/>
      <c r="L97" s="114"/>
      <c r="M97" s="130"/>
      <c r="Q97" s="16"/>
    </row>
    <row r="98" spans="1:17" ht="12.75" thickBot="1" x14ac:dyDescent="0.25">
      <c r="A98" s="132"/>
      <c r="B98" s="133"/>
      <c r="C98" s="133"/>
      <c r="D98" s="133"/>
      <c r="E98" s="133"/>
      <c r="F98" s="134"/>
      <c r="G98" s="134"/>
      <c r="H98" s="134"/>
      <c r="I98" s="135"/>
      <c r="J98" s="135"/>
      <c r="K98" s="135"/>
      <c r="L98" s="135"/>
      <c r="M98" s="135"/>
      <c r="N98" s="135"/>
      <c r="O98" s="135"/>
      <c r="P98" s="135"/>
      <c r="Q98" s="136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7"/>
      <c r="J102" s="137"/>
      <c r="K102" s="137"/>
      <c r="O102" s="137"/>
      <c r="P102" s="137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7"/>
      <c r="J105" s="137"/>
      <c r="K105" s="137"/>
      <c r="O105" s="137"/>
      <c r="P105" s="137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7"/>
      <c r="J107" s="137"/>
      <c r="K107" s="137"/>
      <c r="O107" s="137"/>
      <c r="P107" s="137"/>
    </row>
  </sheetData>
  <sheetProtection algorithmName="SHA-512" hashValue="BMn6lNt3zlg7wG+F3SxZ49tIwV+79oe4ygQaDHqkYvasg3Lkpe0EsCd4w9+1MJgqDKxKLkQWvGIV/7mvUzU++w==" saltValue="LPGIjD8HLWI+eLEArRfXXw==" spinCount="100000" sheet="1" objects="1" scenarios="1"/>
  <mergeCells count="10">
    <mergeCell ref="A77:Q77"/>
    <mergeCell ref="A83:Q83"/>
    <mergeCell ref="A88:D88"/>
    <mergeCell ref="E88:H88"/>
    <mergeCell ref="L5:M5"/>
    <mergeCell ref="A6:Q6"/>
    <mergeCell ref="A49:Q49"/>
    <mergeCell ref="A67:Q67"/>
    <mergeCell ref="A70:Q70"/>
    <mergeCell ref="A74:Q74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2026-10-01T13:09:24Z</dcterms:created>
  <dcterms:modified xsi:type="dcterms:W3CDTF">2026-10-01T13:10:15Z</dcterms:modified>
</cp:coreProperties>
</file>