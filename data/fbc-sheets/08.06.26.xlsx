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8.06.26/"/>
    </mc:Choice>
  </mc:AlternateContent>
  <xr:revisionPtr revIDLastSave="0" documentId="8_{BC47A2C9-9089-411C-9B02-38F271B8D9C4}" xr6:coauthVersionLast="47" xr6:coauthVersionMax="47" xr10:uidLastSave="{00000000-0000-0000-0000-000000000000}"/>
  <bookViews>
    <workbookView xWindow="-108" yWindow="-108" windowWidth="23256" windowHeight="12456" xr2:uid="{0207025D-C553-4321-9D2C-828D58753C61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D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J78" i="1"/>
  <c r="D78" i="1" s="1"/>
  <c r="E78" i="1"/>
  <c r="Q77" i="1"/>
  <c r="M77" i="1"/>
  <c r="L77" i="1"/>
  <c r="K77" i="1"/>
  <c r="J77" i="1"/>
  <c r="E77" i="1"/>
  <c r="D77" i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D71" i="1"/>
  <c r="M70" i="1"/>
  <c r="L70" i="1"/>
  <c r="J70" i="1"/>
  <c r="K70" i="1" s="1"/>
  <c r="E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P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Q32" i="1"/>
  <c r="M32" i="1"/>
  <c r="L32" i="1"/>
  <c r="K32" i="1"/>
  <c r="E32" i="1" s="1"/>
  <c r="J32" i="1"/>
  <c r="D32" i="1" s="1"/>
  <c r="K31" i="1"/>
  <c r="J31" i="1"/>
  <c r="E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Q24" i="1"/>
  <c r="M24" i="1"/>
  <c r="L24" i="1"/>
  <c r="K24" i="1"/>
  <c r="J24" i="1"/>
  <c r="P24" i="1" s="1"/>
  <c r="E24" i="1"/>
  <c r="Q23" i="1"/>
  <c r="M23" i="1"/>
  <c r="L23" i="1"/>
  <c r="K23" i="1"/>
  <c r="E23" i="1" s="1"/>
  <c r="J23" i="1"/>
  <c r="P23" i="1" s="1"/>
  <c r="Q22" i="1"/>
  <c r="M22" i="1"/>
  <c r="L22" i="1"/>
  <c r="K22" i="1"/>
  <c r="J22" i="1"/>
  <c r="P22" i="1" s="1"/>
  <c r="E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15" i="1" l="1"/>
  <c r="D13" i="1"/>
  <c r="D17" i="1"/>
  <c r="D10" i="1"/>
  <c r="D22" i="1"/>
  <c r="D24" i="1"/>
  <c r="D33" i="1"/>
  <c r="P71" i="1"/>
  <c r="D14" i="1"/>
  <c r="P44" i="1"/>
  <c r="Q71" i="1"/>
  <c r="D9" i="1"/>
  <c r="P41" i="1"/>
  <c r="D59" i="1"/>
  <c r="P60" i="1"/>
  <c r="P58" i="1"/>
  <c r="P64" i="1"/>
  <c r="P20" i="1"/>
  <c r="P29" i="1"/>
  <c r="P35" i="1"/>
  <c r="Q54" i="1"/>
  <c r="Q60" i="1"/>
  <c r="Q64" i="1"/>
  <c r="P55" i="1"/>
  <c r="P57" i="1"/>
  <c r="P59" i="1"/>
  <c r="P61" i="1"/>
  <c r="P63" i="1"/>
  <c r="P56" i="1"/>
  <c r="P26" i="1"/>
  <c r="P32" i="1"/>
  <c r="Q56" i="1"/>
  <c r="P70" i="1"/>
  <c r="Q52" i="1"/>
  <c r="Q70" i="1"/>
  <c r="K74" i="1"/>
  <c r="E74" i="1" s="1"/>
  <c r="D23" i="1"/>
  <c r="P51" i="1"/>
  <c r="D70" i="1"/>
  <c r="P74" i="1"/>
  <c r="P54" i="1"/>
  <c r="P62" i="1"/>
  <c r="Q58" i="1"/>
  <c r="Q62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<sst xmlns="http://schemas.openxmlformats.org/spreadsheetml/2006/main" count="265" uniqueCount="182">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</sst>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AFE7BA97-D5DC-4947-9815-290AE9E03021}"/>
    <cellStyle name="Comma 5 2 2 2 2 2 2 2 2" xfId="4" xr:uid="{7A672D9A-6619-4191-8FAA-AE5FC16D8EEA}"/>
    <cellStyle name="Comma 6 2 2 2" xfId="5" xr:uid="{049DD762-B0E5-406D-A398-37ADD4DBA370}"/>
    <cellStyle name="Hyperlink 2" xfId="8" xr:uid="{793F987F-DD97-4931-966F-8FE509FF24A2}"/>
    <cellStyle name="Normal" xfId="0" builtinId="0"/>
    <cellStyle name="Normal 2" xfId="2" xr:uid="{55D2BEE9-BC7E-42DB-B284-7B9B6AFF8AE0}"/>
    <cellStyle name="Normal 20" xfId="7" xr:uid="{B91B2E60-EA3F-4ED3-AFCB-B033A1DB0CD3}"/>
    <cellStyle name="Percent" xfId="1" builtinId="5"/>
    <cellStyle name="Percent 3" xfId="6" xr:uid="{30F3B7CD-1DC5-4558-85E1-BB16AFB77DA5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6BD1AE2-4ED0-45CA-A6BF-C888A57E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7F12B9B-2276-4B5C-8E5A-D1D1E5EC5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3086-DE88-48FB-A2D4-B80384C43722}">
  <dimension ref="A1:II106"/>
  <sheetViews>
    <sheetView tabSelected="1" zoomScale="73" zoomScaleNormal="60" workbookViewId="0">
      <selection activeCell="J104" sqref="J10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26.8034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73536168.254773647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0.58947745435280596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2.5446265822784812E-2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3691958.6300680139</v>
      </c>
      <c r="E10" s="39">
        <f>C10*K10</f>
        <v>3141493.4585766667</v>
      </c>
      <c r="F10" s="40" t="s">
        <v>34</v>
      </c>
      <c r="G10" s="41">
        <v>3.1600000000000003E-2</v>
      </c>
      <c r="H10" s="42">
        <v>6.2994999999999995E-2</v>
      </c>
      <c r="I10" s="42">
        <v>6.0807E-2</v>
      </c>
      <c r="J10" s="43">
        <f>I10/$J$5</f>
        <v>2.2686300991665237E-3</v>
      </c>
      <c r="K10" s="44">
        <f>I10/$K$4</f>
        <v>1.9303809523809523E-3</v>
      </c>
      <c r="L10" s="45">
        <f>I10-H10</f>
        <v>-2.1879999999999955E-3</v>
      </c>
      <c r="M10" s="45">
        <f>((I10-H10)/H10)*100</f>
        <v>-3.4732915310738877</v>
      </c>
      <c r="N10" s="46">
        <v>2700</v>
      </c>
      <c r="O10" s="37">
        <v>164.18</v>
      </c>
      <c r="P10" s="50">
        <f>(R10)/J10</f>
        <v>0</v>
      </c>
      <c r="Q10" s="48">
        <f>I10/G10-1</f>
        <v>0.92427215189873402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3586672.5482588029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8.2079139213681838E-3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118474942.72842997</v>
      </c>
      <c r="E12" s="39">
        <f>C12*K12</f>
        <v>100810516.82308571</v>
      </c>
      <c r="F12" s="40" t="s">
        <v>34</v>
      </c>
      <c r="G12" s="41">
        <v>97.381</v>
      </c>
      <c r="H12" s="42">
        <v>153.90163899999999</v>
      </c>
      <c r="I12" s="42">
        <v>153.9016</v>
      </c>
      <c r="J12" s="43">
        <f>I12/$J$5</f>
        <v>5.7418685689128992</v>
      </c>
      <c r="K12" s="44">
        <f>I12/$K$4</f>
        <v>4.8857650793650791</v>
      </c>
      <c r="L12" s="45">
        <f>I12-H12</f>
        <v>-3.8999999986799594E-5</v>
      </c>
      <c r="M12" s="45">
        <f>((I12-H12)/H12)*100</f>
        <v>-2.5340860721307587E-5</v>
      </c>
      <c r="N12" s="46">
        <v>0</v>
      </c>
      <c r="O12" s="37">
        <v>0</v>
      </c>
      <c r="P12" s="50">
        <f>(R12)/J12</f>
        <v>0</v>
      </c>
      <c r="Q12" s="48">
        <f>I12/G12-1</f>
        <v>0.58040685554676985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4725647.9981644116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0.54099479916726978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350996753.02387011</v>
      </c>
      <c r="E14" s="39">
        <f>C14*K14</f>
        <v>298663694.28571427</v>
      </c>
      <c r="F14" s="40" t="s">
        <v>47</v>
      </c>
      <c r="G14" s="41">
        <v>11.5</v>
      </c>
      <c r="H14" s="42">
        <v>17.002199000000001</v>
      </c>
      <c r="I14" s="42">
        <v>18</v>
      </c>
      <c r="J14" s="43">
        <f>I14/$J$5</f>
        <v>0.67155659356648789</v>
      </c>
      <c r="K14" s="44">
        <f>I14/$K$4</f>
        <v>0.5714285714285714</v>
      </c>
      <c r="L14" s="45">
        <f>I14-H14</f>
        <v>0.99780099999999905</v>
      </c>
      <c r="M14" s="45">
        <f>((I14-H14)/H14)*100</f>
        <v>5.8686585188186484</v>
      </c>
      <c r="N14" s="46">
        <v>4900</v>
      </c>
      <c r="O14" s="37">
        <v>88200</v>
      </c>
      <c r="P14" s="50">
        <f>(R14)/J14</f>
        <v>0</v>
      </c>
      <c r="Q14" s="48">
        <f>I14/G14-1</f>
        <v>0.56521739130434789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23737482.931269914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0.22385219785549595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40069639.448726654</v>
      </c>
      <c r="E16" s="39">
        <f>C16*K16</f>
        <v>34095319.809523806</v>
      </c>
      <c r="F16" s="40" t="s">
        <v>34</v>
      </c>
      <c r="G16" s="41">
        <v>1.9</v>
      </c>
      <c r="H16" s="42">
        <v>2.9451990000000001</v>
      </c>
      <c r="I16" s="42">
        <v>3</v>
      </c>
      <c r="J16" s="43">
        <f>I16/$J$5</f>
        <v>0.11192609892774798</v>
      </c>
      <c r="K16" s="44">
        <f>I16/$K$4</f>
        <v>9.5238095238095233E-2</v>
      </c>
      <c r="L16" s="45">
        <f>I16-H16</f>
        <v>5.4800999999999878E-2</v>
      </c>
      <c r="M16" s="45">
        <f>((I16-H16)/H16)*100</f>
        <v>1.8606892097953271</v>
      </c>
      <c r="N16" s="46">
        <v>200</v>
      </c>
      <c r="O16" s="37">
        <v>600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1488722129.7020526</v>
      </c>
      <c r="E17" s="39">
        <f>C17*K17</f>
        <v>1266756023.2144761</v>
      </c>
      <c r="F17" s="40" t="s">
        <v>34</v>
      </c>
      <c r="G17" s="41">
        <v>20.701700000000002</v>
      </c>
      <c r="H17" s="42">
        <v>28.711361</v>
      </c>
      <c r="I17" s="42">
        <v>29.742399999999996</v>
      </c>
      <c r="J17" s="43">
        <f>I17/$J$5</f>
        <v>1.1096502682495504</v>
      </c>
      <c r="K17" s="44">
        <f>I17/$K$4</f>
        <v>0.94420317460317449</v>
      </c>
      <c r="L17" s="45">
        <f>I17-H17</f>
        <v>1.0310389999999963</v>
      </c>
      <c r="M17" s="45">
        <f>((I17-H17)/H17)*100</f>
        <v>3.5910488534486271</v>
      </c>
      <c r="N17" s="46">
        <v>270000</v>
      </c>
      <c r="O17" s="37">
        <v>8030450</v>
      </c>
      <c r="P17" s="47">
        <f>(R17)/J17</f>
        <v>4.505924202485341E-2</v>
      </c>
      <c r="Q17" s="48">
        <f>I17/G17-1</f>
        <v>0.43671292695768904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287046668.11486602</v>
      </c>
      <c r="E19" s="39">
        <f>C19*K19</f>
        <v>244248465.52857143</v>
      </c>
      <c r="F19" s="40" t="s">
        <v>47</v>
      </c>
      <c r="G19" s="41">
        <v>12.45</v>
      </c>
      <c r="H19" s="42">
        <v>11.45</v>
      </c>
      <c r="I19" s="42">
        <v>11.45</v>
      </c>
      <c r="J19" s="43">
        <f>I19/$J$5</f>
        <v>0.42718461090757143</v>
      </c>
      <c r="K19" s="44">
        <f>I19/$K$4</f>
        <v>0.36349206349206348</v>
      </c>
      <c r="L19" s="45">
        <f>I19-H19</f>
        <v>0</v>
      </c>
      <c r="M19" s="45">
        <f>((I19-H19)/H19)*100</f>
        <v>0</v>
      </c>
      <c r="N19" s="46">
        <v>0</v>
      </c>
      <c r="O19" s="37">
        <v>0</v>
      </c>
      <c r="P19" s="50">
        <f>(R19)/J19</f>
        <v>0</v>
      </c>
      <c r="Q19" s="48">
        <f>I19/G19-1</f>
        <v>-8.0321285140562249E-2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2399665.8384943702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2.203078713894506E-2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55122896.258272462</v>
      </c>
      <c r="E21" s="39">
        <f>C21*K21</f>
        <v>46904159.92282477</v>
      </c>
      <c r="F21" s="40" t="s">
        <v>47</v>
      </c>
      <c r="G21" s="41">
        <v>2.85</v>
      </c>
      <c r="H21" s="42">
        <v>2.1722540000000001</v>
      </c>
      <c r="I21" s="42">
        <v>2.1408330000000002</v>
      </c>
      <c r="J21" s="43">
        <f>I21/$J$5</f>
        <v>7.9871695381929161E-2</v>
      </c>
      <c r="K21" s="44">
        <f>I21/$K$4</f>
        <v>6.7962952380952388E-2</v>
      </c>
      <c r="L21" s="45">
        <f>I21-H21</f>
        <v>-3.1420999999999921E-2</v>
      </c>
      <c r="M21" s="45">
        <f>((I21-H21)/H21)*100</f>
        <v>-1.4464698879596916</v>
      </c>
      <c r="N21" s="46">
        <v>1200</v>
      </c>
      <c r="O21" s="37">
        <v>2569</v>
      </c>
      <c r="P21" s="50">
        <f>(R21)/J21</f>
        <v>0</v>
      </c>
      <c r="Q21" s="48">
        <f>I21/G21-1</f>
        <v>-0.24883052631578939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41504732.373504855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3.3577829678324393E-2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2152088.054966907</v>
      </c>
      <c r="E23" s="39">
        <f>C23*K23</f>
        <v>1831215.141984127</v>
      </c>
      <c r="F23" s="40" t="s">
        <v>44</v>
      </c>
      <c r="G23" s="41">
        <v>0.1</v>
      </c>
      <c r="H23" s="42">
        <v>0.105</v>
      </c>
      <c r="I23" s="42">
        <v>0.1075</v>
      </c>
      <c r="J23" s="43">
        <f>I23/$J$5</f>
        <v>4.0106852115776356E-3</v>
      </c>
      <c r="K23" s="44">
        <f>I23/$K$4</f>
        <v>3.4126984126984128E-3</v>
      </c>
      <c r="L23" s="45">
        <f>I23-H23</f>
        <v>2.5000000000000022E-3</v>
      </c>
      <c r="M23" s="45">
        <f>((I23-H23)/H23)*100</f>
        <v>2.3809523809523832</v>
      </c>
      <c r="N23" s="46">
        <v>100</v>
      </c>
      <c r="O23" s="37">
        <v>10.75</v>
      </c>
      <c r="P23" s="50">
        <f>(R23)/J23</f>
        <v>0</v>
      </c>
      <c r="Q23" s="48">
        <f>I23/G23-1</f>
        <v>7.4999999999999956E-2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78491793.555086285</v>
      </c>
      <c r="E24" s="39">
        <f>C24*K24</f>
        <v>66788791.726171426</v>
      </c>
      <c r="F24" s="40" t="s">
        <v>34</v>
      </c>
      <c r="G24" s="41">
        <v>8.1687659999999997</v>
      </c>
      <c r="H24" s="42">
        <v>10.899573999999999</v>
      </c>
      <c r="I24" s="42">
        <v>10.8996</v>
      </c>
      <c r="J24" s="43">
        <f>I24/$J$5</f>
        <v>0.4066499026242939</v>
      </c>
      <c r="K24" s="44">
        <f>I24/$K$4</f>
        <v>0.34601904761904761</v>
      </c>
      <c r="L24" s="45">
        <f>I24-H24</f>
        <v>2.6000000000081513E-5</v>
      </c>
      <c r="M24" s="45">
        <f>((I24-H24)/H24)*100</f>
        <v>2.3854143290445585E-4</v>
      </c>
      <c r="N24" s="46">
        <v>0</v>
      </c>
      <c r="O24" s="37">
        <v>0</v>
      </c>
      <c r="P24" s="50">
        <f>(R24)/J24</f>
        <v>0</v>
      </c>
      <c r="Q24" s="48">
        <f>I24/G24-1</f>
        <v>0.3343019006787562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107607043.93941884</v>
      </c>
      <c r="E25" s="39">
        <f>C25*K25</f>
        <v>91563004.492883146</v>
      </c>
      <c r="F25" s="40" t="s">
        <v>66</v>
      </c>
      <c r="G25" s="41">
        <v>1.6675</v>
      </c>
      <c r="H25" s="42">
        <v>1.6784370000000002</v>
      </c>
      <c r="I25" s="42">
        <v>1.7090909999999999</v>
      </c>
      <c r="J25" s="43">
        <f>I25/$J$5</f>
        <v>6.3763962780841232E-2</v>
      </c>
      <c r="K25" s="44">
        <f>I25/$K$4</f>
        <v>5.4256857142857141E-2</v>
      </c>
      <c r="L25" s="45">
        <f>I25-H25</f>
        <v>3.0653999999999737E-2</v>
      </c>
      <c r="M25" s="45">
        <f>((I25-H25)/H25)*100</f>
        <v>1.8263420074747956</v>
      </c>
      <c r="N25" s="46">
        <v>6600</v>
      </c>
      <c r="O25" s="37">
        <v>11280</v>
      </c>
      <c r="P25" s="50">
        <f>(R25)/J25</f>
        <v>0</v>
      </c>
      <c r="Q25" s="48">
        <f>I25/G25-1</f>
        <v>2.4942128935532271E-2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26793776.946208317</v>
      </c>
      <c r="E26" s="39">
        <f>C26*K26</f>
        <v>22798867.333333332</v>
      </c>
      <c r="F26" s="40" t="s">
        <v>44</v>
      </c>
      <c r="G26" s="41">
        <v>1.7994999999999999</v>
      </c>
      <c r="H26" s="42">
        <v>3</v>
      </c>
      <c r="I26" s="42">
        <v>3</v>
      </c>
      <c r="J26" s="43">
        <f>I26/$J$5</f>
        <v>0.11192609892774798</v>
      </c>
      <c r="K26" s="44">
        <f>I26/$K$4</f>
        <v>9.5238095238095233E-2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0.66712975826618526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28133165.644238085</v>
      </c>
      <c r="E27" s="39">
        <f>C27*K27</f>
        <v>23938555.302500669</v>
      </c>
      <c r="F27" s="40" t="s">
        <v>34</v>
      </c>
      <c r="G27" s="41">
        <v>3.1361369999999997</v>
      </c>
      <c r="H27" s="42">
        <v>2.9438310000000003</v>
      </c>
      <c r="I27" s="42">
        <v>2.9438310000000003</v>
      </c>
      <c r="J27" s="43">
        <f>I27/$J$5</f>
        <v>0.10983050657752376</v>
      </c>
      <c r="K27" s="44">
        <f>I27/$K$4</f>
        <v>9.3454952380952389E-2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-6.13193875140019E-2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24315813.930788629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3.2178753441727541E-2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80673292.79680936</v>
      </c>
      <c r="E29" s="39">
        <f>C29*K29</f>
        <v>68645032.893650785</v>
      </c>
      <c r="F29" s="40" t="s">
        <v>47</v>
      </c>
      <c r="G29" s="41">
        <v>5.15</v>
      </c>
      <c r="H29" s="42">
        <v>5.35</v>
      </c>
      <c r="I29" s="42">
        <v>5.35</v>
      </c>
      <c r="J29" s="43">
        <f>I29/$J$5</f>
        <v>0.19960154308781722</v>
      </c>
      <c r="K29" s="44">
        <f>I29/$K$4</f>
        <v>0.16984126984126982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12546778.329186223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4.8281673220561573E-2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3414570.6328301635</v>
      </c>
      <c r="E33" s="39">
        <f>C33*K33</f>
        <v>2905463.5714285714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2.7981524731936994E-2</v>
      </c>
      <c r="K33" s="44">
        <f>I33/$K$4</f>
        <v>2.3809523809523808E-2</v>
      </c>
      <c r="L33" s="45">
        <f>I33-H33</f>
        <v>0</v>
      </c>
      <c r="M33" s="45">
        <f>((I33-H33)/H33)*100</f>
        <v>0</v>
      </c>
      <c r="N33" s="46">
        <v>2300</v>
      </c>
      <c r="O33" s="37">
        <v>1725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158276279.24442422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6.3424789392390518E-2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200</v>
      </c>
      <c r="O34" s="37">
        <v>340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37829974.256997243</v>
      </c>
      <c r="E35" s="39">
        <f>C35*K35</f>
        <v>32189585.142857142</v>
      </c>
      <c r="F35" s="40" t="s">
        <v>34</v>
      </c>
      <c r="G35" s="41">
        <v>3.6056249999999999</v>
      </c>
      <c r="H35" s="42">
        <v>3.9994999999999998</v>
      </c>
      <c r="I35" s="42">
        <v>4</v>
      </c>
      <c r="J35" s="43">
        <f>I35/$J$5</f>
        <v>0.14923479857033062</v>
      </c>
      <c r="K35" s="44">
        <f>I35/$K$4</f>
        <v>0.12698412698412698</v>
      </c>
      <c r="L35" s="45">
        <f>I35-H35</f>
        <v>5.0000000000016698E-4</v>
      </c>
      <c r="M35" s="45">
        <f>((I35-H35)/H35)*100</f>
        <v>1.2501562695341093E-2</v>
      </c>
      <c r="N35" s="46">
        <v>2700</v>
      </c>
      <c r="O35" s="37">
        <v>10800</v>
      </c>
      <c r="P35" s="50">
        <f>(R35)/J35</f>
        <v>0</v>
      </c>
      <c r="Q35" s="48">
        <f>I35/G35-1</f>
        <v>0.10937770844167094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7036546.1933933757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2">
        <v>0.04</v>
      </c>
      <c r="J36" s="43">
        <f>I36/$J$5</f>
        <v>1.4923479857033063E-3</v>
      </c>
      <c r="K36" s="44">
        <f>I36/$K$4</f>
        <v>1.2698412698412698E-3</v>
      </c>
      <c r="L36" s="45">
        <f>I36-H36</f>
        <v>0</v>
      </c>
      <c r="M36" s="45">
        <f>((I36-H36)/H36)*100</f>
        <v>0</v>
      </c>
      <c r="N36" s="46">
        <v>0</v>
      </c>
      <c r="O36" s="37">
        <v>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52233352.478828058</v>
      </c>
      <c r="E37" s="39">
        <f>C37*K37</f>
        <v>44445442.534318089</v>
      </c>
      <c r="F37" s="40" t="s">
        <v>92</v>
      </c>
      <c r="G37" s="41">
        <v>0.61</v>
      </c>
      <c r="H37" s="42">
        <v>5.3928570000000002</v>
      </c>
      <c r="I37" s="42">
        <v>5.3627779999999996</v>
      </c>
      <c r="J37" s="43">
        <f>I37/$J$5</f>
        <v>0.20007827365185013</v>
      </c>
      <c r="K37" s="44">
        <f>I37/$K$4</f>
        <v>0.17024692063492061</v>
      </c>
      <c r="L37" s="45">
        <f>I37-H37</f>
        <v>-3.0079000000000633E-2</v>
      </c>
      <c r="M37" s="45">
        <f>((I37-H37)/H37)*100</f>
        <v>-0.55775630616574168</v>
      </c>
      <c r="N37" s="46">
        <v>1800</v>
      </c>
      <c r="O37" s="37">
        <v>9653</v>
      </c>
      <c r="P37" s="50">
        <f>(R37)/J37</f>
        <v>0</v>
      </c>
      <c r="Q37" s="48">
        <f>I37/G37-1</f>
        <v>7.7914393442622938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22690508.582346454</v>
      </c>
      <c r="E38" s="39">
        <f>C38*K38</f>
        <v>19307389.769398887</v>
      </c>
      <c r="F38" s="40" t="s">
        <v>56</v>
      </c>
      <c r="G38" s="41">
        <v>0.11650199999999999</v>
      </c>
      <c r="H38" s="42">
        <v>0.14499999999999999</v>
      </c>
      <c r="I38" s="42">
        <v>0.144985</v>
      </c>
      <c r="J38" s="43">
        <f>I38/$J$5</f>
        <v>5.4092018176798463E-3</v>
      </c>
      <c r="K38" s="44">
        <f>I38/$K$4</f>
        <v>4.6026984126984125E-3</v>
      </c>
      <c r="L38" s="45">
        <f>I38-H38</f>
        <v>-1.4999999999987246E-5</v>
      </c>
      <c r="M38" s="45">
        <f>((I38-H38)/H38)*100</f>
        <v>-1.0344827586198101E-2</v>
      </c>
      <c r="N38" s="46">
        <v>1510100</v>
      </c>
      <c r="O38" s="37">
        <v>218941.9</v>
      </c>
      <c r="P38" s="50">
        <v>0</v>
      </c>
      <c r="Q38" s="48">
        <f>I38/G38-1</f>
        <v>0.24448507321762736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92074423.080653951</v>
      </c>
      <c r="E39" s="39">
        <f>C39*K39</f>
        <v>78346272.749206349</v>
      </c>
      <c r="F39" s="40" t="s">
        <v>34</v>
      </c>
      <c r="G39" s="41">
        <v>2.6005000000000003</v>
      </c>
      <c r="H39" s="42">
        <v>6.8</v>
      </c>
      <c r="I39" s="42">
        <v>6.8</v>
      </c>
      <c r="J39" s="43">
        <f>I39/$J$5</f>
        <v>0.25369915756956207</v>
      </c>
      <c r="K39" s="44">
        <f>I39/$K$4</f>
        <v>0.21587301587301586</v>
      </c>
      <c r="L39" s="45">
        <f>I39-H39</f>
        <v>0</v>
      </c>
      <c r="M39" s="45">
        <f>((I39-H39)/H39)*100</f>
        <v>0</v>
      </c>
      <c r="N39" s="46">
        <v>100</v>
      </c>
      <c r="O39" s="37">
        <v>680</v>
      </c>
      <c r="P39" s="50">
        <f>(R39)/J39</f>
        <v>0</v>
      </c>
      <c r="Q39" s="48">
        <f>I39/G39-1</f>
        <v>1.6148817535089401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14523475.760903466</v>
      </c>
      <c r="E40" s="39">
        <f>C40*K40</f>
        <v>12358048.578088889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3.3652447077609556E-3</v>
      </c>
      <c r="K40" s="44">
        <f>I40/$K$4</f>
        <v>2.8634920634920636E-3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6832554.3639985966</v>
      </c>
      <c r="E41" s="39">
        <f>C41*K41</f>
        <v>5813831.3536507934</v>
      </c>
      <c r="F41" s="40" t="s">
        <v>44</v>
      </c>
      <c r="G41" s="41">
        <v>1.7452379999999998</v>
      </c>
      <c r="H41" s="42">
        <v>1.5</v>
      </c>
      <c r="I41" s="42">
        <v>1.72</v>
      </c>
      <c r="J41" s="43">
        <f>I41/$J$5</f>
        <v>6.4170963385242169E-2</v>
      </c>
      <c r="K41" s="44">
        <f>I41/$K$4</f>
        <v>5.4603174603174605E-2</v>
      </c>
      <c r="L41" s="45">
        <f>I41-H41</f>
        <v>0.21999999999999997</v>
      </c>
      <c r="M41" s="45">
        <f>((I41-H41)/H41)*100</f>
        <v>14.666666666666664</v>
      </c>
      <c r="N41" s="46">
        <v>2800</v>
      </c>
      <c r="O41" s="37">
        <v>4816</v>
      </c>
      <c r="P41" s="50">
        <f>(R41)/J41</f>
        <v>0</v>
      </c>
      <c r="Q41" s="48">
        <f>I41/G41-1</f>
        <v>-1.4461064909198518E-2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2653396.8496534023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1.4923479857033063E-3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33987902.221359983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0.19400523814142984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311.15746129222413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6.7155659356648784E-7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1508584.7317877582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2.6190707149093026E-3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46252128.335942231</v>
      </c>
      <c r="E46" s="39">
        <f>C46*K46</f>
        <v>39356009.417129971</v>
      </c>
      <c r="F46" s="40" t="s">
        <v>47</v>
      </c>
      <c r="G46" s="41">
        <v>0.9998999999999999</v>
      </c>
      <c r="H46" s="42">
        <v>0.69</v>
      </c>
      <c r="I46" s="42">
        <v>0.68182900000000002</v>
      </c>
      <c r="J46" s="43">
        <f>I46/$J$5</f>
        <v>2.543815336860249E-2</v>
      </c>
      <c r="K46" s="44">
        <f>I46/$K$4</f>
        <v>2.164536507936508E-2</v>
      </c>
      <c r="L46" s="45">
        <f>I46-H46</f>
        <v>-8.1709999999999283E-3</v>
      </c>
      <c r="M46" s="45">
        <f>((I46-H46)/H46)*100</f>
        <v>-1.1842028985507145</v>
      </c>
      <c r="N46" s="46">
        <v>17500</v>
      </c>
      <c r="O46" s="37">
        <v>11932</v>
      </c>
      <c r="P46" s="50">
        <f>(R46)/J46</f>
        <v>0</v>
      </c>
      <c r="Q46" s="48">
        <f>I46/G46-1</f>
        <v>-0.31810281028102805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4906380.0429960378</v>
      </c>
      <c r="E47" s="39">
        <f>C47*K47</f>
        <v>4174846.5664901584</v>
      </c>
      <c r="F47" s="40" t="s">
        <v>47</v>
      </c>
      <c r="G47" s="41">
        <v>1.4503460000000001</v>
      </c>
      <c r="H47" s="42">
        <v>1.2803469999999999</v>
      </c>
      <c r="I47" s="42">
        <v>1.2803469999999999</v>
      </c>
      <c r="J47" s="43">
        <f>I47/$J$5</f>
        <v>4.7768081661281776E-2</v>
      </c>
      <c r="K47" s="44">
        <f>I47/$K$4</f>
        <v>4.0645936507936506E-2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-0.11721272027502416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1823200</v>
      </c>
      <c r="O48" s="60">
        <f>SUM(O9:O47)</f>
        <v>8392161.8300000001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86234615.863200009</v>
      </c>
      <c r="E51" s="39">
        <v>0</v>
      </c>
      <c r="F51" s="40" t="s">
        <v>92</v>
      </c>
      <c r="G51" s="68">
        <v>0.1</v>
      </c>
      <c r="H51" s="42">
        <v>0.1376</v>
      </c>
      <c r="I51" s="42">
        <v>0.15540000000000001</v>
      </c>
      <c r="J51" s="43">
        <f>I51</f>
        <v>0.15540000000000001</v>
      </c>
      <c r="K51" s="39">
        <v>0</v>
      </c>
      <c r="L51" s="45">
        <f>I51-H51</f>
        <v>1.780000000000001E-2</v>
      </c>
      <c r="M51" s="45">
        <f>((I51-H51)/H51)*100</f>
        <v>12.936046511627913</v>
      </c>
      <c r="N51" s="46">
        <v>724039</v>
      </c>
      <c r="O51" s="37">
        <v>112512.15</v>
      </c>
      <c r="P51" s="69">
        <f>(R51)/J51</f>
        <v>0</v>
      </c>
      <c r="Q51" s="48">
        <f>J51/G51-1</f>
        <v>0.55400000000000005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49336457.204499997</v>
      </c>
      <c r="E52" s="39">
        <v>0</v>
      </c>
      <c r="F52" s="40" t="s">
        <v>39</v>
      </c>
      <c r="G52" s="68">
        <v>39.9</v>
      </c>
      <c r="H52" s="42">
        <v>46.645699999999998</v>
      </c>
      <c r="I52" s="42">
        <v>46.645699999999998</v>
      </c>
      <c r="J52" s="43">
        <f>I52</f>
        <v>46.645699999999998</v>
      </c>
      <c r="K52" s="39">
        <v>0</v>
      </c>
      <c r="L52" s="45">
        <f>I52-H52</f>
        <v>0</v>
      </c>
      <c r="M52" s="45">
        <f>((I52-H52)/H52)*100</f>
        <v>0</v>
      </c>
      <c r="N52" s="46">
        <v>0</v>
      </c>
      <c r="O52" s="37">
        <v>0</v>
      </c>
      <c r="P52" s="70">
        <f>(R52)/J52</f>
        <v>1.2005393851952057E-2</v>
      </c>
      <c r="Q52" s="48">
        <f>J52/G52-1</f>
        <v>0.16906516290726814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742954123.30489993</v>
      </c>
      <c r="E53" s="39"/>
      <c r="F53" s="40" t="s">
        <v>56</v>
      </c>
      <c r="G53" s="68">
        <v>0.33</v>
      </c>
      <c r="H53" s="42">
        <v>0.25290000000000001</v>
      </c>
      <c r="I53" s="42">
        <v>0.24829999999999999</v>
      </c>
      <c r="J53" s="43">
        <f>I53</f>
        <v>0.24829999999999999</v>
      </c>
      <c r="K53" s="39">
        <v>0</v>
      </c>
      <c r="L53" s="45">
        <f>I53-H53</f>
        <v>-4.6000000000000207E-3</v>
      </c>
      <c r="M53" s="45">
        <f>((I53-H53)/H53)*100</f>
        <v>-1.8189007512851012</v>
      </c>
      <c r="N53" s="46">
        <v>97454</v>
      </c>
      <c r="O53" s="37">
        <v>24193.72</v>
      </c>
      <c r="P53" s="69">
        <v>0</v>
      </c>
      <c r="Q53" s="48">
        <f>J53/G53-1</f>
        <v>-0.24757575757575767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2.52E-2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5.0000000000000044E-4</v>
      </c>
      <c r="M54" s="45">
        <f>((I54-H54)/H54)*100</f>
        <v>1.9841269841269857</v>
      </c>
      <c r="N54" s="46">
        <v>1160</v>
      </c>
      <c r="O54" s="37">
        <v>29.77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264181238.52380002</v>
      </c>
      <c r="E55" s="39">
        <v>0</v>
      </c>
      <c r="F55" s="40" t="s">
        <v>47</v>
      </c>
      <c r="G55" s="68">
        <v>9.0200000000000002E-2</v>
      </c>
      <c r="H55" s="42">
        <v>0.1176</v>
      </c>
      <c r="I55" s="42">
        <v>0.1222</v>
      </c>
      <c r="J55" s="43">
        <f>I55</f>
        <v>0.1222</v>
      </c>
      <c r="K55" s="39">
        <v>0</v>
      </c>
      <c r="L55" s="45">
        <f>I55-H55</f>
        <v>4.6000000000000069E-3</v>
      </c>
      <c r="M55" s="71">
        <f>((I55-H55)/H55)*100</f>
        <v>3.911564625850346</v>
      </c>
      <c r="N55" s="46">
        <v>21114</v>
      </c>
      <c r="O55" s="37">
        <v>2579.83</v>
      </c>
      <c r="P55" s="69">
        <f>(R55)/J55</f>
        <v>0</v>
      </c>
      <c r="Q55" s="48">
        <f>J55/G55-1</f>
        <v>0.35476718403547669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748761977.64499998</v>
      </c>
      <c r="E56" s="39">
        <v>0</v>
      </c>
      <c r="F56" s="40" t="s">
        <v>34</v>
      </c>
      <c r="G56" s="68">
        <v>0.95750000000000002</v>
      </c>
      <c r="H56" s="42">
        <v>1.2997000000000001</v>
      </c>
      <c r="I56" s="42">
        <v>1.3001</v>
      </c>
      <c r="J56" s="43">
        <f>I56</f>
        <v>1.3001</v>
      </c>
      <c r="K56" s="39">
        <v>0</v>
      </c>
      <c r="L56" s="45">
        <f>I56-H56</f>
        <v>3.9999999999995595E-4</v>
      </c>
      <c r="M56" s="45">
        <f>((I56-H56)/H56)*100</f>
        <v>3.0776332999919664E-2</v>
      </c>
      <c r="N56" s="46">
        <v>7301</v>
      </c>
      <c r="O56" s="37">
        <v>9492.1</v>
      </c>
      <c r="P56" s="70">
        <f>(R56)/J56</f>
        <v>3.6151065302669025E-2</v>
      </c>
      <c r="Q56" s="48">
        <f>J56/G56-1</f>
        <v>0.3578067885117493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0.15029999999999999</v>
      </c>
      <c r="I57" s="42">
        <v>0.15</v>
      </c>
      <c r="J57" s="43">
        <f>I57</f>
        <v>0.15</v>
      </c>
      <c r="K57" s="39">
        <v>0</v>
      </c>
      <c r="L57" s="45">
        <f>I57-H57</f>
        <v>-2.9999999999999472E-4</v>
      </c>
      <c r="M57" s="45">
        <f>((I57-H57)/H57)*100</f>
        <v>-0.19960079840319012</v>
      </c>
      <c r="N57" s="46">
        <v>12666</v>
      </c>
      <c r="O57" s="37">
        <v>1899.9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16050538.543199999</v>
      </c>
      <c r="E58" s="39">
        <v>0</v>
      </c>
      <c r="F58" s="40" t="s">
        <v>92</v>
      </c>
      <c r="G58" s="68">
        <v>1.6799999999999999E-2</v>
      </c>
      <c r="H58" s="42">
        <v>2.01E-2</v>
      </c>
      <c r="I58" s="42">
        <v>2.0199999999999999E-2</v>
      </c>
      <c r="J58" s="43">
        <f>I58</f>
        <v>2.0199999999999999E-2</v>
      </c>
      <c r="K58" s="39">
        <v>0</v>
      </c>
      <c r="L58" s="45">
        <f>I58-H58</f>
        <v>9.9999999999999395E-5</v>
      </c>
      <c r="M58" s="71">
        <f>((I58-H58)/H58)*100</f>
        <v>0.49751243781094223</v>
      </c>
      <c r="N58" s="46">
        <v>135419</v>
      </c>
      <c r="O58" s="37">
        <v>2735.26</v>
      </c>
      <c r="P58" s="69">
        <f>(R58)/J58</f>
        <v>0</v>
      </c>
      <c r="Q58" s="48">
        <f>J58/G58-1</f>
        <v>0.20238095238095233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2580368</v>
      </c>
      <c r="E59" s="39">
        <v>0</v>
      </c>
      <c r="F59" s="40" t="s">
        <v>138</v>
      </c>
      <c r="G59" s="68">
        <v>19.5</v>
      </c>
      <c r="H59" s="42">
        <v>16</v>
      </c>
      <c r="I59" s="42">
        <v>16</v>
      </c>
      <c r="J59" s="43">
        <f>I59</f>
        <v>16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9">
        <f>(R59)/J59</f>
        <v>0</v>
      </c>
      <c r="Q59" s="48">
        <f>J59/G59-1</f>
        <v>-0.17948717948717952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856857766.9993</v>
      </c>
      <c r="E60" s="39">
        <v>0</v>
      </c>
      <c r="F60" s="40" t="s">
        <v>92</v>
      </c>
      <c r="G60" s="68">
        <v>0.59499999999999997</v>
      </c>
      <c r="H60" s="42">
        <v>1.0004999999999999</v>
      </c>
      <c r="I60" s="42">
        <v>1.0643</v>
      </c>
      <c r="J60" s="43">
        <f>I60</f>
        <v>1.0643</v>
      </c>
      <c r="K60" s="39">
        <v>0</v>
      </c>
      <c r="L60" s="45">
        <f>I60-H60</f>
        <v>6.3800000000000079E-2</v>
      </c>
      <c r="M60" s="45">
        <f>((I60-H60)/H60)*100</f>
        <v>6.3768115942029064</v>
      </c>
      <c r="N60" s="46">
        <v>41704</v>
      </c>
      <c r="O60" s="37">
        <v>44384.62</v>
      </c>
      <c r="P60" s="69">
        <f>(R60)/J60</f>
        <v>0</v>
      </c>
      <c r="Q60" s="48">
        <f>J60/G60-1</f>
        <v>0.78873949579831937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75607210.219999999</v>
      </c>
      <c r="E61" s="39">
        <v>0</v>
      </c>
      <c r="F61" s="40" t="s">
        <v>34</v>
      </c>
      <c r="G61" s="68">
        <v>0.22600000000000001</v>
      </c>
      <c r="H61" s="42">
        <v>0.28710000000000002</v>
      </c>
      <c r="I61" s="42">
        <v>0.28999999999999998</v>
      </c>
      <c r="J61" s="43">
        <f>I61</f>
        <v>0.28999999999999998</v>
      </c>
      <c r="K61" s="39">
        <v>0</v>
      </c>
      <c r="L61" s="45">
        <f>I61-H61</f>
        <v>2.8999999999999582E-3</v>
      </c>
      <c r="M61" s="45">
        <f>((I61-H61)/H61)*100</f>
        <v>1.0101010101009955</v>
      </c>
      <c r="N61" s="46">
        <v>1216</v>
      </c>
      <c r="O61" s="37">
        <v>352.64</v>
      </c>
      <c r="P61" s="69">
        <f>(R61)/J61</f>
        <v>0</v>
      </c>
      <c r="Q61" s="48">
        <f>J61/G61-1</f>
        <v>0.28318584070796438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386951789.58039999</v>
      </c>
      <c r="E62" s="39">
        <v>0</v>
      </c>
      <c r="F62" s="40" t="s">
        <v>34</v>
      </c>
      <c r="G62" s="68">
        <v>0.49440000000000001</v>
      </c>
      <c r="H62" s="42">
        <v>0.69220000000000004</v>
      </c>
      <c r="I62" s="42">
        <v>0.68830000000000002</v>
      </c>
      <c r="J62" s="43">
        <f>I62</f>
        <v>0.68830000000000002</v>
      </c>
      <c r="K62" s="39">
        <v>0</v>
      </c>
      <c r="L62" s="45">
        <f>I62-H62</f>
        <v>-3.9000000000000146E-3</v>
      </c>
      <c r="M62" s="45">
        <f>((I62-H62)/H62)*100</f>
        <v>-0.56342097659636148</v>
      </c>
      <c r="N62" s="46">
        <v>4314</v>
      </c>
      <c r="O62" s="37">
        <v>2969.35</v>
      </c>
      <c r="P62" s="69">
        <f>(R62)/J62</f>
        <v>0</v>
      </c>
      <c r="Q62" s="48">
        <f>J62/G62-1</f>
        <v>0.3921925566343043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22845686.221799999</v>
      </c>
      <c r="E64" s="39">
        <v>0</v>
      </c>
      <c r="F64" s="40" t="s">
        <v>44</v>
      </c>
      <c r="G64" s="68">
        <v>4.2999999999999997E-2</v>
      </c>
      <c r="H64" s="42">
        <v>7.8399999999999997E-2</v>
      </c>
      <c r="I64" s="42">
        <v>6.6299999999999998E-2</v>
      </c>
      <c r="J64" s="43">
        <f>I64</f>
        <v>6.6299999999999998E-2</v>
      </c>
      <c r="K64" s="39">
        <v>0</v>
      </c>
      <c r="L64" s="45">
        <f>I64-H64</f>
        <v>-1.21E-2</v>
      </c>
      <c r="M64" s="45">
        <f>((I64-H64)/H64)*100</f>
        <v>-15.433673469387754</v>
      </c>
      <c r="N64" s="46">
        <v>5705</v>
      </c>
      <c r="O64" s="37">
        <v>378.02</v>
      </c>
      <c r="P64" s="69">
        <f>(R64)/J64</f>
        <v>0</v>
      </c>
      <c r="Q64" s="48">
        <f>J64/G64-1</f>
        <v>0.54186046511627906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1052092</v>
      </c>
      <c r="O65" s="60">
        <f>SUM(O51:O64)</f>
        <v>201527.36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1050</v>
      </c>
      <c r="O70" s="91">
        <v>378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69807194.174999997</v>
      </c>
      <c r="E71" s="39">
        <f>C71*K71</f>
        <v>69807194.174999997</v>
      </c>
      <c r="F71" s="87" t="s">
        <v>156</v>
      </c>
      <c r="G71" s="87">
        <v>0.1</v>
      </c>
      <c r="H71" s="88">
        <v>0.15049999999999999</v>
      </c>
      <c r="I71" s="88">
        <v>0.14810000000000001</v>
      </c>
      <c r="J71" s="89">
        <f>I71</f>
        <v>0.14810000000000001</v>
      </c>
      <c r="K71" s="89">
        <f>J71</f>
        <v>0.14810000000000001</v>
      </c>
      <c r="L71" s="45">
        <f>I71-H71</f>
        <v>-2.3999999999999855E-3</v>
      </c>
      <c r="M71" s="45">
        <f>((I71-H71)/H71)*100</f>
        <v>-1.5946843853820503</v>
      </c>
      <c r="N71" s="46">
        <v>37547</v>
      </c>
      <c r="O71" s="91">
        <v>5561.07</v>
      </c>
      <c r="P71" s="92">
        <f>(R71)/J71</f>
        <v>2.5604321404456447E-2</v>
      </c>
      <c r="Q71" s="48">
        <f>J71/G71-1</f>
        <v>0.48100000000000009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38597</v>
      </c>
      <c r="O72" s="60">
        <f>SUM(O70:O71)</f>
        <v>5939.07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2839806.398</v>
      </c>
      <c r="E74" s="39">
        <f>C74*K74</f>
        <v>2839806.398</v>
      </c>
      <c r="F74" s="87" t="s">
        <v>138</v>
      </c>
      <c r="G74" s="87">
        <v>0.1394</v>
      </c>
      <c r="H74" s="88">
        <v>0.1351</v>
      </c>
      <c r="I74" s="88">
        <v>0.13639999999999999</v>
      </c>
      <c r="J74" s="89">
        <f>I74</f>
        <v>0.13639999999999999</v>
      </c>
      <c r="K74" s="89">
        <f>J74</f>
        <v>0.13639999999999999</v>
      </c>
      <c r="L74" s="45">
        <f>I74-H74</f>
        <v>1.2999999999999956E-3</v>
      </c>
      <c r="M74" s="45">
        <f>((I74-H74)/H74)*100</f>
        <v>0.96225018504810922</v>
      </c>
      <c r="N74" s="90">
        <v>2479</v>
      </c>
      <c r="O74" s="91">
        <v>338.15</v>
      </c>
      <c r="P74" s="69">
        <f>(R74)/J74</f>
        <v>0</v>
      </c>
      <c r="Q74" s="48">
        <f>J74/G74-1</f>
        <v>-2.1520803443328518E-2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111105.60499041165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2.447450696553422E-3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304801.7460471433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2.2385219785549595E-3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1844607.0274666648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3.7308699642582661E-3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2380029.1231709411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5.7828484446003123E-2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0</v>
      </c>
      <c r="O81" s="60">
        <f>SUM(O77:O80)</f>
        <v>0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29544812.396934714</v>
      </c>
      <c r="E83" s="39">
        <f>C83*K83</f>
        <v>25139727.765079364</v>
      </c>
      <c r="F83" s="40" t="s">
        <v>174</v>
      </c>
      <c r="G83" s="40">
        <v>1.3</v>
      </c>
      <c r="H83" s="42">
        <v>2.0318749999999999</v>
      </c>
      <c r="I83" s="42">
        <v>2.15</v>
      </c>
      <c r="J83" s="43">
        <f>I83/$J$5</f>
        <v>8.0213704231552704E-2</v>
      </c>
      <c r="K83" s="44">
        <f>I83/$K$4</f>
        <v>6.8253968253968247E-2</v>
      </c>
      <c r="L83" s="45">
        <f>I83-H83</f>
        <v>0.11812500000000004</v>
      </c>
      <c r="M83" s="45">
        <f>((I83-H83)/H83*100)</f>
        <v>5.8135958166717954</v>
      </c>
      <c r="N83" s="50">
        <v>300</v>
      </c>
      <c r="O83" s="37">
        <v>645</v>
      </c>
      <c r="P83" s="50">
        <f>(R83)/J83</f>
        <v>0</v>
      </c>
      <c r="Q83" s="48">
        <f>I83/G83-1</f>
        <v>0.65384615384615374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72138875.448823646</v>
      </c>
      <c r="E84" s="39">
        <f>C84*K84</f>
        <v>61383083.625555545</v>
      </c>
      <c r="F84" s="40" t="s">
        <v>174</v>
      </c>
      <c r="G84" s="40">
        <v>1.44347</v>
      </c>
      <c r="H84" s="42">
        <v>1.031172</v>
      </c>
      <c r="I84" s="42">
        <v>1.0502209999999998</v>
      </c>
      <c r="J84" s="43">
        <f>I84/$J$5</f>
        <v>3.9182379847332797E-2</v>
      </c>
      <c r="K84" s="44">
        <f>I84/$K$4</f>
        <v>3.33403492063492E-2</v>
      </c>
      <c r="L84" s="45">
        <f>I84-H84</f>
        <v>1.9048999999999872E-2</v>
      </c>
      <c r="M84" s="45">
        <f>((I84-H84)/H84*100)</f>
        <v>1.8473154818012778</v>
      </c>
      <c r="N84" s="50">
        <v>2389900</v>
      </c>
      <c r="O84" s="37">
        <v>2509922.35</v>
      </c>
      <c r="P84" s="47">
        <f>(R84)/J84</f>
        <v>5.5535166788704481E-2</v>
      </c>
      <c r="Q84" s="48">
        <f>I84/G84-1</f>
        <v>-0.27243309524964165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2390200</v>
      </c>
      <c r="O85" s="60">
        <f>SUM(O83:O84)</f>
        <v>2510567.35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105</v>
      </c>
      <c r="B88" s="110">
        <v>1.72</v>
      </c>
      <c r="D88" s="110">
        <v>14.666666666666664</v>
      </c>
      <c r="E88" s="35" t="s">
        <v>35</v>
      </c>
      <c r="F88" s="111">
        <v>6.0807E-2</v>
      </c>
      <c r="H88" s="112">
        <v>-3.4732915310738877</v>
      </c>
      <c r="L88" s="35" t="s">
        <v>120</v>
      </c>
      <c r="M88" s="50">
        <v>0.15540000000000001</v>
      </c>
      <c r="N88" s="113">
        <v>12.936046511627913</v>
      </c>
      <c r="O88" s="35" t="s">
        <v>147</v>
      </c>
      <c r="P88" s="111">
        <v>6.6299999999999998E-2</v>
      </c>
      <c r="Q88" s="114">
        <v>-15.433673469387754</v>
      </c>
    </row>
    <row r="89" spans="1:243" x14ac:dyDescent="0.25">
      <c r="A89" s="35" t="s">
        <v>45</v>
      </c>
      <c r="B89" s="110">
        <v>18</v>
      </c>
      <c r="D89" s="110">
        <v>5.8686585188186484</v>
      </c>
      <c r="E89" s="35" t="s">
        <v>62</v>
      </c>
      <c r="F89" s="111">
        <v>2.1408330000000002</v>
      </c>
      <c r="H89" s="112">
        <v>-1.4464698879596916</v>
      </c>
      <c r="L89" s="35" t="s">
        <v>139</v>
      </c>
      <c r="M89" s="50">
        <v>1.0643</v>
      </c>
      <c r="N89" s="113">
        <v>6.3768115942029064</v>
      </c>
      <c r="O89" s="35" t="s">
        <v>124</v>
      </c>
      <c r="P89" s="111">
        <v>0.24829999999999999</v>
      </c>
      <c r="Q89" s="114">
        <v>-1.8189007512851012</v>
      </c>
    </row>
    <row r="90" spans="1:243" x14ac:dyDescent="0.25">
      <c r="A90" s="35" t="s">
        <v>52</v>
      </c>
      <c r="B90" s="110">
        <v>29.742399999999996</v>
      </c>
      <c r="C90" s="110"/>
      <c r="D90" s="110">
        <v>3.5910488534486271</v>
      </c>
      <c r="E90" s="35" t="s">
        <v>115</v>
      </c>
      <c r="F90" s="111">
        <v>0.68182900000000002</v>
      </c>
      <c r="H90" s="112">
        <v>-1.1842028985507145</v>
      </c>
      <c r="L90" s="35" t="s">
        <v>128</v>
      </c>
      <c r="M90" s="50">
        <v>0.1222</v>
      </c>
      <c r="N90" s="113">
        <v>3.911564625850346</v>
      </c>
      <c r="O90" s="35" t="s">
        <v>143</v>
      </c>
      <c r="P90" s="111">
        <v>0.68830000000000002</v>
      </c>
      <c r="Q90" s="114">
        <v>-0.56342097659636148</v>
      </c>
    </row>
    <row r="91" spans="1:243" x14ac:dyDescent="0.25">
      <c r="A91" s="35" t="s">
        <v>67</v>
      </c>
      <c r="B91" s="110">
        <v>0.1075</v>
      </c>
      <c r="C91" s="110"/>
      <c r="D91" s="110">
        <v>2.3809523809523832</v>
      </c>
      <c r="E91" s="35" t="s">
        <v>97</v>
      </c>
      <c r="F91" s="111">
        <v>5.3627779999999996</v>
      </c>
      <c r="G91" s="111"/>
      <c r="H91" s="112">
        <v>-0.55775630616574168</v>
      </c>
      <c r="L91" s="35" t="s">
        <v>126</v>
      </c>
      <c r="M91" s="50">
        <v>2.5700000000000001E-2</v>
      </c>
      <c r="N91" s="113">
        <v>1.9841269841269857</v>
      </c>
      <c r="O91" s="35" t="s">
        <v>132</v>
      </c>
      <c r="P91" s="111">
        <v>0.15</v>
      </c>
      <c r="Q91" s="114">
        <v>-0.19960079840319012</v>
      </c>
    </row>
    <row r="92" spans="1:243" x14ac:dyDescent="0.25">
      <c r="A92" s="35" t="s">
        <v>50</v>
      </c>
      <c r="B92" s="110">
        <v>3</v>
      </c>
      <c r="C92" s="110"/>
      <c r="D92" s="110">
        <v>1.8606892097953271</v>
      </c>
      <c r="E92" s="35" t="s">
        <v>99</v>
      </c>
      <c r="F92" s="111">
        <v>0.144985</v>
      </c>
      <c r="G92" s="111"/>
      <c r="H92" s="112">
        <v>-1.0344827586198101E-2</v>
      </c>
      <c r="L92" s="35" t="s">
        <v>141</v>
      </c>
      <c r="M92" s="50">
        <v>0.28999999999999998</v>
      </c>
      <c r="N92" s="113">
        <v>1.0101010101009955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OVtAUcjdWWdWBB6g1z8PVmkkDGiGv2LoN/LhnxTMuv6ZjgGBNJRDRju36sFtjWsQCwAvoeC+3y5igQ+YlI0AKw==" saltValue="4I7xDzFxwuJQsu5D7vA0Vw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2026-06-08T13:34:38Z</dcterms:created>
  <dcterms:modified xsi:type="dcterms:W3CDTF">2026-06-08T13:42:16Z</dcterms:modified>
</cp:coreProperties>
</file>