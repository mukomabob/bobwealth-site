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ne/02.07.26/"/>
    </mc:Choice>
  </mc:AlternateContent>
  <xr:revisionPtr revIDLastSave="0" documentId="8_{DF5BEB60-F0B0-4011-BF1E-6A6E06B14B63}" xr6:coauthVersionLast="47" xr6:coauthVersionMax="47" xr10:uidLastSave="{00000000-0000-0000-0000-000000000000}"/>
  <bookViews>
    <workbookView xWindow="-108" yWindow="-108" windowWidth="23256" windowHeight="12456" xr2:uid="{B9E0A6AC-B27B-4892-9D5E-942640C577F3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5" i="1" l="1"/>
  <c r="N85" i="1"/>
  <c r="Q84" i="1"/>
  <c r="M84" i="1"/>
  <c r="L84" i="1"/>
  <c r="K84" i="1"/>
  <c r="J84" i="1"/>
  <c r="P84" i="1" s="1"/>
  <c r="E84" i="1"/>
  <c r="D84" i="1"/>
  <c r="Q83" i="1"/>
  <c r="P83" i="1"/>
  <c r="M83" i="1"/>
  <c r="L83" i="1"/>
  <c r="K83" i="1"/>
  <c r="E83" i="1" s="1"/>
  <c r="J83" i="1"/>
  <c r="D83" i="1" s="1"/>
  <c r="O81" i="1"/>
  <c r="N81" i="1"/>
  <c r="Q80" i="1"/>
  <c r="M80" i="1"/>
  <c r="L80" i="1"/>
  <c r="K80" i="1"/>
  <c r="E80" i="1" s="1"/>
  <c r="J80" i="1"/>
  <c r="D80" i="1"/>
  <c r="Q79" i="1"/>
  <c r="M79" i="1"/>
  <c r="L79" i="1"/>
  <c r="K79" i="1"/>
  <c r="J79" i="1"/>
  <c r="E79" i="1"/>
  <c r="D79" i="1"/>
  <c r="Q78" i="1"/>
  <c r="M78" i="1"/>
  <c r="L78" i="1"/>
  <c r="K78" i="1"/>
  <c r="E78" i="1" s="1"/>
  <c r="J78" i="1"/>
  <c r="D78" i="1" s="1"/>
  <c r="Q77" i="1"/>
  <c r="M77" i="1"/>
  <c r="L77" i="1"/>
  <c r="K77" i="1"/>
  <c r="J77" i="1"/>
  <c r="E77" i="1"/>
  <c r="D77" i="1"/>
  <c r="M74" i="1"/>
  <c r="L74" i="1"/>
  <c r="J74" i="1"/>
  <c r="Q74" i="1" s="1"/>
  <c r="D74" i="1"/>
  <c r="O72" i="1"/>
  <c r="N72" i="1"/>
  <c r="M71" i="1"/>
  <c r="L71" i="1"/>
  <c r="J71" i="1"/>
  <c r="K71" i="1" s="1"/>
  <c r="E71" i="1" s="1"/>
  <c r="M70" i="1"/>
  <c r="L70" i="1"/>
  <c r="J70" i="1"/>
  <c r="D70" i="1" s="1"/>
  <c r="M67" i="1"/>
  <c r="L67" i="1"/>
  <c r="D67" i="1"/>
  <c r="O65" i="1"/>
  <c r="N65" i="1"/>
  <c r="M64" i="1"/>
  <c r="L64" i="1"/>
  <c r="J64" i="1"/>
  <c r="D64" i="1" s="1"/>
  <c r="M63" i="1"/>
  <c r="L63" i="1"/>
  <c r="J63" i="1"/>
  <c r="Q63" i="1" s="1"/>
  <c r="D63" i="1"/>
  <c r="M62" i="1"/>
  <c r="L62" i="1"/>
  <c r="J62" i="1"/>
  <c r="D62" i="1" s="1"/>
  <c r="M61" i="1"/>
  <c r="L61" i="1"/>
  <c r="J61" i="1"/>
  <c r="Q61" i="1" s="1"/>
  <c r="M60" i="1"/>
  <c r="L60" i="1"/>
  <c r="J60" i="1"/>
  <c r="D60" i="1" s="1"/>
  <c r="M59" i="1"/>
  <c r="L59" i="1"/>
  <c r="J59" i="1"/>
  <c r="Q59" i="1" s="1"/>
  <c r="M58" i="1"/>
  <c r="L58" i="1"/>
  <c r="J58" i="1"/>
  <c r="D58" i="1" s="1"/>
  <c r="M57" i="1"/>
  <c r="L57" i="1"/>
  <c r="J57" i="1"/>
  <c r="Q57" i="1" s="1"/>
  <c r="M56" i="1"/>
  <c r="L56" i="1"/>
  <c r="J56" i="1"/>
  <c r="D56" i="1" s="1"/>
  <c r="M55" i="1"/>
  <c r="L55" i="1"/>
  <c r="J55" i="1"/>
  <c r="Q55" i="1" s="1"/>
  <c r="D55" i="1"/>
  <c r="M54" i="1"/>
  <c r="L54" i="1"/>
  <c r="J54" i="1"/>
  <c r="D54" i="1" s="1"/>
  <c r="M53" i="1"/>
  <c r="L53" i="1"/>
  <c r="J53" i="1"/>
  <c r="D53" i="1" s="1"/>
  <c r="M52" i="1"/>
  <c r="L52" i="1"/>
  <c r="J52" i="1"/>
  <c r="P52" i="1" s="1"/>
  <c r="D52" i="1"/>
  <c r="M51" i="1"/>
  <c r="L51" i="1"/>
  <c r="J51" i="1"/>
  <c r="D51" i="1" s="1"/>
  <c r="O48" i="1"/>
  <c r="N48" i="1"/>
  <c r="C48" i="1"/>
  <c r="Q47" i="1"/>
  <c r="M47" i="1"/>
  <c r="L47" i="1"/>
  <c r="K47" i="1"/>
  <c r="E47" i="1" s="1"/>
  <c r="J47" i="1"/>
  <c r="D47" i="1"/>
  <c r="Q46" i="1"/>
  <c r="M46" i="1"/>
  <c r="L46" i="1"/>
  <c r="K46" i="1"/>
  <c r="E46" i="1" s="1"/>
  <c r="J46" i="1"/>
  <c r="P46" i="1" s="1"/>
  <c r="Q45" i="1"/>
  <c r="M45" i="1"/>
  <c r="L45" i="1"/>
  <c r="K45" i="1"/>
  <c r="J45" i="1"/>
  <c r="P45" i="1" s="1"/>
  <c r="E45" i="1"/>
  <c r="Q44" i="1"/>
  <c r="M44" i="1"/>
  <c r="L44" i="1"/>
  <c r="K44" i="1"/>
  <c r="E44" i="1" s="1"/>
  <c r="J44" i="1"/>
  <c r="P44" i="1" s="1"/>
  <c r="Q43" i="1"/>
  <c r="M43" i="1"/>
  <c r="L43" i="1"/>
  <c r="K43" i="1"/>
  <c r="E43" i="1" s="1"/>
  <c r="J43" i="1"/>
  <c r="P43" i="1" s="1"/>
  <c r="Q42" i="1"/>
  <c r="M42" i="1"/>
  <c r="L42" i="1"/>
  <c r="K42" i="1"/>
  <c r="E42" i="1" s="1"/>
  <c r="J42" i="1"/>
  <c r="P42" i="1" s="1"/>
  <c r="Q41" i="1"/>
  <c r="M41" i="1"/>
  <c r="L41" i="1"/>
  <c r="K41" i="1"/>
  <c r="E41" i="1" s="1"/>
  <c r="J41" i="1"/>
  <c r="P41" i="1" s="1"/>
  <c r="D41" i="1"/>
  <c r="Q40" i="1"/>
  <c r="M40" i="1"/>
  <c r="L40" i="1"/>
  <c r="K40" i="1"/>
  <c r="E40" i="1" s="1"/>
  <c r="J40" i="1"/>
  <c r="P40" i="1" s="1"/>
  <c r="Q39" i="1"/>
  <c r="M39" i="1"/>
  <c r="L39" i="1"/>
  <c r="K39" i="1"/>
  <c r="E39" i="1" s="1"/>
  <c r="J39" i="1"/>
  <c r="D39" i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P37" i="1" s="1"/>
  <c r="Q36" i="1"/>
  <c r="M36" i="1"/>
  <c r="L36" i="1"/>
  <c r="K36" i="1"/>
  <c r="E36" i="1" s="1"/>
  <c r="J36" i="1"/>
  <c r="P36" i="1" s="1"/>
  <c r="D36" i="1"/>
  <c r="Q35" i="1"/>
  <c r="M35" i="1"/>
  <c r="L35" i="1"/>
  <c r="K35" i="1"/>
  <c r="E35" i="1" s="1"/>
  <c r="J35" i="1"/>
  <c r="P35" i="1" s="1"/>
  <c r="D35" i="1"/>
  <c r="Q34" i="1"/>
  <c r="M34" i="1"/>
  <c r="L34" i="1"/>
  <c r="K34" i="1"/>
  <c r="J34" i="1"/>
  <c r="P34" i="1" s="1"/>
  <c r="E34" i="1"/>
  <c r="Q33" i="1"/>
  <c r="M33" i="1"/>
  <c r="L33" i="1"/>
  <c r="K33" i="1"/>
  <c r="E33" i="1" s="1"/>
  <c r="J33" i="1"/>
  <c r="P33" i="1" s="1"/>
  <c r="D33" i="1"/>
  <c r="Q32" i="1"/>
  <c r="M32" i="1"/>
  <c r="L32" i="1"/>
  <c r="K32" i="1"/>
  <c r="E32" i="1" s="1"/>
  <c r="J32" i="1"/>
  <c r="P32" i="1" s="1"/>
  <c r="K31" i="1"/>
  <c r="E31" i="1" s="1"/>
  <c r="J31" i="1"/>
  <c r="D31" i="1"/>
  <c r="Q29" i="1"/>
  <c r="M29" i="1"/>
  <c r="L29" i="1"/>
  <c r="K29" i="1"/>
  <c r="E29" i="1" s="1"/>
  <c r="J29" i="1"/>
  <c r="P29" i="1" s="1"/>
  <c r="D29" i="1"/>
  <c r="Q28" i="1"/>
  <c r="M28" i="1"/>
  <c r="L28" i="1"/>
  <c r="K28" i="1"/>
  <c r="E28" i="1" s="1"/>
  <c r="J28" i="1"/>
  <c r="P28" i="1" s="1"/>
  <c r="Q27" i="1"/>
  <c r="M27" i="1"/>
  <c r="L27" i="1"/>
  <c r="K27" i="1"/>
  <c r="E27" i="1" s="1"/>
  <c r="J27" i="1"/>
  <c r="P27" i="1" s="1"/>
  <c r="D27" i="1"/>
  <c r="Q26" i="1"/>
  <c r="M26" i="1"/>
  <c r="L26" i="1"/>
  <c r="K26" i="1"/>
  <c r="E26" i="1" s="1"/>
  <c r="J26" i="1"/>
  <c r="P26" i="1" s="1"/>
  <c r="D26" i="1"/>
  <c r="Q25" i="1"/>
  <c r="M25" i="1"/>
  <c r="L25" i="1"/>
  <c r="K25" i="1"/>
  <c r="J25" i="1"/>
  <c r="P25" i="1" s="1"/>
  <c r="E25" i="1"/>
  <c r="D25" i="1"/>
  <c r="Q24" i="1"/>
  <c r="M24" i="1"/>
  <c r="L24" i="1"/>
  <c r="K24" i="1"/>
  <c r="E24" i="1" s="1"/>
  <c r="J24" i="1"/>
  <c r="P24" i="1" s="1"/>
  <c r="D24" i="1"/>
  <c r="Q23" i="1"/>
  <c r="M23" i="1"/>
  <c r="L23" i="1"/>
  <c r="K23" i="1"/>
  <c r="E23" i="1" s="1"/>
  <c r="J23" i="1"/>
  <c r="D23" i="1" s="1"/>
  <c r="Q22" i="1"/>
  <c r="M22" i="1"/>
  <c r="L22" i="1"/>
  <c r="K22" i="1"/>
  <c r="J22" i="1"/>
  <c r="E22" i="1"/>
  <c r="D22" i="1"/>
  <c r="Q21" i="1"/>
  <c r="M21" i="1"/>
  <c r="L21" i="1"/>
  <c r="K21" i="1"/>
  <c r="E21" i="1" s="1"/>
  <c r="J21" i="1"/>
  <c r="D21" i="1" s="1"/>
  <c r="Q20" i="1"/>
  <c r="M20" i="1"/>
  <c r="L20" i="1"/>
  <c r="K20" i="1"/>
  <c r="E20" i="1" s="1"/>
  <c r="J20" i="1"/>
  <c r="P20" i="1" s="1"/>
  <c r="D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E17" i="1" s="1"/>
  <c r="J17" i="1"/>
  <c r="D17" i="1" s="1"/>
  <c r="Q16" i="1"/>
  <c r="M16" i="1"/>
  <c r="L16" i="1"/>
  <c r="K16" i="1"/>
  <c r="E16" i="1" s="1"/>
  <c r="J16" i="1"/>
  <c r="D16" i="1" s="1"/>
  <c r="Q15" i="1"/>
  <c r="M15" i="1"/>
  <c r="L15" i="1"/>
  <c r="K15" i="1"/>
  <c r="J15" i="1"/>
  <c r="D15" i="1" s="1"/>
  <c r="E15" i="1"/>
  <c r="Q14" i="1"/>
  <c r="M14" i="1"/>
  <c r="L14" i="1"/>
  <c r="K14" i="1"/>
  <c r="E14" i="1" s="1"/>
  <c r="J14" i="1"/>
  <c r="P14" i="1" s="1"/>
  <c r="Q13" i="1"/>
  <c r="M13" i="1"/>
  <c r="L13" i="1"/>
  <c r="K13" i="1"/>
  <c r="J13" i="1"/>
  <c r="D13" i="1" s="1"/>
  <c r="E13" i="1"/>
  <c r="Q12" i="1"/>
  <c r="M12" i="1"/>
  <c r="L12" i="1"/>
  <c r="K12" i="1"/>
  <c r="E12" i="1" s="1"/>
  <c r="J12" i="1"/>
  <c r="D12" i="1" s="1"/>
  <c r="Q11" i="1"/>
  <c r="M11" i="1"/>
  <c r="L11" i="1"/>
  <c r="K11" i="1"/>
  <c r="E11" i="1" s="1"/>
  <c r="J11" i="1"/>
  <c r="P11" i="1" s="1"/>
  <c r="D11" i="1"/>
  <c r="Q10" i="1"/>
  <c r="M10" i="1"/>
  <c r="L10" i="1"/>
  <c r="K10" i="1"/>
  <c r="E10" i="1" s="1"/>
  <c r="J10" i="1"/>
  <c r="D10" i="1" s="1"/>
  <c r="Q9" i="1"/>
  <c r="M9" i="1"/>
  <c r="L9" i="1"/>
  <c r="K9" i="1"/>
  <c r="J9" i="1"/>
  <c r="D9" i="1" s="1"/>
  <c r="E9" i="1"/>
  <c r="D57" i="1" l="1"/>
  <c r="D37" i="1"/>
  <c r="D42" i="1"/>
  <c r="D44" i="1"/>
  <c r="P10" i="1"/>
  <c r="D34" i="1"/>
  <c r="D46" i="1"/>
  <c r="P21" i="1"/>
  <c r="P59" i="1"/>
  <c r="P17" i="1"/>
  <c r="D14" i="1"/>
  <c r="Q53" i="1"/>
  <c r="D43" i="1"/>
  <c r="D61" i="1"/>
  <c r="D32" i="1"/>
  <c r="P51" i="1"/>
  <c r="P23" i="1"/>
  <c r="P57" i="1"/>
  <c r="P71" i="1"/>
  <c r="P55" i="1"/>
  <c r="D59" i="1"/>
  <c r="P61" i="1"/>
  <c r="Q71" i="1"/>
  <c r="Q51" i="1"/>
  <c r="P16" i="1"/>
  <c r="D28" i="1"/>
  <c r="D40" i="1"/>
  <c r="P63" i="1"/>
  <c r="P13" i="1"/>
  <c r="D45" i="1"/>
  <c r="K70" i="1"/>
  <c r="E70" i="1" s="1"/>
  <c r="P54" i="1"/>
  <c r="P56" i="1"/>
  <c r="P58" i="1"/>
  <c r="P60" i="1"/>
  <c r="P62" i="1"/>
  <c r="P64" i="1"/>
  <c r="Q54" i="1"/>
  <c r="P15" i="1"/>
  <c r="Q52" i="1"/>
  <c r="Q70" i="1"/>
  <c r="D71" i="1"/>
  <c r="K74" i="1"/>
  <c r="E74" i="1" s="1"/>
  <c r="Q58" i="1"/>
  <c r="Q62" i="1"/>
  <c r="P70" i="1"/>
  <c r="P9" i="1"/>
  <c r="P74" i="1"/>
  <c r="Q56" i="1"/>
  <c r="Q60" i="1"/>
  <c r="Q64" i="1"/>
  <c r="P12" i="1"/>
</calcChain>
</file>

<file path=xl/sharedStrings.xml><?xml version="1.0" encoding="utf-8"?>
<sst xmlns="http://schemas.openxmlformats.org/spreadsheetml/2006/main" count="267" uniqueCount="183">
  <si>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</si>
  <si>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</si>
  <si>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</si>
  <si>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</si>
  <si>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</si>
  <si>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</si>
  <si>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</si>
  <si>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</si>
  <si>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</si>
  <si>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</si>
  <si>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</si>
  <si>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</si>
  <si>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</si>
  <si>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</si>
  <si>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</si>
  <si>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</si>
  <si>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</si>
  <si>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</si>
  <si>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</si>
  <si>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</si>
  <si>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</si>
  <si>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</si>
  <si>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</si>
  <si>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</si>
  <si>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</si>
  <si>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</si>
  <si>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</si>
  <si>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</si>
  <si>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</si>
  <si>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</si>
  <si>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</si>
  <si>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</si>
  <si>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</si>
  <si>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</si>
  <si>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</si>
  <si>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</si>
  <si>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</si>
  <si>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</si>
  <si>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</si>
  <si>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</si>
  <si>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</si>
  <si>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</si>
  <si>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</si>
  <si>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</si>
  <si>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</si>
  <si>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</si>
  <si>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</si>
  <si>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</si>
  <si>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</si>
  <si>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</si>
  <si>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</si>
  <si>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</si>
  <si>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</si>
  <si>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</si>
  <si>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</si>
  <si>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</si>
  <si>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</si>
  <si>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</si>
  <si>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</si>
  <si>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</si>
  <si>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</si>
  <si>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</si>
  <si>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</si>
  <si>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</si>
  <si>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</si>
  <si>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</si>
  <si>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</si>
  <si>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</si>
  <si>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</si>
  <si>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</si>
  <si>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</si>
  <si>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</si>
  <si>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</si>
  <si>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</si>
  <si>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</si>
  <si>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</si>
  <si>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</si>
  <si>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</si>
  <si>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</si>
  <si>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</si>
  <si>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</si>
  <si>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</si>
  <si>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</si>
  <si>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</si>
  <si>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</si>
  <si>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</si>
  <si>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</si>
  <si>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</si>
  <si>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</si>
  <si>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</si>
  <si>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</si>
  <si>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</si>
  <si>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</si>
  <si>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</si>
  <si>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</si>
  <si>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</si>
  <si>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</si>
  <si>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</si>
  <si>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</si>
  <si>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</si>
  <si>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</si>
  <si>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</si>
  <si>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</si>
  <si>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</si>
  <si>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</si>
  <si>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</si>
  <si>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</si>
  <si>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</si>
  <si>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</si>
  <si>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</si>
  <si>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</si>
  <si>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</si>
  <si>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</si>
  <si>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</si>
  <si>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</si>
  <si>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</si>
  <si>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</si>
  <si>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</si>
  <si>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</si>
  <si>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</si>
  <si>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</si>
  <si>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</si>
  <si>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</si>
  <si>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</si>
  <si>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</si>
  <si>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</si>
  <si>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</si>
  <si>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</si>
  <si>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</si>
  <si>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</si>
  <si>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</si>
  <si>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</si>
  <si>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</si>
  <si>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</si>
  <si>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</si>
  <si>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</si>
  <si>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</si>
  <si>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</si>
  <si>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</si>
  <si>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</si>
  <si>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</si>
  <si>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</si>
  <si>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</si>
  <si>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</si>
  <si>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</si>
  <si>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</si>
  <si>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</si>
  <si>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</si>
  <si>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</si>
  <si>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</si>
  <si>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</si>
  <si>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</si>
  <si>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</si>
  <si>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</si>
  <si>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</si>
  <si>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</si>
  <si>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</si>
  <si>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</si>
  <si>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</si>
  <si>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</si>
  <si>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</si>
  <si>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</si>
  <si>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</si>
  <si>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</si>
  <si>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</si>
  <si>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</si>
  <si>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</si>
  <si>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</si>
  <si>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</si>
  <si>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</si>
  <si>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</si>
  <si>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</si>
  <si>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</si>
  <si>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</si>
  <si>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</si>
  <si>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</si>
  <si>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</si>
  <si>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</si>
  <si>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</si>
  <si>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</si>
  <si>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</si>
  <si>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</si>
  <si>
    <t>Delisted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</si>
</sst>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0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5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4" fillId="3" borderId="0" xfId="2" applyNumberFormat="1" applyFont="1" applyFill="1" applyAlignment="1"/>
    <xf numFmtId="164" fontId="15" fillId="8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9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F223ADA4-ABB3-4EC8-80DC-F3DD9196C999}"/>
    <cellStyle name="Comma 5 2 2 2 2 2 2 2 2" xfId="4" xr:uid="{6B5184F9-45FE-4213-A650-04725752334F}"/>
    <cellStyle name="Comma 6 2 2 2" xfId="5" xr:uid="{886809A9-225F-4546-AE5E-15028B25DA53}"/>
    <cellStyle name="Hyperlink 2" xfId="8" xr:uid="{9202B774-6673-4B5D-B39D-0B7A57FA6E95}"/>
    <cellStyle name="Normal" xfId="0" builtinId="0"/>
    <cellStyle name="Normal 2" xfId="2" xr:uid="{F9DC2FAF-8BD0-488C-9D14-D91128C6CF9F}"/>
    <cellStyle name="Normal 20" xfId="7" xr:uid="{A69507C9-79AE-42C1-B68F-957FFB4D8B24}"/>
    <cellStyle name="Percent" xfId="1" builtinId="5"/>
    <cellStyle name="Percent 3" xfId="6" xr:uid="{0D45520F-191E-4200-A52E-5C2A774CCA66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A1A5F51A-DE75-4795-8EA7-C16EADC7A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11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DB83016B-D7D9-4456-84C3-4E59A3D22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C3627-2C7B-4F21-90DD-124E6D1C274A}">
  <dimension ref="A1:II106"/>
  <sheetViews>
    <sheetView tabSelected="1" zoomScale="70" zoomScaleNormal="60" workbookViewId="0">
      <selection activeCell="T59" sqref="T59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bestFit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26.872399999999999</v>
      </c>
      <c r="K5" s="22"/>
      <c r="L5" s="143" t="s">
        <v>12</v>
      </c>
      <c r="M5" s="144"/>
      <c r="N5" s="23" t="s">
        <v>13</v>
      </c>
      <c r="O5" s="24"/>
      <c r="P5" s="24"/>
      <c r="Q5" s="25"/>
    </row>
    <row r="6" spans="1:18" ht="6.6" customHeight="1" x14ac:dyDescent="0.3">
      <c r="A6" s="133"/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6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126034439</v>
      </c>
      <c r="D9" s="38">
        <f>C9*J9</f>
        <v>74103695.099805012</v>
      </c>
      <c r="E9" s="39">
        <f>C9*K9</f>
        <v>63217274.165079363</v>
      </c>
      <c r="F9" s="40" t="s">
        <v>34</v>
      </c>
      <c r="G9" s="41">
        <v>8.9894999999999996</v>
      </c>
      <c r="H9" s="42">
        <v>15.8</v>
      </c>
      <c r="I9" s="43">
        <v>15.8</v>
      </c>
      <c r="J9" s="44">
        <f>(I9/$J$5)</f>
        <v>0.58796385882913327</v>
      </c>
      <c r="K9" s="45">
        <f>I9/$K$4</f>
        <v>0.50158730158730158</v>
      </c>
      <c r="L9" s="46">
        <f>I9-H9</f>
        <v>0</v>
      </c>
      <c r="M9" s="46">
        <f>((I9-H9)/H9)*100</f>
        <v>0</v>
      </c>
      <c r="N9" s="47">
        <v>0</v>
      </c>
      <c r="O9" s="37">
        <v>0</v>
      </c>
      <c r="P9" s="48">
        <f>(R9)/J9</f>
        <v>2.5511772151898732E-2</v>
      </c>
      <c r="Q9" s="49">
        <f>I9/G9-1</f>
        <v>0.75760609600089013</v>
      </c>
      <c r="R9" s="50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3936407.3798767515</v>
      </c>
      <c r="E10" s="39">
        <f>C10*K10</f>
        <v>3358117.8944444447</v>
      </c>
      <c r="F10" s="40" t="s">
        <v>34</v>
      </c>
      <c r="G10" s="41">
        <v>3.1600000000000003E-2</v>
      </c>
      <c r="H10" s="42">
        <v>6.5000000000000002E-2</v>
      </c>
      <c r="I10" s="43">
        <v>6.5000000000000002E-2</v>
      </c>
      <c r="J10" s="44">
        <f>I10/$J$5</f>
        <v>2.4188386597401054E-3</v>
      </c>
      <c r="K10" s="45">
        <f>I10/$K$4</f>
        <v>2.0634920634920637E-3</v>
      </c>
      <c r="L10" s="46">
        <f>I10-H10</f>
        <v>0</v>
      </c>
      <c r="M10" s="46">
        <f>((I10-H10)/H10)*100</f>
        <v>0</v>
      </c>
      <c r="N10" s="47">
        <v>1000</v>
      </c>
      <c r="O10" s="37">
        <v>65</v>
      </c>
      <c r="P10" s="51">
        <f>(R10)/J10</f>
        <v>0</v>
      </c>
      <c r="Q10" s="49">
        <f>I10/G10-1</f>
        <v>1.0569620253164556</v>
      </c>
      <c r="R10" s="50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3577463.0840565045</v>
      </c>
      <c r="E11" s="39">
        <f>C11*K11</f>
        <v>3051905.3644444444</v>
      </c>
      <c r="F11" s="40" t="s">
        <v>39</v>
      </c>
      <c r="G11" s="41">
        <v>7.8E-2</v>
      </c>
      <c r="H11" s="42">
        <v>0.22</v>
      </c>
      <c r="I11" s="43">
        <v>0.22</v>
      </c>
      <c r="J11" s="44">
        <f>I11/$J$5</f>
        <v>8.1868385406588182E-3</v>
      </c>
      <c r="K11" s="45">
        <f>I11/$K$4</f>
        <v>6.9841269841269841E-3</v>
      </c>
      <c r="L11" s="46">
        <f>I11-H11</f>
        <v>0</v>
      </c>
      <c r="M11" s="46">
        <f>((I11-H11)/H11)*100</f>
        <v>0</v>
      </c>
      <c r="N11" s="47">
        <v>0</v>
      </c>
      <c r="O11" s="37">
        <v>0</v>
      </c>
      <c r="P11" s="51">
        <f>(R11)/J11</f>
        <v>0</v>
      </c>
      <c r="Q11" s="49">
        <f>I11/G11-1</f>
        <v>1.8205128205128207</v>
      </c>
      <c r="R11" s="50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153566380.74548239</v>
      </c>
      <c r="E12" s="39">
        <f>C12*K12</f>
        <v>131006260.63317144</v>
      </c>
      <c r="F12" s="40" t="s">
        <v>34</v>
      </c>
      <c r="G12" s="41">
        <v>97.381</v>
      </c>
      <c r="H12" s="42">
        <v>199.99970000000002</v>
      </c>
      <c r="I12" s="43">
        <v>199.99970000000002</v>
      </c>
      <c r="J12" s="44">
        <f>I12/$J$5</f>
        <v>7.4425693276372797</v>
      </c>
      <c r="K12" s="45">
        <f>I12/$K$4</f>
        <v>6.3491968253968256</v>
      </c>
      <c r="L12" s="46">
        <f>I12-H12</f>
        <v>0</v>
      </c>
      <c r="M12" s="46">
        <f>((I12-H12)/H12)*100</f>
        <v>0</v>
      </c>
      <c r="N12" s="47">
        <v>0</v>
      </c>
      <c r="O12" s="37">
        <v>0</v>
      </c>
      <c r="P12" s="51">
        <f>(R12)/J12</f>
        <v>0</v>
      </c>
      <c r="Q12" s="49">
        <f>I12/G12-1</f>
        <v>1.053785646070589</v>
      </c>
      <c r="R12" s="50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6176115.7172414819</v>
      </c>
      <c r="E13" s="39">
        <f>C13*K13</f>
        <v>5268795.3015873013</v>
      </c>
      <c r="F13" s="40" t="s">
        <v>44</v>
      </c>
      <c r="G13" s="41">
        <v>13.6</v>
      </c>
      <c r="H13" s="42">
        <v>19</v>
      </c>
      <c r="I13" s="43">
        <v>19</v>
      </c>
      <c r="J13" s="44">
        <f>I13/$J$5</f>
        <v>0.70704514669326146</v>
      </c>
      <c r="K13" s="45">
        <f>I13/$K$4</f>
        <v>0.60317460317460314</v>
      </c>
      <c r="L13" s="46">
        <f>I13-H13</f>
        <v>0</v>
      </c>
      <c r="M13" s="46">
        <f>((I13-H13)/H13)*100</f>
        <v>0</v>
      </c>
      <c r="N13" s="47">
        <v>0</v>
      </c>
      <c r="O13" s="37">
        <v>0</v>
      </c>
      <c r="P13" s="51">
        <f>(R13)/J13</f>
        <v>0</v>
      </c>
      <c r="Q13" s="49">
        <f>I13/G13-1</f>
        <v>0.39705882352941191</v>
      </c>
      <c r="R13" s="50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636919022.0526824</v>
      </c>
      <c r="E14" s="39">
        <f>C14*K14</f>
        <v>543350562.80026984</v>
      </c>
      <c r="F14" s="40" t="s">
        <v>47</v>
      </c>
      <c r="G14" s="41">
        <v>11.5</v>
      </c>
      <c r="H14" s="42">
        <v>30.4663</v>
      </c>
      <c r="I14" s="43">
        <v>32.746900000000004</v>
      </c>
      <c r="J14" s="44">
        <f>I14/$J$5</f>
        <v>1.2186071954868194</v>
      </c>
      <c r="K14" s="45">
        <f>I14/$K$4</f>
        <v>1.0395841269841271</v>
      </c>
      <c r="L14" s="46">
        <f>I14-H14</f>
        <v>2.2806000000000033</v>
      </c>
      <c r="M14" s="46">
        <f>((I14-H14)/H14)*100</f>
        <v>7.4856480767274105</v>
      </c>
      <c r="N14" s="47">
        <v>17300</v>
      </c>
      <c r="O14" s="37">
        <v>566522</v>
      </c>
      <c r="P14" s="51">
        <f>(R14)/J14</f>
        <v>0</v>
      </c>
      <c r="Q14" s="49">
        <f>I14/G14-1</f>
        <v>1.8475565217391305</v>
      </c>
      <c r="R14" s="50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23676532.427323204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>I15/$J$5</f>
        <v>0.22327741474524049</v>
      </c>
      <c r="K15" s="45">
        <f>I15/$K$4</f>
        <v>0.19047619047619047</v>
      </c>
      <c r="L15" s="46">
        <f>I15-H15</f>
        <v>0</v>
      </c>
      <c r="M15" s="46">
        <f>((I15-H15)/H15)*100</f>
        <v>0</v>
      </c>
      <c r="N15" s="47">
        <v>0</v>
      </c>
      <c r="O15" s="37">
        <v>0</v>
      </c>
      <c r="P15" s="51">
        <f>(R15)/J15</f>
        <v>0</v>
      </c>
      <c r="Q15" s="49">
        <f>I15/G15-1</f>
        <v>0.1131725417439704</v>
      </c>
      <c r="R15" s="50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43963428.327949867</v>
      </c>
      <c r="E16" s="39">
        <f>C16*K16</f>
        <v>37504851.790476188</v>
      </c>
      <c r="F16" s="40" t="s">
        <v>34</v>
      </c>
      <c r="G16" s="41">
        <v>1.9</v>
      </c>
      <c r="H16" s="42">
        <v>3.3</v>
      </c>
      <c r="I16" s="43">
        <v>3.3</v>
      </c>
      <c r="J16" s="44">
        <f>I16/$J$5</f>
        <v>0.12280257810988225</v>
      </c>
      <c r="K16" s="45">
        <f>I16/$K$4</f>
        <v>0.10476190476190475</v>
      </c>
      <c r="L16" s="46">
        <f>I16-H16</f>
        <v>0</v>
      </c>
      <c r="M16" s="46">
        <f>((I16-H16)/H16)*100</f>
        <v>0</v>
      </c>
      <c r="N16" s="47">
        <v>0</v>
      </c>
      <c r="O16" s="37">
        <v>0</v>
      </c>
      <c r="P16" s="51">
        <f>(R16)/J16</f>
        <v>0</v>
      </c>
      <c r="Q16" s="49">
        <f>I16/G16-1</f>
        <v>0.73684210526315796</v>
      </c>
      <c r="R16" s="50"/>
    </row>
    <row r="17" spans="1:19" x14ac:dyDescent="0.25">
      <c r="A17" s="35" t="s">
        <v>52</v>
      </c>
      <c r="B17" s="36" t="s">
        <v>53</v>
      </c>
      <c r="C17" s="37">
        <v>1341633325</v>
      </c>
      <c r="D17" s="38">
        <f>C17*J17</f>
        <v>1512230706.3848038</v>
      </c>
      <c r="E17" s="39">
        <f>C17*K17</f>
        <v>1290072013.7858729</v>
      </c>
      <c r="F17" s="40" t="s">
        <v>34</v>
      </c>
      <c r="G17" s="41">
        <v>20.701700000000002</v>
      </c>
      <c r="H17" s="42">
        <v>31.205100000000002</v>
      </c>
      <c r="I17" s="43">
        <v>30.289400000000001</v>
      </c>
      <c r="J17" s="44">
        <f>I17/$J$5</f>
        <v>1.1271564876974145</v>
      </c>
      <c r="K17" s="45">
        <f>I17/$K$4</f>
        <v>0.96156825396825396</v>
      </c>
      <c r="L17" s="46">
        <f>I17-H17</f>
        <v>-0.91570000000000107</v>
      </c>
      <c r="M17" s="46">
        <f>((I17-H17)/H17)*100</f>
        <v>-2.9344562267065353</v>
      </c>
      <c r="N17" s="47">
        <v>146500</v>
      </c>
      <c r="O17" s="37">
        <v>4437396.4000000004</v>
      </c>
      <c r="P17" s="48">
        <f>(R17)/J17</f>
        <v>4.4359412863906184E-2</v>
      </c>
      <c r="Q17" s="49">
        <f>I17/G17-1</f>
        <v>0.46313587772984821</v>
      </c>
      <c r="R17" s="50">
        <v>0.05</v>
      </c>
      <c r="S17" s="52"/>
    </row>
    <row r="18" spans="1:19" hidden="1" x14ac:dyDescent="0.25">
      <c r="A18" s="35" t="s">
        <v>54</v>
      </c>
      <c r="B18" s="36" t="s">
        <v>55</v>
      </c>
      <c r="C18" s="37">
        <v>671949927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5">
      <c r="A19" s="35" t="s">
        <v>58</v>
      </c>
      <c r="B19" s="36" t="s">
        <v>59</v>
      </c>
      <c r="C19" s="37">
        <v>108923291</v>
      </c>
      <c r="D19" s="38">
        <f>C19*J19</f>
        <v>36480166.230035275</v>
      </c>
      <c r="E19" s="39">
        <f>C19*K19</f>
        <v>31120940.285714284</v>
      </c>
      <c r="F19" s="40" t="s">
        <v>47</v>
      </c>
      <c r="G19" s="41">
        <v>12.45</v>
      </c>
      <c r="H19" s="42">
        <v>9</v>
      </c>
      <c r="I19" s="43">
        <v>9</v>
      </c>
      <c r="J19" s="44">
        <f>I19/$J$5</f>
        <v>0.3349161221178607</v>
      </c>
      <c r="K19" s="45">
        <f>I19/$K$4</f>
        <v>0.2857142857142857</v>
      </c>
      <c r="L19" s="46">
        <f>I19-H19</f>
        <v>0</v>
      </c>
      <c r="M19" s="46">
        <f>((I19-H19)/H19)*100</f>
        <v>0</v>
      </c>
      <c r="N19" s="47">
        <v>0</v>
      </c>
      <c r="O19" s="37">
        <v>0</v>
      </c>
      <c r="P19" s="51">
        <f>(R19)/J19</f>
        <v>0</v>
      </c>
      <c r="Q19" s="49">
        <f>I19/G19-1</f>
        <v>-0.27710843373493976</v>
      </c>
      <c r="R19" s="50"/>
    </row>
    <row r="20" spans="1:19" x14ac:dyDescent="0.25">
      <c r="A20" s="35" t="s">
        <v>60</v>
      </c>
      <c r="B20" s="36" t="s">
        <v>61</v>
      </c>
      <c r="C20" s="37">
        <v>690143060</v>
      </c>
      <c r="D20" s="38">
        <f>C20*J20</f>
        <v>17977558.461469758</v>
      </c>
      <c r="E20" s="39">
        <f>C20*K20</f>
        <v>15336512.444444442</v>
      </c>
      <c r="F20" s="40" t="s">
        <v>47</v>
      </c>
      <c r="G20" s="41">
        <v>0.35</v>
      </c>
      <c r="H20" s="42">
        <v>0.7</v>
      </c>
      <c r="I20" s="43">
        <v>0.7</v>
      </c>
      <c r="J20" s="44">
        <f>I20/$J$5</f>
        <v>2.6049031720278053E-2</v>
      </c>
      <c r="K20" s="45">
        <f>I20/$K$4</f>
        <v>2.222222222222222E-2</v>
      </c>
      <c r="L20" s="46">
        <f>I20-H20</f>
        <v>0</v>
      </c>
      <c r="M20" s="46">
        <f>((I20-H20)/H20)*100</f>
        <v>0</v>
      </c>
      <c r="N20" s="47">
        <v>0</v>
      </c>
      <c r="O20" s="37">
        <v>0</v>
      </c>
      <c r="P20" s="51">
        <f>(R20)/J20</f>
        <v>0</v>
      </c>
      <c r="Q20" s="49">
        <f>I20/G20-1</f>
        <v>1</v>
      </c>
      <c r="R20" s="50"/>
    </row>
    <row r="21" spans="1:19" x14ac:dyDescent="0.25">
      <c r="A21" s="35" t="s">
        <v>62</v>
      </c>
      <c r="B21" s="36" t="s">
        <v>63</v>
      </c>
      <c r="C21" s="37">
        <v>1236075493</v>
      </c>
      <c r="D21" s="38">
        <f>C21*J21</f>
        <v>124194483.22814487</v>
      </c>
      <c r="E21" s="39">
        <f>C21*K21</f>
        <v>105949327.97142857</v>
      </c>
      <c r="F21" s="40" t="s">
        <v>47</v>
      </c>
      <c r="G21" s="41">
        <v>2.85</v>
      </c>
      <c r="H21" s="42">
        <v>2.7</v>
      </c>
      <c r="I21" s="43">
        <v>2.7</v>
      </c>
      <c r="J21" s="44">
        <f>I21/$J$5</f>
        <v>0.10047483663535822</v>
      </c>
      <c r="K21" s="45">
        <f>I21/$K$4</f>
        <v>8.5714285714285715E-2</v>
      </c>
      <c r="L21" s="46">
        <f>I21-H21</f>
        <v>0</v>
      </c>
      <c r="M21" s="46">
        <f>((I21-H21)/H21)*100</f>
        <v>0</v>
      </c>
      <c r="N21" s="47">
        <v>0</v>
      </c>
      <c r="O21" s="37">
        <v>0</v>
      </c>
      <c r="P21" s="51">
        <f>(R21)/J21</f>
        <v>0</v>
      </c>
      <c r="Q21" s="49">
        <f>I21/G21-1</f>
        <v>-5.2631578947368363E-2</v>
      </c>
      <c r="R21" s="50"/>
    </row>
    <row r="22" spans="1:19" x14ac:dyDescent="0.25">
      <c r="A22" s="35" t="s">
        <v>64</v>
      </c>
      <c r="B22" s="36" t="s">
        <v>65</v>
      </c>
      <c r="C22" s="37">
        <v>536588623</v>
      </c>
      <c r="D22" s="38">
        <f>C22*J22</f>
        <v>19768339.886649501</v>
      </c>
      <c r="E22" s="39">
        <f>C22*K22</f>
        <v>16864213.865714286</v>
      </c>
      <c r="F22" s="40" t="s">
        <v>66</v>
      </c>
      <c r="G22" s="41">
        <v>0.88420599999999994</v>
      </c>
      <c r="H22" s="42">
        <v>0.99</v>
      </c>
      <c r="I22" s="43">
        <v>0.99</v>
      </c>
      <c r="J22" s="44">
        <f>I22/$J$5</f>
        <v>3.6840773432964678E-2</v>
      </c>
      <c r="K22" s="45">
        <f>I22/$K$4</f>
        <v>3.1428571428571431E-2</v>
      </c>
      <c r="L22" s="46">
        <f>I22-H22</f>
        <v>0</v>
      </c>
      <c r="M22" s="46">
        <f>((I22-H22)/H22)*100</f>
        <v>0</v>
      </c>
      <c r="N22" s="56" t="s">
        <v>182</v>
      </c>
      <c r="O22" s="56" t="s">
        <v>182</v>
      </c>
      <c r="P22" s="56" t="s">
        <v>182</v>
      </c>
      <c r="Q22" s="49">
        <f>I22/G22-1</f>
        <v>0.11964858867729933</v>
      </c>
      <c r="R22" s="50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2236418.2498027715</v>
      </c>
      <c r="E23" s="39">
        <f>C23*K23</f>
        <v>1907870.6595555553</v>
      </c>
      <c r="F23" s="40" t="s">
        <v>44</v>
      </c>
      <c r="G23" s="41">
        <v>0.1</v>
      </c>
      <c r="H23" s="42">
        <v>0.11199999999999999</v>
      </c>
      <c r="I23" s="43">
        <v>0.11199999999999999</v>
      </c>
      <c r="J23" s="44">
        <f>I23/$J$5</f>
        <v>4.1678450752444885E-3</v>
      </c>
      <c r="K23" s="45">
        <f>I23/$K$4</f>
        <v>3.5555555555555553E-3</v>
      </c>
      <c r="L23" s="46">
        <f>I23-H23</f>
        <v>0</v>
      </c>
      <c r="M23" s="46">
        <f>((I23-H23)/H23)*100</f>
        <v>0</v>
      </c>
      <c r="N23" s="47">
        <v>0</v>
      </c>
      <c r="O23" s="37">
        <v>0</v>
      </c>
      <c r="P23" s="51">
        <f>(R23)/J23</f>
        <v>0</v>
      </c>
      <c r="Q23" s="49">
        <f>I23/G23-1</f>
        <v>0.11999999999999988</v>
      </c>
      <c r="R23" s="50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64304513.151411869</v>
      </c>
      <c r="E24" s="39">
        <f>C24*K24</f>
        <v>54857669.816190481</v>
      </c>
      <c r="F24" s="40" t="s">
        <v>34</v>
      </c>
      <c r="G24" s="41">
        <v>8.1687659999999997</v>
      </c>
      <c r="H24" s="42">
        <v>8.9525000000000006</v>
      </c>
      <c r="I24" s="43">
        <v>8.9525000000000006</v>
      </c>
      <c r="J24" s="44">
        <f>I24/$J$5</f>
        <v>0.3331485092511276</v>
      </c>
      <c r="K24" s="45">
        <f>I24/$K$4</f>
        <v>0.28420634920634924</v>
      </c>
      <c r="L24" s="46">
        <f>I24-H24</f>
        <v>0</v>
      </c>
      <c r="M24" s="46">
        <f>((I24-H24)/H24)*100</f>
        <v>0</v>
      </c>
      <c r="N24" s="47">
        <v>0</v>
      </c>
      <c r="O24" s="37">
        <v>0</v>
      </c>
      <c r="P24" s="51">
        <f>(R24)/J24</f>
        <v>0</v>
      </c>
      <c r="Q24" s="49">
        <f>I24/G24-1</f>
        <v>9.5942765406672237E-2</v>
      </c>
      <c r="R24" s="50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105974829.75794868</v>
      </c>
      <c r="E25" s="39">
        <f>C25*K25</f>
        <v>90406286.196428567</v>
      </c>
      <c r="F25" s="40" t="s">
        <v>66</v>
      </c>
      <c r="G25" s="41">
        <v>1.6675</v>
      </c>
      <c r="H25" s="42">
        <v>1.6875</v>
      </c>
      <c r="I25" s="43">
        <v>1.6875</v>
      </c>
      <c r="J25" s="44">
        <f>I25/$J$5</f>
        <v>6.2796772897098882E-2</v>
      </c>
      <c r="K25" s="45">
        <f>I25/$K$4</f>
        <v>5.3571428571428568E-2</v>
      </c>
      <c r="L25" s="46">
        <f>I25-H25</f>
        <v>0</v>
      </c>
      <c r="M25" s="46">
        <f>((I25-H25)/H25)*100</f>
        <v>0</v>
      </c>
      <c r="N25" s="47">
        <v>0</v>
      </c>
      <c r="O25" s="37">
        <v>0</v>
      </c>
      <c r="P25" s="51">
        <f>(R25)/J25</f>
        <v>0</v>
      </c>
      <c r="Q25" s="49">
        <f>I25/G25-1</f>
        <v>1.1994002998500841E-2</v>
      </c>
      <c r="R25" s="50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29833984.695933372</v>
      </c>
      <c r="E26" s="39">
        <f>C26*K26</f>
        <v>25451135.566444442</v>
      </c>
      <c r="F26" s="40" t="s">
        <v>44</v>
      </c>
      <c r="G26" s="41">
        <v>1.7994999999999999</v>
      </c>
      <c r="H26" s="42">
        <v>3.35</v>
      </c>
      <c r="I26" s="43">
        <v>3.3489999999999998</v>
      </c>
      <c r="J26" s="44">
        <f>I26/$J$5</f>
        <v>0.12462601033030171</v>
      </c>
      <c r="K26" s="45">
        <f>I26/$K$4</f>
        <v>0.10631746031746031</v>
      </c>
      <c r="L26" s="46">
        <f>I26-H26</f>
        <v>-1.000000000000334E-3</v>
      </c>
      <c r="M26" s="46">
        <f>((I26-H26)/H26)*100</f>
        <v>-2.9850746268666687E-2</v>
      </c>
      <c r="N26" s="47">
        <v>500</v>
      </c>
      <c r="O26" s="37">
        <v>1674.5</v>
      </c>
      <c r="P26" s="51">
        <f>(R26)/J26</f>
        <v>0</v>
      </c>
      <c r="Q26" s="49">
        <f>I26/G26-1</f>
        <v>0.86107252014448465</v>
      </c>
      <c r="R26" s="50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26213309.482963935</v>
      </c>
      <c r="E27" s="39">
        <f>C27*K27</f>
        <v>22362366.277777776</v>
      </c>
      <c r="F27" s="40" t="s">
        <v>34</v>
      </c>
      <c r="G27" s="41">
        <v>3.1361369999999997</v>
      </c>
      <c r="H27" s="42">
        <v>2.75</v>
      </c>
      <c r="I27" s="43">
        <v>2.75</v>
      </c>
      <c r="J27" s="44">
        <f>I27/$J$5</f>
        <v>0.10233548175823522</v>
      </c>
      <c r="K27" s="45">
        <f>I27/$K$4</f>
        <v>8.7301587301587297E-2</v>
      </c>
      <c r="L27" s="46">
        <f>I27-H27</f>
        <v>0</v>
      </c>
      <c r="M27" s="46">
        <f>((I27-H27)/H27)*100</f>
        <v>0</v>
      </c>
      <c r="N27" s="47">
        <v>200</v>
      </c>
      <c r="O27" s="37">
        <v>550</v>
      </c>
      <c r="P27" s="51">
        <f>(R27)/J27</f>
        <v>0</v>
      </c>
      <c r="Q27" s="49">
        <f>I27/G27-1</f>
        <v>-0.12312504205013997</v>
      </c>
      <c r="R27" s="50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21089894.306053795</v>
      </c>
      <c r="E28" s="39">
        <f>C28*K28</f>
        <v>17991621.452380951</v>
      </c>
      <c r="F28" s="40" t="s">
        <v>44</v>
      </c>
      <c r="G28" s="41">
        <v>0.8</v>
      </c>
      <c r="H28" s="42">
        <v>0.75</v>
      </c>
      <c r="I28" s="43">
        <v>0.75</v>
      </c>
      <c r="J28" s="44">
        <f>I28/$J$5</f>
        <v>2.7909676843155061E-2</v>
      </c>
      <c r="K28" s="45">
        <f>I28/$K$4</f>
        <v>2.3809523809523808E-2</v>
      </c>
      <c r="L28" s="46">
        <f>I28-H28</f>
        <v>0</v>
      </c>
      <c r="M28" s="46">
        <f>((I28-H28)/H28)*100</f>
        <v>0</v>
      </c>
      <c r="N28" s="47">
        <v>0</v>
      </c>
      <c r="O28" s="37">
        <v>0</v>
      </c>
      <c r="P28" s="51">
        <f>(R28)/J28</f>
        <v>0</v>
      </c>
      <c r="Q28" s="49">
        <f>I28/G28-1</f>
        <v>-6.25E-2</v>
      </c>
      <c r="R28" s="50"/>
    </row>
    <row r="29" spans="1:19" x14ac:dyDescent="0.25">
      <c r="A29" s="35" t="s">
        <v>80</v>
      </c>
      <c r="B29" s="36" t="s">
        <v>81</v>
      </c>
      <c r="C29" s="37">
        <v>449129618</v>
      </c>
      <c r="D29" s="38">
        <f>C29*J29</f>
        <v>93595133.326386914</v>
      </c>
      <c r="E29" s="39">
        <f>C29*K29</f>
        <v>79845265.422222212</v>
      </c>
      <c r="F29" s="40" t="s">
        <v>47</v>
      </c>
      <c r="G29" s="41">
        <v>5.15</v>
      </c>
      <c r="H29" s="42">
        <v>5.49</v>
      </c>
      <c r="I29" s="43">
        <v>5.6</v>
      </c>
      <c r="J29" s="44">
        <f>I29/$J$5</f>
        <v>0.20839225376222442</v>
      </c>
      <c r="K29" s="45">
        <f>I29/$K$4</f>
        <v>0.17777777777777776</v>
      </c>
      <c r="L29" s="46">
        <f>I29-H29</f>
        <v>0.10999999999999943</v>
      </c>
      <c r="M29" s="46">
        <f>((I29-H29)/H29)*100</f>
        <v>2.0036429872495343</v>
      </c>
      <c r="N29" s="47">
        <v>200</v>
      </c>
      <c r="O29" s="37">
        <v>1120</v>
      </c>
      <c r="P29" s="51">
        <f>(R29)/J29</f>
        <v>0</v>
      </c>
      <c r="Q29" s="49">
        <f>I29/G29-1</f>
        <v>8.737864077669899E-2</v>
      </c>
      <c r="R29" s="50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3"/>
      <c r="J30" s="44"/>
      <c r="K30" s="45"/>
      <c r="L30" s="46"/>
      <c r="M30" s="46"/>
      <c r="N30" s="47"/>
      <c r="O30" s="37"/>
      <c r="P30" s="51"/>
      <c r="Q30" s="49"/>
      <c r="R30" s="50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1">
        <v>0</v>
      </c>
      <c r="I31" s="53"/>
      <c r="J31" s="54">
        <f>I31/$J$5</f>
        <v>0</v>
      </c>
      <c r="K31" s="55">
        <f>I31/$K$4</f>
        <v>0</v>
      </c>
      <c r="L31" s="46">
        <v>0</v>
      </c>
      <c r="M31" s="46">
        <v>0</v>
      </c>
      <c r="N31" s="56" t="s">
        <v>85</v>
      </c>
      <c r="O31" s="56" t="s">
        <v>85</v>
      </c>
      <c r="P31" s="56" t="s">
        <v>85</v>
      </c>
      <c r="Q31" s="49">
        <v>0</v>
      </c>
      <c r="R31" s="50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12571491.604769206</v>
      </c>
      <c r="E32" s="39">
        <f>C32*K32</f>
        <v>10724639.714285715</v>
      </c>
      <c r="F32" s="40" t="s">
        <v>39</v>
      </c>
      <c r="G32" s="41">
        <v>1.4</v>
      </c>
      <c r="H32" s="42">
        <v>1.3</v>
      </c>
      <c r="I32" s="43">
        <v>1.3</v>
      </c>
      <c r="J32" s="44">
        <f>I32/$J$5</f>
        <v>4.8376773194802103E-2</v>
      </c>
      <c r="K32" s="45">
        <f>I32/$K$4</f>
        <v>4.1269841269841269E-2</v>
      </c>
      <c r="L32" s="46">
        <f>I32-H32</f>
        <v>0</v>
      </c>
      <c r="M32" s="46">
        <f>((I32-H32)/H32)*100</f>
        <v>0</v>
      </c>
      <c r="N32" s="47">
        <v>0</v>
      </c>
      <c r="O32" s="37">
        <v>0</v>
      </c>
      <c r="P32" s="51">
        <f>(R32)/J32</f>
        <v>0</v>
      </c>
      <c r="Q32" s="49">
        <f>I32/G32-1</f>
        <v>-7.1428571428571286E-2</v>
      </c>
      <c r="R32" s="50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3859910.149447016</v>
      </c>
      <c r="E33" s="39">
        <f>C33*K33</f>
        <v>3292858.7142857141</v>
      </c>
      <c r="F33" s="40" t="s">
        <v>39</v>
      </c>
      <c r="G33" s="41">
        <v>0.65</v>
      </c>
      <c r="H33" s="42">
        <v>0.85</v>
      </c>
      <c r="I33" s="43">
        <v>0.85</v>
      </c>
      <c r="J33" s="44">
        <f>I33/$J$5</f>
        <v>3.1630967088909064E-2</v>
      </c>
      <c r="K33" s="45">
        <f>I33/$K$4</f>
        <v>2.6984126984126982E-2</v>
      </c>
      <c r="L33" s="46">
        <f>I33-H33</f>
        <v>0</v>
      </c>
      <c r="M33" s="46">
        <f>((I33-H33)/H33)*100</f>
        <v>0</v>
      </c>
      <c r="N33" s="47">
        <v>0</v>
      </c>
      <c r="O33" s="37">
        <v>0</v>
      </c>
      <c r="P33" s="51">
        <f>(R33)/J33</f>
        <v>0</v>
      </c>
      <c r="Q33" s="49">
        <f>I33/G33-1</f>
        <v>0.30769230769230771</v>
      </c>
      <c r="R33" s="50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116080790.28110628</v>
      </c>
      <c r="E34" s="39">
        <f>C34*K34</f>
        <v>99027600.912698403</v>
      </c>
      <c r="F34" s="40" t="s">
        <v>92</v>
      </c>
      <c r="G34" s="41">
        <v>1.44</v>
      </c>
      <c r="H34" s="42">
        <v>1.2495000000000001</v>
      </c>
      <c r="I34" s="43">
        <v>1.25</v>
      </c>
      <c r="J34" s="44">
        <f>I34/$J$5</f>
        <v>4.6516128071925102E-2</v>
      </c>
      <c r="K34" s="45">
        <f>I34/$K$4</f>
        <v>3.968253968253968E-2</v>
      </c>
      <c r="L34" s="46">
        <f>I34-H34</f>
        <v>4.9999999999994493E-4</v>
      </c>
      <c r="M34" s="46">
        <f>((I34-H34)/H34)*100</f>
        <v>4.0016006402556613E-2</v>
      </c>
      <c r="N34" s="47">
        <v>5300</v>
      </c>
      <c r="O34" s="37">
        <v>6625</v>
      </c>
      <c r="P34" s="51">
        <f>(R34)/J34</f>
        <v>0</v>
      </c>
      <c r="Q34" s="49">
        <f>I34/G34-1</f>
        <v>-0.13194444444444442</v>
      </c>
      <c r="R34" s="50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38204499.082701951</v>
      </c>
      <c r="E35" s="39">
        <f>C35*K35</f>
        <v>32591954.957142852</v>
      </c>
      <c r="F35" s="40" t="s">
        <v>34</v>
      </c>
      <c r="G35" s="41">
        <v>3.6056249999999999</v>
      </c>
      <c r="H35" s="42">
        <v>4.05</v>
      </c>
      <c r="I35" s="43">
        <v>4.05</v>
      </c>
      <c r="J35" s="44">
        <f>I35/$J$5</f>
        <v>0.15071225495303731</v>
      </c>
      <c r="K35" s="45">
        <f>I35/$K$4</f>
        <v>0.12857142857142856</v>
      </c>
      <c r="L35" s="46">
        <f>I35-H35</f>
        <v>0</v>
      </c>
      <c r="M35" s="46">
        <f>((I35-H35)/H35)*100</f>
        <v>0</v>
      </c>
      <c r="N35" s="47">
        <v>0</v>
      </c>
      <c r="O35" s="37">
        <v>0</v>
      </c>
      <c r="P35" s="51">
        <f>(R35)/J35</f>
        <v>0</v>
      </c>
      <c r="Q35" s="49">
        <f>I35/G35-1</f>
        <v>0.12324492979719182</v>
      </c>
      <c r="R35" s="50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7212363.9913770277</v>
      </c>
      <c r="E36" s="39">
        <f>C36*K36</f>
        <v>6152810.4800596824</v>
      </c>
      <c r="F36" s="40" t="s">
        <v>34</v>
      </c>
      <c r="G36" s="41">
        <v>2.5099999999999997E-2</v>
      </c>
      <c r="H36" s="42">
        <v>4.0975999999999999E-2</v>
      </c>
      <c r="I36" s="43">
        <v>4.1105000000000003E-2</v>
      </c>
      <c r="J36" s="44">
        <f>I36/$J$5</f>
        <v>1.5296363555171852E-3</v>
      </c>
      <c r="K36" s="45">
        <f>I36/$K$4</f>
        <v>1.3049206349206349E-3</v>
      </c>
      <c r="L36" s="46">
        <f>I36-H36</f>
        <v>1.2900000000000411E-4</v>
      </c>
      <c r="M36" s="46">
        <f>((I36-H36)/H36)*100</f>
        <v>0.31481843030067386</v>
      </c>
      <c r="N36" s="47">
        <v>1647100</v>
      </c>
      <c r="O36" s="37">
        <v>67703.55</v>
      </c>
      <c r="P36" s="51">
        <f>(R36)/J36</f>
        <v>0</v>
      </c>
      <c r="Q36" s="49">
        <f>I36/G36-1</f>
        <v>0.63764940239043844</v>
      </c>
      <c r="R36" s="50"/>
    </row>
    <row r="37" spans="1:18" x14ac:dyDescent="0.25">
      <c r="A37" s="35" t="s">
        <v>97</v>
      </c>
      <c r="B37" s="36" t="s">
        <v>98</v>
      </c>
      <c r="C37" s="37">
        <v>525090993</v>
      </c>
      <c r="D37" s="38">
        <f>C37*J37</f>
        <v>70246874.854311496</v>
      </c>
      <c r="E37" s="39">
        <f>C37*K37</f>
        <v>59927051.423333339</v>
      </c>
      <c r="F37" s="40" t="s">
        <v>92</v>
      </c>
      <c r="G37" s="41">
        <v>0.61</v>
      </c>
      <c r="H37" s="42">
        <v>3.592727</v>
      </c>
      <c r="I37" s="43">
        <v>3.5950000000000002</v>
      </c>
      <c r="J37" s="44">
        <f>I37/$J$5</f>
        <v>0.13378038433485659</v>
      </c>
      <c r="K37" s="45">
        <f>I37/$K$4</f>
        <v>0.11412698412698413</v>
      </c>
      <c r="L37" s="46">
        <f>I37-H37</f>
        <v>2.2730000000001915E-3</v>
      </c>
      <c r="M37" s="46">
        <f>((I37-H37)/H37)*100</f>
        <v>6.3266705207498136E-2</v>
      </c>
      <c r="N37" s="47">
        <v>100</v>
      </c>
      <c r="O37" s="37">
        <v>359.5</v>
      </c>
      <c r="P37" s="51">
        <f>(R37)/J37</f>
        <v>0</v>
      </c>
      <c r="Q37" s="49">
        <f>I37/G37-1</f>
        <v>4.8934426229508201</v>
      </c>
      <c r="R37" s="50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30439618.201388787</v>
      </c>
      <c r="E38" s="39">
        <f>C38*K38</f>
        <v>25967796.703333333</v>
      </c>
      <c r="F38" s="40" t="s">
        <v>56</v>
      </c>
      <c r="G38" s="41">
        <v>0.11650199999999999</v>
      </c>
      <c r="H38" s="42">
        <v>0.17</v>
      </c>
      <c r="I38" s="43">
        <v>0.19500000000000001</v>
      </c>
      <c r="J38" s="44">
        <f>I38/$J$5</f>
        <v>7.2565159792203158E-3</v>
      </c>
      <c r="K38" s="45">
        <f>I38/$K$4</f>
        <v>6.1904761904761907E-3</v>
      </c>
      <c r="L38" s="46">
        <f>I38-H38</f>
        <v>2.4999999999999994E-2</v>
      </c>
      <c r="M38" s="46">
        <f>((I38-H38)/H38)*100</f>
        <v>14.705882352941172</v>
      </c>
      <c r="N38" s="47">
        <v>103600</v>
      </c>
      <c r="O38" s="37">
        <v>20202</v>
      </c>
      <c r="P38" s="51">
        <v>0</v>
      </c>
      <c r="Q38" s="49">
        <f>I38/G38-1</f>
        <v>0.67379100787969315</v>
      </c>
      <c r="R38" s="50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94046951.588787988</v>
      </c>
      <c r="E39" s="39">
        <f>C39*K39</f>
        <v>80230707.996017352</v>
      </c>
      <c r="F39" s="40" t="s">
        <v>34</v>
      </c>
      <c r="G39" s="41">
        <v>2.6005000000000003</v>
      </c>
      <c r="H39" s="42">
        <v>6.9635580000000008</v>
      </c>
      <c r="I39" s="43">
        <v>6.9635580000000008</v>
      </c>
      <c r="J39" s="44">
        <f>I39/$J$5</f>
        <v>0.25913420461142289</v>
      </c>
      <c r="K39" s="45">
        <f>I39/$K$4</f>
        <v>0.22106533333333336</v>
      </c>
      <c r="L39" s="46">
        <f>I39-H39</f>
        <v>0</v>
      </c>
      <c r="M39" s="46">
        <f>((I39-H39)/H39)*100</f>
        <v>0</v>
      </c>
      <c r="N39" s="56" t="s">
        <v>182</v>
      </c>
      <c r="O39" s="56" t="s">
        <v>182</v>
      </c>
      <c r="P39" s="56" t="s">
        <v>182</v>
      </c>
      <c r="Q39" s="49">
        <f>I39/G39-1</f>
        <v>1.6777765814266488</v>
      </c>
      <c r="R39" s="50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19191784.754264597</v>
      </c>
      <c r="E40" s="39">
        <f>C40*K40</f>
        <v>16372359.25811111</v>
      </c>
      <c r="F40" s="40" t="s">
        <v>39</v>
      </c>
      <c r="G40" s="41">
        <v>0.1</v>
      </c>
      <c r="H40" s="42">
        <v>0.12</v>
      </c>
      <c r="I40" s="43">
        <v>0.1195</v>
      </c>
      <c r="J40" s="44">
        <f>I40/$J$5</f>
        <v>4.446941843676039E-3</v>
      </c>
      <c r="K40" s="45">
        <f>I40/$K$4</f>
        <v>3.7936507936507935E-3</v>
      </c>
      <c r="L40" s="46">
        <f>I40-H40</f>
        <v>-5.0000000000000044E-4</v>
      </c>
      <c r="M40" s="46">
        <f>((I40-H40)/H40)*100</f>
        <v>-0.41666666666666707</v>
      </c>
      <c r="N40" s="47">
        <v>35600</v>
      </c>
      <c r="O40" s="37">
        <v>4254.2</v>
      </c>
      <c r="P40" s="51">
        <f>(R40)/J40</f>
        <v>0</v>
      </c>
      <c r="Q40" s="49">
        <f>I40/G40-1</f>
        <v>0.19499999999999984</v>
      </c>
      <c r="R40" s="50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6815010.4806418484</v>
      </c>
      <c r="E41" s="39">
        <f>C41*K41</f>
        <v>5813831.3536507934</v>
      </c>
      <c r="F41" s="40" t="s">
        <v>44</v>
      </c>
      <c r="G41" s="41">
        <v>1.7452379999999998</v>
      </c>
      <c r="H41" s="42">
        <v>1.5</v>
      </c>
      <c r="I41" s="43">
        <v>1.72</v>
      </c>
      <c r="J41" s="44">
        <f>I41/$J$5</f>
        <v>6.4006192226968933E-2</v>
      </c>
      <c r="K41" s="45">
        <f>I41/$K$4</f>
        <v>5.4603174603174605E-2</v>
      </c>
      <c r="L41" s="46">
        <f>I41-H41</f>
        <v>0.21999999999999997</v>
      </c>
      <c r="M41" s="46">
        <f>((I41-H41)/H41)*100</f>
        <v>14.666666666666664</v>
      </c>
      <c r="N41" s="47">
        <v>3100</v>
      </c>
      <c r="O41" s="37">
        <v>5332</v>
      </c>
      <c r="P41" s="51">
        <f>(R41)/J41</f>
        <v>0</v>
      </c>
      <c r="Q41" s="49">
        <f>I41/G41-1</f>
        <v>-1.4461064909198518E-2</v>
      </c>
      <c r="R41" s="50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3969875.6225718581</v>
      </c>
      <c r="E42" s="39">
        <f>C42*K42</f>
        <v>3386669.3866666667</v>
      </c>
      <c r="F42" s="40" t="s">
        <v>39</v>
      </c>
      <c r="G42" s="41">
        <v>0.03</v>
      </c>
      <c r="H42" s="42">
        <v>5.7699999999999994E-2</v>
      </c>
      <c r="I42" s="43">
        <v>0.06</v>
      </c>
      <c r="J42" s="44">
        <f>I42/$J$5</f>
        <v>2.2327741474524048E-3</v>
      </c>
      <c r="K42" s="45">
        <f>I42/$K$4</f>
        <v>1.9047619047619048E-3</v>
      </c>
      <c r="L42" s="46">
        <f>I42-H42</f>
        <v>2.3000000000000034E-3</v>
      </c>
      <c r="M42" s="46">
        <f>((I42-H42)/H42)*100</f>
        <v>3.9861351819757433</v>
      </c>
      <c r="N42" s="47">
        <v>1700</v>
      </c>
      <c r="O42" s="37">
        <v>102</v>
      </c>
      <c r="P42" s="51">
        <f>(R42)/J42</f>
        <v>0</v>
      </c>
      <c r="Q42" s="49">
        <f>I42/G42-1</f>
        <v>1</v>
      </c>
      <c r="R42" s="50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33900631.815543085</v>
      </c>
      <c r="E43" s="39">
        <f>C43*K43</f>
        <v>28920359.949206349</v>
      </c>
      <c r="F43" s="40" t="s">
        <v>47</v>
      </c>
      <c r="G43" s="41">
        <v>4.5</v>
      </c>
      <c r="H43" s="42">
        <v>5.2</v>
      </c>
      <c r="I43" s="43">
        <v>5.2</v>
      </c>
      <c r="J43" s="44">
        <f>I43/$J$5</f>
        <v>0.19350709277920841</v>
      </c>
      <c r="K43" s="45">
        <f>I43/$K$4</f>
        <v>0.16507936507936508</v>
      </c>
      <c r="L43" s="46">
        <f>I43-H43</f>
        <v>0</v>
      </c>
      <c r="M43" s="46">
        <f>((I43-H43)/H43)*100</f>
        <v>0</v>
      </c>
      <c r="N43" s="47">
        <v>0</v>
      </c>
      <c r="O43" s="37">
        <v>0</v>
      </c>
      <c r="P43" s="51">
        <f>(R43)/J43</f>
        <v>0</v>
      </c>
      <c r="Q43" s="49">
        <f>I43/G43-1</f>
        <v>0.15555555555555567</v>
      </c>
      <c r="R43" s="50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310.35850530655989</v>
      </c>
      <c r="E44" s="39">
        <f>C44*K44</f>
        <v>264.76437771428573</v>
      </c>
      <c r="F44" s="40" t="s">
        <v>44</v>
      </c>
      <c r="G44" s="41">
        <v>1.8E-5</v>
      </c>
      <c r="H44" s="42">
        <v>1.8E-5</v>
      </c>
      <c r="I44" s="43">
        <v>1.8E-5</v>
      </c>
      <c r="J44" s="44">
        <f>I44/$J$5</f>
        <v>6.6983224423572143E-7</v>
      </c>
      <c r="K44" s="45">
        <f>I44/$K$4</f>
        <v>5.7142857142857149E-7</v>
      </c>
      <c r="L44" s="46">
        <f>I44-H44</f>
        <v>0</v>
      </c>
      <c r="M44" s="46">
        <f>((I44-H44)/H44)*100</f>
        <v>0</v>
      </c>
      <c r="N44" s="47">
        <v>0</v>
      </c>
      <c r="O44" s="37">
        <v>0</v>
      </c>
      <c r="P44" s="51">
        <f>(R44)/J44</f>
        <v>0</v>
      </c>
      <c r="Q44" s="49">
        <f>I44/G44-1</f>
        <v>0</v>
      </c>
      <c r="R44" s="50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1504711.1534511247</v>
      </c>
      <c r="E45" s="39">
        <f>C45*K45</f>
        <v>1283657.142857143</v>
      </c>
      <c r="F45" s="40" t="s">
        <v>56</v>
      </c>
      <c r="G45" s="41">
        <v>7.0000000000000007E-2</v>
      </c>
      <c r="H45" s="42">
        <v>7.0199999999999999E-2</v>
      </c>
      <c r="I45" s="43">
        <v>7.0199999999999999E-2</v>
      </c>
      <c r="J45" s="44">
        <f>I45/$J$5</f>
        <v>2.6123457525193136E-3</v>
      </c>
      <c r="K45" s="45">
        <f>I45/$K$4</f>
        <v>2.2285714285714287E-3</v>
      </c>
      <c r="L45" s="46">
        <f>I45-H45</f>
        <v>0</v>
      </c>
      <c r="M45" s="46">
        <f>((I45-H45)/H45)*100</f>
        <v>0</v>
      </c>
      <c r="N45" s="47">
        <v>0</v>
      </c>
      <c r="O45" s="37">
        <v>0</v>
      </c>
      <c r="P45" s="51">
        <f>(R45)/J45</f>
        <v>0</v>
      </c>
      <c r="Q45" s="49">
        <f>I45/G45-1</f>
        <v>2.8571428571426694E-3</v>
      </c>
      <c r="R45" s="50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47362838.830919452</v>
      </c>
      <c r="E46" s="39">
        <f>C46*K46</f>
        <v>40404861.911111109</v>
      </c>
      <c r="F46" s="40" t="s">
        <v>47</v>
      </c>
      <c r="G46" s="41">
        <v>0.9998999999999999</v>
      </c>
      <c r="H46" s="42">
        <v>0.7</v>
      </c>
      <c r="I46" s="43">
        <v>0.7</v>
      </c>
      <c r="J46" s="44">
        <f>I46/$J$5</f>
        <v>2.6049031720278053E-2</v>
      </c>
      <c r="K46" s="45">
        <f>I46/$K$4</f>
        <v>2.222222222222222E-2</v>
      </c>
      <c r="L46" s="46">
        <f>I46-H46</f>
        <v>0</v>
      </c>
      <c r="M46" s="46">
        <f>((I46-H46)/H46)*100</f>
        <v>0</v>
      </c>
      <c r="N46" s="47">
        <v>0</v>
      </c>
      <c r="O46" s="37">
        <v>0</v>
      </c>
      <c r="P46" s="51">
        <f>(R46)/J46</f>
        <v>0</v>
      </c>
      <c r="Q46" s="49">
        <f>I46/G46-1</f>
        <v>-0.2999299929992999</v>
      </c>
      <c r="R46" s="50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5892209.8684434583</v>
      </c>
      <c r="E47" s="39">
        <f>C47*K47</f>
        <v>5026597.4751987299</v>
      </c>
      <c r="F47" s="40" t="s">
        <v>47</v>
      </c>
      <c r="G47" s="41">
        <v>1.4503460000000001</v>
      </c>
      <c r="H47" s="42">
        <v>1.4</v>
      </c>
      <c r="I47" s="43">
        <v>1.5415629999999998</v>
      </c>
      <c r="J47" s="44">
        <f>I47/$J$5</f>
        <v>5.7366033551152849E-2</v>
      </c>
      <c r="K47" s="45">
        <f>I47/$K$4</f>
        <v>4.8938507936507933E-2</v>
      </c>
      <c r="L47" s="46">
        <f>I47-H47</f>
        <v>0.14156299999999988</v>
      </c>
      <c r="M47" s="46">
        <f>((I47-H47)/H47)*100</f>
        <v>10.111642857142849</v>
      </c>
      <c r="N47" s="47">
        <v>12800</v>
      </c>
      <c r="O47" s="37">
        <v>19732</v>
      </c>
      <c r="P47" s="51">
        <v>0</v>
      </c>
      <c r="Q47" s="49">
        <f>I47/G47-1</f>
        <v>6.2893268227029786E-2</v>
      </c>
      <c r="R47" s="50"/>
    </row>
    <row r="48" spans="1:18" ht="13.8" thickBot="1" x14ac:dyDescent="0.4">
      <c r="A48" s="57"/>
      <c r="B48" s="58" t="s">
        <v>82</v>
      </c>
      <c r="C48" s="59">
        <f>C34*0.1</f>
        <v>249549554.30000001</v>
      </c>
      <c r="D48" s="60"/>
      <c r="E48" s="60"/>
      <c r="F48" s="61"/>
      <c r="G48" s="61"/>
      <c r="H48" s="46"/>
      <c r="I48" s="46"/>
      <c r="J48" s="46"/>
      <c r="K48" s="46"/>
      <c r="L48" s="46"/>
      <c r="M48" s="46"/>
      <c r="N48" s="61">
        <f>SUM(N9:N47)</f>
        <v>1975000</v>
      </c>
      <c r="O48" s="61">
        <f>SUM(O9:O47)</f>
        <v>5131638.1500000004</v>
      </c>
      <c r="P48" s="62"/>
      <c r="Q48" s="63"/>
    </row>
    <row r="49" spans="1:20" ht="13.2" x14ac:dyDescent="0.35">
      <c r="A49" s="64"/>
      <c r="B49" s="65" t="s">
        <v>82</v>
      </c>
      <c r="C49" s="66"/>
      <c r="D49" s="66"/>
      <c r="E49" s="66"/>
      <c r="F49" s="67"/>
      <c r="G49" s="67"/>
      <c r="H49" s="68"/>
      <c r="I49" s="68"/>
      <c r="J49" s="68"/>
      <c r="K49" s="68"/>
      <c r="L49" s="68"/>
      <c r="M49" s="68"/>
      <c r="N49" s="67"/>
      <c r="O49" s="67"/>
      <c r="P49" s="67"/>
      <c r="Q49" s="69"/>
    </row>
    <row r="50" spans="1:20" ht="12.6" x14ac:dyDescent="0.3">
      <c r="A50" s="129" t="s">
        <v>119</v>
      </c>
      <c r="B50" s="130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2"/>
    </row>
    <row r="51" spans="1:20" ht="11.4" customHeight="1" x14ac:dyDescent="0.25">
      <c r="A51" s="35" t="s">
        <v>120</v>
      </c>
      <c r="B51" s="36" t="s">
        <v>121</v>
      </c>
      <c r="C51" s="40">
        <v>554920308</v>
      </c>
      <c r="D51" s="38">
        <f>C51*J51</f>
        <v>80851888.875599995</v>
      </c>
      <c r="E51" s="39">
        <v>0</v>
      </c>
      <c r="F51" s="40" t="s">
        <v>92</v>
      </c>
      <c r="G51" s="70">
        <v>0.1</v>
      </c>
      <c r="H51" s="42">
        <v>0.1371</v>
      </c>
      <c r="I51" s="42">
        <v>0.1457</v>
      </c>
      <c r="J51" s="44">
        <f>I51</f>
        <v>0.1457</v>
      </c>
      <c r="K51" s="39">
        <v>0</v>
      </c>
      <c r="L51" s="46">
        <f>I51-H51</f>
        <v>8.5999999999999965E-3</v>
      </c>
      <c r="M51" s="46">
        <f>((I51-H51)/H51)*100</f>
        <v>6.2727935813274964</v>
      </c>
      <c r="N51" s="47">
        <v>13092</v>
      </c>
      <c r="O51" s="37">
        <v>1906.9</v>
      </c>
      <c r="P51" s="71">
        <f>(R51)/J51</f>
        <v>0</v>
      </c>
      <c r="Q51" s="49">
        <f>J51/G51-1</f>
        <v>0.45699999999999985</v>
      </c>
      <c r="T51" s="52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54999620</v>
      </c>
      <c r="E52" s="39">
        <v>0</v>
      </c>
      <c r="F52" s="40" t="s">
        <v>39</v>
      </c>
      <c r="G52" s="70">
        <v>39.9</v>
      </c>
      <c r="H52" s="42">
        <v>51.985700000000001</v>
      </c>
      <c r="I52" s="42">
        <v>52</v>
      </c>
      <c r="J52" s="44">
        <f>I52</f>
        <v>52</v>
      </c>
      <c r="K52" s="39">
        <v>0</v>
      </c>
      <c r="L52" s="46">
        <f>I52-H52</f>
        <v>1.4299999999998647E-2</v>
      </c>
      <c r="M52" s="46">
        <f>((I52-H52)/H52)*100</f>
        <v>2.7507564580256969E-2</v>
      </c>
      <c r="N52" s="47">
        <v>1000</v>
      </c>
      <c r="O52" s="37">
        <v>52000</v>
      </c>
      <c r="P52" s="72">
        <f>(R52)/J52</f>
        <v>1.0769230769230771E-2</v>
      </c>
      <c r="Q52" s="49">
        <f>J52/G52-1</f>
        <v>0.30325814536340867</v>
      </c>
      <c r="R52" s="52">
        <v>0.56000000000000005</v>
      </c>
      <c r="T52" s="52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727694090.96959996</v>
      </c>
      <c r="E53" s="39"/>
      <c r="F53" s="40" t="s">
        <v>56</v>
      </c>
      <c r="G53" s="70">
        <v>0.33</v>
      </c>
      <c r="H53" s="42">
        <v>0.2329</v>
      </c>
      <c r="I53" s="42">
        <v>0.2432</v>
      </c>
      <c r="J53" s="44">
        <f>I53</f>
        <v>0.2432</v>
      </c>
      <c r="K53" s="39">
        <v>0</v>
      </c>
      <c r="L53" s="46">
        <f>I53-H53</f>
        <v>1.0300000000000004E-2</v>
      </c>
      <c r="M53" s="46">
        <f>((I53-H53)/H53)*100</f>
        <v>4.4224989265779318</v>
      </c>
      <c r="N53" s="47">
        <v>151990</v>
      </c>
      <c r="O53" s="37">
        <v>36971.379999999997</v>
      </c>
      <c r="P53" s="71">
        <v>0</v>
      </c>
      <c r="Q53" s="49">
        <f>J53/G53-1</f>
        <v>-0.26303030303030306</v>
      </c>
      <c r="R53" s="52"/>
      <c r="T53" s="52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20853140.250599999</v>
      </c>
      <c r="E54" s="39">
        <v>0</v>
      </c>
      <c r="F54" s="40" t="s">
        <v>34</v>
      </c>
      <c r="G54" s="70">
        <v>2.3E-2</v>
      </c>
      <c r="H54" s="42">
        <v>2.8500000000000001E-2</v>
      </c>
      <c r="I54" s="42">
        <v>3.4200000000000001E-2</v>
      </c>
      <c r="J54" s="44">
        <f>I54</f>
        <v>3.4200000000000001E-2</v>
      </c>
      <c r="K54" s="39">
        <v>0</v>
      </c>
      <c r="L54" s="46">
        <f>I54-H54</f>
        <v>5.7000000000000002E-3</v>
      </c>
      <c r="M54" s="46">
        <f>((I54-H54)/H54)*100</f>
        <v>20</v>
      </c>
      <c r="N54" s="47">
        <v>150</v>
      </c>
      <c r="O54" s="37">
        <v>5.13</v>
      </c>
      <c r="P54" s="71">
        <f>(R54)/J54</f>
        <v>0</v>
      </c>
      <c r="Q54" s="49">
        <f>J54/G54-1</f>
        <v>0.48695652173913051</v>
      </c>
      <c r="T54" s="52"/>
    </row>
    <row r="55" spans="1:20" x14ac:dyDescent="0.25">
      <c r="A55" s="35" t="s">
        <v>128</v>
      </c>
      <c r="B55" s="36" t="s">
        <v>129</v>
      </c>
      <c r="C55" s="40">
        <v>2162695929</v>
      </c>
      <c r="D55" s="38">
        <f>C55*J55</f>
        <v>324836928.53579998</v>
      </c>
      <c r="E55" s="39">
        <v>0</v>
      </c>
      <c r="F55" s="40" t="s">
        <v>47</v>
      </c>
      <c r="G55" s="70">
        <v>9.0200000000000002E-2</v>
      </c>
      <c r="H55" s="42">
        <v>0.16070000000000001</v>
      </c>
      <c r="I55" s="42">
        <v>0.1502</v>
      </c>
      <c r="J55" s="44">
        <f>I55</f>
        <v>0.1502</v>
      </c>
      <c r="K55" s="39">
        <v>0</v>
      </c>
      <c r="L55" s="46">
        <f>I55-H55</f>
        <v>-1.0500000000000009E-2</v>
      </c>
      <c r="M55" s="73">
        <f>((I55-H55)/H55)*100</f>
        <v>-6.5339141257000675</v>
      </c>
      <c r="N55" s="47">
        <v>20744</v>
      </c>
      <c r="O55" s="37">
        <v>3115.23</v>
      </c>
      <c r="P55" s="71">
        <f>(R55)/J55</f>
        <v>0</v>
      </c>
      <c r="Q55" s="49">
        <f>J55/G55-1</f>
        <v>0.66518847006651871</v>
      </c>
      <c r="R55" s="52"/>
      <c r="T55" s="52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845344843.30999994</v>
      </c>
      <c r="E56" s="39">
        <v>0</v>
      </c>
      <c r="F56" s="40" t="s">
        <v>34</v>
      </c>
      <c r="G56" s="70">
        <v>0.95750000000000002</v>
      </c>
      <c r="H56" s="42">
        <v>1.4558</v>
      </c>
      <c r="I56" s="42">
        <v>1.4678</v>
      </c>
      <c r="J56" s="44">
        <f>I56</f>
        <v>1.4678</v>
      </c>
      <c r="K56" s="39">
        <v>0</v>
      </c>
      <c r="L56" s="46">
        <f>I56-H56</f>
        <v>1.2000000000000011E-2</v>
      </c>
      <c r="M56" s="46">
        <f>((I56-H56)/H56)*100</f>
        <v>0.82428905069377745</v>
      </c>
      <c r="N56" s="47">
        <v>2199</v>
      </c>
      <c r="O56" s="37">
        <v>3227.6</v>
      </c>
      <c r="P56" s="72">
        <f>(R56)/J56</f>
        <v>3.2020711268565198E-2</v>
      </c>
      <c r="Q56" s="49">
        <f>J56/G56-1</f>
        <v>0.53295039164490854</v>
      </c>
      <c r="R56" s="52">
        <v>4.7E-2</v>
      </c>
      <c r="T56" s="52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21363489.6822</v>
      </c>
      <c r="E57" s="39">
        <v>0</v>
      </c>
      <c r="F57" s="40" t="s">
        <v>34</v>
      </c>
      <c r="G57" s="70">
        <v>0.1595</v>
      </c>
      <c r="H57" s="42">
        <v>0.1346</v>
      </c>
      <c r="I57" s="42">
        <v>0.13009999999999999</v>
      </c>
      <c r="J57" s="44">
        <f>I57</f>
        <v>0.13009999999999999</v>
      </c>
      <c r="K57" s="39">
        <v>0</v>
      </c>
      <c r="L57" s="46">
        <f>I57-H57</f>
        <v>-4.500000000000004E-3</v>
      </c>
      <c r="M57" s="46">
        <f>((I57-H57)/H57)*100</f>
        <v>-3.3432392273402702</v>
      </c>
      <c r="N57" s="47">
        <v>8299</v>
      </c>
      <c r="O57" s="37">
        <v>1080.05</v>
      </c>
      <c r="P57" s="71">
        <f>(R57)/J57</f>
        <v>0</v>
      </c>
      <c r="Q57" s="49">
        <f>J57/G57-1</f>
        <v>-0.18432601880877753</v>
      </c>
      <c r="T57" s="52"/>
    </row>
    <row r="58" spans="1:20" x14ac:dyDescent="0.25">
      <c r="A58" s="35" t="s">
        <v>134</v>
      </c>
      <c r="B58" s="36" t="s">
        <v>135</v>
      </c>
      <c r="C58" s="40">
        <v>953802800</v>
      </c>
      <c r="D58" s="38">
        <f>C58*J58</f>
        <v>19076056</v>
      </c>
      <c r="E58" s="39">
        <v>0</v>
      </c>
      <c r="F58" s="40" t="s">
        <v>92</v>
      </c>
      <c r="G58" s="70">
        <v>1.6799999999999999E-2</v>
      </c>
      <c r="H58" s="42">
        <v>0.02</v>
      </c>
      <c r="I58" s="42">
        <v>0.02</v>
      </c>
      <c r="J58" s="44">
        <f>I58</f>
        <v>0.02</v>
      </c>
      <c r="K58" s="39">
        <v>0</v>
      </c>
      <c r="L58" s="46">
        <f>I58-H58</f>
        <v>0</v>
      </c>
      <c r="M58" s="73">
        <f>((I58-H58)/H58)*100</f>
        <v>0</v>
      </c>
      <c r="N58" s="47">
        <v>62827</v>
      </c>
      <c r="O58" s="37">
        <v>1257.54</v>
      </c>
      <c r="P58" s="71">
        <f>(R58)/J58</f>
        <v>0</v>
      </c>
      <c r="Q58" s="49">
        <f>J58/G58-1</f>
        <v>0.19047619047619047</v>
      </c>
      <c r="T58" s="52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2096549</v>
      </c>
      <c r="E59" s="39">
        <v>0</v>
      </c>
      <c r="F59" s="40" t="s">
        <v>138</v>
      </c>
      <c r="G59" s="70">
        <v>19.5</v>
      </c>
      <c r="H59" s="42">
        <v>13</v>
      </c>
      <c r="I59" s="42">
        <v>13</v>
      </c>
      <c r="J59" s="44">
        <f>I59</f>
        <v>13</v>
      </c>
      <c r="K59" s="39">
        <v>0</v>
      </c>
      <c r="L59" s="46">
        <f>I59-H59</f>
        <v>0</v>
      </c>
      <c r="M59" s="46">
        <f>((I59-H59)/H59)*100</f>
        <v>0</v>
      </c>
      <c r="N59" s="47">
        <v>6</v>
      </c>
      <c r="O59" s="37">
        <v>78</v>
      </c>
      <c r="P59" s="71">
        <f>(R59)/J59</f>
        <v>0</v>
      </c>
      <c r="Q59" s="49">
        <f>J59/G59-1</f>
        <v>-0.33333333333333337</v>
      </c>
      <c r="T59" s="52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911442899.57710004</v>
      </c>
      <c r="E60" s="39">
        <v>0</v>
      </c>
      <c r="F60" s="40" t="s">
        <v>92</v>
      </c>
      <c r="G60" s="70">
        <v>0.59499999999999997</v>
      </c>
      <c r="H60" s="42">
        <v>1.1275999999999999</v>
      </c>
      <c r="I60" s="42">
        <v>1.1321000000000001</v>
      </c>
      <c r="J60" s="44">
        <f>I60</f>
        <v>1.1321000000000001</v>
      </c>
      <c r="K60" s="39">
        <v>0</v>
      </c>
      <c r="L60" s="46">
        <f>I60-H60</f>
        <v>4.5000000000001705E-3</v>
      </c>
      <c r="M60" s="46">
        <f>((I60-H60)/H60)*100</f>
        <v>0.39907768712310843</v>
      </c>
      <c r="N60" s="47">
        <v>735557</v>
      </c>
      <c r="O60" s="37">
        <v>832745.22</v>
      </c>
      <c r="P60" s="71">
        <f>(R60)/J60</f>
        <v>0</v>
      </c>
      <c r="Q60" s="49">
        <f>J60/G60-1</f>
        <v>0.90268907563025236</v>
      </c>
      <c r="R60" s="52"/>
      <c r="T60" s="52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83428645.760000005</v>
      </c>
      <c r="E61" s="39">
        <v>0</v>
      </c>
      <c r="F61" s="40" t="s">
        <v>34</v>
      </c>
      <c r="G61" s="70">
        <v>0.22600000000000001</v>
      </c>
      <c r="H61" s="42">
        <v>0.30499999999999999</v>
      </c>
      <c r="I61" s="42">
        <v>0.32</v>
      </c>
      <c r="J61" s="44">
        <f>I61</f>
        <v>0.32</v>
      </c>
      <c r="K61" s="39">
        <v>0</v>
      </c>
      <c r="L61" s="46">
        <f>I61-H61</f>
        <v>1.5000000000000013E-2</v>
      </c>
      <c r="M61" s="46">
        <f>((I61-H61)/H61)*100</f>
        <v>4.9180327868852505</v>
      </c>
      <c r="N61" s="47">
        <v>23739</v>
      </c>
      <c r="O61" s="37">
        <v>7596.48</v>
      </c>
      <c r="P61" s="71">
        <f>(R61)/J61</f>
        <v>0</v>
      </c>
      <c r="Q61" s="49">
        <f>J61/G61-1</f>
        <v>0.41592920353982299</v>
      </c>
      <c r="T61" s="52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360079356.71399999</v>
      </c>
      <c r="E62" s="39">
        <v>0</v>
      </c>
      <c r="F62" s="40" t="s">
        <v>34</v>
      </c>
      <c r="G62" s="70">
        <v>0.49440000000000001</v>
      </c>
      <c r="H62" s="42">
        <v>0.61339999999999995</v>
      </c>
      <c r="I62" s="42">
        <v>0.64049999999999996</v>
      </c>
      <c r="J62" s="44">
        <f>I62</f>
        <v>0.64049999999999996</v>
      </c>
      <c r="K62" s="39">
        <v>0</v>
      </c>
      <c r="L62" s="46">
        <f>I62-H62</f>
        <v>2.7100000000000013E-2</v>
      </c>
      <c r="M62" s="46">
        <f>((I62-H62)/H62)*100</f>
        <v>4.4179980436909059</v>
      </c>
      <c r="N62" s="47">
        <v>64680</v>
      </c>
      <c r="O62" s="37">
        <v>41430.74</v>
      </c>
      <c r="P62" s="71">
        <f>(R62)/J62</f>
        <v>0</v>
      </c>
      <c r="Q62" s="49">
        <f>J62/G62-1</f>
        <v>0.29550970873786397</v>
      </c>
      <c r="R62" s="52"/>
      <c r="T62" s="52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70">
        <v>10</v>
      </c>
      <c r="H63" s="42">
        <v>10</v>
      </c>
      <c r="I63" s="42">
        <v>10</v>
      </c>
      <c r="J63" s="44">
        <f>I63</f>
        <v>10</v>
      </c>
      <c r="K63" s="39">
        <v>0</v>
      </c>
      <c r="L63" s="46">
        <f>I63-H63</f>
        <v>0</v>
      </c>
      <c r="M63" s="46">
        <f>((I63-H63)/H63)*100</f>
        <v>0</v>
      </c>
      <c r="N63" s="47">
        <v>0</v>
      </c>
      <c r="O63" s="37">
        <v>0</v>
      </c>
      <c r="P63" s="71">
        <f>(R63)/J63</f>
        <v>0</v>
      </c>
      <c r="Q63" s="49">
        <f>J63/G63-1</f>
        <v>0</v>
      </c>
      <c r="T63" s="52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48413558.283000007</v>
      </c>
      <c r="E64" s="39">
        <v>0</v>
      </c>
      <c r="F64" s="40" t="s">
        <v>44</v>
      </c>
      <c r="G64" s="70">
        <v>4.2999999999999997E-2</v>
      </c>
      <c r="H64" s="42">
        <v>0.12</v>
      </c>
      <c r="I64" s="42">
        <v>0.14050000000000001</v>
      </c>
      <c r="J64" s="44">
        <f>I64</f>
        <v>0.14050000000000001</v>
      </c>
      <c r="K64" s="39">
        <v>0</v>
      </c>
      <c r="L64" s="46">
        <f>I64-H64</f>
        <v>2.0500000000000018E-2</v>
      </c>
      <c r="M64" s="46">
        <f>((I64-H64)/H64)*100</f>
        <v>17.08333333333335</v>
      </c>
      <c r="N64" s="47">
        <v>718</v>
      </c>
      <c r="O64" s="37">
        <v>100.88</v>
      </c>
      <c r="P64" s="71">
        <f>(R64)/J64</f>
        <v>0</v>
      </c>
      <c r="Q64" s="49">
        <f>J64/G64-1</f>
        <v>2.2674418604651168</v>
      </c>
      <c r="T64" s="52"/>
    </row>
    <row r="65" spans="1:20" ht="13.2" x14ac:dyDescent="0.35">
      <c r="A65" s="74"/>
      <c r="B65" s="36" t="s">
        <v>82</v>
      </c>
      <c r="C65" s="40"/>
      <c r="D65" s="75"/>
      <c r="E65" s="75"/>
      <c r="F65" s="40"/>
      <c r="G65" s="40"/>
      <c r="H65" s="42"/>
      <c r="I65" s="42"/>
      <c r="J65" s="42"/>
      <c r="K65" s="42"/>
      <c r="L65" s="46"/>
      <c r="M65" s="76"/>
      <c r="N65" s="61">
        <f>SUM(N51:N64)</f>
        <v>1085001</v>
      </c>
      <c r="O65" s="62">
        <f>SUM(O51:O64)</f>
        <v>981515.14999999991</v>
      </c>
      <c r="P65" s="77"/>
      <c r="Q65" s="63"/>
    </row>
    <row r="66" spans="1:20" ht="12.6" hidden="1" x14ac:dyDescent="0.3">
      <c r="A66" s="133" t="s">
        <v>149</v>
      </c>
      <c r="B66" s="134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6"/>
    </row>
    <row r="67" spans="1:20" ht="12.6" hidden="1" thickBot="1" x14ac:dyDescent="0.3">
      <c r="A67" s="78" t="s">
        <v>150</v>
      </c>
      <c r="B67" s="79" t="s">
        <v>151</v>
      </c>
      <c r="C67" s="80">
        <v>20000</v>
      </c>
      <c r="D67" s="81">
        <f>C67*J67</f>
        <v>0</v>
      </c>
      <c r="E67" s="81"/>
      <c r="F67" s="80" t="s">
        <v>152</v>
      </c>
      <c r="G67" s="80"/>
      <c r="H67" s="82">
        <v>100</v>
      </c>
      <c r="I67" s="82"/>
      <c r="J67" s="82"/>
      <c r="K67" s="82"/>
      <c r="L67" s="83">
        <f>I67-H67</f>
        <v>-100</v>
      </c>
      <c r="M67" s="84">
        <f>((I67-H67)/H67)*100</f>
        <v>-100</v>
      </c>
      <c r="N67" s="85" t="s">
        <v>57</v>
      </c>
      <c r="O67" s="85" t="s">
        <v>57</v>
      </c>
      <c r="P67" s="85"/>
      <c r="Q67" s="86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6"/>
      <c r="M68" s="76"/>
      <c r="N68" s="87"/>
      <c r="O68" s="87"/>
      <c r="P68" s="87"/>
      <c r="Q68" s="63"/>
    </row>
    <row r="69" spans="1:20" ht="12.6" x14ac:dyDescent="0.3">
      <c r="A69" s="133" t="s">
        <v>153</v>
      </c>
      <c r="B69" s="134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6"/>
    </row>
    <row r="70" spans="1:20" x14ac:dyDescent="0.25">
      <c r="A70" s="35" t="s">
        <v>154</v>
      </c>
      <c r="B70" s="88" t="s">
        <v>155</v>
      </c>
      <c r="C70" s="89">
        <v>139300587</v>
      </c>
      <c r="D70" s="38">
        <f>C70*J70</f>
        <v>52864572.766500004</v>
      </c>
      <c r="E70" s="39">
        <f>C70*K70</f>
        <v>52864572.766500004</v>
      </c>
      <c r="F70" s="89" t="s">
        <v>156</v>
      </c>
      <c r="G70" s="89">
        <v>0.24</v>
      </c>
      <c r="H70" s="90">
        <v>0.36</v>
      </c>
      <c r="I70" s="90">
        <v>0.3795</v>
      </c>
      <c r="J70" s="91">
        <f>I70</f>
        <v>0.3795</v>
      </c>
      <c r="K70" s="91">
        <f>J70</f>
        <v>0.3795</v>
      </c>
      <c r="L70" s="46">
        <f>I70-H70</f>
        <v>1.9500000000000017E-2</v>
      </c>
      <c r="M70" s="46">
        <f>((I70-H70)/H70)*100</f>
        <v>5.4166666666666714</v>
      </c>
      <c r="N70" s="92">
        <v>2821</v>
      </c>
      <c r="O70" s="93">
        <v>1070.6400000000001</v>
      </c>
      <c r="P70" s="71">
        <f>(R70)/J70</f>
        <v>0</v>
      </c>
      <c r="Q70" s="49">
        <f>J70/G70-1</f>
        <v>0.58125000000000004</v>
      </c>
      <c r="T70" s="52"/>
    </row>
    <row r="71" spans="1:20" x14ac:dyDescent="0.25">
      <c r="A71" s="35" t="s">
        <v>157</v>
      </c>
      <c r="B71" s="88" t="s">
        <v>158</v>
      </c>
      <c r="C71" s="89">
        <v>471351750</v>
      </c>
      <c r="D71" s="38">
        <f>C71*J71</f>
        <v>69995734.875</v>
      </c>
      <c r="E71" s="39">
        <f>C71*K71</f>
        <v>69995734.875</v>
      </c>
      <c r="F71" s="89" t="s">
        <v>156</v>
      </c>
      <c r="G71" s="89">
        <v>0.1</v>
      </c>
      <c r="H71" s="90">
        <v>0.14660000000000001</v>
      </c>
      <c r="I71" s="90">
        <v>0.14849999999999999</v>
      </c>
      <c r="J71" s="91">
        <f>I71</f>
        <v>0.14849999999999999</v>
      </c>
      <c r="K71" s="91">
        <f>J71</f>
        <v>0.14849999999999999</v>
      </c>
      <c r="L71" s="46">
        <f>I71-H71</f>
        <v>1.899999999999985E-3</v>
      </c>
      <c r="M71" s="46">
        <f>((I71-H71)/H71)*100</f>
        <v>1.2960436562073567</v>
      </c>
      <c r="N71" s="47">
        <v>2236</v>
      </c>
      <c r="O71" s="93">
        <v>332</v>
      </c>
      <c r="P71" s="94">
        <f>(R71)/J71</f>
        <v>2.5535353535353536E-2</v>
      </c>
      <c r="Q71" s="49">
        <f>J71/G71-1</f>
        <v>0.48499999999999988</v>
      </c>
      <c r="R71" s="5">
        <v>3.7919999999999998E-3</v>
      </c>
      <c r="T71" s="52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6"/>
      <c r="M72" s="76"/>
      <c r="N72" s="61">
        <f>SUM(N70:N71)</f>
        <v>5057</v>
      </c>
      <c r="O72" s="62">
        <f>SUM(O70:O71)</f>
        <v>1402.64</v>
      </c>
      <c r="P72" s="87"/>
      <c r="Q72" s="63"/>
    </row>
    <row r="73" spans="1:20" ht="12.6" x14ac:dyDescent="0.3">
      <c r="A73" s="133" t="s">
        <v>159</v>
      </c>
      <c r="B73" s="134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6"/>
    </row>
    <row r="74" spans="1:20" x14ac:dyDescent="0.25">
      <c r="A74" s="35" t="s">
        <v>160</v>
      </c>
      <c r="B74" s="88" t="s">
        <v>161</v>
      </c>
      <c r="C74" s="89">
        <v>20819695</v>
      </c>
      <c r="D74" s="38">
        <f>C74*J74</f>
        <v>2854380.1845</v>
      </c>
      <c r="E74" s="39">
        <f>C74*K74</f>
        <v>2854380.1845</v>
      </c>
      <c r="F74" s="89" t="s">
        <v>138</v>
      </c>
      <c r="G74" s="89">
        <v>0.1394</v>
      </c>
      <c r="H74" s="90">
        <v>0.13569999999999999</v>
      </c>
      <c r="I74" s="90">
        <v>0.1371</v>
      </c>
      <c r="J74" s="91">
        <f>I74</f>
        <v>0.1371</v>
      </c>
      <c r="K74" s="91">
        <f>J74</f>
        <v>0.1371</v>
      </c>
      <c r="L74" s="46">
        <f>I74-H74</f>
        <v>1.4000000000000123E-3</v>
      </c>
      <c r="M74" s="46">
        <f>((I74-H74)/H74)*100</f>
        <v>1.0316875460574888</v>
      </c>
      <c r="N74" s="92">
        <v>1457</v>
      </c>
      <c r="O74" s="93">
        <v>199.78</v>
      </c>
      <c r="P74" s="71">
        <f>(R74)/J74</f>
        <v>0</v>
      </c>
      <c r="Q74" s="49">
        <f>J74/G74-1</f>
        <v>-1.6499282639885204E-2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6"/>
      <c r="M75" s="76"/>
      <c r="N75" s="61"/>
      <c r="O75" s="62"/>
      <c r="P75" s="87"/>
      <c r="Q75" s="63"/>
    </row>
    <row r="76" spans="1:20" ht="12.6" x14ac:dyDescent="0.3">
      <c r="A76" s="129" t="s">
        <v>162</v>
      </c>
      <c r="B76" s="130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2"/>
    </row>
    <row r="77" spans="1:20" x14ac:dyDescent="0.25">
      <c r="A77" s="35" t="s">
        <v>163</v>
      </c>
      <c r="B77" s="36" t="s">
        <v>164</v>
      </c>
      <c r="C77" s="40">
        <v>31703227</v>
      </c>
      <c r="D77" s="38">
        <f>C77*J77</f>
        <v>102285.98044461977</v>
      </c>
      <c r="E77" s="39">
        <f>C77*K77</f>
        <v>87259.358123809521</v>
      </c>
      <c r="F77" s="40" t="s">
        <v>138</v>
      </c>
      <c r="G77" s="70">
        <v>0.105</v>
      </c>
      <c r="H77" s="42">
        <v>8.6699999999999999E-2</v>
      </c>
      <c r="I77" s="42">
        <v>8.6699999999999999E-2</v>
      </c>
      <c r="J77" s="44">
        <f>I77/$J$5</f>
        <v>3.2263586430687249E-3</v>
      </c>
      <c r="K77" s="45">
        <f>I77/$K$4</f>
        <v>2.7523809523809523E-3</v>
      </c>
      <c r="L77" s="46">
        <f>I77-H77</f>
        <v>0</v>
      </c>
      <c r="M77" s="95">
        <f>((I77-H77)/H77)*100</f>
        <v>0</v>
      </c>
      <c r="N77" s="37">
        <v>1000</v>
      </c>
      <c r="O77" s="37">
        <v>86.7</v>
      </c>
      <c r="P77" s="40">
        <v>0</v>
      </c>
      <c r="Q77" s="49">
        <f>I77/G77-1</f>
        <v>-0.17428571428571427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304019.10956966999</v>
      </c>
      <c r="E78" s="39">
        <f>C78*K78</f>
        <v>259356.28952380954</v>
      </c>
      <c r="F78" s="40" t="s">
        <v>138</v>
      </c>
      <c r="G78" s="70">
        <v>4.2500000000000003E-2</v>
      </c>
      <c r="H78" s="42">
        <v>0.06</v>
      </c>
      <c r="I78" s="42">
        <v>0.06</v>
      </c>
      <c r="J78" s="44">
        <f>I78/$J$5</f>
        <v>2.2327741474524048E-3</v>
      </c>
      <c r="K78" s="45">
        <f>I78/$K$4</f>
        <v>1.9047619047619048E-3</v>
      </c>
      <c r="L78" s="46">
        <f>I78-H78</f>
        <v>0</v>
      </c>
      <c r="M78" s="95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0.41176470588235281</v>
      </c>
    </row>
    <row r="79" spans="1:20" x14ac:dyDescent="0.25">
      <c r="A79" s="35" t="s">
        <v>167</v>
      </c>
      <c r="B79" s="36" t="s">
        <v>168</v>
      </c>
      <c r="C79" s="40">
        <v>6677853</v>
      </c>
      <c r="D79" s="38">
        <f>C79*J79</f>
        <v>29820.275077774968</v>
      </c>
      <c r="E79" s="39">
        <f>C79*K79</f>
        <v>25439.439999999999</v>
      </c>
      <c r="F79" s="40" t="s">
        <v>138</v>
      </c>
      <c r="G79" s="70">
        <v>6.0499999999999998E-2</v>
      </c>
      <c r="H79" s="42">
        <v>0.12</v>
      </c>
      <c r="I79" s="42">
        <v>0.12</v>
      </c>
      <c r="J79" s="44">
        <f>I79/$J$5</f>
        <v>4.4655482949048095E-3</v>
      </c>
      <c r="K79" s="45">
        <f>I79/$K$4</f>
        <v>3.8095238095238095E-3</v>
      </c>
      <c r="L79" s="46">
        <f>I79-H79</f>
        <v>0</v>
      </c>
      <c r="M79" s="95">
        <f>((I79-H79)/H79)*100</f>
        <v>0</v>
      </c>
      <c r="N79" s="37">
        <v>40</v>
      </c>
      <c r="O79" s="37">
        <v>4.8</v>
      </c>
      <c r="P79" s="40">
        <v>0</v>
      </c>
      <c r="Q79" s="49">
        <f>I79/G79-1</f>
        <v>0.98347107438016534</v>
      </c>
    </row>
    <row r="80" spans="1:20" x14ac:dyDescent="0.25">
      <c r="A80" s="35" t="s">
        <v>169</v>
      </c>
      <c r="B80" s="36" t="s">
        <v>170</v>
      </c>
      <c r="C80" s="37">
        <v>494417400</v>
      </c>
      <c r="D80" s="38">
        <f>C80*J80</f>
        <v>28517995.043241393</v>
      </c>
      <c r="E80" s="39">
        <f>C80*K80</f>
        <v>24328475.238095239</v>
      </c>
      <c r="F80" s="40" t="s">
        <v>138</v>
      </c>
      <c r="G80" s="70">
        <v>1.85</v>
      </c>
      <c r="H80" s="42">
        <v>1.55</v>
      </c>
      <c r="I80" s="42">
        <v>1.55</v>
      </c>
      <c r="J80" s="44">
        <f>I80/$J$5</f>
        <v>5.7679998809187123E-2</v>
      </c>
      <c r="K80" s="45">
        <f>I80/$K$4</f>
        <v>4.9206349206349205E-2</v>
      </c>
      <c r="L80" s="46">
        <f>I80-H80</f>
        <v>0</v>
      </c>
      <c r="M80" s="95">
        <f>((I80-H80)/H80)*100</f>
        <v>0</v>
      </c>
      <c r="N80" s="37">
        <v>600</v>
      </c>
      <c r="O80" s="37">
        <v>930</v>
      </c>
      <c r="P80" s="40">
        <v>0</v>
      </c>
      <c r="Q80" s="49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6"/>
      <c r="M81" s="46"/>
      <c r="N81" s="61">
        <f>SUM(N77:N80)</f>
        <v>1640</v>
      </c>
      <c r="O81" s="62">
        <f>SUM(O77:O80)</f>
        <v>1021.5</v>
      </c>
      <c r="P81" s="77"/>
      <c r="Q81" s="63"/>
      <c r="DU81" s="96"/>
      <c r="DV81" s="96"/>
      <c r="DW81" s="97"/>
      <c r="DX81" s="98"/>
      <c r="DY81" s="98"/>
      <c r="DZ81" s="99"/>
      <c r="EA81" s="99"/>
      <c r="EB81" s="100"/>
      <c r="EC81" s="100"/>
      <c r="ED81" s="101"/>
      <c r="EE81" s="101"/>
      <c r="EF81" s="99"/>
      <c r="EG81" s="102"/>
      <c r="EH81" s="103"/>
      <c r="EI81" s="97"/>
      <c r="EJ81" s="96"/>
      <c r="EK81" s="96"/>
      <c r="EL81" s="97"/>
      <c r="EM81" s="98"/>
      <c r="EN81" s="98"/>
      <c r="EO81" s="99"/>
      <c r="EP81" s="99"/>
      <c r="EQ81" s="100"/>
      <c r="ER81" s="100"/>
      <c r="ES81" s="101"/>
      <c r="ET81" s="101"/>
      <c r="EU81" s="99"/>
      <c r="EV81" s="102"/>
      <c r="EW81" s="103"/>
      <c r="EX81" s="97"/>
      <c r="EY81" s="96"/>
      <c r="EZ81" s="96"/>
      <c r="FA81" s="97"/>
      <c r="FB81" s="98"/>
      <c r="FC81" s="98"/>
      <c r="FD81" s="99"/>
      <c r="FE81" s="99"/>
      <c r="FF81" s="100"/>
      <c r="FG81" s="100"/>
      <c r="FH81" s="101"/>
      <c r="FI81" s="101"/>
      <c r="FJ81" s="99"/>
      <c r="FK81" s="102"/>
      <c r="FL81" s="103"/>
      <c r="FM81" s="97"/>
      <c r="FN81" s="96"/>
      <c r="FO81" s="96"/>
      <c r="FP81" s="97"/>
      <c r="FQ81" s="98"/>
      <c r="FR81" s="98"/>
      <c r="FS81" s="99"/>
      <c r="FT81" s="99"/>
      <c r="FU81" s="100"/>
      <c r="FV81" s="100"/>
      <c r="FW81" s="101"/>
      <c r="FX81" s="101"/>
      <c r="FY81" s="99"/>
      <c r="FZ81" s="102"/>
      <c r="GA81" s="103"/>
      <c r="GB81" s="97"/>
      <c r="GC81" s="96"/>
      <c r="GD81" s="96"/>
      <c r="GE81" s="97"/>
      <c r="GF81" s="98"/>
      <c r="GG81" s="98"/>
      <c r="GH81" s="99"/>
      <c r="GI81" s="99"/>
      <c r="GJ81" s="100"/>
      <c r="GK81" s="100"/>
      <c r="GL81" s="101"/>
      <c r="GM81" s="101"/>
      <c r="GN81" s="99"/>
      <c r="GO81" s="102"/>
      <c r="GP81" s="103"/>
      <c r="GQ81" s="97"/>
      <c r="GR81" s="96"/>
      <c r="GS81" s="96"/>
      <c r="GT81" s="97"/>
      <c r="GU81" s="98"/>
      <c r="GV81" s="98"/>
      <c r="GW81" s="99"/>
      <c r="GX81" s="99"/>
      <c r="GY81" s="100"/>
      <c r="GZ81" s="100"/>
      <c r="HA81" s="101"/>
      <c r="HB81" s="101"/>
      <c r="HC81" s="99"/>
      <c r="HD81" s="102"/>
      <c r="HE81" s="103"/>
      <c r="HF81" s="97"/>
      <c r="HG81" s="96"/>
      <c r="HH81" s="96"/>
      <c r="HI81" s="97"/>
      <c r="HJ81" s="98"/>
      <c r="HK81" s="98"/>
      <c r="HL81" s="99"/>
      <c r="HM81" s="99"/>
      <c r="HN81" s="100"/>
      <c r="HO81" s="100"/>
      <c r="HP81" s="101"/>
      <c r="HQ81" s="101"/>
      <c r="HR81" s="99"/>
      <c r="HS81" s="102"/>
      <c r="HT81" s="103"/>
      <c r="HU81" s="97"/>
      <c r="HV81" s="96"/>
      <c r="HW81" s="96"/>
      <c r="HX81" s="97"/>
      <c r="HY81" s="98"/>
      <c r="HZ81" s="98"/>
      <c r="IA81" s="99"/>
      <c r="IB81" s="99"/>
      <c r="IC81" s="100"/>
      <c r="ID81" s="100"/>
      <c r="IE81" s="101"/>
      <c r="IF81" s="101"/>
      <c r="IG81" s="99"/>
      <c r="IH81" s="102"/>
      <c r="II81" s="103"/>
    </row>
    <row r="82" spans="1:243" ht="13.2" thickTop="1" x14ac:dyDescent="0.3">
      <c r="A82" s="133" t="s">
        <v>171</v>
      </c>
      <c r="B82" s="134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6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26042328.321995802</v>
      </c>
      <c r="E83" s="39">
        <f>C83*K83</f>
        <v>22216503.606349204</v>
      </c>
      <c r="F83" s="40" t="s">
        <v>174</v>
      </c>
      <c r="G83" s="40">
        <v>1.3</v>
      </c>
      <c r="H83" s="42">
        <v>1.9</v>
      </c>
      <c r="I83" s="42">
        <v>1.9</v>
      </c>
      <c r="J83" s="44">
        <f>I83/$J$5</f>
        <v>7.0704514669326146E-2</v>
      </c>
      <c r="K83" s="45">
        <f>I83/$K$4</f>
        <v>6.0317460317460311E-2</v>
      </c>
      <c r="L83" s="46">
        <f>I83-H83</f>
        <v>0</v>
      </c>
      <c r="M83" s="46">
        <f>((I83-H83)/H83*100)</f>
        <v>0</v>
      </c>
      <c r="N83" s="51">
        <v>0</v>
      </c>
      <c r="O83" s="37">
        <v>0</v>
      </c>
      <c r="P83" s="51">
        <f>(R83)/J83</f>
        <v>0</v>
      </c>
      <c r="Q83" s="49">
        <f>I83/G83-1</f>
        <v>0.46153846153846145</v>
      </c>
      <c r="R83" s="52"/>
    </row>
    <row r="84" spans="1:243" s="104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81803122.538738638</v>
      </c>
      <c r="E84" s="39">
        <f>C84*K84</f>
        <v>69785594.606666669</v>
      </c>
      <c r="F84" s="40" t="s">
        <v>174</v>
      </c>
      <c r="G84" s="40">
        <v>1.44347</v>
      </c>
      <c r="H84" s="42">
        <v>1.1231450000000001</v>
      </c>
      <c r="I84" s="42">
        <v>1.1939820000000001</v>
      </c>
      <c r="J84" s="44">
        <f>I84/$J$5</f>
        <v>4.4431535702058621E-2</v>
      </c>
      <c r="K84" s="45">
        <f>I84/$K$4</f>
        <v>3.790419047619048E-2</v>
      </c>
      <c r="L84" s="46">
        <f>I84-H84</f>
        <v>7.0837000000000039E-2</v>
      </c>
      <c r="M84" s="46">
        <f>((I84-H84)/H84*100)</f>
        <v>6.3070218003908707</v>
      </c>
      <c r="N84" s="51">
        <v>4502171</v>
      </c>
      <c r="O84" s="37">
        <v>5375515.6749999998</v>
      </c>
      <c r="P84" s="48">
        <f>(R84)/J84</f>
        <v>4.897422440204291E-2</v>
      </c>
      <c r="Q84" s="49">
        <f>I84/G84-1</f>
        <v>-0.17283906142836358</v>
      </c>
      <c r="R84" s="52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8"/>
      <c r="B85" s="79" t="s">
        <v>82</v>
      </c>
      <c r="C85" s="80"/>
      <c r="D85" s="105"/>
      <c r="E85" s="81"/>
      <c r="F85" s="80"/>
      <c r="G85" s="80"/>
      <c r="H85" s="82"/>
      <c r="I85" s="82"/>
      <c r="J85" s="82"/>
      <c r="K85" s="82"/>
      <c r="L85" s="83"/>
      <c r="M85" s="83"/>
      <c r="N85" s="61">
        <f>SUM(N83:N84)</f>
        <v>4502171</v>
      </c>
      <c r="O85" s="62">
        <f>SUM(O83:O84)</f>
        <v>5375515.6749999998</v>
      </c>
      <c r="P85" s="106"/>
      <c r="Q85" s="86"/>
    </row>
    <row r="86" spans="1:243" ht="12.6" thickBot="1" x14ac:dyDescent="0.3">
      <c r="A86" s="107"/>
      <c r="B86" s="108"/>
      <c r="C86" s="108"/>
      <c r="D86" s="108"/>
      <c r="E86" s="108"/>
      <c r="F86" s="109"/>
      <c r="G86" s="109"/>
      <c r="H86" s="59"/>
      <c r="M86" s="110"/>
      <c r="N86" s="110"/>
      <c r="O86" s="59"/>
      <c r="P86" s="59"/>
      <c r="Q86" s="111"/>
    </row>
    <row r="87" spans="1:243" ht="12.6" thickBot="1" x14ac:dyDescent="0.3">
      <c r="A87" s="137" t="s">
        <v>177</v>
      </c>
      <c r="B87" s="138"/>
      <c r="C87" s="138"/>
      <c r="D87" s="139"/>
      <c r="E87" s="137" t="s">
        <v>178</v>
      </c>
      <c r="F87" s="138"/>
      <c r="G87" s="138"/>
      <c r="H87" s="139"/>
      <c r="I87" s="52"/>
      <c r="J87" s="52"/>
      <c r="K87" s="52"/>
      <c r="L87" s="140" t="s">
        <v>179</v>
      </c>
      <c r="M87" s="141"/>
      <c r="N87" s="142"/>
      <c r="O87" s="140" t="s">
        <v>180</v>
      </c>
      <c r="P87" s="141"/>
      <c r="Q87" s="142"/>
    </row>
    <row r="88" spans="1:243" x14ac:dyDescent="0.25">
      <c r="A88" s="35" t="s">
        <v>99</v>
      </c>
      <c r="B88" s="112">
        <v>0.19500000000000001</v>
      </c>
      <c r="D88" s="112">
        <v>14.705882352941172</v>
      </c>
      <c r="E88" s="35" t="s">
        <v>52</v>
      </c>
      <c r="F88" s="113">
        <v>30.289400000000001</v>
      </c>
      <c r="H88" s="114">
        <v>-2.9344562267065353</v>
      </c>
      <c r="L88" s="35" t="s">
        <v>126</v>
      </c>
      <c r="M88" s="51">
        <v>3.4200000000000001E-2</v>
      </c>
      <c r="N88" s="115">
        <v>20</v>
      </c>
      <c r="O88" s="35" t="s">
        <v>128</v>
      </c>
      <c r="P88" s="113">
        <v>0.1502</v>
      </c>
      <c r="Q88" s="116">
        <v>-6.5339141257000675</v>
      </c>
    </row>
    <row r="89" spans="1:243" x14ac:dyDescent="0.25">
      <c r="A89" s="35" t="s">
        <v>105</v>
      </c>
      <c r="B89" s="112">
        <v>1.72</v>
      </c>
      <c r="D89" s="112">
        <v>14.666666666666664</v>
      </c>
      <c r="E89" s="35" t="s">
        <v>103</v>
      </c>
      <c r="F89" s="113">
        <v>0.1195</v>
      </c>
      <c r="H89" s="114">
        <v>-0.41666666666666707</v>
      </c>
      <c r="L89" s="35" t="s">
        <v>147</v>
      </c>
      <c r="M89" s="51">
        <v>0.14050000000000001</v>
      </c>
      <c r="N89" s="115">
        <v>17.08333333333335</v>
      </c>
      <c r="O89" s="35" t="s">
        <v>132</v>
      </c>
      <c r="P89" s="113">
        <v>0.13009999999999999</v>
      </c>
      <c r="Q89" s="116">
        <v>-3.3432392273402702</v>
      </c>
    </row>
    <row r="90" spans="1:243" x14ac:dyDescent="0.25">
      <c r="A90" s="35" t="s">
        <v>117</v>
      </c>
      <c r="B90" s="112">
        <v>1.5415629999999998</v>
      </c>
      <c r="C90" s="112"/>
      <c r="D90" s="112">
        <v>10.111642857142849</v>
      </c>
      <c r="E90" s="35" t="s">
        <v>74</v>
      </c>
      <c r="F90" s="113">
        <v>3.3489999999999998</v>
      </c>
      <c r="H90" s="114">
        <v>-2.9850746268666687E-2</v>
      </c>
      <c r="L90" s="35" t="s">
        <v>120</v>
      </c>
      <c r="M90" s="51">
        <v>0.1457</v>
      </c>
      <c r="N90" s="115">
        <v>6.2727935813274964</v>
      </c>
      <c r="O90" s="35"/>
      <c r="P90" s="113"/>
      <c r="Q90" s="116"/>
    </row>
    <row r="91" spans="1:243" x14ac:dyDescent="0.25">
      <c r="A91" s="35" t="s">
        <v>45</v>
      </c>
      <c r="B91" s="112">
        <v>32.746900000000004</v>
      </c>
      <c r="C91" s="112"/>
      <c r="D91" s="112">
        <v>7.4856480767274105</v>
      </c>
      <c r="E91" s="35"/>
      <c r="F91" s="113"/>
      <c r="G91" s="113"/>
      <c r="H91" s="114"/>
      <c r="L91" s="35" t="s">
        <v>141</v>
      </c>
      <c r="M91" s="51">
        <v>0.32</v>
      </c>
      <c r="N91" s="115">
        <v>4.9180327868852505</v>
      </c>
      <c r="O91" s="35"/>
      <c r="P91" s="113"/>
      <c r="Q91" s="116"/>
    </row>
    <row r="92" spans="1:243" x14ac:dyDescent="0.25">
      <c r="A92" s="35" t="s">
        <v>107</v>
      </c>
      <c r="B92" s="112">
        <v>0.06</v>
      </c>
      <c r="C92" s="112"/>
      <c r="D92" s="112">
        <v>3.9861351819757433</v>
      </c>
      <c r="E92" s="35"/>
      <c r="F92" s="113"/>
      <c r="G92" s="113"/>
      <c r="H92" s="114"/>
      <c r="L92" s="35" t="s">
        <v>124</v>
      </c>
      <c r="M92" s="51">
        <v>0.2432</v>
      </c>
      <c r="N92" s="115">
        <v>4.4224989265779318</v>
      </c>
      <c r="O92" s="35"/>
      <c r="P92" s="113"/>
      <c r="Q92" s="116"/>
    </row>
    <row r="93" spans="1:243" ht="12.6" thickBot="1" x14ac:dyDescent="0.3">
      <c r="A93" s="117"/>
      <c r="B93" s="118"/>
      <c r="C93" s="118"/>
      <c r="D93" s="118"/>
      <c r="E93" s="117"/>
      <c r="F93" s="118"/>
      <c r="G93" s="118"/>
      <c r="H93" s="119"/>
      <c r="L93" s="117"/>
      <c r="M93" s="118"/>
      <c r="N93" s="119"/>
      <c r="O93" s="118"/>
      <c r="P93" s="118"/>
      <c r="Q93" s="119"/>
    </row>
    <row r="94" spans="1:243" x14ac:dyDescent="0.25">
      <c r="A94" s="120"/>
      <c r="B94" s="121"/>
      <c r="C94" s="121"/>
      <c r="D94" s="121"/>
      <c r="E94" s="110"/>
      <c r="F94" s="110"/>
      <c r="G94" s="110"/>
      <c r="H94" s="110"/>
      <c r="I94" s="110"/>
      <c r="J94" s="110"/>
      <c r="K94" s="110"/>
      <c r="L94" s="110"/>
      <c r="M94" s="121"/>
      <c r="Q94" s="16"/>
    </row>
    <row r="95" spans="1:243" x14ac:dyDescent="0.25">
      <c r="A95" s="12" t="s">
        <v>181</v>
      </c>
      <c r="B95" s="122"/>
      <c r="C95" s="122"/>
      <c r="D95" s="122"/>
      <c r="E95" s="122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20"/>
      <c r="B96" s="121"/>
      <c r="C96" s="121"/>
      <c r="D96" s="121"/>
      <c r="E96" s="121"/>
      <c r="F96" s="110"/>
      <c r="G96" s="110"/>
      <c r="H96" s="121"/>
      <c r="I96" s="110"/>
      <c r="J96" s="110"/>
      <c r="K96" s="110"/>
      <c r="L96" s="110"/>
      <c r="M96" s="121"/>
      <c r="Q96" s="16"/>
    </row>
    <row r="97" spans="1:17" ht="12.6" thickBot="1" x14ac:dyDescent="0.3">
      <c r="A97" s="123"/>
      <c r="B97" s="124"/>
      <c r="C97" s="124"/>
      <c r="D97" s="124"/>
      <c r="E97" s="124"/>
      <c r="F97" s="125"/>
      <c r="G97" s="125"/>
      <c r="H97" s="125"/>
      <c r="I97" s="126"/>
      <c r="J97" s="126"/>
      <c r="K97" s="126"/>
      <c r="L97" s="126"/>
      <c r="M97" s="126"/>
      <c r="N97" s="126"/>
      <c r="O97" s="126"/>
      <c r="P97" s="126"/>
      <c r="Q97" s="127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8"/>
      <c r="J101" s="128"/>
      <c r="K101" s="128"/>
      <c r="O101" s="128"/>
      <c r="P101" s="128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8"/>
      <c r="J104" s="128"/>
      <c r="K104" s="128"/>
      <c r="O104" s="128"/>
      <c r="P104" s="128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8"/>
      <c r="J106" s="128"/>
      <c r="K106" s="128"/>
      <c r="O106" s="128"/>
      <c r="P106" s="128"/>
    </row>
  </sheetData>
  <sheetProtection algorithmName="SHA-512" hashValue="NRogw/qZjA4TS0TIpm69t8fYHJlD2wwzFMO9zlHU20jBuDer5mnNHfWNlAJuO0R2ngXV66dGxdoNI6oLDH0RPQ==" saltValue="otLhb9NpNLIG8vU7FVclcw==" spinCount="100000" sheet="1"/>
  <sortState xmlns:xlrd2="http://schemas.microsoft.com/office/spreadsheetml/2017/richdata2" ref="A51:II64">
    <sortCondition ref="A51:A64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1" priority="46" stopIfTrue="1"/>
  </conditionalFormatting>
  <conditionalFormatting sqref="A29:A34">
    <cfRule type="duplicateValues" dxfId="40" priority="47" stopIfTrue="1"/>
  </conditionalFormatting>
  <conditionalFormatting sqref="A91:A92">
    <cfRule type="duplicateValues" dxfId="39" priority="48" stopIfTrue="1"/>
  </conditionalFormatting>
  <conditionalFormatting sqref="E91:E92">
    <cfRule type="duplicateValues" dxfId="38" priority="1" stopIfTrue="1"/>
  </conditionalFormatting>
  <conditionalFormatting sqref="L9:M26 L28:M47 L51:M64">
    <cfRule type="cellIs" dxfId="37" priority="42" stopIfTrue="1" operator="lessThan">
      <formula>0</formula>
    </cfRule>
    <cfRule type="cellIs" dxfId="36" priority="43" stopIfTrue="1" operator="greaterThan">
      <formula>0</formula>
    </cfRule>
    <cfRule type="cellIs" dxfId="35" priority="44" stopIfTrue="1" operator="greaterThan">
      <formula>0</formula>
    </cfRule>
    <cfRule type="cellIs" priority="45" stopIfTrue="1" operator="greaterThan">
      <formula>0</formula>
    </cfRule>
  </conditionalFormatting>
  <conditionalFormatting sqref="L9:M47 L51:M64">
    <cfRule type="cellIs" dxfId="34" priority="20" stopIfTrue="1" operator="lessThan">
      <formula>0</formula>
    </cfRule>
    <cfRule type="cellIs" dxfId="33" priority="24" stopIfTrue="1" operator="greaterThan">
      <formula>0</formula>
    </cfRule>
  </conditionalFormatting>
  <conditionalFormatting sqref="L27:M27">
    <cfRule type="cellIs" dxfId="32" priority="21" stopIfTrue="1" operator="greaterThan">
      <formula>0</formula>
    </cfRule>
    <cfRule type="cellIs" dxfId="31" priority="22" stopIfTrue="1" operator="lessThan">
      <formula>0</formula>
    </cfRule>
    <cfRule type="cellIs" dxfId="30" priority="23" stopIfTrue="1" operator="greaterThan">
      <formula>0</formula>
    </cfRule>
    <cfRule type="cellIs" priority="25" stopIfTrue="1" operator="greaterThan">
      <formula>0</formula>
    </cfRule>
  </conditionalFormatting>
  <conditionalFormatting sqref="L70:M71">
    <cfRule type="cellIs" dxfId="29" priority="10" stopIfTrue="1" operator="lessThan">
      <formula>0</formula>
    </cfRule>
    <cfRule type="cellIs" dxfId="28" priority="11" stopIfTrue="1" operator="greaterThan">
      <formula>0</formula>
    </cfRule>
    <cfRule type="cellIs" dxfId="27" priority="12" stopIfTrue="1" operator="lessThan">
      <formula>0</formula>
    </cfRule>
    <cfRule type="cellIs" dxfId="26" priority="13" stopIfTrue="1" operator="greaterThan">
      <formula>0</formula>
    </cfRule>
    <cfRule type="cellIs" dxfId="25" priority="14" stopIfTrue="1" operator="greaterThan">
      <formula>0</formula>
    </cfRule>
    <cfRule type="cellIs" priority="15" stopIfTrue="1" operator="greaterThan">
      <formula>0</formula>
    </cfRule>
  </conditionalFormatting>
  <conditionalFormatting sqref="L74:M74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dxfId="20" priority="6" stopIfTrue="1" operator="greaterThan">
      <formula>0</formula>
    </cfRule>
    <cfRule type="cellIs" priority="7" stopIfTrue="1" operator="greaterThan">
      <formula>0</formula>
    </cfRule>
  </conditionalFormatting>
  <conditionalFormatting sqref="L77:M80">
    <cfRule type="cellIs" dxfId="19" priority="36" stopIfTrue="1" operator="lessThan">
      <formula>0</formula>
    </cfRule>
    <cfRule type="cellIs" dxfId="18" priority="37" stopIfTrue="1" operator="greaterThan">
      <formula>0</formula>
    </cfRule>
    <cfRule type="cellIs" dxfId="17" priority="38" stopIfTrue="1" operator="lessThan">
      <formula>0</formula>
    </cfRule>
    <cfRule type="cellIs" dxfId="16" priority="39" stopIfTrue="1" operator="greaterThan">
      <formula>0</formula>
    </cfRule>
    <cfRule type="cellIs" dxfId="15" priority="40" stopIfTrue="1" operator="greaterThan">
      <formula>0</formula>
    </cfRule>
    <cfRule type="cellIs" priority="41" stopIfTrue="1" operator="greaterThan">
      <formula>0</formula>
    </cfRule>
  </conditionalFormatting>
  <conditionalFormatting sqref="L83:M84">
    <cfRule type="cellIs" dxfId="14" priority="30" stopIfTrue="1" operator="lessThan">
      <formula>0</formula>
    </cfRule>
    <cfRule type="cellIs" dxfId="13" priority="31" stopIfTrue="1" operator="greaterThan">
      <formula>0</formula>
    </cfRule>
    <cfRule type="cellIs" dxfId="12" priority="32" stopIfTrue="1" operator="lessThan">
      <formula>0</formula>
    </cfRule>
    <cfRule type="cellIs" dxfId="11" priority="33" stopIfTrue="1" operator="greaterThan">
      <formula>0</formula>
    </cfRule>
    <cfRule type="cellIs" dxfId="10" priority="34" stopIfTrue="1" operator="greaterThan">
      <formula>0</formula>
    </cfRule>
    <cfRule type="cellIs" priority="35" stopIfTrue="1" operator="greaterThan">
      <formula>0</formula>
    </cfRule>
  </conditionalFormatting>
  <conditionalFormatting sqref="Q9:Q47 Q51:Q64">
    <cfRule type="cellIs" dxfId="9" priority="18" stopIfTrue="1" operator="greaterThan">
      <formula>0</formula>
    </cfRule>
    <cfRule type="cellIs" dxfId="8" priority="19" stopIfTrue="1" operator="lessThan">
      <formula>0</formula>
    </cfRule>
  </conditionalFormatting>
  <conditionalFormatting sqref="Q70:Q71">
    <cfRule type="cellIs" dxfId="7" priority="16" stopIfTrue="1" operator="greaterThan">
      <formula>0</formula>
    </cfRule>
    <cfRule type="cellIs" dxfId="6" priority="17" stopIfTrue="1" operator="lessThan">
      <formula>0</formula>
    </cfRule>
  </conditionalFormatting>
  <conditionalFormatting sqref="Q74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7:Q80">
    <cfRule type="cellIs" dxfId="3" priority="28" stopIfTrue="1" operator="greaterThan">
      <formula>0</formula>
    </cfRule>
    <cfRule type="cellIs" dxfId="2" priority="29" stopIfTrue="1" operator="lessThan">
      <formula>0</formula>
    </cfRule>
  </conditionalFormatting>
  <conditionalFormatting sqref="Q83:Q84">
    <cfRule type="cellIs" dxfId="1" priority="26" stopIfTrue="1" operator="greaterThan">
      <formula>0</formula>
    </cfRule>
    <cfRule type="cellIs" dxfId="0" priority="27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2026-07-02T13:48:35Z</dcterms:created>
  <dcterms:modified xsi:type="dcterms:W3CDTF">2026-07-02T13:59:48Z</dcterms:modified>
</cp:coreProperties>
</file>