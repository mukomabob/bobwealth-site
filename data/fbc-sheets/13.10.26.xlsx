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12.10.26/"/>
    </mc:Choice>
  </mc:AlternateContent>
  <xr:revisionPtr revIDLastSave="0" documentId="8_{F9ECB27E-7FA1-4427-905D-BEA25D63ECE7}" xr6:coauthVersionLast="47" xr6:coauthVersionMax="47" xr10:uidLastSave="{00000000-0000-0000-0000-000000000000}"/>
  <bookViews>
    <workbookView xWindow="-108" yWindow="-108" windowWidth="23256" windowHeight="12456" xr2:uid="{166D1C8A-747A-494A-AE20-6A6F14441125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P85" i="1"/>
  <c r="M85" i="1"/>
  <c r="L85" i="1"/>
  <c r="K85" i="1"/>
  <c r="J85" i="1"/>
  <c r="E85" i="1"/>
  <c r="D85" i="1"/>
  <c r="Q84" i="1"/>
  <c r="M84" i="1"/>
  <c r="L84" i="1"/>
  <c r="K84" i="1"/>
  <c r="J84" i="1"/>
  <c r="D84" i="1" s="1"/>
  <c r="E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Q75" i="1"/>
  <c r="P75" i="1"/>
  <c r="M75" i="1"/>
  <c r="L75" i="1"/>
  <c r="K75" i="1"/>
  <c r="E75" i="1" s="1"/>
  <c r="J75" i="1"/>
  <c r="D75" i="1"/>
  <c r="O73" i="1"/>
  <c r="N73" i="1"/>
  <c r="M72" i="1"/>
  <c r="L72" i="1"/>
  <c r="J72" i="1"/>
  <c r="D72" i="1" s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Q51" i="1"/>
  <c r="M51" i="1"/>
  <c r="L51" i="1"/>
  <c r="J51" i="1"/>
  <c r="P51" i="1" s="1"/>
  <c r="D51" i="1"/>
  <c r="M50" i="1"/>
  <c r="L50" i="1"/>
  <c r="J50" i="1"/>
  <c r="Q50" i="1" s="1"/>
  <c r="D50" i="1"/>
  <c r="O47" i="1"/>
  <c r="N47" i="1"/>
  <c r="Q45" i="1"/>
  <c r="M45" i="1"/>
  <c r="L45" i="1"/>
  <c r="K45" i="1"/>
  <c r="J45" i="1"/>
  <c r="E45" i="1"/>
  <c r="D45" i="1"/>
  <c r="Q44" i="1"/>
  <c r="P44" i="1"/>
  <c r="M44" i="1"/>
  <c r="L44" i="1"/>
  <c r="K44" i="1"/>
  <c r="J44" i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/>
  <c r="Q31" i="1"/>
  <c r="M31" i="1"/>
  <c r="L31" i="1"/>
  <c r="K31" i="1"/>
  <c r="J31" i="1"/>
  <c r="P31" i="1" s="1"/>
  <c r="E31" i="1"/>
  <c r="D31" i="1"/>
  <c r="K30" i="1"/>
  <c r="E30" i="1" s="1"/>
  <c r="J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E27" i="1" s="1"/>
  <c r="J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P24" i="1"/>
  <c r="M24" i="1"/>
  <c r="L24" i="1"/>
  <c r="K24" i="1"/>
  <c r="J24" i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E21" i="1" s="1"/>
  <c r="J21" i="1"/>
  <c r="D21" i="1" s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E18" i="1"/>
  <c r="D18" i="1"/>
  <c r="Q17" i="1"/>
  <c r="P17" i="1"/>
  <c r="M17" i="1"/>
  <c r="L17" i="1"/>
  <c r="K17" i="1"/>
  <c r="J17" i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J14" i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2" i="1" l="1"/>
  <c r="E72" i="1" s="1"/>
  <c r="P21" i="1"/>
  <c r="P50" i="1"/>
  <c r="P72" i="1"/>
  <c r="P84" i="1"/>
  <c r="K71" i="1"/>
  <c r="E71" i="1" s="1"/>
  <c r="Q72" i="1"/>
  <c r="P55" i="1"/>
  <c r="P57" i="1"/>
  <c r="P59" i="1"/>
  <c r="P61" i="1"/>
  <c r="P63" i="1"/>
  <c r="P65" i="1"/>
  <c r="P71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<sst xmlns="http://schemas.openxmlformats.org/spreadsheetml/2006/main" count="273" uniqueCount="185">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</sst>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2CEC2D96-A2A7-4ED8-94A0-224323CD1E6D}"/>
    <cellStyle name="Comma 5 2 2 2 2 2 2 2 2 2 2 2 2 2" xfId="4" xr:uid="{8EE65C52-B0E7-42BC-90EE-D9BDAAE69D18}"/>
    <cellStyle name="Comma 6 2 2 2 2 2 2 2 2" xfId="6" xr:uid="{FBB4D7AD-5980-4263-B4BB-456AABC19E74}"/>
    <cellStyle name="Hyperlink 2" xfId="8" xr:uid="{08E12430-CFEA-4BB9-B12B-3AE0BAF4BA0F}"/>
    <cellStyle name="Normal" xfId="0" builtinId="0"/>
    <cellStyle name="Normal 2" xfId="2" xr:uid="{05398905-E1E4-47B8-90FD-467A1CB60D68}"/>
    <cellStyle name="Normal 20" xfId="7" xr:uid="{E947A4B3-BA95-4636-BA44-547D7304EFF4}"/>
    <cellStyle name="Percent" xfId="1" builtinId="5"/>
    <cellStyle name="Percent 3" xfId="5" xr:uid="{46008264-0F96-459E-9D27-5FC82F6B85AF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38DF180-DEC9-4ECD-863B-1F9EFF551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1A723AA-3D15-4A16-8417-1A706634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5029-5FC9-4EE9-9558-DEDB60B4576C}">
  <dimension ref="A1:II107"/>
  <sheetViews>
    <sheetView tabSelected="1" zoomScale="70" zoomScaleNormal="70" workbookViewId="0">
      <selection activeCell="F24" sqref="F2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26.623699999999999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85210541.810492158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0.67608934896351747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2.2186416666666667E-2</v>
      </c>
      <c r="Q9" s="48">
        <f t="shared" ref="Q9:Q17" si="6">I9/G9-1</f>
        <v>1.002336058735191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8182119.3958734144</v>
      </c>
      <c r="E10" s="39">
        <f t="shared" si="1"/>
        <v>6807446.6299973438</v>
      </c>
      <c r="F10" s="40" t="s">
        <v>34</v>
      </c>
      <c r="G10" s="41">
        <v>3.1600000000000003E-2</v>
      </c>
      <c r="H10" s="42">
        <v>0.13408799999999998</v>
      </c>
      <c r="I10" s="43">
        <v>0.133857</v>
      </c>
      <c r="J10" s="44">
        <f t="shared" ref="J10:J17" si="7">I10/$J$5</f>
        <v>5.0277384435671981E-3</v>
      </c>
      <c r="K10" s="45">
        <f t="shared" si="2"/>
        <v>4.1830312500000001E-3</v>
      </c>
      <c r="L10" s="46">
        <f t="shared" si="3"/>
        <v>-2.3099999999998122E-4</v>
      </c>
      <c r="M10" s="46">
        <f t="shared" si="4"/>
        <v>-0.17227492393053909</v>
      </c>
      <c r="N10" s="50">
        <v>2800</v>
      </c>
      <c r="O10" s="37">
        <v>374.8</v>
      </c>
      <c r="P10" s="51">
        <f t="shared" si="5"/>
        <v>0</v>
      </c>
      <c r="Q10" s="48">
        <f t="shared" si="6"/>
        <v>3.2359810126582271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3454956.8267934211</v>
      </c>
      <c r="E11" s="39">
        <f t="shared" si="1"/>
        <v>2874491.6896718754</v>
      </c>
      <c r="F11" s="40" t="s">
        <v>39</v>
      </c>
      <c r="G11" s="41">
        <v>7.8E-2</v>
      </c>
      <c r="H11" s="42">
        <v>0.21050000000000002</v>
      </c>
      <c r="I11" s="43">
        <v>0.21050000000000002</v>
      </c>
      <c r="J11" s="44">
        <f t="shared" si="7"/>
        <v>7.9064893309344682E-3</v>
      </c>
      <c r="K11" s="45">
        <f t="shared" si="2"/>
        <v>6.5781250000000006E-3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1.6987179487179489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148025685.01904321</v>
      </c>
      <c r="E12" s="39">
        <f t="shared" si="1"/>
        <v>123155982.19504689</v>
      </c>
      <c r="F12" s="40" t="s">
        <v>34</v>
      </c>
      <c r="G12" s="41">
        <v>97.381</v>
      </c>
      <c r="H12" s="42">
        <v>190.99950000000001</v>
      </c>
      <c r="I12" s="43">
        <v>190.99950000000001</v>
      </c>
      <c r="J12" s="44">
        <f t="shared" si="7"/>
        <v>7.1740404226309646</v>
      </c>
      <c r="K12" s="45">
        <f t="shared" si="2"/>
        <v>5.9687343750000004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0.96136309957794652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9842855.8014100231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1.1268155816058625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667468827.02254009</v>
      </c>
      <c r="E14" s="39">
        <f t="shared" si="1"/>
        <v>555327806.5625</v>
      </c>
      <c r="F14" s="40" t="s">
        <v>47</v>
      </c>
      <c r="G14" s="41">
        <v>11.5</v>
      </c>
      <c r="H14" s="42">
        <v>33.874600000000001</v>
      </c>
      <c r="I14" s="43">
        <v>34</v>
      </c>
      <c r="J14" s="44">
        <f t="shared" si="7"/>
        <v>1.2770576591533107</v>
      </c>
      <c r="K14" s="45">
        <f t="shared" si="2"/>
        <v>1.0625</v>
      </c>
      <c r="L14" s="46">
        <f t="shared" si="3"/>
        <v>0.12539999999999907</v>
      </c>
      <c r="M14" s="46">
        <f t="shared" si="4"/>
        <v>0.37018887307894133</v>
      </c>
      <c r="N14" s="50">
        <v>200</v>
      </c>
      <c r="O14" s="37">
        <v>6800</v>
      </c>
      <c r="P14" s="51">
        <f t="shared" si="5"/>
        <v>0</v>
      </c>
      <c r="Q14" s="48">
        <f t="shared" si="6"/>
        <v>1.9565217391304346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31584796.206011932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0.29785491873781628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80949122.967881992</v>
      </c>
      <c r="E16" s="39">
        <f t="shared" si="1"/>
        <v>67348911.411249995</v>
      </c>
      <c r="F16" s="40" t="s">
        <v>34</v>
      </c>
      <c r="G16" s="41">
        <v>1.9</v>
      </c>
      <c r="H16" s="42">
        <v>6.02</v>
      </c>
      <c r="I16" s="43">
        <v>6.02</v>
      </c>
      <c r="J16" s="44">
        <f t="shared" si="7"/>
        <v>0.22611432670890971</v>
      </c>
      <c r="K16" s="45">
        <f t="shared" si="2"/>
        <v>0.18812499999999999</v>
      </c>
      <c r="L16" s="46">
        <f t="shared" si="3"/>
        <v>0</v>
      </c>
      <c r="M16" s="46">
        <f t="shared" si="4"/>
        <v>0</v>
      </c>
      <c r="N16" s="50">
        <v>0</v>
      </c>
      <c r="O16" s="37">
        <v>0</v>
      </c>
      <c r="P16" s="51">
        <f t="shared" si="5"/>
        <v>0.22112707641196017</v>
      </c>
      <c r="Q16" s="48">
        <f t="shared" si="6"/>
        <v>2.168421052631579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1645242100.6020765</v>
      </c>
      <c r="E17" s="39">
        <f t="shared" si="1"/>
        <v>1368826003.5562346</v>
      </c>
      <c r="F17" s="40" t="s">
        <v>34</v>
      </c>
      <c r="G17" s="41">
        <v>20.701700000000002</v>
      </c>
      <c r="H17" s="42">
        <v>32.518999999999998</v>
      </c>
      <c r="I17" s="43">
        <v>32.500100000000003</v>
      </c>
      <c r="J17" s="44">
        <f t="shared" si="7"/>
        <v>1.2207206361249565</v>
      </c>
      <c r="K17" s="45">
        <f t="shared" si="2"/>
        <v>1.0156281250000001</v>
      </c>
      <c r="L17" s="46">
        <f t="shared" si="3"/>
        <v>-1.8899999999995032E-2</v>
      </c>
      <c r="M17" s="46">
        <f t="shared" si="4"/>
        <v>-5.8119868384621402E-2</v>
      </c>
      <c r="N17" s="50">
        <v>1141200</v>
      </c>
      <c r="O17" s="37">
        <v>37089095</v>
      </c>
      <c r="P17" s="47">
        <f t="shared" si="5"/>
        <v>0</v>
      </c>
      <c r="Q17" s="48">
        <f t="shared" si="6"/>
        <v>0.56992420912292219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339461702.09813058</v>
      </c>
      <c r="E19" s="39">
        <f t="shared" si="1"/>
        <v>282428953.69218749</v>
      </c>
      <c r="F19" s="40" t="s">
        <v>47</v>
      </c>
      <c r="G19" s="41">
        <v>12.45</v>
      </c>
      <c r="H19" s="42">
        <v>13.4467</v>
      </c>
      <c r="I19" s="43">
        <v>13.45</v>
      </c>
      <c r="J19" s="44">
        <f t="shared" ref="J19:J45" si="8">I19/$J$5</f>
        <v>0.50518898575329496</v>
      </c>
      <c r="K19" s="45">
        <f t="shared" ref="K19:K45" si="9">I19/$K$4</f>
        <v>0.42031249999999998</v>
      </c>
      <c r="L19" s="46">
        <f t="shared" ref="L19:L29" si="10">I19-H19</f>
        <v>3.2999999999994145E-3</v>
      </c>
      <c r="M19" s="46">
        <f>((I19-H19)/H19)*100</f>
        <v>2.4541337279774329E-2</v>
      </c>
      <c r="N19" s="50">
        <v>200</v>
      </c>
      <c r="O19" s="37">
        <v>2690</v>
      </c>
      <c r="P19" s="51">
        <f>(R19)/J19</f>
        <v>0</v>
      </c>
      <c r="Q19" s="48">
        <f t="shared" ref="Q19:Q29" si="11">I19/G19-1</f>
        <v>8.032128514056236E-2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3804830.3064562781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3.493128302978174E-2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91929211.276479244</v>
      </c>
      <c r="E21" s="39">
        <f t="shared" si="1"/>
        <v>76484241.945675015</v>
      </c>
      <c r="F21" s="40" t="s">
        <v>47</v>
      </c>
      <c r="G21" s="41">
        <v>2.85</v>
      </c>
      <c r="H21" s="42">
        <v>3.4494439999999997</v>
      </c>
      <c r="I21" s="43">
        <v>3.5463600000000004</v>
      </c>
      <c r="J21" s="44">
        <f t="shared" si="8"/>
        <v>0.13320312353279223</v>
      </c>
      <c r="K21" s="45">
        <f t="shared" si="9"/>
        <v>0.11082375000000001</v>
      </c>
      <c r="L21" s="46">
        <f t="shared" si="10"/>
        <v>9.6916000000000668E-2</v>
      </c>
      <c r="M21" s="46">
        <f>((I21-H21)/H21)*100</f>
        <v>2.809612215765807</v>
      </c>
      <c r="N21" s="50">
        <v>8600</v>
      </c>
      <c r="O21" s="37">
        <v>30498.7</v>
      </c>
      <c r="P21" s="51">
        <f>(R21)/J21</f>
        <v>0</v>
      </c>
      <c r="Q21" s="48">
        <f t="shared" si="11"/>
        <v>0.24433684210526319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1995723.4358140682</v>
      </c>
      <c r="E23" s="39">
        <f t="shared" si="1"/>
        <v>1660423.188690094</v>
      </c>
      <c r="F23" s="40" t="s">
        <v>44</v>
      </c>
      <c r="G23" s="41">
        <v>0.1</v>
      </c>
      <c r="H23" s="42">
        <v>9.9000000000000005E-2</v>
      </c>
      <c r="I23" s="43">
        <v>9.9021000000000012E-2</v>
      </c>
      <c r="J23" s="44">
        <f t="shared" si="8"/>
        <v>3.7192801902064705E-3</v>
      </c>
      <c r="K23" s="45">
        <f t="shared" si="9"/>
        <v>3.0944062500000004E-3</v>
      </c>
      <c r="L23" s="46">
        <f t="shared" si="10"/>
        <v>2.1000000000007124E-5</v>
      </c>
      <c r="M23" s="46">
        <f t="shared" ref="M23:M29" si="12">((I23-H23)/H23)*100</f>
        <v>2.1212121212128406E-2</v>
      </c>
      <c r="N23" s="50">
        <v>9700</v>
      </c>
      <c r="O23" s="37">
        <v>960.5</v>
      </c>
      <c r="P23" s="51">
        <f t="shared" ref="P23:P29" si="13">(R23)/J23</f>
        <v>0</v>
      </c>
      <c r="Q23" s="48">
        <f t="shared" si="11"/>
        <v>-9.7899999999999654E-3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72499526.361850545</v>
      </c>
      <c r="E24" s="39">
        <f t="shared" si="1"/>
        <v>60318926.25</v>
      </c>
      <c r="F24" s="40" t="s">
        <v>34</v>
      </c>
      <c r="G24" s="41">
        <v>8.1687659999999997</v>
      </c>
      <c r="H24" s="42">
        <v>10</v>
      </c>
      <c r="I24" s="43">
        <v>10</v>
      </c>
      <c r="J24" s="44">
        <f t="shared" si="8"/>
        <v>0.37560519386862085</v>
      </c>
      <c r="K24" s="45">
        <f t="shared" si="9"/>
        <v>0.3125</v>
      </c>
      <c r="L24" s="46">
        <f t="shared" si="10"/>
        <v>0</v>
      </c>
      <c r="M24" s="46">
        <f t="shared" si="12"/>
        <v>0</v>
      </c>
      <c r="N24" s="50">
        <v>5800</v>
      </c>
      <c r="O24" s="37">
        <v>58000</v>
      </c>
      <c r="P24" s="47">
        <f t="shared" si="13"/>
        <v>3.9935549999999993E-2</v>
      </c>
      <c r="Q24" s="48">
        <f t="shared" si="11"/>
        <v>0.22417510796612361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104587777.61355484</v>
      </c>
      <c r="E25" s="39">
        <f t="shared" si="1"/>
        <v>87016050.464062497</v>
      </c>
      <c r="F25" s="40" t="s">
        <v>66</v>
      </c>
      <c r="G25" s="41">
        <v>1.6675</v>
      </c>
      <c r="H25" s="42">
        <v>1.65</v>
      </c>
      <c r="I25" s="43">
        <v>1.65</v>
      </c>
      <c r="J25" s="44">
        <f t="shared" si="8"/>
        <v>6.1974856988322433E-2</v>
      </c>
      <c r="K25" s="45">
        <f t="shared" si="9"/>
        <v>5.1562499999999997E-2</v>
      </c>
      <c r="L25" s="46">
        <f t="shared" si="10"/>
        <v>0</v>
      </c>
      <c r="M25" s="46">
        <f t="shared" si="12"/>
        <v>0</v>
      </c>
      <c r="N25" s="50">
        <v>100</v>
      </c>
      <c r="O25" s="37">
        <v>165</v>
      </c>
      <c r="P25" s="51">
        <f t="shared" si="13"/>
        <v>0</v>
      </c>
      <c r="Q25" s="48">
        <f t="shared" si="11"/>
        <v>-1.0494752623688153E-2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23647754.497308787</v>
      </c>
      <c r="E26" s="39">
        <f t="shared" si="1"/>
        <v>19674710.044062499</v>
      </c>
      <c r="F26" s="40" t="s">
        <v>44</v>
      </c>
      <c r="G26" s="41">
        <v>1.7994999999999999</v>
      </c>
      <c r="H26" s="42">
        <v>2.63</v>
      </c>
      <c r="I26" s="43">
        <v>2.63</v>
      </c>
      <c r="J26" s="44">
        <f t="shared" si="8"/>
        <v>9.878416598744727E-2</v>
      </c>
      <c r="K26" s="45">
        <f t="shared" si="9"/>
        <v>8.2187499999999997E-2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0.46151708808002234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24052887.18322397</v>
      </c>
      <c r="E27" s="39">
        <f t="shared" si="1"/>
        <v>20011776.640625</v>
      </c>
      <c r="F27" s="40" t="s">
        <v>34</v>
      </c>
      <c r="G27" s="41">
        <v>3.1361369999999997</v>
      </c>
      <c r="H27" s="42">
        <v>2.4512499999999999</v>
      </c>
      <c r="I27" s="43">
        <v>2.5</v>
      </c>
      <c r="J27" s="44">
        <f t="shared" si="8"/>
        <v>9.3901298467155211E-2</v>
      </c>
      <c r="K27" s="45">
        <f t="shared" si="9"/>
        <v>7.8125E-2</v>
      </c>
      <c r="L27" s="46">
        <f t="shared" si="10"/>
        <v>4.8750000000000071E-2</v>
      </c>
      <c r="M27" s="46">
        <f t="shared" si="12"/>
        <v>1.9887812340642561</v>
      </c>
      <c r="N27" s="50">
        <v>700</v>
      </c>
      <c r="O27" s="37">
        <v>1750</v>
      </c>
      <c r="P27" s="51">
        <f t="shared" si="13"/>
        <v>0</v>
      </c>
      <c r="Q27" s="48">
        <f t="shared" si="11"/>
        <v>-0.20284094731830904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28524447.822992291</v>
      </c>
      <c r="E28" s="39">
        <f t="shared" si="1"/>
        <v>23732073.172031246</v>
      </c>
      <c r="F28" s="40" t="s">
        <v>44</v>
      </c>
      <c r="G28" s="41">
        <v>0.8</v>
      </c>
      <c r="H28" s="42">
        <v>1.0049999999999999</v>
      </c>
      <c r="I28" s="43">
        <v>1.0049999999999999</v>
      </c>
      <c r="J28" s="44">
        <f t="shared" si="8"/>
        <v>3.7748321983796386E-2</v>
      </c>
      <c r="K28" s="45">
        <f t="shared" si="9"/>
        <v>3.1406249999999997E-2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0.25624999999999987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119773746.24113102</v>
      </c>
      <c r="E29" s="39">
        <f t="shared" si="1"/>
        <v>99650633.993749991</v>
      </c>
      <c r="F29" s="40" t="s">
        <v>47</v>
      </c>
      <c r="G29" s="41">
        <v>5.15</v>
      </c>
      <c r="H29" s="42">
        <v>7.09</v>
      </c>
      <c r="I29" s="43">
        <v>7.1</v>
      </c>
      <c r="J29" s="44">
        <f t="shared" si="8"/>
        <v>0.26667968764672079</v>
      </c>
      <c r="K29" s="45">
        <f t="shared" si="9"/>
        <v>0.22187499999999999</v>
      </c>
      <c r="L29" s="46">
        <f t="shared" si="10"/>
        <v>9.9999999999997868E-3</v>
      </c>
      <c r="M29" s="46">
        <f t="shared" si="12"/>
        <v>0.14104372355429884</v>
      </c>
      <c r="N29" s="50">
        <v>900</v>
      </c>
      <c r="O29" s="37">
        <v>6390</v>
      </c>
      <c r="P29" s="51">
        <f t="shared" si="13"/>
        <v>0</v>
      </c>
      <c r="Q29" s="48">
        <f t="shared" si="11"/>
        <v>0.37864077669902896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13298970.198544906</v>
      </c>
      <c r="E31" s="39">
        <f t="shared" si="1"/>
        <v>11064618.52734375</v>
      </c>
      <c r="F31" s="40" t="s">
        <v>39</v>
      </c>
      <c r="G31" s="41">
        <v>1.4</v>
      </c>
      <c r="H31" s="42">
        <v>1.3625</v>
      </c>
      <c r="I31" s="43">
        <v>1.3625</v>
      </c>
      <c r="J31" s="44">
        <f t="shared" si="8"/>
        <v>5.1176207664599592E-2</v>
      </c>
      <c r="K31" s="45">
        <f t="shared" si="9"/>
        <v>4.2578125000000001E-2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-2.6785714285714191E-2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4125141.2463331548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3.3804467448175876E-2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0.38461538461538458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103162589.91337693</v>
      </c>
      <c r="E33" s="39">
        <f t="shared" si="1"/>
        <v>85830307.658649161</v>
      </c>
      <c r="F33" s="40" t="s">
        <v>92</v>
      </c>
      <c r="G33" s="41">
        <v>1.44</v>
      </c>
      <c r="H33" s="42">
        <v>1.2024999999999999</v>
      </c>
      <c r="I33" s="43">
        <v>1.100611</v>
      </c>
      <c r="J33" s="44">
        <f t="shared" si="8"/>
        <v>4.1339520802893666E-2</v>
      </c>
      <c r="K33" s="45">
        <f t="shared" si="9"/>
        <v>3.439409375E-2</v>
      </c>
      <c r="L33" s="46">
        <f t="shared" si="14"/>
        <v>-0.1018889999999999</v>
      </c>
      <c r="M33" s="46">
        <f t="shared" si="15"/>
        <v>-8.4730977130977045</v>
      </c>
      <c r="N33" s="50">
        <v>50300</v>
      </c>
      <c r="O33" s="37">
        <v>55360.75</v>
      </c>
      <c r="P33" s="51">
        <f t="shared" si="16"/>
        <v>0</v>
      </c>
      <c r="Q33" s="48">
        <f t="shared" si="17"/>
        <v>-0.23568680555555555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37995392.987020887</v>
      </c>
      <c r="E34" s="39">
        <f t="shared" si="1"/>
        <v>31611810.758392125</v>
      </c>
      <c r="F34" s="40" t="s">
        <v>34</v>
      </c>
      <c r="G34" s="41">
        <v>3.6056249999999999</v>
      </c>
      <c r="H34" s="42">
        <v>3.9905560000000002</v>
      </c>
      <c r="I34" s="43">
        <v>3.9905560000000002</v>
      </c>
      <c r="J34" s="44">
        <f t="shared" si="8"/>
        <v>0.14988735600235881</v>
      </c>
      <c r="K34" s="45">
        <f t="shared" si="9"/>
        <v>0.12470487500000001</v>
      </c>
      <c r="L34" s="46">
        <f t="shared" si="14"/>
        <v>0</v>
      </c>
      <c r="M34" s="46">
        <f t="shared" si="15"/>
        <v>0</v>
      </c>
      <c r="N34" s="50">
        <v>0</v>
      </c>
      <c r="O34" s="37">
        <v>0</v>
      </c>
      <c r="P34" s="51">
        <f t="shared" si="16"/>
        <v>0</v>
      </c>
      <c r="Q34" s="48">
        <f t="shared" si="17"/>
        <v>0.10675846767204034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10655282.031770188</v>
      </c>
      <c r="E35" s="39">
        <f t="shared" si="1"/>
        <v>8865094.75716375</v>
      </c>
      <c r="F35" s="40" t="s">
        <v>34</v>
      </c>
      <c r="G35" s="41">
        <v>2.5099999999999997E-2</v>
      </c>
      <c r="H35" s="42">
        <v>6.1900000000000004E-2</v>
      </c>
      <c r="I35" s="43">
        <v>6.0164999999999996E-2</v>
      </c>
      <c r="J35" s="44">
        <f t="shared" si="8"/>
        <v>2.259828648910557E-3</v>
      </c>
      <c r="K35" s="45">
        <f t="shared" si="9"/>
        <v>1.8801562499999999E-3</v>
      </c>
      <c r="L35" s="46">
        <f t="shared" si="14"/>
        <v>-1.7350000000000074E-3</v>
      </c>
      <c r="M35" s="46">
        <f t="shared" si="15"/>
        <v>-2.8029079159935497</v>
      </c>
      <c r="N35" s="50">
        <v>520400</v>
      </c>
      <c r="O35" s="37">
        <v>31309.8</v>
      </c>
      <c r="P35" s="51">
        <f t="shared" si="16"/>
        <v>0</v>
      </c>
      <c r="Q35" s="48">
        <f t="shared" si="17"/>
        <v>1.3970119521912352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69463670.676272422</v>
      </c>
      <c r="E36" s="39">
        <f t="shared" si="1"/>
        <v>57793122.780746065</v>
      </c>
      <c r="F36" s="40" t="s">
        <v>92</v>
      </c>
      <c r="G36" s="41">
        <v>0.61</v>
      </c>
      <c r="H36" s="42">
        <v>3.5024999999999999</v>
      </c>
      <c r="I36" s="43">
        <v>3.5220180000000001</v>
      </c>
      <c r="J36" s="44">
        <f t="shared" si="8"/>
        <v>0.13228882536987721</v>
      </c>
      <c r="K36" s="45">
        <f t="shared" si="9"/>
        <v>0.1100630625</v>
      </c>
      <c r="L36" s="46">
        <f t="shared" si="14"/>
        <v>1.9518000000000146E-2</v>
      </c>
      <c r="M36" s="46">
        <f t="shared" si="15"/>
        <v>0.55725910064240247</v>
      </c>
      <c r="N36" s="50">
        <v>14000</v>
      </c>
      <c r="O36" s="37">
        <v>49308.25</v>
      </c>
      <c r="P36" s="51">
        <f t="shared" si="16"/>
        <v>0</v>
      </c>
      <c r="Q36" s="48">
        <f t="shared" si="17"/>
        <v>4.7738000000000005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127077150.51100345</v>
      </c>
      <c r="E37" s="39">
        <f t="shared" si="1"/>
        <v>105726997.87686883</v>
      </c>
      <c r="F37" s="40" t="s">
        <v>56</v>
      </c>
      <c r="G37" s="41">
        <v>0.11650199999999999</v>
      </c>
      <c r="H37" s="42">
        <v>0.81142899999999996</v>
      </c>
      <c r="I37" s="43">
        <v>0.80653800000000009</v>
      </c>
      <c r="J37" s="44">
        <f t="shared" si="8"/>
        <v>3.0293986185240974E-2</v>
      </c>
      <c r="K37" s="45">
        <f t="shared" si="9"/>
        <v>2.5204312500000003E-2</v>
      </c>
      <c r="L37" s="46">
        <f t="shared" si="14"/>
        <v>-4.8909999999998677E-3</v>
      </c>
      <c r="M37" s="46">
        <f t="shared" si="15"/>
        <v>-0.6027637661458819</v>
      </c>
      <c r="N37" s="50">
        <v>6500</v>
      </c>
      <c r="O37" s="37">
        <v>5242.5</v>
      </c>
      <c r="P37" s="51">
        <v>0</v>
      </c>
      <c r="Q37" s="48">
        <f t="shared" si="17"/>
        <v>5.9229541123757539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21073120.748430908</v>
      </c>
      <c r="E38" s="39">
        <f t="shared" si="1"/>
        <v>17532638.9021875</v>
      </c>
      <c r="F38" s="40" t="s">
        <v>39</v>
      </c>
      <c r="G38" s="41">
        <v>0.1</v>
      </c>
      <c r="H38" s="42">
        <v>0.13</v>
      </c>
      <c r="I38" s="43">
        <v>0.13</v>
      </c>
      <c r="J38" s="44">
        <f t="shared" si="8"/>
        <v>4.8828675202920706E-3</v>
      </c>
      <c r="K38" s="45">
        <f t="shared" si="9"/>
        <v>4.0625000000000001E-3</v>
      </c>
      <c r="L38" s="46">
        <f t="shared" si="14"/>
        <v>0</v>
      </c>
      <c r="M38" s="46">
        <f t="shared" si="15"/>
        <v>0</v>
      </c>
      <c r="N38" s="50">
        <v>0</v>
      </c>
      <c r="O38" s="37">
        <v>0</v>
      </c>
      <c r="P38" s="51">
        <f t="shared" ref="P38:P44" si="18">(R38)/J38</f>
        <v>0</v>
      </c>
      <c r="Q38" s="48">
        <f t="shared" si="17"/>
        <v>0.30000000000000004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7996475.6683963919</v>
      </c>
      <c r="E39" s="39">
        <f t="shared" si="1"/>
        <v>6652992.7891464066</v>
      </c>
      <c r="F39" s="40" t="s">
        <v>44</v>
      </c>
      <c r="G39" s="41">
        <v>1.7452379999999998</v>
      </c>
      <c r="H39" s="42">
        <v>1.999941</v>
      </c>
      <c r="I39" s="43">
        <v>1.9995050000000001</v>
      </c>
      <c r="J39" s="44">
        <f t="shared" si="8"/>
        <v>7.5102446316627672E-2</v>
      </c>
      <c r="K39" s="45">
        <f t="shared" si="9"/>
        <v>6.2484531250000003E-2</v>
      </c>
      <c r="L39" s="46">
        <f t="shared" si="14"/>
        <v>-4.3599999999988093E-4</v>
      </c>
      <c r="M39" s="46">
        <f t="shared" si="15"/>
        <v>-2.1800643118966054E-2</v>
      </c>
      <c r="N39" s="50">
        <v>91000</v>
      </c>
      <c r="O39" s="37">
        <v>181955</v>
      </c>
      <c r="P39" s="51">
        <f t="shared" si="18"/>
        <v>0</v>
      </c>
      <c r="Q39" s="48">
        <f t="shared" si="17"/>
        <v>0.14569187698182162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3494536.0983993961</v>
      </c>
      <c r="E40" s="39">
        <f t="shared" si="1"/>
        <v>2907421.2725923755</v>
      </c>
      <c r="F40" s="40" t="s">
        <v>39</v>
      </c>
      <c r="G40" s="41">
        <v>0.03</v>
      </c>
      <c r="H40" s="42">
        <v>5.2327000000000005E-2</v>
      </c>
      <c r="I40" s="43">
        <v>5.2327000000000005E-2</v>
      </c>
      <c r="J40" s="44">
        <f t="shared" si="8"/>
        <v>1.9654292979563322E-3</v>
      </c>
      <c r="K40" s="45">
        <f t="shared" si="9"/>
        <v>1.6352187500000002E-3</v>
      </c>
      <c r="L40" s="46">
        <f t="shared" si="14"/>
        <v>0</v>
      </c>
      <c r="M40" s="46">
        <f t="shared" si="15"/>
        <v>0</v>
      </c>
      <c r="N40" s="50">
        <v>0</v>
      </c>
      <c r="O40" s="37">
        <v>0</v>
      </c>
      <c r="P40" s="51">
        <f t="shared" si="18"/>
        <v>0</v>
      </c>
      <c r="Q40" s="48">
        <f t="shared" si="17"/>
        <v>0.74423333333333352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47377810.837712266</v>
      </c>
      <c r="E41" s="39">
        <f t="shared" si="1"/>
        <v>39417894.450000003</v>
      </c>
      <c r="F41" s="40" t="s">
        <v>47</v>
      </c>
      <c r="G41" s="41">
        <v>4.5</v>
      </c>
      <c r="H41" s="42">
        <v>7.2</v>
      </c>
      <c r="I41" s="43">
        <v>7.2</v>
      </c>
      <c r="J41" s="44">
        <f t="shared" si="8"/>
        <v>0.27043573958540701</v>
      </c>
      <c r="K41" s="45">
        <f t="shared" si="9"/>
        <v>0.22500000000000001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0.60000000000000009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313.25765757576897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6.7608934896351753E-7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1557709.8600119443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2.7043573958540701E-3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54634593.568887874</v>
      </c>
      <c r="E44" s="39">
        <f t="shared" si="1"/>
        <v>45455469.650000006</v>
      </c>
      <c r="F44" s="40" t="s">
        <v>47</v>
      </c>
      <c r="G44" s="41">
        <v>0.9998999999999999</v>
      </c>
      <c r="H44" s="42">
        <v>0.8</v>
      </c>
      <c r="I44" s="43">
        <v>0.8</v>
      </c>
      <c r="J44" s="44">
        <f t="shared" si="8"/>
        <v>3.0048415509489668E-2</v>
      </c>
      <c r="K44" s="45">
        <f t="shared" si="9"/>
        <v>2.5000000000000001E-2</v>
      </c>
      <c r="L44" s="46">
        <f t="shared" si="14"/>
        <v>0</v>
      </c>
      <c r="M44" s="46">
        <f t="shared" si="15"/>
        <v>0</v>
      </c>
      <c r="N44" s="50">
        <v>300</v>
      </c>
      <c r="O44" s="37">
        <v>240</v>
      </c>
      <c r="P44" s="51">
        <f t="shared" si="18"/>
        <v>0</v>
      </c>
      <c r="Q44" s="48">
        <f t="shared" si="17"/>
        <v>-0.19991999199919974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16990992.652067143</v>
      </c>
      <c r="E45" s="39">
        <f t="shared" si="1"/>
        <v>14136346.59596375</v>
      </c>
      <c r="F45" s="40" t="s">
        <v>47</v>
      </c>
      <c r="G45" s="41">
        <v>1.4503460000000001</v>
      </c>
      <c r="H45" s="42">
        <v>4.4041670000000002</v>
      </c>
      <c r="I45" s="43">
        <v>4.4041670000000002</v>
      </c>
      <c r="J45" s="44">
        <f t="shared" si="8"/>
        <v>0.16542279998647821</v>
      </c>
      <c r="K45" s="45">
        <f t="shared" si="9"/>
        <v>0.13763021875000001</v>
      </c>
      <c r="L45" s="46">
        <f t="shared" si="14"/>
        <v>0</v>
      </c>
      <c r="M45" s="46">
        <f t="shared" si="15"/>
        <v>0</v>
      </c>
      <c r="N45" s="50">
        <v>0</v>
      </c>
      <c r="O45" s="37">
        <v>0</v>
      </c>
      <c r="P45" s="51">
        <v>0</v>
      </c>
      <c r="Q45" s="48">
        <f t="shared" si="17"/>
        <v>2.0366319485143545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1852700</v>
      </c>
      <c r="O47" s="61">
        <f>SUM(O9:O45)</f>
        <v>37520140.299999997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90041600.466000006</v>
      </c>
      <c r="E50" s="39">
        <v>0</v>
      </c>
      <c r="F50" s="40" t="s">
        <v>92</v>
      </c>
      <c r="G50" s="70">
        <v>0.1</v>
      </c>
      <c r="H50" s="42">
        <v>0.1535</v>
      </c>
      <c r="I50" s="42">
        <v>0.159</v>
      </c>
      <c r="J50" s="44">
        <f t="shared" ref="J50:J65" si="20">I50</f>
        <v>0.159</v>
      </c>
      <c r="K50" s="39">
        <v>0</v>
      </c>
      <c r="L50" s="46">
        <f t="shared" ref="L50:L65" si="21">I50-H50</f>
        <v>5.5000000000000049E-3</v>
      </c>
      <c r="M50" s="46">
        <f t="shared" ref="M50:M65" si="22">((I50-H50)/H50)*100</f>
        <v>3.5830618892508173</v>
      </c>
      <c r="N50" s="50">
        <v>5764</v>
      </c>
      <c r="O50" s="37">
        <v>916.45</v>
      </c>
      <c r="P50" s="71">
        <f>(R50)/J50</f>
        <v>0</v>
      </c>
      <c r="Q50" s="48">
        <f t="shared" ref="Q50:Q65" si="23">J50/G50-1</f>
        <v>0.58999999999999986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42488708.024999999</v>
      </c>
      <c r="E51" s="39">
        <v>0</v>
      </c>
      <c r="F51" s="40" t="s">
        <v>39</v>
      </c>
      <c r="G51" s="70">
        <v>39.9</v>
      </c>
      <c r="H51" s="42">
        <v>38.212499999999999</v>
      </c>
      <c r="I51" s="42">
        <v>38.212499999999999</v>
      </c>
      <c r="J51" s="44">
        <f t="shared" si="20"/>
        <v>38.212499999999999</v>
      </c>
      <c r="K51" s="39">
        <v>0</v>
      </c>
      <c r="L51" s="46">
        <f t="shared" si="21"/>
        <v>0</v>
      </c>
      <c r="M51" s="46">
        <f t="shared" si="22"/>
        <v>0</v>
      </c>
      <c r="N51" s="50">
        <v>0</v>
      </c>
      <c r="O51" s="37">
        <v>0</v>
      </c>
      <c r="P51" s="72">
        <f>(R51)/J51</f>
        <v>1.4654890415439976E-2</v>
      </c>
      <c r="Q51" s="48">
        <f t="shared" si="23"/>
        <v>-4.2293233082706716E-2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679819479.72160006</v>
      </c>
      <c r="E52" s="39"/>
      <c r="F52" s="40" t="s">
        <v>56</v>
      </c>
      <c r="G52" s="70">
        <v>0.33</v>
      </c>
      <c r="H52" s="42">
        <v>0.22650000000000001</v>
      </c>
      <c r="I52" s="42">
        <v>0.22720000000000001</v>
      </c>
      <c r="J52" s="44">
        <f t="shared" si="20"/>
        <v>0.22720000000000001</v>
      </c>
      <c r="K52" s="39">
        <v>0</v>
      </c>
      <c r="L52" s="46">
        <f t="shared" si="21"/>
        <v>7.0000000000000617E-4</v>
      </c>
      <c r="M52" s="46">
        <f t="shared" si="22"/>
        <v>0.30905077262693431</v>
      </c>
      <c r="N52" s="50">
        <v>32518</v>
      </c>
      <c r="O52" s="37">
        <v>7387.51</v>
      </c>
      <c r="P52" s="71">
        <v>0</v>
      </c>
      <c r="Q52" s="48">
        <f t="shared" si="23"/>
        <v>-0.31151515151515152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335217868.995</v>
      </c>
      <c r="E54" s="39">
        <v>0</v>
      </c>
      <c r="F54" s="40" t="s">
        <v>47</v>
      </c>
      <c r="G54" s="70">
        <v>9.0200000000000002E-2</v>
      </c>
      <c r="H54" s="42">
        <v>0.15970000000000001</v>
      </c>
      <c r="I54" s="42">
        <v>0.155</v>
      </c>
      <c r="J54" s="44">
        <f t="shared" si="20"/>
        <v>0.155</v>
      </c>
      <c r="K54" s="39">
        <v>0</v>
      </c>
      <c r="L54" s="46">
        <f t="shared" si="21"/>
        <v>-4.7000000000000097E-3</v>
      </c>
      <c r="M54" s="74">
        <f t="shared" si="22"/>
        <v>-2.9430181590482216</v>
      </c>
      <c r="N54" s="50">
        <v>201314</v>
      </c>
      <c r="O54" s="37">
        <v>31210.22</v>
      </c>
      <c r="P54" s="71">
        <f t="shared" si="24"/>
        <v>0</v>
      </c>
      <c r="Q54" s="48">
        <f t="shared" si="23"/>
        <v>0.71840354767184023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807391290.255</v>
      </c>
      <c r="E55" s="39">
        <v>0</v>
      </c>
      <c r="F55" s="40" t="s">
        <v>34</v>
      </c>
      <c r="G55" s="70">
        <v>0.95750000000000002</v>
      </c>
      <c r="H55" s="42">
        <v>1.3956</v>
      </c>
      <c r="I55" s="42">
        <v>1.4018999999999999</v>
      </c>
      <c r="J55" s="44">
        <f t="shared" si="20"/>
        <v>1.4018999999999999</v>
      </c>
      <c r="K55" s="39">
        <v>0</v>
      </c>
      <c r="L55" s="46">
        <f t="shared" si="21"/>
        <v>6.2999999999999723E-3</v>
      </c>
      <c r="M55" s="46">
        <f t="shared" si="22"/>
        <v>0.45141874462596537</v>
      </c>
      <c r="N55" s="50">
        <v>87253</v>
      </c>
      <c r="O55" s="37">
        <v>122318.69</v>
      </c>
      <c r="P55" s="72">
        <f t="shared" si="24"/>
        <v>3.352592909622655E-2</v>
      </c>
      <c r="Q55" s="48">
        <f t="shared" si="23"/>
        <v>0.46412532637075699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0.14979999999999999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2.0000000000000573E-4</v>
      </c>
      <c r="M56" s="46">
        <f t="shared" si="22"/>
        <v>0.13351134846462331</v>
      </c>
      <c r="N56" s="50">
        <v>8300</v>
      </c>
      <c r="O56" s="37">
        <v>1245</v>
      </c>
      <c r="P56" s="71">
        <f t="shared" si="24"/>
        <v>0</v>
      </c>
      <c r="Q56" s="48">
        <f t="shared" si="23"/>
        <v>-5.9561128526645857E-2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21376429.694200002</v>
      </c>
      <c r="E57" s="39">
        <v>0</v>
      </c>
      <c r="F57" s="40" t="s">
        <v>92</v>
      </c>
      <c r="G57" s="70">
        <v>1.6799999999999999E-2</v>
      </c>
      <c r="H57" s="42">
        <v>2.23E-2</v>
      </c>
      <c r="I57" s="42">
        <v>2.1700000000000001E-2</v>
      </c>
      <c r="J57" s="44">
        <f t="shared" si="20"/>
        <v>2.1700000000000001E-2</v>
      </c>
      <c r="K57" s="39">
        <v>0</v>
      </c>
      <c r="L57" s="46">
        <f t="shared" si="21"/>
        <v>-5.9999999999999984E-4</v>
      </c>
      <c r="M57" s="74">
        <f t="shared" si="22"/>
        <v>-2.6905829596412545</v>
      </c>
      <c r="N57" s="50">
        <v>11970</v>
      </c>
      <c r="O57" s="37">
        <v>259.75</v>
      </c>
      <c r="P57" s="71">
        <f t="shared" si="24"/>
        <v>0</v>
      </c>
      <c r="Q57" s="48">
        <f t="shared" si="23"/>
        <v>0.29166666666666674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0">
        <v>14</v>
      </c>
      <c r="O58" s="37">
        <v>238</v>
      </c>
      <c r="P58" s="71">
        <f t="shared" si="24"/>
        <v>0</v>
      </c>
      <c r="Q58" s="48">
        <f t="shared" si="23"/>
        <v>-0.12820512820512819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3915091649.3823996</v>
      </c>
      <c r="E59" s="39">
        <v>0</v>
      </c>
      <c r="F59" s="40" t="s">
        <v>47</v>
      </c>
      <c r="G59" s="70">
        <v>0.78169999999999995</v>
      </c>
      <c r="H59" s="51">
        <v>0.87270000000000003</v>
      </c>
      <c r="I59" s="42">
        <v>0.87039999999999995</v>
      </c>
      <c r="J59" s="44">
        <f t="shared" si="20"/>
        <v>0.87039999999999995</v>
      </c>
      <c r="K59" s="39">
        <v>0</v>
      </c>
      <c r="L59" s="46">
        <f t="shared" si="21"/>
        <v>-2.3000000000000798E-3</v>
      </c>
      <c r="M59" s="46">
        <f t="shared" si="22"/>
        <v>-0.26354990260113204</v>
      </c>
      <c r="N59" s="75">
        <v>26588</v>
      </c>
      <c r="O59" s="76">
        <v>23142.9</v>
      </c>
      <c r="P59" s="71">
        <f t="shared" si="24"/>
        <v>0</v>
      </c>
      <c r="Q59" s="48">
        <f t="shared" si="23"/>
        <v>0.11347064091083547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1185817725.2779</v>
      </c>
      <c r="E60" s="39">
        <v>0</v>
      </c>
      <c r="F60" s="40" t="s">
        <v>92</v>
      </c>
      <c r="G60" s="70">
        <v>0.59499999999999997</v>
      </c>
      <c r="H60" s="42">
        <v>1.4796</v>
      </c>
      <c r="I60" s="42">
        <v>1.4729000000000001</v>
      </c>
      <c r="J60" s="44">
        <f t="shared" si="20"/>
        <v>1.4729000000000001</v>
      </c>
      <c r="K60" s="39">
        <v>0</v>
      </c>
      <c r="L60" s="46">
        <f t="shared" si="21"/>
        <v>-6.6999999999999282E-3</v>
      </c>
      <c r="M60" s="46">
        <f t="shared" si="22"/>
        <v>-0.45282508786157932</v>
      </c>
      <c r="N60" s="50">
        <v>1167964</v>
      </c>
      <c r="O60" s="37">
        <v>1720343.15</v>
      </c>
      <c r="P60" s="71">
        <f t="shared" si="24"/>
        <v>0</v>
      </c>
      <c r="Q60" s="48">
        <f t="shared" si="23"/>
        <v>1.4754621848739498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94248298.256999999</v>
      </c>
      <c r="E61" s="39">
        <v>0</v>
      </c>
      <c r="F61" s="40" t="s">
        <v>34</v>
      </c>
      <c r="G61" s="70">
        <v>0.22600000000000001</v>
      </c>
      <c r="H61" s="42">
        <v>0.40210000000000001</v>
      </c>
      <c r="I61" s="42">
        <v>0.36149999999999999</v>
      </c>
      <c r="J61" s="44">
        <f t="shared" si="20"/>
        <v>0.36149999999999999</v>
      </c>
      <c r="K61" s="39">
        <v>0</v>
      </c>
      <c r="L61" s="46">
        <f t="shared" si="21"/>
        <v>-4.0600000000000025E-2</v>
      </c>
      <c r="M61" s="46">
        <f t="shared" si="22"/>
        <v>-10.096990798308884</v>
      </c>
      <c r="N61" s="50">
        <v>10073</v>
      </c>
      <c r="O61" s="37">
        <v>3641.85</v>
      </c>
      <c r="P61" s="71">
        <f t="shared" si="24"/>
        <v>0</v>
      </c>
      <c r="Q61" s="48">
        <f t="shared" si="23"/>
        <v>0.59955752212389379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386670697.1864</v>
      </c>
      <c r="E62" s="39">
        <v>0</v>
      </c>
      <c r="F62" s="40" t="s">
        <v>34</v>
      </c>
      <c r="G62" s="70">
        <v>0.49440000000000001</v>
      </c>
      <c r="H62" s="42">
        <v>0.69440000000000002</v>
      </c>
      <c r="I62" s="42">
        <v>0.68779999999999997</v>
      </c>
      <c r="J62" s="44">
        <f t="shared" si="20"/>
        <v>0.68779999999999997</v>
      </c>
      <c r="K62" s="39">
        <v>0</v>
      </c>
      <c r="L62" s="46">
        <f t="shared" si="21"/>
        <v>-6.6000000000000503E-3</v>
      </c>
      <c r="M62" s="46">
        <f t="shared" si="22"/>
        <v>-0.95046082949309474</v>
      </c>
      <c r="N62" s="50">
        <v>3779</v>
      </c>
      <c r="O62" s="37">
        <v>2599.1999999999998</v>
      </c>
      <c r="P62" s="71">
        <f t="shared" si="24"/>
        <v>0</v>
      </c>
      <c r="Q62" s="48">
        <f t="shared" si="23"/>
        <v>0.3911812297734627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76586919.953500003</v>
      </c>
      <c r="E63" s="39">
        <v>0</v>
      </c>
      <c r="F63" s="40" t="s">
        <v>34</v>
      </c>
      <c r="G63" s="70">
        <v>0.25950000000000001</v>
      </c>
      <c r="H63" s="42">
        <v>0.21010000000000001</v>
      </c>
      <c r="I63" s="42">
        <v>0.21010000000000001</v>
      </c>
      <c r="J63" s="44">
        <f t="shared" si="20"/>
        <v>0.21010000000000001</v>
      </c>
      <c r="K63" s="39">
        <v>0</v>
      </c>
      <c r="L63" s="46">
        <f t="shared" si="21"/>
        <v>0</v>
      </c>
      <c r="M63" s="46">
        <f t="shared" si="22"/>
        <v>0</v>
      </c>
      <c r="N63" s="50">
        <v>16768</v>
      </c>
      <c r="O63" s="37">
        <v>3522.28</v>
      </c>
      <c r="P63" s="71">
        <f t="shared" si="24"/>
        <v>0</v>
      </c>
      <c r="Q63" s="48">
        <f t="shared" si="23"/>
        <v>-0.19036608863198456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400500000</v>
      </c>
      <c r="E64" s="39">
        <v>0</v>
      </c>
      <c r="F64" s="40" t="s">
        <v>66</v>
      </c>
      <c r="G64" s="70">
        <v>10</v>
      </c>
      <c r="H64" s="42">
        <v>12</v>
      </c>
      <c r="I64" s="42">
        <v>13.35</v>
      </c>
      <c r="J64" s="44">
        <f t="shared" si="20"/>
        <v>13.35</v>
      </c>
      <c r="K64" s="39">
        <v>0</v>
      </c>
      <c r="L64" s="46">
        <f t="shared" si="21"/>
        <v>1.3499999999999996</v>
      </c>
      <c r="M64" s="46">
        <f t="shared" si="22"/>
        <v>11.249999999999998</v>
      </c>
      <c r="N64" s="50">
        <v>8</v>
      </c>
      <c r="O64" s="37">
        <v>106.8</v>
      </c>
      <c r="P64" s="71">
        <f t="shared" si="24"/>
        <v>0</v>
      </c>
      <c r="Q64" s="48">
        <f t="shared" si="23"/>
        <v>0.33499999999999996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0">
        <v>4.2999999999999997E-2</v>
      </c>
      <c r="H65" s="42">
        <v>0.12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0</v>
      </c>
      <c r="M65" s="46">
        <f t="shared" si="22"/>
        <v>0</v>
      </c>
      <c r="N65" s="50">
        <v>100</v>
      </c>
      <c r="O65" s="37">
        <v>12</v>
      </c>
      <c r="P65" s="71">
        <f t="shared" si="24"/>
        <v>0</v>
      </c>
      <c r="Q65" s="48">
        <f t="shared" si="23"/>
        <v>1.7906976744186047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1572413</v>
      </c>
      <c r="O66" s="62">
        <f>SUM(O50:O65)</f>
        <v>1916943.8</v>
      </c>
      <c r="P66" s="80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49591008.971999995</v>
      </c>
      <c r="E71" s="39">
        <f>C71*K71</f>
        <v>49591008.971999995</v>
      </c>
      <c r="F71" s="92" t="s">
        <v>159</v>
      </c>
      <c r="G71" s="92">
        <v>0.24</v>
      </c>
      <c r="H71" s="93">
        <v>0.35</v>
      </c>
      <c r="I71" s="93">
        <v>0.35599999999999998</v>
      </c>
      <c r="J71" s="94">
        <f>I71</f>
        <v>0.35599999999999998</v>
      </c>
      <c r="K71" s="94">
        <f>J71</f>
        <v>0.35599999999999998</v>
      </c>
      <c r="L71" s="46">
        <f>I71-H71</f>
        <v>6.0000000000000053E-3</v>
      </c>
      <c r="M71" s="46">
        <f>((I71-H71)/H71)*100</f>
        <v>1.7142857142857157</v>
      </c>
      <c r="N71" s="95">
        <v>208</v>
      </c>
      <c r="O71" s="96">
        <v>74.05</v>
      </c>
      <c r="P71" s="71">
        <f>(R71)/J71</f>
        <v>0</v>
      </c>
      <c r="Q71" s="48">
        <f>J71/G71-1</f>
        <v>0.48333333333333339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87061031.75</v>
      </c>
      <c r="E72" s="39">
        <f>C72*K72</f>
        <v>87061031.75</v>
      </c>
      <c r="F72" s="92" t="s">
        <v>159</v>
      </c>
      <c r="G72" s="92">
        <v>0.1</v>
      </c>
      <c r="H72" s="93">
        <v>0.16900000000000001</v>
      </c>
      <c r="I72" s="93">
        <v>0.161</v>
      </c>
      <c r="J72" s="94">
        <f>I72</f>
        <v>0.161</v>
      </c>
      <c r="K72" s="94">
        <f>J72</f>
        <v>0.161</v>
      </c>
      <c r="L72" s="46">
        <f>I72-H72</f>
        <v>-8.0000000000000071E-3</v>
      </c>
      <c r="M72" s="46">
        <f>((I72-H72)/H72)*100</f>
        <v>-4.7337278106508913</v>
      </c>
      <c r="N72" s="50">
        <v>7328</v>
      </c>
      <c r="O72" s="96">
        <v>1179.72</v>
      </c>
      <c r="P72" s="97">
        <f>(R72)/J72</f>
        <v>2.3552795031055899E-2</v>
      </c>
      <c r="Q72" s="48">
        <f>J72/G72-1</f>
        <v>0.60999999999999988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7536</v>
      </c>
      <c r="O73" s="62">
        <f>SUM(O71:O72)</f>
        <v>1253.77</v>
      </c>
      <c r="P73" s="90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7895458.6778999995</v>
      </c>
      <c r="E75" s="39">
        <f>C75*K75</f>
        <v>7895458.6778999995</v>
      </c>
      <c r="F75" s="92" t="s">
        <v>137</v>
      </c>
      <c r="G75" s="92">
        <v>0.1394</v>
      </c>
      <c r="H75" s="93">
        <v>0.1162</v>
      </c>
      <c r="I75" s="93">
        <v>0.1229</v>
      </c>
      <c r="J75" s="94">
        <f>I75</f>
        <v>0.1229</v>
      </c>
      <c r="K75" s="94">
        <f>J75</f>
        <v>0.1229</v>
      </c>
      <c r="L75" s="46">
        <f>I75-H75</f>
        <v>6.6999999999999976E-3</v>
      </c>
      <c r="M75" s="46">
        <f>((I75-H75)/H75)*100</f>
        <v>5.7659208261617882</v>
      </c>
      <c r="N75" s="95">
        <v>248627</v>
      </c>
      <c r="O75" s="96">
        <v>30562.23</v>
      </c>
      <c r="P75" s="71">
        <f>(R75)/J75</f>
        <v>0</v>
      </c>
      <c r="Q75" s="48">
        <f>J75/G75-1</f>
        <v>-0.11836441893830707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130986.86395955484</v>
      </c>
      <c r="E78" s="39">
        <f>C78*K78</f>
        <v>108979.84281250001</v>
      </c>
      <c r="F78" s="40" t="s">
        <v>137</v>
      </c>
      <c r="G78" s="70">
        <v>0.105</v>
      </c>
      <c r="H78" s="42">
        <v>0.11</v>
      </c>
      <c r="I78" s="42">
        <v>0.11</v>
      </c>
      <c r="J78" s="44">
        <f>I78/$J$5</f>
        <v>4.1316571325548295E-3</v>
      </c>
      <c r="K78" s="45">
        <f>I78/$K$4</f>
        <v>3.4375E-3</v>
      </c>
      <c r="L78" s="46">
        <f>I78-H78</f>
        <v>0</v>
      </c>
      <c r="M78" s="98">
        <f>((I78-H78)/H78)*100</f>
        <v>0</v>
      </c>
      <c r="N78" s="37">
        <v>50</v>
      </c>
      <c r="O78" s="37">
        <v>5.25</v>
      </c>
      <c r="P78" s="40">
        <v>0</v>
      </c>
      <c r="Q78" s="48">
        <f>I78/G78-1</f>
        <v>4.7619047619047672E-2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409145.39151207387</v>
      </c>
      <c r="E79" s="39">
        <f>C79*K79</f>
        <v>340405.13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3.0048415509489669E-3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1470176.5359435389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4.5072623264234496E-3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423891.92974680453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6.3477277763796913E-2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50</v>
      </c>
      <c r="O82" s="62">
        <f>SUM(O78:O81)</f>
        <v>5.25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27669050.056904189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7.5121038773724169E-2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0.53846153846153832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75704540.31220302</v>
      </c>
      <c r="E85" s="39">
        <f>C85*K85</f>
        <v>62985467.809687495</v>
      </c>
      <c r="F85" s="40" t="s">
        <v>177</v>
      </c>
      <c r="G85" s="40">
        <v>1.44347</v>
      </c>
      <c r="H85" s="42">
        <v>1.113429</v>
      </c>
      <c r="I85" s="42">
        <v>1.0947419999999999</v>
      </c>
      <c r="J85" s="44">
        <f>I85/$J$5</f>
        <v>4.1119078114612163E-2</v>
      </c>
      <c r="K85" s="45">
        <f>I85/$K$4</f>
        <v>3.4210687499999996E-2</v>
      </c>
      <c r="L85" s="46">
        <f>I85-H85</f>
        <v>-1.868700000000012E-2</v>
      </c>
      <c r="M85" s="46">
        <f>((I85-H85)/H85*100)</f>
        <v>-1.6783288382106198</v>
      </c>
      <c r="N85" s="76">
        <v>18867</v>
      </c>
      <c r="O85" s="76">
        <v>20660.615000000002</v>
      </c>
      <c r="P85" s="47">
        <f>(R85)/J85</f>
        <v>5.2919474360168889E-2</v>
      </c>
      <c r="Q85" s="48">
        <f>I85/G85-1</f>
        <v>-0.24159005729249661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5">
      <c r="A89" s="35" t="s">
        <v>62</v>
      </c>
      <c r="B89" s="116">
        <v>3.5463600000000004</v>
      </c>
      <c r="D89" s="116">
        <v>2.809612215765807</v>
      </c>
      <c r="E89" s="35" t="s">
        <v>90</v>
      </c>
      <c r="F89" s="117">
        <v>1.100611</v>
      </c>
      <c r="H89" s="118">
        <v>-8.4730977130977045</v>
      </c>
      <c r="J89" s="35" t="s">
        <v>148</v>
      </c>
      <c r="K89" s="51">
        <v>13.35</v>
      </c>
      <c r="L89" s="119">
        <v>11.249999999999998</v>
      </c>
      <c r="M89" s="35" t="s">
        <v>142</v>
      </c>
      <c r="N89" s="117">
        <v>0.36149999999999999</v>
      </c>
      <c r="O89" s="118">
        <v>-10.096990798308884</v>
      </c>
      <c r="P89" s="118">
        <v>-1.3931214627775275</v>
      </c>
      <c r="Q89" s="16"/>
    </row>
    <row r="90" spans="1:243" ht="15" customHeight="1" x14ac:dyDescent="0.25">
      <c r="A90" s="35" t="s">
        <v>77</v>
      </c>
      <c r="B90" s="116">
        <v>2.5</v>
      </c>
      <c r="D90" s="116">
        <v>1.9887812340642561</v>
      </c>
      <c r="E90" s="35" t="s">
        <v>95</v>
      </c>
      <c r="F90" s="117">
        <v>6.0164999999999996E-2</v>
      </c>
      <c r="H90" s="118">
        <v>-2.8029079159935497</v>
      </c>
      <c r="J90" s="35" t="s">
        <v>119</v>
      </c>
      <c r="K90" s="51">
        <v>0.159</v>
      </c>
      <c r="L90" s="119">
        <v>3.5830618892508173</v>
      </c>
      <c r="M90" s="35" t="s">
        <v>127</v>
      </c>
      <c r="N90" s="117">
        <v>0.155</v>
      </c>
      <c r="O90" s="118">
        <v>-2.9430181590482216</v>
      </c>
      <c r="P90" s="118">
        <v>-0.80321285140561771</v>
      </c>
      <c r="Q90" s="16"/>
    </row>
    <row r="91" spans="1:243" ht="15" customHeight="1" x14ac:dyDescent="0.25">
      <c r="A91" s="35" t="s">
        <v>97</v>
      </c>
      <c r="B91" s="116">
        <v>3.5220180000000001</v>
      </c>
      <c r="C91" s="116"/>
      <c r="D91" s="116">
        <v>0.55725910064240247</v>
      </c>
      <c r="E91" s="120" t="s">
        <v>99</v>
      </c>
      <c r="F91" s="117">
        <v>0.80653800000000009</v>
      </c>
      <c r="G91" s="121"/>
      <c r="H91" s="118">
        <v>-0.6027637661458819</v>
      </c>
      <c r="J91" s="35" t="s">
        <v>129</v>
      </c>
      <c r="K91" s="51">
        <v>1.4018999999999999</v>
      </c>
      <c r="L91" s="119">
        <v>0.45141874462596537</v>
      </c>
      <c r="M91" s="35" t="s">
        <v>133</v>
      </c>
      <c r="N91" s="117">
        <v>2.1700000000000001E-2</v>
      </c>
      <c r="O91" s="118">
        <v>-2.6905829596412545</v>
      </c>
      <c r="P91" s="118">
        <v>-0.77994428969359408</v>
      </c>
      <c r="Q91" s="16"/>
    </row>
    <row r="92" spans="1:243" ht="15" customHeight="1" x14ac:dyDescent="0.25">
      <c r="A92" s="35" t="s">
        <v>45</v>
      </c>
      <c r="B92" s="116">
        <v>34</v>
      </c>
      <c r="C92" s="116"/>
      <c r="D92" s="116">
        <v>0.37018887307894133</v>
      </c>
      <c r="E92" s="120" t="s">
        <v>35</v>
      </c>
      <c r="F92" s="117">
        <v>0.133857</v>
      </c>
      <c r="G92" s="121"/>
      <c r="H92" s="118">
        <v>-0.17227492393053909</v>
      </c>
      <c r="J92" s="35" t="s">
        <v>123</v>
      </c>
      <c r="K92" s="51">
        <v>0.22720000000000001</v>
      </c>
      <c r="L92" s="119">
        <v>0.30905077262693431</v>
      </c>
      <c r="M92" s="35" t="s">
        <v>144</v>
      </c>
      <c r="N92" s="117">
        <v>0.68779999999999997</v>
      </c>
      <c r="O92" s="118">
        <v>-0.95046082949309474</v>
      </c>
      <c r="P92" s="118">
        <v>-0.56417489421721045</v>
      </c>
      <c r="Q92" s="16"/>
    </row>
    <row r="93" spans="1:243" ht="15" customHeight="1" x14ac:dyDescent="0.25">
      <c r="A93" s="35" t="s">
        <v>81</v>
      </c>
      <c r="B93" s="116">
        <v>7.1</v>
      </c>
      <c r="C93" s="116"/>
      <c r="D93" s="116">
        <v>0.14104372355429884</v>
      </c>
      <c r="E93" s="120" t="s">
        <v>52</v>
      </c>
      <c r="F93" s="117">
        <v>32.500100000000003</v>
      </c>
      <c r="G93" s="121"/>
      <c r="H93" s="118">
        <v>-5.8119868384621402E-2</v>
      </c>
      <c r="J93" s="120" t="s">
        <v>131</v>
      </c>
      <c r="K93" s="121">
        <v>0.15</v>
      </c>
      <c r="L93" s="119">
        <v>0.13351134846462331</v>
      </c>
      <c r="M93" s="35" t="s">
        <v>140</v>
      </c>
      <c r="N93" s="117">
        <v>1.4729000000000001</v>
      </c>
      <c r="O93" s="118">
        <v>-0.45282508786157932</v>
      </c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TGMMQaJlL9CGhxcTS0Np5ANd0cbruh1QcLTG6S1iSpyv/wsPR9nC2l67mBYjhEUMOAKtGyS1a8g9pB2B+Bbmmg==" saltValue="pdd/7aY0UKVleTAzbq0Uyw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2026-10-13T13:42:04Z</dcterms:created>
  <dcterms:modified xsi:type="dcterms:W3CDTF">2026-10-13T13:43:31Z</dcterms:modified>
</cp:coreProperties>
</file>