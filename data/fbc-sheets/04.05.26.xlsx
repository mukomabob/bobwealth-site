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gachiras_fbc_co_zw/Documents/Documents/AM NOTE/04.05.26/"/>
    </mc:Choice>
  </mc:AlternateContent>
  <xr:revisionPtr revIDLastSave="0" documentId="8_{8502ABBC-1396-4170-8DB6-DEF6764DBA95}" xr6:coauthVersionLast="47" xr6:coauthVersionMax="47" xr10:uidLastSave="{00000000-0000-0000-0000-000000000000}"/>
  <bookViews>
    <workbookView xWindow="-120" yWindow="-120" windowWidth="29040" windowHeight="15720" xr2:uid="{501B2560-75DC-4623-89E4-7F13645850E2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7" i="1" l="1"/>
  <c r="O84" i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E82" i="1" s="1"/>
  <c r="J82" i="1"/>
  <c r="D82" i="1" s="1"/>
  <c r="O80" i="1"/>
  <c r="N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 s="1"/>
  <c r="Q76" i="1"/>
  <c r="M76" i="1"/>
  <c r="L76" i="1"/>
  <c r="K76" i="1"/>
  <c r="J76" i="1"/>
  <c r="E76" i="1"/>
  <c r="D76" i="1"/>
  <c r="O74" i="1"/>
  <c r="N74" i="1"/>
  <c r="M73" i="1"/>
  <c r="L73" i="1"/>
  <c r="J73" i="1"/>
  <c r="Q73" i="1" s="1"/>
  <c r="M72" i="1"/>
  <c r="L72" i="1"/>
  <c r="J72" i="1"/>
  <c r="Q72" i="1" s="1"/>
  <c r="M69" i="1"/>
  <c r="L69" i="1"/>
  <c r="D69" i="1"/>
  <c r="O67" i="1"/>
  <c r="N67" i="1"/>
  <c r="M66" i="1"/>
  <c r="L66" i="1"/>
  <c r="J66" i="1"/>
  <c r="P66" i="1" s="1"/>
  <c r="D66" i="1"/>
  <c r="M65" i="1"/>
  <c r="L65" i="1"/>
  <c r="J65" i="1"/>
  <c r="Q65" i="1" s="1"/>
  <c r="M64" i="1"/>
  <c r="L64" i="1"/>
  <c r="J64" i="1"/>
  <c r="Q64" i="1" s="1"/>
  <c r="D64" i="1"/>
  <c r="M63" i="1"/>
  <c r="L63" i="1"/>
  <c r="J63" i="1"/>
  <c r="Q63" i="1" s="1"/>
  <c r="Q62" i="1"/>
  <c r="M62" i="1"/>
  <c r="L62" i="1"/>
  <c r="J62" i="1"/>
  <c r="P62" i="1" s="1"/>
  <c r="D62" i="1"/>
  <c r="M61" i="1"/>
  <c r="L61" i="1"/>
  <c r="J61" i="1"/>
  <c r="Q61" i="1" s="1"/>
  <c r="D61" i="1"/>
  <c r="M60" i="1"/>
  <c r="L60" i="1"/>
  <c r="J60" i="1"/>
  <c r="Q60" i="1" s="1"/>
  <c r="D60" i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D57" i="1"/>
  <c r="M56" i="1"/>
  <c r="L56" i="1"/>
  <c r="J56" i="1"/>
  <c r="Q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P53" i="1" s="1"/>
  <c r="M52" i="1"/>
  <c r="L52" i="1"/>
  <c r="J52" i="1"/>
  <c r="D52" i="1" s="1"/>
  <c r="E52" i="1"/>
  <c r="O49" i="1"/>
  <c r="N49" i="1"/>
  <c r="Q48" i="1"/>
  <c r="M48" i="1"/>
  <c r="L48" i="1"/>
  <c r="K48" i="1"/>
  <c r="E48" i="1" s="1"/>
  <c r="J48" i="1"/>
  <c r="D48" i="1" s="1"/>
  <c r="Q47" i="1"/>
  <c r="M47" i="1"/>
  <c r="L47" i="1"/>
  <c r="K47" i="1"/>
  <c r="J47" i="1"/>
  <c r="P47" i="1" s="1"/>
  <c r="E47" i="1"/>
  <c r="D47" i="1"/>
  <c r="Q46" i="1"/>
  <c r="M46" i="1"/>
  <c r="L46" i="1"/>
  <c r="K46" i="1"/>
  <c r="E46" i="1" s="1"/>
  <c r="J46" i="1"/>
  <c r="P46" i="1" s="1"/>
  <c r="D46" i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P43" i="1" s="1"/>
  <c r="Q42" i="1"/>
  <c r="M42" i="1"/>
  <c r="L42" i="1"/>
  <c r="K42" i="1"/>
  <c r="J42" i="1"/>
  <c r="D42" i="1" s="1"/>
  <c r="E42" i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D40" i="1"/>
  <c r="Q39" i="1"/>
  <c r="M39" i="1"/>
  <c r="L39" i="1"/>
  <c r="K39" i="1"/>
  <c r="E39" i="1" s="1"/>
  <c r="J39" i="1"/>
  <c r="D39" i="1" s="1"/>
  <c r="Q38" i="1"/>
  <c r="M38" i="1"/>
  <c r="L38" i="1"/>
  <c r="K38" i="1"/>
  <c r="J38" i="1"/>
  <c r="P38" i="1" s="1"/>
  <c r="E38" i="1"/>
  <c r="D38" i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P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P33" i="1" s="1"/>
  <c r="K32" i="1"/>
  <c r="E32" i="1" s="1"/>
  <c r="J32" i="1"/>
  <c r="D32" i="1" s="1"/>
  <c r="Q30" i="1"/>
  <c r="M30" i="1"/>
  <c r="L30" i="1"/>
  <c r="K30" i="1"/>
  <c r="J30" i="1"/>
  <c r="P30" i="1" s="1"/>
  <c r="E30" i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P27" i="1" s="1"/>
  <c r="Q26" i="1"/>
  <c r="M26" i="1"/>
  <c r="L26" i="1"/>
  <c r="K26" i="1"/>
  <c r="J26" i="1"/>
  <c r="P26" i="1" s="1"/>
  <c r="E26" i="1"/>
  <c r="D26" i="1"/>
  <c r="Q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Q23" i="1"/>
  <c r="M23" i="1"/>
  <c r="L23" i="1"/>
  <c r="K23" i="1"/>
  <c r="E23" i="1" s="1"/>
  <c r="J23" i="1"/>
  <c r="P23" i="1" s="1"/>
  <c r="D23" i="1"/>
  <c r="Q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P20" i="1" s="1"/>
  <c r="E19" i="1"/>
  <c r="D19" i="1"/>
  <c r="Q18" i="1"/>
  <c r="M18" i="1"/>
  <c r="L18" i="1"/>
  <c r="K18" i="1"/>
  <c r="E18" i="1" s="1"/>
  <c r="J18" i="1"/>
  <c r="P18" i="1" s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D14" i="1" s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D11" i="1" s="1"/>
  <c r="Q10" i="1"/>
  <c r="M10" i="1"/>
  <c r="L10" i="1"/>
  <c r="K10" i="1"/>
  <c r="E10" i="1" s="1"/>
  <c r="J10" i="1"/>
  <c r="P10" i="1" s="1"/>
  <c r="D16" i="1" l="1"/>
  <c r="D18" i="1"/>
  <c r="D56" i="1"/>
  <c r="P60" i="1"/>
  <c r="D15" i="1"/>
  <c r="P25" i="1"/>
  <c r="D44" i="1"/>
  <c r="D72" i="1"/>
  <c r="P58" i="1"/>
  <c r="P12" i="1"/>
  <c r="D33" i="1"/>
  <c r="D35" i="1"/>
  <c r="D24" i="1"/>
  <c r="D30" i="1"/>
  <c r="D43" i="1"/>
  <c r="D63" i="1"/>
  <c r="D73" i="1"/>
  <c r="D29" i="1"/>
  <c r="D41" i="1"/>
  <c r="D53" i="1"/>
  <c r="P56" i="1"/>
  <c r="P34" i="1"/>
  <c r="P54" i="1"/>
  <c r="D10" i="1"/>
  <c r="P64" i="1"/>
  <c r="K72" i="1"/>
  <c r="E72" i="1" s="1"/>
  <c r="Q66" i="1"/>
  <c r="P28" i="1"/>
  <c r="Q58" i="1"/>
  <c r="P22" i="1"/>
  <c r="P72" i="1"/>
  <c r="Q54" i="1"/>
  <c r="D20" i="1"/>
  <c r="D27" i="1"/>
  <c r="Q52" i="1"/>
  <c r="D65" i="1"/>
  <c r="P42" i="1"/>
  <c r="P57" i="1"/>
  <c r="P59" i="1"/>
  <c r="P61" i="1"/>
  <c r="P63" i="1"/>
  <c r="P65" i="1"/>
  <c r="K73" i="1"/>
  <c r="E73" i="1" s="1"/>
  <c r="P73" i="1"/>
  <c r="P14" i="1"/>
  <c r="Q53" i="1"/>
  <c r="P17" i="1"/>
  <c r="P45" i="1"/>
  <c r="P11" i="1"/>
</calcChain>
</file>

<file path=xl/sharedStrings.xml><?xml version="1.0" encoding="utf-8"?>
<sst xmlns="http://schemas.openxmlformats.org/spreadsheetml/2006/main" count="265" uniqueCount="181">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</sst>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5" fontId="15" fillId="5" borderId="0" xfId="4" applyNumberFormat="1" applyFont="1" applyFill="1" applyAlignment="1"/>
    <xf numFmtId="43" fontId="15" fillId="6" borderId="0" xfId="4" applyFont="1" applyFill="1" applyAlignment="1"/>
    <xf numFmtId="43" fontId="15" fillId="7" borderId="0" xfId="4" applyFont="1" applyFill="1" applyAlignment="1"/>
    <xf numFmtId="43" fontId="15" fillId="5" borderId="0" xfId="4" applyFont="1" applyFill="1" applyAlignment="1"/>
    <xf numFmtId="166" fontId="15" fillId="5" borderId="0" xfId="4" applyNumberFormat="1" applyFont="1" applyFill="1" applyAlignment="1"/>
    <xf numFmtId="167" fontId="15" fillId="5" borderId="0" xfId="3" applyNumberFormat="1" applyFont="1" applyFill="1"/>
    <xf numFmtId="167" fontId="15" fillId="6" borderId="0" xfId="3" applyNumberFormat="1" applyFont="1" applyFill="1"/>
    <xf numFmtId="167" fontId="15" fillId="7" borderId="0" xfId="3" applyNumberFormat="1" applyFont="1" applyFill="1"/>
    <xf numFmtId="166" fontId="15" fillId="5" borderId="0" xfId="3" applyNumberFormat="1" applyFont="1" applyFill="1"/>
    <xf numFmtId="165" fontId="15" fillId="5" borderId="0" xfId="5" applyNumberFormat="1" applyFont="1" applyFill="1"/>
    <xf numFmtId="43" fontId="15" fillId="5" borderId="0" xfId="5" applyFont="1" applyFill="1"/>
    <xf numFmtId="10" fontId="15" fillId="5" borderId="6" xfId="6" applyNumberFormat="1" applyFont="1" applyFill="1" applyBorder="1" applyAlignment="1"/>
    <xf numFmtId="168" fontId="4" fillId="3" borderId="0" xfId="2" applyNumberFormat="1" applyFont="1" applyFill="1" applyAlignment="1"/>
    <xf numFmtId="43" fontId="15" fillId="6" borderId="0" xfId="5" applyFont="1" applyFill="1"/>
    <xf numFmtId="43" fontId="15" fillId="7" borderId="0" xfId="5" applyFont="1" applyFill="1"/>
    <xf numFmtId="165" fontId="15" fillId="5" borderId="0" xfId="5" applyNumberFormat="1" applyFont="1" applyFill="1" applyAlignment="1">
      <alignment horizontal="right"/>
    </xf>
    <xf numFmtId="43" fontId="16" fillId="5" borderId="5" xfId="3" applyFont="1" applyFill="1" applyBorder="1"/>
    <xf numFmtId="49" fontId="15" fillId="5" borderId="0" xfId="3" applyNumberFormat="1" applyFont="1" applyFill="1"/>
    <xf numFmtId="43" fontId="15" fillId="5" borderId="0" xfId="3" applyFont="1" applyFill="1"/>
    <xf numFmtId="43" fontId="17" fillId="5" borderId="0" xfId="3" applyFont="1" applyFill="1"/>
    <xf numFmtId="165" fontId="18" fillId="5" borderId="0" xfId="3" applyNumberFormat="1" applyFont="1" applyFill="1"/>
    <xf numFmtId="43" fontId="18" fillId="5" borderId="0" xfId="3" applyFont="1" applyFill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Alignment="1"/>
    <xf numFmtId="43" fontId="4" fillId="3" borderId="0" xfId="2" applyNumberFormat="1" applyFont="1" applyFill="1" applyAlignment="1"/>
    <xf numFmtId="43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6" fontId="15" fillId="8" borderId="0" xfId="3" applyNumberFormat="1" applyFont="1" applyFill="1"/>
    <xf numFmtId="165" fontId="17" fillId="5" borderId="0" xfId="4" applyNumberFormat="1" applyFont="1" applyFill="1" applyAlignment="1"/>
    <xf numFmtId="166" fontId="15" fillId="5" borderId="0" xfId="3" applyNumberFormat="1" applyFont="1" applyFill="1" applyAlignment="1">
      <alignment horizontal="center"/>
    </xf>
    <xf numFmtId="43" fontId="19" fillId="5" borderId="0" xfId="3" applyFont="1" applyFill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/>
    <xf numFmtId="43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43" fontId="6" fillId="5" borderId="0" xfId="4" applyFont="1" applyFill="1" applyAlignment="1"/>
    <xf numFmtId="167" fontId="6" fillId="5" borderId="0" xfId="3" applyNumberFormat="1" applyFont="1" applyFill="1"/>
    <xf numFmtId="167" fontId="6" fillId="6" borderId="0" xfId="3" applyNumberFormat="1" applyFont="1" applyFill="1"/>
    <xf numFmtId="43" fontId="6" fillId="5" borderId="0" xfId="5" applyFont="1" applyFill="1"/>
    <xf numFmtId="165" fontId="6" fillId="5" borderId="0" xfId="3" applyNumberFormat="1" applyFont="1" applyFill="1"/>
    <xf numFmtId="10" fontId="15" fillId="5" borderId="0" xfId="6" applyNumberFormat="1" applyFont="1" applyFill="1" applyAlignment="1"/>
    <xf numFmtId="9" fontId="21" fillId="5" borderId="0" xfId="1" applyFont="1" applyFill="1"/>
    <xf numFmtId="170" fontId="15" fillId="5" borderId="0" xfId="3" applyNumberFormat="1" applyFont="1" applyFill="1"/>
    <xf numFmtId="165" fontId="15" fillId="5" borderId="11" xfId="4" applyNumberFormat="1" applyFont="1" applyFill="1" applyBorder="1" applyAlignment="1"/>
    <xf numFmtId="43" fontId="15" fillId="5" borderId="11" xfId="4" applyFont="1" applyFill="1" applyBorder="1" applyAlignment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5" fontId="15" fillId="5" borderId="11" xfId="3" applyNumberFormat="1" applyFont="1" applyFill="1" applyBorder="1"/>
    <xf numFmtId="43" fontId="15" fillId="5" borderId="11" xfId="3" applyFont="1" applyFill="1" applyBorder="1"/>
    <xf numFmtId="166" fontId="15" fillId="5" borderId="12" xfId="3" applyNumberFormat="1" applyFont="1" applyFill="1" applyBorder="1"/>
    <xf numFmtId="43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22" fillId="5" borderId="8" xfId="3" applyFont="1" applyFill="1" applyBorder="1"/>
    <xf numFmtId="43" fontId="15" fillId="5" borderId="5" xfId="3" applyFont="1" applyFill="1" applyBorder="1"/>
    <xf numFmtId="0" fontId="23" fillId="3" borderId="0" xfId="2" applyFont="1" applyFill="1" applyAlignment="1"/>
    <xf numFmtId="165" fontId="15" fillId="5" borderId="0" xfId="4" applyNumberFormat="1" applyFont="1" applyFill="1" applyAlignment="1">
      <alignment horizontal="right"/>
    </xf>
    <xf numFmtId="43" fontId="15" fillId="5" borderId="6" xfId="3" applyFont="1" applyFill="1" applyBorder="1"/>
    <xf numFmtId="43" fontId="26" fillId="5" borderId="0" xfId="3" applyFont="1" applyFill="1" applyAlignment="1">
      <alignment horizontal="left"/>
    </xf>
    <xf numFmtId="43" fontId="20" fillId="5" borderId="0" xfId="3" applyFont="1" applyFill="1" applyAlignment="1">
      <alignment horizontal="left"/>
    </xf>
    <xf numFmtId="170" fontId="20" fillId="5" borderId="6" xfId="5" applyNumberFormat="1" applyFont="1" applyFill="1" applyBorder="1" applyAlignment="1">
      <alignment horizontal="left"/>
    </xf>
    <xf numFmtId="43" fontId="26" fillId="5" borderId="6" xfId="3" applyFont="1" applyFill="1" applyBorder="1" applyAlignment="1">
      <alignment horizontal="left"/>
    </xf>
    <xf numFmtId="43" fontId="20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25" fillId="2" borderId="14" xfId="7" applyFont="1" applyFill="1" applyBorder="1" applyAlignment="1">
      <alignment horizontal="center"/>
    </xf>
    <xf numFmtId="0" fontId="25" fillId="2" borderId="3" xfId="7" applyFont="1" applyFill="1" applyBorder="1" applyAlignment="1">
      <alignment horizontal="center"/>
    </xf>
    <xf numFmtId="0" fontId="25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C3BF9BFC-3DE0-4FFC-B3C9-C696CA2DECB9}"/>
    <cellStyle name="Comma 5 2 2 2 2 2 2 2 2" xfId="4" xr:uid="{8F11A1A9-0F43-4024-B6C1-3307D6C37E9A}"/>
    <cellStyle name="Comma 6 2 2 2" xfId="5" xr:uid="{D9032CD9-F9F1-49D0-883C-3B5183C0C56D}"/>
    <cellStyle name="Hyperlink 2" xfId="8" xr:uid="{34FA5686-2299-455D-A9ED-2BC2C818AF98}"/>
    <cellStyle name="Normal" xfId="0" builtinId="0"/>
    <cellStyle name="Normal 2" xfId="2" xr:uid="{3DB712F8-D0ED-4292-8F34-A2813E3A1863}"/>
    <cellStyle name="Normal 20" xfId="7" xr:uid="{EFE98227-2A8C-4135-8A65-06251CED23D5}"/>
    <cellStyle name="Percent" xfId="1" builtinId="5"/>
    <cellStyle name="Percent 3" xfId="6" xr:uid="{0FD705BF-CBBC-432B-BA78-96AFF99608D8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07297C6-4D1A-439A-AAE6-73FDE4A19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82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2A8F23DE-1FD9-4215-8D8D-3A9C105E5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3E1B-ED57-4951-9ECC-B7684DEB6CD8}">
  <dimension ref="A1:II105"/>
  <sheetViews>
    <sheetView tabSelected="1" zoomScale="80" zoomScaleNormal="80" workbookViewId="0">
      <selection activeCell="A71" sqref="A71:Q71"/>
    </sheetView>
  </sheetViews>
  <sheetFormatPr defaultRowHeight="12" x14ac:dyDescent="0.2"/>
  <cols>
    <col min="1" max="1" width="19.42578125" style="5" customWidth="1"/>
    <col min="2" max="2" width="15.28515625" style="5" bestFit="1" customWidth="1"/>
    <col min="3" max="3" width="0" style="5" hidden="1" customWidth="1"/>
    <col min="4" max="4" width="23" style="5" bestFit="1" customWidth="1"/>
    <col min="5" max="5" width="20.7109375" style="5" customWidth="1"/>
    <col min="6" max="6" width="17.28515625" style="5" customWidth="1"/>
    <col min="7" max="7" width="0" style="5" hidden="1" customWidth="1"/>
    <col min="8" max="8" width="15.42578125" style="5" customWidth="1"/>
    <col min="9" max="9" width="16.5703125" style="5" customWidth="1"/>
    <col min="10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5" style="5" customWidth="1"/>
    <col min="17" max="17" width="15.28515625" style="5" customWidth="1"/>
    <col min="18" max="18" width="8.85546875" style="5" hidden="1" customWidth="1"/>
    <col min="19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8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26.05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12.75" x14ac:dyDescent="0.25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34.5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">
      <c r="A10" s="35" t="s">
        <v>32</v>
      </c>
      <c r="B10" s="36" t="s">
        <v>33</v>
      </c>
      <c r="C10" s="37">
        <v>124748059</v>
      </c>
      <c r="D10" s="38">
        <f t="shared" ref="D10:D30" si="0">C10*J10</f>
        <v>75662930.218809977</v>
      </c>
      <c r="E10" s="39">
        <f t="shared" ref="E10:E30" si="1">C10*K10</f>
        <v>65700644.406666674</v>
      </c>
      <c r="F10" s="40" t="s">
        <v>34</v>
      </c>
      <c r="G10" s="41">
        <v>8.9894999999999996</v>
      </c>
      <c r="H10" s="42">
        <v>13.8</v>
      </c>
      <c r="I10" s="42">
        <v>15.8</v>
      </c>
      <c r="J10" s="43">
        <f>(I10/$J$5)</f>
        <v>0.60652591170825332</v>
      </c>
      <c r="K10" s="44">
        <f t="shared" ref="K10:K18" si="2">I10/$K$4</f>
        <v>0.52666666666666673</v>
      </c>
      <c r="L10" s="45">
        <f t="shared" ref="L10:L18" si="3">I10-H10</f>
        <v>2</v>
      </c>
      <c r="M10" s="45">
        <f t="shared" ref="M10:M18" si="4">((I10-H10)/H10)*100</f>
        <v>14.492753623188406</v>
      </c>
      <c r="N10" s="46">
        <v>300</v>
      </c>
      <c r="O10" s="37">
        <v>4740</v>
      </c>
      <c r="P10" s="47">
        <f t="shared" ref="P10:P18" si="5">(R10)/J10</f>
        <v>0</v>
      </c>
      <c r="Q10" s="48">
        <f t="shared" ref="Q10:Q18" si="6">I10/G10-1</f>
        <v>0.75760609600089013</v>
      </c>
      <c r="R10" s="49"/>
    </row>
    <row r="11" spans="1:18" x14ac:dyDescent="0.2">
      <c r="A11" s="35" t="s">
        <v>35</v>
      </c>
      <c r="B11" s="36" t="s">
        <v>36</v>
      </c>
      <c r="C11" s="37">
        <v>1627395595</v>
      </c>
      <c r="D11" s="38">
        <f t="shared" si="0"/>
        <v>3248543.9900191939</v>
      </c>
      <c r="E11" s="39">
        <f t="shared" si="1"/>
        <v>2820819.0313333333</v>
      </c>
      <c r="F11" s="40" t="s">
        <v>34</v>
      </c>
      <c r="G11" s="41">
        <v>3.1600000000000003E-2</v>
      </c>
      <c r="H11" s="42">
        <v>4.5845999999999998E-2</v>
      </c>
      <c r="I11" s="42">
        <v>5.2000000000000005E-2</v>
      </c>
      <c r="J11" s="43">
        <f t="shared" ref="J11:J18" si="7">I11/$J$5</f>
        <v>1.9961612284069099E-3</v>
      </c>
      <c r="K11" s="44">
        <f t="shared" si="2"/>
        <v>1.7333333333333335E-3</v>
      </c>
      <c r="L11" s="45">
        <f t="shared" si="3"/>
        <v>6.1540000000000067E-3</v>
      </c>
      <c r="M11" s="45">
        <f t="shared" si="4"/>
        <v>13.423199406709433</v>
      </c>
      <c r="N11" s="46">
        <v>10000</v>
      </c>
      <c r="O11" s="37">
        <v>520</v>
      </c>
      <c r="P11" s="47">
        <f t="shared" si="5"/>
        <v>0</v>
      </c>
      <c r="Q11" s="48">
        <f t="shared" si="6"/>
        <v>0.64556962025316444</v>
      </c>
      <c r="R11" s="49"/>
    </row>
    <row r="12" spans="1:18" x14ac:dyDescent="0.2">
      <c r="A12" s="35" t="s">
        <v>37</v>
      </c>
      <c r="B12" s="36" t="s">
        <v>38</v>
      </c>
      <c r="C12" s="37">
        <v>436977359</v>
      </c>
      <c r="D12" s="38">
        <f t="shared" si="0"/>
        <v>4143316.9932053736</v>
      </c>
      <c r="E12" s="39">
        <f t="shared" si="1"/>
        <v>3597780.255766667</v>
      </c>
      <c r="F12" s="40" t="s">
        <v>39</v>
      </c>
      <c r="G12" s="41">
        <v>7.8E-2</v>
      </c>
      <c r="H12" s="42">
        <v>0.247</v>
      </c>
      <c r="I12" s="42">
        <v>0.247</v>
      </c>
      <c r="J12" s="43">
        <f t="shared" si="7"/>
        <v>9.4817658349328204E-3</v>
      </c>
      <c r="K12" s="44">
        <f t="shared" si="2"/>
        <v>8.2333333333333338E-3</v>
      </c>
      <c r="L12" s="45">
        <f t="shared" si="3"/>
        <v>0</v>
      </c>
      <c r="M12" s="45">
        <f t="shared" si="4"/>
        <v>0</v>
      </c>
      <c r="N12" s="46">
        <v>600</v>
      </c>
      <c r="O12" s="37">
        <v>148.19999999999999</v>
      </c>
      <c r="P12" s="47">
        <f t="shared" si="5"/>
        <v>0</v>
      </c>
      <c r="Q12" s="48">
        <f t="shared" si="6"/>
        <v>2.1666666666666665</v>
      </c>
      <c r="R12" s="49"/>
    </row>
    <row r="13" spans="1:18" x14ac:dyDescent="0.2">
      <c r="A13" s="35" t="s">
        <v>40</v>
      </c>
      <c r="B13" s="36" t="s">
        <v>41</v>
      </c>
      <c r="C13" s="37">
        <v>20633517</v>
      </c>
      <c r="D13" s="38">
        <f t="shared" si="0"/>
        <v>158215273.72051439</v>
      </c>
      <c r="E13" s="39">
        <f t="shared" si="1"/>
        <v>137383596.01398</v>
      </c>
      <c r="F13" s="40" t="s">
        <v>34</v>
      </c>
      <c r="G13" s="41">
        <v>97.381</v>
      </c>
      <c r="H13" s="42">
        <v>199.7482</v>
      </c>
      <c r="I13" s="42">
        <v>199.7482</v>
      </c>
      <c r="J13" s="43">
        <f t="shared" si="7"/>
        <v>7.6678771593090209</v>
      </c>
      <c r="K13" s="44">
        <f t="shared" si="2"/>
        <v>6.6582733333333328</v>
      </c>
      <c r="L13" s="45">
        <f t="shared" si="3"/>
        <v>0</v>
      </c>
      <c r="M13" s="45">
        <f t="shared" si="4"/>
        <v>0</v>
      </c>
      <c r="N13" s="46">
        <v>0</v>
      </c>
      <c r="O13" s="37">
        <v>0</v>
      </c>
      <c r="P13" s="47">
        <f t="shared" si="5"/>
        <v>0</v>
      </c>
      <c r="Q13" s="48">
        <f t="shared" si="6"/>
        <v>1.0512030067466958</v>
      </c>
      <c r="R13" s="49"/>
    </row>
    <row r="14" spans="1:18" x14ac:dyDescent="0.2">
      <c r="A14" s="35" t="s">
        <v>42</v>
      </c>
      <c r="B14" s="36" t="s">
        <v>43</v>
      </c>
      <c r="C14" s="37">
        <v>8735108</v>
      </c>
      <c r="D14" s="38">
        <f t="shared" si="0"/>
        <v>4359338.6393090207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0.49905950095969281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">
      <c r="A15" s="35" t="s">
        <v>45</v>
      </c>
      <c r="B15" s="36" t="s">
        <v>46</v>
      </c>
      <c r="C15" s="37">
        <v>522661465</v>
      </c>
      <c r="D15" s="38">
        <f t="shared" si="0"/>
        <v>304253176.72550863</v>
      </c>
      <c r="E15" s="39">
        <f t="shared" si="1"/>
        <v>264193175.12331668</v>
      </c>
      <c r="F15" s="40" t="s">
        <v>47</v>
      </c>
      <c r="G15" s="41">
        <v>11.5</v>
      </c>
      <c r="H15" s="42">
        <v>15.164300000000001</v>
      </c>
      <c r="I15" s="42">
        <v>15.164300000000001</v>
      </c>
      <c r="J15" s="43">
        <f t="shared" si="7"/>
        <v>0.58212284069097886</v>
      </c>
      <c r="K15" s="44">
        <f t="shared" si="2"/>
        <v>0.50547666666666669</v>
      </c>
      <c r="L15" s="45">
        <f t="shared" si="3"/>
        <v>0</v>
      </c>
      <c r="M15" s="45">
        <f t="shared" si="4"/>
        <v>0</v>
      </c>
      <c r="N15" s="46">
        <v>0</v>
      </c>
      <c r="O15" s="37">
        <v>0</v>
      </c>
      <c r="P15" s="47">
        <f t="shared" si="5"/>
        <v>0</v>
      </c>
      <c r="Q15" s="48">
        <f t="shared" si="6"/>
        <v>0.31863478260869571</v>
      </c>
      <c r="R15" s="49"/>
    </row>
    <row r="16" spans="1:18" x14ac:dyDescent="0.2">
      <c r="A16" s="35" t="s">
        <v>48</v>
      </c>
      <c r="B16" s="36" t="s">
        <v>49</v>
      </c>
      <c r="C16" s="37">
        <v>106040875</v>
      </c>
      <c r="D16" s="38">
        <f t="shared" si="0"/>
        <v>25197428.646833014</v>
      </c>
      <c r="E16" s="39">
        <f t="shared" si="1"/>
        <v>21879767.208333336</v>
      </c>
      <c r="F16" s="40" t="s">
        <v>34</v>
      </c>
      <c r="G16" s="41">
        <v>5.39</v>
      </c>
      <c r="H16" s="42">
        <v>6.19</v>
      </c>
      <c r="I16" s="42">
        <v>6.19</v>
      </c>
      <c r="J16" s="43">
        <f t="shared" si="7"/>
        <v>0.23761996161228408</v>
      </c>
      <c r="K16" s="44">
        <f t="shared" si="2"/>
        <v>0.20633333333333334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0.14842300556586285</v>
      </c>
      <c r="R16" s="49"/>
    </row>
    <row r="17" spans="1:19" x14ac:dyDescent="0.2">
      <c r="A17" s="35" t="s">
        <v>50</v>
      </c>
      <c r="B17" s="36" t="s">
        <v>51</v>
      </c>
      <c r="C17" s="37">
        <v>358000858</v>
      </c>
      <c r="D17" s="38">
        <f t="shared" si="0"/>
        <v>40949924.706621185</v>
      </c>
      <c r="E17" s="39">
        <f t="shared" si="1"/>
        <v>35558184.620249398</v>
      </c>
      <c r="F17" s="40" t="s">
        <v>34</v>
      </c>
      <c r="G17" s="41">
        <v>1.9</v>
      </c>
      <c r="H17" s="42">
        <v>2.9797289999999998</v>
      </c>
      <c r="I17" s="42">
        <v>2.9797289999999998</v>
      </c>
      <c r="J17" s="43">
        <f t="shared" si="7"/>
        <v>0.11438499040307101</v>
      </c>
      <c r="K17" s="44">
        <f t="shared" si="2"/>
        <v>9.932429999999999E-2</v>
      </c>
      <c r="L17" s="45">
        <f t="shared" si="3"/>
        <v>0</v>
      </c>
      <c r="M17" s="45">
        <f t="shared" si="4"/>
        <v>0</v>
      </c>
      <c r="N17" s="46">
        <v>0</v>
      </c>
      <c r="O17" s="37">
        <v>0</v>
      </c>
      <c r="P17" s="47">
        <f t="shared" si="5"/>
        <v>0</v>
      </c>
      <c r="Q17" s="48">
        <f t="shared" si="6"/>
        <v>0.56827842105263149</v>
      </c>
      <c r="R17" s="49"/>
    </row>
    <row r="18" spans="1:19" x14ac:dyDescent="0.2">
      <c r="A18" s="35" t="s">
        <v>52</v>
      </c>
      <c r="B18" s="36" t="s">
        <v>53</v>
      </c>
      <c r="C18" s="37">
        <v>1341613815</v>
      </c>
      <c r="D18" s="38">
        <f t="shared" si="0"/>
        <v>1380322334.8984258</v>
      </c>
      <c r="E18" s="39">
        <f t="shared" si="1"/>
        <v>1198579894.1367998</v>
      </c>
      <c r="F18" s="40" t="s">
        <v>34</v>
      </c>
      <c r="G18" s="41">
        <v>20.701700000000002</v>
      </c>
      <c r="H18" s="42">
        <v>26.8035</v>
      </c>
      <c r="I18" s="42">
        <v>26.801599999999997</v>
      </c>
      <c r="J18" s="43">
        <f t="shared" si="7"/>
        <v>1.0288522072936659</v>
      </c>
      <c r="K18" s="44">
        <f t="shared" si="2"/>
        <v>0.89338666666666655</v>
      </c>
      <c r="L18" s="45">
        <f t="shared" si="3"/>
        <v>-1.9000000000026773E-3</v>
      </c>
      <c r="M18" s="45">
        <f t="shared" si="4"/>
        <v>-7.0886264853570512E-3</v>
      </c>
      <c r="N18" s="46">
        <v>92900</v>
      </c>
      <c r="O18" s="37">
        <v>2489873</v>
      </c>
      <c r="P18" s="47">
        <f t="shared" si="5"/>
        <v>0</v>
      </c>
      <c r="Q18" s="48">
        <f t="shared" si="6"/>
        <v>0.29465696053947221</v>
      </c>
      <c r="R18" s="49"/>
    </row>
    <row r="19" spans="1:19" hidden="1" x14ac:dyDescent="0.2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">
      <c r="A20" s="35" t="s">
        <v>58</v>
      </c>
      <c r="B20" s="36" t="s">
        <v>59</v>
      </c>
      <c r="C20" s="37">
        <v>671949927</v>
      </c>
      <c r="D20" s="38">
        <f t="shared" si="0"/>
        <v>255366766.88291746</v>
      </c>
      <c r="E20" s="39">
        <f t="shared" si="1"/>
        <v>221743475.91</v>
      </c>
      <c r="F20" s="40" t="s">
        <v>47</v>
      </c>
      <c r="G20" s="41">
        <v>12.45</v>
      </c>
      <c r="H20" s="42">
        <v>9.9</v>
      </c>
      <c r="I20" s="42">
        <v>9.9</v>
      </c>
      <c r="J20" s="43">
        <f t="shared" ref="J20:J30" si="8">I20/$J$5</f>
        <v>0.3800383877159309</v>
      </c>
      <c r="K20" s="44">
        <f t="shared" ref="K20:K30" si="9">I20/$K$4</f>
        <v>0.33</v>
      </c>
      <c r="L20" s="45">
        <f t="shared" ref="L20:L30" si="10">I20-H20</f>
        <v>0</v>
      </c>
      <c r="M20" s="45">
        <f t="shared" ref="M20:M30" si="11">((I20-H20)/H20)*100</f>
        <v>0</v>
      </c>
      <c r="N20" s="46">
        <v>102500</v>
      </c>
      <c r="O20" s="37">
        <v>1014750</v>
      </c>
      <c r="P20" s="47">
        <f t="shared" ref="P20:P30" si="12">(R20)/J20</f>
        <v>0</v>
      </c>
      <c r="Q20" s="48">
        <f t="shared" ref="Q20:Q30" si="13">I20/G20-1</f>
        <v>-0.20481927710843362</v>
      </c>
      <c r="R20" s="49"/>
    </row>
    <row r="21" spans="1:19" x14ac:dyDescent="0.2">
      <c r="A21" s="35" t="s">
        <v>60</v>
      </c>
      <c r="B21" s="36" t="s">
        <v>61</v>
      </c>
      <c r="C21" s="37">
        <v>108923291</v>
      </c>
      <c r="D21" s="38">
        <f t="shared" si="0"/>
        <v>2416800.8521305183</v>
      </c>
      <c r="E21" s="39">
        <f t="shared" si="1"/>
        <v>2098588.7399333329</v>
      </c>
      <c r="F21" s="40" t="s">
        <v>47</v>
      </c>
      <c r="G21" s="41">
        <v>0.35</v>
      </c>
      <c r="H21" s="42">
        <v>0.57799999999999996</v>
      </c>
      <c r="I21" s="42">
        <v>0.57799999999999996</v>
      </c>
      <c r="J21" s="43">
        <f t="shared" si="8"/>
        <v>2.2188099808061419E-2</v>
      </c>
      <c r="K21" s="44">
        <f t="shared" si="9"/>
        <v>1.9266666666666665E-2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0.65142857142857147</v>
      </c>
      <c r="R21" s="49"/>
    </row>
    <row r="22" spans="1:19" x14ac:dyDescent="0.2">
      <c r="A22" s="35" t="s">
        <v>62</v>
      </c>
      <c r="B22" s="36" t="s">
        <v>63</v>
      </c>
      <c r="C22" s="37">
        <v>690143060</v>
      </c>
      <c r="D22" s="38">
        <f t="shared" si="0"/>
        <v>76564815.485604614</v>
      </c>
      <c r="E22" s="39">
        <f t="shared" si="1"/>
        <v>66483781.446666673</v>
      </c>
      <c r="F22" s="40" t="s">
        <v>47</v>
      </c>
      <c r="G22" s="41">
        <v>2.85</v>
      </c>
      <c r="H22" s="42">
        <v>2.89</v>
      </c>
      <c r="I22" s="42">
        <v>2.89</v>
      </c>
      <c r="J22" s="43">
        <f t="shared" si="8"/>
        <v>0.1109404990403071</v>
      </c>
      <c r="K22" s="44">
        <f t="shared" si="9"/>
        <v>9.633333333333334E-2</v>
      </c>
      <c r="L22" s="45">
        <f t="shared" si="10"/>
        <v>0</v>
      </c>
      <c r="M22" s="45">
        <f t="shared" si="11"/>
        <v>0</v>
      </c>
      <c r="N22" s="46">
        <v>700</v>
      </c>
      <c r="O22" s="37">
        <v>2023</v>
      </c>
      <c r="P22" s="47">
        <f t="shared" si="12"/>
        <v>0</v>
      </c>
      <c r="Q22" s="48">
        <f t="shared" si="13"/>
        <v>1.4035087719298289E-2</v>
      </c>
      <c r="R22" s="49"/>
    </row>
    <row r="23" spans="1:19" x14ac:dyDescent="0.2">
      <c r="A23" s="35" t="s">
        <v>64</v>
      </c>
      <c r="B23" s="36" t="s">
        <v>65</v>
      </c>
      <c r="C23" s="37">
        <v>1236075493</v>
      </c>
      <c r="D23" s="38">
        <f t="shared" si="0"/>
        <v>53618629.830710165</v>
      </c>
      <c r="E23" s="39">
        <f t="shared" si="1"/>
        <v>46558843.569666661</v>
      </c>
      <c r="F23" s="40" t="s">
        <v>66</v>
      </c>
      <c r="G23" s="41">
        <v>0.88420599999999994</v>
      </c>
      <c r="H23" s="42">
        <v>1.1225000000000001</v>
      </c>
      <c r="I23" s="42">
        <v>1.1299999999999999</v>
      </c>
      <c r="J23" s="43">
        <f t="shared" si="8"/>
        <v>4.3378119001919381E-2</v>
      </c>
      <c r="K23" s="44">
        <f t="shared" si="9"/>
        <v>3.7666666666666661E-2</v>
      </c>
      <c r="L23" s="45">
        <f t="shared" si="10"/>
        <v>7.4999999999998401E-3</v>
      </c>
      <c r="M23" s="45">
        <f t="shared" si="11"/>
        <v>0.66815144766145562</v>
      </c>
      <c r="N23" s="46">
        <v>100</v>
      </c>
      <c r="O23" s="37">
        <v>113</v>
      </c>
      <c r="P23" s="47">
        <f t="shared" si="12"/>
        <v>0</v>
      </c>
      <c r="Q23" s="48">
        <f t="shared" si="13"/>
        <v>0.27798273253065453</v>
      </c>
      <c r="R23" s="49"/>
    </row>
    <row r="24" spans="1:19" x14ac:dyDescent="0.2">
      <c r="A24" s="35" t="s">
        <v>67</v>
      </c>
      <c r="B24" s="36" t="s">
        <v>68</v>
      </c>
      <c r="C24" s="37">
        <v>536588623</v>
      </c>
      <c r="D24" s="38">
        <f t="shared" si="0"/>
        <v>2410014.1608829172</v>
      </c>
      <c r="E24" s="39">
        <f t="shared" si="1"/>
        <v>2092695.6296999999</v>
      </c>
      <c r="F24" s="40" t="s">
        <v>44</v>
      </c>
      <c r="G24" s="41">
        <v>0.1</v>
      </c>
      <c r="H24" s="42">
        <v>0.11666700000000001</v>
      </c>
      <c r="I24" s="42">
        <v>0.11699999999999999</v>
      </c>
      <c r="J24" s="43">
        <f t="shared" si="8"/>
        <v>4.4913627639155468E-3</v>
      </c>
      <c r="K24" s="44">
        <f t="shared" si="9"/>
        <v>3.8999999999999998E-3</v>
      </c>
      <c r="L24" s="45">
        <f t="shared" si="10"/>
        <v>3.3299999999998608E-4</v>
      </c>
      <c r="M24" s="45">
        <f t="shared" si="11"/>
        <v>0.28542775592068542</v>
      </c>
      <c r="N24" s="46">
        <v>1100</v>
      </c>
      <c r="O24" s="37">
        <v>128.69999999999999</v>
      </c>
      <c r="P24" s="47">
        <f t="shared" si="12"/>
        <v>0</v>
      </c>
      <c r="Q24" s="48">
        <f t="shared" si="13"/>
        <v>0.16999999999999993</v>
      </c>
      <c r="R24" s="49"/>
    </row>
    <row r="25" spans="1:19" x14ac:dyDescent="0.2">
      <c r="A25" s="35" t="s">
        <v>69</v>
      </c>
      <c r="B25" s="36" t="s">
        <v>70</v>
      </c>
      <c r="C25" s="37">
        <v>193020564</v>
      </c>
      <c r="D25" s="38">
        <f t="shared" si="0"/>
        <v>70317280.320921302</v>
      </c>
      <c r="E25" s="39">
        <f t="shared" si="1"/>
        <v>61058838.412000008</v>
      </c>
      <c r="F25" s="40" t="s">
        <v>34</v>
      </c>
      <c r="G25" s="41">
        <v>8.1687659999999997</v>
      </c>
      <c r="H25" s="42">
        <v>9.49</v>
      </c>
      <c r="I25" s="42">
        <v>9.49</v>
      </c>
      <c r="J25" s="43">
        <f t="shared" si="8"/>
        <v>0.36429942418426103</v>
      </c>
      <c r="K25" s="44">
        <f t="shared" si="9"/>
        <v>0.31633333333333336</v>
      </c>
      <c r="L25" s="45">
        <f t="shared" si="10"/>
        <v>0</v>
      </c>
      <c r="M25" s="45">
        <f t="shared" si="11"/>
        <v>0</v>
      </c>
      <c r="N25" s="46">
        <v>0</v>
      </c>
      <c r="O25" s="37">
        <v>0</v>
      </c>
      <c r="P25" s="47">
        <f t="shared" si="12"/>
        <v>0</v>
      </c>
      <c r="Q25" s="48">
        <f t="shared" si="13"/>
        <v>0.16174217745985131</v>
      </c>
      <c r="R25" s="49"/>
      <c r="S25" s="5" t="s">
        <v>71</v>
      </c>
    </row>
    <row r="26" spans="1:19" x14ac:dyDescent="0.2">
      <c r="A26" s="35" t="s">
        <v>72</v>
      </c>
      <c r="B26" s="36" t="s">
        <v>73</v>
      </c>
      <c r="C26" s="37">
        <v>1687584009</v>
      </c>
      <c r="D26" s="38">
        <f t="shared" si="0"/>
        <v>77738994.656429932</v>
      </c>
      <c r="E26" s="39">
        <f t="shared" si="1"/>
        <v>67503360.359999999</v>
      </c>
      <c r="F26" s="40" t="s">
        <v>66</v>
      </c>
      <c r="G26" s="41">
        <v>1.6675</v>
      </c>
      <c r="H26" s="42">
        <v>1.250481</v>
      </c>
      <c r="I26" s="42">
        <v>1.2</v>
      </c>
      <c r="J26" s="43">
        <f t="shared" si="8"/>
        <v>4.6065259117082528E-2</v>
      </c>
      <c r="K26" s="44">
        <f t="shared" si="9"/>
        <v>0.04</v>
      </c>
      <c r="L26" s="45">
        <f t="shared" si="10"/>
        <v>-5.0480999999999998E-2</v>
      </c>
      <c r="M26" s="45">
        <f t="shared" si="11"/>
        <v>-4.0369265906479184</v>
      </c>
      <c r="N26" s="46">
        <v>100</v>
      </c>
      <c r="O26" s="37">
        <v>120</v>
      </c>
      <c r="P26" s="47">
        <f t="shared" si="12"/>
        <v>0</v>
      </c>
      <c r="Q26" s="48">
        <f t="shared" si="13"/>
        <v>-0.28035982008995508</v>
      </c>
      <c r="R26" s="49"/>
    </row>
    <row r="27" spans="1:19" x14ac:dyDescent="0.2">
      <c r="A27" s="35" t="s">
        <v>74</v>
      </c>
      <c r="B27" s="36" t="s">
        <v>75</v>
      </c>
      <c r="C27" s="37">
        <v>239388107</v>
      </c>
      <c r="D27" s="38">
        <f t="shared" si="0"/>
        <v>32163469.270633399</v>
      </c>
      <c r="E27" s="39">
        <f t="shared" si="1"/>
        <v>27928612.483333334</v>
      </c>
      <c r="F27" s="40" t="s">
        <v>44</v>
      </c>
      <c r="G27" s="41">
        <v>1.7994999999999999</v>
      </c>
      <c r="H27" s="42">
        <v>3.100625</v>
      </c>
      <c r="I27" s="42">
        <v>3.5</v>
      </c>
      <c r="J27" s="43">
        <f t="shared" si="8"/>
        <v>0.1343570057581574</v>
      </c>
      <c r="K27" s="44">
        <f t="shared" si="9"/>
        <v>0.11666666666666667</v>
      </c>
      <c r="L27" s="45">
        <f t="shared" si="10"/>
        <v>0.39937500000000004</v>
      </c>
      <c r="M27" s="45">
        <f t="shared" si="11"/>
        <v>12.880467647651683</v>
      </c>
      <c r="N27" s="46">
        <v>500</v>
      </c>
      <c r="O27" s="37">
        <v>1750</v>
      </c>
      <c r="P27" s="47">
        <f t="shared" si="12"/>
        <v>0</v>
      </c>
      <c r="Q27" s="48">
        <f t="shared" si="13"/>
        <v>0.94498471797721595</v>
      </c>
      <c r="R27" s="49"/>
    </row>
    <row r="28" spans="1:19" x14ac:dyDescent="0.2">
      <c r="A28" s="35" t="s">
        <v>76</v>
      </c>
      <c r="B28" s="36" t="s">
        <v>77</v>
      </c>
      <c r="C28" s="37">
        <v>256150741</v>
      </c>
      <c r="D28" s="38">
        <f t="shared" si="0"/>
        <v>30974081.925143953</v>
      </c>
      <c r="E28" s="39">
        <f t="shared" si="1"/>
        <v>26895827.805</v>
      </c>
      <c r="F28" s="40" t="s">
        <v>34</v>
      </c>
      <c r="G28" s="41">
        <v>3.1361369999999997</v>
      </c>
      <c r="H28" s="42">
        <v>3.15</v>
      </c>
      <c r="I28" s="42">
        <v>3.15</v>
      </c>
      <c r="J28" s="43">
        <f t="shared" si="8"/>
        <v>0.12092130518234165</v>
      </c>
      <c r="K28" s="44">
        <f t="shared" si="9"/>
        <v>0.105</v>
      </c>
      <c r="L28" s="45">
        <f t="shared" si="10"/>
        <v>0</v>
      </c>
      <c r="M28" s="45">
        <f t="shared" si="11"/>
        <v>0</v>
      </c>
      <c r="N28" s="46">
        <v>100</v>
      </c>
      <c r="O28" s="37">
        <v>315</v>
      </c>
      <c r="P28" s="47">
        <f t="shared" si="12"/>
        <v>0</v>
      </c>
      <c r="Q28" s="48">
        <f t="shared" si="13"/>
        <v>4.420406378930597E-3</v>
      </c>
      <c r="R28" s="49"/>
    </row>
    <row r="29" spans="1:19" x14ac:dyDescent="0.2">
      <c r="A29" s="35" t="s">
        <v>78</v>
      </c>
      <c r="B29" s="36" t="s">
        <v>79</v>
      </c>
      <c r="C29" s="37">
        <v>755648101</v>
      </c>
      <c r="D29" s="38">
        <f t="shared" si="0"/>
        <v>24656463.948176581</v>
      </c>
      <c r="E29" s="39">
        <f t="shared" si="1"/>
        <v>21410029.528333332</v>
      </c>
      <c r="F29" s="40" t="s">
        <v>44</v>
      </c>
      <c r="G29" s="41">
        <v>0.8</v>
      </c>
      <c r="H29" s="42">
        <v>0.85</v>
      </c>
      <c r="I29" s="42">
        <v>0.85</v>
      </c>
      <c r="J29" s="43">
        <f t="shared" si="8"/>
        <v>3.2629558541266791E-2</v>
      </c>
      <c r="K29" s="44">
        <f t="shared" si="9"/>
        <v>2.8333333333333332E-2</v>
      </c>
      <c r="L29" s="45">
        <f t="shared" si="10"/>
        <v>0</v>
      </c>
      <c r="M29" s="45">
        <f t="shared" si="11"/>
        <v>0</v>
      </c>
      <c r="N29" s="46">
        <v>0</v>
      </c>
      <c r="O29" s="37">
        <v>0</v>
      </c>
      <c r="P29" s="47">
        <f t="shared" si="12"/>
        <v>0</v>
      </c>
      <c r="Q29" s="48">
        <f t="shared" si="13"/>
        <v>6.25E-2</v>
      </c>
      <c r="R29" s="49"/>
    </row>
    <row r="30" spans="1:19" x14ac:dyDescent="0.2">
      <c r="A30" s="35" t="s">
        <v>80</v>
      </c>
      <c r="B30" s="36" t="s">
        <v>81</v>
      </c>
      <c r="C30" s="37">
        <v>404171689</v>
      </c>
      <c r="D30" s="38">
        <f t="shared" si="0"/>
        <v>80679185.520153552</v>
      </c>
      <c r="E30" s="39">
        <f t="shared" si="1"/>
        <v>70056426.093333334</v>
      </c>
      <c r="F30" s="40" t="s">
        <v>47</v>
      </c>
      <c r="G30" s="41">
        <v>5.15</v>
      </c>
      <c r="H30" s="42">
        <v>5.2</v>
      </c>
      <c r="I30" s="42">
        <v>5.2</v>
      </c>
      <c r="J30" s="43">
        <f t="shared" si="8"/>
        <v>0.19961612284069097</v>
      </c>
      <c r="K30" s="44">
        <f t="shared" si="9"/>
        <v>0.17333333333333334</v>
      </c>
      <c r="L30" s="45">
        <f t="shared" si="10"/>
        <v>0</v>
      </c>
      <c r="M30" s="45">
        <f t="shared" si="11"/>
        <v>0</v>
      </c>
      <c r="N30" s="46">
        <v>0</v>
      </c>
      <c r="O30" s="37">
        <v>0</v>
      </c>
      <c r="P30" s="47">
        <f t="shared" si="12"/>
        <v>0</v>
      </c>
      <c r="Q30" s="48">
        <f t="shared" si="13"/>
        <v>9.7087378640776656E-3</v>
      </c>
      <c r="R30" s="49"/>
    </row>
    <row r="31" spans="1:19" hidden="1" x14ac:dyDescent="0.2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">
      <c r="A33" s="35" t="s">
        <v>86</v>
      </c>
      <c r="B33" s="36" t="s">
        <v>87</v>
      </c>
      <c r="C33" s="37">
        <v>259866270</v>
      </c>
      <c r="D33" s="38">
        <f t="shared" si="14"/>
        <v>14963508.829174662</v>
      </c>
      <c r="E33" s="39">
        <f t="shared" si="15"/>
        <v>12993313.5</v>
      </c>
      <c r="F33" s="40" t="s">
        <v>39</v>
      </c>
      <c r="G33" s="41">
        <v>1.4</v>
      </c>
      <c r="H33" s="42">
        <v>1.480952</v>
      </c>
      <c r="I33" s="42">
        <v>1.5</v>
      </c>
      <c r="J33" s="43">
        <f t="shared" si="16"/>
        <v>5.7581573896353162E-2</v>
      </c>
      <c r="K33" s="44">
        <f t="shared" si="17"/>
        <v>0.05</v>
      </c>
      <c r="L33" s="45">
        <f t="shared" ref="L33:L48" si="18">I33-H33</f>
        <v>1.9047999999999954E-2</v>
      </c>
      <c r="M33" s="45">
        <f t="shared" ref="M33:M48" si="19">((I33-H33)/H33)*100</f>
        <v>1.2861996877684052</v>
      </c>
      <c r="N33" s="46">
        <v>200</v>
      </c>
      <c r="O33" s="37">
        <v>300</v>
      </c>
      <c r="P33" s="47">
        <f t="shared" ref="P33:P38" si="20">(R33)/J33</f>
        <v>0</v>
      </c>
      <c r="Q33" s="48">
        <f t="shared" ref="Q33:Q48" si="21">I33/G33-1</f>
        <v>7.1428571428571397E-2</v>
      </c>
      <c r="R33" s="49"/>
    </row>
    <row r="34" spans="1:18" x14ac:dyDescent="0.2">
      <c r="A34" s="35" t="s">
        <v>88</v>
      </c>
      <c r="B34" s="36" t="s">
        <v>89</v>
      </c>
      <c r="C34" s="37">
        <v>122029470</v>
      </c>
      <c r="D34" s="38">
        <f t="shared" si="14"/>
        <v>3513324.4721689057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2.8790786948176581E-2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">
      <c r="A35" s="35" t="s">
        <v>90</v>
      </c>
      <c r="B35" s="36" t="s">
        <v>91</v>
      </c>
      <c r="C35" s="37">
        <v>2495495543</v>
      </c>
      <c r="D35" s="38">
        <f t="shared" si="14"/>
        <v>166685690.78003839</v>
      </c>
      <c r="E35" s="39">
        <f t="shared" si="15"/>
        <v>144738741.49400002</v>
      </c>
      <c r="F35" s="40" t="s">
        <v>92</v>
      </c>
      <c r="G35" s="41">
        <v>1.44</v>
      </c>
      <c r="H35" s="42">
        <v>1.74</v>
      </c>
      <c r="I35" s="42">
        <v>1.74</v>
      </c>
      <c r="J35" s="43">
        <f t="shared" si="16"/>
        <v>6.6794625719769671E-2</v>
      </c>
      <c r="K35" s="44">
        <f t="shared" si="17"/>
        <v>5.8000000000000003E-2</v>
      </c>
      <c r="L35" s="45">
        <f t="shared" si="18"/>
        <v>0</v>
      </c>
      <c r="M35" s="45">
        <f t="shared" si="19"/>
        <v>0</v>
      </c>
      <c r="N35" s="46">
        <v>300</v>
      </c>
      <c r="O35" s="37">
        <v>522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">
      <c r="A36" s="35" t="s">
        <v>93</v>
      </c>
      <c r="B36" s="36" t="s">
        <v>94</v>
      </c>
      <c r="C36" s="37">
        <v>253492983</v>
      </c>
      <c r="D36" s="38">
        <f t="shared" si="14"/>
        <v>36982728.671458729</v>
      </c>
      <c r="E36" s="39">
        <f t="shared" si="15"/>
        <v>32113336.063050002</v>
      </c>
      <c r="F36" s="40" t="s">
        <v>34</v>
      </c>
      <c r="G36" s="41">
        <v>3.6056249999999999</v>
      </c>
      <c r="H36" s="42">
        <v>3.7637860000000001</v>
      </c>
      <c r="I36" s="42">
        <v>3.8005</v>
      </c>
      <c r="J36" s="43">
        <f t="shared" si="16"/>
        <v>0.14589251439539347</v>
      </c>
      <c r="K36" s="44">
        <f t="shared" si="17"/>
        <v>0.12668333333333334</v>
      </c>
      <c r="L36" s="45">
        <f t="shared" si="18"/>
        <v>3.6713999999999913E-2</v>
      </c>
      <c r="M36" s="45">
        <f t="shared" si="19"/>
        <v>0.9754539710812441</v>
      </c>
      <c r="N36" s="46">
        <v>106800</v>
      </c>
      <c r="O36" s="37">
        <v>405893.4</v>
      </c>
      <c r="P36" s="47">
        <f t="shared" si="20"/>
        <v>0</v>
      </c>
      <c r="Q36" s="48">
        <f t="shared" si="21"/>
        <v>5.4047495233142673E-2</v>
      </c>
      <c r="R36" s="49"/>
    </row>
    <row r="37" spans="1:18" x14ac:dyDescent="0.2">
      <c r="A37" s="35" t="s">
        <v>95</v>
      </c>
      <c r="B37" s="36" t="s">
        <v>96</v>
      </c>
      <c r="C37" s="37">
        <v>4715084056</v>
      </c>
      <c r="D37" s="38">
        <f t="shared" si="14"/>
        <v>6158931.4845877932</v>
      </c>
      <c r="E37" s="39">
        <f t="shared" si="15"/>
        <v>5348005.5057837339</v>
      </c>
      <c r="F37" s="40" t="s">
        <v>34</v>
      </c>
      <c r="G37" s="41">
        <v>2.5099999999999997E-2</v>
      </c>
      <c r="H37" s="42">
        <v>3.4082000000000001E-2</v>
      </c>
      <c r="I37" s="42">
        <v>3.4027000000000002E-2</v>
      </c>
      <c r="J37" s="43">
        <f t="shared" si="16"/>
        <v>1.3062188099808062E-3</v>
      </c>
      <c r="K37" s="44">
        <f t="shared" si="17"/>
        <v>1.1342333333333335E-3</v>
      </c>
      <c r="L37" s="45">
        <f t="shared" si="18"/>
        <v>-5.4999999999999494E-5</v>
      </c>
      <c r="M37" s="45">
        <f t="shared" si="19"/>
        <v>-0.16137550613226773</v>
      </c>
      <c r="N37" s="46">
        <v>21700</v>
      </c>
      <c r="O37" s="37">
        <v>738.39</v>
      </c>
      <c r="P37" s="47">
        <f>(R37)/J37</f>
        <v>0</v>
      </c>
      <c r="Q37" s="48">
        <f t="shared" si="21"/>
        <v>0.35565737051792845</v>
      </c>
      <c r="R37" s="49"/>
    </row>
    <row r="38" spans="1:18" x14ac:dyDescent="0.2">
      <c r="A38" s="35" t="s">
        <v>97</v>
      </c>
      <c r="B38" s="36" t="s">
        <v>98</v>
      </c>
      <c r="C38" s="37">
        <v>261064590</v>
      </c>
      <c r="D38" s="38">
        <f t="shared" si="14"/>
        <v>25054183.301343571</v>
      </c>
      <c r="E38" s="39">
        <f t="shared" si="15"/>
        <v>21755382.5</v>
      </c>
      <c r="F38" s="40" t="s">
        <v>92</v>
      </c>
      <c r="G38" s="41">
        <v>0.61</v>
      </c>
      <c r="H38" s="42">
        <v>2.3756249999999999</v>
      </c>
      <c r="I38" s="42">
        <v>2.5</v>
      </c>
      <c r="J38" s="43">
        <f t="shared" si="16"/>
        <v>9.5969289827255277E-2</v>
      </c>
      <c r="K38" s="44">
        <f t="shared" si="17"/>
        <v>8.3333333333333329E-2</v>
      </c>
      <c r="L38" s="45">
        <f t="shared" si="18"/>
        <v>0.12437500000000012</v>
      </c>
      <c r="M38" s="45">
        <f t="shared" si="19"/>
        <v>5.2354643514864563</v>
      </c>
      <c r="N38" s="46">
        <v>100</v>
      </c>
      <c r="O38" s="37">
        <v>250</v>
      </c>
      <c r="P38" s="47">
        <f t="shared" si="20"/>
        <v>0</v>
      </c>
      <c r="Q38" s="48">
        <f t="shared" si="21"/>
        <v>3.0983606557377046</v>
      </c>
      <c r="R38" s="49"/>
    </row>
    <row r="39" spans="1:18" x14ac:dyDescent="0.2">
      <c r="A39" s="35" t="s">
        <v>99</v>
      </c>
      <c r="B39" s="36" t="s">
        <v>100</v>
      </c>
      <c r="C39" s="37">
        <v>4194797929</v>
      </c>
      <c r="D39" s="38">
        <f t="shared" si="14"/>
        <v>16188699.43171428</v>
      </c>
      <c r="E39" s="39">
        <f t="shared" si="15"/>
        <v>14057187.3398719</v>
      </c>
      <c r="F39" s="40" t="s">
        <v>56</v>
      </c>
      <c r="G39" s="41">
        <v>0.11650199999999999</v>
      </c>
      <c r="H39" s="42">
        <v>0.100533</v>
      </c>
      <c r="I39" s="42">
        <v>0.100533</v>
      </c>
      <c r="J39" s="43">
        <f t="shared" si="16"/>
        <v>3.8592322456813817E-3</v>
      </c>
      <c r="K39" s="44">
        <f t="shared" si="17"/>
        <v>3.3511000000000001E-3</v>
      </c>
      <c r="L39" s="45">
        <f t="shared" si="18"/>
        <v>0</v>
      </c>
      <c r="M39" s="45">
        <f t="shared" si="19"/>
        <v>0</v>
      </c>
      <c r="N39" s="46">
        <v>0</v>
      </c>
      <c r="O39" s="37">
        <v>0</v>
      </c>
      <c r="P39" s="47">
        <v>0</v>
      </c>
      <c r="Q39" s="48">
        <f t="shared" si="21"/>
        <v>-0.13707060822990158</v>
      </c>
      <c r="R39" s="49"/>
    </row>
    <row r="40" spans="1:18" x14ac:dyDescent="0.2">
      <c r="A40" s="35" t="s">
        <v>101</v>
      </c>
      <c r="B40" s="36" t="s">
        <v>102</v>
      </c>
      <c r="C40" s="37">
        <v>362927587</v>
      </c>
      <c r="D40" s="38">
        <f t="shared" si="14"/>
        <v>83599847.216908261</v>
      </c>
      <c r="E40" s="39">
        <f t="shared" si="15"/>
        <v>72592534.000015348</v>
      </c>
      <c r="F40" s="40" t="s">
        <v>34</v>
      </c>
      <c r="G40" s="41">
        <v>2.6005000000000003</v>
      </c>
      <c r="H40" s="42">
        <v>6</v>
      </c>
      <c r="I40" s="42">
        <v>6.0005800000000002</v>
      </c>
      <c r="J40" s="43">
        <f t="shared" si="16"/>
        <v>0.23034856046065261</v>
      </c>
      <c r="K40" s="44">
        <f t="shared" si="17"/>
        <v>0.20001933333333335</v>
      </c>
      <c r="L40" s="45">
        <f t="shared" si="18"/>
        <v>5.8000000000024698E-4</v>
      </c>
      <c r="M40" s="45">
        <f t="shared" si="19"/>
        <v>9.6666666666707819E-3</v>
      </c>
      <c r="N40" s="46">
        <v>68700</v>
      </c>
      <c r="O40" s="37">
        <v>412239.85</v>
      </c>
      <c r="P40" s="47">
        <f t="shared" ref="P40:P47" si="22">(R40)/J40</f>
        <v>0</v>
      </c>
      <c r="Q40" s="48">
        <f t="shared" si="21"/>
        <v>1.3074716400692172</v>
      </c>
      <c r="R40" s="49"/>
    </row>
    <row r="41" spans="1:18" x14ac:dyDescent="0.2">
      <c r="A41" s="35" t="s">
        <v>103</v>
      </c>
      <c r="B41" s="36" t="s">
        <v>104</v>
      </c>
      <c r="C41" s="37">
        <v>4315726499</v>
      </c>
      <c r="D41" s="38">
        <f t="shared" si="14"/>
        <v>14943513.635692898</v>
      </c>
      <c r="E41" s="39">
        <f t="shared" si="15"/>
        <v>12975951.006993333</v>
      </c>
      <c r="F41" s="40" t="s">
        <v>39</v>
      </c>
      <c r="G41" s="41">
        <v>0.1</v>
      </c>
      <c r="H41" s="42">
        <v>9.0200000000000002E-2</v>
      </c>
      <c r="I41" s="42">
        <v>9.0200000000000002E-2</v>
      </c>
      <c r="J41" s="43">
        <f t="shared" si="16"/>
        <v>3.4625719769673705E-3</v>
      </c>
      <c r="K41" s="44">
        <f t="shared" si="17"/>
        <v>3.0066666666666666E-3</v>
      </c>
      <c r="L41" s="45">
        <f t="shared" si="18"/>
        <v>0</v>
      </c>
      <c r="M41" s="45">
        <f t="shared" si="19"/>
        <v>0</v>
      </c>
      <c r="N41" s="46">
        <v>0</v>
      </c>
      <c r="O41" s="37">
        <v>0</v>
      </c>
      <c r="P41" s="47">
        <f t="shared" si="22"/>
        <v>0</v>
      </c>
      <c r="Q41" s="48">
        <f t="shared" si="21"/>
        <v>-9.7999999999999976E-2</v>
      </c>
      <c r="R41" s="49"/>
    </row>
    <row r="42" spans="1:18" x14ac:dyDescent="0.2">
      <c r="A42" s="35" t="s">
        <v>105</v>
      </c>
      <c r="B42" s="36" t="s">
        <v>106</v>
      </c>
      <c r="C42" s="37">
        <v>106474237</v>
      </c>
      <c r="D42" s="38">
        <f t="shared" si="14"/>
        <v>7338412.8664809586</v>
      </c>
      <c r="E42" s="39">
        <f t="shared" si="15"/>
        <v>6372188.5057276329</v>
      </c>
      <c r="F42" s="40" t="s">
        <v>44</v>
      </c>
      <c r="G42" s="41">
        <v>1.7452379999999998</v>
      </c>
      <c r="H42" s="42">
        <v>1.8</v>
      </c>
      <c r="I42" s="42">
        <v>1.7954169999999998</v>
      </c>
      <c r="J42" s="43">
        <f t="shared" si="16"/>
        <v>6.8921957773512468E-2</v>
      </c>
      <c r="K42" s="44">
        <f t="shared" si="17"/>
        <v>5.9847233333333326E-2</v>
      </c>
      <c r="L42" s="45">
        <f t="shared" si="18"/>
        <v>-4.5830000000002258E-3</v>
      </c>
      <c r="M42" s="45">
        <f t="shared" si="19"/>
        <v>-0.25461111111112361</v>
      </c>
      <c r="N42" s="46">
        <v>7200</v>
      </c>
      <c r="O42" s="37">
        <v>12927</v>
      </c>
      <c r="P42" s="47">
        <f t="shared" si="22"/>
        <v>0</v>
      </c>
      <c r="Q42" s="48">
        <f t="shared" si="21"/>
        <v>2.8751952455768226E-2</v>
      </c>
      <c r="R42" s="49">
        <v>0</v>
      </c>
    </row>
    <row r="43" spans="1:18" x14ac:dyDescent="0.2">
      <c r="A43" s="35" t="s">
        <v>107</v>
      </c>
      <c r="B43" s="36" t="s">
        <v>108</v>
      </c>
      <c r="C43" s="37">
        <v>1778001428</v>
      </c>
      <c r="D43" s="38">
        <f t="shared" si="14"/>
        <v>2887119.4013205376</v>
      </c>
      <c r="E43" s="39">
        <f t="shared" si="15"/>
        <v>2506982.0134800002</v>
      </c>
      <c r="F43" s="40" t="s">
        <v>39</v>
      </c>
      <c r="G43" s="41">
        <v>0.03</v>
      </c>
      <c r="H43" s="42">
        <v>3.6794E-2</v>
      </c>
      <c r="I43" s="42">
        <v>4.2300000000000004E-2</v>
      </c>
      <c r="J43" s="43">
        <f t="shared" si="16"/>
        <v>1.6238003838771593E-3</v>
      </c>
      <c r="K43" s="44">
        <f t="shared" si="17"/>
        <v>1.4100000000000002E-3</v>
      </c>
      <c r="L43" s="45">
        <f t="shared" si="18"/>
        <v>5.5060000000000039E-3</v>
      </c>
      <c r="M43" s="45">
        <f t="shared" si="19"/>
        <v>14.964396368973212</v>
      </c>
      <c r="N43" s="46">
        <v>10500</v>
      </c>
      <c r="O43" s="37">
        <v>444.15</v>
      </c>
      <c r="P43" s="47">
        <f t="shared" si="22"/>
        <v>0</v>
      </c>
      <c r="Q43" s="48">
        <f t="shared" si="21"/>
        <v>0.41000000000000014</v>
      </c>
      <c r="R43" s="49">
        <v>0</v>
      </c>
    </row>
    <row r="44" spans="1:18" x14ac:dyDescent="0.2">
      <c r="A44" s="35" t="s">
        <v>109</v>
      </c>
      <c r="B44" s="36" t="s">
        <v>110</v>
      </c>
      <c r="C44" s="37">
        <v>175190642</v>
      </c>
      <c r="D44" s="38">
        <f t="shared" si="14"/>
        <v>34836373.342034541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0.19884836852207291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">
      <c r="A45" s="35" t="s">
        <v>111</v>
      </c>
      <c r="B45" s="36" t="s">
        <v>112</v>
      </c>
      <c r="C45" s="37">
        <v>463337661</v>
      </c>
      <c r="D45" s="38">
        <f t="shared" si="14"/>
        <v>320.1565411900192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6.90978886756238E-7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">
      <c r="A46" s="35" t="s">
        <v>113</v>
      </c>
      <c r="B46" s="36" t="s">
        <v>114</v>
      </c>
      <c r="C46" s="37">
        <v>576000000</v>
      </c>
      <c r="D46" s="38">
        <f t="shared" si="14"/>
        <v>1592015.3550863725</v>
      </c>
      <c r="E46" s="39">
        <f t="shared" si="15"/>
        <v>1382400.0000000002</v>
      </c>
      <c r="F46" s="40" t="s">
        <v>56</v>
      </c>
      <c r="G46" s="41">
        <v>7.0000000000000007E-2</v>
      </c>
      <c r="H46" s="42">
        <v>7.2000000000000008E-2</v>
      </c>
      <c r="I46" s="42">
        <v>7.2000000000000008E-2</v>
      </c>
      <c r="J46" s="43">
        <f t="shared" si="16"/>
        <v>2.7639155470249523E-3</v>
      </c>
      <c r="K46" s="44">
        <f t="shared" si="17"/>
        <v>2.4000000000000002E-3</v>
      </c>
      <c r="L46" s="45">
        <f t="shared" si="18"/>
        <v>0</v>
      </c>
      <c r="M46" s="45">
        <f t="shared" si="19"/>
        <v>0</v>
      </c>
      <c r="N46" s="46">
        <v>0</v>
      </c>
      <c r="O46" s="37">
        <v>0</v>
      </c>
      <c r="P46" s="47">
        <f t="shared" si="22"/>
        <v>0</v>
      </c>
      <c r="Q46" s="48">
        <f t="shared" si="21"/>
        <v>2.8571428571428692E-2</v>
      </c>
      <c r="R46" s="49"/>
    </row>
    <row r="47" spans="1:18" x14ac:dyDescent="0.2">
      <c r="A47" s="35" t="s">
        <v>115</v>
      </c>
      <c r="B47" s="36" t="s">
        <v>116</v>
      </c>
      <c r="C47" s="37">
        <v>1818218786</v>
      </c>
      <c r="D47" s="38">
        <f t="shared" si="14"/>
        <v>54803766.506157771</v>
      </c>
      <c r="E47" s="39">
        <f t="shared" si="15"/>
        <v>47587937.249513663</v>
      </c>
      <c r="F47" s="40" t="s">
        <v>47</v>
      </c>
      <c r="G47" s="41">
        <v>0.9998999999999999</v>
      </c>
      <c r="H47" s="42">
        <v>0.80041700000000005</v>
      </c>
      <c r="I47" s="42">
        <v>0.78518500000000002</v>
      </c>
      <c r="J47" s="43">
        <f t="shared" si="16"/>
        <v>3.0141458733205374E-2</v>
      </c>
      <c r="K47" s="44">
        <f t="shared" si="17"/>
        <v>2.6172833333333333E-2</v>
      </c>
      <c r="L47" s="45">
        <f t="shared" si="18"/>
        <v>-1.5232000000000023E-2</v>
      </c>
      <c r="M47" s="45">
        <f t="shared" si="19"/>
        <v>-1.9030080570502654</v>
      </c>
      <c r="N47" s="46">
        <v>2700</v>
      </c>
      <c r="O47" s="37">
        <v>2120</v>
      </c>
      <c r="P47" s="47">
        <f t="shared" si="22"/>
        <v>0</v>
      </c>
      <c r="Q47" s="48">
        <f t="shared" si="21"/>
        <v>-0.21473647364736459</v>
      </c>
      <c r="R47" s="49">
        <v>0</v>
      </c>
    </row>
    <row r="48" spans="1:18" x14ac:dyDescent="0.2">
      <c r="A48" s="35" t="s">
        <v>117</v>
      </c>
      <c r="B48" s="36" t="s">
        <v>118</v>
      </c>
      <c r="C48" s="37">
        <v>102712520</v>
      </c>
      <c r="D48" s="38">
        <f t="shared" si="14"/>
        <v>3860567.3654464488</v>
      </c>
      <c r="E48" s="39">
        <f t="shared" si="15"/>
        <v>3352259.3289959999</v>
      </c>
      <c r="F48" s="40" t="s">
        <v>47</v>
      </c>
      <c r="G48" s="41">
        <v>1.4503460000000001</v>
      </c>
      <c r="H48" s="42">
        <v>1.0197239999999999</v>
      </c>
      <c r="I48" s="42">
        <v>0.97911900000000007</v>
      </c>
      <c r="J48" s="43">
        <f t="shared" si="16"/>
        <v>3.7586142034548943E-2</v>
      </c>
      <c r="K48" s="44">
        <f t="shared" si="17"/>
        <v>3.2637300000000001E-2</v>
      </c>
      <c r="L48" s="45">
        <f t="shared" si="18"/>
        <v>-4.060499999999978E-2</v>
      </c>
      <c r="M48" s="45">
        <f t="shared" si="19"/>
        <v>-3.9819598244230585</v>
      </c>
      <c r="N48" s="46">
        <v>190200</v>
      </c>
      <c r="O48" s="37">
        <v>186228.5</v>
      </c>
      <c r="P48" s="47">
        <v>0</v>
      </c>
      <c r="Q48" s="48">
        <f t="shared" si="21"/>
        <v>-0.32490660849204256</v>
      </c>
      <c r="R48" s="49"/>
    </row>
    <row r="49" spans="1:20" ht="14.25" thickBot="1" x14ac:dyDescent="0.35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617300</v>
      </c>
      <c r="O49" s="58">
        <f>SUM(O10:O48)</f>
        <v>4536144.1900000004</v>
      </c>
      <c r="P49" s="58"/>
      <c r="Q49" s="59"/>
    </row>
    <row r="50" spans="1:20" ht="13.5" x14ac:dyDescent="0.3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75" x14ac:dyDescent="0.25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">
      <c r="A53" s="35" t="s">
        <v>122</v>
      </c>
      <c r="B53" s="36" t="s">
        <v>123</v>
      </c>
      <c r="C53" s="40">
        <v>554920308</v>
      </c>
      <c r="D53" s="38">
        <f t="shared" si="23"/>
        <v>71529227.701199993</v>
      </c>
      <c r="E53" s="39">
        <v>0</v>
      </c>
      <c r="F53" s="40" t="s">
        <v>92</v>
      </c>
      <c r="G53" s="66">
        <v>0.1</v>
      </c>
      <c r="H53" s="42">
        <v>0.13009999999999999</v>
      </c>
      <c r="I53" s="42">
        <v>0.12889999999999999</v>
      </c>
      <c r="J53" s="43">
        <f t="shared" si="24"/>
        <v>0.12889999999999999</v>
      </c>
      <c r="K53" s="39">
        <v>0</v>
      </c>
      <c r="L53" s="45">
        <f t="shared" si="25"/>
        <v>-1.2000000000000066E-3</v>
      </c>
      <c r="M53" s="45">
        <f t="shared" si="26"/>
        <v>-0.92236740968486297</v>
      </c>
      <c r="N53" s="46">
        <v>5548</v>
      </c>
      <c r="O53" s="37">
        <v>714.89</v>
      </c>
      <c r="P53" s="68">
        <f>(R53)/J53</f>
        <v>0</v>
      </c>
      <c r="Q53" s="48">
        <f t="shared" si="27"/>
        <v>0.2889999999999997</v>
      </c>
      <c r="T53" s="67"/>
    </row>
    <row r="54" spans="1:20" x14ac:dyDescent="0.2">
      <c r="A54" s="35" t="s">
        <v>124</v>
      </c>
      <c r="B54" s="36" t="s">
        <v>125</v>
      </c>
      <c r="C54" s="40">
        <v>1057685</v>
      </c>
      <c r="D54" s="38">
        <f t="shared" si="23"/>
        <v>61799053.791000001</v>
      </c>
      <c r="E54" s="39">
        <v>0</v>
      </c>
      <c r="F54" s="40" t="s">
        <v>39</v>
      </c>
      <c r="G54" s="66">
        <v>39.9</v>
      </c>
      <c r="H54" s="42">
        <v>59</v>
      </c>
      <c r="I54" s="42">
        <v>58.428600000000003</v>
      </c>
      <c r="J54" s="43">
        <f t="shared" si="24"/>
        <v>58.428600000000003</v>
      </c>
      <c r="K54" s="39">
        <v>0</v>
      </c>
      <c r="L54" s="45">
        <f t="shared" si="25"/>
        <v>-0.57139999999999702</v>
      </c>
      <c r="M54" s="45">
        <f t="shared" si="26"/>
        <v>-0.96847457627118139</v>
      </c>
      <c r="N54" s="46">
        <v>14</v>
      </c>
      <c r="O54" s="37">
        <v>818</v>
      </c>
      <c r="P54" s="69">
        <f>(R54)/J54</f>
        <v>9.5843473915171676E-3</v>
      </c>
      <c r="Q54" s="48">
        <f t="shared" si="27"/>
        <v>0.46437593984962411</v>
      </c>
      <c r="R54" s="67">
        <v>0.56000000000000005</v>
      </c>
      <c r="T54" s="67"/>
    </row>
    <row r="55" spans="1:20" x14ac:dyDescent="0.2">
      <c r="A55" s="35" t="s">
        <v>126</v>
      </c>
      <c r="B55" s="36" t="s">
        <v>127</v>
      </c>
      <c r="C55" s="40">
        <v>2992163203</v>
      </c>
      <c r="D55" s="38">
        <f t="shared" si="23"/>
        <v>738166662.18009996</v>
      </c>
      <c r="E55" s="39"/>
      <c r="F55" s="40" t="s">
        <v>56</v>
      </c>
      <c r="G55" s="66">
        <v>0.33</v>
      </c>
      <c r="H55" s="42">
        <v>0.26669999999999999</v>
      </c>
      <c r="I55" s="42">
        <v>0.2467</v>
      </c>
      <c r="J55" s="43">
        <f t="shared" si="24"/>
        <v>0.2467</v>
      </c>
      <c r="K55" s="39">
        <v>0</v>
      </c>
      <c r="L55" s="45">
        <f t="shared" si="25"/>
        <v>-1.999999999999999E-2</v>
      </c>
      <c r="M55" s="45">
        <f t="shared" si="26"/>
        <v>-7.4990626171728501</v>
      </c>
      <c r="N55" s="46">
        <v>268154</v>
      </c>
      <c r="O55" s="37">
        <v>66161.679999999993</v>
      </c>
      <c r="P55" s="68">
        <v>0</v>
      </c>
      <c r="Q55" s="48">
        <f t="shared" si="27"/>
        <v>-0.25242424242424244</v>
      </c>
      <c r="R55" s="67"/>
      <c r="T55" s="67"/>
    </row>
    <row r="56" spans="1:20" x14ac:dyDescent="0.2">
      <c r="A56" s="35" t="s">
        <v>128</v>
      </c>
      <c r="B56" s="36" t="s">
        <v>129</v>
      </c>
      <c r="C56" s="40">
        <v>609740943</v>
      </c>
      <c r="D56" s="38">
        <f t="shared" si="23"/>
        <v>12194818.859999999</v>
      </c>
      <c r="E56" s="39">
        <v>0</v>
      </c>
      <c r="F56" s="40" t="s">
        <v>34</v>
      </c>
      <c r="G56" s="66">
        <v>2.3E-2</v>
      </c>
      <c r="H56" s="42">
        <v>0.02</v>
      </c>
      <c r="I56" s="42">
        <v>0.02</v>
      </c>
      <c r="J56" s="43">
        <f t="shared" si="24"/>
        <v>0.02</v>
      </c>
      <c r="K56" s="39">
        <v>0</v>
      </c>
      <c r="L56" s="45">
        <f t="shared" si="25"/>
        <v>0</v>
      </c>
      <c r="M56" s="45">
        <f t="shared" si="26"/>
        <v>0</v>
      </c>
      <c r="N56" s="46">
        <v>0</v>
      </c>
      <c r="O56" s="37">
        <v>0</v>
      </c>
      <c r="P56" s="68">
        <f t="shared" ref="P56:P66" si="28">(R56)/J56</f>
        <v>0</v>
      </c>
      <c r="Q56" s="48">
        <f t="shared" si="27"/>
        <v>-0.13043478260869557</v>
      </c>
      <c r="T56" s="67"/>
    </row>
    <row r="57" spans="1:20" x14ac:dyDescent="0.2">
      <c r="A57" s="35" t="s">
        <v>130</v>
      </c>
      <c r="B57" s="36" t="s">
        <v>131</v>
      </c>
      <c r="C57" s="40">
        <v>2161875929</v>
      </c>
      <c r="D57" s="38">
        <f t="shared" si="23"/>
        <v>240832978.49059999</v>
      </c>
      <c r="E57" s="39">
        <v>0</v>
      </c>
      <c r="F57" s="40" t="s">
        <v>47</v>
      </c>
      <c r="G57" s="66">
        <v>9.0200000000000002E-2</v>
      </c>
      <c r="H57" s="42">
        <v>0.1075</v>
      </c>
      <c r="I57" s="42">
        <v>0.1114</v>
      </c>
      <c r="J57" s="43">
        <f t="shared" si="24"/>
        <v>0.1114</v>
      </c>
      <c r="K57" s="39">
        <v>0</v>
      </c>
      <c r="L57" s="45">
        <f t="shared" si="25"/>
        <v>3.9000000000000007E-3</v>
      </c>
      <c r="M57" s="70">
        <f t="shared" si="26"/>
        <v>3.6279069767441863</v>
      </c>
      <c r="N57" s="46">
        <v>10480</v>
      </c>
      <c r="O57" s="37">
        <v>1167.1500000000001</v>
      </c>
      <c r="P57" s="68">
        <f t="shared" si="28"/>
        <v>0</v>
      </c>
      <c r="Q57" s="48">
        <f t="shared" si="27"/>
        <v>0.23503325942350317</v>
      </c>
      <c r="R57" s="67"/>
      <c r="T57" s="67"/>
    </row>
    <row r="58" spans="1:20" x14ac:dyDescent="0.2">
      <c r="A58" s="35" t="s">
        <v>132</v>
      </c>
      <c r="B58" s="36" t="s">
        <v>133</v>
      </c>
      <c r="C58" s="40">
        <v>575926450</v>
      </c>
      <c r="D58" s="38">
        <f t="shared" si="23"/>
        <v>730850665.04999995</v>
      </c>
      <c r="E58" s="39">
        <v>0</v>
      </c>
      <c r="F58" s="40" t="s">
        <v>34</v>
      </c>
      <c r="G58" s="66">
        <v>0.95750000000000002</v>
      </c>
      <c r="H58" s="42">
        <v>1.2890999999999999</v>
      </c>
      <c r="I58" s="42">
        <v>1.2689999999999999</v>
      </c>
      <c r="J58" s="43">
        <f t="shared" si="24"/>
        <v>1.2689999999999999</v>
      </c>
      <c r="K58" s="39">
        <v>0</v>
      </c>
      <c r="L58" s="45">
        <f t="shared" si="25"/>
        <v>-2.0100000000000007E-2</v>
      </c>
      <c r="M58" s="45">
        <f t="shared" si="26"/>
        <v>-1.5592273679311155</v>
      </c>
      <c r="N58" s="46">
        <v>10723</v>
      </c>
      <c r="O58" s="37">
        <v>13607.47</v>
      </c>
      <c r="P58" s="69">
        <f t="shared" si="28"/>
        <v>3.7037037037037042E-2</v>
      </c>
      <c r="Q58" s="48">
        <f t="shared" si="27"/>
        <v>0.32532637075718007</v>
      </c>
      <c r="R58" s="67">
        <v>4.7E-2</v>
      </c>
      <c r="T58" s="67"/>
    </row>
    <row r="59" spans="1:20" x14ac:dyDescent="0.2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0</v>
      </c>
      <c r="M59" s="45">
        <f t="shared" si="26"/>
        <v>0</v>
      </c>
      <c r="N59" s="46">
        <v>3258</v>
      </c>
      <c r="O59" s="37">
        <v>488.7</v>
      </c>
      <c r="P59" s="68">
        <f t="shared" si="28"/>
        <v>0</v>
      </c>
      <c r="Q59" s="48">
        <f t="shared" si="27"/>
        <v>-5.9561128526645857E-2</v>
      </c>
      <c r="T59" s="67"/>
    </row>
    <row r="60" spans="1:20" x14ac:dyDescent="0.2">
      <c r="A60" s="35" t="s">
        <v>136</v>
      </c>
      <c r="B60" s="36" t="s">
        <v>137</v>
      </c>
      <c r="C60" s="40">
        <v>794581116</v>
      </c>
      <c r="D60" s="38">
        <f t="shared" si="23"/>
        <v>15891622.32</v>
      </c>
      <c r="E60" s="39">
        <v>0</v>
      </c>
      <c r="F60" s="40" t="s">
        <v>92</v>
      </c>
      <c r="G60" s="66">
        <v>1.6799999999999999E-2</v>
      </c>
      <c r="H60" s="42">
        <v>0.02</v>
      </c>
      <c r="I60" s="42">
        <v>0.02</v>
      </c>
      <c r="J60" s="43">
        <f t="shared" si="24"/>
        <v>0.02</v>
      </c>
      <c r="K60" s="39">
        <v>0</v>
      </c>
      <c r="L60" s="45">
        <f t="shared" si="25"/>
        <v>0</v>
      </c>
      <c r="M60" s="70">
        <f t="shared" si="26"/>
        <v>0</v>
      </c>
      <c r="N60" s="46">
        <v>385945</v>
      </c>
      <c r="O60" s="37">
        <v>7718.62</v>
      </c>
      <c r="P60" s="68">
        <f t="shared" si="28"/>
        <v>0</v>
      </c>
      <c r="Q60" s="48">
        <f t="shared" si="27"/>
        <v>0.19047619047619047</v>
      </c>
      <c r="T60" s="67"/>
    </row>
    <row r="61" spans="1:20" x14ac:dyDescent="0.2">
      <c r="A61" s="35" t="s">
        <v>138</v>
      </c>
      <c r="B61" s="36" t="s">
        <v>139</v>
      </c>
      <c r="C61" s="40">
        <v>161273</v>
      </c>
      <c r="D61" s="38">
        <f t="shared" si="23"/>
        <v>2902914</v>
      </c>
      <c r="E61" s="39">
        <v>0</v>
      </c>
      <c r="F61" s="40" t="s">
        <v>140</v>
      </c>
      <c r="G61" s="66">
        <v>19.5</v>
      </c>
      <c r="H61" s="42">
        <v>19.5</v>
      </c>
      <c r="I61" s="42">
        <v>18</v>
      </c>
      <c r="J61" s="43">
        <f t="shared" si="24"/>
        <v>18</v>
      </c>
      <c r="K61" s="39">
        <v>0</v>
      </c>
      <c r="L61" s="45">
        <f t="shared" si="25"/>
        <v>-1.5</v>
      </c>
      <c r="M61" s="45">
        <f t="shared" si="26"/>
        <v>-7.6923076923076925</v>
      </c>
      <c r="N61" s="46">
        <v>1</v>
      </c>
      <c r="O61" s="37">
        <v>18</v>
      </c>
      <c r="P61" s="68">
        <f t="shared" si="28"/>
        <v>0</v>
      </c>
      <c r="Q61" s="48">
        <f t="shared" si="27"/>
        <v>-7.6923076923076872E-2</v>
      </c>
      <c r="T61" s="67"/>
    </row>
    <row r="62" spans="1:20" x14ac:dyDescent="0.2">
      <c r="A62" s="35" t="s">
        <v>141</v>
      </c>
      <c r="B62" s="36" t="s">
        <v>142</v>
      </c>
      <c r="C62" s="40">
        <v>805090451</v>
      </c>
      <c r="D62" s="38">
        <f t="shared" si="23"/>
        <v>724822933.03530002</v>
      </c>
      <c r="E62" s="39">
        <v>0</v>
      </c>
      <c r="F62" s="40" t="s">
        <v>92</v>
      </c>
      <c r="G62" s="66">
        <v>0.59499999999999997</v>
      </c>
      <c r="H62" s="42">
        <v>0.90200000000000002</v>
      </c>
      <c r="I62" s="42">
        <v>0.90029999999999999</v>
      </c>
      <c r="J62" s="43">
        <f t="shared" si="24"/>
        <v>0.90029999999999999</v>
      </c>
      <c r="K62" s="39">
        <v>0</v>
      </c>
      <c r="L62" s="45">
        <f t="shared" si="25"/>
        <v>-1.7000000000000348E-3</v>
      </c>
      <c r="M62" s="45">
        <f t="shared" si="26"/>
        <v>-0.18847006651885087</v>
      </c>
      <c r="N62" s="46">
        <v>872607</v>
      </c>
      <c r="O62" s="37">
        <v>785610.93</v>
      </c>
      <c r="P62" s="68">
        <f t="shared" si="28"/>
        <v>0</v>
      </c>
      <c r="Q62" s="48">
        <f t="shared" si="27"/>
        <v>0.51310924369747912</v>
      </c>
      <c r="R62" s="67"/>
      <c r="T62" s="67"/>
    </row>
    <row r="63" spans="1:20" x14ac:dyDescent="0.2">
      <c r="A63" s="35" t="s">
        <v>143</v>
      </c>
      <c r="B63" s="36" t="s">
        <v>144</v>
      </c>
      <c r="C63" s="40">
        <v>260714518</v>
      </c>
      <c r="D63" s="38">
        <f t="shared" si="23"/>
        <v>83428645.760000005</v>
      </c>
      <c r="E63" s="39">
        <v>0</v>
      </c>
      <c r="F63" s="40" t="s">
        <v>34</v>
      </c>
      <c r="G63" s="66">
        <v>0.22600000000000001</v>
      </c>
      <c r="H63" s="42">
        <v>0.31769999999999998</v>
      </c>
      <c r="I63" s="42">
        <v>0.32</v>
      </c>
      <c r="J63" s="43">
        <f t="shared" si="24"/>
        <v>0.32</v>
      </c>
      <c r="K63" s="39">
        <v>0</v>
      </c>
      <c r="L63" s="45">
        <f t="shared" si="25"/>
        <v>2.3000000000000242E-3</v>
      </c>
      <c r="M63" s="45">
        <f t="shared" si="26"/>
        <v>0.72395341517155309</v>
      </c>
      <c r="N63" s="46">
        <v>27000</v>
      </c>
      <c r="O63" s="37">
        <v>8640</v>
      </c>
      <c r="P63" s="68">
        <f t="shared" si="28"/>
        <v>0</v>
      </c>
      <c r="Q63" s="48">
        <f t="shared" si="27"/>
        <v>0.41592920353982299</v>
      </c>
      <c r="T63" s="67"/>
    </row>
    <row r="64" spans="1:20" x14ac:dyDescent="0.2">
      <c r="A64" s="35" t="s">
        <v>145</v>
      </c>
      <c r="B64" s="36" t="s">
        <v>146</v>
      </c>
      <c r="C64" s="40">
        <v>562184788</v>
      </c>
      <c r="D64" s="38">
        <f t="shared" si="23"/>
        <v>387401537.41080004</v>
      </c>
      <c r="E64" s="39">
        <v>0</v>
      </c>
      <c r="F64" s="40" t="s">
        <v>34</v>
      </c>
      <c r="G64" s="66">
        <v>0.49440000000000001</v>
      </c>
      <c r="H64" s="42">
        <v>0.68010000000000004</v>
      </c>
      <c r="I64" s="42">
        <v>0.68910000000000005</v>
      </c>
      <c r="J64" s="43">
        <f t="shared" si="24"/>
        <v>0.68910000000000005</v>
      </c>
      <c r="K64" s="39">
        <v>0</v>
      </c>
      <c r="L64" s="45">
        <f t="shared" si="25"/>
        <v>9.000000000000008E-3</v>
      </c>
      <c r="M64" s="45">
        <f t="shared" si="26"/>
        <v>1.3233348037053385</v>
      </c>
      <c r="N64" s="46">
        <v>10435</v>
      </c>
      <c r="O64" s="37">
        <v>7191.15</v>
      </c>
      <c r="P64" s="68">
        <f t="shared" si="28"/>
        <v>0</v>
      </c>
      <c r="Q64" s="48">
        <f t="shared" si="27"/>
        <v>0.3938106796116505</v>
      </c>
      <c r="R64" s="67"/>
      <c r="T64" s="67"/>
    </row>
    <row r="65" spans="1:243" x14ac:dyDescent="0.2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">
      <c r="A66" s="35" t="s">
        <v>149</v>
      </c>
      <c r="B66" s="36" t="s">
        <v>150</v>
      </c>
      <c r="C66" s="40">
        <v>344580486</v>
      </c>
      <c r="D66" s="38">
        <f t="shared" si="23"/>
        <v>20674829.16</v>
      </c>
      <c r="E66" s="39">
        <v>0</v>
      </c>
      <c r="F66" s="40" t="s">
        <v>44</v>
      </c>
      <c r="G66" s="66">
        <v>4.2999999999999997E-2</v>
      </c>
      <c r="H66" s="42">
        <v>5.0700000000000002E-2</v>
      </c>
      <c r="I66" s="42">
        <v>0.06</v>
      </c>
      <c r="J66" s="43">
        <f t="shared" si="24"/>
        <v>0.06</v>
      </c>
      <c r="K66" s="39">
        <v>0</v>
      </c>
      <c r="L66" s="45">
        <f t="shared" si="25"/>
        <v>9.2999999999999958E-3</v>
      </c>
      <c r="M66" s="45">
        <f t="shared" si="26"/>
        <v>18.343195266272179</v>
      </c>
      <c r="N66" s="46">
        <v>101</v>
      </c>
      <c r="O66" s="37">
        <v>6.06</v>
      </c>
      <c r="P66" s="68">
        <f t="shared" si="28"/>
        <v>0</v>
      </c>
      <c r="Q66" s="48">
        <f t="shared" si="27"/>
        <v>0.39534883720930236</v>
      </c>
      <c r="T66" s="67"/>
    </row>
    <row r="67" spans="1:243" ht="13.5" x14ac:dyDescent="0.3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1594266</v>
      </c>
      <c r="O67" s="58">
        <f>SUM(O52:O66)</f>
        <v>892142.65000000014</v>
      </c>
      <c r="P67" s="73"/>
      <c r="Q67" s="59"/>
    </row>
    <row r="68" spans="1:243" ht="12.75" hidden="1" x14ac:dyDescent="0.25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75" hidden="1" thickBot="1" x14ac:dyDescent="0.25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75" thickBot="1" x14ac:dyDescent="0.25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75" x14ac:dyDescent="0.25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">
      <c r="A72" s="84" t="s">
        <v>156</v>
      </c>
      <c r="B72" s="85" t="s">
        <v>157</v>
      </c>
      <c r="C72" s="86">
        <v>139300587</v>
      </c>
      <c r="D72" s="38">
        <f>C72*J72</f>
        <v>50008910.732999995</v>
      </c>
      <c r="E72" s="39">
        <f>C72*K72</f>
        <v>50008910.732999995</v>
      </c>
      <c r="F72" s="86" t="s">
        <v>158</v>
      </c>
      <c r="G72" s="86">
        <v>0.24</v>
      </c>
      <c r="H72" s="87">
        <v>0.36</v>
      </c>
      <c r="I72" s="87">
        <v>0.35899999999999999</v>
      </c>
      <c r="J72" s="88">
        <f>I72</f>
        <v>0.35899999999999999</v>
      </c>
      <c r="K72" s="88">
        <f>J72</f>
        <v>0.35899999999999999</v>
      </c>
      <c r="L72" s="45">
        <f>I72-H72</f>
        <v>-1.0000000000000009E-3</v>
      </c>
      <c r="M72" s="45">
        <f>((I72-H72)/H72)*100</f>
        <v>-0.27777777777777807</v>
      </c>
      <c r="N72" s="89">
        <v>863</v>
      </c>
      <c r="O72" s="90">
        <v>309.81</v>
      </c>
      <c r="P72" s="68">
        <f>(R72)/J72</f>
        <v>0</v>
      </c>
      <c r="Q72" s="91">
        <f>J72/G72-1</f>
        <v>0.49583333333333335</v>
      </c>
      <c r="T72" s="67"/>
    </row>
    <row r="73" spans="1:243" x14ac:dyDescent="0.2">
      <c r="A73" s="84" t="s">
        <v>159</v>
      </c>
      <c r="B73" s="85" t="s">
        <v>160</v>
      </c>
      <c r="C73" s="86">
        <v>471351750</v>
      </c>
      <c r="D73" s="38">
        <f>C73*J73</f>
        <v>67733246.474999994</v>
      </c>
      <c r="E73" s="39">
        <f>C73*K73</f>
        <v>67733246.474999994</v>
      </c>
      <c r="F73" s="86" t="s">
        <v>158</v>
      </c>
      <c r="G73" s="86">
        <v>0.1</v>
      </c>
      <c r="H73" s="87">
        <v>0.14449999999999999</v>
      </c>
      <c r="I73" s="87">
        <v>0.14369999999999999</v>
      </c>
      <c r="J73" s="88">
        <f>I73</f>
        <v>0.14369999999999999</v>
      </c>
      <c r="K73" s="88">
        <f>J73</f>
        <v>0.14369999999999999</v>
      </c>
      <c r="L73" s="45">
        <f>I73-H73</f>
        <v>-7.9999999999999516E-4</v>
      </c>
      <c r="M73" s="45">
        <f>((I73-H73)/H73)*100</f>
        <v>-0.5536332179930763</v>
      </c>
      <c r="N73" s="46">
        <v>64055</v>
      </c>
      <c r="O73" s="90">
        <v>9203.51</v>
      </c>
      <c r="P73" s="92">
        <f>(R73)/J73</f>
        <v>2.638830897703549E-2</v>
      </c>
      <c r="Q73" s="91">
        <f>J73/G73-1</f>
        <v>0.43699999999999983</v>
      </c>
      <c r="R73" s="5">
        <v>3.7919999999999998E-3</v>
      </c>
      <c r="T73" s="67"/>
    </row>
    <row r="74" spans="1:243" ht="13.5" x14ac:dyDescent="0.3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64918</v>
      </c>
      <c r="O74" s="58">
        <f>SUM(O72:O73)</f>
        <v>9513.32</v>
      </c>
      <c r="P74" s="83"/>
      <c r="Q74" s="45"/>
    </row>
    <row r="75" spans="1:243" ht="12.75" x14ac:dyDescent="0.25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">
      <c r="A76" s="35" t="s">
        <v>162</v>
      </c>
      <c r="B76" s="36" t="s">
        <v>163</v>
      </c>
      <c r="C76" s="40">
        <v>45396463</v>
      </c>
      <c r="D76" s="38">
        <f>C76*J76</f>
        <v>163556.22412291748</v>
      </c>
      <c r="E76" s="39">
        <f>C76*K76</f>
        <v>142021.32128006668</v>
      </c>
      <c r="F76" s="40" t="s">
        <v>140</v>
      </c>
      <c r="G76" s="66">
        <v>0.105</v>
      </c>
      <c r="H76" s="42">
        <v>9.3854000000000007E-2</v>
      </c>
      <c r="I76" s="42">
        <v>9.3854000000000007E-2</v>
      </c>
      <c r="J76" s="43">
        <f>I76/$J$5</f>
        <v>3.6028406909788869E-3</v>
      </c>
      <c r="K76" s="44">
        <f>I76/$K$4</f>
        <v>3.1284666666666671E-3</v>
      </c>
      <c r="L76" s="45">
        <f>I76-H76</f>
        <v>0</v>
      </c>
      <c r="M76" s="93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-0.10615238095238089</v>
      </c>
    </row>
    <row r="77" spans="1:243" x14ac:dyDescent="0.2">
      <c r="A77" s="35" t="s">
        <v>164</v>
      </c>
      <c r="B77" s="36" t="s">
        <v>165</v>
      </c>
      <c r="C77" s="40">
        <v>136162052</v>
      </c>
      <c r="D77" s="38">
        <f>C77*J77</f>
        <v>287482.25950095971</v>
      </c>
      <c r="E77" s="39">
        <f>C77*K77</f>
        <v>249630.42866666667</v>
      </c>
      <c r="F77" s="40" t="s">
        <v>140</v>
      </c>
      <c r="G77" s="66">
        <v>4.2500000000000003E-2</v>
      </c>
      <c r="H77" s="42">
        <v>5.5E-2</v>
      </c>
      <c r="I77" s="42">
        <v>5.5E-2</v>
      </c>
      <c r="J77" s="43">
        <f>I77/$J$5</f>
        <v>2.1113243761996161E-3</v>
      </c>
      <c r="K77" s="44">
        <f>I77/$K$4</f>
        <v>1.8333333333333333E-3</v>
      </c>
      <c r="L77" s="45">
        <f>I77-H77</f>
        <v>0</v>
      </c>
      <c r="M77" s="93">
        <f>((I77-H77)/H77)*100</f>
        <v>0</v>
      </c>
      <c r="N77" s="37">
        <v>183600</v>
      </c>
      <c r="O77" s="37">
        <v>10098</v>
      </c>
      <c r="P77" s="40">
        <v>0</v>
      </c>
      <c r="Q77" s="48">
        <f>I77/G77-1</f>
        <v>0.29411764705882337</v>
      </c>
    </row>
    <row r="78" spans="1:243" x14ac:dyDescent="0.2">
      <c r="A78" s="35" t="s">
        <v>166</v>
      </c>
      <c r="B78" s="36" t="s">
        <v>167</v>
      </c>
      <c r="C78" s="40">
        <v>494417400</v>
      </c>
      <c r="D78" s="38">
        <f>C78*J78</f>
        <v>1518364.3761996161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3.0710172744721691E-3</v>
      </c>
      <c r="K78" s="44">
        <f>I78/$K$4</f>
        <v>2.6666666666666666E-3</v>
      </c>
      <c r="L78" s="45">
        <f>I78-H78</f>
        <v>0</v>
      </c>
      <c r="M78" s="93">
        <f>((I78-H78)/H78)*100</f>
        <v>0</v>
      </c>
      <c r="N78" s="37">
        <v>100</v>
      </c>
      <c r="O78" s="37">
        <v>8</v>
      </c>
      <c r="P78" s="40">
        <v>0</v>
      </c>
      <c r="Q78" s="48">
        <f>I78/G78-1</f>
        <v>0.3223140495867769</v>
      </c>
    </row>
    <row r="79" spans="1:243" x14ac:dyDescent="0.2">
      <c r="A79" s="35" t="s">
        <v>168</v>
      </c>
      <c r="B79" s="36" t="s">
        <v>169</v>
      </c>
      <c r="C79" s="37">
        <v>41156692</v>
      </c>
      <c r="D79" s="38">
        <f>C79*J79</f>
        <v>2543657.3558541266</v>
      </c>
      <c r="E79" s="39">
        <f>C79*K79</f>
        <v>2208742.4706666665</v>
      </c>
      <c r="F79" s="40" t="s">
        <v>140</v>
      </c>
      <c r="G79" s="66">
        <v>1.85</v>
      </c>
      <c r="H79" s="42">
        <v>1.61</v>
      </c>
      <c r="I79" s="42">
        <v>1.61</v>
      </c>
      <c r="J79" s="43">
        <f>I79/$J$5</f>
        <v>6.1804222648752398E-2</v>
      </c>
      <c r="K79" s="44">
        <f>I79/$K$4</f>
        <v>5.3666666666666668E-2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-0.12972972972972974</v>
      </c>
    </row>
    <row r="80" spans="1:243" ht="14.25" thickBot="1" x14ac:dyDescent="0.35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183700</v>
      </c>
      <c r="O80" s="58">
        <f>SUM(O76:O79)</f>
        <v>10106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5" thickTop="1" x14ac:dyDescent="0.25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">
      <c r="A82" s="35" t="s">
        <v>171</v>
      </c>
      <c r="B82" s="36" t="s">
        <v>172</v>
      </c>
      <c r="C82" s="40">
        <v>368326244</v>
      </c>
      <c r="D82" s="38">
        <f>C82*J82</f>
        <v>33227127.577735126</v>
      </c>
      <c r="E82" s="39">
        <f>C82*K82</f>
        <v>28852222.446666669</v>
      </c>
      <c r="F82" s="40" t="s">
        <v>173</v>
      </c>
      <c r="G82" s="40">
        <v>1.3</v>
      </c>
      <c r="H82" s="42">
        <v>2.3174999999999999</v>
      </c>
      <c r="I82" s="42">
        <v>2.35</v>
      </c>
      <c r="J82" s="43">
        <f>I82/$J$5</f>
        <v>9.0211132437619967E-2</v>
      </c>
      <c r="K82" s="44">
        <f>I82/$K$4</f>
        <v>7.8333333333333338E-2</v>
      </c>
      <c r="L82" s="45">
        <f>I82-H82</f>
        <v>3.2500000000000195E-2</v>
      </c>
      <c r="M82" s="45">
        <f>((I82-H82)/H82*100)</f>
        <v>1.4023732470334498</v>
      </c>
      <c r="N82" s="47">
        <v>100</v>
      </c>
      <c r="O82" s="37">
        <v>235</v>
      </c>
      <c r="P82" s="47">
        <f>(R82)/J82</f>
        <v>0</v>
      </c>
      <c r="Q82" s="48">
        <f>I82/G82-1</f>
        <v>0.80769230769230771</v>
      </c>
      <c r="R82" s="67"/>
    </row>
    <row r="83" spans="1:38" s="103" customFormat="1" ht="12.75" thickBot="1" x14ac:dyDescent="0.25">
      <c r="A83" s="35" t="s">
        <v>174</v>
      </c>
      <c r="B83" s="36" t="s">
        <v>175</v>
      </c>
      <c r="C83" s="40">
        <v>1841105000</v>
      </c>
      <c r="D83" s="38">
        <f>C83*J83</f>
        <v>78911456.519577727</v>
      </c>
      <c r="E83" s="39">
        <f>C83*K83</f>
        <v>68521448.07783334</v>
      </c>
      <c r="F83" s="40" t="s">
        <v>173</v>
      </c>
      <c r="G83" s="40">
        <v>1.44347</v>
      </c>
      <c r="H83" s="42">
        <v>1.1711910000000001</v>
      </c>
      <c r="I83" s="42">
        <v>1.116527</v>
      </c>
      <c r="J83" s="43">
        <f>I83/$J$5</f>
        <v>4.2860921305182341E-2</v>
      </c>
      <c r="K83" s="44">
        <f>I83/$K$4</f>
        <v>3.7217566666666667E-2</v>
      </c>
      <c r="L83" s="45">
        <f>I83-H83</f>
        <v>-5.4664000000000046E-2</v>
      </c>
      <c r="M83" s="45">
        <f>((I83-H83)/H83*100)</f>
        <v>-4.6673855929562338</v>
      </c>
      <c r="N83" s="47">
        <v>518500</v>
      </c>
      <c r="O83" s="37">
        <v>578919</v>
      </c>
      <c r="P83" s="102">
        <f>(R83)/J83</f>
        <v>5.0768857358577085E-2</v>
      </c>
      <c r="Q83" s="48">
        <f>I83/G83-1</f>
        <v>-0.22649795284973018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4.25" thickBot="1" x14ac:dyDescent="0.35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518600</v>
      </c>
      <c r="O84" s="58">
        <f>SUM(O82:O83)</f>
        <v>579154</v>
      </c>
      <c r="P84" s="105"/>
      <c r="Q84" s="82"/>
    </row>
    <row r="85" spans="1:38" ht="12.75" thickBot="1" x14ac:dyDescent="0.25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75" thickBot="1" x14ac:dyDescent="0.25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">
      <c r="A87" s="35" t="s">
        <v>107</v>
      </c>
      <c r="B87" s="110">
        <v>4.2300000000000004E-2</v>
      </c>
      <c r="C87" s="110"/>
      <c r="D87" s="110">
        <v>14.964396368973212</v>
      </c>
      <c r="E87" s="35" t="s">
        <v>72</v>
      </c>
      <c r="F87" s="111">
        <v>1.2</v>
      </c>
      <c r="G87" s="111"/>
      <c r="H87" s="112">
        <v>-4.0369265906479184</v>
      </c>
      <c r="L87" s="35" t="s">
        <v>149</v>
      </c>
      <c r="M87" s="47">
        <v>0.06</v>
      </c>
      <c r="N87" s="113">
        <v>18.343195266272179</v>
      </c>
      <c r="O87" s="35" t="s">
        <v>138</v>
      </c>
      <c r="P87" s="111">
        <v>18</v>
      </c>
      <c r="Q87" s="114">
        <v>-7.6923076923076925</v>
      </c>
    </row>
    <row r="88" spans="1:38" x14ac:dyDescent="0.2">
      <c r="A88" s="35" t="s">
        <v>32</v>
      </c>
      <c r="B88" s="110">
        <v>15.8</v>
      </c>
      <c r="C88" s="110"/>
      <c r="D88" s="110">
        <v>14.492753623188406</v>
      </c>
      <c r="E88" s="35" t="s">
        <v>117</v>
      </c>
      <c r="F88" s="111">
        <v>0.97911900000000007</v>
      </c>
      <c r="G88" s="111"/>
      <c r="H88" s="112">
        <v>-3.9819598244230585</v>
      </c>
      <c r="L88" s="35" t="s">
        <v>130</v>
      </c>
      <c r="M88" s="47">
        <v>0.1114</v>
      </c>
      <c r="N88" s="113">
        <v>3.6279069767441863</v>
      </c>
      <c r="O88" s="35" t="s">
        <v>126</v>
      </c>
      <c r="P88" s="111">
        <v>0.2467</v>
      </c>
      <c r="Q88" s="114">
        <v>-7.4990626171728501</v>
      </c>
    </row>
    <row r="89" spans="1:38" x14ac:dyDescent="0.2">
      <c r="A89" s="35" t="s">
        <v>35</v>
      </c>
      <c r="B89" s="110">
        <v>5.2000000000000005E-2</v>
      </c>
      <c r="C89" s="110"/>
      <c r="D89" s="110">
        <v>13.423199406709433</v>
      </c>
      <c r="E89" s="35" t="s">
        <v>115</v>
      </c>
      <c r="F89" s="111">
        <v>0.78518500000000002</v>
      </c>
      <c r="G89" s="111"/>
      <c r="H89" s="112">
        <v>-1.9030080570502654</v>
      </c>
      <c r="L89" s="35" t="s">
        <v>145</v>
      </c>
      <c r="M89" s="47">
        <v>0.68910000000000005</v>
      </c>
      <c r="N89" s="113">
        <v>1.3233348037053385</v>
      </c>
      <c r="O89" s="35" t="s">
        <v>132</v>
      </c>
      <c r="P89" s="111">
        <v>1.2689999999999999</v>
      </c>
      <c r="Q89" s="114">
        <v>-1.5592273679311155</v>
      </c>
    </row>
    <row r="90" spans="1:38" x14ac:dyDescent="0.2">
      <c r="A90" s="35" t="s">
        <v>74</v>
      </c>
      <c r="B90" s="110">
        <v>3.5</v>
      </c>
      <c r="C90" s="110"/>
      <c r="D90" s="110">
        <v>12.880467647651683</v>
      </c>
      <c r="E90" s="35" t="s">
        <v>105</v>
      </c>
      <c r="F90" s="111">
        <v>1.7954169999999998</v>
      </c>
      <c r="G90" s="111"/>
      <c r="H90" s="112">
        <v>-0.25461111111112361</v>
      </c>
      <c r="L90" s="35" t="s">
        <v>143</v>
      </c>
      <c r="M90" s="47">
        <v>0.32</v>
      </c>
      <c r="N90" s="113">
        <v>0.72395341517155309</v>
      </c>
      <c r="O90" s="35" t="s">
        <v>124</v>
      </c>
      <c r="P90" s="111">
        <v>58.428600000000003</v>
      </c>
      <c r="Q90" s="114">
        <v>-0.96847457627118139</v>
      </c>
    </row>
    <row r="91" spans="1:38" x14ac:dyDescent="0.2">
      <c r="A91" s="35" t="s">
        <v>97</v>
      </c>
      <c r="B91" s="110">
        <v>2.5</v>
      </c>
      <c r="C91" s="110"/>
      <c r="D91" s="110">
        <v>5.2354643514864563</v>
      </c>
      <c r="E91" s="35" t="s">
        <v>95</v>
      </c>
      <c r="F91" s="111">
        <v>3.4027000000000002E-2</v>
      </c>
      <c r="G91" s="111"/>
      <c r="H91" s="112">
        <v>-0.16137550613226773</v>
      </c>
      <c r="L91" s="35"/>
      <c r="M91" s="47"/>
      <c r="N91" s="113"/>
      <c r="O91" s="35" t="s">
        <v>141</v>
      </c>
      <c r="P91" s="111">
        <v>0.90029999999999999</v>
      </c>
      <c r="Q91" s="114">
        <v>-0.18847006651885087</v>
      </c>
    </row>
    <row r="92" spans="1:38" ht="12.75" thickBot="1" x14ac:dyDescent="0.25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75" thickBot="1" x14ac:dyDescent="0.25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">
      <c r="I97" s="32"/>
      <c r="J97" s="32"/>
      <c r="K97" s="32"/>
      <c r="L97" s="32"/>
      <c r="M97" s="32"/>
      <c r="N97" s="32"/>
      <c r="O97" s="32"/>
      <c r="P97" s="32"/>
    </row>
    <row r="98" spans="9:16" x14ac:dyDescent="0.2">
      <c r="I98" s="32"/>
      <c r="J98" s="32"/>
      <c r="K98" s="32"/>
      <c r="O98" s="32"/>
      <c r="P98" s="32"/>
    </row>
    <row r="99" spans="9:16" x14ac:dyDescent="0.2">
      <c r="I99" s="32"/>
      <c r="J99" s="32"/>
      <c r="K99" s="32"/>
      <c r="O99" s="32"/>
      <c r="P99" s="32"/>
    </row>
    <row r="100" spans="9:16" x14ac:dyDescent="0.2">
      <c r="I100" s="126"/>
      <c r="J100" s="126"/>
      <c r="K100" s="126"/>
      <c r="O100" s="126"/>
      <c r="P100" s="126"/>
    </row>
    <row r="102" spans="9:16" x14ac:dyDescent="0.2">
      <c r="I102" s="32"/>
      <c r="J102" s="32"/>
      <c r="K102" s="32"/>
      <c r="O102" s="32"/>
      <c r="P102" s="32"/>
    </row>
    <row r="103" spans="9:16" x14ac:dyDescent="0.2">
      <c r="I103" s="126"/>
      <c r="J103" s="126"/>
      <c r="K103" s="126"/>
      <c r="O103" s="126"/>
      <c r="P103" s="126"/>
    </row>
    <row r="104" spans="9:16" x14ac:dyDescent="0.2">
      <c r="I104" s="32"/>
      <c r="J104" s="32"/>
      <c r="K104" s="32"/>
      <c r="O104" s="32"/>
      <c r="P104" s="32"/>
    </row>
    <row r="105" spans="9:16" x14ac:dyDescent="0.2">
      <c r="I105" s="126"/>
      <c r="J105" s="126"/>
      <c r="K105" s="126"/>
      <c r="O105" s="126"/>
      <c r="P105" s="126"/>
    </row>
  </sheetData>
  <sheetProtection algorithmName="SHA-512" hashValue="N95W23HMcwJkY1Kk3FMxm2CXzEOzMHKI1q1r8z7DN6ARFvVJCOc0iShbty5bChps6f3YrhNwgPw711R9BEuHxw==" saltValue="wfTTfGIkL0T7RvBT0dnRUg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dxfId="33" priority="40" stopIfTrue="1" operator="greaterThan">
      <formula>0</formula>
    </cfRule>
    <cfRule type="cellIs" priority="41" stopIfTrue="1" operator="greaterThan">
      <formula>0</formula>
    </cfRule>
  </conditionalFormatting>
  <conditionalFormatting sqref="L10:M48">
    <cfRule type="cellIs" dxfId="32" priority="12" stopIfTrue="1" operator="lessThan">
      <formula>0</formula>
    </cfRule>
    <cfRule type="cellIs" dxfId="31" priority="16" stopIfTrue="1" operator="greaterThan">
      <formula>0</formula>
    </cfRule>
  </conditionalFormatting>
  <conditionalFormatting sqref="L28:M28"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  <cfRule type="cellIs" priority="17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6" stopIfTrue="1" operator="lessThan">
      <formula>0</formula>
    </cfRule>
    <cfRule type="cellIs" dxfId="25" priority="37" stopIfTrue="1" operator="greater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3" stopIfTrue="1" operator="greaterThan">
      <formula>0</formula>
    </cfRule>
    <cfRule type="cellIs" dxfId="15" priority="34" stopIfTrue="1" operator="greaterThan">
      <formula>0</formula>
    </cfRule>
    <cfRule type="cellIs" priority="35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7" stopIfTrue="1" operator="greaterThan">
      <formula>0</formula>
    </cfRule>
    <cfRule type="cellIs" dxfId="10" priority="28" stopIfTrue="1" operator="greaterThan">
      <formula>0</formula>
    </cfRule>
    <cfRule type="cellIs" priority="29" stopIfTrue="1" operator="greaterThan">
      <formula>0</formula>
    </cfRule>
  </conditionalFormatting>
  <conditionalFormatting sqref="Q10:Q48">
    <cfRule type="cellIs" dxfId="9" priority="10" stopIfTrue="1" operator="greaterThan">
      <formula>0</formula>
    </cfRule>
    <cfRule type="cellIs" dxfId="8" priority="11" stopIfTrue="1" operator="lessThan">
      <formula>0</formula>
    </cfRule>
  </conditionalFormatting>
  <conditionalFormatting sqref="Q52:Q66">
    <cfRule type="cellIs" dxfId="7" priority="22" stopIfTrue="1" operator="greaterThan">
      <formula>0</formula>
    </cfRule>
    <cfRule type="cellIs" dxfId="6" priority="23" stopIfTrue="1" operator="less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0" stopIfTrue="1" operator="greaterThan">
      <formula>0</formula>
    </cfRule>
    <cfRule type="cellIs" dxfId="2" priority="21" stopIfTrue="1" operator="lessThan">
      <formula>0</formula>
    </cfRule>
  </conditionalFormatting>
  <conditionalFormatting sqref="Q82:Q83">
    <cfRule type="cellIs" dxfId="1" priority="18" stopIfTrue="1" operator="greaterThan">
      <formula>0</formula>
    </cfRule>
    <cfRule type="cellIs" dxfId="0" priority="19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Stanley T. Gachira</cp:lastModifiedBy>
  <dcterms:created xsi:type="dcterms:W3CDTF">2026-05-04T14:02:29Z</dcterms:created>
  <dcterms:modified xsi:type="dcterms:W3CDTF">2026-05-04T14:07:43Z</dcterms:modified>
</cp:coreProperties>
</file>