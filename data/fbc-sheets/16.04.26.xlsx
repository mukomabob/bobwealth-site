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pril/16.04.26/"/>
    </mc:Choice>
  </mc:AlternateContent>
  <xr:revisionPtr revIDLastSave="0" documentId="8_{68E3C73C-F072-46F3-AD89-A44910C1DA4E}" xr6:coauthVersionLast="47" xr6:coauthVersionMax="47" xr10:uidLastSave="{00000000-0000-0000-0000-000000000000}"/>
  <bookViews>
    <workbookView xWindow="-108" yWindow="-108" windowWidth="23256" windowHeight="12456" xr2:uid="{F7C6D5FA-6A23-4ED0-B2F2-9E82CB6298E9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J82" i="1"/>
  <c r="E82" i="1"/>
  <c r="D82" i="1"/>
  <c r="O80" i="1"/>
  <c r="N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E77" i="1" s="1"/>
  <c r="J77" i="1"/>
  <c r="D77" i="1"/>
  <c r="Q76" i="1"/>
  <c r="M76" i="1"/>
  <c r="L76" i="1"/>
  <c r="K76" i="1"/>
  <c r="J76" i="1"/>
  <c r="E76" i="1"/>
  <c r="D76" i="1"/>
  <c r="O74" i="1"/>
  <c r="N74" i="1"/>
  <c r="M73" i="1"/>
  <c r="L73" i="1"/>
  <c r="J73" i="1"/>
  <c r="Q73" i="1" s="1"/>
  <c r="D73" i="1"/>
  <c r="Q72" i="1"/>
  <c r="M72" i="1"/>
  <c r="L72" i="1"/>
  <c r="J72" i="1"/>
  <c r="K72" i="1" s="1"/>
  <c r="E72" i="1" s="1"/>
  <c r="M69" i="1"/>
  <c r="L69" i="1"/>
  <c r="D69" i="1"/>
  <c r="O67" i="1"/>
  <c r="N67" i="1"/>
  <c r="Q66" i="1"/>
  <c r="P66" i="1"/>
  <c r="M66" i="1"/>
  <c r="L66" i="1"/>
  <c r="J66" i="1"/>
  <c r="D66" i="1"/>
  <c r="M65" i="1"/>
  <c r="L65" i="1"/>
  <c r="J65" i="1"/>
  <c r="Q65" i="1" s="1"/>
  <c r="D65" i="1"/>
  <c r="Q64" i="1"/>
  <c r="P64" i="1"/>
  <c r="M64" i="1"/>
  <c r="L64" i="1"/>
  <c r="J64" i="1"/>
  <c r="D64" i="1"/>
  <c r="M63" i="1"/>
  <c r="L63" i="1"/>
  <c r="J63" i="1"/>
  <c r="Q63" i="1" s="1"/>
  <c r="D63" i="1"/>
  <c r="Q62" i="1"/>
  <c r="P62" i="1"/>
  <c r="M62" i="1"/>
  <c r="L62" i="1"/>
  <c r="J62" i="1"/>
  <c r="D62" i="1"/>
  <c r="M61" i="1"/>
  <c r="L61" i="1"/>
  <c r="J61" i="1"/>
  <c r="Q61" i="1" s="1"/>
  <c r="D61" i="1"/>
  <c r="Q60" i="1"/>
  <c r="P60" i="1"/>
  <c r="M60" i="1"/>
  <c r="L60" i="1"/>
  <c r="J60" i="1"/>
  <c r="D60" i="1"/>
  <c r="M59" i="1"/>
  <c r="L59" i="1"/>
  <c r="J59" i="1"/>
  <c r="Q59" i="1" s="1"/>
  <c r="D59" i="1"/>
  <c r="Q58" i="1"/>
  <c r="P58" i="1"/>
  <c r="M58" i="1"/>
  <c r="L58" i="1"/>
  <c r="J58" i="1"/>
  <c r="D58" i="1"/>
  <c r="M57" i="1"/>
  <c r="L57" i="1"/>
  <c r="J57" i="1"/>
  <c r="Q57" i="1" s="1"/>
  <c r="D57" i="1"/>
  <c r="Q56" i="1"/>
  <c r="P56" i="1"/>
  <c r="M56" i="1"/>
  <c r="L56" i="1"/>
  <c r="J56" i="1"/>
  <c r="D56" i="1"/>
  <c r="M55" i="1"/>
  <c r="L55" i="1"/>
  <c r="J55" i="1"/>
  <c r="Q55" i="1" s="1"/>
  <c r="D55" i="1"/>
  <c r="Q54" i="1"/>
  <c r="P54" i="1"/>
  <c r="M54" i="1"/>
  <c r="L54" i="1"/>
  <c r="J54" i="1"/>
  <c r="D54" i="1"/>
  <c r="M53" i="1"/>
  <c r="L53" i="1"/>
  <c r="J53" i="1"/>
  <c r="Q53" i="1" s="1"/>
  <c r="D53" i="1"/>
  <c r="M52" i="1"/>
  <c r="L52" i="1"/>
  <c r="J52" i="1"/>
  <c r="D52" i="1" s="1"/>
  <c r="E52" i="1"/>
  <c r="O49" i="1"/>
  <c r="N49" i="1"/>
  <c r="Q48" i="1"/>
  <c r="M48" i="1"/>
  <c r="L48" i="1"/>
  <c r="K48" i="1"/>
  <c r="J48" i="1"/>
  <c r="E48" i="1"/>
  <c r="D48" i="1"/>
  <c r="Q47" i="1"/>
  <c r="M47" i="1"/>
  <c r="L47" i="1"/>
  <c r="K47" i="1"/>
  <c r="J47" i="1"/>
  <c r="P47" i="1" s="1"/>
  <c r="E47" i="1"/>
  <c r="D47" i="1"/>
  <c r="Q46" i="1"/>
  <c r="P46" i="1"/>
  <c r="M46" i="1"/>
  <c r="L46" i="1"/>
  <c r="K46" i="1"/>
  <c r="E46" i="1" s="1"/>
  <c r="J46" i="1"/>
  <c r="D46" i="1"/>
  <c r="Q45" i="1"/>
  <c r="M45" i="1"/>
  <c r="L45" i="1"/>
  <c r="K45" i="1"/>
  <c r="J45" i="1"/>
  <c r="P45" i="1" s="1"/>
  <c r="E45" i="1"/>
  <c r="D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E43" i="1" s="1"/>
  <c r="J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E40" i="1" s="1"/>
  <c r="J40" i="1"/>
  <c r="D40" i="1"/>
  <c r="Q39" i="1"/>
  <c r="M39" i="1"/>
  <c r="L39" i="1"/>
  <c r="K39" i="1"/>
  <c r="J39" i="1"/>
  <c r="E39" i="1"/>
  <c r="D39" i="1"/>
  <c r="Q38" i="1"/>
  <c r="P38" i="1"/>
  <c r="M38" i="1"/>
  <c r="L38" i="1"/>
  <c r="K38" i="1"/>
  <c r="E38" i="1" s="1"/>
  <c r="J38" i="1"/>
  <c r="D38" i="1"/>
  <c r="Q37" i="1"/>
  <c r="M37" i="1"/>
  <c r="L37" i="1"/>
  <c r="K37" i="1"/>
  <c r="E37" i="1" s="1"/>
  <c r="J37" i="1"/>
  <c r="D37" i="1" s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/>
  <c r="Q34" i="1"/>
  <c r="M34" i="1"/>
  <c r="L34" i="1"/>
  <c r="K34" i="1"/>
  <c r="E34" i="1" s="1"/>
  <c r="J34" i="1"/>
  <c r="D34" i="1" s="1"/>
  <c r="Q33" i="1"/>
  <c r="M33" i="1"/>
  <c r="L33" i="1"/>
  <c r="K33" i="1"/>
  <c r="J33" i="1"/>
  <c r="P33" i="1" s="1"/>
  <c r="E33" i="1"/>
  <c r="D33" i="1"/>
  <c r="K32" i="1"/>
  <c r="E32" i="1" s="1"/>
  <c r="J32" i="1"/>
  <c r="D32" i="1" s="1"/>
  <c r="Q30" i="1"/>
  <c r="M30" i="1"/>
  <c r="L30" i="1"/>
  <c r="K30" i="1"/>
  <c r="J30" i="1"/>
  <c r="P30" i="1" s="1"/>
  <c r="E30" i="1"/>
  <c r="D30" i="1"/>
  <c r="Q29" i="1"/>
  <c r="P29" i="1"/>
  <c r="M29" i="1"/>
  <c r="L29" i="1"/>
  <c r="K29" i="1"/>
  <c r="E29" i="1" s="1"/>
  <c r="J29" i="1"/>
  <c r="D29" i="1"/>
  <c r="Q28" i="1"/>
  <c r="M28" i="1"/>
  <c r="L28" i="1"/>
  <c r="K28" i="1"/>
  <c r="E28" i="1" s="1"/>
  <c r="J28" i="1"/>
  <c r="D28" i="1" s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E26" i="1" s="1"/>
  <c r="J26" i="1"/>
  <c r="D26" i="1"/>
  <c r="Q25" i="1"/>
  <c r="M25" i="1"/>
  <c r="L25" i="1"/>
  <c r="K25" i="1"/>
  <c r="E25" i="1" s="1"/>
  <c r="J25" i="1"/>
  <c r="D25" i="1" s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E23" i="1" s="1"/>
  <c r="J23" i="1"/>
  <c r="D23" i="1"/>
  <c r="Q22" i="1"/>
  <c r="M22" i="1"/>
  <c r="L22" i="1"/>
  <c r="K22" i="1"/>
  <c r="E22" i="1" s="1"/>
  <c r="J22" i="1"/>
  <c r="D22" i="1" s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/>
  <c r="E19" i="1"/>
  <c r="D19" i="1"/>
  <c r="Q18" i="1"/>
  <c r="P18" i="1"/>
  <c r="M18" i="1"/>
  <c r="L18" i="1"/>
  <c r="K18" i="1"/>
  <c r="J18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P15" i="1"/>
  <c r="M15" i="1"/>
  <c r="L15" i="1"/>
  <c r="K15" i="1"/>
  <c r="J15" i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P12" i="1"/>
  <c r="M12" i="1"/>
  <c r="L12" i="1"/>
  <c r="K12" i="1"/>
  <c r="J12" i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P37" i="1" l="1"/>
  <c r="K73" i="1"/>
  <c r="E73" i="1" s="1"/>
  <c r="Q52" i="1"/>
  <c r="P22" i="1"/>
  <c r="P25" i="1"/>
  <c r="P28" i="1"/>
  <c r="P57" i="1"/>
  <c r="P59" i="1"/>
  <c r="P61" i="1"/>
  <c r="P63" i="1"/>
  <c r="P65" i="1"/>
  <c r="P53" i="1"/>
  <c r="D72" i="1"/>
  <c r="P34" i="1"/>
</calcChain>
</file>

<file path=xl/sharedStrings.xml><?xml version="1.0" encoding="utf-8"?>
<sst xmlns="http://schemas.openxmlformats.org/spreadsheetml/2006/main" count="263" uniqueCount="181">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</sst>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Border="1" applyAlignment="1">
      <alignment horizontal="left"/>
    </xf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7" fontId="15" fillId="5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166" fontId="20" fillId="5" borderId="0" xfId="3" applyNumberFormat="1" applyFont="1" applyFill="1" applyBorder="1"/>
    <xf numFmtId="10" fontId="15" fillId="5" borderId="0" xfId="6" applyNumberFormat="1" applyFont="1" applyFill="1" applyBorder="1" applyAlignment="1"/>
    <xf numFmtId="49" fontId="15" fillId="5" borderId="0" xfId="4" applyNumberFormat="1" applyFont="1" applyFill="1" applyBorder="1" applyAlignment="1"/>
    <xf numFmtId="164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7" fontId="15" fillId="5" borderId="0" xfId="3" applyNumberFormat="1" applyFont="1" applyFill="1" applyBorder="1" applyAlignment="1">
      <alignment horizontal="center"/>
    </xf>
    <xf numFmtId="166" fontId="15" fillId="5" borderId="0" xfId="3" applyNumberFormat="1" applyFont="1" applyFill="1" applyBorder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164" fontId="15" fillId="5" borderId="0" xfId="5" applyFont="1" applyFill="1" applyAlignment="1"/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0" xfId="3" applyFont="1" applyFill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0" fillId="5" borderId="0" xfId="3" applyFont="1" applyFill="1" applyAlignment="1">
      <alignment horizontal="left"/>
    </xf>
    <xf numFmtId="171" fontId="20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0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</cellXfs>
  <cellStyles count="9">
    <cellStyle name="Comma 2 2 2 2 2 2 2 2 2 2" xfId="3" xr:uid="{41309368-E590-4F3D-82A0-107E9ADADCFA}"/>
    <cellStyle name="Comma 5 2 2 2 2 2 2 2 2" xfId="4" xr:uid="{52BCF12F-4C12-48BD-8B10-9DED4F358E2E}"/>
    <cellStyle name="Comma 6 2 2 2" xfId="5" xr:uid="{7FCCC19E-06DD-4E10-8ED0-CE897F01B57C}"/>
    <cellStyle name="Hyperlink 2" xfId="8" xr:uid="{62E06762-516F-4C4F-A4A1-D279A9329A14}"/>
    <cellStyle name="Normal" xfId="0" builtinId="0"/>
    <cellStyle name="Normal 2" xfId="2" xr:uid="{2EB99689-FC8D-4A06-A17D-958D905F7EE9}"/>
    <cellStyle name="Normal 20" xfId="7" xr:uid="{73EF8FAD-1568-40BC-B1B0-7817AA5E02BE}"/>
    <cellStyle name="Percent" xfId="1" builtinId="5"/>
    <cellStyle name="Percent 3" xfId="6" xr:uid="{C8BC58DA-8322-4C02-B67C-3E15A5C54642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7CDB0A30-D2E4-4AB1-B455-BECBE99CB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6</xdr:col>
      <xdr:colOff>0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76C5BA48-85F0-4A0B-B6C1-B91A9070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60821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BCA5-F24E-4161-A75A-ED96D9A3C2FC}">
  <dimension ref="A1:II105"/>
  <sheetViews>
    <sheetView tabSelected="1" zoomScale="70" zoomScaleNormal="70" workbookViewId="0">
      <pane ySplit="7" topLeftCell="A10" activePane="bottomLeft" state="frozen"/>
      <selection pane="bottomLeft" activeCell="S92" sqref="S92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16.109375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25.163799999999998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12.6" x14ac:dyDescent="0.3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8" s="32" customFormat="1" ht="28.2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t="28.2" hidden="1" customHeight="1" x14ac:dyDescent="0.25">
      <c r="A8" s="26"/>
      <c r="B8" s="27"/>
      <c r="C8" s="27"/>
      <c r="D8" s="27"/>
      <c r="E8" s="27"/>
      <c r="F8" s="28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t="28.2" hidden="1" customHeight="1" x14ac:dyDescent="0.25">
      <c r="A9" s="26"/>
      <c r="B9" s="27"/>
      <c r="C9" s="27"/>
      <c r="D9" s="27"/>
      <c r="E9" s="27"/>
      <c r="F9" s="28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ht="14.7" customHeight="1" x14ac:dyDescent="0.25">
      <c r="A10" s="33" t="s">
        <v>32</v>
      </c>
      <c r="B10" s="34" t="s">
        <v>33</v>
      </c>
      <c r="C10" s="35">
        <v>124748059</v>
      </c>
      <c r="D10" s="36">
        <f t="shared" ref="D10:D30" si="0">C10*J10</f>
        <v>68412688.632082596</v>
      </c>
      <c r="E10" s="37">
        <f t="shared" ref="E10:E30" si="1">C10*K10</f>
        <v>57384107.140000001</v>
      </c>
      <c r="F10" s="38" t="s">
        <v>34</v>
      </c>
      <c r="G10" s="39">
        <v>8.9894999999999996</v>
      </c>
      <c r="H10" s="40">
        <v>13.8</v>
      </c>
      <c r="I10" s="40">
        <v>13.8</v>
      </c>
      <c r="J10" s="41">
        <f>(I10/$J$5)</f>
        <v>0.54840683839483706</v>
      </c>
      <c r="K10" s="42">
        <f t="shared" ref="K10:K30" si="2">I10/$K$4</f>
        <v>0.46</v>
      </c>
      <c r="L10" s="43">
        <f t="shared" ref="L10:L30" si="3">I10-H10</f>
        <v>0</v>
      </c>
      <c r="M10" s="43">
        <f t="shared" ref="M10:M30" si="4">((I10-H10)/H10)*100</f>
        <v>0</v>
      </c>
      <c r="N10" s="44">
        <v>0</v>
      </c>
      <c r="O10" s="35">
        <v>0</v>
      </c>
      <c r="P10" s="45">
        <f t="shared" ref="P10:P30" si="5">(R10)/J10</f>
        <v>0</v>
      </c>
      <c r="Q10" s="46">
        <f t="shared" ref="Q10:Q30" si="6">I10/G10-1</f>
        <v>0.53512431169697994</v>
      </c>
      <c r="R10" s="47"/>
    </row>
    <row r="11" spans="1:18" ht="14.4" customHeight="1" x14ac:dyDescent="0.25">
      <c r="A11" s="33" t="s">
        <v>35</v>
      </c>
      <c r="B11" s="34" t="s">
        <v>36</v>
      </c>
      <c r="C11" s="35">
        <v>1627395595</v>
      </c>
      <c r="D11" s="36">
        <f t="shared" si="0"/>
        <v>1940162.7675470321</v>
      </c>
      <c r="E11" s="37">
        <f t="shared" si="1"/>
        <v>1627395.595</v>
      </c>
      <c r="F11" s="38" t="s">
        <v>34</v>
      </c>
      <c r="G11" s="39">
        <v>3.1600000000000003E-2</v>
      </c>
      <c r="H11" s="40">
        <v>0.03</v>
      </c>
      <c r="I11" s="40">
        <v>0.03</v>
      </c>
      <c r="J11" s="41">
        <f t="shared" ref="J11:J30" si="7">I11/$J$5</f>
        <v>1.192188779119211E-3</v>
      </c>
      <c r="K11" s="42">
        <f t="shared" si="2"/>
        <v>1E-3</v>
      </c>
      <c r="L11" s="43">
        <f t="shared" si="3"/>
        <v>0</v>
      </c>
      <c r="M11" s="43">
        <f t="shared" si="4"/>
        <v>0</v>
      </c>
      <c r="N11" s="44">
        <v>10400</v>
      </c>
      <c r="O11" s="35">
        <v>312</v>
      </c>
      <c r="P11" s="45">
        <f t="shared" si="5"/>
        <v>0</v>
      </c>
      <c r="Q11" s="46">
        <f t="shared" si="6"/>
        <v>-5.0632911392405222E-2</v>
      </c>
      <c r="R11" s="47"/>
    </row>
    <row r="12" spans="1:18" ht="14.4" customHeight="1" x14ac:dyDescent="0.25">
      <c r="A12" s="33" t="s">
        <v>37</v>
      </c>
      <c r="B12" s="34" t="s">
        <v>38</v>
      </c>
      <c r="C12" s="35">
        <v>436977359</v>
      </c>
      <c r="D12" s="36">
        <f t="shared" si="0"/>
        <v>4289233.2506616656</v>
      </c>
      <c r="E12" s="37">
        <f t="shared" si="1"/>
        <v>3597780.255766667</v>
      </c>
      <c r="F12" s="38" t="s">
        <v>39</v>
      </c>
      <c r="G12" s="39">
        <v>7.8E-2</v>
      </c>
      <c r="H12" s="40">
        <v>0.24</v>
      </c>
      <c r="I12" s="40">
        <v>0.247</v>
      </c>
      <c r="J12" s="41">
        <f t="shared" si="7"/>
        <v>9.8156876147481708E-3</v>
      </c>
      <c r="K12" s="42">
        <f t="shared" si="2"/>
        <v>8.2333333333333338E-3</v>
      </c>
      <c r="L12" s="43">
        <f t="shared" si="3"/>
        <v>7.0000000000000062E-3</v>
      </c>
      <c r="M12" s="43">
        <f t="shared" si="4"/>
        <v>2.9166666666666696</v>
      </c>
      <c r="N12" s="44">
        <v>800</v>
      </c>
      <c r="O12" s="35">
        <v>197.6</v>
      </c>
      <c r="P12" s="45">
        <f t="shared" si="5"/>
        <v>0</v>
      </c>
      <c r="Q12" s="46">
        <f t="shared" si="6"/>
        <v>2.1666666666666665</v>
      </c>
      <c r="R12" s="47"/>
    </row>
    <row r="13" spans="1:18" ht="14.4" customHeight="1" x14ac:dyDescent="0.25">
      <c r="A13" s="33" t="s">
        <v>40</v>
      </c>
      <c r="B13" s="34" t="s">
        <v>41</v>
      </c>
      <c r="C13" s="35">
        <v>20633517</v>
      </c>
      <c r="D13" s="36">
        <f t="shared" si="0"/>
        <v>174645037.14979455</v>
      </c>
      <c r="E13" s="37">
        <f t="shared" si="1"/>
        <v>146491092.861</v>
      </c>
      <c r="F13" s="38" t="s">
        <v>34</v>
      </c>
      <c r="G13" s="39">
        <v>97.381</v>
      </c>
      <c r="H13" s="40">
        <v>212.99</v>
      </c>
      <c r="I13" s="40">
        <v>212.99</v>
      </c>
      <c r="J13" s="41">
        <f t="shared" si="7"/>
        <v>8.4641429354866915</v>
      </c>
      <c r="K13" s="42">
        <f t="shared" si="2"/>
        <v>7.0996666666666668</v>
      </c>
      <c r="L13" s="43">
        <f t="shared" si="3"/>
        <v>0</v>
      </c>
      <c r="M13" s="43">
        <f t="shared" si="4"/>
        <v>0</v>
      </c>
      <c r="N13" s="44">
        <v>0</v>
      </c>
      <c r="O13" s="35">
        <v>0</v>
      </c>
      <c r="P13" s="45">
        <f t="shared" si="5"/>
        <v>0</v>
      </c>
      <c r="Q13" s="46">
        <f t="shared" si="6"/>
        <v>1.1871823045563303</v>
      </c>
      <c r="R13" s="47"/>
    </row>
    <row r="14" spans="1:18" ht="14.7" customHeight="1" x14ac:dyDescent="0.25">
      <c r="A14" s="33" t="s">
        <v>42</v>
      </c>
      <c r="B14" s="34" t="s">
        <v>43</v>
      </c>
      <c r="C14" s="35">
        <v>8735108</v>
      </c>
      <c r="D14" s="36">
        <f t="shared" si="0"/>
        <v>4512862.5864932965</v>
      </c>
      <c r="E14" s="37">
        <f t="shared" si="1"/>
        <v>3785359.0517999995</v>
      </c>
      <c r="F14" s="38" t="s">
        <v>44</v>
      </c>
      <c r="G14" s="39">
        <v>13.6</v>
      </c>
      <c r="H14" s="40">
        <v>13.000499999999999</v>
      </c>
      <c r="I14" s="40">
        <v>13.000499999999999</v>
      </c>
      <c r="J14" s="41">
        <f t="shared" si="7"/>
        <v>0.51663500743131008</v>
      </c>
      <c r="K14" s="42">
        <f t="shared" si="2"/>
        <v>0.43334999999999996</v>
      </c>
      <c r="L14" s="43">
        <f t="shared" si="3"/>
        <v>0</v>
      </c>
      <c r="M14" s="43">
        <f t="shared" si="4"/>
        <v>0</v>
      </c>
      <c r="N14" s="44">
        <v>0</v>
      </c>
      <c r="O14" s="35">
        <v>0</v>
      </c>
      <c r="P14" s="45">
        <f t="shared" si="5"/>
        <v>0</v>
      </c>
      <c r="Q14" s="46">
        <f t="shared" si="6"/>
        <v>-4.4080882352941275E-2</v>
      </c>
      <c r="R14" s="47"/>
    </row>
    <row r="15" spans="1:18" ht="14.4" customHeight="1" x14ac:dyDescent="0.25">
      <c r="A15" s="33" t="s">
        <v>45</v>
      </c>
      <c r="B15" s="34" t="s">
        <v>46</v>
      </c>
      <c r="C15" s="35">
        <v>522661465</v>
      </c>
      <c r="D15" s="36">
        <f t="shared" si="0"/>
        <v>306362974.14341241</v>
      </c>
      <c r="E15" s="37">
        <f t="shared" si="1"/>
        <v>256975220.29166666</v>
      </c>
      <c r="F15" s="38" t="s">
        <v>47</v>
      </c>
      <c r="G15" s="39">
        <v>11.5</v>
      </c>
      <c r="H15" s="40">
        <v>14.979100000000001</v>
      </c>
      <c r="I15" s="40">
        <v>14.75</v>
      </c>
      <c r="J15" s="41">
        <f t="shared" si="7"/>
        <v>0.58615948306694543</v>
      </c>
      <c r="K15" s="42">
        <f t="shared" si="2"/>
        <v>0.49166666666666664</v>
      </c>
      <c r="L15" s="43">
        <f t="shared" si="3"/>
        <v>-0.22910000000000075</v>
      </c>
      <c r="M15" s="43">
        <f t="shared" si="4"/>
        <v>-1.5294643870459554</v>
      </c>
      <c r="N15" s="44">
        <v>200</v>
      </c>
      <c r="O15" s="35">
        <v>2950</v>
      </c>
      <c r="P15" s="45">
        <f t="shared" si="5"/>
        <v>0</v>
      </c>
      <c r="Q15" s="46">
        <f t="shared" si="6"/>
        <v>0.28260869565217384</v>
      </c>
      <c r="R15" s="47"/>
    </row>
    <row r="16" spans="1:18" ht="14.4" customHeight="1" x14ac:dyDescent="0.25">
      <c r="A16" s="33" t="s">
        <v>48</v>
      </c>
      <c r="B16" s="34" t="s">
        <v>49</v>
      </c>
      <c r="C16" s="35">
        <v>106040875</v>
      </c>
      <c r="D16" s="36">
        <f t="shared" si="0"/>
        <v>26084812.955515467</v>
      </c>
      <c r="E16" s="37">
        <f t="shared" si="1"/>
        <v>21879767.208333336</v>
      </c>
      <c r="F16" s="38" t="s">
        <v>34</v>
      </c>
      <c r="G16" s="39">
        <v>5.39</v>
      </c>
      <c r="H16" s="40">
        <v>6.19</v>
      </c>
      <c r="I16" s="40">
        <v>6.19</v>
      </c>
      <c r="J16" s="41">
        <f t="shared" si="7"/>
        <v>0.2459882847582639</v>
      </c>
      <c r="K16" s="42">
        <f t="shared" si="2"/>
        <v>0.20633333333333334</v>
      </c>
      <c r="L16" s="43">
        <f t="shared" si="3"/>
        <v>0</v>
      </c>
      <c r="M16" s="43">
        <f t="shared" si="4"/>
        <v>0</v>
      </c>
      <c r="N16" s="44">
        <v>0</v>
      </c>
      <c r="O16" s="35">
        <v>0</v>
      </c>
      <c r="P16" s="45">
        <f t="shared" si="5"/>
        <v>0</v>
      </c>
      <c r="Q16" s="46">
        <f t="shared" si="6"/>
        <v>0.14842300556586285</v>
      </c>
      <c r="R16" s="47"/>
    </row>
    <row r="17" spans="1:19" ht="14.4" customHeight="1" x14ac:dyDescent="0.25">
      <c r="A17" s="33" t="s">
        <v>50</v>
      </c>
      <c r="B17" s="34" t="s">
        <v>51</v>
      </c>
      <c r="C17" s="35">
        <v>358000858</v>
      </c>
      <c r="D17" s="36">
        <f t="shared" si="0"/>
        <v>36989732.504629672</v>
      </c>
      <c r="E17" s="37">
        <f t="shared" si="1"/>
        <v>31026741.026666667</v>
      </c>
      <c r="F17" s="38" t="s">
        <v>34</v>
      </c>
      <c r="G17" s="39">
        <v>1.9</v>
      </c>
      <c r="H17" s="40">
        <v>2.8</v>
      </c>
      <c r="I17" s="40">
        <v>2.6</v>
      </c>
      <c r="J17" s="41">
        <f t="shared" si="7"/>
        <v>0.10332302752366496</v>
      </c>
      <c r="K17" s="42">
        <f t="shared" si="2"/>
        <v>8.666666666666667E-2</v>
      </c>
      <c r="L17" s="43">
        <f t="shared" si="3"/>
        <v>-0.19999999999999973</v>
      </c>
      <c r="M17" s="43">
        <f t="shared" si="4"/>
        <v>-7.1428571428571344</v>
      </c>
      <c r="N17" s="44">
        <v>195200</v>
      </c>
      <c r="O17" s="35">
        <v>507520</v>
      </c>
      <c r="P17" s="45">
        <f t="shared" si="5"/>
        <v>0</v>
      </c>
      <c r="Q17" s="46">
        <f t="shared" si="6"/>
        <v>0.36842105263157898</v>
      </c>
      <c r="R17" s="47"/>
    </row>
    <row r="18" spans="1:19" x14ac:dyDescent="0.25">
      <c r="A18" s="33" t="s">
        <v>52</v>
      </c>
      <c r="B18" s="34" t="s">
        <v>53</v>
      </c>
      <c r="C18" s="35">
        <v>1341613815</v>
      </c>
      <c r="D18" s="36">
        <f t="shared" si="0"/>
        <v>1439756492.6024292</v>
      </c>
      <c r="E18" s="37">
        <f t="shared" si="1"/>
        <v>1207658147.6183</v>
      </c>
      <c r="F18" s="38" t="s">
        <v>34</v>
      </c>
      <c r="G18" s="39">
        <v>20.701700000000002</v>
      </c>
      <c r="H18" s="40">
        <v>27.001199999999997</v>
      </c>
      <c r="I18" s="40">
        <v>27.0046</v>
      </c>
      <c r="J18" s="41">
        <f t="shared" si="7"/>
        <v>1.073152703486755</v>
      </c>
      <c r="K18" s="42">
        <f t="shared" si="2"/>
        <v>0.90015333333333336</v>
      </c>
      <c r="L18" s="43">
        <f t="shared" si="3"/>
        <v>3.4000000000027342E-3</v>
      </c>
      <c r="M18" s="43">
        <f t="shared" si="4"/>
        <v>1.2592032946693978E-2</v>
      </c>
      <c r="N18" s="44">
        <v>550300</v>
      </c>
      <c r="O18" s="35">
        <v>14860617.699999999</v>
      </c>
      <c r="P18" s="45">
        <f t="shared" si="5"/>
        <v>0</v>
      </c>
      <c r="Q18" s="46">
        <f t="shared" si="6"/>
        <v>0.30446291850427731</v>
      </c>
      <c r="R18" s="47"/>
    </row>
    <row r="19" spans="1:19" ht="14.25" hidden="1" customHeight="1" x14ac:dyDescent="0.25">
      <c r="A19" s="33" t="s">
        <v>54</v>
      </c>
      <c r="B19" s="34" t="s">
        <v>55</v>
      </c>
      <c r="C19" s="35">
        <v>2992163203</v>
      </c>
      <c r="D19" s="36">
        <f t="shared" si="0"/>
        <v>0</v>
      </c>
      <c r="E19" s="37">
        <f t="shared" si="1"/>
        <v>0</v>
      </c>
      <c r="F19" s="38" t="s">
        <v>56</v>
      </c>
      <c r="G19" s="39">
        <v>6.1399460000000001</v>
      </c>
      <c r="H19" s="40"/>
      <c r="I19" s="40"/>
      <c r="J19" s="41"/>
      <c r="K19" s="42"/>
      <c r="L19" s="43"/>
      <c r="M19" s="43"/>
      <c r="N19" s="44" t="s">
        <v>57</v>
      </c>
      <c r="O19" s="35" t="s">
        <v>57</v>
      </c>
      <c r="P19" s="45"/>
      <c r="Q19" s="46"/>
      <c r="R19" s="47"/>
    </row>
    <row r="20" spans="1:19" x14ac:dyDescent="0.25">
      <c r="A20" s="33" t="s">
        <v>58</v>
      </c>
      <c r="B20" s="34" t="s">
        <v>59</v>
      </c>
      <c r="C20" s="35">
        <v>671949927</v>
      </c>
      <c r="D20" s="36">
        <f t="shared" si="0"/>
        <v>264626393.2284461</v>
      </c>
      <c r="E20" s="37">
        <f t="shared" si="1"/>
        <v>221966854.4640657</v>
      </c>
      <c r="F20" s="38" t="s">
        <v>47</v>
      </c>
      <c r="G20" s="39">
        <v>12.45</v>
      </c>
      <c r="H20" s="40">
        <v>9.9099730000000008</v>
      </c>
      <c r="I20" s="40">
        <v>9.9099730000000008</v>
      </c>
      <c r="J20" s="41">
        <f t="shared" si="7"/>
        <v>0.39381862039914484</v>
      </c>
      <c r="K20" s="42">
        <f t="shared" si="2"/>
        <v>0.33033243333333334</v>
      </c>
      <c r="L20" s="43">
        <f t="shared" si="3"/>
        <v>0</v>
      </c>
      <c r="M20" s="43">
        <f t="shared" si="4"/>
        <v>0</v>
      </c>
      <c r="N20" s="44">
        <v>0</v>
      </c>
      <c r="O20" s="35">
        <v>0</v>
      </c>
      <c r="P20" s="45">
        <f t="shared" si="5"/>
        <v>0</v>
      </c>
      <c r="Q20" s="46">
        <f t="shared" si="6"/>
        <v>-0.20401823293172683</v>
      </c>
      <c r="R20" s="47"/>
    </row>
    <row r="21" spans="1:19" x14ac:dyDescent="0.25">
      <c r="A21" s="33" t="s">
        <v>60</v>
      </c>
      <c r="B21" s="34" t="s">
        <v>61</v>
      </c>
      <c r="C21" s="35">
        <v>108923291</v>
      </c>
      <c r="D21" s="36">
        <f t="shared" si="0"/>
        <v>2943428.1738052289</v>
      </c>
      <c r="E21" s="37">
        <f t="shared" si="1"/>
        <v>2468927.9293333334</v>
      </c>
      <c r="F21" s="38" t="s">
        <v>47</v>
      </c>
      <c r="G21" s="39">
        <v>0.35</v>
      </c>
      <c r="H21" s="40">
        <v>0.68</v>
      </c>
      <c r="I21" s="40">
        <v>0.68</v>
      </c>
      <c r="J21" s="41">
        <f t="shared" si="7"/>
        <v>2.7022945660035453E-2</v>
      </c>
      <c r="K21" s="42">
        <f t="shared" si="2"/>
        <v>2.2666666666666668E-2</v>
      </c>
      <c r="L21" s="43">
        <f t="shared" si="3"/>
        <v>0</v>
      </c>
      <c r="M21" s="43">
        <f t="shared" si="4"/>
        <v>0</v>
      </c>
      <c r="N21" s="44">
        <v>0</v>
      </c>
      <c r="O21" s="35">
        <v>0</v>
      </c>
      <c r="P21" s="45">
        <f t="shared" si="5"/>
        <v>0</v>
      </c>
      <c r="Q21" s="46">
        <f t="shared" si="6"/>
        <v>0.94285714285714306</v>
      </c>
      <c r="R21" s="47"/>
    </row>
    <row r="22" spans="1:19" x14ac:dyDescent="0.25">
      <c r="A22" s="33" t="s">
        <v>62</v>
      </c>
      <c r="B22" s="34" t="s">
        <v>63</v>
      </c>
      <c r="C22" s="35">
        <v>690143060</v>
      </c>
      <c r="D22" s="36">
        <f t="shared" si="0"/>
        <v>95991094.747216254</v>
      </c>
      <c r="E22" s="37">
        <f t="shared" si="1"/>
        <v>80516690.333333328</v>
      </c>
      <c r="F22" s="38" t="s">
        <v>47</v>
      </c>
      <c r="G22" s="39">
        <v>2.85</v>
      </c>
      <c r="H22" s="40">
        <v>3.5</v>
      </c>
      <c r="I22" s="40">
        <v>3.5</v>
      </c>
      <c r="J22" s="41">
        <f t="shared" si="7"/>
        <v>0.1390886908972413</v>
      </c>
      <c r="K22" s="42">
        <f t="shared" si="2"/>
        <v>0.11666666666666667</v>
      </c>
      <c r="L22" s="43">
        <f t="shared" si="3"/>
        <v>0</v>
      </c>
      <c r="M22" s="43">
        <f t="shared" si="4"/>
        <v>0</v>
      </c>
      <c r="N22" s="44">
        <v>100</v>
      </c>
      <c r="O22" s="35">
        <v>350</v>
      </c>
      <c r="P22" s="45">
        <f t="shared" si="5"/>
        <v>0</v>
      </c>
      <c r="Q22" s="46">
        <f t="shared" si="6"/>
        <v>0.22807017543859653</v>
      </c>
      <c r="R22" s="47"/>
    </row>
    <row r="23" spans="1:19" x14ac:dyDescent="0.25">
      <c r="A23" s="33" t="s">
        <v>64</v>
      </c>
      <c r="B23" s="34" t="s">
        <v>65</v>
      </c>
      <c r="C23" s="35">
        <v>1236075493</v>
      </c>
      <c r="D23" s="36">
        <f t="shared" si="0"/>
        <v>49115528.827852115</v>
      </c>
      <c r="E23" s="37">
        <f t="shared" si="1"/>
        <v>41197778.143943496</v>
      </c>
      <c r="F23" s="38" t="s">
        <v>66</v>
      </c>
      <c r="G23" s="39">
        <v>0.88420599999999994</v>
      </c>
      <c r="H23" s="40">
        <v>0.99988500000000002</v>
      </c>
      <c r="I23" s="40">
        <v>0.99988500000000002</v>
      </c>
      <c r="J23" s="41">
        <f t="shared" si="7"/>
        <v>3.9735055913653741E-2</v>
      </c>
      <c r="K23" s="42">
        <f t="shared" si="2"/>
        <v>3.3329499999999998E-2</v>
      </c>
      <c r="L23" s="43">
        <f t="shared" si="3"/>
        <v>0</v>
      </c>
      <c r="M23" s="43">
        <f t="shared" si="4"/>
        <v>0</v>
      </c>
      <c r="N23" s="44">
        <v>0</v>
      </c>
      <c r="O23" s="35">
        <v>0</v>
      </c>
      <c r="P23" s="45">
        <f t="shared" si="5"/>
        <v>0</v>
      </c>
      <c r="Q23" s="46">
        <f t="shared" si="6"/>
        <v>0.13082811019151652</v>
      </c>
      <c r="R23" s="47"/>
    </row>
    <row r="24" spans="1:19" x14ac:dyDescent="0.25">
      <c r="A24" s="33" t="s">
        <v>67</v>
      </c>
      <c r="B24" s="34" t="s">
        <v>68</v>
      </c>
      <c r="C24" s="35">
        <v>536588623</v>
      </c>
      <c r="D24" s="36">
        <f t="shared" si="0"/>
        <v>2143045.0334011558</v>
      </c>
      <c r="E24" s="37">
        <f t="shared" si="1"/>
        <v>1797571.88705</v>
      </c>
      <c r="F24" s="38" t="s">
        <v>44</v>
      </c>
      <c r="G24" s="39">
        <v>0.1</v>
      </c>
      <c r="H24" s="40">
        <v>0.10050000000000001</v>
      </c>
      <c r="I24" s="40">
        <v>0.10050000000000001</v>
      </c>
      <c r="J24" s="41">
        <f t="shared" si="7"/>
        <v>3.9938324100493574E-3</v>
      </c>
      <c r="K24" s="42">
        <f t="shared" si="2"/>
        <v>3.3500000000000001E-3</v>
      </c>
      <c r="L24" s="43">
        <f t="shared" si="3"/>
        <v>0</v>
      </c>
      <c r="M24" s="43">
        <f t="shared" si="4"/>
        <v>0</v>
      </c>
      <c r="N24" s="44">
        <v>0</v>
      </c>
      <c r="O24" s="35">
        <v>0</v>
      </c>
      <c r="P24" s="45">
        <f t="shared" si="5"/>
        <v>0</v>
      </c>
      <c r="Q24" s="46">
        <f t="shared" si="6"/>
        <v>4.9999999999998934E-3</v>
      </c>
      <c r="R24" s="47"/>
    </row>
    <row r="25" spans="1:19" x14ac:dyDescent="0.25">
      <c r="A25" s="33" t="s">
        <v>69</v>
      </c>
      <c r="B25" s="34" t="s">
        <v>70</v>
      </c>
      <c r="C25" s="35">
        <v>193020564</v>
      </c>
      <c r="D25" s="36">
        <f t="shared" si="0"/>
        <v>76705650.180020511</v>
      </c>
      <c r="E25" s="37">
        <f t="shared" si="1"/>
        <v>64340188</v>
      </c>
      <c r="F25" s="38" t="s">
        <v>34</v>
      </c>
      <c r="G25" s="39">
        <v>8.1687659999999997</v>
      </c>
      <c r="H25" s="40">
        <v>10</v>
      </c>
      <c r="I25" s="40">
        <v>10</v>
      </c>
      <c r="J25" s="41">
        <f t="shared" si="7"/>
        <v>0.39739625970640369</v>
      </c>
      <c r="K25" s="42">
        <f t="shared" si="2"/>
        <v>0.33333333333333331</v>
      </c>
      <c r="L25" s="43">
        <f t="shared" si="3"/>
        <v>0</v>
      </c>
      <c r="M25" s="43">
        <f t="shared" si="4"/>
        <v>0</v>
      </c>
      <c r="N25" s="44">
        <v>0</v>
      </c>
      <c r="O25" s="35">
        <v>0</v>
      </c>
      <c r="P25" s="45">
        <f t="shared" si="5"/>
        <v>0</v>
      </c>
      <c r="Q25" s="46">
        <f t="shared" si="6"/>
        <v>0.22417510796612361</v>
      </c>
      <c r="R25" s="47"/>
      <c r="S25" s="5" t="s">
        <v>71</v>
      </c>
    </row>
    <row r="26" spans="1:19" ht="14.4" customHeight="1" x14ac:dyDescent="0.25">
      <c r="A26" s="33" t="s">
        <v>72</v>
      </c>
      <c r="B26" s="34" t="s">
        <v>73</v>
      </c>
      <c r="C26" s="35">
        <v>1687584009</v>
      </c>
      <c r="D26" s="36">
        <f t="shared" si="0"/>
        <v>81990248.162642837</v>
      </c>
      <c r="E26" s="37">
        <f t="shared" si="1"/>
        <v>68772873.557170391</v>
      </c>
      <c r="F26" s="38" t="s">
        <v>66</v>
      </c>
      <c r="G26" s="39">
        <v>1.6675</v>
      </c>
      <c r="H26" s="40">
        <v>1.2225679999999999</v>
      </c>
      <c r="I26" s="40">
        <v>1.2225679999999999</v>
      </c>
      <c r="J26" s="41">
        <f t="shared" si="7"/>
        <v>4.8584395043673845E-2</v>
      </c>
      <c r="K26" s="42">
        <f t="shared" si="2"/>
        <v>4.0752266666666662E-2</v>
      </c>
      <c r="L26" s="43">
        <f t="shared" si="3"/>
        <v>0</v>
      </c>
      <c r="M26" s="43">
        <f t="shared" si="4"/>
        <v>0</v>
      </c>
      <c r="N26" s="44">
        <v>0</v>
      </c>
      <c r="O26" s="35">
        <v>0</v>
      </c>
      <c r="P26" s="45">
        <f t="shared" si="5"/>
        <v>0</v>
      </c>
      <c r="Q26" s="46">
        <f t="shared" si="6"/>
        <v>-0.26682578710644689</v>
      </c>
      <c r="R26" s="47"/>
    </row>
    <row r="27" spans="1:19" ht="13.2" customHeight="1" x14ac:dyDescent="0.25">
      <c r="A27" s="33" t="s">
        <v>74</v>
      </c>
      <c r="B27" s="34" t="s">
        <v>75</v>
      </c>
      <c r="C27" s="35">
        <v>239388107</v>
      </c>
      <c r="D27" s="36">
        <f t="shared" si="0"/>
        <v>19924195.336082984</v>
      </c>
      <c r="E27" s="37">
        <f t="shared" si="1"/>
        <v>16712282.2199375</v>
      </c>
      <c r="F27" s="38" t="s">
        <v>44</v>
      </c>
      <c r="G27" s="39">
        <v>1.7994999999999999</v>
      </c>
      <c r="H27" s="40">
        <v>2.0943749999999999</v>
      </c>
      <c r="I27" s="40">
        <v>2.0943749999999999</v>
      </c>
      <c r="J27" s="41">
        <f t="shared" si="7"/>
        <v>8.3229679142259913E-2</v>
      </c>
      <c r="K27" s="42">
        <f t="shared" si="2"/>
        <v>6.98125E-2</v>
      </c>
      <c r="L27" s="43">
        <f t="shared" si="3"/>
        <v>0</v>
      </c>
      <c r="M27" s="43">
        <f t="shared" si="4"/>
        <v>0</v>
      </c>
      <c r="N27" s="44">
        <v>0</v>
      </c>
      <c r="O27" s="35">
        <v>0</v>
      </c>
      <c r="P27" s="45">
        <f t="shared" si="5"/>
        <v>0</v>
      </c>
      <c r="Q27" s="46">
        <f t="shared" si="6"/>
        <v>0.16386496248958049</v>
      </c>
      <c r="R27" s="47"/>
    </row>
    <row r="28" spans="1:19" ht="13.2" customHeight="1" x14ac:dyDescent="0.25">
      <c r="A28" s="33" t="s">
        <v>76</v>
      </c>
      <c r="B28" s="34" t="s">
        <v>77</v>
      </c>
      <c r="C28" s="35">
        <v>256150741</v>
      </c>
      <c r="D28" s="36">
        <f t="shared" si="0"/>
        <v>32907641.049708281</v>
      </c>
      <c r="E28" s="37">
        <f t="shared" si="1"/>
        <v>27602709.928221636</v>
      </c>
      <c r="F28" s="38" t="s">
        <v>34</v>
      </c>
      <c r="G28" s="39">
        <v>3.1361369999999997</v>
      </c>
      <c r="H28" s="40">
        <v>3.395</v>
      </c>
      <c r="I28" s="40">
        <v>3.2327890000000004</v>
      </c>
      <c r="J28" s="41">
        <f t="shared" si="7"/>
        <v>0.12846982570200052</v>
      </c>
      <c r="K28" s="42">
        <f t="shared" si="2"/>
        <v>0.10775963333333334</v>
      </c>
      <c r="L28" s="43">
        <f t="shared" si="3"/>
        <v>-0.16221099999999966</v>
      </c>
      <c r="M28" s="43">
        <f t="shared" si="4"/>
        <v>-4.7779381443298865</v>
      </c>
      <c r="N28" s="44">
        <v>5700</v>
      </c>
      <c r="O28" s="35">
        <v>18426.900000000001</v>
      </c>
      <c r="P28" s="45">
        <f t="shared" si="5"/>
        <v>0</v>
      </c>
      <c r="Q28" s="46">
        <f t="shared" si="6"/>
        <v>3.0818806703916568E-2</v>
      </c>
      <c r="R28" s="47"/>
    </row>
    <row r="29" spans="1:19" ht="13.2" customHeight="1" x14ac:dyDescent="0.25">
      <c r="A29" s="33" t="s">
        <v>78</v>
      </c>
      <c r="B29" s="34" t="s">
        <v>79</v>
      </c>
      <c r="C29" s="35">
        <v>755648101</v>
      </c>
      <c r="D29" s="36">
        <f t="shared" si="0"/>
        <v>22824093.270430699</v>
      </c>
      <c r="E29" s="37">
        <f t="shared" si="1"/>
        <v>19144697.274615463</v>
      </c>
      <c r="F29" s="38" t="s">
        <v>44</v>
      </c>
      <c r="G29" s="39">
        <v>0.8</v>
      </c>
      <c r="H29" s="40">
        <v>0.76</v>
      </c>
      <c r="I29" s="40">
        <v>0.76006399999999996</v>
      </c>
      <c r="J29" s="41">
        <f t="shared" si="7"/>
        <v>3.0204659073748797E-2</v>
      </c>
      <c r="K29" s="42">
        <f t="shared" si="2"/>
        <v>2.5335466666666664E-2</v>
      </c>
      <c r="L29" s="43">
        <f t="shared" si="3"/>
        <v>6.3999999999952983E-5</v>
      </c>
      <c r="M29" s="43">
        <f t="shared" si="4"/>
        <v>8.4210526315727612E-3</v>
      </c>
      <c r="N29" s="44">
        <v>153100</v>
      </c>
      <c r="O29" s="35">
        <v>116365.8</v>
      </c>
      <c r="P29" s="45">
        <f t="shared" si="5"/>
        <v>0</v>
      </c>
      <c r="Q29" s="46">
        <f t="shared" si="6"/>
        <v>-4.9920000000000075E-2</v>
      </c>
      <c r="R29" s="47"/>
    </row>
    <row r="30" spans="1:19" ht="14.4" customHeight="1" x14ac:dyDescent="0.25">
      <c r="A30" s="33" t="s">
        <v>80</v>
      </c>
      <c r="B30" s="34" t="s">
        <v>81</v>
      </c>
      <c r="C30" s="35">
        <v>404171689</v>
      </c>
      <c r="D30" s="36">
        <f t="shared" si="0"/>
        <v>80629391.378885537</v>
      </c>
      <c r="E30" s="37">
        <f t="shared" si="1"/>
        <v>67631395.959333315</v>
      </c>
      <c r="F30" s="38" t="s">
        <v>47</v>
      </c>
      <c r="G30" s="39">
        <v>5.15</v>
      </c>
      <c r="H30" s="40">
        <v>5.0199999999999996</v>
      </c>
      <c r="I30" s="40">
        <v>5.0199999999999996</v>
      </c>
      <c r="J30" s="41">
        <f t="shared" si="7"/>
        <v>0.19949292237261462</v>
      </c>
      <c r="K30" s="42">
        <f t="shared" si="2"/>
        <v>0.16733333333333331</v>
      </c>
      <c r="L30" s="43">
        <f t="shared" si="3"/>
        <v>0</v>
      </c>
      <c r="M30" s="43">
        <f t="shared" si="4"/>
        <v>0</v>
      </c>
      <c r="N30" s="44">
        <v>100</v>
      </c>
      <c r="O30" s="35">
        <v>502</v>
      </c>
      <c r="P30" s="45">
        <f t="shared" si="5"/>
        <v>0</v>
      </c>
      <c r="Q30" s="46">
        <f t="shared" si="6"/>
        <v>-2.5242718446602086E-2</v>
      </c>
      <c r="R30" s="47"/>
    </row>
    <row r="31" spans="1:19" hidden="1" x14ac:dyDescent="0.25">
      <c r="A31" s="33"/>
      <c r="B31" s="34" t="s">
        <v>82</v>
      </c>
      <c r="C31" s="35"/>
      <c r="D31" s="36"/>
      <c r="E31" s="37"/>
      <c r="F31" s="38"/>
      <c r="G31" s="39"/>
      <c r="H31" s="40"/>
      <c r="I31" s="40"/>
      <c r="J31" s="41"/>
      <c r="K31" s="42"/>
      <c r="L31" s="43"/>
      <c r="M31" s="43"/>
      <c r="N31" s="44"/>
      <c r="O31" s="35"/>
      <c r="P31" s="45"/>
      <c r="Q31" s="46"/>
      <c r="R31" s="47"/>
    </row>
    <row r="32" spans="1:19" ht="14.4" customHeight="1" x14ac:dyDescent="0.25">
      <c r="A32" s="33" t="s">
        <v>83</v>
      </c>
      <c r="B32" s="34" t="s">
        <v>84</v>
      </c>
      <c r="C32" s="35">
        <v>3171161098</v>
      </c>
      <c r="D32" s="36">
        <f t="shared" ref="D32:D48" si="8">C32*J32</f>
        <v>0</v>
      </c>
      <c r="E32" s="37">
        <f t="shared" ref="E32:E48" si="9">C32*K32</f>
        <v>0</v>
      </c>
      <c r="F32" s="38" t="s">
        <v>34</v>
      </c>
      <c r="G32" s="39">
        <v>0.13000100000000001</v>
      </c>
      <c r="H32" s="45">
        <v>0</v>
      </c>
      <c r="I32" s="45"/>
      <c r="J32" s="48">
        <f t="shared" ref="J32:J48" si="10">I32/$J$5</f>
        <v>0</v>
      </c>
      <c r="K32" s="49">
        <f t="shared" ref="K32:K48" si="11">I32/$K$4</f>
        <v>0</v>
      </c>
      <c r="L32" s="43">
        <v>0</v>
      </c>
      <c r="M32" s="43">
        <v>0</v>
      </c>
      <c r="N32" s="50" t="s">
        <v>85</v>
      </c>
      <c r="O32" s="50" t="s">
        <v>85</v>
      </c>
      <c r="P32" s="50" t="s">
        <v>85</v>
      </c>
      <c r="Q32" s="46">
        <v>0</v>
      </c>
      <c r="R32" s="47"/>
    </row>
    <row r="33" spans="1:18" ht="14.4" customHeight="1" x14ac:dyDescent="0.25">
      <c r="A33" s="33" t="s">
        <v>86</v>
      </c>
      <c r="B33" s="34" t="s">
        <v>87</v>
      </c>
      <c r="C33" s="35">
        <v>259866270</v>
      </c>
      <c r="D33" s="36">
        <f t="shared" si="8"/>
        <v>15490482.558278162</v>
      </c>
      <c r="E33" s="37">
        <f t="shared" si="9"/>
        <v>12993313.5</v>
      </c>
      <c r="F33" s="38" t="s">
        <v>39</v>
      </c>
      <c r="G33" s="39">
        <v>1.4</v>
      </c>
      <c r="H33" s="40">
        <v>1.5</v>
      </c>
      <c r="I33" s="40">
        <v>1.5</v>
      </c>
      <c r="J33" s="41">
        <f t="shared" si="10"/>
        <v>5.9609438955960548E-2</v>
      </c>
      <c r="K33" s="42">
        <f t="shared" si="11"/>
        <v>0.05</v>
      </c>
      <c r="L33" s="43">
        <f t="shared" ref="L33:L48" si="12">I33-H33</f>
        <v>0</v>
      </c>
      <c r="M33" s="43">
        <f t="shared" ref="M33:M48" si="13">((I33-H33)/H33)*100</f>
        <v>0</v>
      </c>
      <c r="N33" s="44">
        <v>300</v>
      </c>
      <c r="O33" s="35">
        <v>450</v>
      </c>
      <c r="P33" s="45">
        <f t="shared" ref="P33:P38" si="14">(R33)/J33</f>
        <v>0</v>
      </c>
      <c r="Q33" s="46">
        <f t="shared" ref="Q33:Q48" si="15">I33/G33-1</f>
        <v>7.1428571428571397E-2</v>
      </c>
      <c r="R33" s="47"/>
    </row>
    <row r="34" spans="1:18" ht="14.4" customHeight="1" x14ac:dyDescent="0.25">
      <c r="A34" s="33" t="s">
        <v>88</v>
      </c>
      <c r="B34" s="34" t="s">
        <v>89</v>
      </c>
      <c r="C34" s="35">
        <v>122029470</v>
      </c>
      <c r="D34" s="36">
        <f t="shared" si="8"/>
        <v>3637054.1213966096</v>
      </c>
      <c r="E34" s="37">
        <f t="shared" si="9"/>
        <v>3050736.75</v>
      </c>
      <c r="F34" s="38" t="s">
        <v>39</v>
      </c>
      <c r="G34" s="39">
        <v>0.65</v>
      </c>
      <c r="H34" s="40">
        <v>0.75</v>
      </c>
      <c r="I34" s="40">
        <v>0.75</v>
      </c>
      <c r="J34" s="41">
        <f t="shared" si="10"/>
        <v>2.9804719477980274E-2</v>
      </c>
      <c r="K34" s="42">
        <f t="shared" si="11"/>
        <v>2.5000000000000001E-2</v>
      </c>
      <c r="L34" s="43">
        <f t="shared" si="12"/>
        <v>0</v>
      </c>
      <c r="M34" s="43">
        <f t="shared" si="13"/>
        <v>0</v>
      </c>
      <c r="N34" s="44">
        <v>0</v>
      </c>
      <c r="O34" s="35">
        <v>0</v>
      </c>
      <c r="P34" s="45">
        <f t="shared" si="14"/>
        <v>0</v>
      </c>
      <c r="Q34" s="46">
        <f t="shared" si="15"/>
        <v>0.15384615384615374</v>
      </c>
      <c r="R34" s="47"/>
    </row>
    <row r="35" spans="1:18" ht="14.4" customHeight="1" x14ac:dyDescent="0.25">
      <c r="A35" s="33" t="s">
        <v>90</v>
      </c>
      <c r="B35" s="34" t="s">
        <v>91</v>
      </c>
      <c r="C35" s="35">
        <v>2495495543</v>
      </c>
      <c r="D35" s="36">
        <f t="shared" si="8"/>
        <v>164622298.75376531</v>
      </c>
      <c r="E35" s="37">
        <f t="shared" si="9"/>
        <v>138084086.71266666</v>
      </c>
      <c r="F35" s="38" t="s">
        <v>92</v>
      </c>
      <c r="G35" s="39">
        <v>1.44</v>
      </c>
      <c r="H35" s="40">
        <v>1.66</v>
      </c>
      <c r="I35" s="40">
        <v>1.66</v>
      </c>
      <c r="J35" s="41">
        <f t="shared" si="10"/>
        <v>6.5967779111263003E-2</v>
      </c>
      <c r="K35" s="42">
        <f t="shared" si="11"/>
        <v>5.5333333333333332E-2</v>
      </c>
      <c r="L35" s="43">
        <f t="shared" si="12"/>
        <v>0</v>
      </c>
      <c r="M35" s="43">
        <f t="shared" si="13"/>
        <v>0</v>
      </c>
      <c r="N35" s="44">
        <v>1100</v>
      </c>
      <c r="O35" s="35">
        <v>1826</v>
      </c>
      <c r="P35" s="45">
        <f t="shared" si="14"/>
        <v>0</v>
      </c>
      <c r="Q35" s="46">
        <f t="shared" si="15"/>
        <v>0.15277777777777768</v>
      </c>
      <c r="R35" s="47"/>
    </row>
    <row r="36" spans="1:18" ht="14.4" customHeight="1" x14ac:dyDescent="0.25">
      <c r="A36" s="33" t="s">
        <v>93</v>
      </c>
      <c r="B36" s="34" t="s">
        <v>94</v>
      </c>
      <c r="C36" s="35">
        <v>253492983</v>
      </c>
      <c r="D36" s="36">
        <f t="shared" si="8"/>
        <v>34149898.360740431</v>
      </c>
      <c r="E36" s="37">
        <f t="shared" si="9"/>
        <v>28644707.079</v>
      </c>
      <c r="F36" s="38" t="s">
        <v>34</v>
      </c>
      <c r="G36" s="39">
        <v>3.6056249999999999</v>
      </c>
      <c r="H36" s="40">
        <v>3.5749169999999997</v>
      </c>
      <c r="I36" s="40">
        <v>3.39</v>
      </c>
      <c r="J36" s="41">
        <f t="shared" si="10"/>
        <v>0.13471733204047084</v>
      </c>
      <c r="K36" s="42">
        <f t="shared" si="11"/>
        <v>0.113</v>
      </c>
      <c r="L36" s="43">
        <f t="shared" si="12"/>
        <v>-0.18491699999999955</v>
      </c>
      <c r="M36" s="43">
        <f t="shared" si="13"/>
        <v>-5.1726235881839937</v>
      </c>
      <c r="N36" s="44">
        <v>1800</v>
      </c>
      <c r="O36" s="35">
        <v>6102</v>
      </c>
      <c r="P36" s="45">
        <f t="shared" si="14"/>
        <v>0</v>
      </c>
      <c r="Q36" s="46">
        <f t="shared" si="15"/>
        <v>-5.9802392095683721E-2</v>
      </c>
      <c r="R36" s="47"/>
    </row>
    <row r="37" spans="1:18" x14ac:dyDescent="0.25">
      <c r="A37" s="33" t="s">
        <v>95</v>
      </c>
      <c r="B37" s="34" t="s">
        <v>96</v>
      </c>
      <c r="C37" s="35">
        <v>4715084056</v>
      </c>
      <c r="D37" s="36">
        <f t="shared" si="8"/>
        <v>5627641.0771784876</v>
      </c>
      <c r="E37" s="37">
        <f t="shared" si="9"/>
        <v>4720427.8179301331</v>
      </c>
      <c r="F37" s="38" t="s">
        <v>34</v>
      </c>
      <c r="G37" s="39">
        <v>2.5099999999999997E-2</v>
      </c>
      <c r="H37" s="40">
        <v>3.0089000000000001E-2</v>
      </c>
      <c r="I37" s="40">
        <v>3.0034000000000002E-2</v>
      </c>
      <c r="J37" s="41">
        <f t="shared" si="10"/>
        <v>1.1935399264022129E-3</v>
      </c>
      <c r="K37" s="42">
        <f t="shared" si="11"/>
        <v>1.0011333333333333E-3</v>
      </c>
      <c r="L37" s="43">
        <f t="shared" si="12"/>
        <v>-5.4999999999999494E-5</v>
      </c>
      <c r="M37" s="43">
        <f t="shared" si="13"/>
        <v>-0.18279105320881217</v>
      </c>
      <c r="N37" s="44">
        <v>43900</v>
      </c>
      <c r="O37" s="35">
        <v>1318.5</v>
      </c>
      <c r="P37" s="45">
        <f t="shared" si="14"/>
        <v>0</v>
      </c>
      <c r="Q37" s="46">
        <f t="shared" si="15"/>
        <v>0.19657370517928308</v>
      </c>
      <c r="R37" s="47"/>
    </row>
    <row r="38" spans="1:18" x14ac:dyDescent="0.25">
      <c r="A38" s="33" t="s">
        <v>97</v>
      </c>
      <c r="B38" s="34" t="s">
        <v>98</v>
      </c>
      <c r="C38" s="35">
        <v>261064590</v>
      </c>
      <c r="D38" s="36">
        <f t="shared" si="8"/>
        <v>16085831.50378719</v>
      </c>
      <c r="E38" s="37">
        <f t="shared" si="9"/>
        <v>13492688.226500001</v>
      </c>
      <c r="F38" s="38" t="s">
        <v>92</v>
      </c>
      <c r="G38" s="39">
        <v>0.61</v>
      </c>
      <c r="H38" s="40">
        <v>1.482</v>
      </c>
      <c r="I38" s="40">
        <v>1.5505000000000002</v>
      </c>
      <c r="J38" s="41">
        <f t="shared" si="10"/>
        <v>6.1616290067477895E-2</v>
      </c>
      <c r="K38" s="42">
        <f t="shared" si="11"/>
        <v>5.1683333333333338E-2</v>
      </c>
      <c r="L38" s="43">
        <f t="shared" si="12"/>
        <v>6.8500000000000227E-2</v>
      </c>
      <c r="M38" s="43">
        <f t="shared" si="13"/>
        <v>4.6221322537112162</v>
      </c>
      <c r="N38" s="44">
        <v>200</v>
      </c>
      <c r="O38" s="35">
        <v>310.10000000000002</v>
      </c>
      <c r="P38" s="45">
        <f t="shared" si="14"/>
        <v>0</v>
      </c>
      <c r="Q38" s="46">
        <f t="shared" si="15"/>
        <v>1.541803278688525</v>
      </c>
      <c r="R38" s="47"/>
    </row>
    <row r="39" spans="1:18" ht="12" customHeight="1" x14ac:dyDescent="0.25">
      <c r="A39" s="33" t="s">
        <v>99</v>
      </c>
      <c r="B39" s="34" t="s">
        <v>100</v>
      </c>
      <c r="C39" s="35">
        <v>4194797929</v>
      </c>
      <c r="D39" s="36">
        <f t="shared" si="8"/>
        <v>16648799.21009613</v>
      </c>
      <c r="E39" s="37">
        <f t="shared" si="9"/>
        <v>13964901.7854339</v>
      </c>
      <c r="F39" s="38" t="s">
        <v>56</v>
      </c>
      <c r="G39" s="39">
        <v>0.11650199999999999</v>
      </c>
      <c r="H39" s="40">
        <v>9.1550999999999993E-2</v>
      </c>
      <c r="I39" s="40">
        <v>9.987299999999999E-2</v>
      </c>
      <c r="J39" s="41">
        <f t="shared" si="10"/>
        <v>3.9689156645657652E-3</v>
      </c>
      <c r="K39" s="42">
        <f t="shared" si="11"/>
        <v>3.3290999999999998E-3</v>
      </c>
      <c r="L39" s="43">
        <f t="shared" si="12"/>
        <v>8.3219999999999961E-3</v>
      </c>
      <c r="M39" s="43">
        <f t="shared" si="13"/>
        <v>9.0900154012517582</v>
      </c>
      <c r="N39" s="44">
        <v>7900</v>
      </c>
      <c r="O39" s="35">
        <v>789</v>
      </c>
      <c r="P39" s="45">
        <v>0</v>
      </c>
      <c r="Q39" s="46">
        <f t="shared" si="15"/>
        <v>-0.14273574702580216</v>
      </c>
      <c r="R39" s="47"/>
    </row>
    <row r="40" spans="1:18" ht="12" customHeight="1" x14ac:dyDescent="0.25">
      <c r="A40" s="33" t="s">
        <v>101</v>
      </c>
      <c r="B40" s="34" t="s">
        <v>102</v>
      </c>
      <c r="C40" s="35">
        <v>362927587</v>
      </c>
      <c r="D40" s="36">
        <f t="shared" si="8"/>
        <v>79324336.08993873</v>
      </c>
      <c r="E40" s="37">
        <f t="shared" si="9"/>
        <v>66536724.283333331</v>
      </c>
      <c r="F40" s="38" t="s">
        <v>34</v>
      </c>
      <c r="G40" s="39">
        <v>2.6005000000000003</v>
      </c>
      <c r="H40" s="40">
        <v>4.8025000000000002</v>
      </c>
      <c r="I40" s="40">
        <v>5.5</v>
      </c>
      <c r="J40" s="41">
        <f t="shared" si="10"/>
        <v>0.21856794283852202</v>
      </c>
      <c r="K40" s="42">
        <f t="shared" si="11"/>
        <v>0.18333333333333332</v>
      </c>
      <c r="L40" s="43">
        <f t="shared" si="12"/>
        <v>0.69749999999999979</v>
      </c>
      <c r="M40" s="43">
        <f t="shared" si="13"/>
        <v>14.523685580426857</v>
      </c>
      <c r="N40" s="44">
        <v>14000</v>
      </c>
      <c r="O40" s="35">
        <v>77000</v>
      </c>
      <c r="P40" s="45">
        <f t="shared" ref="P40:P47" si="16">(R40)/J40</f>
        <v>0</v>
      </c>
      <c r="Q40" s="46">
        <f t="shared" si="15"/>
        <v>1.1149778888675255</v>
      </c>
      <c r="R40" s="47"/>
    </row>
    <row r="41" spans="1:18" ht="12" customHeight="1" x14ac:dyDescent="0.25">
      <c r="A41" s="33" t="s">
        <v>103</v>
      </c>
      <c r="B41" s="34" t="s">
        <v>104</v>
      </c>
      <c r="C41" s="35">
        <v>4315726499</v>
      </c>
      <c r="D41" s="36">
        <f t="shared" si="8"/>
        <v>15469783.188938079</v>
      </c>
      <c r="E41" s="37">
        <f t="shared" si="9"/>
        <v>12975951.006993333</v>
      </c>
      <c r="F41" s="38" t="s">
        <v>39</v>
      </c>
      <c r="G41" s="39">
        <v>0.1</v>
      </c>
      <c r="H41" s="40">
        <v>0.1</v>
      </c>
      <c r="I41" s="40">
        <v>9.0200000000000002E-2</v>
      </c>
      <c r="J41" s="41">
        <f t="shared" si="10"/>
        <v>3.5845142625517612E-3</v>
      </c>
      <c r="K41" s="42">
        <f t="shared" si="11"/>
        <v>3.0066666666666666E-3</v>
      </c>
      <c r="L41" s="43">
        <f t="shared" si="12"/>
        <v>-9.8000000000000032E-3</v>
      </c>
      <c r="M41" s="43">
        <f t="shared" si="13"/>
        <v>-9.8000000000000025</v>
      </c>
      <c r="N41" s="44">
        <v>100</v>
      </c>
      <c r="O41" s="35">
        <v>9.02</v>
      </c>
      <c r="P41" s="45">
        <f t="shared" si="16"/>
        <v>0</v>
      </c>
      <c r="Q41" s="46">
        <f t="shared" si="15"/>
        <v>-9.7999999999999976E-2</v>
      </c>
      <c r="R41" s="47"/>
    </row>
    <row r="42" spans="1:18" ht="12" customHeight="1" x14ac:dyDescent="0.25">
      <c r="A42" s="33" t="s">
        <v>105</v>
      </c>
      <c r="B42" s="34" t="s">
        <v>106</v>
      </c>
      <c r="C42" s="35">
        <v>106474237</v>
      </c>
      <c r="D42" s="36">
        <f t="shared" si="8"/>
        <v>12693739.061667953</v>
      </c>
      <c r="E42" s="37">
        <f t="shared" si="9"/>
        <v>10647423.700000001</v>
      </c>
      <c r="F42" s="38" t="s">
        <v>44</v>
      </c>
      <c r="G42" s="39">
        <v>1.7452379999999998</v>
      </c>
      <c r="H42" s="40">
        <v>3</v>
      </c>
      <c r="I42" s="40">
        <v>3</v>
      </c>
      <c r="J42" s="41">
        <f t="shared" si="10"/>
        <v>0.1192188779119211</v>
      </c>
      <c r="K42" s="42">
        <f t="shared" si="11"/>
        <v>0.1</v>
      </c>
      <c r="L42" s="43">
        <f t="shared" si="12"/>
        <v>0</v>
      </c>
      <c r="M42" s="43">
        <f t="shared" si="13"/>
        <v>0</v>
      </c>
      <c r="N42" s="44">
        <v>0</v>
      </c>
      <c r="O42" s="35">
        <v>0</v>
      </c>
      <c r="P42" s="45">
        <f t="shared" si="16"/>
        <v>0</v>
      </c>
      <c r="Q42" s="46">
        <f t="shared" si="15"/>
        <v>0.7189632588793049</v>
      </c>
      <c r="R42" s="47">
        <v>0</v>
      </c>
    </row>
    <row r="43" spans="1:18" ht="12" customHeight="1" x14ac:dyDescent="0.25">
      <c r="A43" s="33" t="s">
        <v>107</v>
      </c>
      <c r="B43" s="34" t="s">
        <v>108</v>
      </c>
      <c r="C43" s="35">
        <v>1778001428</v>
      </c>
      <c r="D43" s="36">
        <f t="shared" si="8"/>
        <v>2190370.4634435182</v>
      </c>
      <c r="E43" s="37">
        <f t="shared" si="9"/>
        <v>1837268.1422666667</v>
      </c>
      <c r="F43" s="38" t="s">
        <v>39</v>
      </c>
      <c r="G43" s="39">
        <v>0.03</v>
      </c>
      <c r="H43" s="40">
        <v>3.1E-2</v>
      </c>
      <c r="I43" s="40">
        <v>3.1E-2</v>
      </c>
      <c r="J43" s="41">
        <f t="shared" si="10"/>
        <v>1.2319284050898514E-3</v>
      </c>
      <c r="K43" s="42">
        <f t="shared" si="11"/>
        <v>1.0333333333333334E-3</v>
      </c>
      <c r="L43" s="43">
        <f t="shared" si="12"/>
        <v>0</v>
      </c>
      <c r="M43" s="43">
        <f t="shared" si="13"/>
        <v>0</v>
      </c>
      <c r="N43" s="44">
        <v>0</v>
      </c>
      <c r="O43" s="35">
        <v>0</v>
      </c>
      <c r="P43" s="45">
        <f t="shared" si="16"/>
        <v>0</v>
      </c>
      <c r="Q43" s="46">
        <f t="shared" si="15"/>
        <v>3.3333333333333437E-2</v>
      </c>
      <c r="R43" s="47">
        <v>0</v>
      </c>
    </row>
    <row r="44" spans="1:18" ht="12" customHeight="1" x14ac:dyDescent="0.25">
      <c r="A44" s="33" t="s">
        <v>109</v>
      </c>
      <c r="B44" s="34" t="s">
        <v>110</v>
      </c>
      <c r="C44" s="35">
        <v>175190642</v>
      </c>
      <c r="D44" s="36">
        <f t="shared" si="8"/>
        <v>36063214.838776335</v>
      </c>
      <c r="E44" s="37">
        <f t="shared" si="9"/>
        <v>30249584.185333334</v>
      </c>
      <c r="F44" s="38" t="s">
        <v>47</v>
      </c>
      <c r="G44" s="39">
        <v>4.5</v>
      </c>
      <c r="H44" s="40">
        <v>5.18</v>
      </c>
      <c r="I44" s="40">
        <v>5.18</v>
      </c>
      <c r="J44" s="41">
        <f t="shared" si="10"/>
        <v>0.20585126252791708</v>
      </c>
      <c r="K44" s="42">
        <f t="shared" si="11"/>
        <v>0.17266666666666666</v>
      </c>
      <c r="L44" s="43">
        <f t="shared" si="12"/>
        <v>0</v>
      </c>
      <c r="M44" s="43">
        <f t="shared" si="13"/>
        <v>0</v>
      </c>
      <c r="N44" s="44">
        <v>0</v>
      </c>
      <c r="O44" s="35">
        <v>0</v>
      </c>
      <c r="P44" s="45">
        <f t="shared" si="16"/>
        <v>0</v>
      </c>
      <c r="Q44" s="46">
        <f t="shared" si="15"/>
        <v>0.15111111111111097</v>
      </c>
      <c r="R44" s="47">
        <v>0</v>
      </c>
    </row>
    <row r="45" spans="1:18" ht="12" customHeight="1" x14ac:dyDescent="0.25">
      <c r="A45" s="33" t="s">
        <v>111</v>
      </c>
      <c r="B45" s="34" t="s">
        <v>112</v>
      </c>
      <c r="C45" s="35">
        <v>463337661</v>
      </c>
      <c r="D45" s="36">
        <f t="shared" si="8"/>
        <v>331.43157623252455</v>
      </c>
      <c r="E45" s="37">
        <f t="shared" si="9"/>
        <v>278.0025966</v>
      </c>
      <c r="F45" s="38" t="s">
        <v>44</v>
      </c>
      <c r="G45" s="39">
        <v>1.8E-5</v>
      </c>
      <c r="H45" s="40">
        <v>1.8E-5</v>
      </c>
      <c r="I45" s="40">
        <v>1.8E-5</v>
      </c>
      <c r="J45" s="41">
        <f t="shared" si="10"/>
        <v>7.1531326747152663E-7</v>
      </c>
      <c r="K45" s="42">
        <f t="shared" si="11"/>
        <v>5.9999999999999997E-7</v>
      </c>
      <c r="L45" s="43">
        <f t="shared" si="12"/>
        <v>0</v>
      </c>
      <c r="M45" s="43">
        <f t="shared" si="13"/>
        <v>0</v>
      </c>
      <c r="N45" s="44">
        <v>0</v>
      </c>
      <c r="O45" s="35">
        <v>0</v>
      </c>
      <c r="P45" s="45">
        <f t="shared" si="16"/>
        <v>0</v>
      </c>
      <c r="Q45" s="46">
        <f t="shared" si="15"/>
        <v>0</v>
      </c>
      <c r="R45" s="47">
        <v>0</v>
      </c>
    </row>
    <row r="46" spans="1:18" ht="12" customHeight="1" x14ac:dyDescent="0.25">
      <c r="A46" s="33" t="s">
        <v>113</v>
      </c>
      <c r="B46" s="34" t="s">
        <v>114</v>
      </c>
      <c r="C46" s="35">
        <v>576000000</v>
      </c>
      <c r="D46" s="36">
        <f t="shared" si="8"/>
        <v>1648997.3692367605</v>
      </c>
      <c r="E46" s="37">
        <f t="shared" si="9"/>
        <v>1383167.9999999998</v>
      </c>
      <c r="F46" s="38" t="s">
        <v>56</v>
      </c>
      <c r="G46" s="39">
        <v>7.0000000000000007E-2</v>
      </c>
      <c r="H46" s="40">
        <v>7.2039999999999993E-2</v>
      </c>
      <c r="I46" s="40">
        <v>7.2039999999999993E-2</v>
      </c>
      <c r="J46" s="41">
        <f t="shared" si="10"/>
        <v>2.8628426549249316E-3</v>
      </c>
      <c r="K46" s="42">
        <f t="shared" si="11"/>
        <v>2.401333333333333E-3</v>
      </c>
      <c r="L46" s="43">
        <f t="shared" si="12"/>
        <v>0</v>
      </c>
      <c r="M46" s="43">
        <f t="shared" si="13"/>
        <v>0</v>
      </c>
      <c r="N46" s="44">
        <v>0</v>
      </c>
      <c r="O46" s="35">
        <v>0</v>
      </c>
      <c r="P46" s="45">
        <f t="shared" si="16"/>
        <v>0</v>
      </c>
      <c r="Q46" s="46">
        <f t="shared" si="15"/>
        <v>2.9142857142856915E-2</v>
      </c>
      <c r="R46" s="47"/>
    </row>
    <row r="47" spans="1:18" ht="12" customHeight="1" x14ac:dyDescent="0.25">
      <c r="A47" s="33" t="s">
        <v>115</v>
      </c>
      <c r="B47" s="34" t="s">
        <v>116</v>
      </c>
      <c r="C47" s="35">
        <v>1818218786</v>
      </c>
      <c r="D47" s="36">
        <f t="shared" si="8"/>
        <v>61088633.819917105</v>
      </c>
      <c r="E47" s="37">
        <f t="shared" si="9"/>
        <v>51240738.790587671</v>
      </c>
      <c r="F47" s="38" t="s">
        <v>47</v>
      </c>
      <c r="G47" s="39">
        <v>0.9998999999999999</v>
      </c>
      <c r="H47" s="40">
        <v>0.9</v>
      </c>
      <c r="I47" s="40">
        <v>0.84545500000000007</v>
      </c>
      <c r="J47" s="41">
        <f t="shared" si="10"/>
        <v>3.3598065475007752E-2</v>
      </c>
      <c r="K47" s="42">
        <f t="shared" si="11"/>
        <v>2.8181833333333337E-2</v>
      </c>
      <c r="L47" s="43">
        <f t="shared" si="12"/>
        <v>-5.4544999999999955E-2</v>
      </c>
      <c r="M47" s="43">
        <f t="shared" si="13"/>
        <v>-6.0605555555555499</v>
      </c>
      <c r="N47" s="44">
        <v>2200</v>
      </c>
      <c r="O47" s="35">
        <v>1860</v>
      </c>
      <c r="P47" s="45">
        <f t="shared" si="16"/>
        <v>0</v>
      </c>
      <c r="Q47" s="46">
        <f t="shared" si="15"/>
        <v>-0.15446044604460429</v>
      </c>
      <c r="R47" s="47">
        <v>0</v>
      </c>
    </row>
    <row r="48" spans="1:18" ht="12" customHeight="1" x14ac:dyDescent="0.25">
      <c r="A48" s="33" t="s">
        <v>117</v>
      </c>
      <c r="B48" s="34" t="s">
        <v>118</v>
      </c>
      <c r="C48" s="35">
        <v>102712520</v>
      </c>
      <c r="D48" s="36">
        <f t="shared" si="8"/>
        <v>3877669.2709368225</v>
      </c>
      <c r="E48" s="37">
        <f t="shared" si="9"/>
        <v>3252563.1333333328</v>
      </c>
      <c r="F48" s="38" t="s">
        <v>47</v>
      </c>
      <c r="G48" s="39">
        <v>1.4503460000000001</v>
      </c>
      <c r="H48" s="40">
        <v>1.1000000000000001</v>
      </c>
      <c r="I48" s="40">
        <v>0.95</v>
      </c>
      <c r="J48" s="41">
        <f t="shared" si="10"/>
        <v>3.775264467210835E-2</v>
      </c>
      <c r="K48" s="42">
        <f t="shared" si="11"/>
        <v>3.1666666666666662E-2</v>
      </c>
      <c r="L48" s="43">
        <f t="shared" si="12"/>
        <v>-0.15000000000000013</v>
      </c>
      <c r="M48" s="43">
        <f t="shared" si="13"/>
        <v>-13.636363636363647</v>
      </c>
      <c r="N48" s="44">
        <v>10000</v>
      </c>
      <c r="O48" s="35">
        <v>9500</v>
      </c>
      <c r="P48" s="45">
        <v>0</v>
      </c>
      <c r="Q48" s="46">
        <f t="shared" si="15"/>
        <v>-0.34498388660361057</v>
      </c>
      <c r="R48" s="47"/>
    </row>
    <row r="49" spans="1:20" ht="13.8" thickBot="1" x14ac:dyDescent="0.4">
      <c r="A49" s="51"/>
      <c r="B49" s="52" t="s">
        <v>82</v>
      </c>
      <c r="C49" s="53"/>
      <c r="D49" s="54"/>
      <c r="E49" s="54"/>
      <c r="F49" s="55"/>
      <c r="G49" s="55"/>
      <c r="H49" s="43"/>
      <c r="I49" s="43"/>
      <c r="J49" s="43"/>
      <c r="K49" s="43"/>
      <c r="L49" s="43"/>
      <c r="M49" s="43"/>
      <c r="N49" s="55">
        <f>SUM(N10:N48)</f>
        <v>997400</v>
      </c>
      <c r="O49" s="56">
        <f>SUM(O10:O48)</f>
        <v>15606406.619999999</v>
      </c>
      <c r="P49" s="56"/>
      <c r="Q49" s="57"/>
    </row>
    <row r="50" spans="1:20" ht="13.2" x14ac:dyDescent="0.35">
      <c r="A50" s="58"/>
      <c r="B50" s="59" t="s">
        <v>82</v>
      </c>
      <c r="C50" s="60"/>
      <c r="D50" s="60"/>
      <c r="E50" s="60"/>
      <c r="F50" s="61"/>
      <c r="G50" s="61"/>
      <c r="H50" s="62"/>
      <c r="I50" s="62"/>
      <c r="J50" s="62"/>
      <c r="K50" s="62"/>
      <c r="L50" s="62"/>
      <c r="M50" s="62"/>
      <c r="N50" s="61"/>
      <c r="O50" s="61"/>
      <c r="P50" s="61"/>
      <c r="Q50" s="63"/>
    </row>
    <row r="51" spans="1:20" ht="12.6" x14ac:dyDescent="0.3">
      <c r="A51" s="146" t="s">
        <v>119</v>
      </c>
      <c r="B51" s="147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9"/>
    </row>
    <row r="52" spans="1:20" x14ac:dyDescent="0.25">
      <c r="A52" s="33" t="s">
        <v>120</v>
      </c>
      <c r="B52" s="34" t="s">
        <v>121</v>
      </c>
      <c r="C52" s="38">
        <v>14786476</v>
      </c>
      <c r="D52" s="36">
        <f t="shared" ref="D52:D66" si="17">C52*J52</f>
        <v>76446080.920000002</v>
      </c>
      <c r="E52" s="37">
        <f>C52*K52</f>
        <v>0</v>
      </c>
      <c r="F52" s="38" t="s">
        <v>92</v>
      </c>
      <c r="G52" s="64">
        <v>4</v>
      </c>
      <c r="H52" s="40">
        <v>5.1692</v>
      </c>
      <c r="I52" s="40">
        <v>5.17</v>
      </c>
      <c r="J52" s="41">
        <f t="shared" ref="J52:J66" si="18">I52</f>
        <v>5.17</v>
      </c>
      <c r="K52" s="37">
        <v>0</v>
      </c>
      <c r="L52" s="43">
        <f t="shared" ref="L52:L66" si="19">I52-H52</f>
        <v>7.9999999999991189E-4</v>
      </c>
      <c r="M52" s="43">
        <f t="shared" ref="M52:M66" si="20">((I52-H52)/H52)*100</f>
        <v>1.5476282596918516E-2</v>
      </c>
      <c r="N52" s="44">
        <v>13134</v>
      </c>
      <c r="O52" s="35">
        <v>67902.78</v>
      </c>
      <c r="P52" s="45">
        <v>0</v>
      </c>
      <c r="Q52" s="46">
        <f t="shared" ref="Q52:Q66" si="21">J52/G52-1</f>
        <v>0.29249999999999998</v>
      </c>
      <c r="R52" s="65"/>
      <c r="T52" s="65"/>
    </row>
    <row r="53" spans="1:20" x14ac:dyDescent="0.25">
      <c r="A53" s="33" t="s">
        <v>122</v>
      </c>
      <c r="B53" s="34" t="s">
        <v>123</v>
      </c>
      <c r="C53" s="38">
        <v>554920308</v>
      </c>
      <c r="D53" s="36">
        <f t="shared" si="17"/>
        <v>76357034.380799994</v>
      </c>
      <c r="E53" s="37">
        <v>0</v>
      </c>
      <c r="F53" s="38" t="s">
        <v>92</v>
      </c>
      <c r="G53" s="64">
        <v>0.1</v>
      </c>
      <c r="H53" s="40">
        <v>0.13950000000000001</v>
      </c>
      <c r="I53" s="40">
        <v>0.1376</v>
      </c>
      <c r="J53" s="41">
        <f t="shared" si="18"/>
        <v>0.1376</v>
      </c>
      <c r="K53" s="37">
        <v>0</v>
      </c>
      <c r="L53" s="43">
        <f t="shared" si="19"/>
        <v>-1.9000000000000128E-3</v>
      </c>
      <c r="M53" s="43">
        <f t="shared" si="20"/>
        <v>-1.3620071684587904</v>
      </c>
      <c r="N53" s="44">
        <v>52915</v>
      </c>
      <c r="O53" s="35">
        <v>7282.96</v>
      </c>
      <c r="P53" s="38">
        <f>(R53)/J53</f>
        <v>0</v>
      </c>
      <c r="Q53" s="46">
        <f t="shared" si="21"/>
        <v>0.37599999999999989</v>
      </c>
      <c r="T53" s="65"/>
    </row>
    <row r="54" spans="1:20" x14ac:dyDescent="0.25">
      <c r="A54" s="33" t="s">
        <v>124</v>
      </c>
      <c r="B54" s="34" t="s">
        <v>125</v>
      </c>
      <c r="C54" s="38">
        <v>1057685</v>
      </c>
      <c r="D54" s="36">
        <f t="shared" si="17"/>
        <v>52884250</v>
      </c>
      <c r="E54" s="37">
        <v>0</v>
      </c>
      <c r="F54" s="38" t="s">
        <v>39</v>
      </c>
      <c r="G54" s="64">
        <v>39.9</v>
      </c>
      <c r="H54" s="40">
        <v>50</v>
      </c>
      <c r="I54" s="40">
        <v>50</v>
      </c>
      <c r="J54" s="41">
        <f t="shared" si="18"/>
        <v>50</v>
      </c>
      <c r="K54" s="37">
        <v>0</v>
      </c>
      <c r="L54" s="43">
        <f t="shared" si="19"/>
        <v>0</v>
      </c>
      <c r="M54" s="43">
        <f t="shared" si="20"/>
        <v>0</v>
      </c>
      <c r="N54" s="44">
        <v>0</v>
      </c>
      <c r="O54" s="35">
        <v>0</v>
      </c>
      <c r="P54" s="38">
        <f>(R54)/J54</f>
        <v>0</v>
      </c>
      <c r="Q54" s="46">
        <f t="shared" si="21"/>
        <v>0.25313283208020065</v>
      </c>
      <c r="R54" s="65"/>
      <c r="T54" s="65"/>
    </row>
    <row r="55" spans="1:20" x14ac:dyDescent="0.25">
      <c r="A55" s="33" t="s">
        <v>126</v>
      </c>
      <c r="B55" s="34" t="s">
        <v>127</v>
      </c>
      <c r="C55" s="38">
        <v>2992163203</v>
      </c>
      <c r="D55" s="36">
        <f t="shared" si="17"/>
        <v>878499116.40080011</v>
      </c>
      <c r="E55" s="37"/>
      <c r="F55" s="38" t="s">
        <v>56</v>
      </c>
      <c r="G55" s="64">
        <v>0.33</v>
      </c>
      <c r="H55" s="40">
        <v>0.29470000000000002</v>
      </c>
      <c r="I55" s="40">
        <v>0.29360000000000003</v>
      </c>
      <c r="J55" s="41">
        <f t="shared" si="18"/>
        <v>0.29360000000000003</v>
      </c>
      <c r="K55" s="37">
        <v>0</v>
      </c>
      <c r="L55" s="43">
        <f t="shared" si="19"/>
        <v>-1.0999999999999899E-3</v>
      </c>
      <c r="M55" s="43">
        <f t="shared" si="20"/>
        <v>-0.37326094333219878</v>
      </c>
      <c r="N55" s="44">
        <v>174996</v>
      </c>
      <c r="O55" s="35">
        <v>51385.08</v>
      </c>
      <c r="P55" s="38">
        <v>0</v>
      </c>
      <c r="Q55" s="46">
        <f t="shared" si="21"/>
        <v>-0.11030303030303024</v>
      </c>
      <c r="R55" s="65"/>
      <c r="T55" s="65"/>
    </row>
    <row r="56" spans="1:20" x14ac:dyDescent="0.25">
      <c r="A56" s="33" t="s">
        <v>128</v>
      </c>
      <c r="B56" s="34" t="s">
        <v>129</v>
      </c>
      <c r="C56" s="38">
        <v>609740943</v>
      </c>
      <c r="D56" s="36">
        <f t="shared" si="17"/>
        <v>13658197.123199999</v>
      </c>
      <c r="E56" s="37">
        <v>0</v>
      </c>
      <c r="F56" s="38" t="s">
        <v>34</v>
      </c>
      <c r="G56" s="64">
        <v>2.3E-2</v>
      </c>
      <c r="H56" s="40">
        <v>2.3800000000000002E-2</v>
      </c>
      <c r="I56" s="40">
        <v>2.24E-2</v>
      </c>
      <c r="J56" s="41">
        <f t="shared" si="18"/>
        <v>2.24E-2</v>
      </c>
      <c r="K56" s="37">
        <v>0</v>
      </c>
      <c r="L56" s="43">
        <f t="shared" si="19"/>
        <v>-1.4000000000000019E-3</v>
      </c>
      <c r="M56" s="43">
        <f t="shared" si="20"/>
        <v>-5.8823529411764781</v>
      </c>
      <c r="N56" s="44">
        <v>46779</v>
      </c>
      <c r="O56" s="35">
        <v>1048.6300000000001</v>
      </c>
      <c r="P56" s="38">
        <f t="shared" ref="P56:P66" si="22">(R56)/J56</f>
        <v>0</v>
      </c>
      <c r="Q56" s="46">
        <f t="shared" si="21"/>
        <v>-2.6086956521739091E-2</v>
      </c>
      <c r="T56" s="65"/>
    </row>
    <row r="57" spans="1:20" x14ac:dyDescent="0.25">
      <c r="A57" s="33" t="s">
        <v>130</v>
      </c>
      <c r="B57" s="34" t="s">
        <v>131</v>
      </c>
      <c r="C57" s="38">
        <v>2161875929</v>
      </c>
      <c r="D57" s="36">
        <f t="shared" si="17"/>
        <v>226996972.54499999</v>
      </c>
      <c r="E57" s="37">
        <v>0</v>
      </c>
      <c r="F57" s="38" t="s">
        <v>47</v>
      </c>
      <c r="G57" s="64">
        <v>9.0200000000000002E-2</v>
      </c>
      <c r="H57" s="40">
        <v>0.1075</v>
      </c>
      <c r="I57" s="40">
        <v>0.105</v>
      </c>
      <c r="J57" s="41">
        <f t="shared" si="18"/>
        <v>0.105</v>
      </c>
      <c r="K57" s="37">
        <v>0</v>
      </c>
      <c r="L57" s="43">
        <f t="shared" si="19"/>
        <v>-2.5000000000000022E-3</v>
      </c>
      <c r="M57" s="66">
        <f t="shared" si="20"/>
        <v>-2.3255813953488391</v>
      </c>
      <c r="N57" s="44">
        <v>2218109</v>
      </c>
      <c r="O57" s="35">
        <v>232902.47</v>
      </c>
      <c r="P57" s="38">
        <f t="shared" si="22"/>
        <v>0</v>
      </c>
      <c r="Q57" s="46">
        <f t="shared" si="21"/>
        <v>0.16407982261640797</v>
      </c>
      <c r="R57" s="65"/>
      <c r="T57" s="65"/>
    </row>
    <row r="58" spans="1:20" x14ac:dyDescent="0.25">
      <c r="A58" s="33" t="s">
        <v>132</v>
      </c>
      <c r="B58" s="34" t="s">
        <v>133</v>
      </c>
      <c r="C58" s="38">
        <v>575926450</v>
      </c>
      <c r="D58" s="36">
        <f t="shared" si="17"/>
        <v>742138823.47000003</v>
      </c>
      <c r="E58" s="37">
        <v>0</v>
      </c>
      <c r="F58" s="38" t="s">
        <v>34</v>
      </c>
      <c r="G58" s="64">
        <v>0.95750000000000002</v>
      </c>
      <c r="H58" s="40">
        <v>1.2966</v>
      </c>
      <c r="I58" s="40">
        <v>1.2886</v>
      </c>
      <c r="J58" s="41">
        <f t="shared" si="18"/>
        <v>1.2886</v>
      </c>
      <c r="K58" s="37">
        <v>0</v>
      </c>
      <c r="L58" s="43">
        <f t="shared" si="19"/>
        <v>-8.0000000000000071E-3</v>
      </c>
      <c r="M58" s="43">
        <f t="shared" si="20"/>
        <v>-0.61699830325466665</v>
      </c>
      <c r="N58" s="44">
        <v>8523</v>
      </c>
      <c r="O58" s="35">
        <v>10983.05</v>
      </c>
      <c r="P58" s="38">
        <f t="shared" si="22"/>
        <v>0</v>
      </c>
      <c r="Q58" s="46">
        <f t="shared" si="21"/>
        <v>0.34579634464751963</v>
      </c>
      <c r="R58" s="65"/>
      <c r="T58" s="65"/>
    </row>
    <row r="59" spans="1:20" x14ac:dyDescent="0.25">
      <c r="A59" s="33" t="s">
        <v>134</v>
      </c>
      <c r="B59" s="34" t="s">
        <v>135</v>
      </c>
      <c r="C59" s="38">
        <v>164208222</v>
      </c>
      <c r="D59" s="36">
        <f t="shared" si="17"/>
        <v>24713337.410999998</v>
      </c>
      <c r="E59" s="37">
        <v>0</v>
      </c>
      <c r="F59" s="38" t="s">
        <v>34</v>
      </c>
      <c r="G59" s="64">
        <v>0.1595</v>
      </c>
      <c r="H59" s="40">
        <v>0.15040000000000001</v>
      </c>
      <c r="I59" s="40">
        <v>0.15049999999999999</v>
      </c>
      <c r="J59" s="41">
        <f t="shared" si="18"/>
        <v>0.15049999999999999</v>
      </c>
      <c r="K59" s="37">
        <v>0</v>
      </c>
      <c r="L59" s="43">
        <f t="shared" si="19"/>
        <v>9.9999999999988987E-5</v>
      </c>
      <c r="M59" s="43">
        <f t="shared" si="20"/>
        <v>6.6489361702120345E-2</v>
      </c>
      <c r="N59" s="44">
        <v>33</v>
      </c>
      <c r="O59" s="35">
        <v>4.97</v>
      </c>
      <c r="P59" s="38">
        <f t="shared" si="22"/>
        <v>0</v>
      </c>
      <c r="Q59" s="46">
        <f t="shared" si="21"/>
        <v>-5.6426332288401326E-2</v>
      </c>
      <c r="T59" s="65"/>
    </row>
    <row r="60" spans="1:20" x14ac:dyDescent="0.25">
      <c r="A60" s="33" t="s">
        <v>136</v>
      </c>
      <c r="B60" s="34" t="s">
        <v>137</v>
      </c>
      <c r="C60" s="38">
        <v>794581116</v>
      </c>
      <c r="D60" s="36">
        <f t="shared" si="17"/>
        <v>15891622.32</v>
      </c>
      <c r="E60" s="37">
        <v>0</v>
      </c>
      <c r="F60" s="38" t="s">
        <v>92</v>
      </c>
      <c r="G60" s="64">
        <v>1.6799999999999999E-2</v>
      </c>
      <c r="H60" s="40">
        <v>2.0299999999999999E-2</v>
      </c>
      <c r="I60" s="40">
        <v>0.02</v>
      </c>
      <c r="J60" s="41">
        <f t="shared" si="18"/>
        <v>0.02</v>
      </c>
      <c r="K60" s="37">
        <v>0</v>
      </c>
      <c r="L60" s="43">
        <f t="shared" si="19"/>
        <v>-2.9999999999999818E-4</v>
      </c>
      <c r="M60" s="66">
        <f t="shared" si="20"/>
        <v>-1.477832512315262</v>
      </c>
      <c r="N60" s="44">
        <v>33435</v>
      </c>
      <c r="O60" s="35">
        <v>668.7</v>
      </c>
      <c r="P60" s="38">
        <f t="shared" si="22"/>
        <v>0</v>
      </c>
      <c r="Q60" s="46">
        <f t="shared" si="21"/>
        <v>0.19047619047619047</v>
      </c>
      <c r="T60" s="65"/>
    </row>
    <row r="61" spans="1:20" x14ac:dyDescent="0.25">
      <c r="A61" s="33" t="s">
        <v>138</v>
      </c>
      <c r="B61" s="34" t="s">
        <v>139</v>
      </c>
      <c r="C61" s="38">
        <v>161273</v>
      </c>
      <c r="D61" s="36">
        <f t="shared" si="17"/>
        <v>2515858.7999999998</v>
      </c>
      <c r="E61" s="37">
        <v>0</v>
      </c>
      <c r="F61" s="38" t="s">
        <v>140</v>
      </c>
      <c r="G61" s="64">
        <v>19.5</v>
      </c>
      <c r="H61" s="40">
        <v>13</v>
      </c>
      <c r="I61" s="40">
        <v>15.6</v>
      </c>
      <c r="J61" s="41">
        <f t="shared" si="18"/>
        <v>15.6</v>
      </c>
      <c r="K61" s="37">
        <v>0</v>
      </c>
      <c r="L61" s="43">
        <f t="shared" si="19"/>
        <v>2.5999999999999996</v>
      </c>
      <c r="M61" s="43">
        <f t="shared" si="20"/>
        <v>20</v>
      </c>
      <c r="N61" s="44">
        <v>6</v>
      </c>
      <c r="O61" s="35">
        <v>93.6</v>
      </c>
      <c r="P61" s="38">
        <f t="shared" si="22"/>
        <v>0</v>
      </c>
      <c r="Q61" s="46">
        <f t="shared" si="21"/>
        <v>-0.20000000000000007</v>
      </c>
      <c r="T61" s="65"/>
    </row>
    <row r="62" spans="1:20" x14ac:dyDescent="0.25">
      <c r="A62" s="33" t="s">
        <v>141</v>
      </c>
      <c r="B62" s="34" t="s">
        <v>142</v>
      </c>
      <c r="C62" s="38">
        <v>805090451</v>
      </c>
      <c r="D62" s="36">
        <f t="shared" si="17"/>
        <v>819340551.98269999</v>
      </c>
      <c r="E62" s="37">
        <v>0</v>
      </c>
      <c r="F62" s="38" t="s">
        <v>92</v>
      </c>
      <c r="G62" s="64">
        <v>0.59499999999999997</v>
      </c>
      <c r="H62" s="40">
        <v>1.0998000000000001</v>
      </c>
      <c r="I62" s="40">
        <v>1.0177</v>
      </c>
      <c r="J62" s="41">
        <f t="shared" si="18"/>
        <v>1.0177</v>
      </c>
      <c r="K62" s="37">
        <v>0</v>
      </c>
      <c r="L62" s="43">
        <f t="shared" si="19"/>
        <v>-8.2100000000000062E-2</v>
      </c>
      <c r="M62" s="43">
        <f t="shared" si="20"/>
        <v>-7.4649936352064055</v>
      </c>
      <c r="N62" s="44">
        <v>869510</v>
      </c>
      <c r="O62" s="35">
        <v>884869.47</v>
      </c>
      <c r="P62" s="38">
        <f t="shared" si="22"/>
        <v>0</v>
      </c>
      <c r="Q62" s="46">
        <f t="shared" si="21"/>
        <v>0.71042016806722708</v>
      </c>
      <c r="R62" s="65"/>
      <c r="T62" s="65"/>
    </row>
    <row r="63" spans="1:20" x14ac:dyDescent="0.25">
      <c r="A63" s="33" t="s">
        <v>143</v>
      </c>
      <c r="B63" s="34" t="s">
        <v>144</v>
      </c>
      <c r="C63" s="38">
        <v>260714518</v>
      </c>
      <c r="D63" s="36">
        <f t="shared" si="17"/>
        <v>60251125.109800003</v>
      </c>
      <c r="E63" s="37">
        <v>0</v>
      </c>
      <c r="F63" s="38" t="s">
        <v>34</v>
      </c>
      <c r="G63" s="64">
        <v>0.22600000000000001</v>
      </c>
      <c r="H63" s="40">
        <v>0.2213</v>
      </c>
      <c r="I63" s="40">
        <v>0.2311</v>
      </c>
      <c r="J63" s="41">
        <f t="shared" si="18"/>
        <v>0.2311</v>
      </c>
      <c r="K63" s="37">
        <v>0</v>
      </c>
      <c r="L63" s="43">
        <f t="shared" si="19"/>
        <v>9.8000000000000032E-3</v>
      </c>
      <c r="M63" s="43">
        <f t="shared" si="20"/>
        <v>4.4283777677361069</v>
      </c>
      <c r="N63" s="44">
        <v>440</v>
      </c>
      <c r="O63" s="35">
        <v>101.7</v>
      </c>
      <c r="P63" s="38">
        <f t="shared" si="22"/>
        <v>0</v>
      </c>
      <c r="Q63" s="46">
        <f t="shared" si="21"/>
        <v>2.2566371681415953E-2</v>
      </c>
      <c r="T63" s="65"/>
    </row>
    <row r="64" spans="1:20" x14ac:dyDescent="0.25">
      <c r="A64" s="33" t="s">
        <v>145</v>
      </c>
      <c r="B64" s="34" t="s">
        <v>146</v>
      </c>
      <c r="C64" s="38">
        <v>562184788</v>
      </c>
      <c r="D64" s="36">
        <f t="shared" si="17"/>
        <v>386895571.10159999</v>
      </c>
      <c r="E64" s="37">
        <v>0</v>
      </c>
      <c r="F64" s="38" t="s">
        <v>34</v>
      </c>
      <c r="G64" s="64">
        <v>0.49440000000000001</v>
      </c>
      <c r="H64" s="40">
        <v>0.6905</v>
      </c>
      <c r="I64" s="40">
        <v>0.68820000000000003</v>
      </c>
      <c r="J64" s="41">
        <f t="shared" si="18"/>
        <v>0.68820000000000003</v>
      </c>
      <c r="K64" s="37">
        <v>0</v>
      </c>
      <c r="L64" s="43">
        <f t="shared" si="19"/>
        <v>-2.2999999999999687E-3</v>
      </c>
      <c r="M64" s="43">
        <f t="shared" si="20"/>
        <v>-0.33309196234612148</v>
      </c>
      <c r="N64" s="44">
        <v>100232</v>
      </c>
      <c r="O64" s="35">
        <v>68976.87</v>
      </c>
      <c r="P64" s="38">
        <f t="shared" si="22"/>
        <v>0</v>
      </c>
      <c r="Q64" s="46">
        <f t="shared" si="21"/>
        <v>0.39199029126213603</v>
      </c>
      <c r="R64" s="65"/>
      <c r="T64" s="65"/>
    </row>
    <row r="65" spans="1:243" x14ac:dyDescent="0.25">
      <c r="A65" s="33" t="s">
        <v>147</v>
      </c>
      <c r="B65" s="34" t="s">
        <v>148</v>
      </c>
      <c r="C65" s="38">
        <v>30000000</v>
      </c>
      <c r="D65" s="36">
        <f t="shared" si="17"/>
        <v>300000000</v>
      </c>
      <c r="E65" s="37">
        <v>0</v>
      </c>
      <c r="F65" s="38" t="s">
        <v>66</v>
      </c>
      <c r="G65" s="64">
        <v>10</v>
      </c>
      <c r="H65" s="40">
        <v>10</v>
      </c>
      <c r="I65" s="40">
        <v>10</v>
      </c>
      <c r="J65" s="41">
        <f t="shared" si="18"/>
        <v>10</v>
      </c>
      <c r="K65" s="37">
        <v>0</v>
      </c>
      <c r="L65" s="43">
        <f t="shared" si="19"/>
        <v>0</v>
      </c>
      <c r="M65" s="43">
        <f t="shared" si="20"/>
        <v>0</v>
      </c>
      <c r="N65" s="44">
        <v>0</v>
      </c>
      <c r="O65" s="35">
        <v>0</v>
      </c>
      <c r="P65" s="38">
        <f t="shared" si="22"/>
        <v>0</v>
      </c>
      <c r="Q65" s="46">
        <f t="shared" si="21"/>
        <v>0</v>
      </c>
      <c r="T65" s="65"/>
    </row>
    <row r="66" spans="1:243" x14ac:dyDescent="0.25">
      <c r="A66" s="33" t="s">
        <v>149</v>
      </c>
      <c r="B66" s="34" t="s">
        <v>150</v>
      </c>
      <c r="C66" s="38">
        <v>344580486</v>
      </c>
      <c r="D66" s="36">
        <f t="shared" si="17"/>
        <v>20674829.16</v>
      </c>
      <c r="E66" s="37">
        <v>0</v>
      </c>
      <c r="F66" s="38" t="s">
        <v>44</v>
      </c>
      <c r="G66" s="64">
        <v>4.2999999999999997E-2</v>
      </c>
      <c r="H66" s="40">
        <v>0.06</v>
      </c>
      <c r="I66" s="40">
        <v>0.06</v>
      </c>
      <c r="J66" s="41">
        <f t="shared" si="18"/>
        <v>0.06</v>
      </c>
      <c r="K66" s="37">
        <v>0</v>
      </c>
      <c r="L66" s="43">
        <f t="shared" si="19"/>
        <v>0</v>
      </c>
      <c r="M66" s="43">
        <f t="shared" si="20"/>
        <v>0</v>
      </c>
      <c r="N66" s="44">
        <v>6700</v>
      </c>
      <c r="O66" s="35">
        <v>402</v>
      </c>
      <c r="P66" s="38">
        <f t="shared" si="22"/>
        <v>0</v>
      </c>
      <c r="Q66" s="46">
        <f t="shared" si="21"/>
        <v>0.39534883720930236</v>
      </c>
      <c r="T66" s="65"/>
    </row>
    <row r="67" spans="1:243" ht="13.2" x14ac:dyDescent="0.35">
      <c r="B67" s="34" t="s">
        <v>82</v>
      </c>
      <c r="C67" s="38"/>
      <c r="D67" s="67"/>
      <c r="E67" s="67"/>
      <c r="F67" s="38"/>
      <c r="G67" s="38"/>
      <c r="H67" s="40"/>
      <c r="I67" s="40"/>
      <c r="J67" s="40"/>
      <c r="K67" s="40"/>
      <c r="L67" s="43"/>
      <c r="M67" s="68"/>
      <c r="N67" s="55">
        <f>SUM(N52:N66)</f>
        <v>3524812</v>
      </c>
      <c r="O67" s="56">
        <f>SUM(O52:O66)</f>
        <v>1326622.2799999998</v>
      </c>
      <c r="P67" s="69"/>
      <c r="Q67" s="57"/>
    </row>
    <row r="68" spans="1:243" ht="12.6" hidden="1" x14ac:dyDescent="0.3">
      <c r="A68" s="134" t="s">
        <v>151</v>
      </c>
      <c r="B68" s="135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7"/>
    </row>
    <row r="69" spans="1:243" ht="12.6" hidden="1" thickBot="1" x14ac:dyDescent="0.3">
      <c r="A69" s="70" t="s">
        <v>152</v>
      </c>
      <c r="B69" s="71" t="s">
        <v>153</v>
      </c>
      <c r="C69" s="72">
        <v>20000</v>
      </c>
      <c r="D69" s="73">
        <f>C69*J69</f>
        <v>0</v>
      </c>
      <c r="E69" s="73"/>
      <c r="F69" s="72" t="s">
        <v>154</v>
      </c>
      <c r="G69" s="72"/>
      <c r="H69" s="74">
        <v>100</v>
      </c>
      <c r="I69" s="74"/>
      <c r="J69" s="74"/>
      <c r="K69" s="74"/>
      <c r="L69" s="75">
        <f>I69-H69</f>
        <v>-100</v>
      </c>
      <c r="M69" s="76">
        <f>((I69-H69)/H69)*100</f>
        <v>-100</v>
      </c>
      <c r="N69" s="77" t="s">
        <v>57</v>
      </c>
      <c r="O69" s="77" t="s">
        <v>57</v>
      </c>
      <c r="P69" s="77"/>
      <c r="Q69" s="78">
        <v>100</v>
      </c>
    </row>
    <row r="70" spans="1:243" ht="12.6" thickBot="1" x14ac:dyDescent="0.3">
      <c r="A70" s="33"/>
      <c r="B70" s="34" t="s">
        <v>82</v>
      </c>
      <c r="C70" s="38"/>
      <c r="D70" s="35"/>
      <c r="E70" s="35"/>
      <c r="F70" s="38"/>
      <c r="G70" s="38"/>
      <c r="H70" s="40"/>
      <c r="I70" s="40"/>
      <c r="J70" s="40"/>
      <c r="K70" s="40"/>
      <c r="L70" s="43"/>
      <c r="M70" s="68"/>
      <c r="N70" s="79"/>
      <c r="O70" s="79"/>
      <c r="P70" s="79"/>
      <c r="Q70" s="57"/>
    </row>
    <row r="71" spans="1:243" ht="12.6" x14ac:dyDescent="0.3">
      <c r="A71" s="134" t="s">
        <v>155</v>
      </c>
      <c r="B71" s="135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7"/>
    </row>
    <row r="72" spans="1:243" x14ac:dyDescent="0.25">
      <c r="A72" s="80" t="s">
        <v>156</v>
      </c>
      <c r="B72" s="81" t="s">
        <v>157</v>
      </c>
      <c r="C72" s="82">
        <v>139300587</v>
      </c>
      <c r="D72" s="83">
        <f>C72*J72</f>
        <v>50148211.32</v>
      </c>
      <c r="E72" s="84">
        <f>C72*K72</f>
        <v>50148211.32</v>
      </c>
      <c r="F72" s="82" t="s">
        <v>158</v>
      </c>
      <c r="G72" s="82">
        <v>0.24</v>
      </c>
      <c r="H72" s="85">
        <v>0.36</v>
      </c>
      <c r="I72" s="85">
        <v>0.36</v>
      </c>
      <c r="J72" s="86">
        <f>I72</f>
        <v>0.36</v>
      </c>
      <c r="K72" s="86">
        <f>J72</f>
        <v>0.36</v>
      </c>
      <c r="L72" s="87">
        <f>I72-H72</f>
        <v>0</v>
      </c>
      <c r="M72" s="87">
        <f>((I72-H72)/H72)*100</f>
        <v>0</v>
      </c>
      <c r="N72" s="88">
        <v>477</v>
      </c>
      <c r="O72" s="89">
        <v>171.72</v>
      </c>
      <c r="P72" s="90">
        <v>0</v>
      </c>
      <c r="Q72" s="91">
        <f>J72/G72-1</f>
        <v>0.5</v>
      </c>
      <c r="T72" s="65"/>
    </row>
    <row r="73" spans="1:243" x14ac:dyDescent="0.25">
      <c r="A73" s="80" t="s">
        <v>159</v>
      </c>
      <c r="B73" s="81" t="s">
        <v>160</v>
      </c>
      <c r="C73" s="82">
        <v>471351750</v>
      </c>
      <c r="D73" s="83">
        <f>C73*J73</f>
        <v>67780381.650000006</v>
      </c>
      <c r="E73" s="84">
        <f>C73*K73</f>
        <v>67780381.650000006</v>
      </c>
      <c r="F73" s="82" t="s">
        <v>158</v>
      </c>
      <c r="G73" s="82">
        <v>0.1</v>
      </c>
      <c r="H73" s="85">
        <v>0.15</v>
      </c>
      <c r="I73" s="85">
        <v>0.14380000000000001</v>
      </c>
      <c r="J73" s="86">
        <f>I73</f>
        <v>0.14380000000000001</v>
      </c>
      <c r="K73" s="86">
        <f>J73</f>
        <v>0.14380000000000001</v>
      </c>
      <c r="L73" s="87">
        <f>I73-H73</f>
        <v>-6.1999999999999833E-3</v>
      </c>
      <c r="M73" s="87">
        <f>((I73-H73)/H73)*100</f>
        <v>-4.1333333333333222</v>
      </c>
      <c r="N73" s="44">
        <v>4580</v>
      </c>
      <c r="O73" s="89">
        <v>658.66</v>
      </c>
      <c r="P73" s="90">
        <v>0</v>
      </c>
      <c r="Q73" s="91">
        <f>J73/G73-1</f>
        <v>0.43799999999999994</v>
      </c>
      <c r="T73" s="65"/>
    </row>
    <row r="74" spans="1:243" ht="13.2" x14ac:dyDescent="0.35">
      <c r="A74" s="80"/>
      <c r="B74" s="92" t="s">
        <v>82</v>
      </c>
      <c r="C74" s="93"/>
      <c r="D74" s="94"/>
      <c r="E74" s="94"/>
      <c r="F74" s="93"/>
      <c r="G74" s="93"/>
      <c r="H74" s="95"/>
      <c r="I74" s="95"/>
      <c r="J74" s="95"/>
      <c r="K74" s="95"/>
      <c r="L74" s="87"/>
      <c r="M74" s="96"/>
      <c r="N74" s="55">
        <f>SUM(N72:N73)</f>
        <v>5057</v>
      </c>
      <c r="O74" s="56">
        <f>SUM(O72:O73)</f>
        <v>830.38</v>
      </c>
      <c r="P74" s="97"/>
      <c r="Q74" s="87"/>
    </row>
    <row r="75" spans="1:243" ht="12.6" x14ac:dyDescent="0.3">
      <c r="A75" s="146" t="s">
        <v>161</v>
      </c>
      <c r="B75" s="147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9"/>
    </row>
    <row r="76" spans="1:243" x14ac:dyDescent="0.25">
      <c r="A76" s="33" t="s">
        <v>162</v>
      </c>
      <c r="B76" s="34" t="s">
        <v>163</v>
      </c>
      <c r="C76" s="38">
        <v>45396463</v>
      </c>
      <c r="D76" s="36">
        <f>C76*J76</f>
        <v>198444.23060110162</v>
      </c>
      <c r="E76" s="37">
        <f>C76*K76</f>
        <v>166453.69766666667</v>
      </c>
      <c r="F76" s="38" t="s">
        <v>140</v>
      </c>
      <c r="G76" s="64">
        <v>0.105</v>
      </c>
      <c r="H76" s="40">
        <v>0.11</v>
      </c>
      <c r="I76" s="40">
        <v>0.11</v>
      </c>
      <c r="J76" s="41">
        <f>I76/$J$5</f>
        <v>4.3713588567704407E-3</v>
      </c>
      <c r="K76" s="42">
        <f>I76/$K$4</f>
        <v>3.6666666666666666E-3</v>
      </c>
      <c r="L76" s="43">
        <f>I76-H76</f>
        <v>0</v>
      </c>
      <c r="M76" s="98">
        <f>((I76-H76)/H76)*100</f>
        <v>0</v>
      </c>
      <c r="N76" s="35">
        <v>0</v>
      </c>
      <c r="O76" s="35">
        <v>0</v>
      </c>
      <c r="P76" s="38">
        <v>0</v>
      </c>
      <c r="Q76" s="46">
        <f>I76/G76-1</f>
        <v>4.7619047619047672E-2</v>
      </c>
    </row>
    <row r="77" spans="1:243" x14ac:dyDescent="0.25">
      <c r="A77" s="33" t="s">
        <v>164</v>
      </c>
      <c r="B77" s="34" t="s">
        <v>165</v>
      </c>
      <c r="C77" s="38">
        <v>136162052</v>
      </c>
      <c r="D77" s="36">
        <f>C77*J77</f>
        <v>281373.50892949401</v>
      </c>
      <c r="E77" s="37">
        <f>C77*K77</f>
        <v>236014.22346666668</v>
      </c>
      <c r="F77" s="38" t="s">
        <v>140</v>
      </c>
      <c r="G77" s="64">
        <v>4.2500000000000003E-2</v>
      </c>
      <c r="H77" s="40">
        <v>5.2000000000000005E-2</v>
      </c>
      <c r="I77" s="40">
        <v>5.2000000000000005E-2</v>
      </c>
      <c r="J77" s="41">
        <f>I77/$J$5</f>
        <v>2.0664605504732993E-3</v>
      </c>
      <c r="K77" s="42">
        <f>I77/$K$4</f>
        <v>1.7333333333333335E-3</v>
      </c>
      <c r="L77" s="43">
        <f>I77-H77</f>
        <v>0</v>
      </c>
      <c r="M77" s="98">
        <f>((I77-H77)/H77)*100</f>
        <v>0</v>
      </c>
      <c r="N77" s="35">
        <v>0</v>
      </c>
      <c r="O77" s="35">
        <v>0</v>
      </c>
      <c r="P77" s="38">
        <v>0</v>
      </c>
      <c r="Q77" s="46">
        <f>I77/G77-1</f>
        <v>0.22352941176470598</v>
      </c>
    </row>
    <row r="78" spans="1:243" x14ac:dyDescent="0.25">
      <c r="A78" s="33" t="s">
        <v>166</v>
      </c>
      <c r="B78" s="34" t="s">
        <v>167</v>
      </c>
      <c r="C78" s="38">
        <v>494417400</v>
      </c>
      <c r="D78" s="36">
        <f>C78*J78</f>
        <v>1571837.003950119</v>
      </c>
      <c r="E78" s="37">
        <f>C78*K78</f>
        <v>1318446.3999999999</v>
      </c>
      <c r="F78" s="38" t="s">
        <v>140</v>
      </c>
      <c r="G78" s="64">
        <v>6.0499999999999998E-2</v>
      </c>
      <c r="H78" s="40">
        <v>0.08</v>
      </c>
      <c r="I78" s="40">
        <v>0.08</v>
      </c>
      <c r="J78" s="41">
        <f>I78/$J$5</f>
        <v>3.1791700776512295E-3</v>
      </c>
      <c r="K78" s="42">
        <f>I78/$K$4</f>
        <v>2.6666666666666666E-3</v>
      </c>
      <c r="L78" s="43">
        <f>I78-H78</f>
        <v>0</v>
      </c>
      <c r="M78" s="98">
        <f>((I78-H78)/H78)*100</f>
        <v>0</v>
      </c>
      <c r="N78" s="35">
        <v>0</v>
      </c>
      <c r="O78" s="35">
        <v>0</v>
      </c>
      <c r="P78" s="38">
        <v>0</v>
      </c>
      <c r="Q78" s="46">
        <f>I78/G78-1</f>
        <v>0.3223140495867769</v>
      </c>
    </row>
    <row r="79" spans="1:243" x14ac:dyDescent="0.25">
      <c r="A79" s="33" t="s">
        <v>168</v>
      </c>
      <c r="B79" s="34" t="s">
        <v>169</v>
      </c>
      <c r="C79" s="35">
        <v>41156692</v>
      </c>
      <c r="D79" s="36">
        <f>C79*J79</f>
        <v>2943992.7832839242</v>
      </c>
      <c r="E79" s="37">
        <f>C79*K79</f>
        <v>2469401.52</v>
      </c>
      <c r="F79" s="38" t="s">
        <v>140</v>
      </c>
      <c r="G79" s="64">
        <v>1.85</v>
      </c>
      <c r="H79" s="40">
        <v>1.8</v>
      </c>
      <c r="I79" s="40">
        <v>1.8</v>
      </c>
      <c r="J79" s="41">
        <f>I79/$J$5</f>
        <v>7.1531326747152665E-2</v>
      </c>
      <c r="K79" s="42">
        <f>I79/$K$4</f>
        <v>6.0000000000000005E-2</v>
      </c>
      <c r="L79" s="43">
        <f>I79-H79</f>
        <v>0</v>
      </c>
      <c r="M79" s="98">
        <f>((I79-H79)/H79)*100</f>
        <v>0</v>
      </c>
      <c r="N79" s="35">
        <v>0</v>
      </c>
      <c r="O79" s="35">
        <v>0</v>
      </c>
      <c r="P79" s="38">
        <v>0</v>
      </c>
      <c r="Q79" s="46">
        <f>I79/G79-1</f>
        <v>-2.7027027027027084E-2</v>
      </c>
    </row>
    <row r="80" spans="1:243" ht="13.8" thickBot="1" x14ac:dyDescent="0.4">
      <c r="A80" s="33"/>
      <c r="B80" s="34" t="s">
        <v>82</v>
      </c>
      <c r="C80" s="35"/>
      <c r="D80" s="35"/>
      <c r="E80" s="35"/>
      <c r="F80" s="38"/>
      <c r="G80" s="38"/>
      <c r="H80" s="40"/>
      <c r="I80" s="40"/>
      <c r="J80" s="40"/>
      <c r="K80" s="40"/>
      <c r="L80" s="43"/>
      <c r="M80" s="43"/>
      <c r="N80" s="55">
        <f>SUM(N76:N79)</f>
        <v>0</v>
      </c>
      <c r="O80" s="56">
        <f>SUM(O76:O79)</f>
        <v>0</v>
      </c>
      <c r="P80" s="69"/>
      <c r="Q80" s="57"/>
      <c r="DU80" s="99"/>
      <c r="DV80" s="99"/>
      <c r="DW80" s="100"/>
      <c r="DX80" s="101"/>
      <c r="DY80" s="101"/>
      <c r="DZ80" s="102"/>
      <c r="EA80" s="102"/>
      <c r="EB80" s="103"/>
      <c r="EC80" s="103"/>
      <c r="ED80" s="104"/>
      <c r="EE80" s="104"/>
      <c r="EF80" s="102"/>
      <c r="EG80" s="105"/>
      <c r="EH80" s="106"/>
      <c r="EI80" s="100"/>
      <c r="EJ80" s="99"/>
      <c r="EK80" s="99"/>
      <c r="EL80" s="100"/>
      <c r="EM80" s="101"/>
      <c r="EN80" s="101"/>
      <c r="EO80" s="102"/>
      <c r="EP80" s="102"/>
      <c r="EQ80" s="103"/>
      <c r="ER80" s="103"/>
      <c r="ES80" s="104"/>
      <c r="ET80" s="104"/>
      <c r="EU80" s="102"/>
      <c r="EV80" s="105"/>
      <c r="EW80" s="106"/>
      <c r="EX80" s="100"/>
      <c r="EY80" s="99"/>
      <c r="EZ80" s="99"/>
      <c r="FA80" s="100"/>
      <c r="FB80" s="101"/>
      <c r="FC80" s="101"/>
      <c r="FD80" s="102"/>
      <c r="FE80" s="102"/>
      <c r="FF80" s="103"/>
      <c r="FG80" s="103"/>
      <c r="FH80" s="104"/>
      <c r="FI80" s="104"/>
      <c r="FJ80" s="102"/>
      <c r="FK80" s="105"/>
      <c r="FL80" s="106"/>
      <c r="FM80" s="100"/>
      <c r="FN80" s="99"/>
      <c r="FO80" s="99"/>
      <c r="FP80" s="100"/>
      <c r="FQ80" s="101"/>
      <c r="FR80" s="101"/>
      <c r="FS80" s="102"/>
      <c r="FT80" s="102"/>
      <c r="FU80" s="103"/>
      <c r="FV80" s="103"/>
      <c r="FW80" s="104"/>
      <c r="FX80" s="104"/>
      <c r="FY80" s="102"/>
      <c r="FZ80" s="105"/>
      <c r="GA80" s="106"/>
      <c r="GB80" s="100"/>
      <c r="GC80" s="99"/>
      <c r="GD80" s="99"/>
      <c r="GE80" s="100"/>
      <c r="GF80" s="101"/>
      <c r="GG80" s="101"/>
      <c r="GH80" s="102"/>
      <c r="GI80" s="102"/>
      <c r="GJ80" s="103"/>
      <c r="GK80" s="103"/>
      <c r="GL80" s="104"/>
      <c r="GM80" s="104"/>
      <c r="GN80" s="102"/>
      <c r="GO80" s="105"/>
      <c r="GP80" s="106"/>
      <c r="GQ80" s="100"/>
      <c r="GR80" s="99"/>
      <c r="GS80" s="99"/>
      <c r="GT80" s="100"/>
      <c r="GU80" s="101"/>
      <c r="GV80" s="101"/>
      <c r="GW80" s="102"/>
      <c r="GX80" s="102"/>
      <c r="GY80" s="103"/>
      <c r="GZ80" s="103"/>
      <c r="HA80" s="104"/>
      <c r="HB80" s="104"/>
      <c r="HC80" s="102"/>
      <c r="HD80" s="105"/>
      <c r="HE80" s="106"/>
      <c r="HF80" s="100"/>
      <c r="HG80" s="99"/>
      <c r="HH80" s="99"/>
      <c r="HI80" s="100"/>
      <c r="HJ80" s="101"/>
      <c r="HK80" s="101"/>
      <c r="HL80" s="102"/>
      <c r="HM80" s="102"/>
      <c r="HN80" s="103"/>
      <c r="HO80" s="103"/>
      <c r="HP80" s="104"/>
      <c r="HQ80" s="104"/>
      <c r="HR80" s="102"/>
      <c r="HS80" s="105"/>
      <c r="HT80" s="106"/>
      <c r="HU80" s="100"/>
      <c r="HV80" s="99"/>
      <c r="HW80" s="99"/>
      <c r="HX80" s="100"/>
      <c r="HY80" s="101"/>
      <c r="HZ80" s="101"/>
      <c r="IA80" s="102"/>
      <c r="IB80" s="102"/>
      <c r="IC80" s="103"/>
      <c r="ID80" s="103"/>
      <c r="IE80" s="104"/>
      <c r="IF80" s="104"/>
      <c r="IG80" s="102"/>
      <c r="IH80" s="105"/>
      <c r="II80" s="106"/>
    </row>
    <row r="81" spans="1:38" ht="13.2" thickTop="1" x14ac:dyDescent="0.3">
      <c r="A81" s="134" t="s">
        <v>170</v>
      </c>
      <c r="B81" s="135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7"/>
    </row>
    <row r="82" spans="1:38" x14ac:dyDescent="0.25">
      <c r="A82" s="33" t="s">
        <v>171</v>
      </c>
      <c r="B82" s="34" t="s">
        <v>172</v>
      </c>
      <c r="C82" s="38">
        <v>368326244</v>
      </c>
      <c r="D82" s="36">
        <f>C82*J82</f>
        <v>35165746.080083296</v>
      </c>
      <c r="E82" s="37">
        <f>C82*K82</f>
        <v>29496793.373666663</v>
      </c>
      <c r="F82" s="38" t="s">
        <v>173</v>
      </c>
      <c r="G82" s="38">
        <v>1.3</v>
      </c>
      <c r="H82" s="40">
        <v>2.4024999999999999</v>
      </c>
      <c r="I82" s="40">
        <v>2.4024999999999999</v>
      </c>
      <c r="J82" s="41">
        <f>I82/$J$5</f>
        <v>9.5474451394463478E-2</v>
      </c>
      <c r="K82" s="42">
        <f>I82/$K$4</f>
        <v>8.0083333333333326E-2</v>
      </c>
      <c r="L82" s="43">
        <f>I82-H82</f>
        <v>0</v>
      </c>
      <c r="M82" s="43">
        <f>((I82-H82)/H82*100)</f>
        <v>0</v>
      </c>
      <c r="N82" s="45">
        <v>0</v>
      </c>
      <c r="O82" s="35">
        <v>0</v>
      </c>
      <c r="P82" s="45">
        <f>(R82)/J82</f>
        <v>0</v>
      </c>
      <c r="Q82" s="46">
        <f>I82/G82-1</f>
        <v>0.84807692307692295</v>
      </c>
      <c r="R82" s="65"/>
    </row>
    <row r="83" spans="1:38" s="109" customFormat="1" ht="12.6" thickBot="1" x14ac:dyDescent="0.3">
      <c r="A83" s="33" t="s">
        <v>174</v>
      </c>
      <c r="B83" s="34" t="s">
        <v>175</v>
      </c>
      <c r="C83" s="38">
        <v>1841105000</v>
      </c>
      <c r="D83" s="36">
        <f>C83*J83</f>
        <v>75130836.060332701</v>
      </c>
      <c r="E83" s="37">
        <f>C83*K83</f>
        <v>63019244.415166676</v>
      </c>
      <c r="F83" s="38" t="s">
        <v>173</v>
      </c>
      <c r="G83" s="38">
        <v>1.44347</v>
      </c>
      <c r="H83" s="40">
        <v>1.021371</v>
      </c>
      <c r="I83" s="40">
        <v>1.0268710000000001</v>
      </c>
      <c r="J83" s="41">
        <f>I83/$J$5</f>
        <v>4.0807469460097445E-2</v>
      </c>
      <c r="K83" s="42">
        <f>I83/$K$4</f>
        <v>3.4229033333333339E-2</v>
      </c>
      <c r="L83" s="43">
        <f>I83-H83</f>
        <v>5.5000000000000604E-3</v>
      </c>
      <c r="M83" s="43">
        <f>((I83-H83)/H83*100)</f>
        <v>0.53849188982260709</v>
      </c>
      <c r="N83" s="107">
        <v>16406</v>
      </c>
      <c r="O83" s="35">
        <v>16854.18</v>
      </c>
      <c r="P83" s="108">
        <f>(R83)/J83</f>
        <v>5.3323571120423102E-2</v>
      </c>
      <c r="Q83" s="46">
        <f>I83/G83-1</f>
        <v>-0.28860939264411445</v>
      </c>
      <c r="R83" s="65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0"/>
      <c r="B84" s="71" t="s">
        <v>82</v>
      </c>
      <c r="C84" s="72"/>
      <c r="D84" s="110"/>
      <c r="E84" s="73"/>
      <c r="F84" s="72"/>
      <c r="G84" s="72"/>
      <c r="H84" s="74"/>
      <c r="I84" s="74"/>
      <c r="J84" s="74"/>
      <c r="K84" s="74"/>
      <c r="L84" s="75"/>
      <c r="M84" s="75"/>
      <c r="N84" s="55">
        <f>SUM(N82:N83)</f>
        <v>16406</v>
      </c>
      <c r="O84" s="56">
        <f>SUM(O82:O83)</f>
        <v>16854.18</v>
      </c>
      <c r="P84" s="111"/>
      <c r="Q84" s="78"/>
    </row>
    <row r="85" spans="1:38" ht="12.6" thickBot="1" x14ac:dyDescent="0.3">
      <c r="A85" s="112"/>
      <c r="B85" s="113"/>
      <c r="C85" s="113"/>
      <c r="D85" s="113"/>
      <c r="E85" s="113"/>
      <c r="F85" s="114"/>
      <c r="G85" s="114"/>
      <c r="H85" s="53"/>
      <c r="M85" s="115"/>
      <c r="N85" s="115"/>
      <c r="O85" s="53"/>
      <c r="P85" s="53"/>
      <c r="Q85" s="116"/>
    </row>
    <row r="86" spans="1:38" ht="12.6" thickBot="1" x14ac:dyDescent="0.3">
      <c r="A86" s="138" t="s">
        <v>176</v>
      </c>
      <c r="B86" s="139"/>
      <c r="C86" s="139"/>
      <c r="D86" s="139"/>
      <c r="E86" s="138" t="s">
        <v>177</v>
      </c>
      <c r="F86" s="139"/>
      <c r="G86" s="139"/>
      <c r="H86" s="140"/>
      <c r="L86" s="141" t="s">
        <v>178</v>
      </c>
      <c r="M86" s="142"/>
      <c r="N86" s="143"/>
      <c r="O86" s="141" t="s">
        <v>179</v>
      </c>
      <c r="P86" s="142"/>
      <c r="Q86" s="143"/>
    </row>
    <row r="87" spans="1:38" x14ac:dyDescent="0.25">
      <c r="A87" s="33" t="s">
        <v>101</v>
      </c>
      <c r="B87" s="117">
        <v>5.5</v>
      </c>
      <c r="C87" s="117"/>
      <c r="D87" s="117">
        <v>14.523685580426857</v>
      </c>
      <c r="E87" s="33" t="s">
        <v>117</v>
      </c>
      <c r="F87" s="118">
        <v>0.95</v>
      </c>
      <c r="G87" s="118"/>
      <c r="H87" s="119">
        <v>-13.636363636363647</v>
      </c>
      <c r="L87" s="33" t="s">
        <v>138</v>
      </c>
      <c r="M87" s="45">
        <v>15.6</v>
      </c>
      <c r="N87" s="120">
        <v>20</v>
      </c>
      <c r="O87" s="33" t="s">
        <v>141</v>
      </c>
      <c r="P87" s="118">
        <v>1.0177</v>
      </c>
      <c r="Q87" s="119">
        <v>-7.4649936352064055</v>
      </c>
    </row>
    <row r="88" spans="1:38" x14ac:dyDescent="0.25">
      <c r="A88" s="33" t="s">
        <v>99</v>
      </c>
      <c r="B88" s="117">
        <v>9.987299999999999E-2</v>
      </c>
      <c r="C88" s="117"/>
      <c r="D88" s="117">
        <v>9.0900154012517582</v>
      </c>
      <c r="E88" s="33" t="s">
        <v>103</v>
      </c>
      <c r="F88" s="118">
        <v>9.0200000000000002E-2</v>
      </c>
      <c r="G88" s="118"/>
      <c r="H88" s="119">
        <v>-9.8000000000000025</v>
      </c>
      <c r="L88" s="33" t="s">
        <v>143</v>
      </c>
      <c r="M88" s="45">
        <v>0.2311</v>
      </c>
      <c r="N88" s="120">
        <v>4.4283777677361069</v>
      </c>
      <c r="O88" s="33" t="s">
        <v>128</v>
      </c>
      <c r="P88" s="118">
        <v>2.24E-2</v>
      </c>
      <c r="Q88" s="119">
        <v>-5.8823529411764781</v>
      </c>
    </row>
    <row r="89" spans="1:38" x14ac:dyDescent="0.25">
      <c r="A89" s="33" t="s">
        <v>97</v>
      </c>
      <c r="B89" s="117">
        <v>1.5505000000000002</v>
      </c>
      <c r="C89" s="117"/>
      <c r="D89" s="117">
        <v>4.6221322537112162</v>
      </c>
      <c r="E89" s="33" t="s">
        <v>50</v>
      </c>
      <c r="F89" s="118">
        <v>2.6</v>
      </c>
      <c r="G89" s="118"/>
      <c r="H89" s="119">
        <v>-7.1428571428571344</v>
      </c>
      <c r="L89" s="33" t="s">
        <v>134</v>
      </c>
      <c r="M89" s="45">
        <v>0.15049999999999999</v>
      </c>
      <c r="N89" s="120">
        <v>6.6489361702120345E-2</v>
      </c>
      <c r="O89" s="33" t="s">
        <v>130</v>
      </c>
      <c r="P89" s="118">
        <v>0.105</v>
      </c>
      <c r="Q89" s="119">
        <v>-2.3255813953488391</v>
      </c>
    </row>
    <row r="90" spans="1:38" x14ac:dyDescent="0.25">
      <c r="A90" s="33" t="s">
        <v>37</v>
      </c>
      <c r="B90" s="117">
        <v>0.247</v>
      </c>
      <c r="C90" s="117"/>
      <c r="D90" s="117">
        <v>2.9166666666666696</v>
      </c>
      <c r="E90" s="33" t="s">
        <v>115</v>
      </c>
      <c r="F90" s="118">
        <v>0.84545500000000007</v>
      </c>
      <c r="G90" s="118"/>
      <c r="H90" s="119">
        <v>-6.0605555555555499</v>
      </c>
      <c r="L90" s="33" t="s">
        <v>120</v>
      </c>
      <c r="M90" s="45">
        <v>5.17</v>
      </c>
      <c r="N90" s="120">
        <v>1.5476282596918516E-2</v>
      </c>
      <c r="O90" s="33" t="s">
        <v>136</v>
      </c>
      <c r="P90" s="118">
        <v>0.02</v>
      </c>
      <c r="Q90" s="119">
        <v>-1.477832512315262</v>
      </c>
    </row>
    <row r="91" spans="1:38" x14ac:dyDescent="0.25">
      <c r="A91" s="33" t="s">
        <v>52</v>
      </c>
      <c r="B91" s="117">
        <v>27.0046</v>
      </c>
      <c r="C91" s="117"/>
      <c r="D91" s="117">
        <v>1.2592032946693978E-2</v>
      </c>
      <c r="E91" s="33" t="s">
        <v>93</v>
      </c>
      <c r="F91" s="118">
        <v>3.39</v>
      </c>
      <c r="G91" s="118"/>
      <c r="H91" s="119">
        <v>-5.1726235881839937</v>
      </c>
      <c r="L91" s="33"/>
      <c r="M91" s="45"/>
      <c r="N91" s="120"/>
      <c r="O91" s="33" t="s">
        <v>122</v>
      </c>
      <c r="P91" s="118">
        <v>0.1376</v>
      </c>
      <c r="Q91" s="121">
        <v>-1.3620071684587904</v>
      </c>
    </row>
    <row r="92" spans="1:38" ht="12.6" thickBot="1" x14ac:dyDescent="0.3">
      <c r="A92" s="122"/>
      <c r="B92" s="123"/>
      <c r="C92" s="123"/>
      <c r="D92" s="123"/>
      <c r="E92" s="122"/>
      <c r="F92" s="123"/>
      <c r="G92" s="123"/>
      <c r="H92" s="124"/>
      <c r="L92" s="122"/>
      <c r="M92" s="123"/>
      <c r="N92" s="124"/>
      <c r="O92" s="123"/>
      <c r="P92" s="123"/>
      <c r="Q92" s="124"/>
    </row>
    <row r="93" spans="1:38" x14ac:dyDescent="0.25">
      <c r="A93" s="125"/>
      <c r="B93" s="126"/>
      <c r="C93" s="126"/>
      <c r="D93" s="126"/>
      <c r="E93" s="115"/>
      <c r="F93" s="115"/>
      <c r="G93" s="115"/>
      <c r="H93" s="115"/>
      <c r="I93" s="115"/>
      <c r="J93" s="115"/>
      <c r="K93" s="115"/>
      <c r="L93" s="115"/>
      <c r="M93" s="126"/>
      <c r="Q93" s="16"/>
    </row>
    <row r="94" spans="1:38" x14ac:dyDescent="0.25">
      <c r="A94" s="12" t="s">
        <v>180</v>
      </c>
      <c r="B94" s="127"/>
      <c r="C94" s="127"/>
      <c r="D94" s="127"/>
      <c r="E94" s="127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25"/>
      <c r="B95" s="126"/>
      <c r="C95" s="126"/>
      <c r="D95" s="126"/>
      <c r="E95" s="126"/>
      <c r="F95" s="115"/>
      <c r="G95" s="115"/>
      <c r="H95" s="126"/>
      <c r="I95" s="115"/>
      <c r="J95" s="115"/>
      <c r="K95" s="115"/>
      <c r="L95" s="115"/>
      <c r="M95" s="126"/>
      <c r="Q95" s="16"/>
    </row>
    <row r="96" spans="1:38" ht="12.6" thickBot="1" x14ac:dyDescent="0.3">
      <c r="A96" s="128"/>
      <c r="B96" s="129"/>
      <c r="C96" s="129"/>
      <c r="D96" s="129"/>
      <c r="E96" s="129"/>
      <c r="F96" s="130"/>
      <c r="G96" s="130"/>
      <c r="H96" s="130"/>
      <c r="I96" s="131"/>
      <c r="J96" s="131"/>
      <c r="K96" s="131"/>
      <c r="L96" s="131"/>
      <c r="M96" s="131"/>
      <c r="N96" s="131"/>
      <c r="O96" s="131"/>
      <c r="P96" s="131"/>
      <c r="Q96" s="132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33"/>
      <c r="J100" s="133"/>
      <c r="K100" s="133"/>
      <c r="O100" s="133"/>
      <c r="P100" s="133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33"/>
      <c r="J103" s="133"/>
      <c r="K103" s="133"/>
      <c r="O103" s="133"/>
      <c r="P103" s="133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33"/>
      <c r="J105" s="133"/>
      <c r="K105" s="133"/>
      <c r="O105" s="133"/>
      <c r="P105" s="133"/>
    </row>
  </sheetData>
  <sheetProtection algorithmName="SHA-512" hashValue="aKQISltXvg0jCWsL5wCw7KiaHoQ40tvpsga7ThyxjZUDMGdyWmitcmro+Njgow4c5Eqre7P/6OfzuR7PtFpBzw==" saltValue="If1zTMUn8IK75tGm8i4E0g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2026-04-16T13:44:36Z</dcterms:created>
  <dcterms:modified xsi:type="dcterms:W3CDTF">2026-04-16T13:47:37Z</dcterms:modified>
</cp:coreProperties>
</file>