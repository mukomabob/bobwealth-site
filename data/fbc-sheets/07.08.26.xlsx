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ug/07.08.26/"/>
    </mc:Choice>
  </mc:AlternateContent>
  <xr:revisionPtr revIDLastSave="4" documentId="8_{B7AA9261-E77A-44C6-AE7C-38FD87A862E6}" xr6:coauthVersionLast="47" xr6:coauthVersionMax="47" xr10:uidLastSave="{3B12F90C-A867-4569-93E1-C1D552566FC1}"/>
  <bookViews>
    <workbookView xWindow="-108" yWindow="-108" windowWidth="23256" windowHeight="12456" xr2:uid="{6565ADBD-49EF-414B-ADF5-20BC58545079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M84" i="1"/>
  <c r="L84" i="1"/>
  <c r="K84" i="1"/>
  <c r="E84" i="1" s="1"/>
  <c r="J84" i="1"/>
  <c r="P84" i="1" s="1"/>
  <c r="Q83" i="1"/>
  <c r="M83" i="1"/>
  <c r="L83" i="1"/>
  <c r="K83" i="1"/>
  <c r="E83" i="1" s="1"/>
  <c r="J83" i="1"/>
  <c r="P83" i="1" s="1"/>
  <c r="D83" i="1"/>
  <c r="O81" i="1"/>
  <c r="N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/>
  <c r="Q77" i="1"/>
  <c r="M77" i="1"/>
  <c r="L77" i="1"/>
  <c r="K77" i="1"/>
  <c r="J77" i="1"/>
  <c r="E77" i="1"/>
  <c r="D77" i="1"/>
  <c r="P74" i="1"/>
  <c r="M74" i="1"/>
  <c r="L74" i="1"/>
  <c r="J74" i="1"/>
  <c r="K74" i="1" s="1"/>
  <c r="E74" i="1" s="1"/>
  <c r="D74" i="1"/>
  <c r="O72" i="1"/>
  <c r="N72" i="1"/>
  <c r="M71" i="1"/>
  <c r="L71" i="1"/>
  <c r="J71" i="1"/>
  <c r="K71" i="1" s="1"/>
  <c r="E71" i="1" s="1"/>
  <c r="D71" i="1"/>
  <c r="Q70" i="1"/>
  <c r="P70" i="1"/>
  <c r="M70" i="1"/>
  <c r="L70" i="1"/>
  <c r="J70" i="1"/>
  <c r="K70" i="1" s="1"/>
  <c r="E70" i="1" s="1"/>
  <c r="D70" i="1"/>
  <c r="M67" i="1"/>
  <c r="L67" i="1"/>
  <c r="D67" i="1"/>
  <c r="O65" i="1"/>
  <c r="N65" i="1"/>
  <c r="Q64" i="1"/>
  <c r="M64" i="1"/>
  <c r="L64" i="1"/>
  <c r="J64" i="1"/>
  <c r="P64" i="1" s="1"/>
  <c r="D64" i="1"/>
  <c r="Q63" i="1"/>
  <c r="M63" i="1"/>
  <c r="L63" i="1"/>
  <c r="J63" i="1"/>
  <c r="P63" i="1" s="1"/>
  <c r="D63" i="1"/>
  <c r="Q62" i="1"/>
  <c r="M62" i="1"/>
  <c r="L62" i="1"/>
  <c r="J62" i="1"/>
  <c r="P62" i="1" s="1"/>
  <c r="D62" i="1"/>
  <c r="Q61" i="1"/>
  <c r="M61" i="1"/>
  <c r="L61" i="1"/>
  <c r="J61" i="1"/>
  <c r="P61" i="1" s="1"/>
  <c r="D61" i="1"/>
  <c r="Q60" i="1"/>
  <c r="M60" i="1"/>
  <c r="L60" i="1"/>
  <c r="J60" i="1"/>
  <c r="P60" i="1" s="1"/>
  <c r="D60" i="1"/>
  <c r="Q59" i="1"/>
  <c r="M59" i="1"/>
  <c r="L59" i="1"/>
  <c r="J59" i="1"/>
  <c r="P59" i="1" s="1"/>
  <c r="D59" i="1"/>
  <c r="Q58" i="1"/>
  <c r="M58" i="1"/>
  <c r="L58" i="1"/>
  <c r="J58" i="1"/>
  <c r="P58" i="1" s="1"/>
  <c r="D58" i="1"/>
  <c r="Q57" i="1"/>
  <c r="M57" i="1"/>
  <c r="L57" i="1"/>
  <c r="J57" i="1"/>
  <c r="P57" i="1" s="1"/>
  <c r="D57" i="1"/>
  <c r="Q56" i="1"/>
  <c r="M56" i="1"/>
  <c r="L56" i="1"/>
  <c r="J56" i="1"/>
  <c r="P56" i="1" s="1"/>
  <c r="D56" i="1"/>
  <c r="Q55" i="1"/>
  <c r="M55" i="1"/>
  <c r="L55" i="1"/>
  <c r="J55" i="1"/>
  <c r="P55" i="1" s="1"/>
  <c r="D55" i="1"/>
  <c r="Q54" i="1"/>
  <c r="M54" i="1"/>
  <c r="L54" i="1"/>
  <c r="J54" i="1"/>
  <c r="P54" i="1" s="1"/>
  <c r="D54" i="1"/>
  <c r="Q53" i="1"/>
  <c r="M53" i="1"/>
  <c r="L53" i="1"/>
  <c r="J53" i="1"/>
  <c r="P53" i="1" s="1"/>
  <c r="D53" i="1"/>
  <c r="Q52" i="1"/>
  <c r="M52" i="1"/>
  <c r="L52" i="1"/>
  <c r="J52" i="1"/>
  <c r="D52" i="1"/>
  <c r="P51" i="1"/>
  <c r="M51" i="1"/>
  <c r="L51" i="1"/>
  <c r="J51" i="1"/>
  <c r="Q51" i="1" s="1"/>
  <c r="D51" i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E44" i="1" s="1"/>
  <c r="J44" i="1"/>
  <c r="D44" i="1" s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P42" i="1" s="1"/>
  <c r="E42" i="1"/>
  <c r="Q41" i="1"/>
  <c r="M41" i="1"/>
  <c r="L41" i="1"/>
  <c r="K41" i="1"/>
  <c r="E41" i="1" s="1"/>
  <c r="J41" i="1"/>
  <c r="D41" i="1" s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P39" i="1" s="1"/>
  <c r="E39" i="1"/>
  <c r="Q38" i="1"/>
  <c r="M38" i="1"/>
  <c r="L38" i="1"/>
  <c r="K38" i="1"/>
  <c r="E38" i="1" s="1"/>
  <c r="J38" i="1"/>
  <c r="D38" i="1" s="1"/>
  <c r="Q37" i="1"/>
  <c r="M37" i="1"/>
  <c r="L37" i="1"/>
  <c r="K37" i="1"/>
  <c r="J37" i="1"/>
  <c r="E37" i="1"/>
  <c r="D37" i="1"/>
  <c r="Q36" i="1"/>
  <c r="P36" i="1"/>
  <c r="M36" i="1"/>
  <c r="L36" i="1"/>
  <c r="K36" i="1"/>
  <c r="J36" i="1"/>
  <c r="E36" i="1"/>
  <c r="D36" i="1"/>
  <c r="Q35" i="1"/>
  <c r="M35" i="1"/>
  <c r="L35" i="1"/>
  <c r="K35" i="1"/>
  <c r="J35" i="1"/>
  <c r="D35" i="1" s="1"/>
  <c r="E35" i="1"/>
  <c r="Q34" i="1"/>
  <c r="P34" i="1"/>
  <c r="M34" i="1"/>
  <c r="L34" i="1"/>
  <c r="K34" i="1"/>
  <c r="J34" i="1"/>
  <c r="E34" i="1"/>
  <c r="D34" i="1"/>
  <c r="Q33" i="1"/>
  <c r="P33" i="1"/>
  <c r="M33" i="1"/>
  <c r="L33" i="1"/>
  <c r="K33" i="1"/>
  <c r="J33" i="1"/>
  <c r="E33" i="1"/>
  <c r="D33" i="1"/>
  <c r="Q32" i="1"/>
  <c r="M32" i="1"/>
  <c r="L32" i="1"/>
  <c r="K32" i="1"/>
  <c r="J32" i="1"/>
  <c r="D32" i="1" s="1"/>
  <c r="E32" i="1"/>
  <c r="Q31" i="1"/>
  <c r="P31" i="1"/>
  <c r="M31" i="1"/>
  <c r="L31" i="1"/>
  <c r="K31" i="1"/>
  <c r="J31" i="1"/>
  <c r="E31" i="1"/>
  <c r="D31" i="1"/>
  <c r="K30" i="1"/>
  <c r="J30" i="1"/>
  <c r="D30" i="1" s="1"/>
  <c r="E30" i="1"/>
  <c r="Q29" i="1"/>
  <c r="P29" i="1"/>
  <c r="M29" i="1"/>
  <c r="L29" i="1"/>
  <c r="K29" i="1"/>
  <c r="J29" i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D27" i="1" s="1"/>
  <c r="E27" i="1"/>
  <c r="Q26" i="1"/>
  <c r="P26" i="1"/>
  <c r="M26" i="1"/>
  <c r="L26" i="1"/>
  <c r="K26" i="1"/>
  <c r="J26" i="1"/>
  <c r="E26" i="1"/>
  <c r="D26" i="1"/>
  <c r="Q25" i="1"/>
  <c r="P25" i="1"/>
  <c r="M25" i="1"/>
  <c r="L25" i="1"/>
  <c r="K25" i="1"/>
  <c r="J25" i="1"/>
  <c r="E25" i="1"/>
  <c r="D25" i="1"/>
  <c r="R24" i="1"/>
  <c r="Q24" i="1"/>
  <c r="M24" i="1"/>
  <c r="L24" i="1"/>
  <c r="K24" i="1"/>
  <c r="E24" i="1" s="1"/>
  <c r="J24" i="1"/>
  <c r="D24" i="1" s="1"/>
  <c r="Q23" i="1"/>
  <c r="P23" i="1"/>
  <c r="M23" i="1"/>
  <c r="L23" i="1"/>
  <c r="K23" i="1"/>
  <c r="J23" i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E17" i="1" s="1"/>
  <c r="J17" i="1"/>
  <c r="D17" i="1" s="1"/>
  <c r="Q16" i="1"/>
  <c r="P16" i="1"/>
  <c r="M16" i="1"/>
  <c r="L16" i="1"/>
  <c r="K16" i="1"/>
  <c r="J16" i="1"/>
  <c r="E16" i="1"/>
  <c r="D16" i="1"/>
  <c r="Q15" i="1"/>
  <c r="M15" i="1"/>
  <c r="L15" i="1"/>
  <c r="K15" i="1"/>
  <c r="J15" i="1"/>
  <c r="P15" i="1" s="1"/>
  <c r="E15" i="1"/>
  <c r="Q14" i="1"/>
  <c r="M14" i="1"/>
  <c r="L14" i="1"/>
  <c r="K14" i="1"/>
  <c r="E14" i="1" s="1"/>
  <c r="J14" i="1"/>
  <c r="D14" i="1" s="1"/>
  <c r="Q13" i="1"/>
  <c r="P13" i="1"/>
  <c r="M13" i="1"/>
  <c r="L13" i="1"/>
  <c r="K13" i="1"/>
  <c r="J13" i="1"/>
  <c r="E13" i="1"/>
  <c r="D13" i="1"/>
  <c r="Q12" i="1"/>
  <c r="M12" i="1"/>
  <c r="L12" i="1"/>
  <c r="K12" i="1"/>
  <c r="J12" i="1"/>
  <c r="P12" i="1" s="1"/>
  <c r="E12" i="1"/>
  <c r="Q11" i="1"/>
  <c r="M11" i="1"/>
  <c r="L11" i="1"/>
  <c r="K11" i="1"/>
  <c r="E11" i="1" s="1"/>
  <c r="J11" i="1"/>
  <c r="D11" i="1" s="1"/>
  <c r="Q10" i="1"/>
  <c r="P10" i="1"/>
  <c r="M10" i="1"/>
  <c r="L10" i="1"/>
  <c r="K10" i="1"/>
  <c r="J10" i="1"/>
  <c r="E10" i="1"/>
  <c r="D10" i="1"/>
  <c r="Q9" i="1"/>
  <c r="M9" i="1"/>
  <c r="L9" i="1"/>
  <c r="K9" i="1"/>
  <c r="J9" i="1"/>
  <c r="P9" i="1" s="1"/>
  <c r="E9" i="1"/>
  <c r="Q74" i="1" l="1"/>
  <c r="P71" i="1"/>
  <c r="P11" i="1"/>
  <c r="P14" i="1"/>
  <c r="P17" i="1"/>
  <c r="P24" i="1"/>
  <c r="P38" i="1"/>
  <c r="P41" i="1"/>
  <c r="P44" i="1"/>
  <c r="Q71" i="1"/>
  <c r="P27" i="1"/>
  <c r="P32" i="1"/>
  <c r="P35" i="1"/>
  <c r="D84" i="1"/>
  <c r="D9" i="1"/>
  <c r="D12" i="1"/>
  <c r="D15" i="1"/>
  <c r="D39" i="1"/>
  <c r="D42" i="1"/>
</calcChain>
</file>

<file path=xl/sharedStrings.xml><?xml version="1.0" encoding="utf-8"?>
<sst xmlns="http://schemas.openxmlformats.org/spreadsheetml/2006/main" count="267" uniqueCount="183">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</sst>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0" fontId="23" fillId="2" borderId="15" xfId="8" applyFont="1" applyFill="1" applyBorder="1"/>
    <xf numFmtId="0" fontId="23" fillId="2" borderId="3" xfId="8" applyFont="1" applyFill="1" applyBorder="1"/>
    <xf numFmtId="0" fontId="23" fillId="2" borderId="16" xfId="8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 2" xfId="4" xr:uid="{BA95378C-293F-4293-99BD-5EE3CC80A6C3}"/>
    <cellStyle name="Comma 5 2 2 2 2 2 2 2 2 2 2" xfId="5" xr:uid="{80EF5BB9-F3B3-4B52-8DC2-3E2A3E8E547C}"/>
    <cellStyle name="Comma 6 2 2 2 2 2" xfId="6" xr:uid="{F307D29C-AFA5-4B9D-A70A-FBCE434C0916}"/>
    <cellStyle name="Hyperlink 2" xfId="9" xr:uid="{5C4E5CE2-385D-470D-8E5F-5649EE2EDB0A}"/>
    <cellStyle name="Normal" xfId="0" builtinId="0"/>
    <cellStyle name="Normal 2" xfId="3" xr:uid="{F1EE7533-3C79-4F25-B212-A513ECB4A997}"/>
    <cellStyle name="Normal 20" xfId="8" xr:uid="{32519E5E-D65F-4829-8162-8ED3A8D18E99}"/>
    <cellStyle name="Percent" xfId="2" builtinId="5"/>
    <cellStyle name="Percent 3" xfId="7" xr:uid="{56903ED9-F644-4478-8F87-AE57528C1BBE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40A424AC-0044-4557-9119-6992076D6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9120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7</xdr:col>
      <xdr:colOff>32658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11CC1EB-235C-4D89-9599-B6A04154A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416314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AB7C-7F3E-487F-9776-8FEBCE0678B3}">
  <dimension ref="A1:II106"/>
  <sheetViews>
    <sheetView tabSelected="1" zoomScale="70" zoomScaleNormal="70" workbookViewId="0">
      <selection activeCell="O95" sqref="O95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26.603899999999999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3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8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71066370.698995247</v>
      </c>
      <c r="E9" s="39">
        <f t="shared" ref="E9:E45" si="1">C9*K9</f>
        <v>60020400.617111109</v>
      </c>
      <c r="F9" s="40" t="s">
        <v>34</v>
      </c>
      <c r="G9" s="41">
        <v>8.9894999999999996</v>
      </c>
      <c r="H9" s="42">
        <v>15</v>
      </c>
      <c r="I9" s="43">
        <v>15.000999999999999</v>
      </c>
      <c r="J9" s="44">
        <f>(I9/$J$5)</f>
        <v>0.56386469652945614</v>
      </c>
      <c r="K9" s="45">
        <f t="shared" ref="K9:K17" si="2">I9/$K$4</f>
        <v>0.47622222222222221</v>
      </c>
      <c r="L9" s="46">
        <f t="shared" ref="L9:L17" si="3">I9-H9</f>
        <v>9.9999999999944578E-4</v>
      </c>
      <c r="M9" s="46">
        <f t="shared" ref="M9:M17" si="4">((I9-H9)/H9)*100</f>
        <v>6.6666666666629713E-3</v>
      </c>
      <c r="N9" s="47">
        <v>0</v>
      </c>
      <c r="O9" s="37">
        <v>0</v>
      </c>
      <c r="P9" s="48">
        <f t="shared" ref="P9:P17" si="5">(R9)/J9</f>
        <v>2.6602126524898344E-2</v>
      </c>
      <c r="Q9" s="49">
        <f t="shared" ref="Q9:Q17" si="6">I9/G9-1</f>
        <v>0.66872462317147785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 t="shared" si="0"/>
        <v>4649020.0767556634</v>
      </c>
      <c r="E10" s="39">
        <f t="shared" si="1"/>
        <v>3926414.7688888889</v>
      </c>
      <c r="F10" s="40" t="s">
        <v>34</v>
      </c>
      <c r="G10" s="41">
        <v>3.1600000000000003E-2</v>
      </c>
      <c r="H10" s="42">
        <v>7.5999999999999998E-2</v>
      </c>
      <c r="I10" s="43">
        <v>7.5999999999999998E-2</v>
      </c>
      <c r="J10" s="44">
        <f t="shared" ref="J10:J17" si="7">I10/$J$5</f>
        <v>2.8567240141483016E-3</v>
      </c>
      <c r="K10" s="45">
        <f t="shared" si="2"/>
        <v>2.4126984126984128E-3</v>
      </c>
      <c r="L10" s="46">
        <f t="shared" si="3"/>
        <v>0</v>
      </c>
      <c r="M10" s="46">
        <f t="shared" si="4"/>
        <v>0</v>
      </c>
      <c r="N10" s="47">
        <v>0</v>
      </c>
      <c r="O10" s="37">
        <v>0</v>
      </c>
      <c r="P10" s="51">
        <f t="shared" si="5"/>
        <v>0</v>
      </c>
      <c r="Q10" s="49">
        <f t="shared" si="6"/>
        <v>1.40506329113924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 t="shared" si="0"/>
        <v>3613568.6489574839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8.2694642514819262E-3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 t="shared" si="0"/>
        <v>147275344.70998612</v>
      </c>
      <c r="E12" s="39">
        <f t="shared" si="1"/>
        <v>124384080.73428571</v>
      </c>
      <c r="F12" s="40" t="s">
        <v>34</v>
      </c>
      <c r="G12" s="41">
        <v>97.381</v>
      </c>
      <c r="H12" s="42">
        <v>189.89</v>
      </c>
      <c r="I12" s="43">
        <v>189.89</v>
      </c>
      <c r="J12" s="44">
        <f t="shared" si="7"/>
        <v>7.1376753032450129</v>
      </c>
      <c r="K12" s="45">
        <f t="shared" si="2"/>
        <v>6.028253968253968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0.94996970661628022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 t="shared" si="0"/>
        <v>7174215.4270614469</v>
      </c>
      <c r="E13" s="39">
        <f t="shared" si="1"/>
        <v>6059114.5968253976</v>
      </c>
      <c r="F13" s="40" t="s">
        <v>44</v>
      </c>
      <c r="G13" s="41">
        <v>13.6</v>
      </c>
      <c r="H13" s="42">
        <v>21.85</v>
      </c>
      <c r="I13" s="43">
        <v>21.85</v>
      </c>
      <c r="J13" s="44">
        <f t="shared" si="7"/>
        <v>0.8213081540676368</v>
      </c>
      <c r="K13" s="45">
        <f t="shared" si="2"/>
        <v>0.69365079365079374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0.60661764705882359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 t="shared" si="0"/>
        <v>785841872.80812216</v>
      </c>
      <c r="E14" s="39">
        <f t="shared" si="1"/>
        <v>663697098.41269839</v>
      </c>
      <c r="F14" s="40" t="s">
        <v>47</v>
      </c>
      <c r="G14" s="41">
        <v>11.5</v>
      </c>
      <c r="H14" s="42">
        <v>40</v>
      </c>
      <c r="I14" s="43">
        <v>40</v>
      </c>
      <c r="J14" s="44">
        <f t="shared" si="7"/>
        <v>1.5035389548148956</v>
      </c>
      <c r="K14" s="45">
        <f t="shared" si="2"/>
        <v>1.2698412698412698</v>
      </c>
      <c r="L14" s="46">
        <f t="shared" si="3"/>
        <v>0</v>
      </c>
      <c r="M14" s="46">
        <f t="shared" si="4"/>
        <v>0</v>
      </c>
      <c r="N14" s="47">
        <v>1000</v>
      </c>
      <c r="O14" s="37">
        <v>40000</v>
      </c>
      <c r="P14" s="51">
        <f t="shared" si="5"/>
        <v>0</v>
      </c>
      <c r="Q14" s="49">
        <f t="shared" si="6"/>
        <v>2.4782608695652173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 t="shared" si="0"/>
        <v>23915487.954773549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0.22553084322223435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 t="shared" si="0"/>
        <v>62439115.359778069</v>
      </c>
      <c r="E16" s="39">
        <f t="shared" si="1"/>
        <v>52734094.638730153</v>
      </c>
      <c r="F16" s="40" t="s">
        <v>34</v>
      </c>
      <c r="G16" s="41">
        <v>1.9</v>
      </c>
      <c r="H16" s="42">
        <v>4.6399999999999997</v>
      </c>
      <c r="I16" s="43">
        <v>4.6399999999999997</v>
      </c>
      <c r="J16" s="44">
        <f t="shared" si="7"/>
        <v>0.17441051875852787</v>
      </c>
      <c r="K16" s="45">
        <f t="shared" si="2"/>
        <v>0.14730158730158729</v>
      </c>
      <c r="L16" s="46">
        <f t="shared" si="3"/>
        <v>0</v>
      </c>
      <c r="M16" s="46">
        <f t="shared" si="4"/>
        <v>0</v>
      </c>
      <c r="N16" s="47">
        <v>0</v>
      </c>
      <c r="O16" s="37">
        <v>0</v>
      </c>
      <c r="P16" s="51">
        <f t="shared" si="5"/>
        <v>0</v>
      </c>
      <c r="Q16" s="49">
        <f t="shared" si="6"/>
        <v>1.4421052631578948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1639720388.9117882</v>
      </c>
      <c r="E17" s="39">
        <f t="shared" si="1"/>
        <v>1384855785.8593755</v>
      </c>
      <c r="F17" s="40" t="s">
        <v>34</v>
      </c>
      <c r="G17" s="41">
        <v>20.701700000000002</v>
      </c>
      <c r="H17" s="42">
        <v>32.332099999999997</v>
      </c>
      <c r="I17" s="43">
        <v>32.366934999999998</v>
      </c>
      <c r="J17" s="44">
        <f t="shared" si="7"/>
        <v>1.2166236905115415</v>
      </c>
      <c r="K17" s="45">
        <f t="shared" si="2"/>
        <v>1.0275217460317461</v>
      </c>
      <c r="L17" s="46">
        <f t="shared" si="3"/>
        <v>3.483500000000106E-2</v>
      </c>
      <c r="M17" s="46">
        <f t="shared" si="4"/>
        <v>0.10774122311882328</v>
      </c>
      <c r="N17" s="47">
        <v>12400</v>
      </c>
      <c r="O17" s="37">
        <v>401350</v>
      </c>
      <c r="P17" s="48">
        <f t="shared" si="5"/>
        <v>4.1097342086916788E-2</v>
      </c>
      <c r="Q17" s="49">
        <f t="shared" si="6"/>
        <v>0.56349164561364495</v>
      </c>
      <c r="R17" s="50">
        <v>0.05</v>
      </c>
      <c r="S17" s="52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340915369.89421767</v>
      </c>
      <c r="E19" s="39">
        <f t="shared" si="1"/>
        <v>287926298.70250088</v>
      </c>
      <c r="F19" s="40" t="s">
        <v>47</v>
      </c>
      <c r="G19" s="41">
        <v>12.45</v>
      </c>
      <c r="H19" s="42">
        <v>13.4976</v>
      </c>
      <c r="I19" s="43">
        <v>13.497551000000001</v>
      </c>
      <c r="J19" s="44">
        <f t="shared" ref="J19:J45" si="8">I19/$J$5</f>
        <v>0.50735234307751875</v>
      </c>
      <c r="K19" s="45">
        <f t="shared" ref="K19:K45" si="9">I19/$K$4</f>
        <v>0.42849368253968256</v>
      </c>
      <c r="L19" s="46">
        <f t="shared" ref="L19:L29" si="10">I19-H19</f>
        <v>-4.8999999998855515E-5</v>
      </c>
      <c r="M19" s="46">
        <f>((I19-H19)/H19)*100</f>
        <v>-3.6302750117691673E-4</v>
      </c>
      <c r="N19" s="47">
        <v>0</v>
      </c>
      <c r="O19" s="37">
        <v>0</v>
      </c>
      <c r="P19" s="51">
        <f>(R19)/J19</f>
        <v>0</v>
      </c>
      <c r="Q19" s="49">
        <f t="shared" ref="Q19:Q29" si="11">I19/G19-1</f>
        <v>8.414064257028131E-2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3295879.5234909169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3.0258721465649775E-2</v>
      </c>
      <c r="K20" s="45">
        <f t="shared" si="9"/>
        <v>2.5555555555555557E-2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1.3000000000000003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86903771.665056631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0.12592138746574752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47">
        <v>100</v>
      </c>
      <c r="O21" s="37">
        <v>335</v>
      </c>
      <c r="P21" s="51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2117802.480651333</v>
      </c>
      <c r="E23" s="39">
        <f t="shared" si="1"/>
        <v>1788628.7433333332</v>
      </c>
      <c r="F23" s="40" t="s">
        <v>44</v>
      </c>
      <c r="G23" s="41">
        <v>0.1</v>
      </c>
      <c r="H23" s="42">
        <v>0.1235</v>
      </c>
      <c r="I23" s="43">
        <v>0.105</v>
      </c>
      <c r="J23" s="44">
        <f t="shared" si="8"/>
        <v>3.9467897563891007E-3</v>
      </c>
      <c r="K23" s="45">
        <f t="shared" si="9"/>
        <v>3.3333333333333331E-3</v>
      </c>
      <c r="L23" s="46">
        <f t="shared" si="10"/>
        <v>-1.8500000000000003E-2</v>
      </c>
      <c r="M23" s="46">
        <f t="shared" ref="M23:M29" si="12">((I23-H23)/H23)*100</f>
        <v>-14.979757085020246</v>
      </c>
      <c r="N23" s="47">
        <v>100</v>
      </c>
      <c r="O23" s="37">
        <v>10.5</v>
      </c>
      <c r="P23" s="51">
        <f t="shared" ref="P23:P29" si="13">(R23)/J23</f>
        <v>0</v>
      </c>
      <c r="Q23" s="49">
        <f t="shared" si="11"/>
        <v>4.9999999999999822E-2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77994995.583354324</v>
      </c>
      <c r="E24" s="39">
        <f t="shared" si="1"/>
        <v>65872097.238095239</v>
      </c>
      <c r="F24" s="40" t="s">
        <v>34</v>
      </c>
      <c r="G24" s="41">
        <v>8.1687659999999997</v>
      </c>
      <c r="H24" s="42">
        <v>10.75</v>
      </c>
      <c r="I24" s="43">
        <v>10.75</v>
      </c>
      <c r="J24" s="44">
        <f t="shared" si="8"/>
        <v>0.40407609410650319</v>
      </c>
      <c r="K24" s="45">
        <f t="shared" si="9"/>
        <v>0.34126984126984128</v>
      </c>
      <c r="L24" s="46">
        <f t="shared" si="10"/>
        <v>0</v>
      </c>
      <c r="M24" s="46">
        <f t="shared" si="12"/>
        <v>0</v>
      </c>
      <c r="N24" s="47">
        <v>0</v>
      </c>
      <c r="O24" s="37">
        <v>0</v>
      </c>
      <c r="P24" s="48">
        <f t="shared" si="13"/>
        <v>3.7121720930232555E-2</v>
      </c>
      <c r="Q24" s="49">
        <f t="shared" si="11"/>
        <v>0.31598824106358303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107837302.62480313</v>
      </c>
      <c r="E25" s="39">
        <f t="shared" si="1"/>
        <v>91075962.390476182</v>
      </c>
      <c r="F25" s="40" t="s">
        <v>66</v>
      </c>
      <c r="G25" s="41">
        <v>1.6675</v>
      </c>
      <c r="H25" s="42">
        <v>1.79</v>
      </c>
      <c r="I25" s="43">
        <v>1.7</v>
      </c>
      <c r="J25" s="44">
        <f t="shared" si="8"/>
        <v>6.3900405579633057E-2</v>
      </c>
      <c r="K25" s="45">
        <f t="shared" si="9"/>
        <v>5.3968253968253964E-2</v>
      </c>
      <c r="L25" s="46">
        <f t="shared" si="10"/>
        <v>-9.000000000000008E-2</v>
      </c>
      <c r="M25" s="46">
        <f t="shared" si="12"/>
        <v>-5.0279329608938594</v>
      </c>
      <c r="N25" s="47">
        <v>400</v>
      </c>
      <c r="O25" s="37">
        <v>680</v>
      </c>
      <c r="P25" s="51">
        <f t="shared" si="13"/>
        <v>0</v>
      </c>
      <c r="Q25" s="49">
        <f t="shared" si="11"/>
        <v>1.9490254872563728E-2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22541672.964642555</v>
      </c>
      <c r="E26" s="39">
        <f t="shared" si="1"/>
        <v>19037981.377271555</v>
      </c>
      <c r="F26" s="40" t="s">
        <v>44</v>
      </c>
      <c r="G26" s="41">
        <v>1.7994999999999999</v>
      </c>
      <c r="H26" s="42">
        <v>2.57</v>
      </c>
      <c r="I26" s="43">
        <v>2.5051220000000001</v>
      </c>
      <c r="J26" s="44">
        <f t="shared" si="8"/>
        <v>9.4163712839095026E-2</v>
      </c>
      <c r="K26" s="45">
        <f t="shared" si="9"/>
        <v>7.9527682539682537E-2</v>
      </c>
      <c r="L26" s="46">
        <f t="shared" si="10"/>
        <v>-6.4877999999999769E-2</v>
      </c>
      <c r="M26" s="46">
        <f t="shared" si="12"/>
        <v>-2.5244357976653609</v>
      </c>
      <c r="N26" s="47">
        <v>4100</v>
      </c>
      <c r="O26" s="37">
        <v>10271</v>
      </c>
      <c r="P26" s="51">
        <f t="shared" si="13"/>
        <v>0</v>
      </c>
      <c r="Q26" s="49">
        <f t="shared" si="11"/>
        <v>0.3921211447624342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23202641.897879411</v>
      </c>
      <c r="E27" s="39">
        <f t="shared" si="1"/>
        <v>19596214.755142666</v>
      </c>
      <c r="F27" s="40" t="s">
        <v>34</v>
      </c>
      <c r="G27" s="41">
        <v>3.1361369999999997</v>
      </c>
      <c r="H27" s="42">
        <v>2.4117839999999999</v>
      </c>
      <c r="I27" s="43">
        <v>2.409834</v>
      </c>
      <c r="J27" s="44">
        <f t="shared" si="8"/>
        <v>9.058198234093498E-2</v>
      </c>
      <c r="K27" s="45">
        <f t="shared" si="9"/>
        <v>7.6502666666666663E-2</v>
      </c>
      <c r="L27" s="46">
        <f t="shared" si="10"/>
        <v>-1.9499999999998963E-3</v>
      </c>
      <c r="M27" s="46">
        <f t="shared" si="12"/>
        <v>-8.0853011712487377E-2</v>
      </c>
      <c r="N27" s="47">
        <v>93400</v>
      </c>
      <c r="O27" s="37">
        <v>225078.5</v>
      </c>
      <c r="P27" s="51">
        <f t="shared" si="13"/>
        <v>0</v>
      </c>
      <c r="Q27" s="49">
        <f t="shared" si="11"/>
        <v>-0.23159160457594796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27253310.714199796</v>
      </c>
      <c r="E28" s="39">
        <f t="shared" si="1"/>
        <v>23017281.044746034</v>
      </c>
      <c r="F28" s="40" t="s">
        <v>44</v>
      </c>
      <c r="G28" s="41">
        <v>0.8</v>
      </c>
      <c r="H28" s="42">
        <v>0.95950000000000002</v>
      </c>
      <c r="I28" s="43">
        <v>0.95950000000000002</v>
      </c>
      <c r="J28" s="44">
        <f t="shared" si="8"/>
        <v>3.6066140678622308E-2</v>
      </c>
      <c r="K28" s="45">
        <f t="shared" si="9"/>
        <v>3.0460317460317462E-2</v>
      </c>
      <c r="L28" s="46">
        <f t="shared" si="10"/>
        <v>0</v>
      </c>
      <c r="M28" s="46">
        <f t="shared" si="12"/>
        <v>0</v>
      </c>
      <c r="N28" s="47">
        <v>0</v>
      </c>
      <c r="O28" s="37">
        <v>0</v>
      </c>
      <c r="P28" s="51">
        <f t="shared" si="13"/>
        <v>0</v>
      </c>
      <c r="Q28" s="49">
        <f t="shared" si="11"/>
        <v>0.19937499999999986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94700527.790355265</v>
      </c>
      <c r="E29" s="39">
        <f t="shared" si="1"/>
        <v>79981059.405772448</v>
      </c>
      <c r="F29" s="40" t="s">
        <v>47</v>
      </c>
      <c r="G29" s="41">
        <v>5.15</v>
      </c>
      <c r="H29" s="42">
        <v>5.6095240000000004</v>
      </c>
      <c r="I29" s="43">
        <v>5.6095240000000004</v>
      </c>
      <c r="J29" s="44">
        <f t="shared" si="8"/>
        <v>0.21085344629922684</v>
      </c>
      <c r="K29" s="45">
        <f t="shared" si="9"/>
        <v>0.17808012698412701</v>
      </c>
      <c r="L29" s="46">
        <f t="shared" si="10"/>
        <v>0</v>
      </c>
      <c r="M29" s="46">
        <f t="shared" si="12"/>
        <v>0</v>
      </c>
      <c r="N29" s="47">
        <v>0</v>
      </c>
      <c r="O29" s="37">
        <v>0</v>
      </c>
      <c r="P29" s="51">
        <f t="shared" si="13"/>
        <v>0</v>
      </c>
      <c r="Q29" s="49">
        <f t="shared" si="11"/>
        <v>8.9227961165048608E-2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13577487.334563728</v>
      </c>
      <c r="E31" s="39">
        <f t="shared" si="1"/>
        <v>11467114.77142857</v>
      </c>
      <c r="F31" s="40" t="s">
        <v>39</v>
      </c>
      <c r="G31" s="41">
        <v>1.4</v>
      </c>
      <c r="H31" s="42">
        <v>1.39</v>
      </c>
      <c r="I31" s="43">
        <v>1.39</v>
      </c>
      <c r="J31" s="44">
        <f t="shared" si="8"/>
        <v>5.2247978679817619E-2</v>
      </c>
      <c r="K31" s="45">
        <f t="shared" si="9"/>
        <v>4.4126984126984126E-2</v>
      </c>
      <c r="L31" s="46">
        <f t="shared" ref="L31:L45" si="14">I31-H31</f>
        <v>0</v>
      </c>
      <c r="M31" s="46">
        <f t="shared" ref="M31:M45" si="15">((I31-H31)/H31)*100</f>
        <v>0</v>
      </c>
      <c r="N31" s="47">
        <v>0</v>
      </c>
      <c r="O31" s="37">
        <v>0</v>
      </c>
      <c r="P31" s="51">
        <f t="shared" ref="P31:P36" si="16">(R31)/J31</f>
        <v>0</v>
      </c>
      <c r="Q31" s="49">
        <f t="shared" ref="Q31:Q45" si="17">I31/G31-1</f>
        <v>-7.1428571428571175E-3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3910333.5666951085</v>
      </c>
      <c r="E32" s="39">
        <f t="shared" si="1"/>
        <v>3302543.5928571429</v>
      </c>
      <c r="F32" s="40" t="s">
        <v>39</v>
      </c>
      <c r="G32" s="41">
        <v>0.65</v>
      </c>
      <c r="H32" s="42">
        <v>0.85</v>
      </c>
      <c r="I32" s="43">
        <v>0.85250000000000004</v>
      </c>
      <c r="J32" s="44">
        <f t="shared" si="8"/>
        <v>3.2044173974492461E-2</v>
      </c>
      <c r="K32" s="45">
        <f t="shared" si="9"/>
        <v>2.7063492063492064E-2</v>
      </c>
      <c r="L32" s="46">
        <f t="shared" si="14"/>
        <v>2.5000000000000577E-3</v>
      </c>
      <c r="M32" s="46">
        <f t="shared" si="15"/>
        <v>0.29411764705883031</v>
      </c>
      <c r="N32" s="47">
        <v>4800</v>
      </c>
      <c r="O32" s="37">
        <v>4092</v>
      </c>
      <c r="P32" s="51">
        <f t="shared" si="16"/>
        <v>0</v>
      </c>
      <c r="Q32" s="49">
        <f t="shared" si="17"/>
        <v>0.31153846153846154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144454878.27799684</v>
      </c>
      <c r="E33" s="39">
        <f t="shared" si="1"/>
        <v>122002004.32444446</v>
      </c>
      <c r="F33" s="40" t="s">
        <v>92</v>
      </c>
      <c r="G33" s="41">
        <v>1.44</v>
      </c>
      <c r="H33" s="42">
        <v>1.54</v>
      </c>
      <c r="I33" s="43">
        <v>1.54</v>
      </c>
      <c r="J33" s="44">
        <f t="shared" si="8"/>
        <v>5.788624976037348E-2</v>
      </c>
      <c r="K33" s="45">
        <f t="shared" si="9"/>
        <v>4.8888888888888891E-2</v>
      </c>
      <c r="L33" s="46">
        <f t="shared" si="14"/>
        <v>0</v>
      </c>
      <c r="M33" s="46">
        <f t="shared" si="15"/>
        <v>0</v>
      </c>
      <c r="N33" s="47">
        <v>0</v>
      </c>
      <c r="O33" s="37">
        <v>0</v>
      </c>
      <c r="P33" s="51">
        <f t="shared" si="16"/>
        <v>0</v>
      </c>
      <c r="Q33" s="49">
        <f t="shared" si="17"/>
        <v>6.944444444444442E-2</v>
      </c>
      <c r="R33" s="50"/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47201887.680541158</v>
      </c>
      <c r="E34" s="39">
        <f t="shared" si="1"/>
        <v>39865215.862360284</v>
      </c>
      <c r="F34" s="40" t="s">
        <v>34</v>
      </c>
      <c r="G34" s="41">
        <v>3.6056249999999999</v>
      </c>
      <c r="H34" s="42">
        <v>4.7703489999999995</v>
      </c>
      <c r="I34" s="43">
        <v>4.9538029999999997</v>
      </c>
      <c r="J34" s="44">
        <f t="shared" si="8"/>
        <v>0.18620589462447235</v>
      </c>
      <c r="K34" s="45">
        <f t="shared" si="9"/>
        <v>0.15726358730158729</v>
      </c>
      <c r="L34" s="46">
        <f t="shared" si="14"/>
        <v>0.18345400000000023</v>
      </c>
      <c r="M34" s="46">
        <f t="shared" si="15"/>
        <v>3.8457144330530166</v>
      </c>
      <c r="N34" s="47">
        <v>85200</v>
      </c>
      <c r="O34" s="37">
        <v>422064</v>
      </c>
      <c r="P34" s="51">
        <f t="shared" si="16"/>
        <v>0</v>
      </c>
      <c r="Q34" s="49">
        <f t="shared" si="17"/>
        <v>0.37390965505286866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5992950.3670358118</v>
      </c>
      <c r="E35" s="39">
        <f t="shared" si="1"/>
        <v>5061455.6276058424</v>
      </c>
      <c r="F35" s="40" t="s">
        <v>34</v>
      </c>
      <c r="G35" s="41">
        <v>2.5099999999999997E-2</v>
      </c>
      <c r="H35" s="42">
        <v>3.3000000000000002E-2</v>
      </c>
      <c r="I35" s="43">
        <v>3.3814000000000004E-2</v>
      </c>
      <c r="J35" s="44">
        <f t="shared" si="8"/>
        <v>1.2710166554527722E-3</v>
      </c>
      <c r="K35" s="45">
        <f t="shared" si="9"/>
        <v>1.0734603174603176E-3</v>
      </c>
      <c r="L35" s="46">
        <f t="shared" si="14"/>
        <v>8.1400000000000222E-4</v>
      </c>
      <c r="M35" s="46">
        <f t="shared" si="15"/>
        <v>2.4666666666666734</v>
      </c>
      <c r="N35" s="47">
        <v>8800</v>
      </c>
      <c r="O35" s="37">
        <v>297.56</v>
      </c>
      <c r="P35" s="51">
        <f t="shared" si="16"/>
        <v>0</v>
      </c>
      <c r="Q35" s="49">
        <f t="shared" si="17"/>
        <v>0.34717131474103624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91173914.500111446</v>
      </c>
      <c r="E36" s="39">
        <f t="shared" si="1"/>
        <v>77002593.77680999</v>
      </c>
      <c r="F36" s="40" t="s">
        <v>92</v>
      </c>
      <c r="G36" s="41">
        <v>0.61</v>
      </c>
      <c r="H36" s="42">
        <v>4.6176469999999998</v>
      </c>
      <c r="I36" s="43">
        <v>4.6193549999999997</v>
      </c>
      <c r="J36" s="44">
        <f t="shared" si="8"/>
        <v>0.17363450471547404</v>
      </c>
      <c r="K36" s="45">
        <f t="shared" si="9"/>
        <v>0.14664619047619046</v>
      </c>
      <c r="L36" s="46">
        <f t="shared" si="14"/>
        <v>1.7079999999998208E-3</v>
      </c>
      <c r="M36" s="46">
        <f t="shared" si="15"/>
        <v>3.6988535503034783E-2</v>
      </c>
      <c r="N36" s="47">
        <v>3100</v>
      </c>
      <c r="O36" s="37">
        <v>14320</v>
      </c>
      <c r="P36" s="51">
        <f t="shared" si="16"/>
        <v>0</v>
      </c>
      <c r="Q36" s="49">
        <f t="shared" si="17"/>
        <v>6.572713114754098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39419013.086427182</v>
      </c>
      <c r="E37" s="39">
        <f t="shared" si="1"/>
        <v>33292047.055555552</v>
      </c>
      <c r="F37" s="40" t="s">
        <v>56</v>
      </c>
      <c r="G37" s="41">
        <v>0.11650199999999999</v>
      </c>
      <c r="H37" s="42">
        <v>0.25</v>
      </c>
      <c r="I37" s="43">
        <v>0.25</v>
      </c>
      <c r="J37" s="44">
        <f t="shared" si="8"/>
        <v>9.3971184675930974E-3</v>
      </c>
      <c r="K37" s="45">
        <f t="shared" si="9"/>
        <v>7.9365079365079361E-3</v>
      </c>
      <c r="L37" s="46">
        <f t="shared" si="14"/>
        <v>0</v>
      </c>
      <c r="M37" s="46">
        <f t="shared" si="15"/>
        <v>0</v>
      </c>
      <c r="N37" s="47">
        <v>100</v>
      </c>
      <c r="O37" s="37">
        <v>25</v>
      </c>
      <c r="P37" s="51">
        <v>0</v>
      </c>
      <c r="Q37" s="49">
        <f t="shared" si="17"/>
        <v>1.1458859075380681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20277696.592416901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8"/>
        <v>4.6985592337965487E-3</v>
      </c>
      <c r="K38" s="45">
        <f t="shared" si="9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7203967.3356162068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8"/>
        <v>6.7659252966670302E-2</v>
      </c>
      <c r="K39" s="45">
        <f t="shared" si="9"/>
        <v>5.7142857142857141E-2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3407180.5562668634</v>
      </c>
      <c r="E40" s="39">
        <f t="shared" si="1"/>
        <v>2877596.5333608892</v>
      </c>
      <c r="F40" s="40" t="s">
        <v>39</v>
      </c>
      <c r="G40" s="41">
        <v>0.03</v>
      </c>
      <c r="H40" s="42">
        <v>5.0980999999999999E-2</v>
      </c>
      <c r="I40" s="43">
        <v>5.0980999999999999E-2</v>
      </c>
      <c r="J40" s="44">
        <f t="shared" si="8"/>
        <v>1.9162979863854548E-3</v>
      </c>
      <c r="K40" s="45">
        <f t="shared" si="9"/>
        <v>1.6184444444444445E-3</v>
      </c>
      <c r="L40" s="46">
        <f t="shared" si="14"/>
        <v>0</v>
      </c>
      <c r="M40" s="46">
        <f t="shared" si="15"/>
        <v>0</v>
      </c>
      <c r="N40" s="47">
        <v>0</v>
      </c>
      <c r="O40" s="37">
        <v>0</v>
      </c>
      <c r="P40" s="51">
        <f t="shared" si="18"/>
        <v>0</v>
      </c>
      <c r="Q40" s="49">
        <f t="shared" si="17"/>
        <v>0.69936666666666669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46096042.084055342</v>
      </c>
      <c r="E41" s="39">
        <f t="shared" si="1"/>
        <v>38931253.777777776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0.26311931709260672</v>
      </c>
      <c r="K41" s="45">
        <f t="shared" si="9"/>
        <v>0.22222222222222221</v>
      </c>
      <c r="L41" s="46">
        <f t="shared" si="14"/>
        <v>0</v>
      </c>
      <c r="M41" s="46">
        <f t="shared" si="15"/>
        <v>0</v>
      </c>
      <c r="N41" s="47">
        <v>0</v>
      </c>
      <c r="O41" s="37">
        <v>0</v>
      </c>
      <c r="P41" s="51">
        <f t="shared" si="18"/>
        <v>0</v>
      </c>
      <c r="Q41" s="49">
        <f t="shared" si="17"/>
        <v>0.55555555555555558</v>
      </c>
      <c r="R41" s="50">
        <v>0</v>
      </c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313.49080014584331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6.7659252966670304E-7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1732076.8759467597</v>
      </c>
      <c r="E43" s="39">
        <f t="shared" si="1"/>
        <v>1462857.142857143</v>
      </c>
      <c r="F43" s="40" t="s">
        <v>56</v>
      </c>
      <c r="G43" s="41">
        <v>7.0000000000000007E-2</v>
      </c>
      <c r="H43" s="42">
        <v>0.08</v>
      </c>
      <c r="I43" s="43">
        <v>0.08</v>
      </c>
      <c r="J43" s="44">
        <f t="shared" si="8"/>
        <v>3.0070779096297911E-3</v>
      </c>
      <c r="K43" s="45">
        <f t="shared" si="9"/>
        <v>2.5396825396825397E-3</v>
      </c>
      <c r="L43" s="46">
        <f t="shared" si="14"/>
        <v>0</v>
      </c>
      <c r="M43" s="46">
        <f t="shared" si="15"/>
        <v>0</v>
      </c>
      <c r="N43" s="47">
        <v>30300</v>
      </c>
      <c r="O43" s="37">
        <v>2424</v>
      </c>
      <c r="P43" s="51">
        <f t="shared" si="18"/>
        <v>0</v>
      </c>
      <c r="Q43" s="49">
        <f t="shared" si="17"/>
        <v>0.14285714285714279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60826221.702081278</v>
      </c>
      <c r="E44" s="39">
        <f t="shared" si="1"/>
        <v>51371895.858412698</v>
      </c>
      <c r="F44" s="40" t="s">
        <v>47</v>
      </c>
      <c r="G44" s="41">
        <v>0.9998999999999999</v>
      </c>
      <c r="H44" s="42">
        <v>0.81950500000000004</v>
      </c>
      <c r="I44" s="43">
        <v>0.89</v>
      </c>
      <c r="J44" s="44">
        <f t="shared" si="8"/>
        <v>3.3453741744631428E-2</v>
      </c>
      <c r="K44" s="45">
        <f t="shared" si="9"/>
        <v>2.8253968253968254E-2</v>
      </c>
      <c r="L44" s="46">
        <f t="shared" si="14"/>
        <v>7.0494999999999974E-2</v>
      </c>
      <c r="M44" s="46">
        <f t="shared" si="15"/>
        <v>8.6021439771569383</v>
      </c>
      <c r="N44" s="47">
        <v>5600</v>
      </c>
      <c r="O44" s="37">
        <v>4984</v>
      </c>
      <c r="P44" s="51">
        <f t="shared" si="18"/>
        <v>0</v>
      </c>
      <c r="Q44" s="49">
        <f t="shared" si="17"/>
        <v>-0.10991099109910984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6370331.3423971673</v>
      </c>
      <c r="E45" s="39">
        <f t="shared" si="1"/>
        <v>5380179.6190476185</v>
      </c>
      <c r="F45" s="40" t="s">
        <v>47</v>
      </c>
      <c r="G45" s="41">
        <v>1.4503460000000001</v>
      </c>
      <c r="H45" s="42">
        <v>1.5</v>
      </c>
      <c r="I45" s="43">
        <v>1.65</v>
      </c>
      <c r="J45" s="44">
        <f t="shared" si="8"/>
        <v>6.2020981886114442E-2</v>
      </c>
      <c r="K45" s="45">
        <f t="shared" si="9"/>
        <v>5.2380952380952375E-2</v>
      </c>
      <c r="L45" s="46">
        <f t="shared" si="14"/>
        <v>0.14999999999999991</v>
      </c>
      <c r="M45" s="46">
        <f t="shared" si="15"/>
        <v>9.9999999999999929</v>
      </c>
      <c r="N45" s="47">
        <v>600</v>
      </c>
      <c r="O45" s="37">
        <v>990</v>
      </c>
      <c r="P45" s="51">
        <v>0</v>
      </c>
      <c r="Q45" s="49">
        <f t="shared" si="17"/>
        <v>0.13765956537267643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250000</v>
      </c>
      <c r="O47" s="61">
        <f>SUM(O9:O46)</f>
        <v>1126921.56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4" si="19">C50*J50</f>
        <v>85679695.555200011</v>
      </c>
      <c r="E50" s="39">
        <v>0</v>
      </c>
      <c r="F50" s="40" t="s">
        <v>92</v>
      </c>
      <c r="G50" s="70">
        <v>0.1</v>
      </c>
      <c r="H50" s="42">
        <v>0.15509999999999999</v>
      </c>
      <c r="I50" s="42">
        <v>0.15440000000000001</v>
      </c>
      <c r="J50" s="44">
        <f t="shared" ref="J50:J64" si="20">I50</f>
        <v>0.15440000000000001</v>
      </c>
      <c r="K50" s="39">
        <v>0</v>
      </c>
      <c r="L50" s="46">
        <f t="shared" ref="L50:L64" si="21">I50-H50</f>
        <v>-6.9999999999997842E-4</v>
      </c>
      <c r="M50" s="46">
        <f t="shared" ref="M50:M64" si="22">((I50-H50)/H50)*100</f>
        <v>-0.45132172791745873</v>
      </c>
      <c r="N50" s="47">
        <v>90</v>
      </c>
      <c r="O50" s="37">
        <v>13.9</v>
      </c>
      <c r="P50" s="71">
        <f>(R50)/J50</f>
        <v>0</v>
      </c>
      <c r="Q50" s="49">
        <f t="shared" ref="Q50:Q64" si="23">J50/G50-1</f>
        <v>0.54400000000000004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1057685</v>
      </c>
      <c r="D51" s="38">
        <f t="shared" si="19"/>
        <v>45312177.316500001</v>
      </c>
      <c r="E51" s="39">
        <v>0</v>
      </c>
      <c r="F51" s="40" t="s">
        <v>39</v>
      </c>
      <c r="G51" s="70">
        <v>39.9</v>
      </c>
      <c r="H51" s="42">
        <v>42.840899999999998</v>
      </c>
      <c r="I51" s="42">
        <v>42.840899999999998</v>
      </c>
      <c r="J51" s="44">
        <f t="shared" si="20"/>
        <v>42.840899999999998</v>
      </c>
      <c r="K51" s="39">
        <v>0</v>
      </c>
      <c r="L51" s="46">
        <f t="shared" si="21"/>
        <v>0</v>
      </c>
      <c r="M51" s="46">
        <f t="shared" si="22"/>
        <v>0</v>
      </c>
      <c r="N51" s="47">
        <v>0</v>
      </c>
      <c r="O51" s="37">
        <v>0</v>
      </c>
      <c r="P51" s="72">
        <f>(R51)/J51</f>
        <v>1.307162081095402E-2</v>
      </c>
      <c r="Q51" s="49">
        <f t="shared" si="23"/>
        <v>7.3706766917293276E-2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737867445.8598001</v>
      </c>
      <c r="E52" s="39"/>
      <c r="F52" s="40" t="s">
        <v>56</v>
      </c>
      <c r="G52" s="70">
        <v>0.33</v>
      </c>
      <c r="H52" s="42">
        <v>0.2296</v>
      </c>
      <c r="I52" s="42">
        <v>0.24660000000000001</v>
      </c>
      <c r="J52" s="44">
        <f t="shared" si="20"/>
        <v>0.24660000000000001</v>
      </c>
      <c r="K52" s="39">
        <v>0</v>
      </c>
      <c r="L52" s="46">
        <f t="shared" si="21"/>
        <v>1.7000000000000015E-2</v>
      </c>
      <c r="M52" s="46">
        <f t="shared" si="22"/>
        <v>7.4041811846689969</v>
      </c>
      <c r="N52" s="47">
        <v>124796</v>
      </c>
      <c r="O52" s="37">
        <v>30768.58</v>
      </c>
      <c r="P52" s="71">
        <v>0</v>
      </c>
      <c r="Q52" s="49">
        <f t="shared" si="23"/>
        <v>-0.25272727272727269</v>
      </c>
      <c r="R52" s="52"/>
      <c r="T52" s="52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12377741.142899999</v>
      </c>
      <c r="E53" s="39">
        <v>0</v>
      </c>
      <c r="F53" s="40" t="s">
        <v>34</v>
      </c>
      <c r="G53" s="70">
        <v>2.3E-2</v>
      </c>
      <c r="H53" s="42">
        <v>2.0799999999999999E-2</v>
      </c>
      <c r="I53" s="42">
        <v>2.0299999999999999E-2</v>
      </c>
      <c r="J53" s="44">
        <f t="shared" si="20"/>
        <v>2.0299999999999999E-2</v>
      </c>
      <c r="K53" s="39">
        <v>0</v>
      </c>
      <c r="L53" s="46">
        <f t="shared" si="21"/>
        <v>-5.0000000000000044E-4</v>
      </c>
      <c r="M53" s="46">
        <f t="shared" si="22"/>
        <v>-2.403846153846156</v>
      </c>
      <c r="N53" s="47">
        <v>4500</v>
      </c>
      <c r="O53" s="37">
        <v>91.31</v>
      </c>
      <c r="P53" s="71">
        <f t="shared" ref="P53:P64" si="24">(R53)/J53</f>
        <v>0</v>
      </c>
      <c r="Q53" s="49">
        <f t="shared" si="23"/>
        <v>-0.11739130434782619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323971850.16419995</v>
      </c>
      <c r="E54" s="39">
        <v>0</v>
      </c>
      <c r="F54" s="40" t="s">
        <v>47</v>
      </c>
      <c r="G54" s="70">
        <v>9.0200000000000002E-2</v>
      </c>
      <c r="H54" s="42">
        <v>0.15</v>
      </c>
      <c r="I54" s="42">
        <v>0.14979999999999999</v>
      </c>
      <c r="J54" s="44">
        <f t="shared" si="20"/>
        <v>0.14979999999999999</v>
      </c>
      <c r="K54" s="39">
        <v>0</v>
      </c>
      <c r="L54" s="46">
        <f t="shared" si="21"/>
        <v>-2.0000000000000573E-4</v>
      </c>
      <c r="M54" s="73">
        <f t="shared" si="22"/>
        <v>-0.13333333333333716</v>
      </c>
      <c r="N54" s="47">
        <v>26165</v>
      </c>
      <c r="O54" s="37">
        <v>3920.18</v>
      </c>
      <c r="P54" s="71">
        <f t="shared" si="24"/>
        <v>0</v>
      </c>
      <c r="Q54" s="49">
        <f t="shared" si="23"/>
        <v>0.66075388026607529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821559080.92500007</v>
      </c>
      <c r="E55" s="39">
        <v>0</v>
      </c>
      <c r="F55" s="40" t="s">
        <v>34</v>
      </c>
      <c r="G55" s="70">
        <v>0.95750000000000002</v>
      </c>
      <c r="H55" s="42">
        <v>1.5484</v>
      </c>
      <c r="I55" s="42">
        <v>1.4265000000000001</v>
      </c>
      <c r="J55" s="44">
        <f t="shared" si="20"/>
        <v>1.4265000000000001</v>
      </c>
      <c r="K55" s="39">
        <v>0</v>
      </c>
      <c r="L55" s="46">
        <f t="shared" si="21"/>
        <v>-0.1218999999999999</v>
      </c>
      <c r="M55" s="46">
        <f t="shared" si="22"/>
        <v>-7.8726427279772597</v>
      </c>
      <c r="N55" s="47">
        <v>90574</v>
      </c>
      <c r="O55" s="37">
        <v>129204.82</v>
      </c>
      <c r="P55" s="72">
        <f t="shared" si="24"/>
        <v>3.2947774272695407E-2</v>
      </c>
      <c r="Q55" s="49">
        <f t="shared" si="23"/>
        <v>0.48981723237597929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730</v>
      </c>
      <c r="O56" s="37">
        <v>109.5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953802800</v>
      </c>
      <c r="D57" s="38">
        <f t="shared" si="19"/>
        <v>19076056</v>
      </c>
      <c r="E57" s="39">
        <v>0</v>
      </c>
      <c r="F57" s="40" t="s">
        <v>92</v>
      </c>
      <c r="G57" s="70">
        <v>1.6799999999999999E-2</v>
      </c>
      <c r="H57" s="42">
        <v>1.9099999999999999E-2</v>
      </c>
      <c r="I57" s="42">
        <v>0.02</v>
      </c>
      <c r="J57" s="44">
        <f t="shared" si="20"/>
        <v>0.02</v>
      </c>
      <c r="K57" s="39">
        <v>0</v>
      </c>
      <c r="L57" s="46">
        <f t="shared" si="21"/>
        <v>9.0000000000000149E-4</v>
      </c>
      <c r="M57" s="73">
        <f t="shared" si="22"/>
        <v>4.7120418848167613</v>
      </c>
      <c r="N57" s="47">
        <v>700</v>
      </c>
      <c r="O57" s="37">
        <v>14</v>
      </c>
      <c r="P57" s="71">
        <f t="shared" si="24"/>
        <v>0</v>
      </c>
      <c r="Q57" s="49">
        <f t="shared" si="23"/>
        <v>0.19047619047619047</v>
      </c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2661004.5</v>
      </c>
      <c r="E58" s="39">
        <v>0</v>
      </c>
      <c r="F58" s="40" t="s">
        <v>137</v>
      </c>
      <c r="G58" s="70">
        <v>19.5</v>
      </c>
      <c r="H58" s="42">
        <v>16.5</v>
      </c>
      <c r="I58" s="42">
        <v>16.5</v>
      </c>
      <c r="J58" s="44">
        <f t="shared" si="20"/>
        <v>16.5</v>
      </c>
      <c r="K58" s="39">
        <v>0</v>
      </c>
      <c r="L58" s="46">
        <f t="shared" si="21"/>
        <v>0</v>
      </c>
      <c r="M58" s="46">
        <f t="shared" si="22"/>
        <v>0</v>
      </c>
      <c r="N58" s="47">
        <v>0</v>
      </c>
      <c r="O58" s="37">
        <v>0</v>
      </c>
      <c r="P58" s="71">
        <f t="shared" si="24"/>
        <v>0</v>
      </c>
      <c r="Q58" s="49">
        <f t="shared" si="23"/>
        <v>-0.15384615384615385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805090451</v>
      </c>
      <c r="D59" s="38">
        <f t="shared" si="19"/>
        <v>1125757977.6333001</v>
      </c>
      <c r="E59" s="39">
        <v>0</v>
      </c>
      <c r="F59" s="40" t="s">
        <v>92</v>
      </c>
      <c r="G59" s="70">
        <v>0.59499999999999997</v>
      </c>
      <c r="H59" s="42">
        <v>1.3475999999999999</v>
      </c>
      <c r="I59" s="42">
        <v>1.3983000000000001</v>
      </c>
      <c r="J59" s="44">
        <f t="shared" si="20"/>
        <v>1.3983000000000001</v>
      </c>
      <c r="K59" s="39">
        <v>0</v>
      </c>
      <c r="L59" s="46">
        <f t="shared" si="21"/>
        <v>5.0700000000000189E-2</v>
      </c>
      <c r="M59" s="46">
        <f t="shared" si="22"/>
        <v>3.7622439893143511</v>
      </c>
      <c r="N59" s="47">
        <v>282545</v>
      </c>
      <c r="O59" s="37">
        <v>395088.53</v>
      </c>
      <c r="P59" s="71">
        <f t="shared" si="24"/>
        <v>0</v>
      </c>
      <c r="Q59" s="49">
        <f t="shared" si="23"/>
        <v>1.3500840336134456</v>
      </c>
      <c r="R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260714518</v>
      </c>
      <c r="D60" s="38">
        <f t="shared" si="19"/>
        <v>108457239.48799999</v>
      </c>
      <c r="E60" s="39">
        <v>0</v>
      </c>
      <c r="F60" s="40" t="s">
        <v>34</v>
      </c>
      <c r="G60" s="70">
        <v>0.22600000000000001</v>
      </c>
      <c r="H60" s="42">
        <v>0.3705</v>
      </c>
      <c r="I60" s="42">
        <v>0.41599999999999998</v>
      </c>
      <c r="J60" s="44">
        <f t="shared" si="20"/>
        <v>0.41599999999999998</v>
      </c>
      <c r="K60" s="39">
        <v>0</v>
      </c>
      <c r="L60" s="46">
        <f t="shared" si="21"/>
        <v>4.5499999999999985E-2</v>
      </c>
      <c r="M60" s="46">
        <f t="shared" si="22"/>
        <v>12.280701754385962</v>
      </c>
      <c r="N60" s="47">
        <v>18</v>
      </c>
      <c r="O60" s="37">
        <v>7.49</v>
      </c>
      <c r="P60" s="71">
        <f t="shared" si="24"/>
        <v>0</v>
      </c>
      <c r="Q60" s="49">
        <f t="shared" si="23"/>
        <v>0.84070796460176966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562184788</v>
      </c>
      <c r="D61" s="38">
        <f t="shared" si="19"/>
        <v>420458002.94520003</v>
      </c>
      <c r="E61" s="39">
        <v>0</v>
      </c>
      <c r="F61" s="40" t="s">
        <v>34</v>
      </c>
      <c r="G61" s="70">
        <v>0.49440000000000001</v>
      </c>
      <c r="H61" s="42">
        <v>0.72240000000000004</v>
      </c>
      <c r="I61" s="42">
        <v>0.74790000000000001</v>
      </c>
      <c r="J61" s="44">
        <f t="shared" si="20"/>
        <v>0.74790000000000001</v>
      </c>
      <c r="K61" s="39">
        <v>0</v>
      </c>
      <c r="L61" s="46">
        <f t="shared" si="21"/>
        <v>2.5499999999999967E-2</v>
      </c>
      <c r="M61" s="46">
        <f t="shared" si="22"/>
        <v>3.529900332225909</v>
      </c>
      <c r="N61" s="47">
        <v>472</v>
      </c>
      <c r="O61" s="37">
        <v>353</v>
      </c>
      <c r="P61" s="71">
        <f t="shared" si="24"/>
        <v>0</v>
      </c>
      <c r="Q61" s="49">
        <f t="shared" si="23"/>
        <v>0.51274271844660202</v>
      </c>
      <c r="R61" s="52"/>
      <c r="T61" s="52"/>
    </row>
    <row r="62" spans="1:20" ht="12" customHeight="1" x14ac:dyDescent="0.25">
      <c r="A62" s="35" t="s">
        <v>144</v>
      </c>
      <c r="B62" s="36" t="s">
        <v>145</v>
      </c>
      <c r="C62" s="40">
        <v>364526035</v>
      </c>
      <c r="D62" s="38">
        <f t="shared" si="19"/>
        <v>80195727.700000003</v>
      </c>
      <c r="E62" s="39">
        <v>0</v>
      </c>
      <c r="F62" s="40" t="s">
        <v>34</v>
      </c>
      <c r="G62" s="70">
        <v>0.25950000000000001</v>
      </c>
      <c r="H62" s="42">
        <v>0.22</v>
      </c>
      <c r="I62" s="42">
        <v>0.22</v>
      </c>
      <c r="J62" s="44">
        <f t="shared" si="20"/>
        <v>0.22</v>
      </c>
      <c r="K62" s="39">
        <v>0</v>
      </c>
      <c r="L62" s="46">
        <f t="shared" si="21"/>
        <v>0</v>
      </c>
      <c r="M62" s="46">
        <f t="shared" si="22"/>
        <v>0</v>
      </c>
      <c r="N62" s="47">
        <v>100</v>
      </c>
      <c r="O62" s="37">
        <v>22</v>
      </c>
      <c r="P62" s="71">
        <f t="shared" si="24"/>
        <v>0</v>
      </c>
      <c r="Q62" s="49">
        <f t="shared" si="23"/>
        <v>-0.1522157996146436</v>
      </c>
      <c r="R62" s="52"/>
      <c r="T62" s="52"/>
    </row>
    <row r="63" spans="1:20" x14ac:dyDescent="0.25">
      <c r="A63" s="35" t="s">
        <v>146</v>
      </c>
      <c r="B63" s="36" t="s">
        <v>147</v>
      </c>
      <c r="C63" s="40">
        <v>30000000</v>
      </c>
      <c r="D63" s="38">
        <f t="shared" si="19"/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 t="shared" si="20"/>
        <v>10</v>
      </c>
      <c r="K63" s="39">
        <v>0</v>
      </c>
      <c r="L63" s="46">
        <f t="shared" si="21"/>
        <v>0</v>
      </c>
      <c r="M63" s="46">
        <f t="shared" si="22"/>
        <v>0</v>
      </c>
      <c r="N63" s="47">
        <v>0</v>
      </c>
      <c r="O63" s="37">
        <v>0</v>
      </c>
      <c r="P63" s="71">
        <f t="shared" si="24"/>
        <v>0</v>
      </c>
      <c r="Q63" s="49">
        <f t="shared" si="23"/>
        <v>0</v>
      </c>
      <c r="T63" s="52"/>
    </row>
    <row r="64" spans="1:20" x14ac:dyDescent="0.25">
      <c r="A64" s="35" t="s">
        <v>148</v>
      </c>
      <c r="B64" s="36" t="s">
        <v>149</v>
      </c>
      <c r="C64" s="40">
        <v>344580486</v>
      </c>
      <c r="D64" s="38">
        <f t="shared" si="19"/>
        <v>34974919.329000004</v>
      </c>
      <c r="E64" s="39">
        <v>0</v>
      </c>
      <c r="F64" s="40" t="s">
        <v>44</v>
      </c>
      <c r="G64" s="70">
        <v>4.2999999999999997E-2</v>
      </c>
      <c r="H64" s="42">
        <v>0.10100000000000001</v>
      </c>
      <c r="I64" s="42">
        <v>0.10150000000000001</v>
      </c>
      <c r="J64" s="44">
        <f t="shared" si="20"/>
        <v>0.10150000000000001</v>
      </c>
      <c r="K64" s="39">
        <v>0</v>
      </c>
      <c r="L64" s="46">
        <f t="shared" si="21"/>
        <v>5.0000000000000044E-4</v>
      </c>
      <c r="M64" s="46">
        <f t="shared" si="22"/>
        <v>0.49504950495049549</v>
      </c>
      <c r="N64" s="47">
        <v>1822</v>
      </c>
      <c r="O64" s="37">
        <v>184.93</v>
      </c>
      <c r="P64" s="71">
        <f t="shared" si="24"/>
        <v>0</v>
      </c>
      <c r="Q64" s="49">
        <f t="shared" si="23"/>
        <v>1.36046511627907</v>
      </c>
      <c r="T64" s="52"/>
    </row>
    <row r="65" spans="1:20" ht="13.2" x14ac:dyDescent="0.35">
      <c r="A65" s="74"/>
      <c r="B65" s="36" t="s">
        <v>117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532512</v>
      </c>
      <c r="O65" s="62">
        <f>SUM(O50:O64)</f>
        <v>559778.24000000011</v>
      </c>
      <c r="P65" s="77"/>
      <c r="Q65" s="63"/>
    </row>
    <row r="66" spans="1:20" ht="12.6" hidden="1" x14ac:dyDescent="0.3">
      <c r="A66" s="137" t="s">
        <v>150</v>
      </c>
      <c r="B66" s="138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40"/>
    </row>
    <row r="67" spans="1:20" ht="12.6" hidden="1" thickBot="1" x14ac:dyDescent="0.3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117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7" t="s">
        <v>154</v>
      </c>
      <c r="B69" s="138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40"/>
    </row>
    <row r="70" spans="1:20" x14ac:dyDescent="0.25">
      <c r="A70" s="35" t="s">
        <v>155</v>
      </c>
      <c r="B70" s="88" t="s">
        <v>156</v>
      </c>
      <c r="C70" s="89">
        <v>139300587</v>
      </c>
      <c r="D70" s="38">
        <f>C70*J70</f>
        <v>50148211.32</v>
      </c>
      <c r="E70" s="39">
        <f>C70*K70</f>
        <v>50148211.32</v>
      </c>
      <c r="F70" s="89" t="s">
        <v>157</v>
      </c>
      <c r="G70" s="89">
        <v>0.24</v>
      </c>
      <c r="H70" s="90">
        <v>0.36</v>
      </c>
      <c r="I70" s="90">
        <v>0.36</v>
      </c>
      <c r="J70" s="91">
        <f>I70</f>
        <v>0.36</v>
      </c>
      <c r="K70" s="91">
        <f>J70</f>
        <v>0.36</v>
      </c>
      <c r="L70" s="46">
        <f>I70-H70</f>
        <v>0</v>
      </c>
      <c r="M70" s="46">
        <f>((I70-H70)/H70)*100</f>
        <v>0</v>
      </c>
      <c r="N70" s="92">
        <v>10</v>
      </c>
      <c r="O70" s="93">
        <v>3.6</v>
      </c>
      <c r="P70" s="71">
        <f>(R70)/J70</f>
        <v>0</v>
      </c>
      <c r="Q70" s="49">
        <f>J70/G70-1</f>
        <v>0.5</v>
      </c>
      <c r="T70" s="52"/>
    </row>
    <row r="71" spans="1:20" x14ac:dyDescent="0.25">
      <c r="A71" s="35" t="s">
        <v>158</v>
      </c>
      <c r="B71" s="88" t="s">
        <v>159</v>
      </c>
      <c r="C71" s="89">
        <v>471351750</v>
      </c>
      <c r="D71" s="38">
        <f>C71*J71</f>
        <v>70184275.575000003</v>
      </c>
      <c r="E71" s="39">
        <f>C71*K71</f>
        <v>70184275.575000003</v>
      </c>
      <c r="F71" s="89" t="s">
        <v>157</v>
      </c>
      <c r="G71" s="89">
        <v>0.1</v>
      </c>
      <c r="H71" s="90">
        <v>0.14849999999999999</v>
      </c>
      <c r="I71" s="90">
        <v>0.1489</v>
      </c>
      <c r="J71" s="91">
        <f>I71</f>
        <v>0.1489</v>
      </c>
      <c r="K71" s="91">
        <f>J71</f>
        <v>0.1489</v>
      </c>
      <c r="L71" s="46">
        <f>I71-H71</f>
        <v>4.0000000000001146E-4</v>
      </c>
      <c r="M71" s="46">
        <f>((I71-H71)/H71)*100</f>
        <v>0.26936026936027707</v>
      </c>
      <c r="N71" s="47">
        <v>18705</v>
      </c>
      <c r="O71" s="93">
        <v>2785.75</v>
      </c>
      <c r="P71" s="94">
        <f>(R71)/J71</f>
        <v>2.5466756212222965E-2</v>
      </c>
      <c r="Q71" s="49">
        <f>J71/G71-1</f>
        <v>0.48899999999999988</v>
      </c>
      <c r="R71" s="5">
        <v>3.7919999999999998E-3</v>
      </c>
      <c r="T71" s="52"/>
    </row>
    <row r="72" spans="1:20" ht="13.8" thickBot="1" x14ac:dyDescent="0.4">
      <c r="A72" s="35"/>
      <c r="B72" s="36" t="s">
        <v>117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18715</v>
      </c>
      <c r="O72" s="62">
        <f>SUM(O70:O71)</f>
        <v>2789.35</v>
      </c>
      <c r="P72" s="87"/>
      <c r="Q72" s="63"/>
    </row>
    <row r="73" spans="1:20" ht="12.6" x14ac:dyDescent="0.3">
      <c r="A73" s="137" t="s">
        <v>160</v>
      </c>
      <c r="B73" s="138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40"/>
    </row>
    <row r="74" spans="1:20" x14ac:dyDescent="0.25">
      <c r="A74" s="35" t="s">
        <v>161</v>
      </c>
      <c r="B74" s="88" t="s">
        <v>162</v>
      </c>
      <c r="C74" s="89">
        <v>20819695</v>
      </c>
      <c r="D74" s="38">
        <f>C74*J74</f>
        <v>2544166.7290000003</v>
      </c>
      <c r="E74" s="39">
        <f>C74*K74</f>
        <v>2544166.7290000003</v>
      </c>
      <c r="F74" s="89" t="s">
        <v>137</v>
      </c>
      <c r="G74" s="89">
        <v>0.1394</v>
      </c>
      <c r="H74" s="90">
        <v>0.12509999999999999</v>
      </c>
      <c r="I74" s="90">
        <v>0.1222</v>
      </c>
      <c r="J74" s="91">
        <f>I74</f>
        <v>0.1222</v>
      </c>
      <c r="K74" s="91">
        <f>J74</f>
        <v>0.1222</v>
      </c>
      <c r="L74" s="46">
        <f>I74-H74</f>
        <v>-2.8999999999999859E-3</v>
      </c>
      <c r="M74" s="46">
        <f>((I74-H74)/H74)*100</f>
        <v>-2.3181454836130984</v>
      </c>
      <c r="N74" s="92">
        <v>6738</v>
      </c>
      <c r="O74" s="93">
        <v>823.67</v>
      </c>
      <c r="P74" s="71">
        <f>(R74)/J74</f>
        <v>0</v>
      </c>
      <c r="Q74" s="49">
        <f>J74/G74-1</f>
        <v>-0.12338593974175027</v>
      </c>
    </row>
    <row r="75" spans="1:20" ht="13.2" x14ac:dyDescent="0.35">
      <c r="A75" s="35"/>
      <c r="B75" s="36" t="s">
        <v>117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33" t="s">
        <v>163</v>
      </c>
      <c r="B76" s="134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6"/>
    </row>
    <row r="77" spans="1:20" x14ac:dyDescent="0.25">
      <c r="A77" s="35" t="s">
        <v>164</v>
      </c>
      <c r="B77" s="36" t="s">
        <v>165</v>
      </c>
      <c r="C77" s="40">
        <v>31703227</v>
      </c>
      <c r="D77" s="38">
        <f>C77*J77</f>
        <v>95431.791001093821</v>
      </c>
      <c r="E77" s="39">
        <f>C77*K77</f>
        <v>80598.661098857148</v>
      </c>
      <c r="F77" s="40" t="s">
        <v>137</v>
      </c>
      <c r="G77" s="70">
        <v>0.105</v>
      </c>
      <c r="H77" s="42">
        <v>8.0082E-2</v>
      </c>
      <c r="I77" s="42">
        <v>8.0082E-2</v>
      </c>
      <c r="J77" s="44">
        <f>I77/$J$5</f>
        <v>3.0101601644871617E-3</v>
      </c>
      <c r="K77" s="45">
        <f>I77/$K$4</f>
        <v>2.5422857142857144E-3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-0.2373142857142857</v>
      </c>
    </row>
    <row r="78" spans="1:20" x14ac:dyDescent="0.25">
      <c r="A78" s="35" t="s">
        <v>166</v>
      </c>
      <c r="B78" s="36" t="s">
        <v>167</v>
      </c>
      <c r="C78" s="40">
        <v>136162052</v>
      </c>
      <c r="D78" s="38">
        <f>C78*J78</f>
        <v>409449.89869906293</v>
      </c>
      <c r="E78" s="39">
        <f>C78*K78</f>
        <v>345808.38603174605</v>
      </c>
      <c r="F78" s="40" t="s">
        <v>137</v>
      </c>
      <c r="G78" s="70">
        <v>4.2500000000000003E-2</v>
      </c>
      <c r="H78" s="42">
        <v>0.08</v>
      </c>
      <c r="I78" s="42">
        <v>0.08</v>
      </c>
      <c r="J78" s="44">
        <f>I78/$J$5</f>
        <v>3.0070779096297911E-3</v>
      </c>
      <c r="K78" s="45">
        <f>I78/$K$4</f>
        <v>2.5396825396825397E-3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0.88235294117647056</v>
      </c>
    </row>
    <row r="79" spans="1:20" x14ac:dyDescent="0.25">
      <c r="A79" s="35" t="s">
        <v>168</v>
      </c>
      <c r="B79" s="36" t="s">
        <v>169</v>
      </c>
      <c r="C79" s="40">
        <v>6677853</v>
      </c>
      <c r="D79" s="38">
        <f>C79*J79</f>
        <v>32631.339390089426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0.13</v>
      </c>
      <c r="I79" s="42">
        <v>0.13</v>
      </c>
      <c r="J79" s="44">
        <f>I79/$J$5</f>
        <v>4.8865016031484111E-3</v>
      </c>
      <c r="K79" s="45">
        <f>I79/$K$4</f>
        <v>4.1269841269841274E-3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1.1487603305785123</v>
      </c>
    </row>
    <row r="80" spans="1:20" x14ac:dyDescent="0.25">
      <c r="A80" s="35" t="s">
        <v>170</v>
      </c>
      <c r="B80" s="36" t="s">
        <v>171</v>
      </c>
      <c r="C80" s="37">
        <v>494417400</v>
      </c>
      <c r="D80" s="38">
        <f>C80*J80</f>
        <v>29549188.878322352</v>
      </c>
      <c r="E80" s="39">
        <f>C80*K80</f>
        <v>24956306.857142858</v>
      </c>
      <c r="F80" s="40" t="s">
        <v>137</v>
      </c>
      <c r="G80" s="70">
        <v>1.85</v>
      </c>
      <c r="H80" s="42">
        <v>1.59</v>
      </c>
      <c r="I80" s="42">
        <v>1.59</v>
      </c>
      <c r="J80" s="44">
        <f>I80/$J$5</f>
        <v>5.9765673453892103E-2</v>
      </c>
      <c r="K80" s="45">
        <f>I80/$K$4</f>
        <v>5.047619047619048E-2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-0.14054054054054055</v>
      </c>
    </row>
    <row r="81" spans="1:243" ht="15" thickBot="1" x14ac:dyDescent="0.4">
      <c r="A81" s="35"/>
      <c r="B81" s="36" t="s">
        <v>117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0</v>
      </c>
      <c r="O81" s="62">
        <f>SUM(O77:O80)</f>
        <v>0</v>
      </c>
      <c r="P81" s="77"/>
      <c r="Q81" s="63"/>
      <c r="V81" s="96"/>
      <c r="W81" s="96"/>
      <c r="DU81" s="97"/>
      <c r="DV81" s="97"/>
      <c r="DW81" s="98"/>
      <c r="DX81" s="99"/>
      <c r="DY81" s="99"/>
      <c r="DZ81" s="100"/>
      <c r="EA81" s="100"/>
      <c r="EB81" s="101"/>
      <c r="EC81" s="101"/>
      <c r="ED81" s="102"/>
      <c r="EE81" s="102"/>
      <c r="EF81" s="100"/>
      <c r="EG81" s="103"/>
      <c r="EH81" s="104"/>
      <c r="EI81" s="98"/>
      <c r="EJ81" s="97"/>
      <c r="EK81" s="97"/>
      <c r="EL81" s="98"/>
      <c r="EM81" s="99"/>
      <c r="EN81" s="99"/>
      <c r="EO81" s="100"/>
      <c r="EP81" s="100"/>
      <c r="EQ81" s="101"/>
      <c r="ER81" s="101"/>
      <c r="ES81" s="102"/>
      <c r="ET81" s="102"/>
      <c r="EU81" s="100"/>
      <c r="EV81" s="103"/>
      <c r="EW81" s="104"/>
      <c r="EX81" s="98"/>
      <c r="EY81" s="97"/>
      <c r="EZ81" s="97"/>
      <c r="FA81" s="98"/>
      <c r="FB81" s="99"/>
      <c r="FC81" s="99"/>
      <c r="FD81" s="100"/>
      <c r="FE81" s="100"/>
      <c r="FF81" s="101"/>
      <c r="FG81" s="101"/>
      <c r="FH81" s="102"/>
      <c r="FI81" s="102"/>
      <c r="FJ81" s="100"/>
      <c r="FK81" s="103"/>
      <c r="FL81" s="104"/>
      <c r="FM81" s="98"/>
      <c r="FN81" s="97"/>
      <c r="FO81" s="97"/>
      <c r="FP81" s="98"/>
      <c r="FQ81" s="99"/>
      <c r="FR81" s="99"/>
      <c r="FS81" s="100"/>
      <c r="FT81" s="100"/>
      <c r="FU81" s="101"/>
      <c r="FV81" s="101"/>
      <c r="FW81" s="102"/>
      <c r="FX81" s="102"/>
      <c r="FY81" s="100"/>
      <c r="FZ81" s="103"/>
      <c r="GA81" s="104"/>
      <c r="GB81" s="98"/>
      <c r="GC81" s="97"/>
      <c r="GD81" s="97"/>
      <c r="GE81" s="98"/>
      <c r="GF81" s="99"/>
      <c r="GG81" s="99"/>
      <c r="GH81" s="100"/>
      <c r="GI81" s="100"/>
      <c r="GJ81" s="101"/>
      <c r="GK81" s="101"/>
      <c r="GL81" s="102"/>
      <c r="GM81" s="102"/>
      <c r="GN81" s="100"/>
      <c r="GO81" s="103"/>
      <c r="GP81" s="104"/>
      <c r="GQ81" s="98"/>
      <c r="GR81" s="97"/>
      <c r="GS81" s="97"/>
      <c r="GT81" s="98"/>
      <c r="GU81" s="99"/>
      <c r="GV81" s="99"/>
      <c r="GW81" s="100"/>
      <c r="GX81" s="100"/>
      <c r="GY81" s="101"/>
      <c r="GZ81" s="101"/>
      <c r="HA81" s="102"/>
      <c r="HB81" s="102"/>
      <c r="HC81" s="100"/>
      <c r="HD81" s="103"/>
      <c r="HE81" s="104"/>
      <c r="HF81" s="98"/>
      <c r="HG81" s="97"/>
      <c r="HH81" s="97"/>
      <c r="HI81" s="98"/>
      <c r="HJ81" s="99"/>
      <c r="HK81" s="99"/>
      <c r="HL81" s="100"/>
      <c r="HM81" s="100"/>
      <c r="HN81" s="101"/>
      <c r="HO81" s="101"/>
      <c r="HP81" s="102"/>
      <c r="HQ81" s="102"/>
      <c r="HR81" s="100"/>
      <c r="HS81" s="103"/>
      <c r="HT81" s="104"/>
      <c r="HU81" s="98"/>
      <c r="HV81" s="97"/>
      <c r="HW81" s="97"/>
      <c r="HX81" s="98"/>
      <c r="HY81" s="99"/>
      <c r="HZ81" s="99"/>
      <c r="IA81" s="100"/>
      <c r="IB81" s="100"/>
      <c r="IC81" s="101"/>
      <c r="ID81" s="101"/>
      <c r="IE81" s="102"/>
      <c r="IF81" s="102"/>
      <c r="IG81" s="100"/>
      <c r="IH81" s="103"/>
      <c r="II81" s="104"/>
    </row>
    <row r="82" spans="1:243" ht="13.2" thickTop="1" x14ac:dyDescent="0.3">
      <c r="A82" s="137" t="s">
        <v>172</v>
      </c>
      <c r="B82" s="138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40"/>
    </row>
    <row r="83" spans="1:243" x14ac:dyDescent="0.25">
      <c r="A83" s="35" t="s">
        <v>173</v>
      </c>
      <c r="B83" s="36" t="s">
        <v>174</v>
      </c>
      <c r="C83" s="40">
        <v>368326244</v>
      </c>
      <c r="D83" s="38">
        <f>C83*J83</f>
        <v>27447358.422261398</v>
      </c>
      <c r="E83" s="39">
        <f>C83*K83</f>
        <v>23181167.578730155</v>
      </c>
      <c r="F83" s="40" t="s">
        <v>175</v>
      </c>
      <c r="G83" s="40">
        <v>1.3</v>
      </c>
      <c r="H83" s="42">
        <v>1.9824999999999999</v>
      </c>
      <c r="I83" s="42">
        <v>1.9824999999999999</v>
      </c>
      <c r="J83" s="44">
        <f>I83/$J$5</f>
        <v>7.4519149448013258E-2</v>
      </c>
      <c r="K83" s="45">
        <f>I83/$K$4</f>
        <v>6.2936507936507929E-2</v>
      </c>
      <c r="L83" s="46">
        <f>I83-H83</f>
        <v>0</v>
      </c>
      <c r="M83" s="46">
        <f>((I83-H83)/H83*100)</f>
        <v>0</v>
      </c>
      <c r="N83" s="105">
        <v>0</v>
      </c>
      <c r="O83" s="106">
        <v>0</v>
      </c>
      <c r="P83" s="51">
        <f>(R83)/J83</f>
        <v>0</v>
      </c>
      <c r="Q83" s="49">
        <f>I83/G83-1</f>
        <v>0.52499999999999991</v>
      </c>
      <c r="R83" s="52"/>
    </row>
    <row r="84" spans="1:243" s="107" customFormat="1" ht="12.6" thickBot="1" x14ac:dyDescent="0.3">
      <c r="A84" s="35" t="s">
        <v>176</v>
      </c>
      <c r="B84" s="36" t="s">
        <v>177</v>
      </c>
      <c r="C84" s="40">
        <v>1841105000</v>
      </c>
      <c r="D84" s="38">
        <f>C84*J84</f>
        <v>74739704.499340311</v>
      </c>
      <c r="E84" s="39">
        <f>C84*K84</f>
        <v>63122781.731111109</v>
      </c>
      <c r="F84" s="40" t="s">
        <v>175</v>
      </c>
      <c r="G84" s="40">
        <v>1.44347</v>
      </c>
      <c r="H84" s="42">
        <v>1.1023130000000001</v>
      </c>
      <c r="I84" s="42">
        <v>1.0799859999999999</v>
      </c>
      <c r="J84" s="44">
        <f>I84/$J$5</f>
        <v>4.0595025541367992E-2</v>
      </c>
      <c r="K84" s="45">
        <f>I84/$K$4</f>
        <v>3.4285269841269839E-2</v>
      </c>
      <c r="L84" s="46">
        <f>I84-H84</f>
        <v>-2.2327000000000208E-2</v>
      </c>
      <c r="M84" s="46">
        <f>((I84-H84)/H84*100)</f>
        <v>-2.0254682653656637</v>
      </c>
      <c r="N84" s="105">
        <v>31323959</v>
      </c>
      <c r="O84" s="106">
        <v>33829494.460000001</v>
      </c>
      <c r="P84" s="48">
        <f>(R84)/J84</f>
        <v>5.3602626700716492E-2</v>
      </c>
      <c r="Q84" s="49">
        <f>I84/G84-1</f>
        <v>-0.25181264591574481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8"/>
      <c r="B85" s="79"/>
      <c r="C85" s="80"/>
      <c r="D85" s="108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6"/>
    </row>
    <row r="86" spans="1:243" ht="12.6" thickBot="1" x14ac:dyDescent="0.3">
      <c r="A86" s="109"/>
      <c r="B86" s="110"/>
      <c r="C86" s="110"/>
      <c r="D86" s="110"/>
      <c r="E86" s="110"/>
      <c r="F86" s="111"/>
      <c r="G86" s="111"/>
      <c r="H86" s="59"/>
      <c r="M86" s="112"/>
      <c r="N86" s="112"/>
      <c r="O86" s="59"/>
      <c r="P86" s="59"/>
      <c r="Q86" s="113"/>
    </row>
    <row r="87" spans="1:243" ht="15" customHeight="1" thickBot="1" x14ac:dyDescent="0.3">
      <c r="A87" s="141" t="s">
        <v>178</v>
      </c>
      <c r="B87" s="142"/>
      <c r="C87" s="142"/>
      <c r="D87" s="143"/>
      <c r="E87" s="141" t="s">
        <v>179</v>
      </c>
      <c r="F87" s="142"/>
      <c r="G87" s="142"/>
      <c r="H87" s="143"/>
      <c r="I87" s="52"/>
      <c r="J87" s="114" t="s">
        <v>180</v>
      </c>
      <c r="K87" s="115"/>
      <c r="L87" s="116"/>
      <c r="M87" s="114" t="s">
        <v>181</v>
      </c>
      <c r="N87" s="115"/>
      <c r="O87" s="116"/>
      <c r="Q87" s="16"/>
    </row>
    <row r="88" spans="1:243" ht="15" customHeight="1" x14ac:dyDescent="0.25">
      <c r="A88" s="35" t="s">
        <v>115</v>
      </c>
      <c r="B88" s="117">
        <v>1.65</v>
      </c>
      <c r="D88" s="117">
        <v>9.9999999999999929</v>
      </c>
      <c r="E88" s="35" t="s">
        <v>68</v>
      </c>
      <c r="F88" s="118">
        <v>0.105</v>
      </c>
      <c r="H88" s="119">
        <v>-14.979757085020246</v>
      </c>
      <c r="J88" s="35" t="s">
        <v>140</v>
      </c>
      <c r="K88" s="51">
        <v>0.41599999999999998</v>
      </c>
      <c r="L88" s="120">
        <v>12.280701754385962</v>
      </c>
      <c r="M88" s="59" t="s">
        <v>129</v>
      </c>
      <c r="N88" s="118">
        <v>1.4265000000000001</v>
      </c>
      <c r="O88" s="119">
        <v>-7.8726427279772597</v>
      </c>
      <c r="Q88" s="16"/>
    </row>
    <row r="89" spans="1:243" ht="15" customHeight="1" x14ac:dyDescent="0.25">
      <c r="A89" s="35" t="s">
        <v>113</v>
      </c>
      <c r="B89" s="117">
        <v>0.89</v>
      </c>
      <c r="D89" s="117">
        <v>8.6021439771569383</v>
      </c>
      <c r="E89" s="35" t="s">
        <v>73</v>
      </c>
      <c r="F89" s="118">
        <v>1.7</v>
      </c>
      <c r="H89" s="119">
        <v>-5.0279329608938594</v>
      </c>
      <c r="J89" s="35" t="s">
        <v>123</v>
      </c>
      <c r="K89" s="51">
        <v>0.24660000000000001</v>
      </c>
      <c r="L89" s="120">
        <v>7.4041811846689969</v>
      </c>
      <c r="M89" s="59" t="s">
        <v>125</v>
      </c>
      <c r="N89" s="118">
        <v>2.0299999999999999E-2</v>
      </c>
      <c r="O89" s="119">
        <v>-2.403846153846156</v>
      </c>
      <c r="Q89" s="16"/>
    </row>
    <row r="90" spans="1:243" ht="15" customHeight="1" x14ac:dyDescent="0.25">
      <c r="A90" s="35" t="s">
        <v>93</v>
      </c>
      <c r="B90" s="117">
        <v>4.9538029999999997</v>
      </c>
      <c r="C90" s="117"/>
      <c r="D90" s="117">
        <v>3.8457144330530166</v>
      </c>
      <c r="E90" s="35" t="s">
        <v>75</v>
      </c>
      <c r="F90" s="118">
        <v>2.5051220000000001</v>
      </c>
      <c r="H90" s="119">
        <v>-2.5244357976653609</v>
      </c>
      <c r="J90" s="35" t="s">
        <v>133</v>
      </c>
      <c r="K90" s="51">
        <v>0.02</v>
      </c>
      <c r="L90" s="120">
        <v>4.7120418848167613</v>
      </c>
      <c r="M90" s="35" t="s">
        <v>119</v>
      </c>
      <c r="N90" s="118">
        <v>0.15440000000000001</v>
      </c>
      <c r="O90" s="119">
        <v>-0.45132172791745873</v>
      </c>
      <c r="Q90" s="16"/>
    </row>
    <row r="91" spans="1:243" ht="15" customHeight="1" x14ac:dyDescent="0.25">
      <c r="A91" s="35" t="s">
        <v>95</v>
      </c>
      <c r="B91" s="117">
        <v>3.3814000000000004E-2</v>
      </c>
      <c r="C91" s="117"/>
      <c r="D91" s="117">
        <v>2.4666666666666734</v>
      </c>
      <c r="E91" s="35" t="s">
        <v>77</v>
      </c>
      <c r="F91" s="118">
        <v>2.409834</v>
      </c>
      <c r="H91" s="119">
        <v>-8.0853011712487377E-2</v>
      </c>
      <c r="J91" s="35" t="s">
        <v>138</v>
      </c>
      <c r="K91" s="51">
        <v>1.3983000000000001</v>
      </c>
      <c r="L91" s="120">
        <v>3.7622439893143511</v>
      </c>
      <c r="M91" s="35" t="s">
        <v>127</v>
      </c>
      <c r="N91" s="118">
        <v>0.14979999999999999</v>
      </c>
      <c r="O91" s="119">
        <v>-0.13333333333333716</v>
      </c>
      <c r="Q91" s="16"/>
    </row>
    <row r="92" spans="1:243" ht="15" customHeight="1" x14ac:dyDescent="0.25">
      <c r="A92" s="35" t="s">
        <v>88</v>
      </c>
      <c r="B92" s="117">
        <v>0.85250000000000004</v>
      </c>
      <c r="C92" s="117"/>
      <c r="D92" s="117">
        <v>0.29411764705883031</v>
      </c>
      <c r="E92" s="35" t="s">
        <v>58</v>
      </c>
      <c r="F92" s="118">
        <v>13.497551000000001</v>
      </c>
      <c r="G92" s="118"/>
      <c r="H92" s="119">
        <v>-3.6302750117691673E-4</v>
      </c>
      <c r="J92" s="35" t="s">
        <v>142</v>
      </c>
      <c r="K92" s="51">
        <v>0.74790000000000001</v>
      </c>
      <c r="L92" s="120">
        <v>3.529900332225909</v>
      </c>
      <c r="M92" s="35"/>
      <c r="N92" s="118"/>
      <c r="O92" s="119"/>
      <c r="Q92" s="16"/>
    </row>
    <row r="93" spans="1:243" ht="15.75" customHeight="1" thickBot="1" x14ac:dyDescent="0.3">
      <c r="A93" s="121"/>
      <c r="B93" s="122"/>
      <c r="C93" s="122"/>
      <c r="D93" s="122"/>
      <c r="E93" s="121"/>
      <c r="F93" s="122"/>
      <c r="G93" s="122"/>
      <c r="H93" s="123"/>
      <c r="J93" s="121"/>
      <c r="K93" s="122"/>
      <c r="L93" s="123"/>
      <c r="M93" s="122"/>
      <c r="N93" s="122"/>
      <c r="O93" s="123"/>
      <c r="Q93" s="16"/>
    </row>
    <row r="94" spans="1:243" x14ac:dyDescent="0.25">
      <c r="A94" s="124"/>
      <c r="B94" s="125"/>
      <c r="C94" s="125"/>
      <c r="D94" s="125"/>
      <c r="E94" s="112"/>
      <c r="F94" s="112"/>
      <c r="G94" s="112"/>
      <c r="H94" s="112"/>
      <c r="I94" s="112"/>
      <c r="J94" s="112"/>
      <c r="K94" s="112"/>
      <c r="L94" s="112"/>
      <c r="M94" s="125"/>
      <c r="Q94" s="16"/>
    </row>
    <row r="95" spans="1:243" x14ac:dyDescent="0.25">
      <c r="A95" s="12" t="s">
        <v>182</v>
      </c>
      <c r="B95" s="126"/>
      <c r="C95" s="126"/>
      <c r="D95" s="126"/>
      <c r="E95" s="126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4"/>
      <c r="B96" s="125"/>
      <c r="C96" s="125"/>
      <c r="D96" s="125"/>
      <c r="E96" s="125"/>
      <c r="F96" s="112"/>
      <c r="G96" s="112"/>
      <c r="H96" s="125"/>
      <c r="I96" s="112"/>
      <c r="J96" s="112"/>
      <c r="K96" s="112"/>
      <c r="L96" s="112"/>
      <c r="M96" s="125"/>
      <c r="Q96" s="16"/>
    </row>
    <row r="97" spans="1:17" ht="12.6" thickBot="1" x14ac:dyDescent="0.3">
      <c r="A97" s="127"/>
      <c r="B97" s="128"/>
      <c r="C97" s="128"/>
      <c r="D97" s="128"/>
      <c r="E97" s="128"/>
      <c r="F97" s="129"/>
      <c r="G97" s="129"/>
      <c r="H97" s="129"/>
      <c r="I97" s="130"/>
      <c r="J97" s="130"/>
      <c r="K97" s="130"/>
      <c r="L97" s="130"/>
      <c r="M97" s="130"/>
      <c r="N97" s="130"/>
      <c r="O97" s="130"/>
      <c r="P97" s="130"/>
      <c r="Q97" s="131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32"/>
      <c r="J101" s="132"/>
      <c r="K101" s="132"/>
      <c r="O101" s="132"/>
      <c r="P101" s="132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32"/>
      <c r="J104" s="132"/>
      <c r="K104" s="132"/>
      <c r="O104" s="132"/>
      <c r="P104" s="132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32"/>
      <c r="J106" s="132"/>
      <c r="K106" s="132"/>
      <c r="O106" s="132"/>
      <c r="P106" s="132"/>
    </row>
  </sheetData>
  <sheetProtection algorithmName="SHA-512" hashValue="ZPpJUyun476Fv+F0OqukyFLLyXF8ckZf1e1cpjU69VvxTeK5t7hSPC/4BLYFzCxYqTjIJtP6MMTznlN0Aue9RA==" saltValue="N0RjugHjaI08ASI1SJtP/g==" spinCount="100000" sheet="1" objects="1" scenarios="1"/>
  <mergeCells count="10">
    <mergeCell ref="A76:Q76"/>
    <mergeCell ref="A82:Q82"/>
    <mergeCell ref="A87:D87"/>
    <mergeCell ref="E87:H87"/>
    <mergeCell ref="L5:M5"/>
    <mergeCell ref="A6:Q6"/>
    <mergeCell ref="A49:Q49"/>
    <mergeCell ref="A66:Q66"/>
    <mergeCell ref="A69:Q69"/>
    <mergeCell ref="A73:Q73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2026-08-07T12:17:09Z</dcterms:created>
  <dcterms:modified xsi:type="dcterms:W3CDTF">2026-08-07T12:25:00Z</dcterms:modified>
</cp:coreProperties>
</file>