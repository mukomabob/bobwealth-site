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25.03.26/"/>
    </mc:Choice>
  </mc:AlternateContent>
  <xr:revisionPtr revIDLastSave="0" documentId="8_{C8B2B3C0-89A3-4CAC-A72D-7E0443CFDF5E}" xr6:coauthVersionLast="47" xr6:coauthVersionMax="47" xr10:uidLastSave="{00000000-0000-0000-0000-000000000000}"/>
  <bookViews>
    <workbookView xWindow="-108" yWindow="-108" windowWidth="23256" windowHeight="12456" xr2:uid="{DA80ABB9-6EF3-4594-A9F7-AA5664724C8A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E81" i="1" s="1"/>
  <c r="J81" i="1"/>
  <c r="D81" i="1"/>
  <c r="O79" i="1"/>
  <c r="N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D76" i="1" s="1"/>
  <c r="E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J71" i="1"/>
  <c r="K71" i="1" s="1"/>
  <c r="E71" i="1" s="1"/>
  <c r="D71" i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Q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E48" i="1" s="1"/>
  <c r="J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E45" i="1" s="1"/>
  <c r="J45" i="1"/>
  <c r="D45" i="1"/>
  <c r="Q44" i="1"/>
  <c r="M44" i="1"/>
  <c r="L44" i="1"/>
  <c r="K44" i="1"/>
  <c r="E44" i="1" s="1"/>
  <c r="J44" i="1"/>
  <c r="P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/>
  <c r="T41" i="1"/>
  <c r="U41" i="1" s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P12" i="1" l="1"/>
  <c r="P47" i="1"/>
  <c r="K72" i="1"/>
  <c r="E72" i="1" s="1"/>
  <c r="P54" i="1"/>
  <c r="P56" i="1"/>
  <c r="P58" i="1"/>
  <c r="P60" i="1"/>
  <c r="P62" i="1"/>
  <c r="P64" i="1"/>
  <c r="P15" i="1"/>
  <c r="D44" i="1"/>
</calcChain>
</file>

<file path=xl/sharedStrings.xml><?xml version="1.0" encoding="utf-8"?>
<sst xmlns="http://schemas.openxmlformats.org/spreadsheetml/2006/main" count="280" uniqueCount="196">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</sst>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6339249A-A749-4C34-BAB9-E62A7B925A9A}"/>
    <cellStyle name="Comma 5 2 2 2 2 2" xfId="4" xr:uid="{B8E74C59-0BA5-4280-88DC-9E08D5DC8079}"/>
    <cellStyle name="Comma 6" xfId="5" xr:uid="{1E068AC7-91E3-49DC-B939-EB55E5652ADF}"/>
    <cellStyle name="Hyperlink 2" xfId="9" xr:uid="{64C7319E-9198-4302-B34E-D71EA1284E6D}"/>
    <cellStyle name="Normal" xfId="0" builtinId="0"/>
    <cellStyle name="Normal 2" xfId="2" xr:uid="{787DA7A5-1F6A-40FC-A306-1489EE57C34C}"/>
    <cellStyle name="Normal 20" xfId="8" xr:uid="{5790BE61-3588-4563-B36D-71166B4CD8D9}"/>
    <cellStyle name="Percent 3" xfId="6" xr:uid="{822BC1DE-9A99-4C15-AAEC-7EA0A3E430A0}"/>
    <cellStyle name="Percent 4" xfId="7" xr:uid="{2A55F157-B390-44C1-939D-E3EC963A2C5A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EC66C33-073E-46D4-857F-77A8087C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71252FE-A07D-43FF-AA55-E4C0669C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3A0D-A0C6-4D3F-99C1-C33EBA40ECE0}">
  <dimension ref="A1:IO104"/>
  <sheetViews>
    <sheetView tabSelected="1" zoomScale="70" zoomScaleNormal="70" workbookViewId="0">
      <pane ySplit="7" topLeftCell="A10" activePane="bottomLeft" state="frozen"/>
      <selection pane="bottomLeft" activeCell="V82" sqref="V82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25.260300000000001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67124128.29332985</v>
      </c>
      <c r="E10" s="40">
        <f t="shared" ref="E10:E30" si="1">C10*K10</f>
        <v>56519187.26426667</v>
      </c>
      <c r="F10" s="41" t="s">
        <v>35</v>
      </c>
      <c r="G10" s="42">
        <v>8.9894999999999996</v>
      </c>
      <c r="H10" s="43">
        <v>13.591900000000001</v>
      </c>
      <c r="I10" s="43">
        <v>13.592000000000001</v>
      </c>
      <c r="J10" s="44">
        <f>(I10/$J$5)</f>
        <v>0.53807753668800451</v>
      </c>
      <c r="K10" s="45">
        <f t="shared" ref="K10:K30" si="2">I10/$K$4</f>
        <v>0.45306666666666667</v>
      </c>
      <c r="L10" s="46">
        <f t="shared" ref="L10:L30" si="3">I10-H10</f>
        <v>9.9999999999766942E-5</v>
      </c>
      <c r="M10" s="46">
        <f t="shared" ref="M10:M30" si="4">((I10-H10)/H10)*100</f>
        <v>7.3573231115419432E-4</v>
      </c>
      <c r="N10" s="47">
        <v>38000</v>
      </c>
      <c r="O10" s="38">
        <v>516496.8</v>
      </c>
      <c r="P10" s="48">
        <f t="shared" ref="P10:P30" si="5">(R10)/J10</f>
        <v>1.8584682165979988E-2</v>
      </c>
      <c r="Q10" s="49">
        <f t="shared" ref="Q10:Q30" si="6">I10/G10-1</f>
        <v>0.51198620612937318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1932750.9115093644</v>
      </c>
      <c r="E11" s="40">
        <f t="shared" si="1"/>
        <v>1627395.595</v>
      </c>
      <c r="F11" s="41" t="s">
        <v>35</v>
      </c>
      <c r="G11" s="42">
        <v>3.1600000000000003E-2</v>
      </c>
      <c r="H11" s="43">
        <v>3.4000000000000002E-2</v>
      </c>
      <c r="I11" s="43">
        <v>0.03</v>
      </c>
      <c r="J11" s="44">
        <f t="shared" ref="J11:J30" si="7">I11/$J$5</f>
        <v>1.1876343511359722E-3</v>
      </c>
      <c r="K11" s="45">
        <f t="shared" si="2"/>
        <v>1E-3</v>
      </c>
      <c r="L11" s="46">
        <f t="shared" si="3"/>
        <v>-4.0000000000000036E-3</v>
      </c>
      <c r="M11" s="46">
        <f t="shared" si="4"/>
        <v>-11.764705882352951</v>
      </c>
      <c r="N11" s="47">
        <v>14000</v>
      </c>
      <c r="O11" s="38">
        <v>420</v>
      </c>
      <c r="P11" s="41">
        <f t="shared" si="5"/>
        <v>0</v>
      </c>
      <c r="Q11" s="49">
        <f t="shared" si="6"/>
        <v>-5.0632911392405222E-2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4272847.4195872573</v>
      </c>
      <c r="E12" s="40">
        <f t="shared" si="1"/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 t="shared" si="7"/>
        <v>9.7781894910195042E-3</v>
      </c>
      <c r="K12" s="45">
        <f t="shared" si="2"/>
        <v>8.2333333333333338E-3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41">
        <f t="shared" si="5"/>
        <v>0</v>
      </c>
      <c r="Q12" s="49">
        <f t="shared" si="6"/>
        <v>2.1666666666666665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174394440.2679303</v>
      </c>
      <c r="E13" s="40">
        <f t="shared" si="1"/>
        <v>146841862.65000001</v>
      </c>
      <c r="F13" s="41" t="s">
        <v>35</v>
      </c>
      <c r="G13" s="42">
        <v>97.381</v>
      </c>
      <c r="H13" s="43">
        <v>213.49919999999997</v>
      </c>
      <c r="I13" s="43">
        <v>213.5</v>
      </c>
      <c r="J13" s="44">
        <f t="shared" si="7"/>
        <v>8.4519977989176684</v>
      </c>
      <c r="K13" s="45">
        <f t="shared" si="2"/>
        <v>7.1166666666666663</v>
      </c>
      <c r="L13" s="46">
        <f t="shared" si="3"/>
        <v>8.0000000002655725E-4</v>
      </c>
      <c r="M13" s="46">
        <f t="shared" si="4"/>
        <v>3.7470866402616838E-4</v>
      </c>
      <c r="N13" s="47">
        <v>100</v>
      </c>
      <c r="O13" s="38">
        <v>21350</v>
      </c>
      <c r="P13" s="55">
        <f t="shared" si="5"/>
        <v>0</v>
      </c>
      <c r="Q13" s="49">
        <f t="shared" si="6"/>
        <v>1.1924194658095524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4495449.5393958101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0.51464155215892127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329866644.72561687</v>
      </c>
      <c r="E15" s="40">
        <f t="shared" si="1"/>
        <v>277751013.52541667</v>
      </c>
      <c r="F15" s="41" t="s">
        <v>53</v>
      </c>
      <c r="G15" s="42">
        <v>11.5</v>
      </c>
      <c r="H15" s="43">
        <v>15.942500000000001</v>
      </c>
      <c r="I15" s="43">
        <v>15.942500000000001</v>
      </c>
      <c r="J15" s="44">
        <f t="shared" si="7"/>
        <v>0.63112868809950795</v>
      </c>
      <c r="K15" s="45">
        <f t="shared" si="2"/>
        <v>0.53141666666666665</v>
      </c>
      <c r="L15" s="46">
        <f t="shared" si="3"/>
        <v>0</v>
      </c>
      <c r="M15" s="46">
        <f t="shared" si="4"/>
        <v>0</v>
      </c>
      <c r="N15" s="47">
        <v>0</v>
      </c>
      <c r="O15" s="38">
        <v>0</v>
      </c>
      <c r="P15" s="48">
        <f t="shared" si="5"/>
        <v>1.2675703308765877E-2</v>
      </c>
      <c r="Q15" s="49">
        <f t="shared" si="6"/>
        <v>0.38630434782608702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25985163.131475084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0.24504855445105561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38265670.502725624</v>
      </c>
      <c r="E17" s="40">
        <f t="shared" si="1"/>
        <v>32220077.220000003</v>
      </c>
      <c r="F17" s="41" t="s">
        <v>35</v>
      </c>
      <c r="G17" s="42">
        <v>1.9</v>
      </c>
      <c r="H17" s="43">
        <v>2.625</v>
      </c>
      <c r="I17" s="43">
        <v>2.7</v>
      </c>
      <c r="J17" s="44">
        <f t="shared" si="7"/>
        <v>0.10688709160223751</v>
      </c>
      <c r="K17" s="45">
        <f t="shared" si="2"/>
        <v>9.0000000000000011E-2</v>
      </c>
      <c r="L17" s="46">
        <f t="shared" si="3"/>
        <v>7.5000000000000178E-2</v>
      </c>
      <c r="M17" s="46">
        <f t="shared" si="4"/>
        <v>2.8571428571428639</v>
      </c>
      <c r="N17" s="47">
        <v>200</v>
      </c>
      <c r="O17" s="38">
        <v>540</v>
      </c>
      <c r="P17" s="41">
        <f t="shared" si="5"/>
        <v>0</v>
      </c>
      <c r="Q17" s="49">
        <f t="shared" si="6"/>
        <v>0.42105263157894757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1463303010.0185864</v>
      </c>
      <c r="E18" s="40">
        <f t="shared" si="1"/>
        <v>1232115767.46575</v>
      </c>
      <c r="F18" s="41" t="s">
        <v>35</v>
      </c>
      <c r="G18" s="42">
        <v>20.701700000000002</v>
      </c>
      <c r="H18" s="43">
        <v>27.512499999999999</v>
      </c>
      <c r="I18" s="43">
        <v>27.551500000000001</v>
      </c>
      <c r="J18" s="44">
        <f t="shared" si="7"/>
        <v>1.0907035941774246</v>
      </c>
      <c r="K18" s="45">
        <f t="shared" si="2"/>
        <v>0.91838333333333333</v>
      </c>
      <c r="L18" s="46">
        <f t="shared" si="3"/>
        <v>3.9000000000001478E-2</v>
      </c>
      <c r="M18" s="46">
        <f t="shared" si="4"/>
        <v>0.14175374829623438</v>
      </c>
      <c r="N18" s="47">
        <v>396200</v>
      </c>
      <c r="O18" s="38">
        <v>10915891.550000001</v>
      </c>
      <c r="P18" s="48">
        <f t="shared" si="5"/>
        <v>3.6673574941473247E-2</v>
      </c>
      <c r="Q18" s="49">
        <f t="shared" si="6"/>
        <v>0.3308810387552712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1265352548.6002502</v>
      </c>
      <c r="E19" s="40">
        <f t="shared" si="1"/>
        <v>1065439499.4468967</v>
      </c>
      <c r="F19" s="41" t="s">
        <v>64</v>
      </c>
      <c r="G19" s="42">
        <v>6.1399460000000001</v>
      </c>
      <c r="H19" s="43">
        <v>10.556600000000001</v>
      </c>
      <c r="I19" s="43">
        <v>10.6823</v>
      </c>
      <c r="J19" s="44">
        <f t="shared" si="7"/>
        <v>0.42288888097132654</v>
      </c>
      <c r="K19" s="45">
        <f t="shared" si="2"/>
        <v>0.35607666666666665</v>
      </c>
      <c r="L19" s="46">
        <f t="shared" si="3"/>
        <v>0.12569999999999837</v>
      </c>
      <c r="M19" s="46">
        <f t="shared" si="4"/>
        <v>1.190724286228505</v>
      </c>
      <c r="N19" s="47">
        <v>2200</v>
      </c>
      <c r="O19" s="38">
        <v>23501</v>
      </c>
      <c r="P19" s="48">
        <f t="shared" si="5"/>
        <v>5.8171309549441601E-2</v>
      </c>
      <c r="Q19" s="49">
        <f t="shared" si="6"/>
        <v>0.73980357481971337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266010271.84950295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0.39587811704532405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1.6166592E-2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2578596.7711389014</v>
      </c>
      <c r="E21" s="40">
        <f t="shared" si="1"/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2.3673511399310378E-2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0.70857142857142863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114194643.28935128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0.16546517658143411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52848205.779028751</v>
      </c>
      <c r="E23" s="40">
        <f t="shared" si="1"/>
        <v>44498717.748000003</v>
      </c>
      <c r="F23" s="41" t="s">
        <v>76</v>
      </c>
      <c r="G23" s="42">
        <v>0.88420599999999994</v>
      </c>
      <c r="H23" s="43">
        <v>1.08</v>
      </c>
      <c r="I23" s="43">
        <v>1.08</v>
      </c>
      <c r="J23" s="44">
        <f t="shared" si="7"/>
        <v>4.2754836640895001E-2</v>
      </c>
      <c r="K23" s="45">
        <f t="shared" si="2"/>
        <v>3.6000000000000004E-2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1">
        <f t="shared" si="5"/>
        <v>0</v>
      </c>
      <c r="Q23" s="49">
        <f t="shared" si="6"/>
        <v>0.22143482401159931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2134858.1216968917</v>
      </c>
      <c r="E24" s="40">
        <f t="shared" si="1"/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3.9785750763055069E-3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4.9999999999998934E-3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57156637.83565516</v>
      </c>
      <c r="E25" s="40">
        <f t="shared" si="1"/>
        <v>48126460.624000005</v>
      </c>
      <c r="F25" s="41" t="s">
        <v>35</v>
      </c>
      <c r="G25" s="42">
        <v>8.1687659999999997</v>
      </c>
      <c r="H25" s="43">
        <v>7.4604999999999997</v>
      </c>
      <c r="I25" s="43">
        <v>7.48</v>
      </c>
      <c r="J25" s="44">
        <f t="shared" si="7"/>
        <v>0.29611683154990243</v>
      </c>
      <c r="K25" s="45">
        <f t="shared" si="2"/>
        <v>0.24933333333333335</v>
      </c>
      <c r="L25" s="46">
        <f t="shared" si="3"/>
        <v>1.9500000000000739E-2</v>
      </c>
      <c r="M25" s="46">
        <f t="shared" si="4"/>
        <v>0.26137658333892821</v>
      </c>
      <c r="N25" s="47">
        <v>300</v>
      </c>
      <c r="O25" s="38">
        <v>2244</v>
      </c>
      <c r="P25" s="41">
        <f t="shared" si="5"/>
        <v>0</v>
      </c>
      <c r="Q25" s="49">
        <f t="shared" si="6"/>
        <v>-8.4317019241339386E-2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68077105.385565504</v>
      </c>
      <c r="E26" s="40">
        <f t="shared" si="1"/>
        <v>57321603.505700007</v>
      </c>
      <c r="F26" s="41" t="s">
        <v>76</v>
      </c>
      <c r="G26" s="42">
        <v>1.6675</v>
      </c>
      <c r="H26" s="43">
        <v>1.1984999999999999</v>
      </c>
      <c r="I26" s="43">
        <v>1.0190000000000001</v>
      </c>
      <c r="J26" s="44">
        <f t="shared" si="7"/>
        <v>4.0339980126918529E-2</v>
      </c>
      <c r="K26" s="45">
        <f t="shared" si="2"/>
        <v>3.3966666666666673E-2</v>
      </c>
      <c r="L26" s="46">
        <f t="shared" si="3"/>
        <v>-0.17949999999999977</v>
      </c>
      <c r="M26" s="46">
        <f t="shared" si="4"/>
        <v>-14.977054651647876</v>
      </c>
      <c r="N26" s="47">
        <v>100</v>
      </c>
      <c r="O26" s="38">
        <v>101.9</v>
      </c>
      <c r="P26" s="55">
        <f t="shared" si="5"/>
        <v>0</v>
      </c>
      <c r="Q26" s="49">
        <f t="shared" si="6"/>
        <v>-0.38890554722638671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15162962.086752729</v>
      </c>
      <c r="E27" s="40">
        <f t="shared" si="1"/>
        <v>12767365.706666667</v>
      </c>
      <c r="F27" s="41" t="s">
        <v>49</v>
      </c>
      <c r="G27" s="42">
        <v>1.7994999999999999</v>
      </c>
      <c r="H27" s="43">
        <v>1.8325</v>
      </c>
      <c r="I27" s="43">
        <v>1.6</v>
      </c>
      <c r="J27" s="44">
        <f t="shared" si="7"/>
        <v>6.3340498727251851E-2</v>
      </c>
      <c r="K27" s="45">
        <f t="shared" si="2"/>
        <v>5.3333333333333337E-2</v>
      </c>
      <c r="L27" s="46">
        <f t="shared" si="3"/>
        <v>-0.23249999999999993</v>
      </c>
      <c r="M27" s="46">
        <f t="shared" si="4"/>
        <v>-12.687585266030011</v>
      </c>
      <c r="N27" s="47">
        <v>200</v>
      </c>
      <c r="O27" s="38">
        <v>320</v>
      </c>
      <c r="P27" s="55">
        <f t="shared" si="5"/>
        <v>0</v>
      </c>
      <c r="Q27" s="49">
        <f t="shared" si="6"/>
        <v>-0.11086412892470121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32449431.368590236</v>
      </c>
      <c r="E28" s="40">
        <f t="shared" si="1"/>
        <v>27322745.706666667</v>
      </c>
      <c r="F28" s="41" t="s">
        <v>35</v>
      </c>
      <c r="G28" s="42">
        <v>3.1361369999999997</v>
      </c>
      <c r="H28" s="43">
        <v>3.2</v>
      </c>
      <c r="I28" s="43">
        <v>3.2</v>
      </c>
      <c r="J28" s="44">
        <f t="shared" si="7"/>
        <v>0.1266809974545037</v>
      </c>
      <c r="K28" s="45">
        <f t="shared" si="2"/>
        <v>0.10666666666666667</v>
      </c>
      <c r="L28" s="46">
        <f t="shared" si="3"/>
        <v>0</v>
      </c>
      <c r="M28" s="46">
        <f t="shared" si="4"/>
        <v>0</v>
      </c>
      <c r="N28" s="47">
        <v>0</v>
      </c>
      <c r="O28" s="38">
        <v>0</v>
      </c>
      <c r="P28" s="48">
        <f t="shared" si="5"/>
        <v>0.11840765625000001</v>
      </c>
      <c r="Q28" s="49">
        <f t="shared" si="6"/>
        <v>2.0363587432564501E-2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23931563.789820388</v>
      </c>
      <c r="E29" s="40">
        <f t="shared" si="1"/>
        <v>20150616.026666667</v>
      </c>
      <c r="F29" s="41" t="s">
        <v>49</v>
      </c>
      <c r="G29" s="42">
        <v>0.8</v>
      </c>
      <c r="H29" s="43">
        <v>0.75</v>
      </c>
      <c r="I29" s="43">
        <v>0.8</v>
      </c>
      <c r="J29" s="44">
        <f t="shared" si="7"/>
        <v>3.1670249363625926E-2</v>
      </c>
      <c r="K29" s="45">
        <f t="shared" si="2"/>
        <v>2.6666666666666668E-2</v>
      </c>
      <c r="L29" s="46">
        <f t="shared" si="3"/>
        <v>5.0000000000000044E-2</v>
      </c>
      <c r="M29" s="46">
        <f t="shared" si="4"/>
        <v>6.6666666666666723</v>
      </c>
      <c r="N29" s="47">
        <v>2900</v>
      </c>
      <c r="O29" s="38">
        <v>2320</v>
      </c>
      <c r="P29" s="41">
        <f t="shared" si="5"/>
        <v>0</v>
      </c>
      <c r="Q29" s="49">
        <f t="shared" si="6"/>
        <v>0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80321369.056582853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0.19873081475675267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300</v>
      </c>
      <c r="O30" s="38">
        <v>1506</v>
      </c>
      <c r="P30" s="55">
        <f t="shared" si="5"/>
        <v>0</v>
      </c>
      <c r="Q30" s="49">
        <f t="shared" si="6"/>
        <v>-2.5242718446602086E-2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14273068.406788992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4.5008966639351073E-3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12859421.206398973</v>
      </c>
      <c r="E33" s="40">
        <f t="shared" si="9"/>
        <v>10827761.25</v>
      </c>
      <c r="F33" s="41" t="s">
        <v>42</v>
      </c>
      <c r="G33" s="42">
        <v>1.4</v>
      </c>
      <c r="H33" s="43">
        <v>1.2711759999999999</v>
      </c>
      <c r="I33" s="43">
        <v>1.25</v>
      </c>
      <c r="J33" s="44">
        <f t="shared" si="10"/>
        <v>4.9484764630665506E-2</v>
      </c>
      <c r="K33" s="45">
        <f t="shared" si="11"/>
        <v>4.1666666666666664E-2</v>
      </c>
      <c r="L33" s="46">
        <f t="shared" si="12"/>
        <v>-2.1175999999999862E-2</v>
      </c>
      <c r="M33" s="46">
        <f t="shared" si="13"/>
        <v>-1.6658590155887041</v>
      </c>
      <c r="N33" s="47">
        <v>2000</v>
      </c>
      <c r="O33" s="38">
        <v>2500</v>
      </c>
      <c r="P33" s="55">
        <f t="shared" si="14"/>
        <v>0</v>
      </c>
      <c r="Q33" s="49">
        <f t="shared" si="15"/>
        <v>-0.1071428571428571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3623159.7605729145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2.9690858778399304E-2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170414833.22347715</v>
      </c>
      <c r="E35" s="40">
        <f t="shared" si="9"/>
        <v>143490993.7225</v>
      </c>
      <c r="F35" s="41" t="s">
        <v>108</v>
      </c>
      <c r="G35" s="42">
        <v>1.44</v>
      </c>
      <c r="H35" s="43">
        <v>1.5</v>
      </c>
      <c r="I35" s="43">
        <v>1.7250000000000001</v>
      </c>
      <c r="J35" s="44">
        <f t="shared" si="10"/>
        <v>6.8288975190318402E-2</v>
      </c>
      <c r="K35" s="45">
        <f t="shared" si="11"/>
        <v>5.7500000000000002E-2</v>
      </c>
      <c r="L35" s="46">
        <f t="shared" si="12"/>
        <v>0.22500000000000009</v>
      </c>
      <c r="M35" s="46">
        <f t="shared" si="13"/>
        <v>15.000000000000005</v>
      </c>
      <c r="N35" s="47">
        <v>100</v>
      </c>
      <c r="O35" s="38">
        <v>172.5</v>
      </c>
      <c r="P35" s="55">
        <f t="shared" si="14"/>
        <v>0</v>
      </c>
      <c r="Q35" s="49">
        <f t="shared" si="15"/>
        <v>0.19791666666666674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40145947.53393665</v>
      </c>
      <c r="E36" s="40">
        <f t="shared" si="9"/>
        <v>33803289.283050001</v>
      </c>
      <c r="F36" s="41" t="s">
        <v>35</v>
      </c>
      <c r="G36" s="42">
        <v>3.6056249999999999</v>
      </c>
      <c r="H36" s="43">
        <v>4</v>
      </c>
      <c r="I36" s="43">
        <v>4.0004999999999997</v>
      </c>
      <c r="J36" s="44">
        <f t="shared" si="10"/>
        <v>0.15837104072398189</v>
      </c>
      <c r="K36" s="45">
        <f t="shared" si="11"/>
        <v>0.13335</v>
      </c>
      <c r="L36" s="46">
        <f t="shared" si="12"/>
        <v>4.9999999999972289E-4</v>
      </c>
      <c r="M36" s="46">
        <f t="shared" si="13"/>
        <v>1.2499999999993072E-2</v>
      </c>
      <c r="N36" s="47">
        <v>23300</v>
      </c>
      <c r="O36" s="38">
        <v>93211.65</v>
      </c>
      <c r="P36" s="62">
        <f t="shared" si="14"/>
        <v>5.7460000000000004E-2</v>
      </c>
      <c r="Q36" s="49">
        <f t="shared" si="15"/>
        <v>0.10951638065522618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6514429.1063209856</v>
      </c>
      <c r="E37" s="40">
        <f t="shared" si="9"/>
        <v>5485214.4518133327</v>
      </c>
      <c r="F37" s="41" t="s">
        <v>35</v>
      </c>
      <c r="G37" s="42">
        <v>2.5099999999999997E-2</v>
      </c>
      <c r="H37" s="43">
        <v>3.5068999999999996E-2</v>
      </c>
      <c r="I37" s="43">
        <v>3.49E-2</v>
      </c>
      <c r="J37" s="44">
        <f t="shared" si="10"/>
        <v>1.381614628488181E-3</v>
      </c>
      <c r="K37" s="45">
        <f t="shared" si="11"/>
        <v>1.1633333333333333E-3</v>
      </c>
      <c r="L37" s="46">
        <f t="shared" si="12"/>
        <v>-1.6899999999999554E-4</v>
      </c>
      <c r="M37" s="46">
        <f t="shared" si="13"/>
        <v>-0.48190709743646976</v>
      </c>
      <c r="N37" s="47">
        <v>1800</v>
      </c>
      <c r="O37" s="38">
        <v>62.82</v>
      </c>
      <c r="P37" s="41">
        <f t="shared" si="14"/>
        <v>0</v>
      </c>
      <c r="Q37" s="49">
        <f t="shared" si="15"/>
        <v>0.39043824701195229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10334975.831640953</v>
      </c>
      <c r="E38" s="40">
        <f t="shared" si="9"/>
        <v>8702153</v>
      </c>
      <c r="F38" s="41" t="s">
        <v>108</v>
      </c>
      <c r="G38" s="42">
        <v>0.61</v>
      </c>
      <c r="H38" s="43">
        <v>1</v>
      </c>
      <c r="I38" s="43">
        <v>1</v>
      </c>
      <c r="J38" s="44">
        <f t="shared" si="10"/>
        <v>3.9587811704532405E-2</v>
      </c>
      <c r="K38" s="45">
        <f t="shared" si="11"/>
        <v>3.3333333333333333E-2</v>
      </c>
      <c r="L38" s="46">
        <f t="shared" si="12"/>
        <v>0</v>
      </c>
      <c r="M38" s="46">
        <f t="shared" si="13"/>
        <v>0</v>
      </c>
      <c r="N38" s="47">
        <v>0</v>
      </c>
      <c r="O38" s="38">
        <v>0</v>
      </c>
      <c r="P38" s="41">
        <f t="shared" si="14"/>
        <v>0</v>
      </c>
      <c r="Q38" s="49">
        <f t="shared" si="15"/>
        <v>0.63934426229508201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20606907.669645213</v>
      </c>
      <c r="E39" s="40">
        <f t="shared" si="9"/>
        <v>17351222.326917969</v>
      </c>
      <c r="F39" s="41" t="s">
        <v>64</v>
      </c>
      <c r="G39" s="42">
        <v>0.11650199999999999</v>
      </c>
      <c r="H39" s="43">
        <v>0.123405</v>
      </c>
      <c r="I39" s="43">
        <v>0.12409100000000001</v>
      </c>
      <c r="J39" s="44">
        <f t="shared" si="10"/>
        <v>4.9124911422271308E-3</v>
      </c>
      <c r="K39" s="45">
        <f t="shared" si="11"/>
        <v>4.136366666666667E-3</v>
      </c>
      <c r="L39" s="46">
        <f t="shared" si="12"/>
        <v>6.8600000000000605E-4</v>
      </c>
      <c r="M39" s="46">
        <f t="shared" si="13"/>
        <v>0.55589319719622876</v>
      </c>
      <c r="N39" s="47">
        <v>7700</v>
      </c>
      <c r="O39" s="38">
        <v>955.5</v>
      </c>
      <c r="P39" s="41">
        <v>0</v>
      </c>
      <c r="Q39" s="49">
        <f t="shared" si="15"/>
        <v>6.5140512609225709E-2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47515406.7391892</v>
      </c>
      <c r="E40" s="40">
        <f t="shared" si="9"/>
        <v>40008447.628464699</v>
      </c>
      <c r="F40" s="41" t="s">
        <v>35</v>
      </c>
      <c r="G40" s="42">
        <v>2.6005000000000003</v>
      </c>
      <c r="H40" s="43">
        <v>3.3071429999999999</v>
      </c>
      <c r="I40" s="43">
        <v>3.3071429999999999</v>
      </c>
      <c r="J40" s="44">
        <f t="shared" si="10"/>
        <v>0.13092255436396241</v>
      </c>
      <c r="K40" s="45">
        <f t="shared" si="11"/>
        <v>0.11023809999999999</v>
      </c>
      <c r="L40" s="46">
        <f t="shared" si="12"/>
        <v>0</v>
      </c>
      <c r="M40" s="46">
        <f t="shared" si="13"/>
        <v>0</v>
      </c>
      <c r="N40" s="47">
        <v>0</v>
      </c>
      <c r="O40" s="38">
        <v>0</v>
      </c>
      <c r="P40" s="62">
        <f t="shared" ref="P40:P47" si="16">(R40)/J40</f>
        <v>9.8737761899016771E-2</v>
      </c>
      <c r="Q40" s="49">
        <f t="shared" si="15"/>
        <v>0.27173351278600255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14522264.280907195</v>
      </c>
      <c r="E41" s="40">
        <f t="shared" si="9"/>
        <v>12227891.747166667</v>
      </c>
      <c r="F41" s="41" t="s">
        <v>42</v>
      </c>
      <c r="G41" s="42">
        <v>0.1</v>
      </c>
      <c r="H41" s="43">
        <v>8.5000000000000006E-2</v>
      </c>
      <c r="I41" s="43">
        <v>8.5000000000000006E-2</v>
      </c>
      <c r="J41" s="44">
        <f t="shared" si="10"/>
        <v>3.3649639948852548E-3</v>
      </c>
      <c r="K41" s="45">
        <f t="shared" si="11"/>
        <v>2.8333333333333335E-3</v>
      </c>
      <c r="L41" s="46">
        <f t="shared" si="12"/>
        <v>0</v>
      </c>
      <c r="M41" s="46">
        <f t="shared" si="13"/>
        <v>0</v>
      </c>
      <c r="N41" s="47">
        <v>0</v>
      </c>
      <c r="O41" s="38">
        <v>0</v>
      </c>
      <c r="P41" s="41">
        <f t="shared" si="16"/>
        <v>0</v>
      </c>
      <c r="Q41" s="49">
        <f t="shared" si="15"/>
        <v>-0.15000000000000002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11380721.523497347</v>
      </c>
      <c r="E42" s="40">
        <f t="shared" si="9"/>
        <v>9582681.3300000019</v>
      </c>
      <c r="F42" s="41" t="s">
        <v>49</v>
      </c>
      <c r="G42" s="42">
        <v>1.7452379999999998</v>
      </c>
      <c r="H42" s="43">
        <v>3.14</v>
      </c>
      <c r="I42" s="43">
        <v>2.7</v>
      </c>
      <c r="J42" s="44">
        <f t="shared" si="10"/>
        <v>0.10688709160223751</v>
      </c>
      <c r="K42" s="45">
        <f t="shared" si="11"/>
        <v>9.0000000000000011E-2</v>
      </c>
      <c r="L42" s="46">
        <f t="shared" si="12"/>
        <v>-0.43999999999999995</v>
      </c>
      <c r="M42" s="46">
        <f t="shared" si="13"/>
        <v>-14.012738853503182</v>
      </c>
      <c r="N42" s="47">
        <v>40000</v>
      </c>
      <c r="O42" s="38">
        <v>108000</v>
      </c>
      <c r="P42" s="55">
        <f t="shared" si="16"/>
        <v>0</v>
      </c>
      <c r="Q42" s="49">
        <f t="shared" si="15"/>
        <v>0.54706693299137443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2428357.9081008537</v>
      </c>
      <c r="E43" s="40">
        <f t="shared" si="9"/>
        <v>2044701.6422000004</v>
      </c>
      <c r="F43" s="41" t="s">
        <v>42</v>
      </c>
      <c r="G43" s="42">
        <v>0.03</v>
      </c>
      <c r="H43" s="43">
        <v>0.03</v>
      </c>
      <c r="I43" s="43">
        <v>3.4500000000000003E-2</v>
      </c>
      <c r="J43" s="44">
        <f t="shared" si="10"/>
        <v>1.3657795038063681E-3</v>
      </c>
      <c r="K43" s="45">
        <f t="shared" si="11"/>
        <v>1.1500000000000002E-3</v>
      </c>
      <c r="L43" s="46">
        <f t="shared" si="12"/>
        <v>4.500000000000004E-3</v>
      </c>
      <c r="M43" s="46">
        <f t="shared" si="13"/>
        <v>15.000000000000014</v>
      </c>
      <c r="N43" s="47">
        <v>4000</v>
      </c>
      <c r="O43" s="38">
        <v>138</v>
      </c>
      <c r="P43" s="41">
        <f t="shared" si="16"/>
        <v>0</v>
      </c>
      <c r="Q43" s="49">
        <f t="shared" si="15"/>
        <v>0.15000000000000013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31209363.665514659</v>
      </c>
      <c r="E44" s="40">
        <f t="shared" si="9"/>
        <v>26278596.300000001</v>
      </c>
      <c r="F44" s="41" t="s">
        <v>53</v>
      </c>
      <c r="G44" s="42">
        <v>4.5</v>
      </c>
      <c r="H44" s="43">
        <v>4.5</v>
      </c>
      <c r="I44" s="43">
        <v>4.5</v>
      </c>
      <c r="J44" s="44">
        <f t="shared" si="10"/>
        <v>0.17814515267039582</v>
      </c>
      <c r="K44" s="45">
        <f t="shared" si="11"/>
        <v>0.15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5">
        <f t="shared" si="16"/>
        <v>0</v>
      </c>
      <c r="Q44" s="49">
        <f t="shared" si="15"/>
        <v>0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330.16543342715642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7.1258061068158331E-7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1824206.3633448533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3.1670249363625926E-3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53984477.203358628</v>
      </c>
      <c r="E47" s="40">
        <f t="shared" si="9"/>
        <v>45455469.650000006</v>
      </c>
      <c r="F47" s="41" t="s">
        <v>53</v>
      </c>
      <c r="G47" s="42">
        <v>0.9998999999999999</v>
      </c>
      <c r="H47" s="43">
        <v>0.75</v>
      </c>
      <c r="I47" s="43">
        <v>0.75</v>
      </c>
      <c r="J47" s="44">
        <f t="shared" si="10"/>
        <v>2.9690858778399304E-2</v>
      </c>
      <c r="K47" s="45">
        <f t="shared" si="11"/>
        <v>2.5000000000000001E-2</v>
      </c>
      <c r="L47" s="46">
        <f t="shared" si="12"/>
        <v>0</v>
      </c>
      <c r="M47" s="46">
        <f t="shared" si="13"/>
        <v>0</v>
      </c>
      <c r="N47" s="47">
        <v>0</v>
      </c>
      <c r="O47" s="38">
        <v>0</v>
      </c>
      <c r="P47" s="55">
        <f t="shared" si="16"/>
        <v>0</v>
      </c>
      <c r="Q47" s="49">
        <f t="shared" si="15"/>
        <v>-0.24992499249924982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5139891.4059326295</v>
      </c>
      <c r="E48" s="40">
        <f t="shared" si="9"/>
        <v>4327839.9627093337</v>
      </c>
      <c r="F48" s="41" t="s">
        <v>53</v>
      </c>
      <c r="G48" s="42">
        <v>1.4503460000000001</v>
      </c>
      <c r="H48" s="43">
        <v>1.2</v>
      </c>
      <c r="I48" s="43">
        <v>1.2640640000000001</v>
      </c>
      <c r="J48" s="44">
        <f t="shared" si="10"/>
        <v>5.0041527614478054E-2</v>
      </c>
      <c r="K48" s="45">
        <f t="shared" si="11"/>
        <v>4.213546666666667E-2</v>
      </c>
      <c r="L48" s="46">
        <f t="shared" si="12"/>
        <v>6.4064000000000121E-2</v>
      </c>
      <c r="M48" s="46">
        <f t="shared" si="13"/>
        <v>5.3386666666666773</v>
      </c>
      <c r="N48" s="47">
        <v>87600</v>
      </c>
      <c r="O48" s="38">
        <v>110732</v>
      </c>
      <c r="P48" s="41">
        <v>0</v>
      </c>
      <c r="Q48" s="49">
        <f t="shared" si="15"/>
        <v>-0.12843969645863818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621000</v>
      </c>
      <c r="O49" s="69">
        <f>SUM(O10:O48)</f>
        <v>11800463.720000003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62371313.039999999</v>
      </c>
      <c r="E52" s="40">
        <f>C52*K52</f>
        <v>0</v>
      </c>
      <c r="F52" s="41" t="s">
        <v>108</v>
      </c>
      <c r="G52" s="77">
        <v>4</v>
      </c>
      <c r="H52" s="43">
        <v>4.22</v>
      </c>
      <c r="I52" s="43">
        <v>4.22</v>
      </c>
      <c r="J52" s="44">
        <f t="shared" ref="J52:J65" si="18">I52</f>
        <v>4.22</v>
      </c>
      <c r="K52" s="40">
        <v>0</v>
      </c>
      <c r="L52" s="46">
        <f t="shared" ref="L52:L65" si="19">I52-H52</f>
        <v>0</v>
      </c>
      <c r="M52" s="46">
        <f t="shared" ref="M52:M65" si="20">((I52-H52)/H52)*100</f>
        <v>0</v>
      </c>
      <c r="N52" s="47">
        <v>209</v>
      </c>
      <c r="O52" s="38">
        <v>881.98</v>
      </c>
      <c r="P52" s="55">
        <v>0</v>
      </c>
      <c r="Q52" s="49">
        <f t="shared" ref="Q52:Q65" si="21">J52/G52-1</f>
        <v>5.4999999999999938E-2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72528165.943100005</v>
      </c>
      <c r="E53" s="40">
        <v>0</v>
      </c>
      <c r="F53" s="41" t="s">
        <v>108</v>
      </c>
      <c r="G53" s="77">
        <v>0.1</v>
      </c>
      <c r="H53" s="43">
        <v>0.13500000000000001</v>
      </c>
      <c r="I53" s="43">
        <v>0.13070000000000001</v>
      </c>
      <c r="J53" s="44">
        <f t="shared" si="18"/>
        <v>0.13070000000000001</v>
      </c>
      <c r="K53" s="40">
        <v>0</v>
      </c>
      <c r="L53" s="46">
        <f t="shared" si="19"/>
        <v>-4.2999999999999983E-3</v>
      </c>
      <c r="M53" s="46">
        <f t="shared" si="20"/>
        <v>-3.1851851851851838</v>
      </c>
      <c r="N53" s="47">
        <v>24778</v>
      </c>
      <c r="O53" s="38">
        <v>3238.26</v>
      </c>
      <c r="P53" s="41">
        <f t="shared" ref="P53:P65" si="22">(R53)/J53</f>
        <v>0</v>
      </c>
      <c r="Q53" s="49">
        <f t="shared" si="21"/>
        <v>0.30699999999999994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72316264.752599999</v>
      </c>
      <c r="E54" s="40">
        <v>0</v>
      </c>
      <c r="F54" s="41" t="s">
        <v>42</v>
      </c>
      <c r="G54" s="77">
        <v>39.9</v>
      </c>
      <c r="H54" s="43">
        <v>68.97</v>
      </c>
      <c r="I54" s="43">
        <v>68.901899999999998</v>
      </c>
      <c r="J54" s="44">
        <f t="shared" si="18"/>
        <v>68.901899999999998</v>
      </c>
      <c r="K54" s="40">
        <v>0</v>
      </c>
      <c r="L54" s="46">
        <f t="shared" si="19"/>
        <v>-6.810000000000116E-2</v>
      </c>
      <c r="M54" s="46">
        <f t="shared" si="20"/>
        <v>-9.8738581992172197E-2</v>
      </c>
      <c r="N54" s="47">
        <v>208</v>
      </c>
      <c r="O54" s="38">
        <v>14331.6</v>
      </c>
      <c r="P54" s="48">
        <f t="shared" si="22"/>
        <v>8.1274972098011823E-5</v>
      </c>
      <c r="Q54" s="49">
        <f t="shared" si="21"/>
        <v>0.72686466165413544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18292228.289999999</v>
      </c>
      <c r="E55" s="40">
        <v>0</v>
      </c>
      <c r="F55" s="41" t="s">
        <v>35</v>
      </c>
      <c r="G55" s="77">
        <v>2.3E-2</v>
      </c>
      <c r="H55" s="43">
        <v>0.03</v>
      </c>
      <c r="I55" s="43">
        <v>0.03</v>
      </c>
      <c r="J55" s="44">
        <f t="shared" si="18"/>
        <v>0.03</v>
      </c>
      <c r="K55" s="40">
        <v>0</v>
      </c>
      <c r="L55" s="46">
        <f t="shared" si="19"/>
        <v>0</v>
      </c>
      <c r="M55" s="46">
        <f t="shared" si="20"/>
        <v>0</v>
      </c>
      <c r="N55" s="47">
        <v>15300</v>
      </c>
      <c r="O55" s="38">
        <v>459</v>
      </c>
      <c r="P55" s="41">
        <f t="shared" si="22"/>
        <v>0</v>
      </c>
      <c r="Q55" s="49">
        <f t="shared" si="21"/>
        <v>0.30434782608695654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216200581.30000001</v>
      </c>
      <c r="E56" s="40">
        <v>0</v>
      </c>
      <c r="F56" s="41" t="s">
        <v>53</v>
      </c>
      <c r="G56" s="77">
        <v>9.0200000000000002E-2</v>
      </c>
      <c r="H56" s="43">
        <v>9.9699999999999997E-2</v>
      </c>
      <c r="I56" s="43">
        <v>0.1</v>
      </c>
      <c r="J56" s="44">
        <f t="shared" si="18"/>
        <v>0.1</v>
      </c>
      <c r="K56" s="40">
        <v>0</v>
      </c>
      <c r="L56" s="46">
        <f t="shared" si="19"/>
        <v>3.0000000000000859E-4</v>
      </c>
      <c r="M56" s="78">
        <f t="shared" si="20"/>
        <v>0.30090270812438175</v>
      </c>
      <c r="N56" s="47">
        <v>27630</v>
      </c>
      <c r="O56" s="38">
        <v>2763</v>
      </c>
      <c r="P56" s="48">
        <f t="shared" si="22"/>
        <v>6.1399999999999996E-2</v>
      </c>
      <c r="Q56" s="49">
        <f t="shared" si="21"/>
        <v>0.10864745011086474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753773388.48000002</v>
      </c>
      <c r="E57" s="40">
        <v>0</v>
      </c>
      <c r="F57" s="41" t="s">
        <v>35</v>
      </c>
      <c r="G57" s="77">
        <v>0.95750000000000002</v>
      </c>
      <c r="H57" s="43">
        <v>1.3169999999999999</v>
      </c>
      <c r="I57" s="43">
        <v>1.3088</v>
      </c>
      <c r="J57" s="44">
        <f t="shared" si="18"/>
        <v>1.3088</v>
      </c>
      <c r="K57" s="40">
        <v>0</v>
      </c>
      <c r="L57" s="46">
        <f t="shared" si="19"/>
        <v>-8.1999999999999851E-3</v>
      </c>
      <c r="M57" s="46">
        <f t="shared" si="20"/>
        <v>-0.62262718299164654</v>
      </c>
      <c r="N57" s="47">
        <v>93972</v>
      </c>
      <c r="O57" s="38">
        <v>122986.48</v>
      </c>
      <c r="P57" s="48">
        <f t="shared" si="22"/>
        <v>2.2539731051344741E-2</v>
      </c>
      <c r="Q57" s="49">
        <f t="shared" si="21"/>
        <v>0.36689295039164493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24631233.300000001</v>
      </c>
      <c r="E58" s="40">
        <v>0</v>
      </c>
      <c r="F58" s="41" t="s">
        <v>35</v>
      </c>
      <c r="G58" s="77">
        <v>0.1595</v>
      </c>
      <c r="H58" s="43">
        <v>0.153</v>
      </c>
      <c r="I58" s="43">
        <v>0.15</v>
      </c>
      <c r="J58" s="44">
        <f t="shared" si="18"/>
        <v>0.15</v>
      </c>
      <c r="K58" s="40">
        <v>0</v>
      </c>
      <c r="L58" s="46">
        <f t="shared" si="19"/>
        <v>-3.0000000000000027E-3</v>
      </c>
      <c r="M58" s="46">
        <f t="shared" si="20"/>
        <v>-1.9607843137254919</v>
      </c>
      <c r="N58" s="47">
        <v>3374</v>
      </c>
      <c r="O58" s="38">
        <v>506.1</v>
      </c>
      <c r="P58" s="41">
        <f t="shared" si="22"/>
        <v>0</v>
      </c>
      <c r="Q58" s="49">
        <f t="shared" si="21"/>
        <v>-5.9561128526645857E-2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7782048.4350000005</v>
      </c>
      <c r="E59" s="40">
        <v>0</v>
      </c>
      <c r="F59" s="41" t="s">
        <v>108</v>
      </c>
      <c r="G59" s="77">
        <v>1.6799999999999999E-2</v>
      </c>
      <c r="H59" s="43">
        <v>2.6200000000000001E-2</v>
      </c>
      <c r="I59" s="43">
        <v>2.1000000000000001E-2</v>
      </c>
      <c r="J59" s="44">
        <f t="shared" si="18"/>
        <v>2.1000000000000001E-2</v>
      </c>
      <c r="K59" s="40">
        <v>0</v>
      </c>
      <c r="L59" s="46">
        <f t="shared" si="19"/>
        <v>-5.1999999999999998E-3</v>
      </c>
      <c r="M59" s="78">
        <f t="shared" si="20"/>
        <v>-19.847328244274806</v>
      </c>
      <c r="N59" s="47">
        <v>477008</v>
      </c>
      <c r="O59" s="38">
        <v>10017.16</v>
      </c>
      <c r="P59" s="55">
        <f t="shared" si="22"/>
        <v>0</v>
      </c>
      <c r="Q59" s="49">
        <f t="shared" si="21"/>
        <v>0.25000000000000022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1878524.0312999999</v>
      </c>
      <c r="E60" s="40">
        <v>0</v>
      </c>
      <c r="F60" s="41" t="s">
        <v>155</v>
      </c>
      <c r="G60" s="77">
        <v>19.5</v>
      </c>
      <c r="H60" s="43">
        <v>11.648099999999999</v>
      </c>
      <c r="I60" s="43">
        <v>11.648099999999999</v>
      </c>
      <c r="J60" s="44">
        <f t="shared" si="18"/>
        <v>11.648099999999999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-0.40266153846153852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817489503.95540011</v>
      </c>
      <c r="E61" s="40">
        <v>0</v>
      </c>
      <c r="F61" s="41" t="s">
        <v>108</v>
      </c>
      <c r="G61" s="77">
        <v>0.59499999999999997</v>
      </c>
      <c r="H61" s="43">
        <v>0.90649999999999997</v>
      </c>
      <c r="I61" s="43">
        <v>1.0154000000000001</v>
      </c>
      <c r="J61" s="44">
        <f t="shared" si="18"/>
        <v>1.0154000000000001</v>
      </c>
      <c r="K61" s="40">
        <v>0</v>
      </c>
      <c r="L61" s="46">
        <f t="shared" si="19"/>
        <v>0.10890000000000011</v>
      </c>
      <c r="M61" s="46">
        <f t="shared" si="20"/>
        <v>12.013237727523455</v>
      </c>
      <c r="N61" s="47">
        <v>273455</v>
      </c>
      <c r="O61" s="38">
        <v>277656.34999999998</v>
      </c>
      <c r="P61" s="62">
        <f t="shared" si="22"/>
        <v>2.2651171951940122E-2</v>
      </c>
      <c r="Q61" s="49">
        <f t="shared" si="21"/>
        <v>0.70655462184873974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73000065.040000007</v>
      </c>
      <c r="E62" s="40">
        <v>0</v>
      </c>
      <c r="F62" s="41" t="s">
        <v>35</v>
      </c>
      <c r="G62" s="77">
        <v>0.22600000000000001</v>
      </c>
      <c r="H62" s="43">
        <v>0.28189999999999998</v>
      </c>
      <c r="I62" s="43">
        <v>0.28000000000000003</v>
      </c>
      <c r="J62" s="44">
        <f t="shared" si="18"/>
        <v>0.28000000000000003</v>
      </c>
      <c r="K62" s="40">
        <v>0</v>
      </c>
      <c r="L62" s="46">
        <f t="shared" si="19"/>
        <v>-1.8999999999999573E-3</v>
      </c>
      <c r="M62" s="46">
        <f t="shared" si="20"/>
        <v>-0.6739978715856535</v>
      </c>
      <c r="N62" s="47">
        <v>7486</v>
      </c>
      <c r="O62" s="38">
        <v>2096.12</v>
      </c>
      <c r="P62" s="62">
        <f t="shared" si="22"/>
        <v>2.571428571428571E-2</v>
      </c>
      <c r="Q62" s="49">
        <f t="shared" si="21"/>
        <v>0.23893805309734528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414555062.67120004</v>
      </c>
      <c r="E63" s="40">
        <v>0</v>
      </c>
      <c r="F63" s="41" t="s">
        <v>35</v>
      </c>
      <c r="G63" s="77">
        <v>0.49440000000000001</v>
      </c>
      <c r="H63" s="43">
        <v>0.66059999999999997</v>
      </c>
      <c r="I63" s="43">
        <v>0.73740000000000006</v>
      </c>
      <c r="J63" s="44">
        <f t="shared" si="18"/>
        <v>0.73740000000000006</v>
      </c>
      <c r="K63" s="40">
        <v>0</v>
      </c>
      <c r="L63" s="46">
        <f t="shared" si="19"/>
        <v>7.680000000000009E-2</v>
      </c>
      <c r="M63" s="46">
        <f t="shared" si="20"/>
        <v>11.625794732061777</v>
      </c>
      <c r="N63" s="47">
        <v>380</v>
      </c>
      <c r="O63" s="38">
        <v>280.20999999999998</v>
      </c>
      <c r="P63" s="48">
        <f t="shared" si="22"/>
        <v>1.6815839435855708E-2</v>
      </c>
      <c r="Q63" s="49">
        <f t="shared" si="21"/>
        <v>0.49150485436893221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16677695.522399999</v>
      </c>
      <c r="E65" s="40">
        <v>0</v>
      </c>
      <c r="F65" s="41" t="s">
        <v>49</v>
      </c>
      <c r="G65" s="77">
        <v>4.2999999999999997E-2</v>
      </c>
      <c r="H65" s="43">
        <v>4.8399999999999999E-2</v>
      </c>
      <c r="I65" s="43">
        <v>4.8399999999999999E-2</v>
      </c>
      <c r="J65" s="44">
        <f t="shared" si="18"/>
        <v>4.8399999999999999E-2</v>
      </c>
      <c r="K65" s="40">
        <v>0</v>
      </c>
      <c r="L65" s="46">
        <f t="shared" si="19"/>
        <v>0</v>
      </c>
      <c r="M65" s="46">
        <f t="shared" si="20"/>
        <v>0</v>
      </c>
      <c r="N65" s="47">
        <v>0</v>
      </c>
      <c r="O65" s="38">
        <v>0</v>
      </c>
      <c r="P65" s="41">
        <f t="shared" si="22"/>
        <v>0</v>
      </c>
      <c r="Q65" s="49">
        <f t="shared" si="21"/>
        <v>0.12558139534883717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923800</v>
      </c>
      <c r="O66" s="69">
        <f>SUM(O52:O65)</f>
        <v>435216.26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50176071.437400006</v>
      </c>
      <c r="E71" s="97">
        <f>C71*K71</f>
        <v>50176071.437400006</v>
      </c>
      <c r="F71" s="95" t="s">
        <v>173</v>
      </c>
      <c r="G71" s="95">
        <v>0.24</v>
      </c>
      <c r="H71" s="98">
        <v>0.44500000000000001</v>
      </c>
      <c r="I71" s="98">
        <v>0.36020000000000002</v>
      </c>
      <c r="J71" s="99">
        <f>I71</f>
        <v>0.36020000000000002</v>
      </c>
      <c r="K71" s="99">
        <f>J71</f>
        <v>0.36020000000000002</v>
      </c>
      <c r="L71" s="100">
        <f>I71-H71</f>
        <v>-8.4799999999999986E-2</v>
      </c>
      <c r="M71" s="100">
        <f>((I71-H71)/H71)*100</f>
        <v>-19.056179775280896</v>
      </c>
      <c r="N71" s="101">
        <v>3562</v>
      </c>
      <c r="O71" s="102">
        <v>1283.17</v>
      </c>
      <c r="P71" s="103">
        <v>0</v>
      </c>
      <c r="Q71" s="104">
        <f>J71/G71-1</f>
        <v>0.50083333333333346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69665788.649999991</v>
      </c>
      <c r="E72" s="97">
        <f>C72*K72</f>
        <v>69665788.649999991</v>
      </c>
      <c r="F72" s="95" t="s">
        <v>173</v>
      </c>
      <c r="G72" s="95">
        <v>0.1</v>
      </c>
      <c r="H72" s="98">
        <v>0.14849999999999999</v>
      </c>
      <c r="I72" s="98">
        <v>0.14779999999999999</v>
      </c>
      <c r="J72" s="99">
        <f>I72</f>
        <v>0.14779999999999999</v>
      </c>
      <c r="K72" s="99">
        <f>J72</f>
        <v>0.14779999999999999</v>
      </c>
      <c r="L72" s="100">
        <f>I72-H72</f>
        <v>-7.0000000000000617E-4</v>
      </c>
      <c r="M72" s="100">
        <f>((I72-H72)/H72)*100</f>
        <v>-0.47138047138047562</v>
      </c>
      <c r="N72" s="47">
        <v>17990</v>
      </c>
      <c r="O72" s="102">
        <v>2658.76</v>
      </c>
      <c r="P72" s="103">
        <v>0</v>
      </c>
      <c r="Q72" s="104">
        <f>J72/G72-1</f>
        <v>0.47799999999999976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21552</v>
      </c>
      <c r="O73" s="69">
        <f>SUM(O71:O72)</f>
        <v>3941.9300000000003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134785.99719718291</v>
      </c>
      <c r="E75" s="40">
        <f>C75*K75</f>
        <v>113491.1575</v>
      </c>
      <c r="F75" s="41" t="s">
        <v>155</v>
      </c>
      <c r="G75" s="77">
        <v>0.105</v>
      </c>
      <c r="H75" s="43">
        <v>7.4999999999999997E-2</v>
      </c>
      <c r="I75" s="43">
        <v>7.4999999999999997E-2</v>
      </c>
      <c r="J75" s="44">
        <f>I75/$J$5</f>
        <v>2.9690858778399303E-3</v>
      </c>
      <c r="K75" s="45">
        <f>I75/$K$4</f>
        <v>2.5000000000000001E-3</v>
      </c>
      <c r="L75" s="46">
        <f>I75-H75</f>
        <v>0</v>
      </c>
      <c r="M75" s="111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-0.2857142857142857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274908.24146981625</v>
      </c>
      <c r="E76" s="40">
        <f>C76*K76</f>
        <v>231475.48839999997</v>
      </c>
      <c r="F76" s="41" t="s">
        <v>155</v>
      </c>
      <c r="G76" s="77">
        <v>4.2500000000000003E-2</v>
      </c>
      <c r="H76" s="43">
        <v>0.06</v>
      </c>
      <c r="I76" s="43">
        <v>5.0999999999999997E-2</v>
      </c>
      <c r="J76" s="44">
        <f>I76/$J$5</f>
        <v>2.0189783969311527E-3</v>
      </c>
      <c r="K76" s="45">
        <f>I76/$K$4</f>
        <v>1.6999999999999999E-3</v>
      </c>
      <c r="L76" s="46">
        <f>I76-H76</f>
        <v>-9.0000000000000011E-3</v>
      </c>
      <c r="M76" s="111">
        <f>((I76-H76)/H76)*100</f>
        <v>-15.000000000000002</v>
      </c>
      <c r="N76" s="38">
        <v>200000</v>
      </c>
      <c r="O76" s="38">
        <v>10200</v>
      </c>
      <c r="P76" s="41">
        <v>0</v>
      </c>
      <c r="Q76" s="49">
        <f>I76/G76-1</f>
        <v>0.19999999999999973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1370103.2054251139</v>
      </c>
      <c r="E77" s="40">
        <f>C77*K77</f>
        <v>1153640.6000000001</v>
      </c>
      <c r="F77" s="41" t="s">
        <v>155</v>
      </c>
      <c r="G77" s="77">
        <v>6.0499999999999998E-2</v>
      </c>
      <c r="H77" s="43">
        <v>7.0000000000000007E-2</v>
      </c>
      <c r="I77" s="43">
        <v>7.0000000000000007E-2</v>
      </c>
      <c r="J77" s="44">
        <f>I77/$J$5</f>
        <v>2.7711468193172689E-3</v>
      </c>
      <c r="K77" s="45">
        <f>I77/$K$4</f>
        <v>2.3333333333333335E-3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0.1570247933884299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2932746.0718993838</v>
      </c>
      <c r="E78" s="40">
        <f>C78*K78</f>
        <v>2469401.52</v>
      </c>
      <c r="F78" s="41" t="s">
        <v>155</v>
      </c>
      <c r="G78" s="77">
        <v>1.85</v>
      </c>
      <c r="H78" s="43">
        <v>1.77</v>
      </c>
      <c r="I78" s="43">
        <v>1.8</v>
      </c>
      <c r="J78" s="44">
        <f>I78/$J$5</f>
        <v>7.1258061068158338E-2</v>
      </c>
      <c r="K78" s="45">
        <f>I78/$K$4</f>
        <v>6.0000000000000005E-2</v>
      </c>
      <c r="L78" s="46">
        <f>I78-H78</f>
        <v>3.0000000000000027E-2</v>
      </c>
      <c r="M78" s="111">
        <f>((I78-H78)/H78)*100</f>
        <v>1.6949152542372896</v>
      </c>
      <c r="N78" s="38">
        <v>700</v>
      </c>
      <c r="O78" s="38">
        <v>1260</v>
      </c>
      <c r="P78" s="41">
        <v>0</v>
      </c>
      <c r="Q78" s="49">
        <f>I78/G78-1</f>
        <v>-2.7027027027027084E-2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200700</v>
      </c>
      <c r="O79" s="69">
        <f>SUM(O75:O78)</f>
        <v>11460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30766395.285883378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8.3530282696563374E-2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76655019.604082286</v>
      </c>
      <c r="E82" s="40">
        <f>C82*K82</f>
        <v>64544293.056833334</v>
      </c>
      <c r="F82" s="41" t="s">
        <v>188</v>
      </c>
      <c r="G82" s="41">
        <v>1.44347</v>
      </c>
      <c r="H82" s="43">
        <v>1.015217</v>
      </c>
      <c r="I82" s="43">
        <v>1.0517209999999999</v>
      </c>
      <c r="J82" s="44">
        <f>I82/$J$5</f>
        <v>4.1635332913702527E-2</v>
      </c>
      <c r="K82" s="45">
        <f>I82/$K$4</f>
        <v>3.5057366666666666E-2</v>
      </c>
      <c r="L82" s="46">
        <f>I82-H82</f>
        <v>3.650399999999987E-2</v>
      </c>
      <c r="M82" s="46">
        <f>((I82-H82)/H82*100)</f>
        <v>3.5956844694286909</v>
      </c>
      <c r="N82" s="121">
        <v>97536</v>
      </c>
      <c r="O82" s="38">
        <v>102587.655</v>
      </c>
      <c r="P82" s="48">
        <f>(R82)/J82</f>
        <v>4.5706371651797389E-2</v>
      </c>
      <c r="Q82" s="49">
        <f>I82/G82-1</f>
        <v>-0.27139393267612077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97536</v>
      </c>
      <c r="O83" s="69">
        <f>SUM(O81:O82)</f>
        <v>102587.655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126</v>
      </c>
      <c r="B86" s="130">
        <v>3.4500000000000003E-2</v>
      </c>
      <c r="C86" s="130"/>
      <c r="D86" s="130">
        <v>15.000000000000014</v>
      </c>
      <c r="E86" s="36" t="s">
        <v>85</v>
      </c>
      <c r="F86" s="131">
        <v>1.0190000000000001</v>
      </c>
      <c r="G86" s="131"/>
      <c r="H86" s="132">
        <v>-14.977054651647876</v>
      </c>
      <c r="L86" s="36" t="s">
        <v>102</v>
      </c>
      <c r="M86" s="130">
        <v>1.0154000000000001</v>
      </c>
      <c r="N86" s="133">
        <v>12.013237727523455</v>
      </c>
      <c r="O86" s="36" t="s">
        <v>151</v>
      </c>
      <c r="P86" s="131">
        <v>2.1000000000000001E-2</v>
      </c>
      <c r="Q86" s="132">
        <v>-19.847328244274806</v>
      </c>
    </row>
    <row r="87" spans="1:44" x14ac:dyDescent="0.25">
      <c r="A87" s="36" t="s">
        <v>106</v>
      </c>
      <c r="B87" s="130">
        <v>1.7250000000000001</v>
      </c>
      <c r="C87" s="130"/>
      <c r="D87" s="130">
        <v>15.000000000000005</v>
      </c>
      <c r="E87" s="36" t="s">
        <v>124</v>
      </c>
      <c r="F87" s="131">
        <v>2.7</v>
      </c>
      <c r="G87" s="131"/>
      <c r="H87" s="132">
        <v>-14.012738853503182</v>
      </c>
      <c r="L87" s="36" t="s">
        <v>159</v>
      </c>
      <c r="M87" s="130">
        <v>0.73740000000000006</v>
      </c>
      <c r="N87" s="133">
        <v>11.625794732061777</v>
      </c>
      <c r="O87" s="36" t="s">
        <v>140</v>
      </c>
      <c r="P87" s="131">
        <v>0.13070000000000001</v>
      </c>
      <c r="Q87" s="132">
        <v>-3.1851851851851838</v>
      </c>
    </row>
    <row r="88" spans="1:44" x14ac:dyDescent="0.25">
      <c r="A88" s="36" t="s">
        <v>91</v>
      </c>
      <c r="B88" s="130">
        <v>0.8</v>
      </c>
      <c r="C88" s="130"/>
      <c r="D88" s="130">
        <v>6.6666666666666723</v>
      </c>
      <c r="E88" s="36" t="s">
        <v>88</v>
      </c>
      <c r="F88" s="131">
        <v>1.6</v>
      </c>
      <c r="G88" s="131"/>
      <c r="H88" s="132">
        <v>-12.687585266030011</v>
      </c>
      <c r="L88" s="36" t="s">
        <v>145</v>
      </c>
      <c r="M88" s="130">
        <v>0.1</v>
      </c>
      <c r="N88" s="133">
        <v>0.30090270812438175</v>
      </c>
      <c r="O88" s="36" t="s">
        <v>149</v>
      </c>
      <c r="P88" s="131">
        <v>0.15</v>
      </c>
      <c r="Q88" s="132">
        <v>-1.9607843137254919</v>
      </c>
    </row>
    <row r="89" spans="1:44" x14ac:dyDescent="0.25">
      <c r="A89" s="36" t="s">
        <v>136</v>
      </c>
      <c r="B89" s="130">
        <v>1.2640640000000001</v>
      </c>
      <c r="C89" s="130"/>
      <c r="D89" s="130">
        <v>5.3386666666666773</v>
      </c>
      <c r="E89" s="36" t="s">
        <v>36</v>
      </c>
      <c r="F89" s="131">
        <v>0.03</v>
      </c>
      <c r="G89" s="131"/>
      <c r="H89" s="132">
        <v>-11.764705882352951</v>
      </c>
      <c r="L89" s="36"/>
      <c r="M89" s="130"/>
      <c r="N89" s="133"/>
      <c r="O89" s="36" t="s">
        <v>157</v>
      </c>
      <c r="P89" s="131">
        <v>0.28000000000000003</v>
      </c>
      <c r="Q89" s="132">
        <v>-0.6739978715856535</v>
      </c>
    </row>
    <row r="90" spans="1:44" x14ac:dyDescent="0.25">
      <c r="A90" s="36" t="s">
        <v>58</v>
      </c>
      <c r="B90" s="130">
        <v>2.7</v>
      </c>
      <c r="C90" s="130"/>
      <c r="D90" s="130">
        <v>2.8571428571428639</v>
      </c>
      <c r="E90" s="36" t="s">
        <v>100</v>
      </c>
      <c r="F90" s="131">
        <v>1.25</v>
      </c>
      <c r="G90" s="131"/>
      <c r="H90" s="132">
        <v>-1.6658590155887041</v>
      </c>
      <c r="L90" s="36"/>
      <c r="M90" s="130"/>
      <c r="N90" s="133"/>
      <c r="O90" s="36" t="s">
        <v>147</v>
      </c>
      <c r="P90" s="131">
        <v>1.3088</v>
      </c>
      <c r="Q90" s="134">
        <v>-0.62262718299164654</v>
      </c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YSINcwEp2XHYIo58jdlTfTYDa2xYSx/GPMZ6pFKZ88lbHN8F3tCuKBJnWug0YErM3srUyamdnNIkDhQjKzNfLQ==" saltValue="CeRZHE8aMcWK3FFDFtgtBQ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2026-03-25T13:38:48Z</dcterms:created>
  <dcterms:modified xsi:type="dcterms:W3CDTF">2026-03-25T13:40:48Z</dcterms:modified>
</cp:coreProperties>
</file>