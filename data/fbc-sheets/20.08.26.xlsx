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ug/20.08.26/"/>
    </mc:Choice>
  </mc:AlternateContent>
  <xr:revisionPtr revIDLastSave="0" documentId="8_{E6FCEDEE-3EDB-49F4-9EB6-A9E24B35FD11}" xr6:coauthVersionLast="47" xr6:coauthVersionMax="47" xr10:uidLastSave="{00000000-0000-0000-0000-000000000000}"/>
  <bookViews>
    <workbookView xWindow="-108" yWindow="-108" windowWidth="23256" windowHeight="12456" xr2:uid="{7CCC91BD-46F5-4E29-B9F7-89B75789810C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7" i="1" l="1"/>
  <c r="K19" i="1"/>
  <c r="J19" i="1"/>
  <c r="J17" i="1"/>
  <c r="Q85" i="1"/>
  <c r="M85" i="1"/>
  <c r="L85" i="1"/>
  <c r="K85" i="1"/>
  <c r="E85" i="1" s="1"/>
  <c r="J85" i="1"/>
  <c r="P85" i="1" s="1"/>
  <c r="D85" i="1"/>
  <c r="Q84" i="1"/>
  <c r="P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D81" i="1" s="1"/>
  <c r="E81" i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/>
  <c r="Q78" i="1"/>
  <c r="M78" i="1"/>
  <c r="L78" i="1"/>
  <c r="K78" i="1"/>
  <c r="J78" i="1"/>
  <c r="E78" i="1"/>
  <c r="D78" i="1"/>
  <c r="Q75" i="1"/>
  <c r="P75" i="1"/>
  <c r="M75" i="1"/>
  <c r="L75" i="1"/>
  <c r="K75" i="1"/>
  <c r="E75" i="1" s="1"/>
  <c r="J75" i="1"/>
  <c r="D75" i="1"/>
  <c r="O73" i="1"/>
  <c r="N73" i="1"/>
  <c r="Q72" i="1"/>
  <c r="P72" i="1"/>
  <c r="M72" i="1"/>
  <c r="L72" i="1"/>
  <c r="J72" i="1"/>
  <c r="K72" i="1" s="1"/>
  <c r="E72" i="1" s="1"/>
  <c r="M71" i="1"/>
  <c r="L71" i="1"/>
  <c r="J71" i="1"/>
  <c r="Q71" i="1" s="1"/>
  <c r="D71" i="1"/>
  <c r="M68" i="1"/>
  <c r="L68" i="1"/>
  <c r="D68" i="1"/>
  <c r="O66" i="1"/>
  <c r="N66" i="1"/>
  <c r="M65" i="1"/>
  <c r="L65" i="1"/>
  <c r="J65" i="1"/>
  <c r="Q65" i="1" s="1"/>
  <c r="D65" i="1"/>
  <c r="Q64" i="1"/>
  <c r="P64" i="1"/>
  <c r="M64" i="1"/>
  <c r="L64" i="1"/>
  <c r="J64" i="1"/>
  <c r="D64" i="1"/>
  <c r="M63" i="1"/>
  <c r="L63" i="1"/>
  <c r="J63" i="1"/>
  <c r="Q63" i="1" s="1"/>
  <c r="D63" i="1"/>
  <c r="Q62" i="1"/>
  <c r="P62" i="1"/>
  <c r="M62" i="1"/>
  <c r="L62" i="1"/>
  <c r="J62" i="1"/>
  <c r="D62" i="1"/>
  <c r="M61" i="1"/>
  <c r="L61" i="1"/>
  <c r="J61" i="1"/>
  <c r="Q61" i="1" s="1"/>
  <c r="D61" i="1"/>
  <c r="Q60" i="1"/>
  <c r="P60" i="1"/>
  <c r="M60" i="1"/>
  <c r="L60" i="1"/>
  <c r="J60" i="1"/>
  <c r="D60" i="1"/>
  <c r="M59" i="1"/>
  <c r="L59" i="1"/>
  <c r="J59" i="1"/>
  <c r="Q59" i="1" s="1"/>
  <c r="D59" i="1"/>
  <c r="Q58" i="1"/>
  <c r="P58" i="1"/>
  <c r="M58" i="1"/>
  <c r="L58" i="1"/>
  <c r="J58" i="1"/>
  <c r="D58" i="1"/>
  <c r="M57" i="1"/>
  <c r="L57" i="1"/>
  <c r="J57" i="1"/>
  <c r="Q57" i="1" s="1"/>
  <c r="D57" i="1"/>
  <c r="Q56" i="1"/>
  <c r="P56" i="1"/>
  <c r="M56" i="1"/>
  <c r="L56" i="1"/>
  <c r="J56" i="1"/>
  <c r="D56" i="1"/>
  <c r="M55" i="1"/>
  <c r="L55" i="1"/>
  <c r="J55" i="1"/>
  <c r="Q55" i="1" s="1"/>
  <c r="D55" i="1"/>
  <c r="Q54" i="1"/>
  <c r="P54" i="1"/>
  <c r="M54" i="1"/>
  <c r="L54" i="1"/>
  <c r="J54" i="1"/>
  <c r="D54" i="1"/>
  <c r="M53" i="1"/>
  <c r="L53" i="1"/>
  <c r="J53" i="1"/>
  <c r="Q53" i="1" s="1"/>
  <c r="D53" i="1"/>
  <c r="Q52" i="1"/>
  <c r="M52" i="1"/>
  <c r="L52" i="1"/>
  <c r="J52" i="1"/>
  <c r="D52" i="1" s="1"/>
  <c r="M51" i="1"/>
  <c r="L51" i="1"/>
  <c r="J51" i="1"/>
  <c r="Q51" i="1" s="1"/>
  <c r="D51" i="1"/>
  <c r="Q50" i="1"/>
  <c r="P50" i="1"/>
  <c r="M50" i="1"/>
  <c r="L50" i="1"/>
  <c r="J50" i="1"/>
  <c r="D50" i="1" s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 s="1"/>
  <c r="Q42" i="1"/>
  <c r="M42" i="1"/>
  <c r="L42" i="1"/>
  <c r="K42" i="1"/>
  <c r="J42" i="1"/>
  <c r="D42" i="1" s="1"/>
  <c r="E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 s="1"/>
  <c r="Q39" i="1"/>
  <c r="M39" i="1"/>
  <c r="L39" i="1"/>
  <c r="K39" i="1"/>
  <c r="J39" i="1"/>
  <c r="D39" i="1" s="1"/>
  <c r="E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D37" i="1" s="1"/>
  <c r="E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P34" i="1"/>
  <c r="M34" i="1"/>
  <c r="L34" i="1"/>
  <c r="K34" i="1"/>
  <c r="J34" i="1"/>
  <c r="D34" i="1" s="1"/>
  <c r="E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P31" i="1"/>
  <c r="M31" i="1"/>
  <c r="L31" i="1"/>
  <c r="K31" i="1"/>
  <c r="J31" i="1"/>
  <c r="D31" i="1" s="1"/>
  <c r="E31" i="1"/>
  <c r="K30" i="1"/>
  <c r="J30" i="1"/>
  <c r="E30" i="1"/>
  <c r="D30" i="1"/>
  <c r="Q29" i="1"/>
  <c r="P29" i="1"/>
  <c r="M29" i="1"/>
  <c r="L29" i="1"/>
  <c r="K29" i="1"/>
  <c r="J29" i="1"/>
  <c r="D29" i="1" s="1"/>
  <c r="E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D26" i="1" s="1"/>
  <c r="E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P23" i="1"/>
  <c r="M23" i="1"/>
  <c r="L23" i="1"/>
  <c r="K23" i="1"/>
  <c r="E23" i="1" s="1"/>
  <c r="J23" i="1"/>
  <c r="D23" i="1" s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E20" i="1" s="1"/>
  <c r="J20" i="1"/>
  <c r="D20" i="1"/>
  <c r="Q19" i="1"/>
  <c r="M19" i="1"/>
  <c r="L19" i="1"/>
  <c r="P19" i="1"/>
  <c r="E19" i="1"/>
  <c r="D19" i="1"/>
  <c r="E18" i="1"/>
  <c r="D18" i="1"/>
  <c r="Q17" i="1"/>
  <c r="P17" i="1"/>
  <c r="M17" i="1"/>
  <c r="L17" i="1"/>
  <c r="E17" i="1"/>
  <c r="D17" i="1"/>
  <c r="Q16" i="1"/>
  <c r="P16" i="1"/>
  <c r="M16" i="1"/>
  <c r="L16" i="1"/>
  <c r="K16" i="1"/>
  <c r="E16" i="1" s="1"/>
  <c r="J16" i="1"/>
  <c r="D16" i="1" s="1"/>
  <c r="Q15" i="1"/>
  <c r="M15" i="1"/>
  <c r="L15" i="1"/>
  <c r="K15" i="1"/>
  <c r="J15" i="1"/>
  <c r="D15" i="1" s="1"/>
  <c r="E15" i="1"/>
  <c r="Q14" i="1"/>
  <c r="P14" i="1"/>
  <c r="M14" i="1"/>
  <c r="L14" i="1"/>
  <c r="K14" i="1"/>
  <c r="J14" i="1"/>
  <c r="E14" i="1"/>
  <c r="D14" i="1"/>
  <c r="Q13" i="1"/>
  <c r="P13" i="1"/>
  <c r="M13" i="1"/>
  <c r="L13" i="1"/>
  <c r="K13" i="1"/>
  <c r="E13" i="1" s="1"/>
  <c r="J13" i="1"/>
  <c r="D13" i="1" s="1"/>
  <c r="Q12" i="1"/>
  <c r="M12" i="1"/>
  <c r="L12" i="1"/>
  <c r="K12" i="1"/>
  <c r="J12" i="1"/>
  <c r="D12" i="1" s="1"/>
  <c r="E12" i="1"/>
  <c r="Q11" i="1"/>
  <c r="P11" i="1"/>
  <c r="M11" i="1"/>
  <c r="L11" i="1"/>
  <c r="K11" i="1"/>
  <c r="J11" i="1"/>
  <c r="E11" i="1"/>
  <c r="D11" i="1"/>
  <c r="Q10" i="1"/>
  <c r="P10" i="1"/>
  <c r="M10" i="1"/>
  <c r="L10" i="1"/>
  <c r="K10" i="1"/>
  <c r="E10" i="1" s="1"/>
  <c r="J10" i="1"/>
  <c r="D10" i="1" s="1"/>
  <c r="Q9" i="1"/>
  <c r="M9" i="1"/>
  <c r="L9" i="1"/>
  <c r="K9" i="1"/>
  <c r="J9" i="1"/>
  <c r="D9" i="1" s="1"/>
  <c r="E9" i="1"/>
  <c r="K71" i="1" l="1"/>
  <c r="E71" i="1" s="1"/>
  <c r="P9" i="1"/>
  <c r="P12" i="1"/>
  <c r="P15" i="1"/>
  <c r="P39" i="1"/>
  <c r="P42" i="1"/>
  <c r="P53" i="1"/>
  <c r="P55" i="1"/>
  <c r="P57" i="1"/>
  <c r="P59" i="1"/>
  <c r="P61" i="1"/>
  <c r="P63" i="1"/>
  <c r="P65" i="1"/>
  <c r="P51" i="1"/>
  <c r="P71" i="1"/>
  <c r="D72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<sst xmlns="http://schemas.openxmlformats.org/spreadsheetml/2006/main" count="270" uniqueCount="185">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</sst>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0" fontId="15" fillId="5" borderId="0" xfId="5" applyNumberFormat="1" applyFont="1" applyFill="1" applyBorder="1" applyAlignment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0" fontId="23" fillId="2" borderId="15" xfId="8" applyFont="1" applyFill="1" applyBorder="1"/>
    <xf numFmtId="0" fontId="23" fillId="2" borderId="3" xfId="8" applyFont="1" applyFill="1" applyBorder="1"/>
    <xf numFmtId="0" fontId="23" fillId="2" borderId="16" xfId="8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52AEB381-1D98-4283-8C46-74AE6E312765}"/>
    <cellStyle name="Comma 5 2 2 2 2 2 2 2 2 2 2" xfId="5" xr:uid="{3100423C-7095-4D3F-8A3B-1AC756E2EA9C}"/>
    <cellStyle name="Comma 6 2 2 2 2 2" xfId="6" xr:uid="{453A32C5-D806-4B69-9228-BF77B8ABF786}"/>
    <cellStyle name="Hyperlink 2" xfId="9" xr:uid="{CC9E9CB9-E98D-41C0-A9C4-C26DD2B8A8B2}"/>
    <cellStyle name="Normal" xfId="0" builtinId="0"/>
    <cellStyle name="Normal 2" xfId="3" xr:uid="{A0335E72-7775-417D-965F-4D8EC25FAB0D}"/>
    <cellStyle name="Normal 20" xfId="8" xr:uid="{8FCF18E8-D5C3-4CFB-81E8-846A4E92B25C}"/>
    <cellStyle name="Percent" xfId="2" builtinId="5"/>
    <cellStyle name="Percent 3" xfId="7" xr:uid="{042ABF34-7AC6-4863-B8DE-D561CF59BB09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CDD4AE5-93B9-44FC-90B2-E14F5483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14420" y="18034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18C9F7F1-4A4C-4566-A228-56270CF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2FBB-0ACE-49CF-A0AF-A089C92EBF89}">
  <dimension ref="A1:II107"/>
  <sheetViews>
    <sheetView tabSelected="1" zoomScale="60" zoomScaleNormal="60" workbookViewId="0">
      <selection activeCell="W10" sqref="W10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26.626000000000001</v>
      </c>
      <c r="K5" s="22"/>
      <c r="L5" s="145" t="s">
        <v>12</v>
      </c>
      <c r="M5" s="146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78102916.078269362</v>
      </c>
      <c r="E9" s="39">
        <f t="shared" ref="E9:E45" si="1">C9*K9</f>
        <v>66018039.476190478</v>
      </c>
      <c r="F9" s="40" t="s">
        <v>34</v>
      </c>
      <c r="G9" s="41">
        <v>8.9894999999999996</v>
      </c>
      <c r="H9" s="42">
        <v>15</v>
      </c>
      <c r="I9" s="43">
        <v>16.5</v>
      </c>
      <c r="J9" s="44">
        <f>(I9/$J$5)</f>
        <v>0.61969503492826561</v>
      </c>
      <c r="K9" s="45">
        <f t="shared" ref="K9:K17" si="2">I9/$K$4</f>
        <v>0.52380952380952384</v>
      </c>
      <c r="L9" s="46">
        <f t="shared" ref="L9:L17" si="3">I9-H9</f>
        <v>1.5</v>
      </c>
      <c r="M9" s="46">
        <f t="shared" ref="M9:M17" si="4">((I9-H9)/H9)*100</f>
        <v>10</v>
      </c>
      <c r="N9" s="47">
        <v>0</v>
      </c>
      <c r="O9" s="37">
        <v>0</v>
      </c>
      <c r="P9" s="48">
        <f t="shared" ref="P9:P17" si="5">(R9)/J9</f>
        <v>2.4205454545454544E-2</v>
      </c>
      <c r="Q9" s="49">
        <f t="shared" ref="Q9:Q17" si="6">I9/G9-1</f>
        <v>0.83547472050725857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4584040.773116502</v>
      </c>
      <c r="E10" s="39">
        <f t="shared" si="1"/>
        <v>3874751.4166666665</v>
      </c>
      <c r="F10" s="40" t="s">
        <v>34</v>
      </c>
      <c r="G10" s="41">
        <v>3.1600000000000003E-2</v>
      </c>
      <c r="H10" s="42">
        <v>7.4268000000000001E-2</v>
      </c>
      <c r="I10" s="43">
        <v>7.4999999999999997E-2</v>
      </c>
      <c r="J10" s="44">
        <f t="shared" ref="J10:J17" si="7">I10/$J$5</f>
        <v>2.8167956133102979E-3</v>
      </c>
      <c r="K10" s="45">
        <f t="shared" si="2"/>
        <v>2.3809523809523807E-3</v>
      </c>
      <c r="L10" s="46">
        <f t="shared" si="3"/>
        <v>7.3199999999999654E-4</v>
      </c>
      <c r="M10" s="46">
        <f t="shared" si="4"/>
        <v>0.98561964776215405</v>
      </c>
      <c r="N10" s="47">
        <v>16200</v>
      </c>
      <c r="O10" s="37">
        <v>1215</v>
      </c>
      <c r="P10" s="51">
        <f t="shared" si="5"/>
        <v>0</v>
      </c>
      <c r="Q10" s="49">
        <f t="shared" si="6"/>
        <v>1.3734177215189871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3610569.3299782169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8.2626004657102084E-3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142588715.09051302</v>
      </c>
      <c r="E12" s="39">
        <f t="shared" si="1"/>
        <v>120525940.57142857</v>
      </c>
      <c r="F12" s="40" t="s">
        <v>34</v>
      </c>
      <c r="G12" s="41">
        <v>97.381</v>
      </c>
      <c r="H12" s="42">
        <v>184</v>
      </c>
      <c r="I12" s="43">
        <v>184</v>
      </c>
      <c r="J12" s="44">
        <f t="shared" si="7"/>
        <v>6.9105385713212648</v>
      </c>
      <c r="K12" s="45">
        <f t="shared" si="2"/>
        <v>5.8412698412698409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0.88948562861338454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7725974.3634041911</v>
      </c>
      <c r="E13" s="39">
        <f t="shared" si="1"/>
        <v>6530533.1238095239</v>
      </c>
      <c r="F13" s="40" t="s">
        <v>44</v>
      </c>
      <c r="G13" s="41">
        <v>13.6</v>
      </c>
      <c r="H13" s="42">
        <v>23.55</v>
      </c>
      <c r="I13" s="43">
        <v>23.55</v>
      </c>
      <c r="J13" s="44">
        <f t="shared" si="7"/>
        <v>0.88447382257943363</v>
      </c>
      <c r="K13" s="45">
        <f t="shared" si="2"/>
        <v>0.74761904761904763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0.73161764705882359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785103240.80049562</v>
      </c>
      <c r="E14" s="39">
        <f t="shared" si="1"/>
        <v>663624091.73187292</v>
      </c>
      <c r="F14" s="40" t="s">
        <v>47</v>
      </c>
      <c r="G14" s="41">
        <v>11.5</v>
      </c>
      <c r="H14" s="42">
        <v>39.9221</v>
      </c>
      <c r="I14" s="43">
        <v>39.995599999999996</v>
      </c>
      <c r="J14" s="44">
        <f t="shared" si="7"/>
        <v>1.502125741756178</v>
      </c>
      <c r="K14" s="45">
        <f t="shared" si="2"/>
        <v>1.2697015873015871</v>
      </c>
      <c r="L14" s="46">
        <f t="shared" si="3"/>
        <v>7.349999999999568E-2</v>
      </c>
      <c r="M14" s="46">
        <f t="shared" si="4"/>
        <v>0.18410855140384819</v>
      </c>
      <c r="N14" s="47">
        <v>500</v>
      </c>
      <c r="O14" s="37">
        <v>19997.8</v>
      </c>
      <c r="P14" s="51">
        <f t="shared" si="5"/>
        <v>0</v>
      </c>
      <c r="Q14" s="49">
        <f t="shared" si="6"/>
        <v>2.4778782608695651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23895637.722526852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0.22534364906482385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51868981.067947872</v>
      </c>
      <c r="E16" s="39">
        <f t="shared" si="1"/>
        <v>43843285.394132704</v>
      </c>
      <c r="F16" s="40" t="s">
        <v>34</v>
      </c>
      <c r="G16" s="41">
        <v>1.9</v>
      </c>
      <c r="H16" s="42">
        <v>3.85771</v>
      </c>
      <c r="I16" s="43">
        <v>3.85771</v>
      </c>
      <c r="J16" s="44">
        <f t="shared" si="7"/>
        <v>0.14488507473897694</v>
      </c>
      <c r="K16" s="45">
        <f t="shared" si="2"/>
        <v>0.12246698412698413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0.34510110920727582</v>
      </c>
      <c r="Q16" s="49">
        <f t="shared" si="6"/>
        <v>1.0303736842105264</v>
      </c>
      <c r="R16" s="50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1618646855.4274957</v>
      </c>
      <c r="E17" s="39">
        <f t="shared" si="1"/>
        <v>1368193370.5591269</v>
      </c>
      <c r="F17" s="40" t="s">
        <v>34</v>
      </c>
      <c r="G17" s="41">
        <v>20.701700000000002</v>
      </c>
      <c r="H17" s="42">
        <v>31.8565</v>
      </c>
      <c r="I17" s="43">
        <v>31.977499999999999</v>
      </c>
      <c r="J17" s="44">
        <f>I17/$J$5</f>
        <v>1.2009877563284008</v>
      </c>
      <c r="K17" s="45">
        <f>I17/$K$4</f>
        <v>1.0151587301587301</v>
      </c>
      <c r="L17" s="46">
        <f t="shared" si="3"/>
        <v>0.12099999999999866</v>
      </c>
      <c r="M17" s="46">
        <f t="shared" si="4"/>
        <v>0.37982829249917177</v>
      </c>
      <c r="N17" s="47">
        <v>39200</v>
      </c>
      <c r="O17" s="37">
        <v>1253518.95</v>
      </c>
      <c r="P17" s="48">
        <f t="shared" si="5"/>
        <v>0</v>
      </c>
      <c r="Q17" s="49">
        <f t="shared" si="6"/>
        <v>0.54467990551500578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340694209.21279949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>I19/$J$5</f>
        <v>0.50702321039585363</v>
      </c>
      <c r="K19" s="45">
        <f>I19/$K$4</f>
        <v>0.42857142857142855</v>
      </c>
      <c r="L19" s="46">
        <f t="shared" ref="L19:L29" si="8">I19-H19</f>
        <v>0</v>
      </c>
      <c r="M19" s="46">
        <f>((I19-H19)/H19)*100</f>
        <v>0</v>
      </c>
      <c r="N19" s="47">
        <v>200</v>
      </c>
      <c r="O19" s="37">
        <v>2700</v>
      </c>
      <c r="P19" s="51">
        <f>(R19)/J19</f>
        <v>0</v>
      </c>
      <c r="Q19" s="49">
        <f t="shared" ref="Q19:Q29" si="9">I19/G19-1</f>
        <v>8.4337349397590522E-2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3293143.8914970332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ref="J19:J45" si="10">I20/$J$5</f>
        <v>3.0233606249530535E-2</v>
      </c>
      <c r="K20" s="45">
        <f t="shared" ref="K19:K45" si="11">I20/$K$4</f>
        <v>2.5555555555555557E-2</v>
      </c>
      <c r="L20" s="46">
        <f t="shared" si="8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9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86831640.163749725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10"/>
        <v>0.12581687072785999</v>
      </c>
      <c r="K21" s="45">
        <f t="shared" si="11"/>
        <v>0.10634920634920635</v>
      </c>
      <c r="L21" s="46">
        <f t="shared" si="8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9"/>
        <v>0.17543859649122817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10"/>
        <v>0</v>
      </c>
      <c r="K22" s="45">
        <f t="shared" si="11"/>
        <v>0</v>
      </c>
      <c r="L22" s="46">
        <f t="shared" si="8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9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2116044.6711860583</v>
      </c>
      <c r="E23" s="39">
        <f t="shared" si="1"/>
        <v>1788628.7433333332</v>
      </c>
      <c r="F23" s="40" t="s">
        <v>44</v>
      </c>
      <c r="G23" s="41">
        <v>0.1</v>
      </c>
      <c r="H23" s="42">
        <v>0.105</v>
      </c>
      <c r="I23" s="43">
        <v>0.105</v>
      </c>
      <c r="J23" s="44">
        <f t="shared" si="10"/>
        <v>3.9435138586344171E-3</v>
      </c>
      <c r="K23" s="45">
        <f t="shared" si="11"/>
        <v>3.3333333333333331E-3</v>
      </c>
      <c r="L23" s="46">
        <f t="shared" si="8"/>
        <v>0</v>
      </c>
      <c r="M23" s="46">
        <f t="shared" ref="M23:M29" si="12">((I23-H23)/H23)*100</f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9"/>
        <v>4.9999999999999822E-2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77933158.23727183</v>
      </c>
      <c r="E24" s="39">
        <f t="shared" si="1"/>
        <v>65874548.292876184</v>
      </c>
      <c r="F24" s="40" t="s">
        <v>34</v>
      </c>
      <c r="G24" s="41">
        <v>8.1687659999999997</v>
      </c>
      <c r="H24" s="42">
        <v>10.750399999999999</v>
      </c>
      <c r="I24" s="43">
        <v>10.750399999999999</v>
      </c>
      <c r="J24" s="44">
        <f t="shared" si="10"/>
        <v>0.40375572748441368</v>
      </c>
      <c r="K24" s="45">
        <f t="shared" si="11"/>
        <v>0.34128253968253963</v>
      </c>
      <c r="L24" s="46">
        <f t="shared" si="8"/>
        <v>0</v>
      </c>
      <c r="M24" s="46">
        <f t="shared" si="12"/>
        <v>0</v>
      </c>
      <c r="N24" s="47">
        <v>0</v>
      </c>
      <c r="O24" s="37">
        <v>0</v>
      </c>
      <c r="P24" s="48">
        <f t="shared" si="13"/>
        <v>3.7151175770203902E-2</v>
      </c>
      <c r="Q24" s="49">
        <f t="shared" si="9"/>
        <v>0.31603720806790148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107716105.43436864</v>
      </c>
      <c r="E25" s="39">
        <f t="shared" si="1"/>
        <v>91049175.34271428</v>
      </c>
      <c r="F25" s="40" t="s">
        <v>66</v>
      </c>
      <c r="G25" s="41">
        <v>1.6675</v>
      </c>
      <c r="H25" s="42">
        <v>1.6994999999999998</v>
      </c>
      <c r="I25" s="43">
        <v>1.6994999999999998</v>
      </c>
      <c r="J25" s="44">
        <f t="shared" si="10"/>
        <v>6.3828588597611341E-2</v>
      </c>
      <c r="K25" s="45">
        <f t="shared" si="11"/>
        <v>5.3952380952380946E-2</v>
      </c>
      <c r="L25" s="46">
        <f t="shared" si="8"/>
        <v>0</v>
      </c>
      <c r="M25" s="46">
        <f t="shared" si="12"/>
        <v>0</v>
      </c>
      <c r="N25" s="47">
        <v>0</v>
      </c>
      <c r="O25" s="37">
        <v>0</v>
      </c>
      <c r="P25" s="51">
        <f t="shared" si="13"/>
        <v>0</v>
      </c>
      <c r="Q25" s="49">
        <f t="shared" si="9"/>
        <v>1.9190404797601035E-2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20678759.336738523</v>
      </c>
      <c r="E26" s="39">
        <f t="shared" si="1"/>
        <v>17479131.622222219</v>
      </c>
      <c r="F26" s="40" t="s">
        <v>44</v>
      </c>
      <c r="G26" s="41">
        <v>1.7994999999999999</v>
      </c>
      <c r="H26" s="42">
        <v>2.2999999999999998</v>
      </c>
      <c r="I26" s="43">
        <v>2.2999999999999998</v>
      </c>
      <c r="J26" s="44">
        <f t="shared" si="10"/>
        <v>8.6381732141515802E-2</v>
      </c>
      <c r="K26" s="45">
        <f t="shared" si="11"/>
        <v>7.3015873015873006E-2</v>
      </c>
      <c r="L26" s="46">
        <f t="shared" si="8"/>
        <v>0</v>
      </c>
      <c r="M26" s="46">
        <f t="shared" si="12"/>
        <v>0</v>
      </c>
      <c r="N26" s="47">
        <v>0</v>
      </c>
      <c r="O26" s="37">
        <v>0</v>
      </c>
      <c r="P26" s="51">
        <f t="shared" si="13"/>
        <v>0</v>
      </c>
      <c r="Q26" s="49">
        <f t="shared" si="9"/>
        <v>0.2781328146707418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23423073.706114665</v>
      </c>
      <c r="E27" s="39">
        <f t="shared" si="1"/>
        <v>19798817.793619335</v>
      </c>
      <c r="F27" s="40" t="s">
        <v>34</v>
      </c>
      <c r="G27" s="41">
        <v>3.1361369999999997</v>
      </c>
      <c r="H27" s="42">
        <v>2.4347490000000001</v>
      </c>
      <c r="I27" s="43">
        <v>2.4347490000000001</v>
      </c>
      <c r="J27" s="44">
        <f t="shared" si="10"/>
        <v>9.1442537369488472E-2</v>
      </c>
      <c r="K27" s="45">
        <f t="shared" si="11"/>
        <v>7.7293619047619055E-2</v>
      </c>
      <c r="L27" s="46">
        <f t="shared" si="8"/>
        <v>0</v>
      </c>
      <c r="M27" s="46">
        <f t="shared" si="12"/>
        <v>0</v>
      </c>
      <c r="N27" s="47">
        <v>0</v>
      </c>
      <c r="O27" s="37">
        <v>0</v>
      </c>
      <c r="P27" s="51">
        <f t="shared" si="13"/>
        <v>0</v>
      </c>
      <c r="Q27" s="49">
        <f t="shared" si="9"/>
        <v>-0.22364711745692223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28380083.41470743</v>
      </c>
      <c r="E28" s="39">
        <f t="shared" si="1"/>
        <v>23988828.603174601</v>
      </c>
      <c r="F28" s="40" t="s">
        <v>44</v>
      </c>
      <c r="G28" s="41">
        <v>0.8</v>
      </c>
      <c r="H28" s="42">
        <v>1.046575</v>
      </c>
      <c r="I28" s="43">
        <v>1</v>
      </c>
      <c r="J28" s="44">
        <f t="shared" si="10"/>
        <v>3.755727484413731E-2</v>
      </c>
      <c r="K28" s="45">
        <f t="shared" si="11"/>
        <v>3.1746031746031744E-2</v>
      </c>
      <c r="L28" s="46">
        <f t="shared" si="8"/>
        <v>-4.6575000000000033E-2</v>
      </c>
      <c r="M28" s="46">
        <f t="shared" si="12"/>
        <v>-4.4502305138188882</v>
      </c>
      <c r="N28" s="47">
        <v>100</v>
      </c>
      <c r="O28" s="37">
        <v>100</v>
      </c>
      <c r="P28" s="51">
        <f t="shared" si="13"/>
        <v>0</v>
      </c>
      <c r="Q28" s="49">
        <f t="shared" si="9"/>
        <v>0.25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100365102.79801698</v>
      </c>
      <c r="E29" s="39">
        <f t="shared" si="1"/>
        <v>84835594.51111111</v>
      </c>
      <c r="F29" s="40" t="s">
        <v>47</v>
      </c>
      <c r="G29" s="41">
        <v>5.15</v>
      </c>
      <c r="H29" s="42">
        <v>5.95</v>
      </c>
      <c r="I29" s="43">
        <v>5.95</v>
      </c>
      <c r="J29" s="44">
        <f t="shared" si="10"/>
        <v>0.22346578532261699</v>
      </c>
      <c r="K29" s="45">
        <f t="shared" si="11"/>
        <v>0.18888888888888888</v>
      </c>
      <c r="L29" s="46">
        <f t="shared" si="8"/>
        <v>0</v>
      </c>
      <c r="M29" s="46">
        <f t="shared" si="12"/>
        <v>0</v>
      </c>
      <c r="N29" s="47">
        <v>0</v>
      </c>
      <c r="O29" s="37">
        <v>0</v>
      </c>
      <c r="P29" s="51">
        <f t="shared" si="13"/>
        <v>0</v>
      </c>
      <c r="Q29" s="49">
        <f t="shared" si="9"/>
        <v>0.15533980582524265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10"/>
        <v>0</v>
      </c>
      <c r="K30" s="56">
        <f t="shared" si="11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11282408.477428077</v>
      </c>
      <c r="E31" s="39">
        <f t="shared" si="1"/>
        <v>9536679.6228571422</v>
      </c>
      <c r="F31" s="40" t="s">
        <v>39</v>
      </c>
      <c r="G31" s="41">
        <v>1.4</v>
      </c>
      <c r="H31" s="42">
        <v>1.1559999999999999</v>
      </c>
      <c r="I31" s="43">
        <v>1.1559999999999999</v>
      </c>
      <c r="J31" s="44">
        <f t="shared" si="10"/>
        <v>4.3416209719822726E-2</v>
      </c>
      <c r="K31" s="45">
        <f t="shared" si="11"/>
        <v>3.6698412698412695E-2</v>
      </c>
      <c r="L31" s="46">
        <f t="shared" ref="L31:L45" si="14">I31-H31</f>
        <v>0</v>
      </c>
      <c r="M31" s="46">
        <f t="shared" ref="M31:M45" si="15">((I31-H31)/H31)*100</f>
        <v>0</v>
      </c>
      <c r="N31" s="47">
        <v>0</v>
      </c>
      <c r="O31" s="37">
        <v>0</v>
      </c>
      <c r="P31" s="51">
        <f t="shared" ref="P31:P36" si="16">(R31)/J31</f>
        <v>0</v>
      </c>
      <c r="Q31" s="49">
        <f t="shared" ref="Q31:Q45" si="17">I31/G31-1</f>
        <v>-0.17428571428571427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3907087.9281529337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10"/>
        <v>3.2017576804627058E-2</v>
      </c>
      <c r="K32" s="45">
        <f t="shared" si="11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150895659.2890408</v>
      </c>
      <c r="E33" s="39">
        <f t="shared" si="1"/>
        <v>127547549.97555557</v>
      </c>
      <c r="F33" s="40" t="s">
        <v>92</v>
      </c>
      <c r="G33" s="41">
        <v>1.44</v>
      </c>
      <c r="H33" s="42">
        <v>1.6025</v>
      </c>
      <c r="I33" s="43">
        <v>1.61</v>
      </c>
      <c r="J33" s="44">
        <f t="shared" si="10"/>
        <v>6.046721249906107E-2</v>
      </c>
      <c r="K33" s="45">
        <f t="shared" si="11"/>
        <v>5.1111111111111114E-2</v>
      </c>
      <c r="L33" s="46">
        <f t="shared" si="14"/>
        <v>7.5000000000000622E-3</v>
      </c>
      <c r="M33" s="46">
        <f t="shared" si="15"/>
        <v>0.46801872074883377</v>
      </c>
      <c r="N33" s="47">
        <v>600</v>
      </c>
      <c r="O33" s="37">
        <v>966</v>
      </c>
      <c r="P33" s="51">
        <f t="shared" si="16"/>
        <v>0</v>
      </c>
      <c r="Q33" s="49">
        <f t="shared" si="17"/>
        <v>0.11805555555555558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53695651.77345451</v>
      </c>
      <c r="E34" s="39">
        <f t="shared" si="1"/>
        <v>45387315.051428571</v>
      </c>
      <c r="F34" s="40" t="s">
        <v>34</v>
      </c>
      <c r="G34" s="41">
        <v>3.6056249999999999</v>
      </c>
      <c r="H34" s="42">
        <v>5.6403470000000002</v>
      </c>
      <c r="I34" s="43">
        <v>5.64</v>
      </c>
      <c r="J34" s="44">
        <f t="shared" si="10"/>
        <v>0.2118230301209344</v>
      </c>
      <c r="K34" s="45">
        <f t="shared" si="11"/>
        <v>0.17904761904761904</v>
      </c>
      <c r="L34" s="46">
        <f t="shared" si="14"/>
        <v>-3.4700000000054132E-4</v>
      </c>
      <c r="M34" s="46">
        <f t="shared" si="15"/>
        <v>-6.1521037624199595E-3</v>
      </c>
      <c r="N34" s="47">
        <v>6500</v>
      </c>
      <c r="O34" s="37">
        <v>36660</v>
      </c>
      <c r="P34" s="51">
        <f t="shared" si="16"/>
        <v>0</v>
      </c>
      <c r="Q34" s="49">
        <f t="shared" si="17"/>
        <v>0.56422256890275602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6729256.8965672655</v>
      </c>
      <c r="E35" s="39">
        <f t="shared" si="1"/>
        <v>5688037.9088253966</v>
      </c>
      <c r="F35" s="40" t="s">
        <v>34</v>
      </c>
      <c r="G35" s="41">
        <v>2.5099999999999997E-2</v>
      </c>
      <c r="H35" s="42">
        <v>3.7000000000000005E-2</v>
      </c>
      <c r="I35" s="43">
        <v>3.7999999999999999E-2</v>
      </c>
      <c r="J35" s="44">
        <f t="shared" si="10"/>
        <v>1.4271764440772178E-3</v>
      </c>
      <c r="K35" s="45">
        <f t="shared" si="11"/>
        <v>1.2063492063492064E-3</v>
      </c>
      <c r="L35" s="46">
        <f t="shared" si="14"/>
        <v>9.9999999999999395E-4</v>
      </c>
      <c r="M35" s="46">
        <f t="shared" si="15"/>
        <v>2.7027027027026858</v>
      </c>
      <c r="N35" s="47">
        <v>9200</v>
      </c>
      <c r="O35" s="37">
        <v>349.6</v>
      </c>
      <c r="P35" s="51">
        <f t="shared" si="16"/>
        <v>0</v>
      </c>
      <c r="Q35" s="49">
        <f t="shared" si="17"/>
        <v>0.51394422310756993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88744440.34026891</v>
      </c>
      <c r="E36" s="39">
        <f t="shared" si="1"/>
        <v>75012999</v>
      </c>
      <c r="F36" s="40" t="s">
        <v>92</v>
      </c>
      <c r="G36" s="41">
        <v>0.61</v>
      </c>
      <c r="H36" s="42">
        <v>4.621429</v>
      </c>
      <c r="I36" s="43">
        <v>4.5</v>
      </c>
      <c r="J36" s="44">
        <f t="shared" si="10"/>
        <v>0.16900773679861789</v>
      </c>
      <c r="K36" s="45">
        <f t="shared" si="11"/>
        <v>0.14285714285714285</v>
      </c>
      <c r="L36" s="46">
        <f t="shared" si="14"/>
        <v>-0.12142900000000001</v>
      </c>
      <c r="M36" s="46">
        <f t="shared" si="15"/>
        <v>-2.6275206218682579</v>
      </c>
      <c r="N36" s="47">
        <v>800</v>
      </c>
      <c r="O36" s="37">
        <v>3600</v>
      </c>
      <c r="P36" s="51">
        <f t="shared" si="16"/>
        <v>0</v>
      </c>
      <c r="Q36" s="49">
        <f t="shared" si="17"/>
        <v>6.3770491803278686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47664978.735938251</v>
      </c>
      <c r="E37" s="39">
        <f t="shared" si="1"/>
        <v>40289769.010256886</v>
      </c>
      <c r="F37" s="40" t="s">
        <v>56</v>
      </c>
      <c r="G37" s="41">
        <v>0.11650199999999999</v>
      </c>
      <c r="H37" s="42">
        <v>0.29738500000000001</v>
      </c>
      <c r="I37" s="43">
        <v>0.30254799999999998</v>
      </c>
      <c r="J37" s="44">
        <f t="shared" si="10"/>
        <v>1.1362878389544053E-2</v>
      </c>
      <c r="K37" s="45">
        <f t="shared" si="11"/>
        <v>9.604698412698412E-3</v>
      </c>
      <c r="L37" s="46">
        <f t="shared" si="14"/>
        <v>5.1629999999999732E-3</v>
      </c>
      <c r="M37" s="46">
        <f t="shared" si="15"/>
        <v>1.7361332952233546</v>
      </c>
      <c r="N37" s="47">
        <v>3100</v>
      </c>
      <c r="O37" s="37">
        <v>937.9</v>
      </c>
      <c r="P37" s="51">
        <v>0</v>
      </c>
      <c r="Q37" s="49">
        <f t="shared" si="17"/>
        <v>1.5969339582153097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20260865.784383684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10"/>
        <v>4.6946593555171638E-3</v>
      </c>
      <c r="K38" s="45">
        <f t="shared" si="11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7197987.9290918652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10"/>
        <v>6.7603094719447157E-2</v>
      </c>
      <c r="K39" s="45">
        <f t="shared" si="11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4433384.391434988</v>
      </c>
      <c r="E40" s="39">
        <f t="shared" si="1"/>
        <v>3747406.1208364451</v>
      </c>
      <c r="F40" s="40" t="s">
        <v>39</v>
      </c>
      <c r="G40" s="41">
        <v>0.03</v>
      </c>
      <c r="H40" s="42">
        <v>5.7999999999999996E-2</v>
      </c>
      <c r="I40" s="43">
        <v>6.6391000000000006E-2</v>
      </c>
      <c r="J40" s="44">
        <f t="shared" si="10"/>
        <v>2.4934650341771202E-3</v>
      </c>
      <c r="K40" s="45">
        <f t="shared" si="11"/>
        <v>2.1076507936507939E-3</v>
      </c>
      <c r="L40" s="46">
        <f t="shared" si="14"/>
        <v>8.3910000000000096E-3</v>
      </c>
      <c r="M40" s="46">
        <f t="shared" si="15"/>
        <v>14.46724137931036</v>
      </c>
      <c r="N40" s="47">
        <v>6500</v>
      </c>
      <c r="O40" s="37">
        <v>431.54</v>
      </c>
      <c r="P40" s="51">
        <f t="shared" si="18"/>
        <v>0</v>
      </c>
      <c r="Q40" s="49">
        <f t="shared" si="17"/>
        <v>1.2130333333333336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44840540.270036809</v>
      </c>
      <c r="E41" s="39">
        <f t="shared" si="1"/>
        <v>37902356.356507942</v>
      </c>
      <c r="F41" s="40" t="s">
        <v>47</v>
      </c>
      <c r="G41" s="41">
        <v>4.5</v>
      </c>
      <c r="H41" s="42">
        <v>6.8150000000000004</v>
      </c>
      <c r="I41" s="43">
        <v>6.8150000000000004</v>
      </c>
      <c r="J41" s="44">
        <f t="shared" si="10"/>
        <v>0.25595282806279579</v>
      </c>
      <c r="K41" s="45">
        <f t="shared" si="11"/>
        <v>0.21634920634920637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0.51444444444444448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313.23059783670095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10"/>
        <v>6.7603094719447156E-7</v>
      </c>
      <c r="K42" s="45">
        <f t="shared" si="11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1557575.3023360625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10"/>
        <v>2.7041237887778864E-3</v>
      </c>
      <c r="K43" s="45">
        <f t="shared" si="11"/>
        <v>2.2857142857142859E-3</v>
      </c>
      <c r="L43" s="46">
        <f t="shared" si="14"/>
        <v>0</v>
      </c>
      <c r="M43" s="46">
        <f t="shared" si="15"/>
        <v>0</v>
      </c>
      <c r="N43" s="47">
        <v>0</v>
      </c>
      <c r="O43" s="37">
        <v>0</v>
      </c>
      <c r="P43" s="51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64838831.867610604</v>
      </c>
      <c r="E44" s="39">
        <f t="shared" si="1"/>
        <v>54806309.120857149</v>
      </c>
      <c r="F44" s="40" t="s">
        <v>47</v>
      </c>
      <c r="G44" s="41">
        <v>0.9998999999999999</v>
      </c>
      <c r="H44" s="42">
        <v>0.95</v>
      </c>
      <c r="I44" s="43">
        <v>0.94950000000000001</v>
      </c>
      <c r="J44" s="44">
        <f t="shared" si="10"/>
        <v>3.5660632464508374E-2</v>
      </c>
      <c r="K44" s="45">
        <f t="shared" si="11"/>
        <v>3.0142857142857145E-2</v>
      </c>
      <c r="L44" s="46">
        <f t="shared" si="14"/>
        <v>-4.9999999999994493E-4</v>
      </c>
      <c r="M44" s="46">
        <f t="shared" si="15"/>
        <v>-5.2631578947362631E-2</v>
      </c>
      <c r="N44" s="47">
        <v>7500</v>
      </c>
      <c r="O44" s="37">
        <v>7121.25</v>
      </c>
      <c r="P44" s="51">
        <f t="shared" si="18"/>
        <v>0</v>
      </c>
      <c r="Q44" s="49">
        <f t="shared" si="17"/>
        <v>-5.0405040504050258E-2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9719730.5929392315</v>
      </c>
      <c r="E45" s="39">
        <f t="shared" si="1"/>
        <v>8215795.1354793636</v>
      </c>
      <c r="F45" s="40" t="s">
        <v>47</v>
      </c>
      <c r="G45" s="41">
        <v>1.4503460000000001</v>
      </c>
      <c r="H45" s="42">
        <v>2.29</v>
      </c>
      <c r="I45" s="43">
        <v>2.5196299999999998</v>
      </c>
      <c r="J45" s="44">
        <f t="shared" si="10"/>
        <v>9.4630436415533675E-2</v>
      </c>
      <c r="K45" s="45">
        <f t="shared" si="11"/>
        <v>7.9988253968253958E-2</v>
      </c>
      <c r="L45" s="46">
        <f t="shared" si="14"/>
        <v>0.22962999999999978</v>
      </c>
      <c r="M45" s="46">
        <f t="shared" si="15"/>
        <v>10.027510917030558</v>
      </c>
      <c r="N45" s="47">
        <v>2700</v>
      </c>
      <c r="O45" s="37">
        <v>6803</v>
      </c>
      <c r="P45" s="51">
        <v>0</v>
      </c>
      <c r="Q45" s="49">
        <f t="shared" si="17"/>
        <v>0.73726131557573127</v>
      </c>
      <c r="R45" s="50"/>
    </row>
    <row r="46" spans="1:18" ht="12" customHeight="1" x14ac:dyDescent="0.25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93100</v>
      </c>
      <c r="O47" s="61">
        <f>SUM(O9:O45)</f>
        <v>1334401.04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5" si="19">C50*J50</f>
        <v>80962872.937199995</v>
      </c>
      <c r="E50" s="39">
        <v>0</v>
      </c>
      <c r="F50" s="40" t="s">
        <v>92</v>
      </c>
      <c r="G50" s="70">
        <v>0.1</v>
      </c>
      <c r="H50" s="42">
        <v>0.14000000000000001</v>
      </c>
      <c r="I50" s="42">
        <v>0.1459</v>
      </c>
      <c r="J50" s="44">
        <f t="shared" ref="J50:J65" si="20">I50</f>
        <v>0.1459</v>
      </c>
      <c r="K50" s="39">
        <v>0</v>
      </c>
      <c r="L50" s="46">
        <f t="shared" ref="L50:L65" si="21">I50-H50</f>
        <v>5.8999999999999886E-3</v>
      </c>
      <c r="M50" s="46">
        <f t="shared" ref="M50:M65" si="22">((I50-H50)/H50)*100</f>
        <v>4.2142857142857055</v>
      </c>
      <c r="N50" s="47">
        <v>237</v>
      </c>
      <c r="O50" s="37">
        <v>34.56</v>
      </c>
      <c r="P50" s="71">
        <f>(R50)/J50</f>
        <v>0</v>
      </c>
      <c r="Q50" s="49">
        <f t="shared" ref="Q50:Q65" si="23">J50/G50-1</f>
        <v>0.45899999999999985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1057685</v>
      </c>
      <c r="D51" s="38">
        <f t="shared" si="19"/>
        <v>42251236.9265</v>
      </c>
      <c r="E51" s="39">
        <v>0</v>
      </c>
      <c r="F51" s="40" t="s">
        <v>39</v>
      </c>
      <c r="G51" s="70">
        <v>39.9</v>
      </c>
      <c r="H51" s="42">
        <v>39.624899999999997</v>
      </c>
      <c r="I51" s="42">
        <v>39.946899999999999</v>
      </c>
      <c r="J51" s="44">
        <f t="shared" si="20"/>
        <v>39.946899999999999</v>
      </c>
      <c r="K51" s="39">
        <v>0</v>
      </c>
      <c r="L51" s="46">
        <f t="shared" si="21"/>
        <v>0.32200000000000273</v>
      </c>
      <c r="M51" s="46">
        <f t="shared" si="22"/>
        <v>0.81262034730687716</v>
      </c>
      <c r="N51" s="47">
        <v>11425</v>
      </c>
      <c r="O51" s="37">
        <v>456393.2</v>
      </c>
      <c r="P51" s="72">
        <f>(R51)/J51</f>
        <v>1.4018609704382569E-2</v>
      </c>
      <c r="Q51" s="49">
        <f t="shared" si="23"/>
        <v>1.1754385964912739E-3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662165716.82389998</v>
      </c>
      <c r="E52" s="39"/>
      <c r="F52" s="40" t="s">
        <v>56</v>
      </c>
      <c r="G52" s="70">
        <v>0.33</v>
      </c>
      <c r="H52" s="42">
        <v>0.2278</v>
      </c>
      <c r="I52" s="42">
        <v>0.2213</v>
      </c>
      <c r="J52" s="44">
        <f t="shared" si="20"/>
        <v>0.2213</v>
      </c>
      <c r="K52" s="39">
        <v>0</v>
      </c>
      <c r="L52" s="46">
        <f t="shared" si="21"/>
        <v>-6.5000000000000058E-3</v>
      </c>
      <c r="M52" s="46">
        <f t="shared" si="22"/>
        <v>-2.8533801580333651</v>
      </c>
      <c r="N52" s="47">
        <v>45877</v>
      </c>
      <c r="O52" s="37">
        <v>10151.77</v>
      </c>
      <c r="P52" s="71">
        <v>0</v>
      </c>
      <c r="Q52" s="49">
        <f t="shared" si="23"/>
        <v>-0.32939393939393946</v>
      </c>
      <c r="R52" s="52"/>
      <c r="T52" s="52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11707026.105599999</v>
      </c>
      <c r="E53" s="39">
        <v>0</v>
      </c>
      <c r="F53" s="40" t="s">
        <v>34</v>
      </c>
      <c r="G53" s="70">
        <v>2.3E-2</v>
      </c>
      <c r="H53" s="42">
        <v>1.7999999999999999E-2</v>
      </c>
      <c r="I53" s="42">
        <v>1.9199999999999998E-2</v>
      </c>
      <c r="J53" s="44">
        <f t="shared" si="20"/>
        <v>1.9199999999999998E-2</v>
      </c>
      <c r="K53" s="39">
        <v>0</v>
      </c>
      <c r="L53" s="46">
        <f t="shared" si="21"/>
        <v>1.1999999999999997E-3</v>
      </c>
      <c r="M53" s="46">
        <f t="shared" si="22"/>
        <v>6.6666666666666652</v>
      </c>
      <c r="N53" s="47">
        <v>2</v>
      </c>
      <c r="O53" s="37">
        <v>0.04</v>
      </c>
      <c r="P53" s="71">
        <f t="shared" ref="P53:P65" si="24">(R53)/J53</f>
        <v>0</v>
      </c>
      <c r="Q53" s="49">
        <f t="shared" si="23"/>
        <v>-0.16521739130434787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304940125.98899996</v>
      </c>
      <c r="E54" s="39">
        <v>0</v>
      </c>
      <c r="F54" s="40" t="s">
        <v>47</v>
      </c>
      <c r="G54" s="70">
        <v>9.0200000000000002E-2</v>
      </c>
      <c r="H54" s="42">
        <v>0.13869999999999999</v>
      </c>
      <c r="I54" s="42">
        <v>0.14099999999999999</v>
      </c>
      <c r="J54" s="44">
        <f t="shared" si="20"/>
        <v>0.14099999999999999</v>
      </c>
      <c r="K54" s="39">
        <v>0</v>
      </c>
      <c r="L54" s="46">
        <f t="shared" si="21"/>
        <v>2.2999999999999965E-3</v>
      </c>
      <c r="M54" s="73">
        <f t="shared" si="22"/>
        <v>1.6582552271088655</v>
      </c>
      <c r="N54" s="47">
        <v>746</v>
      </c>
      <c r="O54" s="37">
        <v>105.17</v>
      </c>
      <c r="P54" s="71">
        <f t="shared" si="24"/>
        <v>0</v>
      </c>
      <c r="Q54" s="49">
        <f t="shared" si="23"/>
        <v>0.5631929046563191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828758161.55000007</v>
      </c>
      <c r="E55" s="39">
        <v>0</v>
      </c>
      <c r="F55" s="40" t="s">
        <v>34</v>
      </c>
      <c r="G55" s="70">
        <v>0.95750000000000002</v>
      </c>
      <c r="H55" s="42">
        <v>1.4211</v>
      </c>
      <c r="I55" s="42">
        <v>1.4390000000000001</v>
      </c>
      <c r="J55" s="44">
        <f t="shared" si="20"/>
        <v>1.4390000000000001</v>
      </c>
      <c r="K55" s="39">
        <v>0</v>
      </c>
      <c r="L55" s="46">
        <f t="shared" si="21"/>
        <v>1.7900000000000027E-2</v>
      </c>
      <c r="M55" s="46">
        <f t="shared" si="22"/>
        <v>1.2595876433748523</v>
      </c>
      <c r="N55" s="47">
        <v>86</v>
      </c>
      <c r="O55" s="37">
        <v>123.75</v>
      </c>
      <c r="P55" s="72">
        <f t="shared" si="24"/>
        <v>3.2661570535093817E-2</v>
      </c>
      <c r="Q55" s="49">
        <f t="shared" si="23"/>
        <v>0.50287206266318552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24696916.588800002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0.15040000000000001</v>
      </c>
      <c r="J56" s="44">
        <f t="shared" si="20"/>
        <v>0.15040000000000001</v>
      </c>
      <c r="K56" s="39">
        <v>0</v>
      </c>
      <c r="L56" s="46">
        <f t="shared" si="21"/>
        <v>4.0000000000001146E-4</v>
      </c>
      <c r="M56" s="46">
        <f t="shared" si="22"/>
        <v>0.26666666666667432</v>
      </c>
      <c r="N56" s="47">
        <v>373</v>
      </c>
      <c r="O56" s="37">
        <v>56.12</v>
      </c>
      <c r="P56" s="71">
        <f t="shared" si="24"/>
        <v>0</v>
      </c>
      <c r="Q56" s="49">
        <f t="shared" si="23"/>
        <v>-5.7053291536050099E-2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953802800</v>
      </c>
      <c r="D57" s="38">
        <f t="shared" si="19"/>
        <v>19076056</v>
      </c>
      <c r="E57" s="39">
        <v>0</v>
      </c>
      <c r="F57" s="40" t="s">
        <v>92</v>
      </c>
      <c r="G57" s="70">
        <v>1.6799999999999999E-2</v>
      </c>
      <c r="H57" s="42">
        <v>1.9599999999999999E-2</v>
      </c>
      <c r="I57" s="42">
        <v>0.02</v>
      </c>
      <c r="J57" s="44">
        <f t="shared" si="20"/>
        <v>0.02</v>
      </c>
      <c r="K57" s="39">
        <v>0</v>
      </c>
      <c r="L57" s="46">
        <f t="shared" si="21"/>
        <v>4.0000000000000105E-4</v>
      </c>
      <c r="M57" s="73">
        <f t="shared" si="22"/>
        <v>2.0408163265306176</v>
      </c>
      <c r="N57" s="47">
        <v>898</v>
      </c>
      <c r="O57" s="37">
        <v>17.96</v>
      </c>
      <c r="P57" s="71">
        <f t="shared" si="24"/>
        <v>0</v>
      </c>
      <c r="Q57" s="49">
        <f t="shared" si="23"/>
        <v>0.19047619047619047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0">
        <v>19.5</v>
      </c>
      <c r="H58" s="42">
        <v>14.5982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0</v>
      </c>
      <c r="M58" s="46">
        <f t="shared" si="22"/>
        <v>0</v>
      </c>
      <c r="N58" s="47">
        <v>0</v>
      </c>
      <c r="O58" s="37">
        <v>0</v>
      </c>
      <c r="P58" s="71">
        <f t="shared" si="24"/>
        <v>0</v>
      </c>
      <c r="Q58" s="49">
        <f t="shared" si="23"/>
        <v>-0.251374358974359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4287529136.2492003</v>
      </c>
      <c r="E59" s="39">
        <v>0</v>
      </c>
      <c r="F59" s="40" t="s">
        <v>47</v>
      </c>
      <c r="G59" s="70">
        <v>0.78169999999999995</v>
      </c>
      <c r="H59" s="74">
        <v>0.98119999999999996</v>
      </c>
      <c r="I59" s="42">
        <v>0.95320000000000005</v>
      </c>
      <c r="J59" s="44">
        <f t="shared" si="20"/>
        <v>0.95320000000000005</v>
      </c>
      <c r="K59" s="39">
        <v>0</v>
      </c>
      <c r="L59" s="46">
        <f t="shared" si="21"/>
        <v>-2.7999999999999914E-2</v>
      </c>
      <c r="M59" s="46">
        <f t="shared" si="22"/>
        <v>-2.8536485935588987</v>
      </c>
      <c r="N59" s="47">
        <v>16371</v>
      </c>
      <c r="O59" s="75">
        <v>15604.41</v>
      </c>
      <c r="P59" s="71">
        <f t="shared" si="24"/>
        <v>0</v>
      </c>
      <c r="Q59" s="49">
        <f t="shared" si="23"/>
        <v>0.21939362926954087</v>
      </c>
      <c r="R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1047261658.6608</v>
      </c>
      <c r="E60" s="39">
        <v>0</v>
      </c>
      <c r="F60" s="40" t="s">
        <v>92</v>
      </c>
      <c r="G60" s="70">
        <v>0.59499999999999997</v>
      </c>
      <c r="H60" s="42">
        <v>1.3010999999999999</v>
      </c>
      <c r="I60" s="42">
        <v>1.3008</v>
      </c>
      <c r="J60" s="44">
        <f t="shared" si="20"/>
        <v>1.3008</v>
      </c>
      <c r="K60" s="39">
        <v>0</v>
      </c>
      <c r="L60" s="46">
        <f t="shared" si="21"/>
        <v>-2.9999999999996696E-4</v>
      </c>
      <c r="M60" s="46">
        <f t="shared" si="22"/>
        <v>-2.3057412958263544E-2</v>
      </c>
      <c r="N60" s="47">
        <v>43474</v>
      </c>
      <c r="O60" s="37">
        <v>56549.36</v>
      </c>
      <c r="P60" s="71">
        <f t="shared" si="24"/>
        <v>0</v>
      </c>
      <c r="Q60" s="49">
        <f t="shared" si="23"/>
        <v>1.1862184873949579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114714387.92</v>
      </c>
      <c r="E61" s="39">
        <v>0</v>
      </c>
      <c r="F61" s="40" t="s">
        <v>34</v>
      </c>
      <c r="G61" s="70">
        <v>0.22600000000000001</v>
      </c>
      <c r="H61" s="42">
        <v>0.44</v>
      </c>
      <c r="I61" s="42">
        <v>0.44</v>
      </c>
      <c r="J61" s="44">
        <f t="shared" si="20"/>
        <v>0.44</v>
      </c>
      <c r="K61" s="39">
        <v>0</v>
      </c>
      <c r="L61" s="46">
        <f t="shared" si="21"/>
        <v>0</v>
      </c>
      <c r="M61" s="46">
        <f t="shared" si="22"/>
        <v>0</v>
      </c>
      <c r="N61" s="47">
        <v>249</v>
      </c>
      <c r="O61" s="37">
        <v>109.56</v>
      </c>
      <c r="P61" s="71">
        <f t="shared" si="24"/>
        <v>0</v>
      </c>
      <c r="Q61" s="49">
        <f t="shared" si="23"/>
        <v>0.94690265486725655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403536240.82639998</v>
      </c>
      <c r="E62" s="39">
        <v>0</v>
      </c>
      <c r="F62" s="40" t="s">
        <v>34</v>
      </c>
      <c r="G62" s="70">
        <v>0.49440000000000001</v>
      </c>
      <c r="H62" s="42">
        <v>0.72140000000000004</v>
      </c>
      <c r="I62" s="42">
        <v>0.71779999999999999</v>
      </c>
      <c r="J62" s="44">
        <f t="shared" si="20"/>
        <v>0.71779999999999999</v>
      </c>
      <c r="K62" s="39">
        <v>0</v>
      </c>
      <c r="L62" s="46">
        <f t="shared" si="21"/>
        <v>-3.6000000000000476E-3</v>
      </c>
      <c r="M62" s="46">
        <f t="shared" si="22"/>
        <v>-0.49902966454117648</v>
      </c>
      <c r="N62" s="47">
        <v>5568</v>
      </c>
      <c r="O62" s="37">
        <v>3996.92</v>
      </c>
      <c r="P62" s="71">
        <f t="shared" si="24"/>
        <v>0</v>
      </c>
      <c r="Q62" s="49">
        <f t="shared" si="23"/>
        <v>0.45186084142394822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80049917.285999998</v>
      </c>
      <c r="E63" s="39">
        <v>0</v>
      </c>
      <c r="F63" s="40" t="s">
        <v>34</v>
      </c>
      <c r="G63" s="70">
        <v>0.25950000000000001</v>
      </c>
      <c r="H63" s="42">
        <v>0.23</v>
      </c>
      <c r="I63" s="42">
        <v>0.21959999999999999</v>
      </c>
      <c r="J63" s="44">
        <f t="shared" si="20"/>
        <v>0.21959999999999999</v>
      </c>
      <c r="K63" s="39">
        <v>0</v>
      </c>
      <c r="L63" s="46">
        <f t="shared" si="21"/>
        <v>-1.040000000000002E-2</v>
      </c>
      <c r="M63" s="46">
        <f t="shared" si="22"/>
        <v>-4.5217391304347911</v>
      </c>
      <c r="N63" s="47">
        <v>5225</v>
      </c>
      <c r="O63" s="37">
        <v>1147.25</v>
      </c>
      <c r="P63" s="71">
        <f t="shared" si="24"/>
        <v>0</v>
      </c>
      <c r="Q63" s="49">
        <f t="shared" si="23"/>
        <v>-0.1537572254335261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40832787.590999998</v>
      </c>
      <c r="E65" s="39">
        <v>0</v>
      </c>
      <c r="F65" s="40" t="s">
        <v>44</v>
      </c>
      <c r="G65" s="70">
        <v>4.2999999999999997E-2</v>
      </c>
      <c r="H65" s="42">
        <v>0.1198</v>
      </c>
      <c r="I65" s="42">
        <v>0.11849999999999999</v>
      </c>
      <c r="J65" s="44">
        <f t="shared" si="20"/>
        <v>0.11849999999999999</v>
      </c>
      <c r="K65" s="39">
        <v>0</v>
      </c>
      <c r="L65" s="46">
        <f t="shared" si="21"/>
        <v>-1.3000000000000095E-3</v>
      </c>
      <c r="M65" s="46">
        <f t="shared" si="22"/>
        <v>-1.0851419031719611</v>
      </c>
      <c r="N65" s="47">
        <v>97</v>
      </c>
      <c r="O65" s="37">
        <v>11.49</v>
      </c>
      <c r="P65" s="71">
        <f t="shared" si="24"/>
        <v>0</v>
      </c>
      <c r="Q65" s="49">
        <f t="shared" si="23"/>
        <v>1.7558139534883721</v>
      </c>
      <c r="T65" s="52"/>
    </row>
    <row r="66" spans="1:20" ht="13.2" x14ac:dyDescent="0.35">
      <c r="A66" s="76"/>
      <c r="B66" s="36" t="s">
        <v>117</v>
      </c>
      <c r="C66" s="40"/>
      <c r="D66" s="77"/>
      <c r="E66" s="77"/>
      <c r="F66" s="40"/>
      <c r="G66" s="40"/>
      <c r="H66" s="42"/>
      <c r="I66" s="42"/>
      <c r="J66" s="42"/>
      <c r="K66" s="42"/>
      <c r="L66" s="46"/>
      <c r="M66" s="78"/>
      <c r="N66" s="61">
        <f>SUM(N50:N65)</f>
        <v>130628</v>
      </c>
      <c r="O66" s="62">
        <f>SUM(O50:O65)</f>
        <v>544301.56000000006</v>
      </c>
      <c r="P66" s="79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0" t="s">
        <v>153</v>
      </c>
      <c r="B68" s="81" t="s">
        <v>154</v>
      </c>
      <c r="C68" s="82">
        <v>20000</v>
      </c>
      <c r="D68" s="83">
        <f>C68*J68</f>
        <v>0</v>
      </c>
      <c r="E68" s="83"/>
      <c r="F68" s="82" t="s">
        <v>155</v>
      </c>
      <c r="G68" s="82"/>
      <c r="H68" s="84">
        <v>100</v>
      </c>
      <c r="I68" s="84"/>
      <c r="J68" s="84"/>
      <c r="K68" s="84"/>
      <c r="L68" s="85">
        <f>I68-H68</f>
        <v>-100</v>
      </c>
      <c r="M68" s="86">
        <f>((I68-H68)/H68)*100</f>
        <v>-100</v>
      </c>
      <c r="N68" s="87" t="s">
        <v>57</v>
      </c>
      <c r="O68" s="87" t="s">
        <v>57</v>
      </c>
      <c r="P68" s="87"/>
      <c r="Q68" s="88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8"/>
      <c r="N69" s="89"/>
      <c r="O69" s="89"/>
      <c r="P69" s="89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0" t="s">
        <v>158</v>
      </c>
      <c r="C71" s="91">
        <v>139300587</v>
      </c>
      <c r="D71" s="38">
        <f>C71*J71</f>
        <v>45969193.710000001</v>
      </c>
      <c r="E71" s="39">
        <f>C71*K71</f>
        <v>45969193.710000001</v>
      </c>
      <c r="F71" s="91" t="s">
        <v>159</v>
      </c>
      <c r="G71" s="91">
        <v>0.24</v>
      </c>
      <c r="H71" s="92">
        <v>0.35</v>
      </c>
      <c r="I71" s="92">
        <v>0.33</v>
      </c>
      <c r="J71" s="93">
        <f>I71</f>
        <v>0.33</v>
      </c>
      <c r="K71" s="93">
        <f>J71</f>
        <v>0.33</v>
      </c>
      <c r="L71" s="46">
        <f>I71-H71</f>
        <v>-1.9999999999999962E-2</v>
      </c>
      <c r="M71" s="46">
        <f>((I71-H71)/H71)*100</f>
        <v>-5.7142857142857038</v>
      </c>
      <c r="N71" s="94">
        <v>10869</v>
      </c>
      <c r="O71" s="95">
        <v>3586.77</v>
      </c>
      <c r="P71" s="71">
        <f>(R71)/J71</f>
        <v>0</v>
      </c>
      <c r="Q71" s="49">
        <f>J71/G71-1</f>
        <v>0.37500000000000022</v>
      </c>
      <c r="T71" s="52"/>
    </row>
    <row r="72" spans="1:20" x14ac:dyDescent="0.25">
      <c r="A72" s="35" t="s">
        <v>160</v>
      </c>
      <c r="B72" s="90" t="s">
        <v>161</v>
      </c>
      <c r="C72" s="91">
        <v>471351750</v>
      </c>
      <c r="D72" s="38">
        <f>C72*J72</f>
        <v>67686111.299999997</v>
      </c>
      <c r="E72" s="39">
        <f>C72*K72</f>
        <v>67686111.299999997</v>
      </c>
      <c r="F72" s="91" t="s">
        <v>159</v>
      </c>
      <c r="G72" s="91">
        <v>0.1</v>
      </c>
      <c r="H72" s="92">
        <v>0.14779999999999999</v>
      </c>
      <c r="I72" s="92">
        <v>0.14360000000000001</v>
      </c>
      <c r="J72" s="93">
        <f>I72</f>
        <v>0.14360000000000001</v>
      </c>
      <c r="K72" s="93">
        <f>J72</f>
        <v>0.14360000000000001</v>
      </c>
      <c r="L72" s="46">
        <f>I72-H72</f>
        <v>-4.1999999999999815E-3</v>
      </c>
      <c r="M72" s="46">
        <f>((I72-H72)/H72)*100</f>
        <v>-2.8416779431664287</v>
      </c>
      <c r="N72" s="47">
        <v>2875</v>
      </c>
      <c r="O72" s="95">
        <v>412.78</v>
      </c>
      <c r="P72" s="96">
        <f>(R72)/J72</f>
        <v>2.6406685236768798E-2</v>
      </c>
      <c r="Q72" s="49">
        <f>J72/G72-1</f>
        <v>0.43599999999999994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8"/>
      <c r="N73" s="61">
        <f>SUM(N71:N72)</f>
        <v>13744</v>
      </c>
      <c r="O73" s="62">
        <f>SUM(O71:O72)</f>
        <v>3999.55</v>
      </c>
      <c r="P73" s="89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0" t="s">
        <v>164</v>
      </c>
      <c r="C75" s="91">
        <v>20819695</v>
      </c>
      <c r="D75" s="38">
        <f>C75*J75</f>
        <v>2321395.9925000002</v>
      </c>
      <c r="E75" s="39">
        <f>C75*K75</f>
        <v>2321395.9925000002</v>
      </c>
      <c r="F75" s="91" t="s">
        <v>137</v>
      </c>
      <c r="G75" s="91">
        <v>0.1394</v>
      </c>
      <c r="H75" s="92">
        <v>0.11119999999999999</v>
      </c>
      <c r="I75" s="92">
        <v>0.1115</v>
      </c>
      <c r="J75" s="93">
        <f>I75</f>
        <v>0.1115</v>
      </c>
      <c r="K75" s="93">
        <f>J75</f>
        <v>0.1115</v>
      </c>
      <c r="L75" s="46">
        <f>I75-H75</f>
        <v>3.0000000000000859E-4</v>
      </c>
      <c r="M75" s="46">
        <f>((I75-H75)/H75)*100</f>
        <v>0.26978417266187826</v>
      </c>
      <c r="N75" s="94">
        <v>9728</v>
      </c>
      <c r="O75" s="95">
        <v>1084.27</v>
      </c>
      <c r="P75" s="71">
        <f>(R75)/J75</f>
        <v>0</v>
      </c>
      <c r="Q75" s="49">
        <f>J75/G75-1</f>
        <v>-0.20014347202295546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8"/>
      <c r="N76" s="61"/>
      <c r="O76" s="62"/>
      <c r="P76" s="89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134547.60951701345</v>
      </c>
      <c r="E78" s="39">
        <f>C78*K78</f>
        <v>113729.03653968254</v>
      </c>
      <c r="F78" s="40" t="s">
        <v>137</v>
      </c>
      <c r="G78" s="70">
        <v>0.105</v>
      </c>
      <c r="H78" s="42">
        <v>0.113</v>
      </c>
      <c r="I78" s="42">
        <v>0.113</v>
      </c>
      <c r="J78" s="44">
        <f>I78/$J$5</f>
        <v>4.2439720573875161E-3</v>
      </c>
      <c r="K78" s="45">
        <f>I78/$K$4</f>
        <v>3.5873015873015873E-3</v>
      </c>
      <c r="L78" s="46">
        <f>I78-H78</f>
        <v>0</v>
      </c>
      <c r="M78" s="97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7.6190476190476364E-2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409110.04882445728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3.0045819875309846E-3</v>
      </c>
      <c r="K79" s="45">
        <f>I79/$K$4</f>
        <v>2.5396825396825397E-3</v>
      </c>
      <c r="L79" s="46">
        <f>I79-H79</f>
        <v>0</v>
      </c>
      <c r="M79" s="97">
        <f>((I79-H79)/H79)*100</f>
        <v>0</v>
      </c>
      <c r="N79" s="37">
        <v>8500</v>
      </c>
      <c r="O79" s="37">
        <v>680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6677853</v>
      </c>
      <c r="D80" s="38">
        <f>C80*J80</f>
        <v>32604.254863667091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4.88244572973785E-3</v>
      </c>
      <c r="K80" s="45">
        <f>I80/$K$4</f>
        <v>4.1269841269841274E-3</v>
      </c>
      <c r="L80" s="46">
        <f>I80-H80</f>
        <v>0</v>
      </c>
      <c r="M80" s="97">
        <f>((I80-H80)/H80)*100</f>
        <v>0</v>
      </c>
      <c r="N80" s="37">
        <v>200</v>
      </c>
      <c r="O80" s="37">
        <v>26</v>
      </c>
      <c r="P80" s="40">
        <v>0</v>
      </c>
      <c r="Q80" s="49">
        <f>I80/G80-1</f>
        <v>1.1487603305785123</v>
      </c>
    </row>
    <row r="81" spans="1:243" x14ac:dyDescent="0.25">
      <c r="A81" s="35" t="s">
        <v>172</v>
      </c>
      <c r="B81" s="36" t="s">
        <v>173</v>
      </c>
      <c r="C81" s="37">
        <v>494417400</v>
      </c>
      <c r="D81" s="38">
        <f>C81*J81</f>
        <v>31567249.305190414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6.3847367235033425E-2</v>
      </c>
      <c r="K81" s="45">
        <f>I81/$K$4</f>
        <v>5.3968253968253964E-2</v>
      </c>
      <c r="L81" s="46">
        <f>I81-H81</f>
        <v>0</v>
      </c>
      <c r="M81" s="97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8700</v>
      </c>
      <c r="O82" s="62">
        <f>SUM(O78:O81)</f>
        <v>706</v>
      </c>
      <c r="P82" s="79"/>
      <c r="Q82" s="63"/>
      <c r="V82" s="98"/>
      <c r="W82" s="98"/>
      <c r="DU82" s="99"/>
      <c r="DV82" s="99"/>
      <c r="DW82" s="100"/>
      <c r="DX82" s="101"/>
      <c r="DY82" s="101"/>
      <c r="DZ82" s="102"/>
      <c r="EA82" s="102"/>
      <c r="EB82" s="103"/>
      <c r="EC82" s="103"/>
      <c r="ED82" s="104"/>
      <c r="EE82" s="104"/>
      <c r="EF82" s="102"/>
      <c r="EG82" s="105"/>
      <c r="EH82" s="106"/>
      <c r="EI82" s="100"/>
      <c r="EJ82" s="99"/>
      <c r="EK82" s="99"/>
      <c r="EL82" s="100"/>
      <c r="EM82" s="101"/>
      <c r="EN82" s="101"/>
      <c r="EO82" s="102"/>
      <c r="EP82" s="102"/>
      <c r="EQ82" s="103"/>
      <c r="ER82" s="103"/>
      <c r="ES82" s="104"/>
      <c r="ET82" s="104"/>
      <c r="EU82" s="102"/>
      <c r="EV82" s="105"/>
      <c r="EW82" s="106"/>
      <c r="EX82" s="100"/>
      <c r="EY82" s="99"/>
      <c r="EZ82" s="99"/>
      <c r="FA82" s="100"/>
      <c r="FB82" s="101"/>
      <c r="FC82" s="101"/>
      <c r="FD82" s="102"/>
      <c r="FE82" s="102"/>
      <c r="FF82" s="103"/>
      <c r="FG82" s="103"/>
      <c r="FH82" s="104"/>
      <c r="FI82" s="104"/>
      <c r="FJ82" s="102"/>
      <c r="FK82" s="105"/>
      <c r="FL82" s="106"/>
      <c r="FM82" s="100"/>
      <c r="FN82" s="99"/>
      <c r="FO82" s="99"/>
      <c r="FP82" s="100"/>
      <c r="FQ82" s="101"/>
      <c r="FR82" s="101"/>
      <c r="FS82" s="102"/>
      <c r="FT82" s="102"/>
      <c r="FU82" s="103"/>
      <c r="FV82" s="103"/>
      <c r="FW82" s="104"/>
      <c r="FX82" s="104"/>
      <c r="FY82" s="102"/>
      <c r="FZ82" s="105"/>
      <c r="GA82" s="106"/>
      <c r="GB82" s="100"/>
      <c r="GC82" s="99"/>
      <c r="GD82" s="99"/>
      <c r="GE82" s="100"/>
      <c r="GF82" s="101"/>
      <c r="GG82" s="101"/>
      <c r="GH82" s="102"/>
      <c r="GI82" s="102"/>
      <c r="GJ82" s="103"/>
      <c r="GK82" s="103"/>
      <c r="GL82" s="104"/>
      <c r="GM82" s="104"/>
      <c r="GN82" s="102"/>
      <c r="GO82" s="105"/>
      <c r="GP82" s="106"/>
      <c r="GQ82" s="100"/>
      <c r="GR82" s="99"/>
      <c r="GS82" s="99"/>
      <c r="GT82" s="100"/>
      <c r="GU82" s="101"/>
      <c r="GV82" s="101"/>
      <c r="GW82" s="102"/>
      <c r="GX82" s="102"/>
      <c r="GY82" s="103"/>
      <c r="GZ82" s="103"/>
      <c r="HA82" s="104"/>
      <c r="HB82" s="104"/>
      <c r="HC82" s="102"/>
      <c r="HD82" s="105"/>
      <c r="HE82" s="106"/>
      <c r="HF82" s="100"/>
      <c r="HG82" s="99"/>
      <c r="HH82" s="99"/>
      <c r="HI82" s="100"/>
      <c r="HJ82" s="101"/>
      <c r="HK82" s="101"/>
      <c r="HL82" s="102"/>
      <c r="HM82" s="102"/>
      <c r="HN82" s="103"/>
      <c r="HO82" s="103"/>
      <c r="HP82" s="104"/>
      <c r="HQ82" s="104"/>
      <c r="HR82" s="102"/>
      <c r="HS82" s="105"/>
      <c r="HT82" s="106"/>
      <c r="HU82" s="100"/>
      <c r="HV82" s="99"/>
      <c r="HW82" s="99"/>
      <c r="HX82" s="100"/>
      <c r="HY82" s="101"/>
      <c r="HZ82" s="101"/>
      <c r="IA82" s="102"/>
      <c r="IB82" s="102"/>
      <c r="IC82" s="103"/>
      <c r="ID82" s="103"/>
      <c r="IE82" s="104"/>
      <c r="IF82" s="104"/>
      <c r="IG82" s="102"/>
      <c r="IH82" s="105"/>
      <c r="II82" s="106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27424576.681814764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7.4457297378502207E-2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75">
        <v>0</v>
      </c>
      <c r="O84" s="107">
        <v>0</v>
      </c>
      <c r="P84" s="51">
        <f>(R84)/J84</f>
        <v>0</v>
      </c>
      <c r="Q84" s="49">
        <f>I84/G84-1</f>
        <v>0.52499999999999991</v>
      </c>
      <c r="R84" s="52"/>
    </row>
    <row r="85" spans="1:243" s="108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76402400.155674905</v>
      </c>
      <c r="E85" s="39">
        <f>C85*K85</f>
        <v>64580644.652222231</v>
      </c>
      <c r="F85" s="40" t="s">
        <v>177</v>
      </c>
      <c r="G85" s="40">
        <v>1.44347</v>
      </c>
      <c r="H85" s="42">
        <v>1.085394</v>
      </c>
      <c r="I85" s="42">
        <v>1.1049290000000001</v>
      </c>
      <c r="J85" s="44">
        <f>I85/$J$5</f>
        <v>4.1498122136257795E-2</v>
      </c>
      <c r="K85" s="45">
        <f>I85/$K$4</f>
        <v>3.5077111111111114E-2</v>
      </c>
      <c r="L85" s="46">
        <f>I85-H85</f>
        <v>1.953500000000008E-2</v>
      </c>
      <c r="M85" s="46">
        <f>((I85-H85)/H85*100)</f>
        <v>1.7998072589308658</v>
      </c>
      <c r="N85" s="107">
        <v>334967</v>
      </c>
      <c r="O85" s="107">
        <v>370132.43</v>
      </c>
      <c r="P85" s="48">
        <f>(R85)/J85</f>
        <v>5.2436107659406164E-2</v>
      </c>
      <c r="Q85" s="49">
        <f>I85/G85-1</f>
        <v>-0.23453275786819261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0"/>
      <c r="B86" s="81"/>
      <c r="C86" s="82"/>
      <c r="D86" s="109"/>
      <c r="E86" s="83"/>
      <c r="F86" s="82"/>
      <c r="G86" s="82"/>
      <c r="H86" s="84"/>
      <c r="I86" s="84"/>
      <c r="J86" s="84"/>
      <c r="K86" s="84"/>
      <c r="L86" s="85"/>
      <c r="M86" s="85"/>
      <c r="N86" s="85"/>
      <c r="O86" s="85"/>
      <c r="P86" s="85"/>
      <c r="Q86" s="88"/>
    </row>
    <row r="87" spans="1:243" ht="12.6" thickBot="1" x14ac:dyDescent="0.3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15" t="s">
        <v>182</v>
      </c>
      <c r="K88" s="116"/>
      <c r="L88" s="117"/>
      <c r="M88" s="115" t="s">
        <v>183</v>
      </c>
      <c r="N88" s="116"/>
      <c r="O88" s="117"/>
    </row>
    <row r="89" spans="1:243" ht="15" customHeight="1" x14ac:dyDescent="0.25">
      <c r="A89" s="35" t="s">
        <v>105</v>
      </c>
      <c r="B89" s="118">
        <v>6.6391000000000006E-2</v>
      </c>
      <c r="D89" s="118">
        <v>14.46724137931036</v>
      </c>
      <c r="E89" s="35" t="s">
        <v>79</v>
      </c>
      <c r="F89" s="119">
        <v>1</v>
      </c>
      <c r="H89" s="120">
        <v>-4.4502305138188882</v>
      </c>
      <c r="J89" s="35" t="s">
        <v>125</v>
      </c>
      <c r="K89" s="51">
        <v>1.9199999999999998E-2</v>
      </c>
      <c r="L89" s="121">
        <v>6.6666666666666652</v>
      </c>
      <c r="M89" s="59" t="s">
        <v>146</v>
      </c>
      <c r="N89" s="119">
        <v>0.21959999999999999</v>
      </c>
      <c r="O89" s="120">
        <v>-4.5217391304347911</v>
      </c>
    </row>
    <row r="90" spans="1:243" ht="15" customHeight="1" x14ac:dyDescent="0.25">
      <c r="A90" s="35" t="s">
        <v>115</v>
      </c>
      <c r="B90" s="118">
        <v>2.5196299999999998</v>
      </c>
      <c r="D90" s="118">
        <v>10.027510917030558</v>
      </c>
      <c r="E90" s="35" t="s">
        <v>97</v>
      </c>
      <c r="F90" s="119">
        <v>4.5</v>
      </c>
      <c r="H90" s="120">
        <v>-2.6275206218682579</v>
      </c>
      <c r="J90" s="35" t="s">
        <v>119</v>
      </c>
      <c r="K90" s="51">
        <v>0.1459</v>
      </c>
      <c r="L90" s="121">
        <v>4.2142857142857055</v>
      </c>
      <c r="M90" s="35" t="s">
        <v>138</v>
      </c>
      <c r="N90" s="119">
        <v>0.95320000000000005</v>
      </c>
      <c r="O90" s="120">
        <v>-2.8536485935588987</v>
      </c>
    </row>
    <row r="91" spans="1:243" ht="15" customHeight="1" x14ac:dyDescent="0.25">
      <c r="A91" s="35" t="s">
        <v>32</v>
      </c>
      <c r="B91" s="118">
        <v>16.5</v>
      </c>
      <c r="C91" s="118"/>
      <c r="D91" s="118">
        <v>10</v>
      </c>
      <c r="E91" s="35" t="s">
        <v>113</v>
      </c>
      <c r="F91" s="119">
        <v>0.94950000000000001</v>
      </c>
      <c r="H91" s="120">
        <v>-5.2631578947362631E-2</v>
      </c>
      <c r="J91" s="35" t="s">
        <v>133</v>
      </c>
      <c r="K91" s="51">
        <v>0.02</v>
      </c>
      <c r="L91" s="121">
        <v>2.0408163265306176</v>
      </c>
      <c r="M91" s="35" t="s">
        <v>123</v>
      </c>
      <c r="N91" s="119">
        <v>0.2213</v>
      </c>
      <c r="O91" s="120">
        <v>-2.8533801580333651</v>
      </c>
    </row>
    <row r="92" spans="1:243" ht="15" customHeight="1" x14ac:dyDescent="0.25">
      <c r="A92" s="35" t="s">
        <v>95</v>
      </c>
      <c r="B92" s="118">
        <v>3.7999999999999999E-2</v>
      </c>
      <c r="C92" s="118"/>
      <c r="D92" s="118">
        <v>2.7027027027026858</v>
      </c>
      <c r="E92" s="35" t="s">
        <v>93</v>
      </c>
      <c r="F92" s="119">
        <v>5.64</v>
      </c>
      <c r="H92" s="120">
        <v>-6.1521037624199595E-3</v>
      </c>
      <c r="J92" s="35" t="s">
        <v>127</v>
      </c>
      <c r="K92" s="51">
        <v>0.14099999999999999</v>
      </c>
      <c r="L92" s="121">
        <v>1.6582552271088655</v>
      </c>
      <c r="M92" s="35" t="s">
        <v>150</v>
      </c>
      <c r="N92" s="119">
        <v>0.11849999999999999</v>
      </c>
      <c r="O92" s="120">
        <v>-1.0851419031719611</v>
      </c>
    </row>
    <row r="93" spans="1:243" ht="15" customHeight="1" x14ac:dyDescent="0.25">
      <c r="A93" s="35" t="s">
        <v>99</v>
      </c>
      <c r="B93" s="118">
        <v>0.30254799999999998</v>
      </c>
      <c r="C93" s="118"/>
      <c r="D93" s="118">
        <v>1.7361332952233546</v>
      </c>
      <c r="E93" s="35" t="s">
        <v>37</v>
      </c>
      <c r="F93" s="119">
        <v>0.22</v>
      </c>
      <c r="G93" s="119"/>
      <c r="H93" s="120">
        <v>0</v>
      </c>
      <c r="J93" s="35" t="s">
        <v>129</v>
      </c>
      <c r="K93" s="51">
        <v>1.4390000000000001</v>
      </c>
      <c r="L93" s="121">
        <v>1.2595876433748523</v>
      </c>
      <c r="M93" s="35" t="s">
        <v>144</v>
      </c>
      <c r="N93" s="119">
        <v>0.71779999999999999</v>
      </c>
      <c r="O93" s="120">
        <v>-0.49902966454117648</v>
      </c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/RQ+bjM/ZR7cETqtTWQ2y7YcHqZKPDtDVZdJofHdA0XSmpvGTUYBUKyFyWCDydYOx3U4mBmAPIeTQ2yo3ZJKXQ==" saltValue="veehgCm84s+evWqYVpUosw==" spinCount="100000" sheet="1" objects="1" scenarios="1"/>
  <mergeCells count="10">
    <mergeCell ref="A77:Q77"/>
    <mergeCell ref="A83:Q83"/>
    <mergeCell ref="A88:D88"/>
    <mergeCell ref="E88:H88"/>
    <mergeCell ref="L5:M5"/>
    <mergeCell ref="A6:Q6"/>
    <mergeCell ref="A49:Q49"/>
    <mergeCell ref="A67:Q67"/>
    <mergeCell ref="A70:Q70"/>
    <mergeCell ref="A74:Q74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Nelson Mrewa</cp:lastModifiedBy>
  <dcterms:created xsi:type="dcterms:W3CDTF">2026-08-20T13:28:35Z</dcterms:created>
  <dcterms:modified xsi:type="dcterms:W3CDTF">2026-08-20T13:39:32Z</dcterms:modified>
</cp:coreProperties>
</file>