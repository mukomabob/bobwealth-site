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3.07.26/"/>
    </mc:Choice>
  </mc:AlternateContent>
  <xr:revisionPtr revIDLastSave="28" documentId="8_{3372F11A-FE37-4796-A05B-C0502F0B4270}" xr6:coauthVersionLast="47" xr6:coauthVersionMax="47" xr10:uidLastSave="{26785956-CEDA-4CBD-9764-42F8153981C7}"/>
  <bookViews>
    <workbookView xWindow="-108" yWindow="-108" windowWidth="23256" windowHeight="12456" xr2:uid="{6EFD4FBE-0605-457D-AFA2-936DE0773545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" i="1" l="1"/>
  <c r="Q22" i="1" s="1"/>
  <c r="I39" i="1"/>
  <c r="Q39" i="1" s="1"/>
  <c r="O85" i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/>
  <c r="Q78" i="1"/>
  <c r="M78" i="1"/>
  <c r="L78" i="1"/>
  <c r="K78" i="1"/>
  <c r="J78" i="1"/>
  <c r="D78" i="1" s="1"/>
  <c r="E78" i="1"/>
  <c r="Q77" i="1"/>
  <c r="M77" i="1"/>
  <c r="L77" i="1"/>
  <c r="K77" i="1"/>
  <c r="J77" i="1"/>
  <c r="E77" i="1"/>
  <c r="D77" i="1"/>
  <c r="M74" i="1"/>
  <c r="L74" i="1"/>
  <c r="J74" i="1"/>
  <c r="K74" i="1" s="1"/>
  <c r="E74" i="1" s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D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D57" i="1" s="1"/>
  <c r="M56" i="1"/>
  <c r="L56" i="1"/>
  <c r="J56" i="1"/>
  <c r="D56" i="1" s="1"/>
  <c r="M55" i="1"/>
  <c r="L55" i="1"/>
  <c r="J55" i="1"/>
  <c r="D55" i="1" s="1"/>
  <c r="M54" i="1"/>
  <c r="L54" i="1"/>
  <c r="J54" i="1"/>
  <c r="D54" i="1" s="1"/>
  <c r="M53" i="1"/>
  <c r="L53" i="1"/>
  <c r="J53" i="1"/>
  <c r="Q53" i="1" s="1"/>
  <c r="M52" i="1"/>
  <c r="L52" i="1"/>
  <c r="J52" i="1"/>
  <c r="P52" i="1" s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J45" i="1"/>
  <c r="P45" i="1" s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1" i="1"/>
  <c r="M21" i="1"/>
  <c r="L21" i="1"/>
  <c r="K21" i="1"/>
  <c r="J21" i="1"/>
  <c r="D21" i="1" s="1"/>
  <c r="E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J9" i="1"/>
  <c r="P9" i="1" s="1"/>
  <c r="E9" i="1"/>
  <c r="D9" i="1"/>
  <c r="J39" i="1" l="1"/>
  <c r="D39" i="1" s="1"/>
  <c r="K39" i="1"/>
  <c r="E39" i="1" s="1"/>
  <c r="M39" i="1"/>
  <c r="Q57" i="1"/>
  <c r="D53" i="1"/>
  <c r="P57" i="1"/>
  <c r="D61" i="1"/>
  <c r="D15" i="1"/>
  <c r="L39" i="1"/>
  <c r="J22" i="1"/>
  <c r="D22" i="1" s="1"/>
  <c r="K22" i="1"/>
  <c r="E22" i="1" s="1"/>
  <c r="L22" i="1"/>
  <c r="M22" i="1"/>
  <c r="P44" i="1"/>
  <c r="D40" i="1"/>
  <c r="D42" i="1"/>
  <c r="P27" i="1"/>
  <c r="P33" i="1"/>
  <c r="P21" i="1"/>
  <c r="P17" i="1"/>
  <c r="P19" i="1"/>
  <c r="P13" i="1"/>
  <c r="D46" i="1"/>
  <c r="D12" i="1"/>
  <c r="D14" i="1"/>
  <c r="D41" i="1"/>
  <c r="P55" i="1"/>
  <c r="P63" i="1"/>
  <c r="Q55" i="1"/>
  <c r="Q63" i="1"/>
  <c r="Q74" i="1"/>
  <c r="D11" i="1"/>
  <c r="P61" i="1"/>
  <c r="P10" i="1"/>
  <c r="Q71" i="1"/>
  <c r="P36" i="1"/>
  <c r="P51" i="1"/>
  <c r="P59" i="1"/>
  <c r="D25" i="1"/>
  <c r="P74" i="1"/>
  <c r="P71" i="1"/>
  <c r="P16" i="1"/>
  <c r="P24" i="1"/>
  <c r="D37" i="1"/>
  <c r="D52" i="1"/>
  <c r="D74" i="1"/>
  <c r="K70" i="1"/>
  <c r="E70" i="1" s="1"/>
  <c r="P54" i="1"/>
  <c r="P58" i="1"/>
  <c r="P60" i="1"/>
  <c r="P62" i="1"/>
  <c r="P64" i="1"/>
  <c r="Q54" i="1"/>
  <c r="P20" i="1"/>
  <c r="Q52" i="1"/>
  <c r="Q70" i="1"/>
  <c r="D71" i="1"/>
  <c r="P23" i="1"/>
  <c r="P26" i="1"/>
  <c r="P29" i="1"/>
  <c r="Q58" i="1"/>
  <c r="Q62" i="1"/>
  <c r="P56" i="1"/>
  <c r="P32" i="1"/>
  <c r="P35" i="1"/>
  <c r="Q56" i="1"/>
  <c r="Q60" i="1"/>
  <c r="Q64" i="1"/>
  <c r="P70" i="1"/>
</calcChain>
</file>

<file path=xl/sharedStrings.xml><?xml version="1.0" encoding="utf-8"?>
<sst xmlns="http://schemas.openxmlformats.org/spreadsheetml/2006/main" count="272" uniqueCount="183">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</sst>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F71E74DB-04FD-4341-BE66-D548941ACBCB}"/>
    <cellStyle name="Comma 5 2 2 2 2 2 2 2 2" xfId="4" xr:uid="{029DC18A-CC9F-4D33-8320-AC4E411E70B9}"/>
    <cellStyle name="Comma 6 2 2 2" xfId="5" xr:uid="{E0E06469-16BD-4F5B-919F-77F034FC8D57}"/>
    <cellStyle name="Hyperlink 2" xfId="8" xr:uid="{181E45D3-7E55-49A7-B79D-898BFD1577C1}"/>
    <cellStyle name="Normal" xfId="0" builtinId="0"/>
    <cellStyle name="Normal 2" xfId="2" xr:uid="{3E15385B-1154-43E5-BA25-96D49098F987}"/>
    <cellStyle name="Normal 20" xfId="7" xr:uid="{FF375331-F653-421E-BC26-28016518AE6D}"/>
    <cellStyle name="Percent" xfId="1" builtinId="5"/>
    <cellStyle name="Percent 3" xfId="6" xr:uid="{CA020EFC-31B0-4AE9-9568-86D011AC2EC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575271C-484A-420C-A8AA-F0989A75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B91DFB8-DAED-4410-8E80-28EC48006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E4D5-8A95-4325-83E6-57A3280540EC}">
  <dimension ref="A1:II106"/>
  <sheetViews>
    <sheetView tabSelected="1" zoomScale="70" zoomScaleNormal="60" workbookViewId="0">
      <selection activeCell="H32" sqref="H3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26.814699999999998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74263151.786147162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0.58922904227904849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2.5456993670886073E-2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3944877.7601464875</v>
      </c>
      <c r="E10" s="39">
        <f>C10*K10</f>
        <v>3358117.8944444447</v>
      </c>
      <c r="F10" s="40" t="s">
        <v>34</v>
      </c>
      <c r="G10" s="41">
        <v>3.1600000000000003E-2</v>
      </c>
      <c r="H10" s="42">
        <v>6.5000000000000002E-2</v>
      </c>
      <c r="I10" s="43">
        <v>6.5000000000000002E-2</v>
      </c>
      <c r="J10" s="44">
        <f>I10/$J$5</f>
        <v>2.4240435283631743E-3</v>
      </c>
      <c r="K10" s="45">
        <f>I10/$K$4</f>
        <v>2.0634920634920637E-3</v>
      </c>
      <c r="L10" s="46">
        <f>I10-H10</f>
        <v>0</v>
      </c>
      <c r="M10" s="46">
        <f>((I10-H10)/H10)*100</f>
        <v>0</v>
      </c>
      <c r="N10" s="47">
        <v>11200</v>
      </c>
      <c r="O10" s="37">
        <v>728</v>
      </c>
      <c r="P10" s="51">
        <f>(R10)/J10</f>
        <v>0</v>
      </c>
      <c r="Q10" s="49">
        <f>I10/G10-1</f>
        <v>1.0569620253164556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3585161.0862698448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8.2044550190753587E-3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137397060.50489843</v>
      </c>
      <c r="E12" s="39">
        <f>C12*K12</f>
        <v>116960665.34351428</v>
      </c>
      <c r="F12" s="40" t="s">
        <v>34</v>
      </c>
      <c r="G12" s="41">
        <v>97.381</v>
      </c>
      <c r="H12" s="42">
        <v>199.99970000000002</v>
      </c>
      <c r="I12" s="43">
        <v>178.55709999999999</v>
      </c>
      <c r="J12" s="44">
        <f>I12/$J$5</f>
        <v>6.6589258876660935</v>
      </c>
      <c r="K12" s="45">
        <f>I12/$K$4</f>
        <v>5.6684793650793646</v>
      </c>
      <c r="L12" s="46">
        <f>I12-H12</f>
        <v>-21.442600000000027</v>
      </c>
      <c r="M12" s="46">
        <f>((I12-H12)/H12)*100</f>
        <v>-10.721316081974136</v>
      </c>
      <c r="N12" s="47">
        <v>700</v>
      </c>
      <c r="O12" s="37">
        <v>124990</v>
      </c>
      <c r="P12" s="51">
        <f>(R12)/J12</f>
        <v>0</v>
      </c>
      <c r="Q12" s="49">
        <f>I12/G12-1</f>
        <v>0.83359279530914643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6189405.5126479138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0.70856656982923549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733858822.11063337</v>
      </c>
      <c r="E14" s="39">
        <f>C14*K14</f>
        <v>624704893.88095236</v>
      </c>
      <c r="F14" s="40" t="s">
        <v>47</v>
      </c>
      <c r="G14" s="41">
        <v>11.5</v>
      </c>
      <c r="H14" s="42">
        <v>32.746900000000004</v>
      </c>
      <c r="I14" s="43">
        <v>37.65</v>
      </c>
      <c r="J14" s="44">
        <f>I14/$J$5</f>
        <v>1.4040805975826693</v>
      </c>
      <c r="K14" s="45">
        <f>I14/$K$4</f>
        <v>1.1952380952380952</v>
      </c>
      <c r="L14" s="46">
        <f>I14-H14</f>
        <v>4.9030999999999949</v>
      </c>
      <c r="M14" s="46">
        <f>((I14-H14)/H14)*100</f>
        <v>14.972714974547191</v>
      </c>
      <c r="N14" s="47">
        <v>300</v>
      </c>
      <c r="O14" s="37">
        <v>11295</v>
      </c>
      <c r="P14" s="51">
        <f>(R14)/J14</f>
        <v>0</v>
      </c>
      <c r="Q14" s="49">
        <f>I14/G14-1</f>
        <v>2.2739130434782608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23727479.703297071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0.22375786415660068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44058029.043770768</v>
      </c>
      <c r="E16" s="39">
        <f>C16*K16</f>
        <v>37504851.790476188</v>
      </c>
      <c r="F16" s="40" t="s">
        <v>34</v>
      </c>
      <c r="G16" s="41">
        <v>1.9</v>
      </c>
      <c r="H16" s="42">
        <v>3.3</v>
      </c>
      <c r="I16" s="43">
        <v>3.3</v>
      </c>
      <c r="J16" s="44">
        <f>I16/$J$5</f>
        <v>0.12306682528613037</v>
      </c>
      <c r="K16" s="45">
        <f>I16/$K$4</f>
        <v>0.10476190476190475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0.73684210526315796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1534873695.5294297</v>
      </c>
      <c r="E17" s="39">
        <f>C17*K17</f>
        <v>1306577069.317873</v>
      </c>
      <c r="F17" s="40" t="s">
        <v>34</v>
      </c>
      <c r="G17" s="41">
        <v>20.701700000000002</v>
      </c>
      <c r="H17" s="42">
        <v>30.289400000000001</v>
      </c>
      <c r="I17" s="43">
        <v>30.537399999999998</v>
      </c>
      <c r="J17" s="44">
        <f>I17/$J$5</f>
        <v>1.1388305668159628</v>
      </c>
      <c r="K17" s="45">
        <f>I17/$K$4</f>
        <v>0.96944126984126977</v>
      </c>
      <c r="L17" s="46">
        <f>I17-H17</f>
        <v>0.24799999999999756</v>
      </c>
      <c r="M17" s="46">
        <f>((I17-H17)/H17)*100</f>
        <v>0.81876828197322349</v>
      </c>
      <c r="N17" s="47">
        <v>63100</v>
      </c>
      <c r="O17" s="37">
        <v>1926908</v>
      </c>
      <c r="P17" s="48">
        <f>(R17)/J17</f>
        <v>4.3904687366966413E-2</v>
      </c>
      <c r="Q17" s="49">
        <f>I17/G17-1</f>
        <v>0.47511557021887074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225531321.20066294</v>
      </c>
      <c r="E19" s="39">
        <f>C19*K19</f>
        <v>191985864.08252117</v>
      </c>
      <c r="F19" s="40" t="s">
        <v>47</v>
      </c>
      <c r="G19" s="41">
        <v>12.45</v>
      </c>
      <c r="H19" s="42">
        <v>9</v>
      </c>
      <c r="I19" s="43">
        <v>9.0000080000000011</v>
      </c>
      <c r="J19" s="44">
        <f>I19/$J$5</f>
        <v>0.33563709457871993</v>
      </c>
      <c r="K19" s="45">
        <f>I19/$K$4</f>
        <v>0.28571453968253974</v>
      </c>
      <c r="L19" s="46">
        <f>I19-H19</f>
        <v>8.0000000011182237E-6</v>
      </c>
      <c r="M19" s="46">
        <f>((I19-H19)/H19)*100</f>
        <v>8.8888888901313606E-5</v>
      </c>
      <c r="N19" s="47">
        <v>56100</v>
      </c>
      <c r="O19" s="37">
        <v>504900.45</v>
      </c>
      <c r="P19" s="51">
        <f>(R19)/J19</f>
        <v>0</v>
      </c>
      <c r="Q19" s="49">
        <f>I19/G19-1</f>
        <v>-0.27710779116465856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2843451.6776245865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2.6105084151603411E-2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74175264.609284461</v>
      </c>
      <c r="E21" s="39">
        <f>C21*K21</f>
        <v>63142459.299002536</v>
      </c>
      <c r="F21" s="40" t="s">
        <v>47</v>
      </c>
      <c r="G21" s="41">
        <v>2.85</v>
      </c>
      <c r="H21" s="42">
        <v>2.7</v>
      </c>
      <c r="I21" s="43">
        <v>2.881993</v>
      </c>
      <c r="J21" s="44">
        <f>I21/$J$5</f>
        <v>0.10747809969904568</v>
      </c>
      <c r="K21" s="45">
        <f>I21/$K$4</f>
        <v>9.1491841269841265E-2</v>
      </c>
      <c r="L21" s="46">
        <f>I21-H21</f>
        <v>0.18199299999999985</v>
      </c>
      <c r="M21" s="46">
        <f>((I21-H21)/H21)*100</f>
        <v>6.7404814814814751</v>
      </c>
      <c r="N21" s="47">
        <v>13800</v>
      </c>
      <c r="O21" s="37">
        <v>39771.5</v>
      </c>
      <c r="P21" s="51">
        <f>(R21)/J21</f>
        <v>0</v>
      </c>
      <c r="Q21" s="49">
        <f>I21/G21-1</f>
        <v>1.1225614035087705E-2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7126328.4079255033</v>
      </c>
      <c r="E22" s="39">
        <f>C22*K22</f>
        <v>6066360.5828571431</v>
      </c>
      <c r="F22" s="40" t="s">
        <v>66</v>
      </c>
      <c r="G22" s="41">
        <v>0.88420599999999994</v>
      </c>
      <c r="H22" s="42">
        <v>0.99</v>
      </c>
      <c r="I22" s="43">
        <f>H22</f>
        <v>0.99</v>
      </c>
      <c r="J22" s="44">
        <f>I22/$J$5</f>
        <v>3.6920047585839111E-2</v>
      </c>
      <c r="K22" s="45">
        <f>I22/$K$4</f>
        <v>3.1428571428571431E-2</v>
      </c>
      <c r="L22" s="46">
        <f>I22-H22</f>
        <v>0</v>
      </c>
      <c r="M22" s="46">
        <f>((I22-H22)/H22)*100</f>
        <v>0</v>
      </c>
      <c r="N22" s="53" t="s">
        <v>67</v>
      </c>
      <c r="O22" s="53" t="s">
        <v>67</v>
      </c>
      <c r="P22" s="53" t="s">
        <v>67</v>
      </c>
      <c r="Q22" s="49">
        <f>I22/G22-1</f>
        <v>0.11964858867729933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2241230.5853132792</v>
      </c>
      <c r="E23" s="39">
        <f>C23*K23</f>
        <v>1907870.6595555553</v>
      </c>
      <c r="F23" s="40" t="s">
        <v>44</v>
      </c>
      <c r="G23" s="41">
        <v>0.1</v>
      </c>
      <c r="H23" s="42">
        <v>0.11199999999999999</v>
      </c>
      <c r="I23" s="43">
        <v>0.11199999999999999</v>
      </c>
      <c r="J23" s="44">
        <f>I23/$J$5</f>
        <v>4.1768134642565452E-3</v>
      </c>
      <c r="K23" s="45">
        <f>I23/$K$4</f>
        <v>3.5555555555555553E-3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0.11999999999999988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64442883.911063708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3">
        <v>8.9525000000000006</v>
      </c>
      <c r="J24" s="44">
        <f>I24/$J$5</f>
        <v>0.33386537981032793</v>
      </c>
      <c r="K24" s="45">
        <f>I24/$K$4</f>
        <v>0.28420634920634924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9.5942765406672237E-2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110010436.35513358</v>
      </c>
      <c r="E25" s="39">
        <f>C25*K25</f>
        <v>93647518.975619063</v>
      </c>
      <c r="F25" s="40" t="s">
        <v>66</v>
      </c>
      <c r="G25" s="41">
        <v>1.6675</v>
      </c>
      <c r="H25" s="42">
        <v>1.6875</v>
      </c>
      <c r="I25" s="43">
        <v>1.7480000000000002</v>
      </c>
      <c r="J25" s="44">
        <f>I25/$J$5</f>
        <v>6.5188124424289673E-2</v>
      </c>
      <c r="K25" s="45">
        <f>I25/$K$4</f>
        <v>5.5492063492063502E-2</v>
      </c>
      <c r="L25" s="46">
        <f>I25-H25</f>
        <v>6.050000000000022E-2</v>
      </c>
      <c r="M25" s="46">
        <f>((I25-H25)/H25)*100</f>
        <v>3.5851851851851984</v>
      </c>
      <c r="N25" s="47">
        <v>103200</v>
      </c>
      <c r="O25" s="37">
        <v>180393.60000000001</v>
      </c>
      <c r="P25" s="51">
        <f>(R25)/J25</f>
        <v>0</v>
      </c>
      <c r="Q25" s="49">
        <f>I25/G25-1</f>
        <v>4.8275862068965614E-2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28567984.814299621</v>
      </c>
      <c r="E26" s="39">
        <f>C26*K26</f>
        <v>24318791.822222222</v>
      </c>
      <c r="F26" s="40" t="s">
        <v>44</v>
      </c>
      <c r="G26" s="41">
        <v>1.7994999999999999</v>
      </c>
      <c r="H26" s="42">
        <v>3.3489999999999998</v>
      </c>
      <c r="I26" s="43">
        <v>3.2</v>
      </c>
      <c r="J26" s="44">
        <f>I26/$J$5</f>
        <v>0.11933752755018703</v>
      </c>
      <c r="K26" s="45">
        <f>I26/$K$4</f>
        <v>0.10158730158730159</v>
      </c>
      <c r="L26" s="46">
        <f>I26-H26</f>
        <v>-0.14899999999999958</v>
      </c>
      <c r="M26" s="46">
        <f>((I26-H26)/H26)*100</f>
        <v>-4.449089280382192</v>
      </c>
      <c r="N26" s="47">
        <v>200</v>
      </c>
      <c r="O26" s="37">
        <v>640</v>
      </c>
      <c r="P26" s="51">
        <f>(R26)/J26</f>
        <v>0</v>
      </c>
      <c r="Q26" s="49">
        <f>I26/G26-1</f>
        <v>0.77827174215059758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26269715.407966528</v>
      </c>
      <c r="E27" s="39">
        <f>C27*K27</f>
        <v>22362366.277777776</v>
      </c>
      <c r="F27" s="40" t="s">
        <v>34</v>
      </c>
      <c r="G27" s="41">
        <v>3.1361369999999997</v>
      </c>
      <c r="H27" s="42">
        <v>2.75</v>
      </c>
      <c r="I27" s="43">
        <v>2.75</v>
      </c>
      <c r="J27" s="44">
        <f>I27/$J$5</f>
        <v>0.10255568773844198</v>
      </c>
      <c r="K27" s="45">
        <f>I27/$K$4</f>
        <v>8.7301587301587297E-2</v>
      </c>
      <c r="L27" s="46">
        <f>I27-H27</f>
        <v>0</v>
      </c>
      <c r="M27" s="46">
        <f>((I27-H27)/H27)*100</f>
        <v>0</v>
      </c>
      <c r="N27" s="47">
        <v>0</v>
      </c>
      <c r="O27" s="37">
        <v>0</v>
      </c>
      <c r="P27" s="51">
        <f>(R27)/J27</f>
        <v>0</v>
      </c>
      <c r="Q27" s="49">
        <f>I27/G27-1</f>
        <v>-0.12312504205013997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21135275.641718909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2.7969733019575085E-2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3100</v>
      </c>
      <c r="O28" s="37">
        <v>2325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93796531.782939956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0.20884067321282729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2200</v>
      </c>
      <c r="O29" s="37">
        <v>12320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86</v>
      </c>
      <c r="O31" s="53" t="s">
        <v>86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12840822.673757304</v>
      </c>
      <c r="E32" s="39">
        <f>C32*K32</f>
        <v>10930882.785714285</v>
      </c>
      <c r="F32" s="40" t="s">
        <v>39</v>
      </c>
      <c r="G32" s="41">
        <v>1.4</v>
      </c>
      <c r="H32" s="42">
        <v>1.3</v>
      </c>
      <c r="I32" s="43">
        <v>1.325</v>
      </c>
      <c r="J32" s="44">
        <f>I32/$J$5</f>
        <v>4.9413195001249313E-2</v>
      </c>
      <c r="K32" s="45">
        <f>I32/$K$4</f>
        <v>4.206349206349206E-2</v>
      </c>
      <c r="L32" s="46">
        <f>I32-H32</f>
        <v>2.4999999999999911E-2</v>
      </c>
      <c r="M32" s="46">
        <f>((I32-H32)/H32)*100</f>
        <v>1.9230769230769162</v>
      </c>
      <c r="N32" s="47">
        <v>600</v>
      </c>
      <c r="O32" s="37">
        <v>795</v>
      </c>
      <c r="P32" s="51">
        <f>(R32)/J32</f>
        <v>0</v>
      </c>
      <c r="Q32" s="49">
        <f>I32/G32-1</f>
        <v>-5.3571428571428492E-2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3868215.9226096133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3.1699030755518429E-2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116330573.48208261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4.6616221699291811E-2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38759383.110756412</v>
      </c>
      <c r="E35" s="39">
        <f>C35*K35</f>
        <v>32994324.771428566</v>
      </c>
      <c r="F35" s="40" t="s">
        <v>34</v>
      </c>
      <c r="G35" s="41">
        <v>3.6056249999999999</v>
      </c>
      <c r="H35" s="42">
        <v>4.05</v>
      </c>
      <c r="I35" s="43">
        <v>4.0999999999999996</v>
      </c>
      <c r="J35" s="44">
        <f>I35/$J$5</f>
        <v>0.15290120717367711</v>
      </c>
      <c r="K35" s="45">
        <f>I35/$K$4</f>
        <v>0.13015873015873014</v>
      </c>
      <c r="L35" s="46">
        <f>I35-H35</f>
        <v>4.9999999999999822E-2</v>
      </c>
      <c r="M35" s="46">
        <f>((I35-H35)/H35)*100</f>
        <v>1.2345679012345634</v>
      </c>
      <c r="N35" s="47">
        <v>15200</v>
      </c>
      <c r="O35" s="37">
        <v>62320</v>
      </c>
      <c r="P35" s="51">
        <f>(R35)/J35</f>
        <v>0</v>
      </c>
      <c r="Q35" s="49">
        <f>I35/G35-1</f>
        <v>0.13711215115271269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7033580.9179293448</v>
      </c>
      <c r="E36" s="39">
        <f>C36*K36</f>
        <v>5987408.3250793647</v>
      </c>
      <c r="F36" s="40" t="s">
        <v>34</v>
      </c>
      <c r="G36" s="41">
        <v>2.5099999999999997E-2</v>
      </c>
      <c r="H36" s="42">
        <v>4.1105000000000003E-2</v>
      </c>
      <c r="I36" s="43">
        <v>0.04</v>
      </c>
      <c r="J36" s="44">
        <f>I36/$J$5</f>
        <v>1.4917190943773378E-3</v>
      </c>
      <c r="K36" s="45">
        <f>I36/$K$4</f>
        <v>1.2698412698412698E-3</v>
      </c>
      <c r="L36" s="46">
        <f>I36-H36</f>
        <v>-1.1050000000000018E-3</v>
      </c>
      <c r="M36" s="46">
        <f>((I36-H36)/H36)*100</f>
        <v>-2.6882374407006489</v>
      </c>
      <c r="N36" s="47">
        <v>1000</v>
      </c>
      <c r="O36" s="37">
        <v>40</v>
      </c>
      <c r="P36" s="51">
        <f>(R36)/J36</f>
        <v>0</v>
      </c>
      <c r="Q36" s="49">
        <f>I36/G36-1</f>
        <v>0.59362549800796827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68048167.634730205</v>
      </c>
      <c r="E37" s="39">
        <f>C37*K37</f>
        <v>57926704.783333331</v>
      </c>
      <c r="F37" s="40" t="s">
        <v>93</v>
      </c>
      <c r="G37" s="41">
        <v>0.61</v>
      </c>
      <c r="H37" s="42">
        <v>3.5950000000000002</v>
      </c>
      <c r="I37" s="43">
        <v>3.4750000000000001</v>
      </c>
      <c r="J37" s="44">
        <f>I37/$J$5</f>
        <v>0.12959309632403124</v>
      </c>
      <c r="K37" s="45">
        <f>I37/$K$4</f>
        <v>0.11031746031746031</v>
      </c>
      <c r="L37" s="46">
        <f>I37-H37</f>
        <v>-0.12000000000000011</v>
      </c>
      <c r="M37" s="46">
        <f>((I37-H37)/H37)*100</f>
        <v>-3.3379694019471517</v>
      </c>
      <c r="N37" s="47">
        <v>1300</v>
      </c>
      <c r="O37" s="37">
        <v>4517.5</v>
      </c>
      <c r="P37" s="51">
        <f>(R37)/J37</f>
        <v>0</v>
      </c>
      <c r="Q37" s="49">
        <f>I37/G37-1</f>
        <v>4.6967213114754101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30743214.677133739</v>
      </c>
      <c r="E38" s="39">
        <f>C38*K38</f>
        <v>26170478.685807556</v>
      </c>
      <c r="F38" s="40" t="s">
        <v>56</v>
      </c>
      <c r="G38" s="41">
        <v>0.11650199999999999</v>
      </c>
      <c r="H38" s="42">
        <v>0.19500000000000001</v>
      </c>
      <c r="I38" s="43">
        <v>0.196522</v>
      </c>
      <c r="J38" s="44">
        <f>I38/$J$5</f>
        <v>7.3288904966305798E-3</v>
      </c>
      <c r="K38" s="45">
        <f>I38/$K$4</f>
        <v>6.238793650793651E-3</v>
      </c>
      <c r="L38" s="46">
        <f>I38-H38</f>
        <v>1.5219999999999956E-3</v>
      </c>
      <c r="M38" s="46">
        <f>((I38-H38)/H38)*100</f>
        <v>0.78051282051281823</v>
      </c>
      <c r="N38" s="47">
        <v>13800</v>
      </c>
      <c r="O38" s="37">
        <v>2712</v>
      </c>
      <c r="P38" s="51">
        <v>0</v>
      </c>
      <c r="Q38" s="49">
        <f>I38/G38-1</f>
        <v>0.68685516128478485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>C39*J39</f>
        <v>94249322.27004391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3">
        <f>H39</f>
        <v>6.9635580000000008</v>
      </c>
      <c r="J39" s="44">
        <f>I39/$J$5</f>
        <v>0.25969181083510168</v>
      </c>
      <c r="K39" s="45">
        <f>I39/$K$4</f>
        <v>0.22106533333333336</v>
      </c>
      <c r="L39" s="46">
        <f>I39-H39</f>
        <v>0</v>
      </c>
      <c r="M39" s="46">
        <f>((I39-H39)/H39)*100</f>
        <v>0</v>
      </c>
      <c r="N39" s="53" t="s">
        <v>86</v>
      </c>
      <c r="O39" s="53" t="s">
        <v>86</v>
      </c>
      <c r="P39" s="53" t="s">
        <v>86</v>
      </c>
      <c r="Q39" s="49">
        <f>I39/G39-1</f>
        <v>1.6777765814266488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>C40*J40</f>
        <v>19233081.728697319</v>
      </c>
      <c r="E40" s="39">
        <f>C40*K40</f>
        <v>16372359.25811111</v>
      </c>
      <c r="F40" s="40" t="s">
        <v>39</v>
      </c>
      <c r="G40" s="41">
        <v>0.1</v>
      </c>
      <c r="H40" s="42">
        <v>0.1195</v>
      </c>
      <c r="I40" s="43">
        <v>0.1195</v>
      </c>
      <c r="J40" s="44">
        <f>I40/$J$5</f>
        <v>4.4565107944522968E-3</v>
      </c>
      <c r="K40" s="45">
        <f>I40/$K$4</f>
        <v>3.7936507936507935E-3</v>
      </c>
      <c r="L40" s="46">
        <f>I40-H40</f>
        <v>0</v>
      </c>
      <c r="M40" s="46">
        <f>((I40-H40)/H40)*100</f>
        <v>0</v>
      </c>
      <c r="N40" s="47">
        <v>0</v>
      </c>
      <c r="O40" s="37">
        <v>0</v>
      </c>
      <c r="P40" s="51">
        <f>(R40)/J40</f>
        <v>0</v>
      </c>
      <c r="Q40" s="49">
        <f>I40/G40-1</f>
        <v>0.19499999999999984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>C41*J41</f>
        <v>6839601.9061373053</v>
      </c>
      <c r="E41" s="39">
        <f>C41*K41</f>
        <v>5822281.689920635</v>
      </c>
      <c r="F41" s="40" t="s">
        <v>44</v>
      </c>
      <c r="G41" s="41">
        <v>1.7452379999999998</v>
      </c>
      <c r="H41" s="42">
        <v>1.72</v>
      </c>
      <c r="I41" s="43">
        <v>1.7224999999999999</v>
      </c>
      <c r="J41" s="44">
        <f>I41/$J$5</f>
        <v>6.4237153501624109E-2</v>
      </c>
      <c r="K41" s="45">
        <f>I41/$K$4</f>
        <v>5.468253968253968E-2</v>
      </c>
      <c r="L41" s="46">
        <f>I41-H41</f>
        <v>2.4999999999999467E-3</v>
      </c>
      <c r="M41" s="46">
        <f>((I41-H41)/H41)*100</f>
        <v>0.14534883720929923</v>
      </c>
      <c r="N41" s="47">
        <v>300</v>
      </c>
      <c r="O41" s="37">
        <v>516.75</v>
      </c>
      <c r="P41" s="51">
        <f>(R41)/J41</f>
        <v>0</v>
      </c>
      <c r="Q41" s="49">
        <f>I41/G41-1</f>
        <v>-1.3028595526799136E-2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>C42*J42</f>
        <v>3978418.0199666605</v>
      </c>
      <c r="E42" s="39">
        <f>C42*K42</f>
        <v>3386669.3866666667</v>
      </c>
      <c r="F42" s="40" t="s">
        <v>39</v>
      </c>
      <c r="G42" s="41">
        <v>0.03</v>
      </c>
      <c r="H42" s="42">
        <v>0.06</v>
      </c>
      <c r="I42" s="43">
        <v>0.06</v>
      </c>
      <c r="J42" s="44">
        <f>I42/$J$5</f>
        <v>2.237578641566007E-3</v>
      </c>
      <c r="K42" s="45">
        <f>I42/$K$4</f>
        <v>1.9047619047619048E-3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1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>C43*J43</f>
        <v>35933593.551298358</v>
      </c>
      <c r="E43" s="39">
        <f>C43*K43</f>
        <v>30588842.253968254</v>
      </c>
      <c r="F43" s="40" t="s">
        <v>47</v>
      </c>
      <c r="G43" s="41">
        <v>4.5</v>
      </c>
      <c r="H43" s="42">
        <v>5.2</v>
      </c>
      <c r="I43" s="43">
        <v>5.5</v>
      </c>
      <c r="J43" s="44">
        <f>I43/$J$5</f>
        <v>0.20511137547688396</v>
      </c>
      <c r="K43" s="45">
        <f>I43/$K$4</f>
        <v>0.17460317460317459</v>
      </c>
      <c r="L43" s="46">
        <f>I43-H43</f>
        <v>0.29999999999999982</v>
      </c>
      <c r="M43" s="46">
        <f>((I43-H43)/H43)*100</f>
        <v>5.7692307692307656</v>
      </c>
      <c r="N43" s="47">
        <v>900</v>
      </c>
      <c r="O43" s="37">
        <v>4950</v>
      </c>
      <c r="P43" s="51">
        <f>(R43)/J43</f>
        <v>0</v>
      </c>
      <c r="Q43" s="49">
        <f>I43/G43-1</f>
        <v>0.22222222222222232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>C44*J44</f>
        <v>311.02633622602531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6.7127359246980212E-7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>C45*J45</f>
        <v>1507948.9981241631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2.6179670106322279E-3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>C46*J46</f>
        <v>45461402.744301818</v>
      </c>
      <c r="E46" s="39">
        <f>C46*K46</f>
        <v>38699488.132305712</v>
      </c>
      <c r="F46" s="40" t="s">
        <v>47</v>
      </c>
      <c r="G46" s="41">
        <v>0.9998999999999999</v>
      </c>
      <c r="H46" s="42">
        <v>0.7</v>
      </c>
      <c r="I46" s="43">
        <v>0.67045500000000002</v>
      </c>
      <c r="J46" s="44">
        <f>I46/$J$5</f>
        <v>2.5003263135518951E-2</v>
      </c>
      <c r="K46" s="45">
        <f>I46/$K$4</f>
        <v>2.1284285714285714E-2</v>
      </c>
      <c r="L46" s="46">
        <f>I46-H46</f>
        <v>-2.9544999999999932E-2</v>
      </c>
      <c r="M46" s="46">
        <f>((I46-H46)/H46)*100</f>
        <v>-4.2207142857142763</v>
      </c>
      <c r="N46" s="47">
        <v>8800</v>
      </c>
      <c r="O46" s="37">
        <v>5900</v>
      </c>
      <c r="P46" s="51">
        <f>(R46)/J46</f>
        <v>0</v>
      </c>
      <c r="Q46" s="49">
        <f>I46/G46-1</f>
        <v>-0.32947794779477935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>C47*J47</f>
        <v>5904888.7538835043</v>
      </c>
      <c r="E47" s="39">
        <f>C47*K47</f>
        <v>5026597.4751987299</v>
      </c>
      <c r="F47" s="40" t="s">
        <v>47</v>
      </c>
      <c r="G47" s="41">
        <v>1.4503460000000001</v>
      </c>
      <c r="H47" s="42">
        <v>1.5415629999999998</v>
      </c>
      <c r="I47" s="43">
        <v>1.5415629999999998</v>
      </c>
      <c r="J47" s="44">
        <f>I47/$J$5</f>
        <v>5.7489474057140298E-2</v>
      </c>
      <c r="K47" s="45">
        <f>I47/$K$4</f>
        <v>4.8938507936507933E-2</v>
      </c>
      <c r="L47" s="46">
        <f>I47-H47</f>
        <v>0</v>
      </c>
      <c r="M47" s="46">
        <f>((I47-H47)/H47)*100</f>
        <v>0</v>
      </c>
      <c r="N47" s="47">
        <v>0</v>
      </c>
      <c r="O47" s="37">
        <v>0</v>
      </c>
      <c r="P47" s="51">
        <v>0</v>
      </c>
      <c r="Q47" s="49">
        <f>I47/G47-1</f>
        <v>6.2893268227029786E-2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295800</v>
      </c>
      <c r="O48" s="61">
        <f>SUM(O9:O47)</f>
        <v>2886022.8000000003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120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>C51*J51</f>
        <v>73970877.056400001</v>
      </c>
      <c r="E51" s="39">
        <v>0</v>
      </c>
      <c r="F51" s="40" t="s">
        <v>93</v>
      </c>
      <c r="G51" s="70">
        <v>0.1</v>
      </c>
      <c r="H51" s="42">
        <v>0.1457</v>
      </c>
      <c r="I51" s="42">
        <v>0.1333</v>
      </c>
      <c r="J51" s="44">
        <f>I51</f>
        <v>0.1333</v>
      </c>
      <c r="K51" s="39">
        <v>0</v>
      </c>
      <c r="L51" s="46">
        <f>I51-H51</f>
        <v>-1.2399999999999994E-2</v>
      </c>
      <c r="M51" s="46">
        <f>((I51-H51)/H51)*100</f>
        <v>-8.5106382978723367</v>
      </c>
      <c r="N51" s="47">
        <v>2490</v>
      </c>
      <c r="O51" s="37">
        <v>331.9</v>
      </c>
      <c r="P51" s="71">
        <f>(R51)/J51</f>
        <v>0</v>
      </c>
      <c r="Q51" s="49">
        <f>J51/G51-1</f>
        <v>0.33299999999999996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>C52*J52</f>
        <v>55352146.410500005</v>
      </c>
      <c r="E52" s="39">
        <v>0</v>
      </c>
      <c r="F52" s="40" t="s">
        <v>39</v>
      </c>
      <c r="G52" s="70">
        <v>39.9</v>
      </c>
      <c r="H52" s="42">
        <v>52</v>
      </c>
      <c r="I52" s="42">
        <v>52.333300000000001</v>
      </c>
      <c r="J52" s="44">
        <f>I52</f>
        <v>52.333300000000001</v>
      </c>
      <c r="K52" s="39">
        <v>0</v>
      </c>
      <c r="L52" s="46">
        <f>I52-H52</f>
        <v>0.33330000000000126</v>
      </c>
      <c r="M52" s="46">
        <f>((I52-H52)/H52)*100</f>
        <v>0.6409615384615408</v>
      </c>
      <c r="N52" s="47">
        <v>3</v>
      </c>
      <c r="O52" s="37">
        <v>157</v>
      </c>
      <c r="P52" s="72">
        <f>(R52)/J52</f>
        <v>1.0700643758371821E-2</v>
      </c>
      <c r="Q52" s="49">
        <f>J52/G52-1</f>
        <v>0.31161152882205512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>C53*J53</f>
        <v>739662743.7816</v>
      </c>
      <c r="E53" s="39"/>
      <c r="F53" s="40" t="s">
        <v>56</v>
      </c>
      <c r="G53" s="70">
        <v>0.33</v>
      </c>
      <c r="H53" s="42">
        <v>0.2432</v>
      </c>
      <c r="I53" s="42">
        <v>0.2472</v>
      </c>
      <c r="J53" s="44">
        <f>I53</f>
        <v>0.2472</v>
      </c>
      <c r="K53" s="39">
        <v>0</v>
      </c>
      <c r="L53" s="46">
        <f>I53-H53</f>
        <v>4.0000000000000036E-3</v>
      </c>
      <c r="M53" s="46">
        <f>((I53-H53)/H53)*100</f>
        <v>1.6447368421052644</v>
      </c>
      <c r="N53" s="47">
        <v>66032</v>
      </c>
      <c r="O53" s="37">
        <v>16323.66</v>
      </c>
      <c r="P53" s="71">
        <v>0</v>
      </c>
      <c r="Q53" s="49">
        <f>J53/G53-1</f>
        <v>-0.25090909090909097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>C54*J54</f>
        <v>17743461.441300001</v>
      </c>
      <c r="E54" s="39">
        <v>0</v>
      </c>
      <c r="F54" s="40" t="s">
        <v>34</v>
      </c>
      <c r="G54" s="70">
        <v>2.3E-2</v>
      </c>
      <c r="H54" s="42">
        <v>3.4200000000000001E-2</v>
      </c>
      <c r="I54" s="42">
        <v>2.9100000000000001E-2</v>
      </c>
      <c r="J54" s="44">
        <f>I54</f>
        <v>2.9100000000000001E-2</v>
      </c>
      <c r="K54" s="39">
        <v>0</v>
      </c>
      <c r="L54" s="46">
        <f>I54-H54</f>
        <v>-5.1000000000000004E-3</v>
      </c>
      <c r="M54" s="46">
        <f>((I54-H54)/H54)*100</f>
        <v>-14.912280701754385</v>
      </c>
      <c r="N54" s="47">
        <v>7200</v>
      </c>
      <c r="O54" s="37">
        <v>209.18</v>
      </c>
      <c r="P54" s="71">
        <f>(R54)/J54</f>
        <v>0</v>
      </c>
      <c r="Q54" s="49">
        <f>J54/G54-1</f>
        <v>0.26521739130434785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>C55*J55</f>
        <v>312293292.1476</v>
      </c>
      <c r="E55" s="39">
        <v>0</v>
      </c>
      <c r="F55" s="40" t="s">
        <v>47</v>
      </c>
      <c r="G55" s="70">
        <v>9.0200000000000002E-2</v>
      </c>
      <c r="H55" s="42">
        <v>0.1502</v>
      </c>
      <c r="I55" s="42">
        <v>0.1444</v>
      </c>
      <c r="J55" s="44">
        <f>I55</f>
        <v>0.1444</v>
      </c>
      <c r="K55" s="39">
        <v>0</v>
      </c>
      <c r="L55" s="46">
        <f>I55-H55</f>
        <v>-5.7999999999999996E-3</v>
      </c>
      <c r="M55" s="73">
        <f>((I55-H55)/H55)*100</f>
        <v>-3.8615179760319571</v>
      </c>
      <c r="N55" s="47">
        <v>19315</v>
      </c>
      <c r="O55" s="37">
        <v>2789.08</v>
      </c>
      <c r="P55" s="71">
        <f>(R55)/J55</f>
        <v>0</v>
      </c>
      <c r="Q55" s="49">
        <f>J55/G55-1</f>
        <v>0.60088691796008864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>C56*J56</f>
        <v>852889479.80500007</v>
      </c>
      <c r="E56" s="39">
        <v>0</v>
      </c>
      <c r="F56" s="40" t="s">
        <v>34</v>
      </c>
      <c r="G56" s="70">
        <v>0.95750000000000002</v>
      </c>
      <c r="H56" s="42">
        <v>1.4678</v>
      </c>
      <c r="I56" s="42">
        <v>1.4809000000000001</v>
      </c>
      <c r="J56" s="44">
        <f>I56</f>
        <v>1.4809000000000001</v>
      </c>
      <c r="K56" s="39">
        <v>0</v>
      </c>
      <c r="L56" s="46">
        <f>I56-H56</f>
        <v>1.3100000000000112E-2</v>
      </c>
      <c r="M56" s="46">
        <f>((I56-H56)/H56)*100</f>
        <v>0.89249216514512264</v>
      </c>
      <c r="N56" s="47">
        <v>454</v>
      </c>
      <c r="O56" s="37">
        <v>672.33</v>
      </c>
      <c r="P56" s="72">
        <f>(R56)/J56</f>
        <v>3.17374569518536E-2</v>
      </c>
      <c r="Q56" s="49">
        <f>J56/G56-1</f>
        <v>0.54663185378590096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>C57*J57</f>
        <v>21347068.859999999</v>
      </c>
      <c r="E57" s="39">
        <v>0</v>
      </c>
      <c r="F57" s="40" t="s">
        <v>34</v>
      </c>
      <c r="G57" s="70">
        <v>0.1595</v>
      </c>
      <c r="H57" s="42">
        <v>0.13009999999999999</v>
      </c>
      <c r="I57" s="42">
        <v>0.13</v>
      </c>
      <c r="J57" s="44">
        <f>I57</f>
        <v>0.13</v>
      </c>
      <c r="K57" s="39">
        <v>0</v>
      </c>
      <c r="L57" s="46">
        <f>I57-H57</f>
        <v>-9.9999999999988987E-5</v>
      </c>
      <c r="M57" s="46">
        <f>((I57-H57)/H57)*100</f>
        <v>-7.6863950807063028E-2</v>
      </c>
      <c r="N57" s="47">
        <v>1123</v>
      </c>
      <c r="O57" s="37">
        <v>145.99</v>
      </c>
      <c r="P57" s="71">
        <f>(R57)/J57</f>
        <v>0</v>
      </c>
      <c r="Q57" s="49">
        <f>J57/G57-1</f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>C58*J58</f>
        <v>18980675.720000003</v>
      </c>
      <c r="E58" s="39">
        <v>0</v>
      </c>
      <c r="F58" s="40" t="s">
        <v>93</v>
      </c>
      <c r="G58" s="70">
        <v>1.6799999999999999E-2</v>
      </c>
      <c r="H58" s="42">
        <v>0.02</v>
      </c>
      <c r="I58" s="42">
        <v>1.9900000000000001E-2</v>
      </c>
      <c r="J58" s="44">
        <f>I58</f>
        <v>1.9900000000000001E-2</v>
      </c>
      <c r="K58" s="39">
        <v>0</v>
      </c>
      <c r="L58" s="46">
        <f>I58-H58</f>
        <v>-9.9999999999999395E-5</v>
      </c>
      <c r="M58" s="73">
        <f>((I58-H58)/H58)*100</f>
        <v>-0.499999999999997</v>
      </c>
      <c r="N58" s="47">
        <v>114244</v>
      </c>
      <c r="O58" s="37">
        <v>2272.91</v>
      </c>
      <c r="P58" s="71">
        <f>(R58)/J58</f>
        <v>0</v>
      </c>
      <c r="Q58" s="49">
        <f>J58/G58-1</f>
        <v>0.18452380952380976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>C59*J59</f>
        <v>2096549</v>
      </c>
      <c r="E59" s="39">
        <v>0</v>
      </c>
      <c r="F59" s="40" t="s">
        <v>139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72</v>
      </c>
      <c r="O59" s="37">
        <v>936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>C60*J60</f>
        <v>893006328.24919999</v>
      </c>
      <c r="E60" s="39">
        <v>0</v>
      </c>
      <c r="F60" s="40" t="s">
        <v>93</v>
      </c>
      <c r="G60" s="70">
        <v>0.59499999999999997</v>
      </c>
      <c r="H60" s="42">
        <v>1.1321000000000001</v>
      </c>
      <c r="I60" s="42">
        <v>1.1092</v>
      </c>
      <c r="J60" s="44">
        <f>I60</f>
        <v>1.1092</v>
      </c>
      <c r="K60" s="39">
        <v>0</v>
      </c>
      <c r="L60" s="46">
        <f>I60-H60</f>
        <v>-2.2900000000000142E-2</v>
      </c>
      <c r="M60" s="46">
        <f>((I60-H60)/H60)*100</f>
        <v>-2.0227895062273777</v>
      </c>
      <c r="N60" s="47">
        <v>1069</v>
      </c>
      <c r="O60" s="37">
        <v>1185.68</v>
      </c>
      <c r="P60" s="71">
        <f>(R60)/J60</f>
        <v>0</v>
      </c>
      <c r="Q60" s="49">
        <f>J60/G60-1</f>
        <v>0.86420168067226899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>C61*J61</f>
        <v>83428645.760000005</v>
      </c>
      <c r="E61" s="39">
        <v>0</v>
      </c>
      <c r="F61" s="40" t="s">
        <v>34</v>
      </c>
      <c r="G61" s="70">
        <v>0.22600000000000001</v>
      </c>
      <c r="H61" s="42">
        <v>0.32</v>
      </c>
      <c r="I61" s="42">
        <v>0.32</v>
      </c>
      <c r="J61" s="44">
        <f>I61</f>
        <v>0.32</v>
      </c>
      <c r="K61" s="39">
        <v>0</v>
      </c>
      <c r="L61" s="46">
        <f>I61-H61</f>
        <v>0</v>
      </c>
      <c r="M61" s="46">
        <f>((I61-H61)/H61)*100</f>
        <v>0</v>
      </c>
      <c r="N61" s="47">
        <v>0</v>
      </c>
      <c r="O61" s="37">
        <v>0</v>
      </c>
      <c r="P61" s="71">
        <f>(R61)/J61</f>
        <v>0</v>
      </c>
      <c r="Q61" s="49">
        <f>J61/G61-1</f>
        <v>0.41592920353982299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>C62*J62</f>
        <v>430858421.52319998</v>
      </c>
      <c r="E62" s="39">
        <v>0</v>
      </c>
      <c r="F62" s="40" t="s">
        <v>34</v>
      </c>
      <c r="G62" s="70">
        <v>0.49440000000000001</v>
      </c>
      <c r="H62" s="42">
        <v>0.64049999999999996</v>
      </c>
      <c r="I62" s="42">
        <v>0.76639999999999997</v>
      </c>
      <c r="J62" s="44">
        <f>I62</f>
        <v>0.76639999999999997</v>
      </c>
      <c r="K62" s="39">
        <v>0</v>
      </c>
      <c r="L62" s="46">
        <f>I62-H62</f>
        <v>0.12590000000000001</v>
      </c>
      <c r="M62" s="46">
        <f>((I62-H62)/H62)*100</f>
        <v>19.65651834504294</v>
      </c>
      <c r="N62" s="47">
        <v>117910</v>
      </c>
      <c r="O62" s="37">
        <v>90368.34</v>
      </c>
      <c r="P62" s="71">
        <f>(R62)/J62</f>
        <v>0</v>
      </c>
      <c r="Q62" s="49">
        <f>J62/G62-1</f>
        <v>0.55016181229773453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>C64*J64</f>
        <v>52066111.434600003</v>
      </c>
      <c r="E64" s="39">
        <v>0</v>
      </c>
      <c r="F64" s="40" t="s">
        <v>44</v>
      </c>
      <c r="G64" s="70">
        <v>4.2999999999999997E-2</v>
      </c>
      <c r="H64" s="42">
        <v>0.14050000000000001</v>
      </c>
      <c r="I64" s="42">
        <v>0.15110000000000001</v>
      </c>
      <c r="J64" s="44">
        <f>I64</f>
        <v>0.15110000000000001</v>
      </c>
      <c r="K64" s="39">
        <v>0</v>
      </c>
      <c r="L64" s="46">
        <f>I64-H64</f>
        <v>1.0599999999999998E-2</v>
      </c>
      <c r="M64" s="46">
        <f>((I64-H64)/H64)*100</f>
        <v>7.5444839857651225</v>
      </c>
      <c r="N64" s="47">
        <v>5515</v>
      </c>
      <c r="O64" s="37">
        <v>833.11</v>
      </c>
      <c r="P64" s="71">
        <f>(R64)/J64</f>
        <v>0</v>
      </c>
      <c r="Q64" s="49">
        <f>J64/G64-1</f>
        <v>2.5139534883720938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SUM(N51:N64)</f>
        <v>335427</v>
      </c>
      <c r="O65" s="62">
        <f>SUM(O51:O64)</f>
        <v>116225.18000000001</v>
      </c>
      <c r="P65" s="77"/>
      <c r="Q65" s="63"/>
    </row>
    <row r="66" spans="1:20" ht="12.6" hidden="1" x14ac:dyDescent="0.3">
      <c r="A66" s="133" t="s">
        <v>150</v>
      </c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3" t="s">
        <v>154</v>
      </c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6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46010983.886099994</v>
      </c>
      <c r="E70" s="39">
        <f>C70*K70</f>
        <v>46010983.886099994</v>
      </c>
      <c r="F70" s="89" t="s">
        <v>157</v>
      </c>
      <c r="G70" s="89">
        <v>0.24</v>
      </c>
      <c r="H70" s="90">
        <v>0.3795</v>
      </c>
      <c r="I70" s="90">
        <v>0.33029999999999998</v>
      </c>
      <c r="J70" s="91">
        <f>I70</f>
        <v>0.33029999999999998</v>
      </c>
      <c r="K70" s="91">
        <f>J70</f>
        <v>0.33029999999999998</v>
      </c>
      <c r="L70" s="46">
        <f>I70-H70</f>
        <v>-4.9200000000000021E-2</v>
      </c>
      <c r="M70" s="46">
        <f>((I70-H70)/H70)*100</f>
        <v>-12.964426877470361</v>
      </c>
      <c r="N70" s="92">
        <v>450610</v>
      </c>
      <c r="O70" s="93">
        <v>148819.25</v>
      </c>
      <c r="P70" s="71">
        <f>(R70)/J70</f>
        <v>0</v>
      </c>
      <c r="Q70" s="49">
        <f>J70/G70-1</f>
        <v>0.37624999999999997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70655627.325000003</v>
      </c>
      <c r="E71" s="39">
        <f>C71*K71</f>
        <v>70655627.325000003</v>
      </c>
      <c r="F71" s="89" t="s">
        <v>157</v>
      </c>
      <c r="G71" s="89">
        <v>0.1</v>
      </c>
      <c r="H71" s="90">
        <v>0.14849999999999999</v>
      </c>
      <c r="I71" s="90">
        <v>0.14990000000000001</v>
      </c>
      <c r="J71" s="91">
        <f>I71</f>
        <v>0.14990000000000001</v>
      </c>
      <c r="K71" s="91">
        <f>J71</f>
        <v>0.14990000000000001</v>
      </c>
      <c r="L71" s="46">
        <f>I71-H71</f>
        <v>1.4000000000000123E-3</v>
      </c>
      <c r="M71" s="46">
        <f>((I71-H71)/H71)*100</f>
        <v>0.94276094276095124</v>
      </c>
      <c r="N71" s="47">
        <v>55640</v>
      </c>
      <c r="O71" s="93">
        <v>8342.39</v>
      </c>
      <c r="P71" s="94">
        <f>(R71)/J71</f>
        <v>2.5296864576384255E-2</v>
      </c>
      <c r="Q71" s="49">
        <f>J71/G71-1</f>
        <v>0.49899999999999989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506250</v>
      </c>
      <c r="O72" s="62">
        <f>SUM(O70:O71)</f>
        <v>157161.64000000001</v>
      </c>
      <c r="P72" s="87"/>
      <c r="Q72" s="63"/>
    </row>
    <row r="73" spans="1:20" ht="12.6" x14ac:dyDescent="0.3">
      <c r="A73" s="133" t="s">
        <v>160</v>
      </c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6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2737789.8925000001</v>
      </c>
      <c r="E74" s="39">
        <f>C74*K74</f>
        <v>2737789.8925000001</v>
      </c>
      <c r="F74" s="89" t="s">
        <v>139</v>
      </c>
      <c r="G74" s="89">
        <v>0.1394</v>
      </c>
      <c r="H74" s="90">
        <v>0.1371</v>
      </c>
      <c r="I74" s="90">
        <v>0.13150000000000001</v>
      </c>
      <c r="J74" s="91">
        <f>I74</f>
        <v>0.13150000000000001</v>
      </c>
      <c r="K74" s="91">
        <f>J74</f>
        <v>0.13150000000000001</v>
      </c>
      <c r="L74" s="46">
        <f>I74-H74</f>
        <v>-5.5999999999999939E-3</v>
      </c>
      <c r="M74" s="46">
        <f>((I74-H74)/H74)*100</f>
        <v>-4.084609773887669</v>
      </c>
      <c r="N74" s="92">
        <v>4834</v>
      </c>
      <c r="O74" s="93">
        <v>635.79999999999995</v>
      </c>
      <c r="P74" s="71">
        <f>(R74)/J74</f>
        <v>0</v>
      </c>
      <c r="Q74" s="49">
        <f>J74/G74-1</f>
        <v>-5.6671449067431823E-2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29" t="s">
        <v>163</v>
      </c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102506.07990766258</v>
      </c>
      <c r="E77" s="39">
        <f>C77*K77</f>
        <v>87259.358123809521</v>
      </c>
      <c r="F77" s="40" t="s">
        <v>139</v>
      </c>
      <c r="G77" s="70">
        <v>0.105</v>
      </c>
      <c r="H77" s="42">
        <v>8.6699999999999999E-2</v>
      </c>
      <c r="I77" s="42">
        <v>8.6699999999999999E-2</v>
      </c>
      <c r="J77" s="44">
        <f>I77/$J$5</f>
        <v>3.2333011370628798E-3</v>
      </c>
      <c r="K77" s="45">
        <f>I77/$K$4</f>
        <v>2.7523809523809523E-3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-0.17428571428571427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330062.74095925002</v>
      </c>
      <c r="E78" s="39">
        <f>C78*K78</f>
        <v>280969.31365079369</v>
      </c>
      <c r="F78" s="40" t="s">
        <v>139</v>
      </c>
      <c r="G78" s="70">
        <v>4.2500000000000003E-2</v>
      </c>
      <c r="H78" s="42">
        <v>0.06</v>
      </c>
      <c r="I78" s="42">
        <v>6.5000000000000002E-2</v>
      </c>
      <c r="J78" s="44">
        <f>I78/$J$5</f>
        <v>2.4240435283631743E-3</v>
      </c>
      <c r="K78" s="45">
        <f>I78/$K$4</f>
        <v>2.0634920634920637E-3</v>
      </c>
      <c r="L78" s="46">
        <f>I78-H78</f>
        <v>5.0000000000000044E-3</v>
      </c>
      <c r="M78" s="95">
        <f>((I78-H78)/H78)*100</f>
        <v>8.333333333333341</v>
      </c>
      <c r="N78" s="37">
        <v>6200</v>
      </c>
      <c r="O78" s="37">
        <v>403</v>
      </c>
      <c r="P78" s="40">
        <v>0</v>
      </c>
      <c r="Q78" s="49">
        <f>I78/G78-1</f>
        <v>0.52941176470588225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29884.44248863497</v>
      </c>
      <c r="E79" s="39">
        <f>C79*K79</f>
        <v>25439.439999999999</v>
      </c>
      <c r="F79" s="40" t="s">
        <v>139</v>
      </c>
      <c r="G79" s="70">
        <v>6.0499999999999998E-2</v>
      </c>
      <c r="H79" s="42">
        <v>0.12</v>
      </c>
      <c r="I79" s="42">
        <v>0.12</v>
      </c>
      <c r="J79" s="44">
        <f>I79/$J$5</f>
        <v>4.4751572831320139E-3</v>
      </c>
      <c r="K79" s="45">
        <f>I79/$K$4</f>
        <v>3.8095238095238095E-3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0.98347107438016534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28579360.201680426</v>
      </c>
      <c r="E80" s="39">
        <f>C80*K80</f>
        <v>24328475.238095239</v>
      </c>
      <c r="F80" s="40" t="s">
        <v>139</v>
      </c>
      <c r="G80" s="70">
        <v>1.85</v>
      </c>
      <c r="H80" s="42">
        <v>1.55</v>
      </c>
      <c r="I80" s="42">
        <v>1.55</v>
      </c>
      <c r="J80" s="44">
        <f>I80/$J$5</f>
        <v>5.7804114907121847E-2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6200</v>
      </c>
      <c r="O81" s="62">
        <f>SUM(O77:O80)</f>
        <v>403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3" t="s">
        <v>172</v>
      </c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26098366.328916606</v>
      </c>
      <c r="E83" s="39">
        <f>C83*K83</f>
        <v>22216503.606349204</v>
      </c>
      <c r="F83" s="40" t="s">
        <v>175</v>
      </c>
      <c r="G83" s="40">
        <v>1.3</v>
      </c>
      <c r="H83" s="42">
        <v>1.9</v>
      </c>
      <c r="I83" s="42">
        <v>1.9</v>
      </c>
      <c r="J83" s="44">
        <f>I83/$J$5</f>
        <v>7.0856656982923552E-2</v>
      </c>
      <c r="K83" s="45">
        <f>I83/$K$4</f>
        <v>6.0317460317460311E-2</v>
      </c>
      <c r="L83" s="46">
        <f>I83-H83</f>
        <v>0</v>
      </c>
      <c r="M83" s="46">
        <f>((I83-H83)/H83*100)</f>
        <v>0</v>
      </c>
      <c r="N83" s="51">
        <v>0</v>
      </c>
      <c r="O83" s="37">
        <v>0</v>
      </c>
      <c r="P83" s="51">
        <f>(R83)/J83</f>
        <v>0</v>
      </c>
      <c r="Q83" s="49">
        <f>I83/G83-1</f>
        <v>0.46153846153846145</v>
      </c>
      <c r="R83" s="52"/>
    </row>
    <row r="84" spans="1:243" s="104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72203569.856459334</v>
      </c>
      <c r="E84" s="39">
        <f>C84*K84</f>
        <v>61464033.797777779</v>
      </c>
      <c r="F84" s="40" t="s">
        <v>175</v>
      </c>
      <c r="G84" s="40">
        <v>1.44347</v>
      </c>
      <c r="H84" s="42">
        <v>1.1939820000000001</v>
      </c>
      <c r="I84" s="42">
        <v>1.051606</v>
      </c>
      <c r="J84" s="44">
        <f>I84/$J$5</f>
        <v>3.9217518749044368E-2</v>
      </c>
      <c r="K84" s="45">
        <f>I84/$K$4</f>
        <v>3.3384317460317461E-2</v>
      </c>
      <c r="L84" s="46">
        <f>I84-H84</f>
        <v>-0.14237600000000006</v>
      </c>
      <c r="M84" s="46">
        <f>((I84-H84)/H84*100)</f>
        <v>-11.924467873050016</v>
      </c>
      <c r="N84" s="51">
        <v>1696391</v>
      </c>
      <c r="O84" s="37">
        <v>1783936.2905000001</v>
      </c>
      <c r="P84" s="48">
        <f>(R84)/J84</f>
        <v>5.5485407272305408E-2</v>
      </c>
      <c r="Q84" s="49">
        <f>I84/G84-1</f>
        <v>-0.27147360180675728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8"/>
      <c r="B85" s="79" t="s">
        <v>83</v>
      </c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61">
        <f>SUM(N83:N84)</f>
        <v>1696391</v>
      </c>
      <c r="O85" s="62">
        <f>SUM(O83:O84)</f>
        <v>1783936.2905000001</v>
      </c>
      <c r="P85" s="106"/>
      <c r="Q85" s="86"/>
    </row>
    <row r="86" spans="1:243" ht="12.6" thickBot="1" x14ac:dyDescent="0.3">
      <c r="A86" s="107"/>
      <c r="B86" s="108"/>
      <c r="C86" s="108"/>
      <c r="D86" s="108"/>
      <c r="E86" s="108"/>
      <c r="F86" s="109"/>
      <c r="G86" s="109"/>
      <c r="H86" s="59"/>
      <c r="M86" s="110"/>
      <c r="N86" s="110"/>
      <c r="O86" s="59"/>
      <c r="P86" s="59"/>
      <c r="Q86" s="111"/>
    </row>
    <row r="87" spans="1:243" ht="12.6" thickBot="1" x14ac:dyDescent="0.3">
      <c r="A87" s="137" t="s">
        <v>178</v>
      </c>
      <c r="B87" s="138"/>
      <c r="C87" s="138"/>
      <c r="D87" s="139"/>
      <c r="E87" s="137" t="s">
        <v>179</v>
      </c>
      <c r="F87" s="138"/>
      <c r="G87" s="138"/>
      <c r="H87" s="139"/>
      <c r="I87" s="52"/>
      <c r="J87" s="52"/>
      <c r="K87" s="52"/>
      <c r="L87" s="140" t="s">
        <v>180</v>
      </c>
      <c r="M87" s="141"/>
      <c r="N87" s="142"/>
      <c r="O87" s="140" t="s">
        <v>181</v>
      </c>
      <c r="P87" s="141"/>
      <c r="Q87" s="142"/>
    </row>
    <row r="88" spans="1:243" x14ac:dyDescent="0.25">
      <c r="A88" s="35" t="s">
        <v>45</v>
      </c>
      <c r="B88" s="112">
        <v>37.65</v>
      </c>
      <c r="D88" s="112">
        <v>14.972714974547191</v>
      </c>
      <c r="E88" s="35" t="s">
        <v>40</v>
      </c>
      <c r="F88" s="113">
        <v>178.55709999999999</v>
      </c>
      <c r="H88" s="114">
        <v>-10.721316081974136</v>
      </c>
      <c r="L88" s="35" t="s">
        <v>144</v>
      </c>
      <c r="M88" s="51">
        <v>0.76639999999999997</v>
      </c>
      <c r="N88" s="115">
        <v>19.65651834504294</v>
      </c>
      <c r="O88" s="35" t="s">
        <v>127</v>
      </c>
      <c r="P88" s="113">
        <v>2.9100000000000001E-2</v>
      </c>
      <c r="Q88" s="116">
        <v>-14.912280701754385</v>
      </c>
    </row>
    <row r="89" spans="1:243" x14ac:dyDescent="0.25">
      <c r="A89" s="35" t="s">
        <v>62</v>
      </c>
      <c r="B89" s="112">
        <v>2.881993</v>
      </c>
      <c r="D89" s="112">
        <v>6.7404814814814751</v>
      </c>
      <c r="E89" s="35" t="s">
        <v>75</v>
      </c>
      <c r="F89" s="113">
        <v>3.2</v>
      </c>
      <c r="H89" s="114">
        <v>-4.449089280382192</v>
      </c>
      <c r="L89" s="35" t="s">
        <v>148</v>
      </c>
      <c r="M89" s="51">
        <v>0.15110000000000001</v>
      </c>
      <c r="N89" s="115">
        <v>7.5444839857651225</v>
      </c>
      <c r="O89" s="35" t="s">
        <v>121</v>
      </c>
      <c r="P89" s="113">
        <v>0.1333</v>
      </c>
      <c r="Q89" s="116">
        <v>-8.5106382978723367</v>
      </c>
    </row>
    <row r="90" spans="1:243" x14ac:dyDescent="0.25">
      <c r="A90" s="35" t="s">
        <v>110</v>
      </c>
      <c r="B90" s="112">
        <v>5.5</v>
      </c>
      <c r="C90" s="112"/>
      <c r="D90" s="112">
        <v>5.7692307692307656</v>
      </c>
      <c r="E90" s="35" t="s">
        <v>116</v>
      </c>
      <c r="F90" s="113">
        <v>0.67045500000000002</v>
      </c>
      <c r="H90" s="114">
        <v>-4.2207142857142763</v>
      </c>
      <c r="L90" s="35" t="s">
        <v>125</v>
      </c>
      <c r="M90" s="51">
        <v>0.2472</v>
      </c>
      <c r="N90" s="115">
        <v>1.6447368421052644</v>
      </c>
      <c r="O90" s="35" t="s">
        <v>129</v>
      </c>
      <c r="P90" s="113">
        <v>0.1444</v>
      </c>
      <c r="Q90" s="116">
        <v>-3.8615179760319571</v>
      </c>
    </row>
    <row r="91" spans="1:243" x14ac:dyDescent="0.25">
      <c r="A91" s="35" t="s">
        <v>73</v>
      </c>
      <c r="B91" s="112">
        <v>1.7480000000000002</v>
      </c>
      <c r="C91" s="112"/>
      <c r="D91" s="112">
        <v>3.5851851851851984</v>
      </c>
      <c r="E91" s="35" t="s">
        <v>98</v>
      </c>
      <c r="F91" s="113">
        <v>3.4750000000000001</v>
      </c>
      <c r="G91" s="113"/>
      <c r="H91" s="114">
        <v>-3.3379694019471517</v>
      </c>
      <c r="L91" s="35" t="s">
        <v>131</v>
      </c>
      <c r="M91" s="51">
        <v>1.4809000000000001</v>
      </c>
      <c r="N91" s="115">
        <v>0.89249216514512264</v>
      </c>
      <c r="O91" s="35" t="s">
        <v>140</v>
      </c>
      <c r="P91" s="113">
        <v>1.1092</v>
      </c>
      <c r="Q91" s="116">
        <v>-2.0227895062273777</v>
      </c>
    </row>
    <row r="92" spans="1:243" x14ac:dyDescent="0.25">
      <c r="A92" s="35" t="s">
        <v>87</v>
      </c>
      <c r="B92" s="112">
        <v>1.325</v>
      </c>
      <c r="C92" s="112"/>
      <c r="D92" s="112">
        <v>1.9230769230769162</v>
      </c>
      <c r="E92" s="35" t="s">
        <v>96</v>
      </c>
      <c r="F92" s="113">
        <v>0.04</v>
      </c>
      <c r="G92" s="113"/>
      <c r="H92" s="114">
        <v>-2.6882374407006489</v>
      </c>
      <c r="L92" s="35" t="s">
        <v>123</v>
      </c>
      <c r="M92" s="51">
        <v>52.333300000000001</v>
      </c>
      <c r="N92" s="115">
        <v>0.6409615384615408</v>
      </c>
      <c r="O92" s="35" t="s">
        <v>135</v>
      </c>
      <c r="P92" s="113">
        <v>1.9900000000000001E-2</v>
      </c>
      <c r="Q92" s="116">
        <v>-0.499999999999997</v>
      </c>
    </row>
    <row r="93" spans="1:243" ht="12.6" thickBot="1" x14ac:dyDescent="0.3">
      <c r="A93" s="117"/>
      <c r="B93" s="118"/>
      <c r="C93" s="118"/>
      <c r="D93" s="118"/>
      <c r="E93" s="117"/>
      <c r="F93" s="118"/>
      <c r="G93" s="118"/>
      <c r="H93" s="119"/>
      <c r="L93" s="117"/>
      <c r="M93" s="118"/>
      <c r="N93" s="119"/>
      <c r="O93" s="118"/>
      <c r="P93" s="118"/>
      <c r="Q93" s="119"/>
    </row>
    <row r="94" spans="1:243" x14ac:dyDescent="0.25">
      <c r="A94" s="120"/>
      <c r="B94" s="121"/>
      <c r="C94" s="121"/>
      <c r="D94" s="121"/>
      <c r="E94" s="110"/>
      <c r="F94" s="110"/>
      <c r="G94" s="110"/>
      <c r="H94" s="110"/>
      <c r="I94" s="110"/>
      <c r="J94" s="110"/>
      <c r="K94" s="110"/>
      <c r="L94" s="110"/>
      <c r="M94" s="121"/>
      <c r="Q94" s="16"/>
    </row>
    <row r="95" spans="1:243" x14ac:dyDescent="0.25">
      <c r="A95" s="12" t="s">
        <v>182</v>
      </c>
      <c r="B95" s="122"/>
      <c r="C95" s="122"/>
      <c r="D95" s="122"/>
      <c r="E95" s="122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0"/>
      <c r="B96" s="121"/>
      <c r="C96" s="121"/>
      <c r="D96" s="121"/>
      <c r="E96" s="121"/>
      <c r="F96" s="110"/>
      <c r="G96" s="110"/>
      <c r="H96" s="121"/>
      <c r="I96" s="110"/>
      <c r="J96" s="110"/>
      <c r="K96" s="110"/>
      <c r="L96" s="110"/>
      <c r="M96" s="121"/>
      <c r="Q96" s="16"/>
    </row>
    <row r="97" spans="1:17" ht="12.6" thickBot="1" x14ac:dyDescent="0.3">
      <c r="A97" s="123"/>
      <c r="B97" s="124"/>
      <c r="C97" s="124"/>
      <c r="D97" s="124"/>
      <c r="E97" s="124"/>
      <c r="F97" s="125"/>
      <c r="G97" s="125"/>
      <c r="H97" s="125"/>
      <c r="I97" s="126"/>
      <c r="J97" s="126"/>
      <c r="K97" s="126"/>
      <c r="L97" s="126"/>
      <c r="M97" s="126"/>
      <c r="N97" s="126"/>
      <c r="O97" s="126"/>
      <c r="P97" s="126"/>
      <c r="Q97" s="127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8"/>
      <c r="J101" s="128"/>
      <c r="K101" s="128"/>
      <c r="O101" s="128"/>
      <c r="P101" s="128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8"/>
      <c r="J104" s="128"/>
      <c r="K104" s="128"/>
      <c r="O104" s="128"/>
      <c r="P104" s="128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8"/>
      <c r="J106" s="128"/>
      <c r="K106" s="128"/>
      <c r="O106" s="128"/>
      <c r="P106" s="128"/>
    </row>
  </sheetData>
  <sheetProtection algorithmName="SHA-512" hashValue="SH01y7AOOQNmCpNj5z0hslKycdGVc4FbEU3ZBaro8rJbST2lw7XlokqPqOWYQ4Tz1LIDR1NxxMqTxOS/yoXsDQ==" saltValue="28nqVkjYdmhi1sY2Bog1yw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2026-07-03T13:04:27Z</dcterms:created>
  <dcterms:modified xsi:type="dcterms:W3CDTF">2026-07-03T13:24:24Z</dcterms:modified>
</cp:coreProperties>
</file>