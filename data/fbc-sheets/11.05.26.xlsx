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1.05.26/"/>
    </mc:Choice>
  </mc:AlternateContent>
  <xr:revisionPtr revIDLastSave="0" documentId="8_{5F19EE66-1DB5-4130-BC6B-BAA2CF0F1E7B}" xr6:coauthVersionLast="47" xr6:coauthVersionMax="47" xr10:uidLastSave="{00000000-0000-0000-0000-000000000000}"/>
  <bookViews>
    <workbookView xWindow="-108" yWindow="-108" windowWidth="23256" windowHeight="12456" xr2:uid="{E3AF18BB-4601-4AE8-BEF2-018D78E00C80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P73" i="1" s="1"/>
  <c r="D73" i="1"/>
  <c r="Q72" i="1"/>
  <c r="P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P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P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P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P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E14" i="1" s="1"/>
  <c r="J14" i="1"/>
  <c r="D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E11" i="1" s="1"/>
  <c r="J11" i="1"/>
  <c r="P11" i="1" s="1"/>
  <c r="Q10" i="1"/>
  <c r="M10" i="1"/>
  <c r="L10" i="1"/>
  <c r="K10" i="1"/>
  <c r="J10" i="1"/>
  <c r="E10" i="1"/>
  <c r="D10" i="1"/>
  <c r="P10" i="1" l="1"/>
  <c r="P14" i="1"/>
  <c r="P45" i="1"/>
  <c r="K73" i="1"/>
  <c r="E73" i="1" s="1"/>
  <c r="Q61" i="1"/>
  <c r="Q53" i="1"/>
  <c r="Q73" i="1"/>
  <c r="P17" i="1"/>
  <c r="P42" i="1"/>
  <c r="P59" i="1"/>
  <c r="P63" i="1"/>
  <c r="Q57" i="1"/>
  <c r="Q65" i="1"/>
  <c r="D11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<sst xmlns="http://schemas.openxmlformats.org/spreadsheetml/2006/main" count="265" uniqueCount="181">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</sst>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0" fontId="15" fillId="5" borderId="0" xfId="6" applyNumberFormat="1" applyFont="1" applyFill="1" applyAlignment="1"/>
    <xf numFmtId="9" fontId="20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6" fillId="5" borderId="0" xfId="3" applyFont="1" applyFill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0D233127-BE1B-498A-903F-C8F5055A0E9F}"/>
    <cellStyle name="Comma 5 2 2 2 2 2 2 2 2" xfId="4" xr:uid="{98741F1A-F5D3-4E9F-8C79-B75C398166F5}"/>
    <cellStyle name="Comma 6 2 2 2" xfId="5" xr:uid="{691C97C8-51BF-4542-8674-55CE9527DB9B}"/>
    <cellStyle name="Hyperlink 2" xfId="8" xr:uid="{873CC3E0-7F7F-4945-92B5-9DE5D2785330}"/>
    <cellStyle name="Normal" xfId="0" builtinId="0"/>
    <cellStyle name="Normal 2" xfId="2" xr:uid="{882980C8-0E42-4EBE-A28F-9074606D9AD8}"/>
    <cellStyle name="Normal 20" xfId="7" xr:uid="{9AF97AD8-5947-444D-85FD-D204AE30F9A3}"/>
    <cellStyle name="Percent" xfId="1" builtinId="5"/>
    <cellStyle name="Percent 3" xfId="6" xr:uid="{EA50BB38-5A5B-4272-B72A-195D5DE7E7A4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B1DDBB7-7A1E-4A9E-A817-9235E6420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D0A345A-5E16-495C-8C5E-C83039999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E764-F6BD-4F84-BA9F-10B020FEBA14}">
  <dimension ref="A1:II105"/>
  <sheetViews>
    <sheetView tabSelected="1" topLeftCell="A45" zoomScale="70" zoomScaleNormal="70" workbookViewId="0">
      <selection activeCell="I58" sqref="I58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25.840699999999998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76275771.639313191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15.8</v>
      </c>
      <c r="I10" s="42">
        <v>15.8</v>
      </c>
      <c r="J10" s="43">
        <f>(I10/$J$5)</f>
        <v>0.61143854462146929</v>
      </c>
      <c r="K10" s="44">
        <f t="shared" ref="K10:K18" si="2">I10/$K$4</f>
        <v>0.52666666666666673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102">
        <f t="shared" ref="P10:P18" si="5">(R10)/J10</f>
        <v>2.4532310126582274E-2</v>
      </c>
      <c r="Q10" s="48">
        <f t="shared" ref="Q10:Q18" si="6">I10/G10-1</f>
        <v>0.75760609600089013</v>
      </c>
      <c r="R10" s="49">
        <v>1.4999999999999999E-2</v>
      </c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4298563.3646427924</v>
      </c>
      <c r="E11" s="39">
        <f t="shared" si="1"/>
        <v>3702596.2112241667</v>
      </c>
      <c r="F11" s="40" t="s">
        <v>34</v>
      </c>
      <c r="G11" s="41">
        <v>3.1600000000000003E-2</v>
      </c>
      <c r="H11" s="42">
        <v>6.8499999999999991E-2</v>
      </c>
      <c r="I11" s="42">
        <v>6.8254999999999996E-2</v>
      </c>
      <c r="J11" s="43">
        <f t="shared" ref="J11:J18" si="7">I11/$J$5</f>
        <v>2.6413758141226825E-3</v>
      </c>
      <c r="K11" s="44">
        <f t="shared" si="2"/>
        <v>2.2751666666666667E-3</v>
      </c>
      <c r="L11" s="45">
        <f t="shared" si="3"/>
        <v>-2.4499999999999522E-4</v>
      </c>
      <c r="M11" s="45">
        <f t="shared" si="4"/>
        <v>-0.3576642335766354</v>
      </c>
      <c r="N11" s="46">
        <v>381900</v>
      </c>
      <c r="O11" s="37">
        <v>26066.65</v>
      </c>
      <c r="P11" s="47">
        <f t="shared" si="5"/>
        <v>0</v>
      </c>
      <c r="Q11" s="48">
        <f t="shared" si="6"/>
        <v>1.1599683544303794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3720294.6893853499</v>
      </c>
      <c r="E12" s="39">
        <f t="shared" si="1"/>
        <v>3204500.6326666665</v>
      </c>
      <c r="F12" s="40" t="s">
        <v>39</v>
      </c>
      <c r="G12" s="41">
        <v>7.8E-2</v>
      </c>
      <c r="H12" s="42">
        <v>0.22</v>
      </c>
      <c r="I12" s="42">
        <v>0.22</v>
      </c>
      <c r="J12" s="43">
        <f t="shared" si="7"/>
        <v>8.5137012542229901E-3</v>
      </c>
      <c r="K12" s="44">
        <f t="shared" si="2"/>
        <v>7.3333333333333332E-3</v>
      </c>
      <c r="L12" s="45">
        <f t="shared" si="3"/>
        <v>0</v>
      </c>
      <c r="M12" s="45">
        <f t="shared" si="4"/>
        <v>0</v>
      </c>
      <c r="N12" s="46">
        <v>200</v>
      </c>
      <c r="O12" s="37">
        <v>44</v>
      </c>
      <c r="P12" s="47">
        <f t="shared" si="5"/>
        <v>0</v>
      </c>
      <c r="Q12" s="48">
        <f t="shared" si="6"/>
        <v>1.8205128205128207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143728036.0052166</v>
      </c>
      <c r="E13" s="39">
        <f t="shared" si="1"/>
        <v>123801102</v>
      </c>
      <c r="F13" s="40" t="s">
        <v>34</v>
      </c>
      <c r="G13" s="41">
        <v>97.381</v>
      </c>
      <c r="H13" s="42">
        <v>199.73950000000002</v>
      </c>
      <c r="I13" s="42">
        <v>180</v>
      </c>
      <c r="J13" s="43">
        <f t="shared" si="7"/>
        <v>6.9657555716369917</v>
      </c>
      <c r="K13" s="44">
        <f t="shared" si="2"/>
        <v>6</v>
      </c>
      <c r="L13" s="45">
        <f t="shared" si="3"/>
        <v>-19.739500000000021</v>
      </c>
      <c r="M13" s="45">
        <f t="shared" si="4"/>
        <v>-9.8826221153051943</v>
      </c>
      <c r="N13" s="46">
        <v>200</v>
      </c>
      <c r="O13" s="37">
        <v>36000</v>
      </c>
      <c r="P13" s="47">
        <f t="shared" si="5"/>
        <v>0</v>
      </c>
      <c r="Q13" s="48">
        <f t="shared" si="6"/>
        <v>0.84840985407831093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4394816.6693626717</v>
      </c>
      <c r="E14" s="39">
        <f t="shared" si="1"/>
        <v>3785504.6369333328</v>
      </c>
      <c r="F14" s="40" t="s">
        <v>44</v>
      </c>
      <c r="G14" s="41">
        <v>13.6</v>
      </c>
      <c r="H14" s="42">
        <v>13.000999999999999</v>
      </c>
      <c r="I14" s="42">
        <v>13.000999999999999</v>
      </c>
      <c r="J14" s="43">
        <f t="shared" si="7"/>
        <v>0.50312104548251402</v>
      </c>
      <c r="K14" s="44">
        <f t="shared" si="2"/>
        <v>0.43336666666666662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-4.4044117647058845E-2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309967878.23569024</v>
      </c>
      <c r="E15" s="39">
        <f t="shared" si="1"/>
        <v>266992898.37083334</v>
      </c>
      <c r="F15" s="40" t="s">
        <v>47</v>
      </c>
      <c r="G15" s="41">
        <v>11.5</v>
      </c>
      <c r="H15" s="42">
        <v>15.3003</v>
      </c>
      <c r="I15" s="42">
        <v>15.324999999999999</v>
      </c>
      <c r="J15" s="43">
        <f t="shared" si="7"/>
        <v>0.59305668964076053</v>
      </c>
      <c r="K15" s="44">
        <f t="shared" si="2"/>
        <v>0.51083333333333336</v>
      </c>
      <c r="L15" s="45">
        <f t="shared" si="3"/>
        <v>2.4699999999999278E-2</v>
      </c>
      <c r="M15" s="45">
        <f t="shared" si="4"/>
        <v>0.16143474310960751</v>
      </c>
      <c r="N15" s="46">
        <v>200</v>
      </c>
      <c r="O15" s="37">
        <v>3065</v>
      </c>
      <c r="P15" s="47">
        <f t="shared" si="5"/>
        <v>0</v>
      </c>
      <c r="Q15" s="48">
        <f t="shared" si="6"/>
        <v>0.33260869565217388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24621827.195083726</v>
      </c>
      <c r="E16" s="39">
        <f t="shared" si="1"/>
        <v>21208175</v>
      </c>
      <c r="F16" s="40" t="s">
        <v>34</v>
      </c>
      <c r="G16" s="41">
        <v>5.39</v>
      </c>
      <c r="H16" s="42">
        <v>6</v>
      </c>
      <c r="I16" s="42">
        <v>6</v>
      </c>
      <c r="J16" s="43">
        <f t="shared" si="7"/>
        <v>0.23219185238789972</v>
      </c>
      <c r="K16" s="44">
        <f t="shared" si="2"/>
        <v>0.2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0.1131725417439704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33249952.950190976</v>
      </c>
      <c r="E17" s="39">
        <f t="shared" si="1"/>
        <v>28640068.640000001</v>
      </c>
      <c r="F17" s="40" t="s">
        <v>34</v>
      </c>
      <c r="G17" s="41">
        <v>1.9</v>
      </c>
      <c r="H17" s="42">
        <v>2.4</v>
      </c>
      <c r="I17" s="42">
        <v>2.4</v>
      </c>
      <c r="J17" s="43">
        <f t="shared" si="7"/>
        <v>9.2876740955159881E-2</v>
      </c>
      <c r="K17" s="44">
        <f t="shared" si="2"/>
        <v>0.08</v>
      </c>
      <c r="L17" s="45">
        <f t="shared" si="3"/>
        <v>0</v>
      </c>
      <c r="M17" s="45">
        <f t="shared" si="4"/>
        <v>0</v>
      </c>
      <c r="N17" s="46">
        <v>0</v>
      </c>
      <c r="O17" s="37">
        <v>0</v>
      </c>
      <c r="P17" s="47">
        <f t="shared" si="5"/>
        <v>0</v>
      </c>
      <c r="Q17" s="48">
        <f t="shared" si="6"/>
        <v>0.26315789473684204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1453721718.8388863</v>
      </c>
      <c r="E18" s="39">
        <f t="shared" si="1"/>
        <v>1252172894</v>
      </c>
      <c r="F18" s="40" t="s">
        <v>34</v>
      </c>
      <c r="G18" s="41">
        <v>20.701700000000002</v>
      </c>
      <c r="H18" s="42">
        <v>28.0138</v>
      </c>
      <c r="I18" s="42">
        <v>28</v>
      </c>
      <c r="J18" s="43">
        <f t="shared" si="7"/>
        <v>1.0835619778101988</v>
      </c>
      <c r="K18" s="44">
        <f t="shared" si="2"/>
        <v>0.93333333333333335</v>
      </c>
      <c r="L18" s="45">
        <f t="shared" si="3"/>
        <v>-1.3799999999999812E-2</v>
      </c>
      <c r="M18" s="45">
        <f t="shared" si="4"/>
        <v>-4.9261435435391888E-2</v>
      </c>
      <c r="N18" s="46">
        <v>1911400</v>
      </c>
      <c r="O18" s="37">
        <v>53519255.200000003</v>
      </c>
      <c r="P18" s="47">
        <f t="shared" si="5"/>
        <v>0</v>
      </c>
      <c r="Q18" s="48">
        <f t="shared" si="6"/>
        <v>0.35254592617997549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296050413.45222849</v>
      </c>
      <c r="E20" s="39">
        <f t="shared" si="1"/>
        <v>255004997.2965</v>
      </c>
      <c r="F20" s="40" t="s">
        <v>47</v>
      </c>
      <c r="G20" s="41">
        <v>12.45</v>
      </c>
      <c r="H20" s="42">
        <v>9.900207</v>
      </c>
      <c r="I20" s="42">
        <v>11.385</v>
      </c>
      <c r="J20" s="43">
        <f t="shared" ref="J20:J30" si="8">I20/$J$5</f>
        <v>0.44058403990603973</v>
      </c>
      <c r="K20" s="44">
        <f t="shared" ref="K20:K30" si="9">I20/$K$4</f>
        <v>0.3795</v>
      </c>
      <c r="L20" s="45">
        <f t="shared" ref="L20:L30" si="10">I20-H20</f>
        <v>1.4847929999999998</v>
      </c>
      <c r="M20" s="45">
        <f t="shared" ref="M20:M30" si="11">((I20-H20)/H20)*100</f>
        <v>14.997595504821263</v>
      </c>
      <c r="N20" s="46">
        <v>4500</v>
      </c>
      <c r="O20" s="37">
        <v>51232.5</v>
      </c>
      <c r="P20" s="47">
        <f t="shared" ref="P20:P30" si="12">(R20)/J20</f>
        <v>0</v>
      </c>
      <c r="Q20" s="48">
        <f t="shared" ref="Q20:Q30" si="13">I20/G20-1</f>
        <v>-8.5542168674698771E-2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2438538.4237378635</v>
      </c>
      <c r="E21" s="39">
        <f t="shared" si="1"/>
        <v>2100451.3282094332</v>
      </c>
      <c r="F21" s="40" t="s">
        <v>47</v>
      </c>
      <c r="G21" s="41">
        <v>0.35</v>
      </c>
      <c r="H21" s="42">
        <v>0.57851300000000005</v>
      </c>
      <c r="I21" s="42">
        <v>0.57851300000000005</v>
      </c>
      <c r="J21" s="43">
        <f t="shared" si="8"/>
        <v>2.238766751674684E-2</v>
      </c>
      <c r="K21" s="44">
        <f t="shared" si="9"/>
        <v>1.9283766666666667E-2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0.65289428571428587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66768998.13085559</v>
      </c>
      <c r="E22" s="39">
        <f t="shared" si="1"/>
        <v>57511921.666666664</v>
      </c>
      <c r="F22" s="40" t="s">
        <v>47</v>
      </c>
      <c r="G22" s="41">
        <v>2.85</v>
      </c>
      <c r="H22" s="42">
        <v>2.8846379999999998</v>
      </c>
      <c r="I22" s="42">
        <v>2.5</v>
      </c>
      <c r="J22" s="43">
        <f t="shared" si="8"/>
        <v>9.674660516162488E-2</v>
      </c>
      <c r="K22" s="44">
        <f t="shared" si="9"/>
        <v>8.3333333333333329E-2</v>
      </c>
      <c r="L22" s="45">
        <f t="shared" si="10"/>
        <v>-0.38463799999999981</v>
      </c>
      <c r="M22" s="45">
        <f t="shared" si="11"/>
        <v>-13.334012794673017</v>
      </c>
      <c r="N22" s="46">
        <v>4100</v>
      </c>
      <c r="O22" s="37">
        <v>10250</v>
      </c>
      <c r="P22" s="47">
        <f t="shared" si="12"/>
        <v>0</v>
      </c>
      <c r="Q22" s="48">
        <f t="shared" si="13"/>
        <v>-0.1228070175438597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53574576.236711867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1.1200000000000001</v>
      </c>
      <c r="I23" s="42">
        <v>1.1200000000000001</v>
      </c>
      <c r="J23" s="43">
        <f t="shared" si="8"/>
        <v>4.3342479112407954E-2</v>
      </c>
      <c r="K23" s="44">
        <f t="shared" si="9"/>
        <v>3.7333333333333336E-2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2491830.1268928475</v>
      </c>
      <c r="E24" s="39">
        <f t="shared" si="1"/>
        <v>2146354.4920000001</v>
      </c>
      <c r="F24" s="40" t="s">
        <v>44</v>
      </c>
      <c r="G24" s="41">
        <v>0.1</v>
      </c>
      <c r="H24" s="42">
        <v>0.12</v>
      </c>
      <c r="I24" s="42">
        <v>0.12</v>
      </c>
      <c r="J24" s="43">
        <f t="shared" si="8"/>
        <v>4.6438370477579942E-3</v>
      </c>
      <c r="K24" s="44">
        <f t="shared" si="9"/>
        <v>4.0000000000000001E-3</v>
      </c>
      <c r="L24" s="45">
        <f t="shared" si="10"/>
        <v>0</v>
      </c>
      <c r="M24" s="45">
        <f t="shared" si="11"/>
        <v>0</v>
      </c>
      <c r="N24" s="46">
        <v>24700</v>
      </c>
      <c r="O24" s="37">
        <v>2964</v>
      </c>
      <c r="P24" s="47">
        <f t="shared" si="12"/>
        <v>0</v>
      </c>
      <c r="Q24" s="48">
        <f t="shared" si="13"/>
        <v>0.19999999999999996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71708483.686587438</v>
      </c>
      <c r="E25" s="39">
        <f t="shared" si="1"/>
        <v>61766580.480000004</v>
      </c>
      <c r="F25" s="40" t="s">
        <v>34</v>
      </c>
      <c r="G25" s="41">
        <v>8.1687659999999997</v>
      </c>
      <c r="H25" s="42">
        <v>9.5</v>
      </c>
      <c r="I25" s="42">
        <v>9.6</v>
      </c>
      <c r="J25" s="43">
        <f t="shared" si="8"/>
        <v>0.37150696382063952</v>
      </c>
      <c r="K25" s="44">
        <f t="shared" si="9"/>
        <v>0.32</v>
      </c>
      <c r="L25" s="45">
        <f t="shared" si="10"/>
        <v>9.9999999999999645E-2</v>
      </c>
      <c r="M25" s="45">
        <f t="shared" si="11"/>
        <v>1.0526315789473648</v>
      </c>
      <c r="N25" s="46">
        <v>200</v>
      </c>
      <c r="O25" s="37">
        <v>1920</v>
      </c>
      <c r="P25" s="47">
        <f t="shared" si="12"/>
        <v>0</v>
      </c>
      <c r="Q25" s="48">
        <f t="shared" si="13"/>
        <v>0.17520810364747863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84899372.373813406</v>
      </c>
      <c r="E26" s="39">
        <f t="shared" si="1"/>
        <v>73128640.390000001</v>
      </c>
      <c r="F26" s="40" t="s">
        <v>66</v>
      </c>
      <c r="G26" s="41">
        <v>1.6675</v>
      </c>
      <c r="H26" s="42">
        <v>1.3</v>
      </c>
      <c r="I26" s="42">
        <v>1.3</v>
      </c>
      <c r="J26" s="43">
        <f t="shared" si="8"/>
        <v>5.0308234684044939E-2</v>
      </c>
      <c r="K26" s="44">
        <f t="shared" si="9"/>
        <v>4.3333333333333335E-2</v>
      </c>
      <c r="L26" s="45">
        <f t="shared" si="10"/>
        <v>0</v>
      </c>
      <c r="M26" s="45">
        <f t="shared" si="11"/>
        <v>0</v>
      </c>
      <c r="N26" s="46">
        <v>0</v>
      </c>
      <c r="O26" s="37">
        <v>0</v>
      </c>
      <c r="P26" s="47">
        <f t="shared" si="12"/>
        <v>0</v>
      </c>
      <c r="Q26" s="48">
        <f t="shared" si="13"/>
        <v>-0.22038980509745121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33018572.305377986</v>
      </c>
      <c r="E27" s="39">
        <f t="shared" si="1"/>
        <v>28440767.379052699</v>
      </c>
      <c r="F27" s="40" t="s">
        <v>44</v>
      </c>
      <c r="G27" s="41">
        <v>1.7994999999999999</v>
      </c>
      <c r="H27" s="42">
        <v>3.5641829999999999</v>
      </c>
      <c r="I27" s="42">
        <v>3.5641829999999999</v>
      </c>
      <c r="J27" s="43">
        <f t="shared" si="8"/>
        <v>0.13792904216991025</v>
      </c>
      <c r="K27" s="44">
        <f t="shared" si="9"/>
        <v>0.1188061</v>
      </c>
      <c r="L27" s="45">
        <f t="shared" si="10"/>
        <v>0</v>
      </c>
      <c r="M27" s="45">
        <f t="shared" si="11"/>
        <v>0</v>
      </c>
      <c r="N27" s="46">
        <v>0</v>
      </c>
      <c r="O27" s="37">
        <v>0</v>
      </c>
      <c r="P27" s="47">
        <f t="shared" si="12"/>
        <v>0</v>
      </c>
      <c r="Q27" s="48">
        <f t="shared" si="13"/>
        <v>0.9806518477354822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31026706.680933569</v>
      </c>
      <c r="E28" s="39">
        <f t="shared" si="1"/>
        <v>26725060.644333333</v>
      </c>
      <c r="F28" s="40" t="s">
        <v>34</v>
      </c>
      <c r="G28" s="41">
        <v>3.1361369999999997</v>
      </c>
      <c r="H28" s="42">
        <v>3.1295039999999998</v>
      </c>
      <c r="I28" s="42">
        <v>3.13</v>
      </c>
      <c r="J28" s="43">
        <f t="shared" si="8"/>
        <v>0.12112674966235436</v>
      </c>
      <c r="K28" s="44">
        <f t="shared" si="9"/>
        <v>0.10433333333333333</v>
      </c>
      <c r="L28" s="45">
        <f t="shared" si="10"/>
        <v>4.9600000000005195E-4</v>
      </c>
      <c r="M28" s="45">
        <f t="shared" si="11"/>
        <v>1.5849156927105763E-2</v>
      </c>
      <c r="N28" s="46">
        <v>2200</v>
      </c>
      <c r="O28" s="37">
        <v>6886</v>
      </c>
      <c r="P28" s="47">
        <f t="shared" si="12"/>
        <v>0</v>
      </c>
      <c r="Q28" s="48">
        <f t="shared" si="13"/>
        <v>-1.9568660425229867E-3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21931916.540573593</v>
      </c>
      <c r="E29" s="39">
        <f t="shared" si="1"/>
        <v>18891202.525000002</v>
      </c>
      <c r="F29" s="40" t="s">
        <v>44</v>
      </c>
      <c r="G29" s="41">
        <v>0.8</v>
      </c>
      <c r="H29" s="42">
        <v>0.86499999999999999</v>
      </c>
      <c r="I29" s="42">
        <v>0.75</v>
      </c>
      <c r="J29" s="43">
        <f t="shared" si="8"/>
        <v>2.9023981548487465E-2</v>
      </c>
      <c r="K29" s="44">
        <f t="shared" si="9"/>
        <v>2.5000000000000001E-2</v>
      </c>
      <c r="L29" s="45">
        <f t="shared" si="10"/>
        <v>-0.11499999999999999</v>
      </c>
      <c r="M29" s="45">
        <f t="shared" si="11"/>
        <v>-13.294797687861271</v>
      </c>
      <c r="N29" s="46">
        <v>900</v>
      </c>
      <c r="O29" s="37">
        <v>675</v>
      </c>
      <c r="P29" s="47">
        <f t="shared" si="12"/>
        <v>0</v>
      </c>
      <c r="Q29" s="48">
        <f t="shared" si="13"/>
        <v>-6.25E-2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81340477.179197937</v>
      </c>
      <c r="E30" s="39">
        <f t="shared" si="1"/>
        <v>70063162.288149998</v>
      </c>
      <c r="F30" s="40" t="s">
        <v>47</v>
      </c>
      <c r="G30" s="41">
        <v>5.15</v>
      </c>
      <c r="H30" s="42">
        <v>5.22</v>
      </c>
      <c r="I30" s="42">
        <v>5.2004999999999999</v>
      </c>
      <c r="J30" s="43">
        <f t="shared" si="8"/>
        <v>0.20125228805721207</v>
      </c>
      <c r="K30" s="44">
        <f t="shared" si="9"/>
        <v>0.17335</v>
      </c>
      <c r="L30" s="45">
        <f t="shared" si="10"/>
        <v>-1.9499999999999851E-2</v>
      </c>
      <c r="M30" s="45">
        <f t="shared" si="11"/>
        <v>-0.37356321839080175</v>
      </c>
      <c r="N30" s="46">
        <v>210600</v>
      </c>
      <c r="O30" s="37">
        <v>1095225.3</v>
      </c>
      <c r="P30" s="47">
        <f t="shared" si="12"/>
        <v>0</v>
      </c>
      <c r="Q30" s="48">
        <f t="shared" si="13"/>
        <v>9.8058252427184467E-3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15079850.375244867</v>
      </c>
      <c r="E33" s="39">
        <f t="shared" si="15"/>
        <v>12989129.653052999</v>
      </c>
      <c r="F33" s="40" t="s">
        <v>39</v>
      </c>
      <c r="G33" s="41">
        <v>1.4</v>
      </c>
      <c r="H33" s="42">
        <v>1.499517</v>
      </c>
      <c r="I33" s="42">
        <v>1.499517</v>
      </c>
      <c r="J33" s="43">
        <f t="shared" si="16"/>
        <v>5.8029271652857706E-2</v>
      </c>
      <c r="K33" s="44">
        <f t="shared" si="17"/>
        <v>4.9983899999999998E-2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7.1083571428571579E-2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3541781.0856517046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2.9023981548487465E-2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168035782.4989261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6.7335637192490916E-2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38753750.066426218</v>
      </c>
      <c r="E36" s="39">
        <f t="shared" si="15"/>
        <v>33380800.978049997</v>
      </c>
      <c r="F36" s="40" t="s">
        <v>34</v>
      </c>
      <c r="G36" s="41">
        <v>3.6056249999999999</v>
      </c>
      <c r="H36" s="42">
        <v>3.9504999999999999</v>
      </c>
      <c r="I36" s="42">
        <v>3.9504999999999999</v>
      </c>
      <c r="J36" s="43">
        <f t="shared" si="16"/>
        <v>0.15287898547639964</v>
      </c>
      <c r="K36" s="44">
        <f t="shared" si="17"/>
        <v>0.13168333333333332</v>
      </c>
      <c r="L36" s="45">
        <f t="shared" si="18"/>
        <v>0</v>
      </c>
      <c r="M36" s="45">
        <f t="shared" si="19"/>
        <v>0</v>
      </c>
      <c r="N36" s="46">
        <v>0</v>
      </c>
      <c r="O36" s="37">
        <v>0</v>
      </c>
      <c r="P36" s="47">
        <f t="shared" si="20"/>
        <v>0</v>
      </c>
      <c r="Q36" s="48">
        <f t="shared" si="21"/>
        <v>9.56491592997053E-2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5474020.5056364574</v>
      </c>
      <c r="E37" s="39">
        <f t="shared" si="15"/>
        <v>4715084.0559999999</v>
      </c>
      <c r="F37" s="40" t="s">
        <v>34</v>
      </c>
      <c r="G37" s="41">
        <v>2.5099999999999997E-2</v>
      </c>
      <c r="H37" s="42">
        <v>3.0099000000000001E-2</v>
      </c>
      <c r="I37" s="42">
        <v>0.03</v>
      </c>
      <c r="J37" s="43">
        <f t="shared" si="16"/>
        <v>1.1609592619394986E-3</v>
      </c>
      <c r="K37" s="44">
        <f t="shared" si="17"/>
        <v>1E-3</v>
      </c>
      <c r="L37" s="45">
        <f t="shared" si="18"/>
        <v>-9.9000000000001864E-5</v>
      </c>
      <c r="M37" s="45">
        <f t="shared" si="19"/>
        <v>-0.32891458187980288</v>
      </c>
      <c r="N37" s="46">
        <v>2200</v>
      </c>
      <c r="O37" s="37">
        <v>66</v>
      </c>
      <c r="P37" s="47">
        <f>(R37)/J37</f>
        <v>0</v>
      </c>
      <c r="Q37" s="48">
        <f t="shared" si="21"/>
        <v>0.19521912350597614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33339388.90974316</v>
      </c>
      <c r="E38" s="39">
        <f t="shared" si="15"/>
        <v>28717104.899999999</v>
      </c>
      <c r="F38" s="40" t="s">
        <v>92</v>
      </c>
      <c r="G38" s="41">
        <v>0.61</v>
      </c>
      <c r="H38" s="42">
        <v>3.105086</v>
      </c>
      <c r="I38" s="42">
        <v>3.3</v>
      </c>
      <c r="J38" s="43">
        <f t="shared" si="16"/>
        <v>0.12770551881334485</v>
      </c>
      <c r="K38" s="44">
        <f t="shared" si="17"/>
        <v>0.11</v>
      </c>
      <c r="L38" s="45">
        <f t="shared" si="18"/>
        <v>0.19491399999999981</v>
      </c>
      <c r="M38" s="45">
        <f t="shared" si="19"/>
        <v>6.2772496478358351</v>
      </c>
      <c r="N38" s="46">
        <v>6400</v>
      </c>
      <c r="O38" s="37">
        <v>21120</v>
      </c>
      <c r="P38" s="47">
        <f t="shared" si="20"/>
        <v>0</v>
      </c>
      <c r="Q38" s="48">
        <f t="shared" si="21"/>
        <v>4.4098360655737707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18668293.112609178</v>
      </c>
      <c r="E39" s="39">
        <f t="shared" si="15"/>
        <v>16080058.727833334</v>
      </c>
      <c r="F39" s="40" t="s">
        <v>56</v>
      </c>
      <c r="G39" s="41">
        <v>0.11650199999999999</v>
      </c>
      <c r="H39" s="42">
        <v>0.1105</v>
      </c>
      <c r="I39" s="42">
        <v>0.115</v>
      </c>
      <c r="J39" s="43">
        <f t="shared" si="16"/>
        <v>4.4503438374347446E-3</v>
      </c>
      <c r="K39" s="44">
        <f t="shared" si="17"/>
        <v>3.8333333333333336E-3</v>
      </c>
      <c r="L39" s="45">
        <f t="shared" si="18"/>
        <v>4.500000000000004E-3</v>
      </c>
      <c r="M39" s="45">
        <f t="shared" si="19"/>
        <v>4.0723981900452522</v>
      </c>
      <c r="N39" s="46">
        <v>9200</v>
      </c>
      <c r="O39" s="37">
        <v>1058</v>
      </c>
      <c r="P39" s="47">
        <v>0</v>
      </c>
      <c r="Q39" s="48">
        <f t="shared" si="21"/>
        <v>-1.2892482532488647E-2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84268828.708200634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0.23219185238789972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900</v>
      </c>
      <c r="O40" s="37">
        <v>5400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15064550.504042074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3.4906175142314258E-3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7210714.6768469904</v>
      </c>
      <c r="E42" s="39">
        <f t="shared" si="15"/>
        <v>6210997.1583333332</v>
      </c>
      <c r="F42" s="40" t="s">
        <v>44</v>
      </c>
      <c r="G42" s="41">
        <v>1.7452379999999998</v>
      </c>
      <c r="H42" s="42">
        <v>1.75</v>
      </c>
      <c r="I42" s="42">
        <v>1.75</v>
      </c>
      <c r="J42" s="43">
        <f t="shared" si="16"/>
        <v>6.7722623613137425E-2</v>
      </c>
      <c r="K42" s="44">
        <f t="shared" si="17"/>
        <v>5.8333333333333334E-2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2.7285676795945069E-3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2808189.10791751</v>
      </c>
      <c r="E43" s="39">
        <f t="shared" si="15"/>
        <v>2418852.4093654663</v>
      </c>
      <c r="F43" s="40" t="s">
        <v>39</v>
      </c>
      <c r="G43" s="41">
        <v>0.03</v>
      </c>
      <c r="H43" s="42">
        <v>4.2199999999999994E-2</v>
      </c>
      <c r="I43" s="42">
        <v>4.0812999999999995E-2</v>
      </c>
      <c r="J43" s="43">
        <f t="shared" si="16"/>
        <v>1.5794076785845585E-3</v>
      </c>
      <c r="K43" s="44">
        <f t="shared" si="17"/>
        <v>1.3604333333333332E-3</v>
      </c>
      <c r="L43" s="45">
        <f t="shared" si="18"/>
        <v>-1.3869999999999993E-3</v>
      </c>
      <c r="M43" s="45">
        <f t="shared" si="19"/>
        <v>-3.2867298578199042</v>
      </c>
      <c r="N43" s="46">
        <v>14000</v>
      </c>
      <c r="O43" s="37">
        <v>571.38</v>
      </c>
      <c r="P43" s="47">
        <f t="shared" si="22"/>
        <v>0</v>
      </c>
      <c r="Q43" s="48">
        <f t="shared" si="21"/>
        <v>0.36043333333333316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35254127.728738002</v>
      </c>
      <c r="E44" s="39">
        <f t="shared" si="15"/>
        <v>30366377.946666669</v>
      </c>
      <c r="F44" s="40" t="s">
        <v>47</v>
      </c>
      <c r="G44" s="41">
        <v>4.5</v>
      </c>
      <c r="H44" s="42">
        <v>5.2</v>
      </c>
      <c r="I44" s="42">
        <v>5.2</v>
      </c>
      <c r="J44" s="43">
        <f t="shared" si="16"/>
        <v>0.20123293873617976</v>
      </c>
      <c r="K44" s="44">
        <f t="shared" si="17"/>
        <v>0.17333333333333334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0.15555555555555567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322.74968936600015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6.9657555716369916E-7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1564787.3316125337</v>
      </c>
      <c r="E46" s="39">
        <f t="shared" si="15"/>
        <v>1347840</v>
      </c>
      <c r="F46" s="40" t="s">
        <v>56</v>
      </c>
      <c r="G46" s="41">
        <v>7.0000000000000007E-2</v>
      </c>
      <c r="H46" s="42">
        <v>7.0199999999999999E-2</v>
      </c>
      <c r="I46" s="42">
        <v>7.0199999999999999E-2</v>
      </c>
      <c r="J46" s="43">
        <f t="shared" si="16"/>
        <v>2.7166446729384266E-3</v>
      </c>
      <c r="K46" s="44">
        <f t="shared" si="17"/>
        <v>2.3400000000000001E-3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2.8571428571426694E-3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48550192.616299093</v>
      </c>
      <c r="E47" s="39">
        <f t="shared" si="15"/>
        <v>41819032.078000002</v>
      </c>
      <c r="F47" s="40" t="s">
        <v>47</v>
      </c>
      <c r="G47" s="41">
        <v>0.9998999999999999</v>
      </c>
      <c r="H47" s="42">
        <v>0.74564600000000003</v>
      </c>
      <c r="I47" s="42">
        <v>0.69</v>
      </c>
      <c r="J47" s="43">
        <f t="shared" si="16"/>
        <v>2.6702063024608466E-2</v>
      </c>
      <c r="K47" s="44">
        <f t="shared" si="17"/>
        <v>2.3E-2</v>
      </c>
      <c r="L47" s="45">
        <f t="shared" si="18"/>
        <v>-5.5646000000000084E-2</v>
      </c>
      <c r="M47" s="45">
        <f t="shared" si="19"/>
        <v>-7.4627906540100906</v>
      </c>
      <c r="N47" s="46">
        <v>5000</v>
      </c>
      <c r="O47" s="37">
        <v>3450</v>
      </c>
      <c r="P47" s="47">
        <f t="shared" si="22"/>
        <v>0</v>
      </c>
      <c r="Q47" s="48">
        <f t="shared" si="21"/>
        <v>-0.30993099309930994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4372318.5517420201</v>
      </c>
      <c r="E48" s="39">
        <f t="shared" si="15"/>
        <v>3766125.7333333334</v>
      </c>
      <c r="F48" s="40" t="s">
        <v>47</v>
      </c>
      <c r="G48" s="41">
        <v>1.4503460000000001</v>
      </c>
      <c r="H48" s="42">
        <v>1.1000000000000001</v>
      </c>
      <c r="I48" s="42">
        <v>1.1000000000000001</v>
      </c>
      <c r="J48" s="43">
        <f t="shared" si="16"/>
        <v>4.2568506271114956E-2</v>
      </c>
      <c r="K48" s="44">
        <f t="shared" si="17"/>
        <v>3.6666666666666667E-2</v>
      </c>
      <c r="L48" s="45">
        <f t="shared" si="18"/>
        <v>0</v>
      </c>
      <c r="M48" s="45">
        <f t="shared" si="19"/>
        <v>0</v>
      </c>
      <c r="N48" s="46">
        <v>0</v>
      </c>
      <c r="O48" s="37">
        <v>0</v>
      </c>
      <c r="P48" s="47">
        <v>0</v>
      </c>
      <c r="Q48" s="48">
        <f t="shared" si="21"/>
        <v>-0.24156028975154897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2578800</v>
      </c>
      <c r="O49" s="58">
        <f>SUM(O10:O48)</f>
        <v>54785249.030000001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71917671.916799992</v>
      </c>
      <c r="E53" s="39">
        <v>0</v>
      </c>
      <c r="F53" s="40" t="s">
        <v>92</v>
      </c>
      <c r="G53" s="66">
        <v>0.1</v>
      </c>
      <c r="H53" s="42">
        <v>0.12790000000000001</v>
      </c>
      <c r="I53" s="42">
        <v>0.12959999999999999</v>
      </c>
      <c r="J53" s="43">
        <f t="shared" si="24"/>
        <v>0.12959999999999999</v>
      </c>
      <c r="K53" s="39">
        <v>0</v>
      </c>
      <c r="L53" s="45">
        <f t="shared" si="25"/>
        <v>1.6999999999999793E-3</v>
      </c>
      <c r="M53" s="45">
        <f t="shared" si="26"/>
        <v>1.3291634089131972</v>
      </c>
      <c r="N53" s="46">
        <v>12741</v>
      </c>
      <c r="O53" s="37">
        <v>1651.84</v>
      </c>
      <c r="P53" s="68">
        <f>(R53)/J53</f>
        <v>0</v>
      </c>
      <c r="Q53" s="48">
        <f t="shared" si="27"/>
        <v>0.29599999999999982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53681004.1105</v>
      </c>
      <c r="E54" s="39">
        <v>0</v>
      </c>
      <c r="F54" s="40" t="s">
        <v>39</v>
      </c>
      <c r="G54" s="66">
        <v>39.9</v>
      </c>
      <c r="H54" s="42">
        <v>59</v>
      </c>
      <c r="I54" s="42">
        <v>50.753300000000003</v>
      </c>
      <c r="J54" s="43">
        <f t="shared" si="24"/>
        <v>50.753300000000003</v>
      </c>
      <c r="K54" s="39">
        <v>0</v>
      </c>
      <c r="L54" s="45">
        <f t="shared" si="25"/>
        <v>-8.246699999999997</v>
      </c>
      <c r="M54" s="45">
        <f t="shared" si="26"/>
        <v>-13.977457627118639</v>
      </c>
      <c r="N54" s="46">
        <v>76</v>
      </c>
      <c r="O54" s="37">
        <v>3857.25</v>
      </c>
      <c r="P54" s="69">
        <f>(R54)/J54</f>
        <v>1.1033765292109084E-2</v>
      </c>
      <c r="Q54" s="48">
        <f t="shared" si="27"/>
        <v>0.27201253132832082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743851772.2658</v>
      </c>
      <c r="E55" s="39"/>
      <c r="F55" s="40" t="s">
        <v>56</v>
      </c>
      <c r="G55" s="66">
        <v>0.33</v>
      </c>
      <c r="H55" s="42">
        <v>0.26390000000000002</v>
      </c>
      <c r="I55" s="42">
        <v>0.24859999999999999</v>
      </c>
      <c r="J55" s="43">
        <f t="shared" si="24"/>
        <v>0.24859999999999999</v>
      </c>
      <c r="K55" s="39">
        <v>0</v>
      </c>
      <c r="L55" s="45">
        <f t="shared" si="25"/>
        <v>-1.5300000000000036E-2</v>
      </c>
      <c r="M55" s="45">
        <f t="shared" si="26"/>
        <v>-5.7976506252368454</v>
      </c>
      <c r="N55" s="46">
        <v>181798</v>
      </c>
      <c r="O55" s="37">
        <v>45186.52</v>
      </c>
      <c r="P55" s="68">
        <v>0</v>
      </c>
      <c r="Q55" s="48">
        <f t="shared" si="27"/>
        <v>-0.2466666666666667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17072746.403999999</v>
      </c>
      <c r="E56" s="39">
        <v>0</v>
      </c>
      <c r="F56" s="40" t="s">
        <v>34</v>
      </c>
      <c r="G56" s="66">
        <v>2.3E-2</v>
      </c>
      <c r="H56" s="42">
        <v>2.8000000000000001E-2</v>
      </c>
      <c r="I56" s="42">
        <v>2.8000000000000001E-2</v>
      </c>
      <c r="J56" s="43">
        <f t="shared" si="24"/>
        <v>2.8000000000000001E-2</v>
      </c>
      <c r="K56" s="39">
        <v>0</v>
      </c>
      <c r="L56" s="45">
        <f t="shared" si="25"/>
        <v>0</v>
      </c>
      <c r="M56" s="45">
        <f t="shared" si="26"/>
        <v>0</v>
      </c>
      <c r="N56" s="46">
        <v>0</v>
      </c>
      <c r="O56" s="37">
        <v>0</v>
      </c>
      <c r="P56" s="68">
        <f t="shared" ref="P56:P66" si="28">(R56)/J56</f>
        <v>0</v>
      </c>
      <c r="Q56" s="48">
        <f t="shared" si="27"/>
        <v>0.21739130434782616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238887290.15450001</v>
      </c>
      <c r="E57" s="39">
        <v>0</v>
      </c>
      <c r="F57" s="40" t="s">
        <v>47</v>
      </c>
      <c r="G57" s="66">
        <v>9.0200000000000002E-2</v>
      </c>
      <c r="H57" s="42">
        <v>0.10879999999999999</v>
      </c>
      <c r="I57" s="42">
        <v>0.1105</v>
      </c>
      <c r="J57" s="43">
        <f t="shared" si="24"/>
        <v>0.1105</v>
      </c>
      <c r="K57" s="39">
        <v>0</v>
      </c>
      <c r="L57" s="45">
        <f t="shared" si="25"/>
        <v>1.7000000000000071E-3</v>
      </c>
      <c r="M57" s="70">
        <f t="shared" si="26"/>
        <v>1.5625000000000067</v>
      </c>
      <c r="N57" s="46">
        <v>232177</v>
      </c>
      <c r="O57" s="37">
        <v>25658.9</v>
      </c>
      <c r="P57" s="68">
        <f t="shared" si="28"/>
        <v>0</v>
      </c>
      <c r="Q57" s="48">
        <f t="shared" si="27"/>
        <v>0.22505543237250558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694048964.89499998</v>
      </c>
      <c r="E58" s="39">
        <v>0</v>
      </c>
      <c r="F58" s="40" t="s">
        <v>34</v>
      </c>
      <c r="G58" s="66">
        <v>0.95750000000000002</v>
      </c>
      <c r="H58" s="42">
        <v>1.2121999999999999</v>
      </c>
      <c r="I58" s="42">
        <v>1.2051000000000001</v>
      </c>
      <c r="J58" s="43">
        <f t="shared" si="24"/>
        <v>1.2051000000000001</v>
      </c>
      <c r="K58" s="39">
        <v>0</v>
      </c>
      <c r="L58" s="45">
        <f t="shared" si="25"/>
        <v>-7.0999999999998842E-3</v>
      </c>
      <c r="M58" s="45">
        <f t="shared" si="26"/>
        <v>-0.58571192872462341</v>
      </c>
      <c r="N58" s="46">
        <v>23843</v>
      </c>
      <c r="O58" s="37">
        <v>28734.25</v>
      </c>
      <c r="P58" s="69">
        <f t="shared" si="28"/>
        <v>3.9000912787320555E-2</v>
      </c>
      <c r="Q58" s="48">
        <f t="shared" si="27"/>
        <v>0.25859007832898184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0.15010000000000001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-1.0000000000001674E-4</v>
      </c>
      <c r="M59" s="45">
        <f t="shared" si="26"/>
        <v>-6.6622251832123072E-2</v>
      </c>
      <c r="N59" s="46">
        <v>170213</v>
      </c>
      <c r="O59" s="37">
        <v>25531.95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14302460.088</v>
      </c>
      <c r="E60" s="39">
        <v>0</v>
      </c>
      <c r="F60" s="40" t="s">
        <v>92</v>
      </c>
      <c r="G60" s="66">
        <v>1.6799999999999999E-2</v>
      </c>
      <c r="H60" s="42">
        <v>1.7999999999999999E-2</v>
      </c>
      <c r="I60" s="42">
        <v>1.7999999999999999E-2</v>
      </c>
      <c r="J60" s="43">
        <f t="shared" si="24"/>
        <v>1.7999999999999999E-2</v>
      </c>
      <c r="K60" s="39">
        <v>0</v>
      </c>
      <c r="L60" s="45">
        <f t="shared" si="25"/>
        <v>0</v>
      </c>
      <c r="M60" s="70">
        <f t="shared" si="26"/>
        <v>0</v>
      </c>
      <c r="N60" s="46">
        <v>142526</v>
      </c>
      <c r="O60" s="37">
        <v>2564.65</v>
      </c>
      <c r="P60" s="68">
        <f t="shared" si="28"/>
        <v>0</v>
      </c>
      <c r="Q60" s="48">
        <f t="shared" si="27"/>
        <v>7.1428571428571397E-2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 t="shared" si="24"/>
        <v>18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905243703.10440004</v>
      </c>
      <c r="E62" s="39">
        <v>0</v>
      </c>
      <c r="F62" s="40" t="s">
        <v>92</v>
      </c>
      <c r="G62" s="66">
        <v>0.59499999999999997</v>
      </c>
      <c r="H62" s="42">
        <v>0.96560000000000001</v>
      </c>
      <c r="I62" s="42">
        <v>1.1244000000000001</v>
      </c>
      <c r="J62" s="43">
        <f t="shared" si="24"/>
        <v>1.1244000000000001</v>
      </c>
      <c r="K62" s="39">
        <v>0</v>
      </c>
      <c r="L62" s="45">
        <f t="shared" si="25"/>
        <v>0.15880000000000005</v>
      </c>
      <c r="M62" s="45">
        <f t="shared" si="26"/>
        <v>16.445733222866615</v>
      </c>
      <c r="N62" s="46">
        <v>180385</v>
      </c>
      <c r="O62" s="37">
        <v>202833.79</v>
      </c>
      <c r="P62" s="68">
        <f t="shared" si="28"/>
        <v>0</v>
      </c>
      <c r="Q62" s="48">
        <f t="shared" si="27"/>
        <v>0.88974789915966412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79517927.989999995</v>
      </c>
      <c r="E63" s="39">
        <v>0</v>
      </c>
      <c r="F63" s="40" t="s">
        <v>34</v>
      </c>
      <c r="G63" s="66">
        <v>0.22600000000000001</v>
      </c>
      <c r="H63" s="42">
        <v>0.30220000000000002</v>
      </c>
      <c r="I63" s="42">
        <v>0.30499999999999999</v>
      </c>
      <c r="J63" s="43">
        <f t="shared" si="24"/>
        <v>0.30499999999999999</v>
      </c>
      <c r="K63" s="39">
        <v>0</v>
      </c>
      <c r="L63" s="45">
        <f t="shared" si="25"/>
        <v>2.7999999999999692E-3</v>
      </c>
      <c r="M63" s="45">
        <f t="shared" si="26"/>
        <v>0.92653871608205463</v>
      </c>
      <c r="N63" s="46">
        <v>979</v>
      </c>
      <c r="O63" s="37">
        <v>298.55</v>
      </c>
      <c r="P63" s="68">
        <f t="shared" si="28"/>
        <v>0</v>
      </c>
      <c r="Q63" s="48">
        <f t="shared" si="27"/>
        <v>0.34955752212389379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346249610.92919999</v>
      </c>
      <c r="E64" s="39">
        <v>0</v>
      </c>
      <c r="F64" s="40" t="s">
        <v>34</v>
      </c>
      <c r="G64" s="66">
        <v>0.49440000000000001</v>
      </c>
      <c r="H64" s="42">
        <v>0.61380000000000001</v>
      </c>
      <c r="I64" s="42">
        <v>0.6159</v>
      </c>
      <c r="J64" s="43">
        <f t="shared" si="24"/>
        <v>0.6159</v>
      </c>
      <c r="K64" s="39">
        <v>0</v>
      </c>
      <c r="L64" s="45">
        <f t="shared" si="25"/>
        <v>2.0999999999999908E-3</v>
      </c>
      <c r="M64" s="45">
        <f t="shared" si="26"/>
        <v>0.34213098729227609</v>
      </c>
      <c r="N64" s="46">
        <v>13599</v>
      </c>
      <c r="O64" s="37">
        <v>8375.2099999999991</v>
      </c>
      <c r="P64" s="68">
        <f t="shared" si="28"/>
        <v>0</v>
      </c>
      <c r="Q64" s="48">
        <f t="shared" si="27"/>
        <v>0.24575242718446599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18951926.73</v>
      </c>
      <c r="E66" s="39">
        <v>0</v>
      </c>
      <c r="F66" s="40" t="s">
        <v>44</v>
      </c>
      <c r="G66" s="66">
        <v>4.2999999999999997E-2</v>
      </c>
      <c r="H66" s="42">
        <v>0.06</v>
      </c>
      <c r="I66" s="42">
        <v>5.5E-2</v>
      </c>
      <c r="J66" s="43">
        <f t="shared" si="24"/>
        <v>5.5E-2</v>
      </c>
      <c r="K66" s="39">
        <v>0</v>
      </c>
      <c r="L66" s="45">
        <f t="shared" si="25"/>
        <v>-4.9999999999999975E-3</v>
      </c>
      <c r="M66" s="45">
        <f t="shared" si="26"/>
        <v>-8.3333333333333304</v>
      </c>
      <c r="N66" s="46">
        <v>12118</v>
      </c>
      <c r="O66" s="37">
        <v>666.76</v>
      </c>
      <c r="P66" s="68">
        <f t="shared" si="28"/>
        <v>0</v>
      </c>
      <c r="Q66" s="48">
        <f t="shared" si="27"/>
        <v>0.27906976744186052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970455</v>
      </c>
      <c r="O67" s="58">
        <f>SUM(O52:O66)</f>
        <v>345359.67000000004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41539435.043400005</v>
      </c>
      <c r="E72" s="39">
        <f>C72*K72</f>
        <v>41539435.043400005</v>
      </c>
      <c r="F72" s="86" t="s">
        <v>158</v>
      </c>
      <c r="G72" s="86">
        <v>0.24</v>
      </c>
      <c r="H72" s="87">
        <v>0.36</v>
      </c>
      <c r="I72" s="87">
        <v>0.29820000000000002</v>
      </c>
      <c r="J72" s="88">
        <f>I72</f>
        <v>0.29820000000000002</v>
      </c>
      <c r="K72" s="88">
        <f>J72</f>
        <v>0.29820000000000002</v>
      </c>
      <c r="L72" s="45">
        <f>I72-H72</f>
        <v>-6.1799999999999966E-2</v>
      </c>
      <c r="M72" s="45">
        <f>((I72-H72)/H72)*100</f>
        <v>-17.166666666666657</v>
      </c>
      <c r="N72" s="89">
        <v>1735</v>
      </c>
      <c r="O72" s="90">
        <v>517.42999999999995</v>
      </c>
      <c r="P72" s="68">
        <f>(R72)/J72</f>
        <v>0</v>
      </c>
      <c r="Q72" s="91">
        <f>J72/G72-1</f>
        <v>0.24250000000000016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66460596.749999993</v>
      </c>
      <c r="E73" s="39">
        <f>C73*K73</f>
        <v>66460596.749999993</v>
      </c>
      <c r="F73" s="86" t="s">
        <v>158</v>
      </c>
      <c r="G73" s="86">
        <v>0.1</v>
      </c>
      <c r="H73" s="87">
        <v>0.1477</v>
      </c>
      <c r="I73" s="87">
        <v>0.14099999999999999</v>
      </c>
      <c r="J73" s="88">
        <f>I73</f>
        <v>0.14099999999999999</v>
      </c>
      <c r="K73" s="88">
        <f>J73</f>
        <v>0.14099999999999999</v>
      </c>
      <c r="L73" s="45">
        <f>I73-H73</f>
        <v>-6.7000000000000115E-3</v>
      </c>
      <c r="M73" s="45">
        <f>((I73-H73)/H73)*100</f>
        <v>-4.5362220717671038</v>
      </c>
      <c r="N73" s="46">
        <v>1183153</v>
      </c>
      <c r="O73" s="90">
        <v>166876.31</v>
      </c>
      <c r="P73" s="92">
        <f>(R73)/J73</f>
        <v>2.6893617021276597E-2</v>
      </c>
      <c r="Q73" s="91">
        <f>J73/G73-1</f>
        <v>0.4099999999999997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1184888</v>
      </c>
      <c r="O74" s="58">
        <f>SUM(O72:O73)</f>
        <v>167393.74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175678.14726381254</v>
      </c>
      <c r="E76" s="39">
        <f>C76*K76</f>
        <v>151321.54333333333</v>
      </c>
      <c r="F76" s="40" t="s">
        <v>140</v>
      </c>
      <c r="G76" s="66">
        <v>0.105</v>
      </c>
      <c r="H76" s="42">
        <v>9.3854000000000007E-2</v>
      </c>
      <c r="I76" s="42">
        <v>0.1</v>
      </c>
      <c r="J76" s="43">
        <f>I76/$J$5</f>
        <v>3.8698642064649955E-3</v>
      </c>
      <c r="K76" s="44">
        <f>I76/$K$4</f>
        <v>3.3333333333333335E-3</v>
      </c>
      <c r="L76" s="45">
        <f>I76-H76</f>
        <v>6.1459999999999987E-3</v>
      </c>
      <c r="M76" s="93">
        <f>((I76-H76)/H76)*100</f>
        <v>6.5484688985019259</v>
      </c>
      <c r="N76" s="37">
        <v>2400</v>
      </c>
      <c r="O76" s="37">
        <v>240</v>
      </c>
      <c r="P76" s="40">
        <v>0</v>
      </c>
      <c r="Q76" s="48">
        <f>I76/G76-1</f>
        <v>-4.7619047619047561E-2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319397.80199375405</v>
      </c>
      <c r="E77" s="39">
        <f>C77*K77</f>
        <v>275115.42606599996</v>
      </c>
      <c r="F77" s="40" t="s">
        <v>140</v>
      </c>
      <c r="G77" s="66">
        <v>4.2500000000000003E-2</v>
      </c>
      <c r="H77" s="42">
        <v>6.0614999999999995E-2</v>
      </c>
      <c r="I77" s="42">
        <v>6.0614999999999995E-2</v>
      </c>
      <c r="J77" s="43">
        <f>I77/$J$5</f>
        <v>2.3457181887487568E-3</v>
      </c>
      <c r="K77" s="44">
        <f>I77/$K$4</f>
        <v>2.0204999999999997E-3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0.42623529411764682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1817661.7893478118</v>
      </c>
      <c r="E78" s="39">
        <f>C78*K78</f>
        <v>1565655.0999999999</v>
      </c>
      <c r="F78" s="40" t="s">
        <v>140</v>
      </c>
      <c r="G78" s="66">
        <v>6.0499999999999998E-2</v>
      </c>
      <c r="H78" s="42">
        <v>9.5000000000000001E-2</v>
      </c>
      <c r="I78" s="42">
        <v>9.5000000000000001E-2</v>
      </c>
      <c r="J78" s="43">
        <f>I78/$J$5</f>
        <v>3.6763709961417455E-3</v>
      </c>
      <c r="K78" s="44">
        <f>I78/$K$4</f>
        <v>3.1666666666666666E-3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0.57024793388429762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2564260.0285595981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6.230481372408643E-2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2400</v>
      </c>
      <c r="O80" s="58">
        <f>SUM(O76:O79)</f>
        <v>240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33489128.014256582</v>
      </c>
      <c r="E82" s="39">
        <f>C82*K82</f>
        <v>28846083.675933331</v>
      </c>
      <c r="F82" s="40" t="s">
        <v>173</v>
      </c>
      <c r="G82" s="40">
        <v>1.3</v>
      </c>
      <c r="H82" s="42">
        <v>2.35</v>
      </c>
      <c r="I82" s="42">
        <v>2.3494999999999999</v>
      </c>
      <c r="J82" s="43">
        <f>I82/$J$5</f>
        <v>9.0922459530895061E-2</v>
      </c>
      <c r="K82" s="44">
        <f>I82/$K$4</f>
        <v>7.8316666666666659E-2</v>
      </c>
      <c r="L82" s="45">
        <f>I82-H82</f>
        <v>-5.0000000000016698E-4</v>
      </c>
      <c r="M82" s="45">
        <f>((I82-H82)/H82*100)</f>
        <v>-2.1276595744687956E-2</v>
      </c>
      <c r="N82" s="47">
        <v>400</v>
      </c>
      <c r="O82" s="37">
        <v>939.8</v>
      </c>
      <c r="P82" s="47">
        <f>(R82)/J82</f>
        <v>0</v>
      </c>
      <c r="Q82" s="48">
        <f>I82/G82-1</f>
        <v>0.80730769230769228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84166286.035208046</v>
      </c>
      <c r="E83" s="39">
        <f>C83*K83</f>
        <v>72497191.585000008</v>
      </c>
      <c r="F83" s="40" t="s">
        <v>173</v>
      </c>
      <c r="G83" s="40">
        <v>1.44347</v>
      </c>
      <c r="H83" s="42">
        <v>1.179996</v>
      </c>
      <c r="I83" s="42">
        <v>1.1813100000000001</v>
      </c>
      <c r="J83" s="43">
        <f>I83/$J$5</f>
        <v>4.5715092857391643E-2</v>
      </c>
      <c r="K83" s="44">
        <f>I83/$K$4</f>
        <v>3.9377000000000002E-2</v>
      </c>
      <c r="L83" s="45">
        <f>I83-H83</f>
        <v>1.3140000000000374E-3</v>
      </c>
      <c r="M83" s="45">
        <f>((I83-H83)/H83*100)</f>
        <v>0.11135630968240887</v>
      </c>
      <c r="N83" s="47">
        <v>50252</v>
      </c>
      <c r="O83" s="37">
        <v>59372.452499999999</v>
      </c>
      <c r="P83" s="102">
        <f>(R83)/J83</f>
        <v>4.7599159577079671E-2</v>
      </c>
      <c r="Q83" s="48">
        <f>I83/G83-1</f>
        <v>-0.18161790684946688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50652</v>
      </c>
      <c r="O84" s="58">
        <f>SUM(O82:O83)</f>
        <v>60312.252500000002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58</v>
      </c>
      <c r="B87" s="110">
        <v>11.385</v>
      </c>
      <c r="C87" s="110"/>
      <c r="D87" s="110">
        <v>14.997595504821263</v>
      </c>
      <c r="E87" s="35" t="s">
        <v>62</v>
      </c>
      <c r="F87" s="111">
        <v>2.5</v>
      </c>
      <c r="G87" s="111"/>
      <c r="H87" s="112">
        <v>-13.334012794673017</v>
      </c>
      <c r="L87" s="35" t="s">
        <v>141</v>
      </c>
      <c r="M87" s="47">
        <v>1.1244000000000001</v>
      </c>
      <c r="N87" s="113">
        <v>16.445733222866615</v>
      </c>
      <c r="O87" s="35" t="s">
        <v>124</v>
      </c>
      <c r="P87" s="111">
        <v>50.753300000000003</v>
      </c>
      <c r="Q87" s="114">
        <v>-13.977457627118639</v>
      </c>
    </row>
    <row r="88" spans="1:38" x14ac:dyDescent="0.25">
      <c r="A88" s="35" t="s">
        <v>97</v>
      </c>
      <c r="B88" s="110">
        <v>3.3</v>
      </c>
      <c r="C88" s="110"/>
      <c r="D88" s="110">
        <v>6.2772496478358351</v>
      </c>
      <c r="E88" s="35" t="s">
        <v>78</v>
      </c>
      <c r="F88" s="111">
        <v>0.75</v>
      </c>
      <c r="G88" s="111"/>
      <c r="H88" s="112">
        <v>-13.294797687861271</v>
      </c>
      <c r="L88" s="35" t="s">
        <v>130</v>
      </c>
      <c r="M88" s="47">
        <v>0.1105</v>
      </c>
      <c r="N88" s="113">
        <v>1.5625000000000067</v>
      </c>
      <c r="O88" s="35" t="s">
        <v>149</v>
      </c>
      <c r="P88" s="111">
        <v>5.5E-2</v>
      </c>
      <c r="Q88" s="114">
        <v>-8.3333333333333304</v>
      </c>
    </row>
    <row r="89" spans="1:38" x14ac:dyDescent="0.25">
      <c r="A89" s="35" t="s">
        <v>99</v>
      </c>
      <c r="B89" s="110">
        <v>0.115</v>
      </c>
      <c r="C89" s="110"/>
      <c r="D89" s="110">
        <v>4.0723981900452522</v>
      </c>
      <c r="E89" s="35" t="s">
        <v>40</v>
      </c>
      <c r="F89" s="111">
        <v>180</v>
      </c>
      <c r="G89" s="111"/>
      <c r="H89" s="112">
        <v>-9.8826221153051943</v>
      </c>
      <c r="L89" s="35" t="s">
        <v>122</v>
      </c>
      <c r="M89" s="47">
        <v>0.12959999999999999</v>
      </c>
      <c r="N89" s="113">
        <v>1.3291634089131972</v>
      </c>
      <c r="O89" s="35" t="s">
        <v>126</v>
      </c>
      <c r="P89" s="111">
        <v>0.24859999999999999</v>
      </c>
      <c r="Q89" s="114">
        <v>-5.7976506252368454</v>
      </c>
    </row>
    <row r="90" spans="1:38" x14ac:dyDescent="0.25">
      <c r="A90" s="35" t="s">
        <v>69</v>
      </c>
      <c r="B90" s="110">
        <v>9.6</v>
      </c>
      <c r="C90" s="110"/>
      <c r="D90" s="110">
        <v>1.0526315789473648</v>
      </c>
      <c r="E90" s="35" t="s">
        <v>115</v>
      </c>
      <c r="F90" s="111">
        <v>0.69</v>
      </c>
      <c r="G90" s="111"/>
      <c r="H90" s="112">
        <v>-7.4627906540100906</v>
      </c>
      <c r="L90" s="35" t="s">
        <v>143</v>
      </c>
      <c r="M90" s="47">
        <v>0.30499999999999999</v>
      </c>
      <c r="N90" s="113">
        <v>0.92653871608205463</v>
      </c>
      <c r="O90" s="35" t="s">
        <v>132</v>
      </c>
      <c r="P90" s="111">
        <v>1.2051000000000001</v>
      </c>
      <c r="Q90" s="114">
        <v>-0.58571192872462341</v>
      </c>
    </row>
    <row r="91" spans="1:38" x14ac:dyDescent="0.25">
      <c r="A91" s="35" t="s">
        <v>45</v>
      </c>
      <c r="B91" s="110">
        <v>15.324999999999999</v>
      </c>
      <c r="C91" s="110"/>
      <c r="D91" s="110">
        <v>0.16143474310960751</v>
      </c>
      <c r="E91" s="35" t="s">
        <v>107</v>
      </c>
      <c r="F91" s="111">
        <v>4.0812999999999995E-2</v>
      </c>
      <c r="G91" s="111"/>
      <c r="H91" s="112">
        <v>-3.2867298578199042</v>
      </c>
      <c r="L91" s="35" t="s">
        <v>145</v>
      </c>
      <c r="M91" s="47">
        <v>0.6159</v>
      </c>
      <c r="N91" s="113">
        <v>0.34213098729227609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Q6+JdlQYdjHGFgztes8bptYytxr+54EeXRhO82nvSQ9L/pCCurASe8hblSyNVGQcNyXpLnZKlYj5FO+QkPwfvw==" saltValue="zzjiA9wZLcu120VzbhqHh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2026-05-11T13:15:15Z</dcterms:created>
  <dcterms:modified xsi:type="dcterms:W3CDTF">2026-05-11T13:21:41Z</dcterms:modified>
</cp:coreProperties>
</file>