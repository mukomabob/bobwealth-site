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7.09.26/"/>
    </mc:Choice>
  </mc:AlternateContent>
  <xr:revisionPtr revIDLastSave="0" documentId="8_{8134168D-68AD-4C8B-837D-A091B82DBF55}" xr6:coauthVersionLast="47" xr6:coauthVersionMax="47" xr10:uidLastSave="{00000000-0000-0000-0000-000000000000}"/>
  <bookViews>
    <workbookView xWindow="-108" yWindow="-108" windowWidth="23256" windowHeight="12456" xr2:uid="{6AE5B0B4-4EC9-4909-9E35-6597481081FA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M54" i="1"/>
  <c r="L54" i="1"/>
  <c r="J54" i="1"/>
  <c r="P54" i="1" s="1"/>
  <c r="D54" i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9" i="1"/>
  <c r="M9" i="1"/>
  <c r="L9" i="1"/>
  <c r="K9" i="1"/>
  <c r="J9" i="1"/>
  <c r="D9" i="1" s="1"/>
  <c r="E9" i="1"/>
  <c r="K71" i="1" l="1"/>
  <c r="E71" i="1" s="1"/>
  <c r="P9" i="1"/>
  <c r="P12" i="1"/>
  <c r="P15" i="1"/>
  <c r="P39" i="1"/>
  <c r="P42" i="1"/>
  <c r="P53" i="1"/>
  <c r="P55" i="1"/>
  <c r="P57" i="1"/>
  <c r="P59" i="1"/>
  <c r="P61" i="1"/>
  <c r="P63" i="1"/>
  <c r="P65" i="1"/>
  <c r="P51" i="1"/>
  <c r="P71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<sst xmlns="http://schemas.openxmlformats.org/spreadsheetml/2006/main" count="270" uniqueCount="185">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</sst>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FE33F625-91C0-4312-BA20-306115C0F9F0}"/>
    <cellStyle name="Comma 5 2 2 2 2 2 2 2 2 2 2 2" xfId="4" xr:uid="{0F8EA648-E2EC-4C40-BE0D-99E687BC6680}"/>
    <cellStyle name="Comma 6 2 2 2 2 2 2" xfId="5" xr:uid="{B68759A5-14E2-404B-AE03-305E78BA0F6A}"/>
    <cellStyle name="Hyperlink 2" xfId="8" xr:uid="{AE6E98C5-C647-4111-8378-77C645E57924}"/>
    <cellStyle name="Normal" xfId="0" builtinId="0"/>
    <cellStyle name="Normal 2" xfId="2" xr:uid="{B0C590AC-4AEA-4693-868C-7DA1B342CB12}"/>
    <cellStyle name="Normal 20" xfId="7" xr:uid="{7729561E-5411-4D1F-972E-3DD5808BF678}"/>
    <cellStyle name="Percent" xfId="1" builtinId="5"/>
    <cellStyle name="Percent 3" xfId="6" xr:uid="{CA75F29A-93EE-40E3-8229-14A39C660B62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55A44A6-8CF6-4045-8ABC-DC6038A8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4B22B7D-DAA0-43BA-AB71-AFA1E5778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84D8-E746-48FC-9266-E15B4AACA4D4}">
  <dimension ref="A1:II107"/>
  <sheetViews>
    <sheetView tabSelected="1" zoomScale="70" zoomScaleNormal="70" workbookViewId="0">
      <selection activeCell="M99" sqref="M9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26.854700000000001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80957674.922825426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0.64234566016377015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1600</v>
      </c>
      <c r="O9" s="37">
        <v>27600</v>
      </c>
      <c r="P9" s="48">
        <f t="shared" ref="P9:P17" si="5">(R9)/J9</f>
        <v>2.3351913043478261E-2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3043636.4494436728</v>
      </c>
      <c r="E10" s="39">
        <f t="shared" si="1"/>
        <v>2554248.2424648437</v>
      </c>
      <c r="F10" s="40" t="s">
        <v>34</v>
      </c>
      <c r="G10" s="41">
        <v>3.1600000000000003E-2</v>
      </c>
      <c r="H10" s="42">
        <v>5.0199999999999995E-2</v>
      </c>
      <c r="I10" s="43">
        <v>5.0224999999999999E-2</v>
      </c>
      <c r="J10" s="44">
        <f t="shared" ref="J10:J17" si="7">I10/$J$5</f>
        <v>1.8702499003898758E-3</v>
      </c>
      <c r="K10" s="45">
        <f t="shared" si="2"/>
        <v>1.56953125E-3</v>
      </c>
      <c r="L10" s="46">
        <f t="shared" si="3"/>
        <v>2.5000000000004186E-5</v>
      </c>
      <c r="M10" s="46">
        <f t="shared" si="4"/>
        <v>4.9800796812757349E-2</v>
      </c>
      <c r="N10" s="51">
        <v>800</v>
      </c>
      <c r="O10" s="37">
        <v>40.18</v>
      </c>
      <c r="P10" s="52">
        <f t="shared" si="5"/>
        <v>0</v>
      </c>
      <c r="Q10" s="49">
        <f t="shared" si="6"/>
        <v>0.58939873417721489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3539141.2148525207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8.0991409324997106E-3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130617653.14823848</v>
      </c>
      <c r="E12" s="39">
        <f t="shared" si="1"/>
        <v>109615559.0625</v>
      </c>
      <c r="F12" s="40" t="s">
        <v>34</v>
      </c>
      <c r="G12" s="41">
        <v>97.381</v>
      </c>
      <c r="H12" s="42">
        <v>170</v>
      </c>
      <c r="I12" s="43">
        <v>170</v>
      </c>
      <c r="J12" s="44">
        <f t="shared" si="7"/>
        <v>6.3303630277009235</v>
      </c>
      <c r="K12" s="45">
        <f t="shared" si="2"/>
        <v>5.3125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0.74572041774062692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8131824.2244374352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0.93093573936778284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10000</v>
      </c>
      <c r="O13" s="37">
        <v>250000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766382561.93435693</v>
      </c>
      <c r="E14" s="39">
        <f t="shared" si="1"/>
        <v>643155430.8118304</v>
      </c>
      <c r="F14" s="40" t="s">
        <v>47</v>
      </c>
      <c r="G14" s="41">
        <v>11.5</v>
      </c>
      <c r="H14" s="42">
        <v>39.377299999999998</v>
      </c>
      <c r="I14" s="43">
        <v>39.377254999999998</v>
      </c>
      <c r="J14" s="44">
        <f t="shared" si="7"/>
        <v>1.466307759907949</v>
      </c>
      <c r="K14" s="45">
        <f t="shared" si="2"/>
        <v>1.2305392187499999</v>
      </c>
      <c r="L14" s="46">
        <f t="shared" si="3"/>
        <v>-4.500000000007276E-5</v>
      </c>
      <c r="M14" s="46">
        <f t="shared" si="4"/>
        <v>-1.1427903893886264E-4</v>
      </c>
      <c r="N14" s="51">
        <v>0</v>
      </c>
      <c r="O14" s="37">
        <v>0</v>
      </c>
      <c r="P14" s="52">
        <f t="shared" si="5"/>
        <v>0</v>
      </c>
      <c r="Q14" s="49">
        <f t="shared" si="6"/>
        <v>2.4241091304347826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27245958.342487533</v>
      </c>
      <c r="E15" s="39">
        <f t="shared" si="1"/>
        <v>22865063.671875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0.25693826406550807</v>
      </c>
      <c r="K15" s="45">
        <f t="shared" si="2"/>
        <v>0.21562500000000001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79986190.424767345</v>
      </c>
      <c r="E16" s="39">
        <f t="shared" si="1"/>
        <v>67125160.875</v>
      </c>
      <c r="F16" s="40" t="s">
        <v>34</v>
      </c>
      <c r="G16" s="41">
        <v>1.9</v>
      </c>
      <c r="H16" s="42">
        <v>6</v>
      </c>
      <c r="I16" s="43">
        <v>6</v>
      </c>
      <c r="J16" s="44">
        <f t="shared" si="7"/>
        <v>0.22342457744826788</v>
      </c>
      <c r="K16" s="45">
        <f t="shared" si="2"/>
        <v>0.1875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0.22378916666666671</v>
      </c>
      <c r="Q16" s="49">
        <f t="shared" si="6"/>
        <v>2.1578947368421053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1400619131.2931294</v>
      </c>
      <c r="E17" s="39">
        <f t="shared" si="1"/>
        <v>1175412705.7855501</v>
      </c>
      <c r="F17" s="40" t="s">
        <v>34</v>
      </c>
      <c r="G17" s="41">
        <v>20.701700000000002</v>
      </c>
      <c r="H17" s="42">
        <v>28.405700000000003</v>
      </c>
      <c r="I17" s="43">
        <v>27.907878999999998</v>
      </c>
      <c r="J17" s="44">
        <f t="shared" si="7"/>
        <v>1.0392176788420648</v>
      </c>
      <c r="K17" s="45">
        <f t="shared" si="2"/>
        <v>0.87212121874999993</v>
      </c>
      <c r="L17" s="46">
        <f t="shared" si="3"/>
        <v>-0.4978210000000054</v>
      </c>
      <c r="M17" s="46">
        <f t="shared" si="4"/>
        <v>-1.7525391030673612</v>
      </c>
      <c r="N17" s="51">
        <v>251600</v>
      </c>
      <c r="O17" s="37">
        <v>7021622.4000000004</v>
      </c>
      <c r="P17" s="48">
        <f t="shared" si="5"/>
        <v>0</v>
      </c>
      <c r="Q17" s="49">
        <f t="shared" si="6"/>
        <v>0.34809600177763156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336141357.72576123</v>
      </c>
      <c r="E19" s="39">
        <f t="shared" si="1"/>
        <v>282092978.72868752</v>
      </c>
      <c r="F19" s="40" t="s">
        <v>47</v>
      </c>
      <c r="G19" s="41">
        <v>12.45</v>
      </c>
      <c r="H19" s="42">
        <v>13.411199999999999</v>
      </c>
      <c r="I19" s="43">
        <v>13.434000000000001</v>
      </c>
      <c r="J19" s="44">
        <f t="shared" ref="J19:J45" si="8">I19/$J$5</f>
        <v>0.50024762890667185</v>
      </c>
      <c r="K19" s="45">
        <f t="shared" ref="K19:K45" si="9">I19/$K$4</f>
        <v>0.41981250000000003</v>
      </c>
      <c r="L19" s="46">
        <f t="shared" ref="L19:L29" si="10">I19-H19</f>
        <v>2.280000000000193E-2</v>
      </c>
      <c r="M19" s="46">
        <f>((I19-H19)/H19)*100</f>
        <v>0.17000715819614898</v>
      </c>
      <c r="N19" s="51">
        <v>500</v>
      </c>
      <c r="O19" s="37">
        <v>6717</v>
      </c>
      <c r="P19" s="52">
        <f>(R19)/J19</f>
        <v>0</v>
      </c>
      <c r="Q19" s="49">
        <f t="shared" ref="Q19:Q29" si="11">I19/G19-1</f>
        <v>7.9036144578313428E-2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3731541.5074456236</v>
      </c>
      <c r="E20" s="39">
        <f t="shared" si="1"/>
        <v>3131544.61625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3.4258435208734409E-2</v>
      </c>
      <c r="K20" s="45">
        <f t="shared" si="9"/>
        <v>2.8750000000000001E-2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1.628571428571429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76711973.475778908</v>
      </c>
      <c r="E21" s="39">
        <f t="shared" si="1"/>
        <v>64377407.315624997</v>
      </c>
      <c r="F21" s="40" t="s">
        <v>47</v>
      </c>
      <c r="G21" s="41">
        <v>2.85</v>
      </c>
      <c r="H21" s="42">
        <v>2.9849999999999999</v>
      </c>
      <c r="I21" s="43">
        <v>2.9849999999999999</v>
      </c>
      <c r="J21" s="44">
        <f t="shared" si="8"/>
        <v>0.11115372728051327</v>
      </c>
      <c r="K21" s="45">
        <f t="shared" si="9"/>
        <v>9.3281249999999996E-2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1718381.5711216284</v>
      </c>
      <c r="E23" s="39">
        <f t="shared" si="1"/>
        <v>1442081.9243124998</v>
      </c>
      <c r="F23" s="40" t="s">
        <v>44</v>
      </c>
      <c r="G23" s="41">
        <v>0.1</v>
      </c>
      <c r="H23" s="42">
        <v>8.5999999999999993E-2</v>
      </c>
      <c r="I23" s="43">
        <v>8.5999999999999993E-2</v>
      </c>
      <c r="J23" s="44">
        <f t="shared" si="8"/>
        <v>3.2024189434251729E-3</v>
      </c>
      <c r="K23" s="45">
        <f t="shared" si="9"/>
        <v>2.6874999999999998E-3</v>
      </c>
      <c r="L23" s="46">
        <f t="shared" si="10"/>
        <v>0</v>
      </c>
      <c r="M23" s="46">
        <f t="shared" ref="M23:M29" si="12">((I23-H23)/H23)*100</f>
        <v>0</v>
      </c>
      <c r="N23" s="51">
        <v>0</v>
      </c>
      <c r="O23" s="37">
        <v>0</v>
      </c>
      <c r="P23" s="52">
        <f t="shared" ref="P23:P29" si="13">(R23)/J23</f>
        <v>0</v>
      </c>
      <c r="Q23" s="49">
        <f t="shared" si="11"/>
        <v>-0.14000000000000012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76905412.447690725</v>
      </c>
      <c r="E24" s="39">
        <f t="shared" si="1"/>
        <v>64539743.114343747</v>
      </c>
      <c r="F24" s="40" t="s">
        <v>34</v>
      </c>
      <c r="G24" s="41">
        <v>8.1687659999999997</v>
      </c>
      <c r="H24" s="42">
        <v>10.6998</v>
      </c>
      <c r="I24" s="43">
        <v>10.69975</v>
      </c>
      <c r="J24" s="44">
        <f t="shared" si="8"/>
        <v>0.39843118709201741</v>
      </c>
      <c r="K24" s="45">
        <f t="shared" si="9"/>
        <v>0.3343671875</v>
      </c>
      <c r="L24" s="46">
        <f t="shared" si="10"/>
        <v>-4.9999999999883471E-5</v>
      </c>
      <c r="M24" s="46">
        <f t="shared" si="12"/>
        <v>-4.6729845417562452E-4</v>
      </c>
      <c r="N24" s="51">
        <v>0</v>
      </c>
      <c r="O24" s="37">
        <v>0</v>
      </c>
      <c r="P24" s="48">
        <f t="shared" si="13"/>
        <v>3.7647655319049511E-2</v>
      </c>
      <c r="Q24" s="49">
        <f t="shared" si="11"/>
        <v>0.30983676114605307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104944955.44653262</v>
      </c>
      <c r="E25" s="39">
        <f t="shared" si="1"/>
        <v>88070790.469687492</v>
      </c>
      <c r="F25" s="40" t="s">
        <v>66</v>
      </c>
      <c r="G25" s="41">
        <v>1.6675</v>
      </c>
      <c r="H25" s="42">
        <v>1.6850000000000001</v>
      </c>
      <c r="I25" s="43">
        <v>1.67</v>
      </c>
      <c r="J25" s="44">
        <f t="shared" si="8"/>
        <v>6.2186507389767894E-2</v>
      </c>
      <c r="K25" s="45">
        <f t="shared" si="9"/>
        <v>5.2187499999999998E-2</v>
      </c>
      <c r="L25" s="46">
        <f t="shared" si="10"/>
        <v>-1.5000000000000124E-2</v>
      </c>
      <c r="M25" s="46">
        <f t="shared" si="12"/>
        <v>-0.89020771513353847</v>
      </c>
      <c r="N25" s="51">
        <v>1000</v>
      </c>
      <c r="O25" s="37">
        <v>1670</v>
      </c>
      <c r="P25" s="52">
        <f t="shared" si="13"/>
        <v>0</v>
      </c>
      <c r="Q25" s="49">
        <f t="shared" si="11"/>
        <v>1.4992503748125774E-3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20718565.667821534</v>
      </c>
      <c r="E26" s="39">
        <f t="shared" si="1"/>
        <v>17387214.544988971</v>
      </c>
      <c r="F26" s="40" t="s">
        <v>44</v>
      </c>
      <c r="G26" s="41">
        <v>1.7994999999999999</v>
      </c>
      <c r="H26" s="42">
        <v>2.3242210000000001</v>
      </c>
      <c r="I26" s="43">
        <v>2.3242210000000001</v>
      </c>
      <c r="J26" s="44">
        <f t="shared" si="8"/>
        <v>8.6548015803565109E-2</v>
      </c>
      <c r="K26" s="45">
        <f t="shared" si="9"/>
        <v>7.2631906250000003E-2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0.29159266462906386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23845987.946244046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9.3093573936778293E-2</v>
      </c>
      <c r="K27" s="45">
        <f t="shared" si="9"/>
        <v>7.8125E-2</v>
      </c>
      <c r="L27" s="46">
        <f t="shared" si="10"/>
        <v>0</v>
      </c>
      <c r="M27" s="46">
        <f t="shared" si="12"/>
        <v>0</v>
      </c>
      <c r="N27" s="51">
        <v>19400</v>
      </c>
      <c r="O27" s="37">
        <v>48500</v>
      </c>
      <c r="P27" s="52">
        <f t="shared" si="13"/>
        <v>0</v>
      </c>
      <c r="Q27" s="49">
        <f t="shared" si="11"/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24761785.790941622</v>
      </c>
      <c r="E28" s="39">
        <f t="shared" si="1"/>
        <v>20780322.7775</v>
      </c>
      <c r="F28" s="40" t="s">
        <v>44</v>
      </c>
      <c r="G28" s="41">
        <v>0.8</v>
      </c>
      <c r="H28" s="42">
        <v>0.88</v>
      </c>
      <c r="I28" s="43">
        <v>0.88</v>
      </c>
      <c r="J28" s="44">
        <f t="shared" si="8"/>
        <v>3.2768938025745958E-2</v>
      </c>
      <c r="K28" s="45">
        <f t="shared" si="9"/>
        <v>2.75E-2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9.9999999999999867E-2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113893385.46250749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0.25358689540378404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700</v>
      </c>
      <c r="O29" s="37">
        <v>4767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14950581.72871043</v>
      </c>
      <c r="E31" s="39">
        <f t="shared" si="1"/>
        <v>12546668.348437499</v>
      </c>
      <c r="F31" s="40" t="s">
        <v>39</v>
      </c>
      <c r="G31" s="41">
        <v>1.4</v>
      </c>
      <c r="H31" s="42">
        <v>1.5433330000000001</v>
      </c>
      <c r="I31" s="43">
        <v>1.5449999999999999</v>
      </c>
      <c r="J31" s="44">
        <f t="shared" si="8"/>
        <v>5.7531828692928978E-2</v>
      </c>
      <c r="K31" s="45">
        <f t="shared" si="9"/>
        <v>4.8281249999999998E-2</v>
      </c>
      <c r="L31" s="46">
        <f t="shared" ref="L31:L45" si="14">I31-H31</f>
        <v>1.666999999999863E-3</v>
      </c>
      <c r="M31" s="46">
        <f t="shared" ref="M31:M45" si="15">((I31-H31)/H31)*100</f>
        <v>0.10801298229221191</v>
      </c>
      <c r="N31" s="51">
        <v>1100</v>
      </c>
      <c r="O31" s="37">
        <v>1699.5</v>
      </c>
      <c r="P31" s="52">
        <f t="shared" ref="P31:P36" si="16">(R31)/J31</f>
        <v>0</v>
      </c>
      <c r="Q31" s="49">
        <f t="shared" ref="Q31:Q45" si="17">I31/G31-1</f>
        <v>0.10357142857142865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4453182.5192610603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3.6492680983217091E-2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131981268.93189268</v>
      </c>
      <c r="E33" s="39">
        <f t="shared" si="1"/>
        <v>110759918.21204057</v>
      </c>
      <c r="F33" s="40" t="s">
        <v>92</v>
      </c>
      <c r="G33" s="41">
        <v>1.44</v>
      </c>
      <c r="H33" s="42">
        <v>1.649913</v>
      </c>
      <c r="I33" s="43">
        <v>1.4202860000000002</v>
      </c>
      <c r="J33" s="44">
        <f t="shared" si="8"/>
        <v>5.288779990094844E-2</v>
      </c>
      <c r="K33" s="45">
        <f t="shared" si="9"/>
        <v>4.4383937500000005E-2</v>
      </c>
      <c r="L33" s="46">
        <f t="shared" si="14"/>
        <v>-0.2296269999999998</v>
      </c>
      <c r="M33" s="46">
        <f t="shared" si="15"/>
        <v>-13.917521711750849</v>
      </c>
      <c r="N33" s="51">
        <v>3500</v>
      </c>
      <c r="O33" s="37">
        <v>4971</v>
      </c>
      <c r="P33" s="52">
        <f t="shared" si="16"/>
        <v>0</v>
      </c>
      <c r="Q33" s="49">
        <f t="shared" si="17"/>
        <v>-1.3690277777777649E-2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42477421.959656969</v>
      </c>
      <c r="E34" s="39">
        <f t="shared" si="1"/>
        <v>35647450.734375</v>
      </c>
      <c r="F34" s="40" t="s">
        <v>34</v>
      </c>
      <c r="G34" s="41">
        <v>3.6056249999999999</v>
      </c>
      <c r="H34" s="42">
        <v>4.1849999999999996</v>
      </c>
      <c r="I34" s="43">
        <v>4.5</v>
      </c>
      <c r="J34" s="44">
        <f t="shared" si="8"/>
        <v>0.16756843308620092</v>
      </c>
      <c r="K34" s="45">
        <f t="shared" si="9"/>
        <v>0.140625</v>
      </c>
      <c r="L34" s="46">
        <f t="shared" si="14"/>
        <v>0.31500000000000039</v>
      </c>
      <c r="M34" s="46">
        <f t="shared" si="15"/>
        <v>7.5268817204301177</v>
      </c>
      <c r="N34" s="51">
        <v>16900</v>
      </c>
      <c r="O34" s="37">
        <v>76050</v>
      </c>
      <c r="P34" s="52">
        <f t="shared" si="16"/>
        <v>0</v>
      </c>
      <c r="Q34" s="49">
        <f t="shared" si="17"/>
        <v>0.24804992199687992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8813996.0458020382</v>
      </c>
      <c r="E35" s="39">
        <f t="shared" si="1"/>
        <v>7396788.1128499992</v>
      </c>
      <c r="F35" s="40" t="s">
        <v>34</v>
      </c>
      <c r="G35" s="41">
        <v>2.5099999999999997E-2</v>
      </c>
      <c r="H35" s="42">
        <v>4.9564000000000004E-2</v>
      </c>
      <c r="I35" s="43">
        <v>5.0199999999999995E-2</v>
      </c>
      <c r="J35" s="44">
        <f t="shared" si="8"/>
        <v>1.8693189646505079E-3</v>
      </c>
      <c r="K35" s="45">
        <f t="shared" si="9"/>
        <v>1.5687499999999998E-3</v>
      </c>
      <c r="L35" s="46">
        <f t="shared" si="14"/>
        <v>6.3599999999999074E-4</v>
      </c>
      <c r="M35" s="46">
        <f t="shared" si="15"/>
        <v>1.2831894116697415</v>
      </c>
      <c r="N35" s="51">
        <v>3200</v>
      </c>
      <c r="O35" s="37">
        <v>160.63999999999999</v>
      </c>
      <c r="P35" s="52">
        <f t="shared" si="16"/>
        <v>0</v>
      </c>
      <c r="Q35" s="49">
        <f t="shared" si="17"/>
        <v>1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68826696.829977617</v>
      </c>
      <c r="E36" s="39">
        <f t="shared" si="1"/>
        <v>57760009.229999997</v>
      </c>
      <c r="F36" s="40" t="s">
        <v>92</v>
      </c>
      <c r="G36" s="41">
        <v>0.61</v>
      </c>
      <c r="H36" s="42">
        <v>4.13</v>
      </c>
      <c r="I36" s="43">
        <v>3.52</v>
      </c>
      <c r="J36" s="44">
        <f t="shared" si="8"/>
        <v>0.13107575210298383</v>
      </c>
      <c r="K36" s="45">
        <f t="shared" si="9"/>
        <v>0.11</v>
      </c>
      <c r="L36" s="46">
        <f t="shared" si="14"/>
        <v>-0.60999999999999988</v>
      </c>
      <c r="M36" s="46">
        <f t="shared" si="15"/>
        <v>-14.769975786924938</v>
      </c>
      <c r="N36" s="51">
        <v>400</v>
      </c>
      <c r="O36" s="37">
        <v>1408</v>
      </c>
      <c r="P36" s="52">
        <f t="shared" si="16"/>
        <v>0</v>
      </c>
      <c r="Q36" s="49">
        <f t="shared" si="17"/>
        <v>4.7704918032786887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54744794.206398092</v>
      </c>
      <c r="E37" s="39">
        <f t="shared" si="1"/>
        <v>45942344.530454963</v>
      </c>
      <c r="F37" s="40" t="s">
        <v>56</v>
      </c>
      <c r="G37" s="41">
        <v>0.11650199999999999</v>
      </c>
      <c r="H37" s="42">
        <v>0.34054099999999998</v>
      </c>
      <c r="I37" s="43">
        <v>0.35047099999999998</v>
      </c>
      <c r="J37" s="44">
        <f t="shared" si="8"/>
        <v>1.3050639180478649E-2</v>
      </c>
      <c r="K37" s="45">
        <f t="shared" si="9"/>
        <v>1.0952218749999999E-2</v>
      </c>
      <c r="L37" s="46">
        <f t="shared" si="14"/>
        <v>9.9299999999999944E-3</v>
      </c>
      <c r="M37" s="46">
        <f t="shared" si="15"/>
        <v>2.9159484467362211</v>
      </c>
      <c r="N37" s="51">
        <v>29700</v>
      </c>
      <c r="O37" s="37">
        <v>10409</v>
      </c>
      <c r="P37" s="52">
        <v>0</v>
      </c>
      <c r="Q37" s="49">
        <f t="shared" si="17"/>
        <v>2.0082831196030968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22373406.795245565</v>
      </c>
      <c r="E38" s="39">
        <f t="shared" si="1"/>
        <v>18775972.733258784</v>
      </c>
      <c r="F38" s="40" t="s">
        <v>39</v>
      </c>
      <c r="G38" s="41">
        <v>0.1</v>
      </c>
      <c r="H38" s="42">
        <v>0.13921900000000001</v>
      </c>
      <c r="I38" s="43">
        <v>0.13921900000000001</v>
      </c>
      <c r="J38" s="44">
        <f t="shared" si="8"/>
        <v>5.1841577079617352E-3</v>
      </c>
      <c r="K38" s="45">
        <f t="shared" si="9"/>
        <v>4.3505937500000003E-3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0.39219000000000004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7929653.8036172437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7.4474859149422631E-2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4647815.8477138076</v>
      </c>
      <c r="E40" s="39">
        <f t="shared" si="1"/>
        <v>3900490.632675</v>
      </c>
      <c r="F40" s="40" t="s">
        <v>39</v>
      </c>
      <c r="G40" s="41">
        <v>0.03</v>
      </c>
      <c r="H40" s="42">
        <v>7.1416000000000007E-2</v>
      </c>
      <c r="I40" s="43">
        <v>7.0199999999999999E-2</v>
      </c>
      <c r="J40" s="44">
        <f t="shared" si="8"/>
        <v>2.6140675561447343E-3</v>
      </c>
      <c r="K40" s="45">
        <f t="shared" si="9"/>
        <v>2.19375E-3</v>
      </c>
      <c r="L40" s="46">
        <f t="shared" si="14"/>
        <v>-1.2160000000000087E-3</v>
      </c>
      <c r="M40" s="46">
        <f t="shared" si="15"/>
        <v>-1.7026996751428374</v>
      </c>
      <c r="N40" s="51">
        <v>300</v>
      </c>
      <c r="O40" s="37">
        <v>21.06</v>
      </c>
      <c r="P40" s="52">
        <f t="shared" si="18"/>
        <v>0</v>
      </c>
      <c r="Q40" s="49">
        <f t="shared" si="17"/>
        <v>1.3399999999999999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45665544.355364233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0.2606620070229792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310.56306337438139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6.7027373234480368E-7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1544310.6793224278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2.6810949293792148E-3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47394055.796564467</v>
      </c>
      <c r="E44" s="39">
        <f t="shared" si="1"/>
        <v>39773535.943749994</v>
      </c>
      <c r="F44" s="40" t="s">
        <v>47</v>
      </c>
      <c r="G44" s="41">
        <v>0.9998999999999999</v>
      </c>
      <c r="H44" s="42">
        <v>0.69788799999999995</v>
      </c>
      <c r="I44" s="43">
        <v>0.7</v>
      </c>
      <c r="J44" s="44">
        <f t="shared" si="8"/>
        <v>2.6066200702297919E-2</v>
      </c>
      <c r="K44" s="45">
        <f t="shared" si="9"/>
        <v>2.1874999999999999E-2</v>
      </c>
      <c r="L44" s="46">
        <f t="shared" si="14"/>
        <v>2.1120000000000028E-3</v>
      </c>
      <c r="M44" s="46">
        <f t="shared" si="15"/>
        <v>0.30262735567884858</v>
      </c>
      <c r="N44" s="51">
        <v>300</v>
      </c>
      <c r="O44" s="37">
        <v>210</v>
      </c>
      <c r="P44" s="52">
        <f t="shared" si="18"/>
        <v>0</v>
      </c>
      <c r="Q44" s="49">
        <f t="shared" si="17"/>
        <v>-0.2999299929992999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13571147.054887228</v>
      </c>
      <c r="E45" s="39">
        <f t="shared" si="1"/>
        <v>11389033.837965</v>
      </c>
      <c r="F45" s="40" t="s">
        <v>47</v>
      </c>
      <c r="G45" s="41">
        <v>1.4503460000000001</v>
      </c>
      <c r="H45" s="42">
        <v>3.5482440000000004</v>
      </c>
      <c r="I45" s="43">
        <v>3.5482440000000004</v>
      </c>
      <c r="J45" s="44">
        <f t="shared" si="8"/>
        <v>0.13212748606389199</v>
      </c>
      <c r="K45" s="45">
        <f t="shared" si="9"/>
        <v>0.11088262500000001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1.4464810465916411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341000</v>
      </c>
      <c r="O47" s="62">
        <f>SUM(O9:O45)</f>
        <v>7455845.7799999993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77966303.274000004</v>
      </c>
      <c r="E50" s="39">
        <v>0</v>
      </c>
      <c r="F50" s="40" t="s">
        <v>92</v>
      </c>
      <c r="G50" s="71">
        <v>0.1</v>
      </c>
      <c r="H50" s="42">
        <v>0.14050000000000001</v>
      </c>
      <c r="I50" s="42">
        <v>0.14050000000000001</v>
      </c>
      <c r="J50" s="44">
        <f t="shared" ref="J50:J65" si="20">I50</f>
        <v>0.14050000000000001</v>
      </c>
      <c r="K50" s="39">
        <v>0</v>
      </c>
      <c r="L50" s="46">
        <f t="shared" ref="L50:L65" si="21">I50-H50</f>
        <v>0</v>
      </c>
      <c r="M50" s="46">
        <f t="shared" ref="M50:M65" si="22">((I50-H50)/H50)*100</f>
        <v>0</v>
      </c>
      <c r="N50" s="51">
        <v>15339</v>
      </c>
      <c r="O50" s="37">
        <v>2155.0300000000002</v>
      </c>
      <c r="P50" s="72">
        <f>(R50)/J50</f>
        <v>0</v>
      </c>
      <c r="Q50" s="49">
        <f t="shared" ref="Q50:Q65" si="23">J50/G50-1</f>
        <v>0.40500000000000003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38499734</v>
      </c>
      <c r="E51" s="39">
        <v>0</v>
      </c>
      <c r="F51" s="40" t="s">
        <v>39</v>
      </c>
      <c r="G51" s="71">
        <v>39.9</v>
      </c>
      <c r="H51" s="42">
        <v>32.014099999999999</v>
      </c>
      <c r="I51" s="42">
        <v>36.4</v>
      </c>
      <c r="J51" s="44">
        <f t="shared" si="20"/>
        <v>36.4</v>
      </c>
      <c r="K51" s="39">
        <v>0</v>
      </c>
      <c r="L51" s="46">
        <f t="shared" si="21"/>
        <v>4.3858999999999995</v>
      </c>
      <c r="M51" s="46">
        <f t="shared" si="22"/>
        <v>13.69990098113019</v>
      </c>
      <c r="N51" s="51">
        <v>50</v>
      </c>
      <c r="O51" s="37">
        <v>1820</v>
      </c>
      <c r="P51" s="73">
        <f>(R51)/J51</f>
        <v>1.5384615384615387E-2</v>
      </c>
      <c r="Q51" s="49">
        <f t="shared" si="23"/>
        <v>-8.7719298245614086E-2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684906157.16670001</v>
      </c>
      <c r="E52" s="39"/>
      <c r="F52" s="40" t="s">
        <v>56</v>
      </c>
      <c r="G52" s="71">
        <v>0.33</v>
      </c>
      <c r="H52" s="42">
        <v>0.2248</v>
      </c>
      <c r="I52" s="42">
        <v>0.22889999999999999</v>
      </c>
      <c r="J52" s="44">
        <f t="shared" si="20"/>
        <v>0.22889999999999999</v>
      </c>
      <c r="K52" s="39">
        <v>0</v>
      </c>
      <c r="L52" s="46">
        <f t="shared" si="21"/>
        <v>4.0999999999999925E-3</v>
      </c>
      <c r="M52" s="46">
        <f t="shared" si="22"/>
        <v>1.8238434163701034</v>
      </c>
      <c r="N52" s="51">
        <v>27189</v>
      </c>
      <c r="O52" s="37">
        <v>6223.11</v>
      </c>
      <c r="P52" s="72">
        <v>0</v>
      </c>
      <c r="Q52" s="49">
        <f t="shared" si="23"/>
        <v>-0.30636363636363639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13048456.180199999</v>
      </c>
      <c r="E53" s="39">
        <v>0</v>
      </c>
      <c r="F53" s="40" t="s">
        <v>34</v>
      </c>
      <c r="G53" s="71">
        <v>2.3E-2</v>
      </c>
      <c r="H53" s="42">
        <v>2.1399999999999999E-2</v>
      </c>
      <c r="I53" s="42">
        <v>2.1399999999999999E-2</v>
      </c>
      <c r="J53" s="44">
        <f t="shared" si="20"/>
        <v>2.1399999999999999E-2</v>
      </c>
      <c r="K53" s="39">
        <v>0</v>
      </c>
      <c r="L53" s="46">
        <f t="shared" si="21"/>
        <v>0</v>
      </c>
      <c r="M53" s="46">
        <f t="shared" si="22"/>
        <v>0</v>
      </c>
      <c r="N53" s="51">
        <v>0</v>
      </c>
      <c r="O53" s="37">
        <v>0</v>
      </c>
      <c r="P53" s="72">
        <f t="shared" ref="P53:P65" si="24">(R53)/J53</f>
        <v>0</v>
      </c>
      <c r="Q53" s="49">
        <f t="shared" si="23"/>
        <v>-6.956521739130439E-2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327215894.05769998</v>
      </c>
      <c r="E54" s="39">
        <v>0</v>
      </c>
      <c r="F54" s="40" t="s">
        <v>47</v>
      </c>
      <c r="G54" s="71">
        <v>9.0200000000000002E-2</v>
      </c>
      <c r="H54" s="42">
        <v>0.1507</v>
      </c>
      <c r="I54" s="42">
        <v>0.15129999999999999</v>
      </c>
      <c r="J54" s="44">
        <f t="shared" si="20"/>
        <v>0.15129999999999999</v>
      </c>
      <c r="K54" s="39">
        <v>0</v>
      </c>
      <c r="L54" s="46">
        <f t="shared" si="21"/>
        <v>5.9999999999998943E-4</v>
      </c>
      <c r="M54" s="74">
        <f t="shared" si="22"/>
        <v>0.39814200398141308</v>
      </c>
      <c r="N54" s="51">
        <v>17085</v>
      </c>
      <c r="O54" s="37">
        <v>2584.61</v>
      </c>
      <c r="P54" s="72">
        <f t="shared" si="24"/>
        <v>0</v>
      </c>
      <c r="Q54" s="49">
        <f t="shared" si="23"/>
        <v>0.67738359201773823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864868749.96500003</v>
      </c>
      <c r="E55" s="39">
        <v>0</v>
      </c>
      <c r="F55" s="40" t="s">
        <v>34</v>
      </c>
      <c r="G55" s="71">
        <v>0.95750000000000002</v>
      </c>
      <c r="H55" s="42">
        <v>1.5004999999999999</v>
      </c>
      <c r="I55" s="42">
        <v>1.5017</v>
      </c>
      <c r="J55" s="44">
        <f t="shared" si="20"/>
        <v>1.5017</v>
      </c>
      <c r="K55" s="39">
        <v>0</v>
      </c>
      <c r="L55" s="46">
        <f t="shared" si="21"/>
        <v>1.2000000000000899E-3</v>
      </c>
      <c r="M55" s="46">
        <f t="shared" si="22"/>
        <v>7.9973342219266247E-2</v>
      </c>
      <c r="N55" s="51">
        <v>12025</v>
      </c>
      <c r="O55" s="37">
        <v>18057.7</v>
      </c>
      <c r="P55" s="73">
        <f t="shared" si="24"/>
        <v>3.1297862422587731E-2</v>
      </c>
      <c r="Q55" s="49">
        <f t="shared" si="23"/>
        <v>0.56835509138381202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21363489.6822</v>
      </c>
      <c r="E56" s="39">
        <v>0</v>
      </c>
      <c r="F56" s="40" t="s">
        <v>34</v>
      </c>
      <c r="G56" s="71">
        <v>0.1595</v>
      </c>
      <c r="H56" s="42">
        <v>0.1421</v>
      </c>
      <c r="I56" s="42">
        <v>0.13009999999999999</v>
      </c>
      <c r="J56" s="44">
        <f t="shared" si="20"/>
        <v>0.13009999999999999</v>
      </c>
      <c r="K56" s="39">
        <v>0</v>
      </c>
      <c r="L56" s="46">
        <f t="shared" si="21"/>
        <v>-1.2000000000000011E-2</v>
      </c>
      <c r="M56" s="46">
        <f t="shared" si="22"/>
        <v>-8.4447572132301261</v>
      </c>
      <c r="N56" s="51">
        <v>10060</v>
      </c>
      <c r="O56" s="37">
        <v>1308.47</v>
      </c>
      <c r="P56" s="72">
        <f t="shared" si="24"/>
        <v>0</v>
      </c>
      <c r="Q56" s="49">
        <f t="shared" si="23"/>
        <v>-0.18432601880877753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23845070</v>
      </c>
      <c r="E57" s="39">
        <v>0</v>
      </c>
      <c r="F57" s="40" t="s">
        <v>92</v>
      </c>
      <c r="G57" s="71">
        <v>1.6799999999999999E-2</v>
      </c>
      <c r="H57" s="42">
        <v>2.46E-2</v>
      </c>
      <c r="I57" s="42">
        <v>2.5000000000000001E-2</v>
      </c>
      <c r="J57" s="44">
        <f t="shared" si="20"/>
        <v>2.5000000000000001E-2</v>
      </c>
      <c r="K57" s="39">
        <v>0</v>
      </c>
      <c r="L57" s="46">
        <f t="shared" si="21"/>
        <v>4.0000000000000105E-4</v>
      </c>
      <c r="M57" s="74">
        <f t="shared" si="22"/>
        <v>1.626016260162606</v>
      </c>
      <c r="N57" s="51">
        <v>269567</v>
      </c>
      <c r="O57" s="37">
        <v>6736.34</v>
      </c>
      <c r="P57" s="72">
        <f t="shared" si="24"/>
        <v>0</v>
      </c>
      <c r="Q57" s="49">
        <f t="shared" si="23"/>
        <v>0.48809523809523836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4032940226.1445999</v>
      </c>
      <c r="E59" s="39">
        <v>0</v>
      </c>
      <c r="F59" s="40" t="s">
        <v>47</v>
      </c>
      <c r="G59" s="71">
        <v>0.78169999999999995</v>
      </c>
      <c r="H59" s="52">
        <v>0.86860000000000004</v>
      </c>
      <c r="I59" s="42">
        <v>0.89659999999999995</v>
      </c>
      <c r="J59" s="44">
        <f t="shared" si="20"/>
        <v>0.89659999999999995</v>
      </c>
      <c r="K59" s="39">
        <v>0</v>
      </c>
      <c r="L59" s="46">
        <f t="shared" si="21"/>
        <v>2.7999999999999914E-2</v>
      </c>
      <c r="M59" s="46">
        <f t="shared" si="22"/>
        <v>3.2235781717706553</v>
      </c>
      <c r="N59" s="75">
        <v>206635</v>
      </c>
      <c r="O59" s="76">
        <v>185261.41</v>
      </c>
      <c r="P59" s="72">
        <f t="shared" si="24"/>
        <v>0</v>
      </c>
      <c r="Q59" s="49">
        <f t="shared" si="23"/>
        <v>0.14698733529487007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1114003657.0486999</v>
      </c>
      <c r="E60" s="39">
        <v>0</v>
      </c>
      <c r="F60" s="40" t="s">
        <v>92</v>
      </c>
      <c r="G60" s="71">
        <v>0.59499999999999997</v>
      </c>
      <c r="H60" s="42">
        <v>1.4052</v>
      </c>
      <c r="I60" s="42">
        <v>1.3836999999999999</v>
      </c>
      <c r="J60" s="44">
        <f t="shared" si="20"/>
        <v>1.3836999999999999</v>
      </c>
      <c r="K60" s="39">
        <v>0</v>
      </c>
      <c r="L60" s="46">
        <f t="shared" si="21"/>
        <v>-2.1500000000000075E-2</v>
      </c>
      <c r="M60" s="46">
        <f t="shared" si="22"/>
        <v>-1.5300313122687215</v>
      </c>
      <c r="N60" s="51">
        <v>26075</v>
      </c>
      <c r="O60" s="37">
        <v>36079.660000000003</v>
      </c>
      <c r="P60" s="72">
        <f t="shared" si="24"/>
        <v>0</v>
      </c>
      <c r="Q60" s="49">
        <f t="shared" si="23"/>
        <v>1.325546218487395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123213681.2068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0.47260000000000002</v>
      </c>
      <c r="J61" s="44">
        <f t="shared" si="20"/>
        <v>0.47260000000000002</v>
      </c>
      <c r="K61" s="39">
        <v>0</v>
      </c>
      <c r="L61" s="46">
        <f t="shared" si="21"/>
        <v>2.2600000000000009E-2</v>
      </c>
      <c r="M61" s="46">
        <f t="shared" si="22"/>
        <v>5.0222222222222239</v>
      </c>
      <c r="N61" s="51">
        <v>380</v>
      </c>
      <c r="O61" s="37">
        <v>179.58</v>
      </c>
      <c r="P61" s="72">
        <f t="shared" si="24"/>
        <v>0</v>
      </c>
      <c r="Q61" s="49">
        <f t="shared" si="23"/>
        <v>1.091150442477876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403423803.86879998</v>
      </c>
      <c r="E62" s="39">
        <v>0</v>
      </c>
      <c r="F62" s="40" t="s">
        <v>34</v>
      </c>
      <c r="G62" s="71">
        <v>0.49440000000000001</v>
      </c>
      <c r="H62" s="42">
        <v>0.72170000000000001</v>
      </c>
      <c r="I62" s="42">
        <v>0.71760000000000002</v>
      </c>
      <c r="J62" s="44">
        <f t="shared" si="20"/>
        <v>0.71760000000000002</v>
      </c>
      <c r="K62" s="39">
        <v>0</v>
      </c>
      <c r="L62" s="46">
        <f t="shared" si="21"/>
        <v>-4.0999999999999925E-3</v>
      </c>
      <c r="M62" s="46">
        <f t="shared" si="22"/>
        <v>-0.56810308992656122</v>
      </c>
      <c r="N62" s="51">
        <v>3012</v>
      </c>
      <c r="O62" s="37">
        <v>2161.29</v>
      </c>
      <c r="P62" s="72">
        <f t="shared" si="24"/>
        <v>0</v>
      </c>
      <c r="Q62" s="49">
        <f t="shared" si="23"/>
        <v>0.45145631067961167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91058603.542999998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0.24979999999999999</v>
      </c>
      <c r="J63" s="44">
        <f t="shared" si="20"/>
        <v>0.24979999999999999</v>
      </c>
      <c r="K63" s="39">
        <v>0</v>
      </c>
      <c r="L63" s="46">
        <f t="shared" si="21"/>
        <v>-2.0000000000000573E-4</v>
      </c>
      <c r="M63" s="46">
        <f t="shared" si="22"/>
        <v>-8.0000000000002292E-2</v>
      </c>
      <c r="N63" s="51">
        <v>6092</v>
      </c>
      <c r="O63" s="37">
        <v>1521.81</v>
      </c>
      <c r="P63" s="72">
        <f t="shared" si="24"/>
        <v>0</v>
      </c>
      <c r="Q63" s="49">
        <f t="shared" si="23"/>
        <v>-3.7379576107899881E-2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38937594.917999998</v>
      </c>
      <c r="E65" s="39">
        <v>0</v>
      </c>
      <c r="F65" s="40" t="s">
        <v>44</v>
      </c>
      <c r="G65" s="71">
        <v>4.2999999999999997E-2</v>
      </c>
      <c r="H65" s="42">
        <v>0.113</v>
      </c>
      <c r="I65" s="42">
        <v>0.113</v>
      </c>
      <c r="J65" s="44">
        <f t="shared" si="20"/>
        <v>0.113</v>
      </c>
      <c r="K65" s="39">
        <v>0</v>
      </c>
      <c r="L65" s="46">
        <f t="shared" si="21"/>
        <v>0</v>
      </c>
      <c r="M65" s="46">
        <f t="shared" si="22"/>
        <v>0</v>
      </c>
      <c r="N65" s="51">
        <v>618</v>
      </c>
      <c r="O65" s="37">
        <v>69.83</v>
      </c>
      <c r="P65" s="72">
        <f t="shared" si="24"/>
        <v>0</v>
      </c>
      <c r="Q65" s="49">
        <f t="shared" si="23"/>
        <v>1.6279069767441863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594127</v>
      </c>
      <c r="O66" s="63">
        <f>SUM(O50:O65)</f>
        <v>264158.84000000003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41985196.921800002</v>
      </c>
      <c r="E71" s="39">
        <f>C71*K71</f>
        <v>41985196.921800002</v>
      </c>
      <c r="F71" s="92" t="s">
        <v>159</v>
      </c>
      <c r="G71" s="92">
        <v>0.24</v>
      </c>
      <c r="H71" s="93">
        <v>0.33</v>
      </c>
      <c r="I71" s="93">
        <v>0.3014</v>
      </c>
      <c r="J71" s="94">
        <f>I71</f>
        <v>0.3014</v>
      </c>
      <c r="K71" s="94">
        <f>J71</f>
        <v>0.3014</v>
      </c>
      <c r="L71" s="46">
        <f>I71-H71</f>
        <v>-2.8600000000000014E-2</v>
      </c>
      <c r="M71" s="46">
        <f>((I71-H71)/H71)*100</f>
        <v>-8.6666666666666714</v>
      </c>
      <c r="N71" s="95">
        <v>210</v>
      </c>
      <c r="O71" s="96">
        <v>63.3</v>
      </c>
      <c r="P71" s="72">
        <f>(R71)/J71</f>
        <v>0</v>
      </c>
      <c r="Q71" s="49">
        <f>J71/G71-1</f>
        <v>0.25583333333333336</v>
      </c>
      <c r="T71" s="53"/>
    </row>
    <row r="72" spans="1:20" x14ac:dyDescent="0.25">
      <c r="A72" s="35" t="s">
        <v>160</v>
      </c>
      <c r="B72" s="91" t="s">
        <v>161</v>
      </c>
      <c r="C72" s="92">
        <v>471351750</v>
      </c>
      <c r="D72" s="38">
        <f>C72*J72</f>
        <v>65800704.300000004</v>
      </c>
      <c r="E72" s="39">
        <f>C72*K72</f>
        <v>65800704.300000004</v>
      </c>
      <c r="F72" s="92" t="s">
        <v>159</v>
      </c>
      <c r="G72" s="92">
        <v>0.1</v>
      </c>
      <c r="H72" s="93">
        <v>0.14510000000000001</v>
      </c>
      <c r="I72" s="93">
        <v>0.1396</v>
      </c>
      <c r="J72" s="94">
        <f>I72</f>
        <v>0.1396</v>
      </c>
      <c r="K72" s="94">
        <f>J72</f>
        <v>0.1396</v>
      </c>
      <c r="L72" s="46">
        <f>I72-H72</f>
        <v>-5.5000000000000049E-3</v>
      </c>
      <c r="M72" s="46">
        <f>((I72-H72)/H72)*100</f>
        <v>-3.7904893177119261</v>
      </c>
      <c r="N72" s="51">
        <v>8207</v>
      </c>
      <c r="O72" s="96">
        <v>1145.69</v>
      </c>
      <c r="P72" s="97">
        <f>(R72)/J72</f>
        <v>2.7163323782234954E-2</v>
      </c>
      <c r="Q72" s="49">
        <f>J72/G72-1</f>
        <v>0.39599999999999991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8417</v>
      </c>
      <c r="O73" s="63">
        <f>SUM(O71:O72)</f>
        <v>1208.99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20819695</v>
      </c>
      <c r="D75" s="38">
        <f>C75*J75</f>
        <v>2271428.7245</v>
      </c>
      <c r="E75" s="39">
        <f>C75*K75</f>
        <v>2271428.7245</v>
      </c>
      <c r="F75" s="92" t="s">
        <v>137</v>
      </c>
      <c r="G75" s="92">
        <v>0.1394</v>
      </c>
      <c r="H75" s="93">
        <v>0.1061</v>
      </c>
      <c r="I75" s="93">
        <v>0.1091</v>
      </c>
      <c r="J75" s="94">
        <f>I75</f>
        <v>0.1091</v>
      </c>
      <c r="K75" s="94">
        <f>J75</f>
        <v>0.1091</v>
      </c>
      <c r="L75" s="46">
        <f>I75-H75</f>
        <v>3.0000000000000027E-3</v>
      </c>
      <c r="M75" s="46">
        <f>((I75-H75)/H75)*100</f>
        <v>2.8275212064090507</v>
      </c>
      <c r="N75" s="95">
        <v>5994</v>
      </c>
      <c r="O75" s="96">
        <v>653.99</v>
      </c>
      <c r="P75" s="72">
        <f>(R75)/J75</f>
        <v>0</v>
      </c>
      <c r="Q75" s="49">
        <f>J75/G75-1</f>
        <v>-0.2173601147776183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159373.80216498417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5.0270529925860279E-3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430977.60987834533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3.1651815138504622E-3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29839.929695732957</v>
      </c>
      <c r="E80" s="39">
        <f>C80*K80</f>
        <v>25041.94875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4.4684915489653573E-3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31298416.292120185</v>
      </c>
      <c r="E81" s="39">
        <f>C81*K81</f>
        <v>26265924.375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6.3303630277009235E-2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0</v>
      </c>
      <c r="O82" s="63">
        <f>SUM(O78:O81)</f>
        <v>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29248351.883655373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7.9408818568071873E-2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0</v>
      </c>
      <c r="O84" s="109">
        <v>0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71827069.738816664</v>
      </c>
      <c r="E85" s="39">
        <f>C85*K85</f>
        <v>60277950.303593747</v>
      </c>
      <c r="F85" s="40" t="s">
        <v>177</v>
      </c>
      <c r="G85" s="40">
        <v>1.44347</v>
      </c>
      <c r="H85" s="42">
        <v>1.035018</v>
      </c>
      <c r="I85" s="42">
        <v>1.0476829999999999</v>
      </c>
      <c r="J85" s="44">
        <f>I85/$J$5</f>
        <v>3.9013021929122274E-2</v>
      </c>
      <c r="K85" s="45">
        <f>I85/$K$4</f>
        <v>3.2740093749999997E-2</v>
      </c>
      <c r="L85" s="46">
        <f>I85-H85</f>
        <v>1.2664999999999926E-2</v>
      </c>
      <c r="M85" s="46">
        <f>((I85-H85)/H85*100)</f>
        <v>1.2236502167111998</v>
      </c>
      <c r="N85" s="109">
        <v>4100</v>
      </c>
      <c r="O85" s="109">
        <v>4295.5</v>
      </c>
      <c r="P85" s="48">
        <f>(R85)/J85</f>
        <v>5.577624834993028E-2</v>
      </c>
      <c r="Q85" s="49">
        <f>I85/G85-1</f>
        <v>-0.27419135832403863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93</v>
      </c>
      <c r="B89" s="117">
        <v>4.5</v>
      </c>
      <c r="D89" s="117">
        <v>7.5268817204301177</v>
      </c>
      <c r="E89" s="35" t="s">
        <v>97</v>
      </c>
      <c r="F89" s="118">
        <v>3.52</v>
      </c>
      <c r="H89" s="119">
        <v>-14.769975786924938</v>
      </c>
      <c r="J89" s="35" t="s">
        <v>121</v>
      </c>
      <c r="K89" s="52">
        <v>36.4</v>
      </c>
      <c r="L89" s="120">
        <v>13.69990098113019</v>
      </c>
      <c r="M89" s="60" t="s">
        <v>131</v>
      </c>
      <c r="N89" s="118">
        <v>0.13009999999999999</v>
      </c>
      <c r="O89" s="119">
        <v>-8.4447572132301261</v>
      </c>
      <c r="Q89" s="16"/>
    </row>
    <row r="90" spans="1:243" ht="15" customHeight="1" x14ac:dyDescent="0.25">
      <c r="A90" s="35" t="s">
        <v>99</v>
      </c>
      <c r="B90" s="117">
        <v>0.35047099999999998</v>
      </c>
      <c r="D90" s="117">
        <v>2.9159484467362211</v>
      </c>
      <c r="E90" s="35" t="s">
        <v>90</v>
      </c>
      <c r="F90" s="118">
        <v>1.4202860000000002</v>
      </c>
      <c r="H90" s="119">
        <v>-13.917521711750849</v>
      </c>
      <c r="J90" s="35" t="s">
        <v>142</v>
      </c>
      <c r="K90" s="52">
        <v>0.47260000000000002</v>
      </c>
      <c r="L90" s="120">
        <v>5.0222222222222239</v>
      </c>
      <c r="M90" s="35" t="s">
        <v>140</v>
      </c>
      <c r="N90" s="118">
        <v>1.3836999999999999</v>
      </c>
      <c r="O90" s="119">
        <v>-1.5300313122687215</v>
      </c>
      <c r="Q90" s="16"/>
    </row>
    <row r="91" spans="1:243" ht="15" customHeight="1" x14ac:dyDescent="0.25">
      <c r="A91" s="35" t="s">
        <v>95</v>
      </c>
      <c r="B91" s="117">
        <v>5.0199999999999995E-2</v>
      </c>
      <c r="C91" s="117"/>
      <c r="D91" s="117">
        <v>1.2831894116697415</v>
      </c>
      <c r="E91" s="35" t="s">
        <v>52</v>
      </c>
      <c r="F91" s="118">
        <v>27.907878999999998</v>
      </c>
      <c r="H91" s="119">
        <v>-1.7525391030673612</v>
      </c>
      <c r="J91" s="35" t="s">
        <v>138</v>
      </c>
      <c r="K91" s="52">
        <v>0.89659999999999995</v>
      </c>
      <c r="L91" s="120">
        <v>3.2235781717706553</v>
      </c>
      <c r="M91" s="35" t="s">
        <v>144</v>
      </c>
      <c r="N91" s="118">
        <v>0.71760000000000002</v>
      </c>
      <c r="O91" s="119">
        <v>-0.56810308992656122</v>
      </c>
      <c r="Q91" s="16"/>
    </row>
    <row r="92" spans="1:243" ht="15" customHeight="1" x14ac:dyDescent="0.25">
      <c r="A92" s="35" t="s">
        <v>113</v>
      </c>
      <c r="B92" s="117">
        <v>0.7</v>
      </c>
      <c r="C92" s="117"/>
      <c r="D92" s="117">
        <v>0.30262735567884858</v>
      </c>
      <c r="E92" s="35" t="s">
        <v>105</v>
      </c>
      <c r="F92" s="118">
        <v>7.0199999999999999E-2</v>
      </c>
      <c r="H92" s="119">
        <v>-1.7026996751428374</v>
      </c>
      <c r="J92" s="35" t="s">
        <v>123</v>
      </c>
      <c r="K92" s="52">
        <v>0.22889999999999999</v>
      </c>
      <c r="L92" s="120">
        <v>1.8238434163701034</v>
      </c>
      <c r="M92" s="35" t="s">
        <v>146</v>
      </c>
      <c r="N92" s="118">
        <v>0.24979999999999999</v>
      </c>
      <c r="O92" s="119">
        <v>-8.0000000000002292E-2</v>
      </c>
      <c r="Q92" s="16"/>
    </row>
    <row r="93" spans="1:243" ht="15" customHeight="1" x14ac:dyDescent="0.25">
      <c r="A93" s="35" t="s">
        <v>58</v>
      </c>
      <c r="B93" s="117">
        <v>13.434000000000001</v>
      </c>
      <c r="C93" s="117"/>
      <c r="D93" s="117">
        <v>0.17000715819614898</v>
      </c>
      <c r="E93" s="35" t="s">
        <v>73</v>
      </c>
      <c r="F93" s="118">
        <v>1.67</v>
      </c>
      <c r="G93" s="118"/>
      <c r="H93" s="119">
        <v>-0.89020771513353847</v>
      </c>
      <c r="J93" s="35" t="s">
        <v>133</v>
      </c>
      <c r="K93" s="52">
        <v>2.5000000000000001E-2</v>
      </c>
      <c r="L93" s="120">
        <v>1.626016260162606</v>
      </c>
      <c r="M93" s="35"/>
      <c r="N93" s="118"/>
      <c r="O93" s="119"/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8Q//Bn+htR+yTKnemCpTMLsm/0QSl30KbA7BYx47i+vRMyDOnqVGdkvQztvXNQy7a31pPLSifHddxYLyvJO+ig==" saltValue="NnV5sF9rcZvi0/sRcXbXa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2026-09-07T13:08:29Z</dcterms:created>
  <dcterms:modified xsi:type="dcterms:W3CDTF">2026-09-07T13:12:10Z</dcterms:modified>
</cp:coreProperties>
</file>