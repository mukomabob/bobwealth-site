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03.06.26/"/>
    </mc:Choice>
  </mc:AlternateContent>
  <xr:revisionPtr revIDLastSave="0" documentId="8_{D5A264B6-2BE1-4CB9-A0FC-4D22DB82D932}" xr6:coauthVersionLast="47" xr6:coauthVersionMax="47" xr10:uidLastSave="{00000000-0000-0000-0000-000000000000}"/>
  <bookViews>
    <workbookView xWindow="-108" yWindow="-108" windowWidth="23256" windowHeight="12456" xr2:uid="{A817E4F9-6A99-4F9E-A5E9-95F6C92BBD7A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J84" i="1"/>
  <c r="P84" i="1" s="1"/>
  <c r="E84" i="1"/>
  <c r="D84" i="1"/>
  <c r="Q83" i="1"/>
  <c r="P83" i="1"/>
  <c r="M83" i="1"/>
  <c r="L83" i="1"/>
  <c r="K83" i="1"/>
  <c r="J83" i="1"/>
  <c r="E83" i="1"/>
  <c r="D83" i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Q77" i="1"/>
  <c r="M77" i="1"/>
  <c r="L77" i="1"/>
  <c r="K77" i="1"/>
  <c r="E77" i="1" s="1"/>
  <c r="J77" i="1"/>
  <c r="D77" i="1"/>
  <c r="M74" i="1"/>
  <c r="L74" i="1"/>
  <c r="J74" i="1"/>
  <c r="Q74" i="1" s="1"/>
  <c r="O72" i="1"/>
  <c r="N72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D52" i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Q27" i="1"/>
  <c r="M27" i="1"/>
  <c r="L27" i="1"/>
  <c r="K27" i="1"/>
  <c r="E27" i="1" s="1"/>
  <c r="J27" i="1"/>
  <c r="P27" i="1" s="1"/>
  <c r="D27" i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J22" i="1"/>
  <c r="P22" i="1" s="1"/>
  <c r="E22" i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D17" i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D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P11" i="1" s="1"/>
  <c r="D11" i="1"/>
  <c r="Q10" i="1"/>
  <c r="P10" i="1"/>
  <c r="M10" i="1"/>
  <c r="L10" i="1"/>
  <c r="K10" i="1"/>
  <c r="E10" i="1" s="1"/>
  <c r="J10" i="1"/>
  <c r="D10" i="1"/>
  <c r="Q9" i="1"/>
  <c r="M9" i="1"/>
  <c r="L9" i="1"/>
  <c r="K9" i="1"/>
  <c r="E9" i="1" s="1"/>
  <c r="J9" i="1"/>
  <c r="P9" i="1" s="1"/>
  <c r="D9" i="1"/>
  <c r="D36" i="1" l="1"/>
  <c r="D41" i="1"/>
  <c r="P44" i="1"/>
  <c r="D21" i="1"/>
  <c r="D37" i="1"/>
  <c r="D33" i="1"/>
  <c r="K74" i="1"/>
  <c r="E74" i="1" s="1"/>
  <c r="P63" i="1"/>
  <c r="D61" i="1"/>
  <c r="D14" i="1"/>
  <c r="D16" i="1"/>
  <c r="P57" i="1"/>
  <c r="P71" i="1"/>
  <c r="Q71" i="1"/>
  <c r="D57" i="1"/>
  <c r="P59" i="1"/>
  <c r="D63" i="1"/>
  <c r="P24" i="1"/>
  <c r="P52" i="1"/>
  <c r="D74" i="1"/>
  <c r="P55" i="1"/>
  <c r="P61" i="1"/>
  <c r="D12" i="1"/>
  <c r="D40" i="1"/>
  <c r="D43" i="1"/>
  <c r="D46" i="1"/>
  <c r="K70" i="1"/>
  <c r="E70" i="1" s="1"/>
  <c r="D19" i="1"/>
  <c r="D22" i="1"/>
  <c r="D25" i="1"/>
  <c r="D28" i="1"/>
  <c r="D34" i="1"/>
  <c r="P54" i="1"/>
  <c r="P56" i="1"/>
  <c r="P58" i="1"/>
  <c r="P60" i="1"/>
  <c r="P62" i="1"/>
  <c r="P64" i="1"/>
  <c r="P35" i="1"/>
  <c r="Q54" i="1"/>
  <c r="Q56" i="1"/>
  <c r="Q58" i="1"/>
  <c r="Q60" i="1"/>
  <c r="Q62" i="1"/>
  <c r="Q64" i="1"/>
  <c r="P70" i="1"/>
  <c r="D39" i="1"/>
  <c r="D42" i="1"/>
  <c r="D45" i="1"/>
  <c r="Q70" i="1"/>
  <c r="D51" i="1"/>
  <c r="D53" i="1"/>
  <c r="P20" i="1"/>
  <c r="P29" i="1"/>
  <c r="P23" i="1"/>
  <c r="P26" i="1"/>
  <c r="P32" i="1"/>
  <c r="P51" i="1"/>
  <c r="P74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<sst xmlns="http://schemas.openxmlformats.org/spreadsheetml/2006/main" count="265" uniqueCount="182">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</sst>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E595801D-7D39-4AD2-95AC-5E765975A94B}"/>
    <cellStyle name="Comma 5 2 2 2 2 2 2 2 2" xfId="4" xr:uid="{7FD7B174-6560-43E7-AC86-FF3F6A7AA3E6}"/>
    <cellStyle name="Comma 6 2 2 2" xfId="5" xr:uid="{E0883A2B-05A5-4A3F-87E2-C27C1BABA794}"/>
    <cellStyle name="Hyperlink 2" xfId="8" xr:uid="{4151B1EB-7F7A-4FC1-9652-957A7D4B809A}"/>
    <cellStyle name="Normal" xfId="0" builtinId="0"/>
    <cellStyle name="Normal 2" xfId="2" xr:uid="{0D07D648-5D38-4EB2-995E-8395DA812860}"/>
    <cellStyle name="Normal 20" xfId="7" xr:uid="{DA70F08E-6763-4FD8-B296-ED0BEAEF9590}"/>
    <cellStyle name="Percent" xfId="1" builtinId="5"/>
    <cellStyle name="Percent 3" xfId="6" xr:uid="{58F6D602-12A9-4109-A510-40001542EA62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F16F4E32-B959-4F76-8D60-1FDC9CD76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D25BFADB-F9A0-4001-A6D0-0270B92B8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BB35E-E33D-4E11-B792-2B7EE9CC3A1E}">
  <dimension ref="A1:II106"/>
  <sheetViews>
    <sheetView tabSelected="1" zoomScale="73" zoomScaleNormal="60" workbookViewId="0">
      <selection activeCell="M24" sqref="M2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26.850300000000001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73407721.03849864</v>
      </c>
      <c r="E9" s="39">
        <f>C9*K9</f>
        <v>62572042.29206349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0.58844780132810437</v>
      </c>
      <c r="K9" s="44">
        <f>I9/$K$4</f>
        <v>0.50158730158730158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2.5490791139240503E-2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3637627.9380533923</v>
      </c>
      <c r="E10" s="39">
        <f>C10*K10</f>
        <v>3100679.4103211109</v>
      </c>
      <c r="F10" s="40" t="s">
        <v>34</v>
      </c>
      <c r="G10" s="41">
        <v>3.1600000000000003E-2</v>
      </c>
      <c r="H10" s="42">
        <v>6.0016999999999994E-2</v>
      </c>
      <c r="I10" s="42">
        <v>6.0016999999999994E-2</v>
      </c>
      <c r="J10" s="43">
        <f>I10/$J$5</f>
        <v>2.235245043817015E-3</v>
      </c>
      <c r="K10" s="44">
        <f>I10/$K$4</f>
        <v>1.905301587301587E-3</v>
      </c>
      <c r="L10" s="45">
        <f>I10-H10</f>
        <v>0</v>
      </c>
      <c r="M10" s="45">
        <f>((I10-H10)/H10)*100</f>
        <v>0</v>
      </c>
      <c r="N10" s="46">
        <v>0</v>
      </c>
      <c r="O10" s="37">
        <v>0</v>
      </c>
      <c r="P10" s="50">
        <f>(R10)/J10</f>
        <v>0</v>
      </c>
      <c r="Q10" s="48">
        <f>I10/G10-1</f>
        <v>0.89927215189873388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3580407.6297099106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8.1935769805179092E-3</v>
      </c>
      <c r="K11" s="44">
        <f>I11/$K$4</f>
        <v>6.9841269841269841E-3</v>
      </c>
      <c r="L11" s="45">
        <f>I11-H11</f>
        <v>0</v>
      </c>
      <c r="M11" s="45">
        <f>((I11-H11)/H11)*100</f>
        <v>0</v>
      </c>
      <c r="N11" s="46">
        <v>200</v>
      </c>
      <c r="O11" s="37">
        <v>44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142165862.7411696</v>
      </c>
      <c r="E12" s="39">
        <f>C12*K12</f>
        <v>121180827.43997543</v>
      </c>
      <c r="F12" s="40" t="s">
        <v>34</v>
      </c>
      <c r="G12" s="41">
        <v>97.381</v>
      </c>
      <c r="H12" s="42">
        <v>170</v>
      </c>
      <c r="I12" s="42">
        <v>184.99977799999999</v>
      </c>
      <c r="J12" s="43">
        <f>I12/$J$5</f>
        <v>6.8900451019169244</v>
      </c>
      <c r="K12" s="44">
        <f>I12/$K$4</f>
        <v>5.8730088253968251</v>
      </c>
      <c r="L12" s="45">
        <f>I12-H12</f>
        <v>14.999777999999992</v>
      </c>
      <c r="M12" s="45">
        <f>((I12-H12)/H12)*100</f>
        <v>8.8233988235294074</v>
      </c>
      <c r="N12" s="46">
        <v>1800</v>
      </c>
      <c r="O12" s="37">
        <v>332999.59999999998</v>
      </c>
      <c r="P12" s="50">
        <f>(R12)/J12</f>
        <v>0</v>
      </c>
      <c r="Q12" s="48">
        <f>I12/G12-1</f>
        <v>0.89975229254166611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4717393.6065518819</v>
      </c>
      <c r="E13" s="39">
        <f>C13*K13</f>
        <v>4021061.3826666665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0.54004983184545419</v>
      </c>
      <c r="K13" s="44">
        <f>I13/$K$4</f>
        <v>0.46033333333333332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346490507.62933749</v>
      </c>
      <c r="E14" s="39">
        <f>C14*K14</f>
        <v>295345208.79365081</v>
      </c>
      <c r="F14" s="40" t="s">
        <v>47</v>
      </c>
      <c r="G14" s="41">
        <v>11.5</v>
      </c>
      <c r="H14" s="42">
        <v>17.495200000000001</v>
      </c>
      <c r="I14" s="42">
        <v>17.8</v>
      </c>
      <c r="J14" s="43">
        <f>I14/$J$5</f>
        <v>0.66293486478735808</v>
      </c>
      <c r="K14" s="44">
        <f>I14/$K$4</f>
        <v>0.56507936507936507</v>
      </c>
      <c r="L14" s="45">
        <f>I14-H14</f>
        <v>0.30480000000000018</v>
      </c>
      <c r="M14" s="45">
        <f>((I14-H14)/H14)*100</f>
        <v>1.7421921441309627</v>
      </c>
      <c r="N14" s="46">
        <v>600</v>
      </c>
      <c r="O14" s="37">
        <v>10680</v>
      </c>
      <c r="P14" s="50">
        <f>(R14)/J14</f>
        <v>0</v>
      </c>
      <c r="Q14" s="48">
        <f>I14/G14-1</f>
        <v>0.54782608695652191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23696020.15619937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0.22346119037776113</v>
      </c>
      <c r="K15" s="44">
        <f>I15/$K$4</f>
        <v>0.19047619047619047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36099709.837011725</v>
      </c>
      <c r="E16" s="39">
        <f>C16*K16</f>
        <v>30771048.858308442</v>
      </c>
      <c r="F16" s="40" t="s">
        <v>34</v>
      </c>
      <c r="G16" s="41">
        <v>1.9</v>
      </c>
      <c r="H16" s="42">
        <v>2.3634919999999999</v>
      </c>
      <c r="I16" s="42">
        <v>2.7075019999999999</v>
      </c>
      <c r="J16" s="43">
        <f>I16/$J$5</f>
        <v>0.10083693664502817</v>
      </c>
      <c r="K16" s="44">
        <f>I16/$K$4</f>
        <v>8.5952444444444442E-2</v>
      </c>
      <c r="L16" s="45">
        <f>I16-H16</f>
        <v>0.34400999999999993</v>
      </c>
      <c r="M16" s="45">
        <f>((I16-H16)/H16)*100</f>
        <v>14.5551582150479</v>
      </c>
      <c r="N16" s="46">
        <v>145600</v>
      </c>
      <c r="O16" s="37">
        <v>394212.35</v>
      </c>
      <c r="P16" s="50">
        <f>(R16)/J16</f>
        <v>0</v>
      </c>
      <c r="Q16" s="48">
        <f>I16/G16-1</f>
        <v>0.42500105263157884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1462229095.6481748</v>
      </c>
      <c r="E17" s="39">
        <f>C17*K17</f>
        <v>1246390155.139117</v>
      </c>
      <c r="F17" s="40" t="s">
        <v>34</v>
      </c>
      <c r="G17" s="41">
        <v>20.701700000000002</v>
      </c>
      <c r="H17" s="42">
        <v>29.2376</v>
      </c>
      <c r="I17" s="42">
        <v>29.264225999999997</v>
      </c>
      <c r="J17" s="43">
        <f>I17/$J$5</f>
        <v>1.0899031295739712</v>
      </c>
      <c r="K17" s="44">
        <f>I17/$K$4</f>
        <v>0.92902304761904753</v>
      </c>
      <c r="L17" s="45">
        <f>I17-H17</f>
        <v>2.6625999999996708E-2</v>
      </c>
      <c r="M17" s="45">
        <f>((I17-H17)/H17)*100</f>
        <v>9.1067666292707711E-2</v>
      </c>
      <c r="N17" s="46">
        <v>113900</v>
      </c>
      <c r="O17" s="37">
        <v>3333195.3</v>
      </c>
      <c r="P17" s="47">
        <f>(R17)/J17</f>
        <v>4.5875636690339942E-2</v>
      </c>
      <c r="Q17" s="48">
        <f>I17/G17-1</f>
        <v>0.41361463068250393</v>
      </c>
      <c r="R17" s="49">
        <v>0.05</v>
      </c>
      <c r="S17" s="51"/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251509173.69079676</v>
      </c>
      <c r="E19" s="39">
        <f>C19*K19</f>
        <v>214384024.32857144</v>
      </c>
      <c r="F19" s="40" t="s">
        <v>47</v>
      </c>
      <c r="G19" s="41">
        <v>12.45</v>
      </c>
      <c r="H19" s="42">
        <v>10.050000000000001</v>
      </c>
      <c r="I19" s="42">
        <v>10.050000000000001</v>
      </c>
      <c r="J19" s="43">
        <f>I19/$J$5</f>
        <v>0.37429749388274991</v>
      </c>
      <c r="K19" s="44">
        <f>I19/$K$4</f>
        <v>0.31904761904761908</v>
      </c>
      <c r="L19" s="45">
        <f>I19-H19</f>
        <v>0</v>
      </c>
      <c r="M19" s="45">
        <f>((I19-H19)/H19)*100</f>
        <v>0</v>
      </c>
      <c r="N19" s="46">
        <v>400</v>
      </c>
      <c r="O19" s="37">
        <v>4020</v>
      </c>
      <c r="P19" s="50">
        <f>(R19)/J19</f>
        <v>0</v>
      </c>
      <c r="Q19" s="48">
        <f>I19/G19-1</f>
        <v>-0.19277108433734924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2395474.2902500159</v>
      </c>
      <c r="E20" s="39">
        <f>C20*K20</f>
        <v>2041879.4709682541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2.1992305486344659E-2</v>
      </c>
      <c r="K20" s="44">
        <f>I20/$K$4</f>
        <v>1.8746031746031747E-2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48939206.870686732</v>
      </c>
      <c r="E21" s="39">
        <f>C21*K21</f>
        <v>41715313.848888889</v>
      </c>
      <c r="F21" s="40" t="s">
        <v>47</v>
      </c>
      <c r="G21" s="41">
        <v>2.85</v>
      </c>
      <c r="H21" s="42">
        <v>1.9040000000000001</v>
      </c>
      <c r="I21" s="42">
        <v>1.9040000000000001</v>
      </c>
      <c r="J21" s="43">
        <f>I21/$J$5</f>
        <v>7.0911684413209539E-2</v>
      </c>
      <c r="K21" s="44">
        <f>I21/$K$4</f>
        <v>6.0444444444444446E-2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-0.33192982456140352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41713329.857031696</v>
      </c>
      <c r="E22" s="39">
        <f>C22*K22</f>
        <v>35556045.100325659</v>
      </c>
      <c r="F22" s="40" t="s">
        <v>66</v>
      </c>
      <c r="G22" s="41">
        <v>0.88420599999999994</v>
      </c>
      <c r="H22" s="42">
        <v>0.99950000000000006</v>
      </c>
      <c r="I22" s="42">
        <v>0.90610600000000008</v>
      </c>
      <c r="J22" s="43">
        <f>I22/$J$5</f>
        <v>3.3746587561405278E-2</v>
      </c>
      <c r="K22" s="44">
        <f>I22/$K$4</f>
        <v>2.8765269841269845E-2</v>
      </c>
      <c r="L22" s="45">
        <f>I22-H22</f>
        <v>-9.3393999999999977E-2</v>
      </c>
      <c r="M22" s="45">
        <f>((I22-H22)/H22)*100</f>
        <v>-9.3440720360180052</v>
      </c>
      <c r="N22" s="46">
        <v>35000</v>
      </c>
      <c r="O22" s="37">
        <v>31713.7</v>
      </c>
      <c r="P22" s="50">
        <f>(R22)/J22</f>
        <v>0</v>
      </c>
      <c r="Q22" s="48">
        <f>I22/G22-1</f>
        <v>2.4767983931346382E-2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2098367.8176780147</v>
      </c>
      <c r="E23" s="39">
        <f>C23*K23</f>
        <v>1788628.7433333332</v>
      </c>
      <c r="F23" s="40" t="s">
        <v>44</v>
      </c>
      <c r="G23" s="41">
        <v>0.1</v>
      </c>
      <c r="H23" s="42">
        <v>0.105</v>
      </c>
      <c r="I23" s="42">
        <v>0.105</v>
      </c>
      <c r="J23" s="43">
        <f>I23/$J$5</f>
        <v>3.9105708316108196E-3</v>
      </c>
      <c r="K23" s="44">
        <f>I23/$K$4</f>
        <v>3.3333333333333331E-3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4.9999999999999822E-2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78354503.332913816</v>
      </c>
      <c r="E24" s="39">
        <f>C24*K24</f>
        <v>66788632.40761067</v>
      </c>
      <c r="F24" s="40" t="s">
        <v>34</v>
      </c>
      <c r="G24" s="41">
        <v>8.1687659999999997</v>
      </c>
      <c r="H24" s="42">
        <v>11.04</v>
      </c>
      <c r="I24" s="42">
        <v>10.899573999999999</v>
      </c>
      <c r="J24" s="43">
        <f>I24/$J$5</f>
        <v>0.40593863010841591</v>
      </c>
      <c r="K24" s="44">
        <f>I24/$K$4</f>
        <v>0.34601822222222223</v>
      </c>
      <c r="L24" s="45">
        <f>I24-H24</f>
        <v>-0.14042599999999972</v>
      </c>
      <c r="M24" s="45">
        <f>((I24-H24)/H24)*100</f>
        <v>-1.2719746376811569</v>
      </c>
      <c r="N24" s="46">
        <v>14800</v>
      </c>
      <c r="O24" s="37">
        <v>161313.70000000001</v>
      </c>
      <c r="P24" s="50">
        <f>(R24)/J24</f>
        <v>0</v>
      </c>
      <c r="Q24" s="48">
        <f>I24/G24-1</f>
        <v>0.33429871782347531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91763319.334979489</v>
      </c>
      <c r="E25" s="39">
        <f>C25*K25</f>
        <v>78218179.464761898</v>
      </c>
      <c r="F25" s="40" t="s">
        <v>66</v>
      </c>
      <c r="G25" s="41">
        <v>1.6675</v>
      </c>
      <c r="H25" s="42">
        <v>1.2709269999999999</v>
      </c>
      <c r="I25" s="42">
        <v>1.46</v>
      </c>
      <c r="J25" s="43">
        <f>I25/$J$5</f>
        <v>5.437555632525521E-2</v>
      </c>
      <c r="K25" s="44">
        <f>I25/$K$4</f>
        <v>4.6349206349206348E-2</v>
      </c>
      <c r="L25" s="45">
        <f>I25-H25</f>
        <v>0.18907300000000005</v>
      </c>
      <c r="M25" s="45">
        <f>((I25-H25)/H25)*100</f>
        <v>14.876778918065323</v>
      </c>
      <c r="N25" s="46">
        <v>20800</v>
      </c>
      <c r="O25" s="37">
        <v>30368</v>
      </c>
      <c r="P25" s="50">
        <f>(R25)/J25</f>
        <v>0</v>
      </c>
      <c r="Q25" s="48">
        <f>I25/G25-1</f>
        <v>-0.12443778110944526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26971685.934564158</v>
      </c>
      <c r="E26" s="39">
        <f>C26*K26</f>
        <v>22990408.217423111</v>
      </c>
      <c r="F26" s="40" t="s">
        <v>44</v>
      </c>
      <c r="G26" s="41">
        <v>1.7994999999999999</v>
      </c>
      <c r="H26" s="42">
        <v>3</v>
      </c>
      <c r="I26" s="42">
        <v>3.025204</v>
      </c>
      <c r="J26" s="43">
        <f>I26/$J$5</f>
        <v>0.11266928116259409</v>
      </c>
      <c r="K26" s="44">
        <f>I26/$K$4</f>
        <v>9.6038222222222219E-2</v>
      </c>
      <c r="L26" s="45">
        <f>I26-H26</f>
        <v>2.5204000000000004E-2</v>
      </c>
      <c r="M26" s="45">
        <f>((I26-H26)/H26)*100</f>
        <v>0.84013333333333351</v>
      </c>
      <c r="N26" s="46">
        <v>9800</v>
      </c>
      <c r="O26" s="37">
        <v>29647</v>
      </c>
      <c r="P26" s="50">
        <f>(R26)/J26</f>
        <v>0</v>
      </c>
      <c r="Q26" s="48">
        <f>I26/G26-1</f>
        <v>0.68113587107529883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28619874.75000279</v>
      </c>
      <c r="E27" s="39">
        <f>C27*K27</f>
        <v>24395308.666666664</v>
      </c>
      <c r="F27" s="40" t="s">
        <v>34</v>
      </c>
      <c r="G27" s="41">
        <v>3.1361369999999997</v>
      </c>
      <c r="H27" s="42">
        <v>3</v>
      </c>
      <c r="I27" s="42">
        <v>3</v>
      </c>
      <c r="J27" s="43">
        <f>I27/$J$5</f>
        <v>0.11173059518888057</v>
      </c>
      <c r="K27" s="44">
        <f>I27/$K$4</f>
        <v>9.5238095238095233E-2</v>
      </c>
      <c r="L27" s="45">
        <f>I27-H27</f>
        <v>0</v>
      </c>
      <c r="M27" s="45">
        <f>((I27-H27)/H27)*100</f>
        <v>0</v>
      </c>
      <c r="N27" s="46">
        <v>0</v>
      </c>
      <c r="O27" s="37">
        <v>0</v>
      </c>
      <c r="P27" s="50">
        <f>(R27)/J27</f>
        <v>0</v>
      </c>
      <c r="Q27" s="48">
        <f>I27/G27-1</f>
        <v>-4.3409136781970892E-2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24202983.462382171</v>
      </c>
      <c r="E28" s="39">
        <f>C28*K28</f>
        <v>20630392.598730158</v>
      </c>
      <c r="F28" s="40" t="s">
        <v>44</v>
      </c>
      <c r="G28" s="41">
        <v>0.8</v>
      </c>
      <c r="H28" s="42">
        <v>0.86</v>
      </c>
      <c r="I28" s="42">
        <v>0.86</v>
      </c>
      <c r="J28" s="43">
        <f>I28/$J$5</f>
        <v>3.2029437287479097E-2</v>
      </c>
      <c r="K28" s="44">
        <f>I28/$K$4</f>
        <v>2.7301587301587302E-2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7.4999999999999956E-2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79027100.898313984</v>
      </c>
      <c r="E29" s="39">
        <f>C29*K29</f>
        <v>67361948.166666657</v>
      </c>
      <c r="F29" s="40" t="s">
        <v>47</v>
      </c>
      <c r="G29" s="41">
        <v>5.15</v>
      </c>
      <c r="H29" s="42">
        <v>5.25</v>
      </c>
      <c r="I29" s="42">
        <v>5.25</v>
      </c>
      <c r="J29" s="43">
        <f>I29/$J$5</f>
        <v>0.195528541580541</v>
      </c>
      <c r="K29" s="44">
        <f>I29/$K$4</f>
        <v>0.16666666666666666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1.9417475728155331E-2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2">
        <f>I31/$J$5</f>
        <v>0</v>
      </c>
      <c r="K31" s="53">
        <f>I31/$K$4</f>
        <v>0</v>
      </c>
      <c r="L31" s="45">
        <v>0</v>
      </c>
      <c r="M31" s="45">
        <v>0</v>
      </c>
      <c r="N31" s="54" t="s">
        <v>85</v>
      </c>
      <c r="O31" s="54" t="s">
        <v>85</v>
      </c>
      <c r="P31" s="54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11620257.412781978</v>
      </c>
      <c r="E32" s="39">
        <f>C32*K32</f>
        <v>9904996.749537142</v>
      </c>
      <c r="F32" s="40" t="s">
        <v>39</v>
      </c>
      <c r="G32" s="41">
        <v>1.4</v>
      </c>
      <c r="H32" s="42">
        <v>1.2006999999999999</v>
      </c>
      <c r="I32" s="42">
        <v>1.2006459999999999</v>
      </c>
      <c r="J32" s="43">
        <f>I32/$J$5</f>
        <v>4.4716297397049562E-2</v>
      </c>
      <c r="K32" s="44">
        <f>I32/$K$4</f>
        <v>3.8115746031746028E-2</v>
      </c>
      <c r="L32" s="45">
        <f>I32-H32</f>
        <v>-5.3999999999998494E-5</v>
      </c>
      <c r="M32" s="45">
        <f>((I32-H32)/H32)*100</f>
        <v>-4.4973765303571661E-3</v>
      </c>
      <c r="N32" s="46">
        <v>139700</v>
      </c>
      <c r="O32" s="37">
        <v>167730.25</v>
      </c>
      <c r="P32" s="50">
        <f>(R32)/J32</f>
        <v>0</v>
      </c>
      <c r="Q32" s="48">
        <f>I32/G32-1</f>
        <v>-0.14239571428571429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3408606.3284209114</v>
      </c>
      <c r="E33" s="39">
        <f>C33*K33</f>
        <v>2905463.5714285714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2.7932648797220141E-2</v>
      </c>
      <c r="K33" s="44">
        <f>I33/$K$4</f>
        <v>2.3809523809523808E-2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157999814.64266694</v>
      </c>
      <c r="E34" s="39">
        <f>C34*K34</f>
        <v>134677537.24126983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6.3314003940365654E-2</v>
      </c>
      <c r="K34" s="44">
        <f>I34/$K$4</f>
        <v>5.3968253968253964E-2</v>
      </c>
      <c r="L34" s="45">
        <f>I34-H34</f>
        <v>0</v>
      </c>
      <c r="M34" s="45">
        <f>((I34-H34)/H34)*100</f>
        <v>0</v>
      </c>
      <c r="N34" s="46">
        <v>0</v>
      </c>
      <c r="O34" s="37">
        <v>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37774243.129848391</v>
      </c>
      <c r="E35" s="39">
        <f>C35*K35</f>
        <v>32198405.089186288</v>
      </c>
      <c r="F35" s="40" t="s">
        <v>34</v>
      </c>
      <c r="G35" s="41">
        <v>3.6056249999999999</v>
      </c>
      <c r="H35" s="42">
        <v>4.0199999999999996</v>
      </c>
      <c r="I35" s="42">
        <v>4.0010960000000004</v>
      </c>
      <c r="J35" s="43">
        <f>I35/$J$5</f>
        <v>0.14901494582928312</v>
      </c>
      <c r="K35" s="44">
        <f>I35/$K$4</f>
        <v>0.12701892063492065</v>
      </c>
      <c r="L35" s="45">
        <f>I35-H35</f>
        <v>-1.8903999999999144E-2</v>
      </c>
      <c r="M35" s="45">
        <f>((I35-H35)/H35)*100</f>
        <v>-0.47024875621888423</v>
      </c>
      <c r="N35" s="46">
        <v>36500</v>
      </c>
      <c r="O35" s="37">
        <v>146040</v>
      </c>
      <c r="P35" s="50">
        <f>(R35)/J35</f>
        <v>0</v>
      </c>
      <c r="Q35" s="48">
        <f>I35/G35-1</f>
        <v>0.10968167793378414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7020567.5718641505</v>
      </c>
      <c r="E36" s="39">
        <f>C36*K36</f>
        <v>5984264.9357086988</v>
      </c>
      <c r="F36" s="40" t="s">
        <v>34</v>
      </c>
      <c r="G36" s="41">
        <v>2.5099999999999997E-2</v>
      </c>
      <c r="H36" s="42">
        <v>3.7057E-2</v>
      </c>
      <c r="I36" s="42">
        <v>3.9979000000000001E-2</v>
      </c>
      <c r="J36" s="43">
        <f>I36/$J$5</f>
        <v>1.4889591550187522E-3</v>
      </c>
      <c r="K36" s="44">
        <f>I36/$K$4</f>
        <v>1.2691746031746032E-3</v>
      </c>
      <c r="L36" s="45">
        <f>I36-H36</f>
        <v>2.922000000000001E-3</v>
      </c>
      <c r="M36" s="45">
        <f>((I36-H36)/H36)*100</f>
        <v>7.8851499042016382</v>
      </c>
      <c r="N36" s="46">
        <v>112500</v>
      </c>
      <c r="O36" s="37">
        <v>4497.6000000000004</v>
      </c>
      <c r="P36" s="50">
        <f>(R36)/J36</f>
        <v>0</v>
      </c>
      <c r="Q36" s="48">
        <f>I36/G36-1</f>
        <v>0.59278884462151415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54534179.223025434</v>
      </c>
      <c r="E37" s="39">
        <f>C37*K37</f>
        <v>46484414.996571422</v>
      </c>
      <c r="F37" s="40" t="s">
        <v>92</v>
      </c>
      <c r="G37" s="41">
        <v>0.61</v>
      </c>
      <c r="H37" s="42">
        <v>5.6646910000000004</v>
      </c>
      <c r="I37" s="42">
        <v>5.6087999999999996</v>
      </c>
      <c r="J37" s="43">
        <f>I37/$J$5</f>
        <v>0.20889152076513109</v>
      </c>
      <c r="K37" s="44">
        <f>I37/$K$4</f>
        <v>0.17805714285714283</v>
      </c>
      <c r="L37" s="45">
        <f>I37-H37</f>
        <v>-5.5891000000000801E-2</v>
      </c>
      <c r="M37" s="45">
        <f>((I37-H37)/H37)*100</f>
        <v>-0.9866557593344597</v>
      </c>
      <c r="N37" s="46">
        <v>32500</v>
      </c>
      <c r="O37" s="37">
        <v>182286</v>
      </c>
      <c r="P37" s="50">
        <f>(R37)/J37</f>
        <v>0</v>
      </c>
      <c r="Q37" s="48">
        <f>I37/G37-1</f>
        <v>8.1947540983606544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22519954.602800079</v>
      </c>
      <c r="E38" s="39">
        <f>C38*K38</f>
        <v>19195794.827668663</v>
      </c>
      <c r="F38" s="40" t="s">
        <v>56</v>
      </c>
      <c r="G38" s="41">
        <v>0.11650199999999999</v>
      </c>
      <c r="H38" s="42">
        <v>0.144646</v>
      </c>
      <c r="I38" s="42">
        <v>0.144147</v>
      </c>
      <c r="J38" s="43">
        <f>I38/$J$5</f>
        <v>5.3685433682305224E-3</v>
      </c>
      <c r="K38" s="44">
        <f>I38/$K$4</f>
        <v>4.5760952380952376E-3</v>
      </c>
      <c r="L38" s="45">
        <f>I38-H38</f>
        <v>-4.9899999999999944E-4</v>
      </c>
      <c r="M38" s="45">
        <f>((I38-H38)/H38)*100</f>
        <v>-0.34498015845581592</v>
      </c>
      <c r="N38" s="46">
        <v>315200</v>
      </c>
      <c r="O38" s="37">
        <v>45435.1</v>
      </c>
      <c r="P38" s="50">
        <v>0</v>
      </c>
      <c r="Q38" s="48">
        <f>I38/G38-1</f>
        <v>0.23729206365555955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87858583.162944168</v>
      </c>
      <c r="E39" s="39">
        <f>C39*K39</f>
        <v>74889819.539682537</v>
      </c>
      <c r="F39" s="40" t="s">
        <v>34</v>
      </c>
      <c r="G39" s="41">
        <v>2.6005000000000003</v>
      </c>
      <c r="H39" s="42">
        <v>6.5</v>
      </c>
      <c r="I39" s="42">
        <v>6.5</v>
      </c>
      <c r="J39" s="43">
        <f>I39/$J$5</f>
        <v>0.24208295624257456</v>
      </c>
      <c r="K39" s="44">
        <f>I39/$K$4</f>
        <v>0.20634920634920634</v>
      </c>
      <c r="L39" s="45">
        <f>I39-H39</f>
        <v>0</v>
      </c>
      <c r="M39" s="45">
        <f>((I39-H39)/H39)*100</f>
        <v>0</v>
      </c>
      <c r="N39" s="46">
        <v>2300</v>
      </c>
      <c r="O39" s="37">
        <v>14950</v>
      </c>
      <c r="P39" s="50">
        <f>(R39)/J39</f>
        <v>0</v>
      </c>
      <c r="Q39" s="48">
        <f>I39/G39-1</f>
        <v>1.4995193232070751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14498107.291531192</v>
      </c>
      <c r="E40" s="39">
        <f>C40*K40</f>
        <v>12358048.578088889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>I40/$J$5</f>
        <v>3.3593665620123424E-3</v>
      </c>
      <c r="K40" s="44">
        <f>I40/$K$4</f>
        <v>2.8634920634920636E-3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5948214.936145965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5.5865297594440283E-2</v>
      </c>
      <c r="K41" s="44">
        <f>I41/$K$4</f>
        <v>4.7619047619047616E-2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2483214.4724639948</v>
      </c>
      <c r="E42" s="39">
        <f>C42*K42</f>
        <v>2116668.3666666667</v>
      </c>
      <c r="F42" s="40" t="s">
        <v>39</v>
      </c>
      <c r="G42" s="41">
        <v>0.03</v>
      </c>
      <c r="H42" s="42">
        <v>3.7498999999999998E-2</v>
      </c>
      <c r="I42" s="42">
        <v>3.7499999999999999E-2</v>
      </c>
      <c r="J42" s="43">
        <f>I42/$J$5</f>
        <v>1.3966324398610071E-3</v>
      </c>
      <c r="K42" s="44">
        <f>I42/$K$4</f>
        <v>1.1904761904761904E-3</v>
      </c>
      <c r="L42" s="45">
        <f>I42-H42</f>
        <v>1.0000000000010001E-6</v>
      </c>
      <c r="M42" s="45">
        <f>((I42-H42)/H42)*100</f>
        <v>2.6667377796767916E-3</v>
      </c>
      <c r="N42" s="46">
        <v>614300</v>
      </c>
      <c r="O42" s="37">
        <v>23036.25</v>
      </c>
      <c r="P42" s="50">
        <f>(R42)/J42</f>
        <v>0</v>
      </c>
      <c r="Q42" s="48">
        <f>I42/G42-1</f>
        <v>0.25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33929787.563016571</v>
      </c>
      <c r="E43" s="39">
        <f>C43*K43</f>
        <v>28921427.777881395</v>
      </c>
      <c r="F43" s="40" t="s">
        <v>47</v>
      </c>
      <c r="G43" s="41">
        <v>4.5</v>
      </c>
      <c r="H43" s="42">
        <v>5.2001919999999995</v>
      </c>
      <c r="I43" s="42">
        <v>5.2001919999999995</v>
      </c>
      <c r="J43" s="43">
        <f>I43/$J$5</f>
        <v>0.19367351575215172</v>
      </c>
      <c r="K43" s="44">
        <f>I43/$K$4</f>
        <v>0.1650854603174603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0.15559822222222208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310.6139558217227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6.7038357113328347E-7</v>
      </c>
      <c r="K44" s="44">
        <f>I44/$K$4</f>
        <v>5.7142857142857149E-7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1505949.6541938079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2.6144959274198051E-3</v>
      </c>
      <c r="K45" s="44">
        <f>I45/$K$4</f>
        <v>2.2285714285714287E-3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46724653.442978285</v>
      </c>
      <c r="E46" s="39">
        <f>C46*K46</f>
        <v>39827649.598095231</v>
      </c>
      <c r="F46" s="40" t="s">
        <v>47</v>
      </c>
      <c r="G46" s="41">
        <v>0.9998999999999999</v>
      </c>
      <c r="H46" s="42">
        <v>0.69</v>
      </c>
      <c r="I46" s="42">
        <v>0.69</v>
      </c>
      <c r="J46" s="43">
        <f>I46/$J$5</f>
        <v>2.5698036893442529E-2</v>
      </c>
      <c r="K46" s="44">
        <f>I46/$K$4</f>
        <v>2.1904761904761903E-2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-0.30993099309930994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4582793.9924306255</v>
      </c>
      <c r="E47" s="39">
        <f>C47*K47</f>
        <v>3906329.9534907942</v>
      </c>
      <c r="F47" s="40" t="s">
        <v>47</v>
      </c>
      <c r="G47" s="41">
        <v>1.4503460000000001</v>
      </c>
      <c r="H47" s="42">
        <v>1.1979980000000001</v>
      </c>
      <c r="I47" s="42">
        <v>1.1979980000000001</v>
      </c>
      <c r="J47" s="43">
        <f>I47/$J$5</f>
        <v>4.4617676525029522E-2</v>
      </c>
      <c r="K47" s="44">
        <f>I47/$K$4</f>
        <v>3.8031682539682546E-2</v>
      </c>
      <c r="L47" s="45">
        <f>I47-H47</f>
        <v>0</v>
      </c>
      <c r="M47" s="45">
        <f>((I47-H47)/H47)*100</f>
        <v>0</v>
      </c>
      <c r="N47" s="46">
        <v>0</v>
      </c>
      <c r="O47" s="37">
        <v>0</v>
      </c>
      <c r="P47" s="50">
        <v>0</v>
      </c>
      <c r="Q47" s="48">
        <f>I47/G47-1</f>
        <v>-0.17399158545616011</v>
      </c>
      <c r="R47" s="49"/>
    </row>
    <row r="48" spans="1:18" ht="13.8" thickBot="1" x14ac:dyDescent="0.4">
      <c r="A48" s="55"/>
      <c r="B48" s="56" t="s">
        <v>82</v>
      </c>
      <c r="C48" s="57"/>
      <c r="D48" s="58"/>
      <c r="E48" s="58"/>
      <c r="F48" s="59"/>
      <c r="G48" s="59"/>
      <c r="H48" s="45"/>
      <c r="I48" s="45"/>
      <c r="J48" s="45"/>
      <c r="K48" s="45"/>
      <c r="L48" s="45"/>
      <c r="M48" s="45"/>
      <c r="N48" s="59">
        <f>SUM(N9:N47)</f>
        <v>1595900</v>
      </c>
      <c r="O48" s="60">
        <f>SUM(O9:O47)</f>
        <v>4912168.8499999996</v>
      </c>
      <c r="P48" s="60"/>
      <c r="Q48" s="61"/>
    </row>
    <row r="49" spans="1:20" ht="13.2" x14ac:dyDescent="0.35">
      <c r="A49" s="62"/>
      <c r="B49" s="63" t="s">
        <v>82</v>
      </c>
      <c r="C49" s="64"/>
      <c r="D49" s="64"/>
      <c r="E49" s="64"/>
      <c r="F49" s="65"/>
      <c r="G49" s="65"/>
      <c r="H49" s="66"/>
      <c r="I49" s="66"/>
      <c r="J49" s="66"/>
      <c r="K49" s="66"/>
      <c r="L49" s="66"/>
      <c r="M49" s="66"/>
      <c r="N49" s="65"/>
      <c r="O49" s="65"/>
      <c r="P49" s="65"/>
      <c r="Q49" s="67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77244906.873599991</v>
      </c>
      <c r="E51" s="39">
        <v>0</v>
      </c>
      <c r="F51" s="40" t="s">
        <v>92</v>
      </c>
      <c r="G51" s="68">
        <v>0.1</v>
      </c>
      <c r="H51" s="42">
        <v>0.13850000000000001</v>
      </c>
      <c r="I51" s="42">
        <v>0.13919999999999999</v>
      </c>
      <c r="J51" s="43">
        <f>I51</f>
        <v>0.13919999999999999</v>
      </c>
      <c r="K51" s="39">
        <v>0</v>
      </c>
      <c r="L51" s="45">
        <f>I51-H51</f>
        <v>6.9999999999997842E-4</v>
      </c>
      <c r="M51" s="45">
        <f>((I51-H51)/H51)*100</f>
        <v>0.50541516245485807</v>
      </c>
      <c r="N51" s="46">
        <v>1450</v>
      </c>
      <c r="O51" s="37">
        <v>201.81</v>
      </c>
      <c r="P51" s="69">
        <f>(R51)/J51</f>
        <v>0</v>
      </c>
      <c r="Q51" s="48">
        <f>J51/G51-1</f>
        <v>0.3919999999999999</v>
      </c>
      <c r="T51" s="51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67650696.053499997</v>
      </c>
      <c r="E52" s="39">
        <v>0</v>
      </c>
      <c r="F52" s="40" t="s">
        <v>39</v>
      </c>
      <c r="G52" s="68">
        <v>39.9</v>
      </c>
      <c r="H52" s="42">
        <v>55.714300000000001</v>
      </c>
      <c r="I52" s="42">
        <v>63.961100000000002</v>
      </c>
      <c r="J52" s="43">
        <f>I52</f>
        <v>63.961100000000002</v>
      </c>
      <c r="K52" s="39">
        <v>0</v>
      </c>
      <c r="L52" s="45">
        <f>I52-H52</f>
        <v>8.2468000000000004</v>
      </c>
      <c r="M52" s="45">
        <f>((I52-H52)/H52)*100</f>
        <v>14.801944922578226</v>
      </c>
      <c r="N52" s="46">
        <v>3096</v>
      </c>
      <c r="O52" s="37">
        <v>198023.65</v>
      </c>
      <c r="P52" s="70">
        <f>(R52)/J52</f>
        <v>8.7553215939062973E-3</v>
      </c>
      <c r="Q52" s="48">
        <f>J52/G52-1</f>
        <v>0.60303508771929826</v>
      </c>
      <c r="R52" s="51">
        <v>0.56000000000000005</v>
      </c>
      <c r="T52" s="51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711835625.99370003</v>
      </c>
      <c r="E53" s="39"/>
      <c r="F53" s="40" t="s">
        <v>56</v>
      </c>
      <c r="G53" s="68">
        <v>0.33</v>
      </c>
      <c r="H53" s="42">
        <v>0.25480000000000003</v>
      </c>
      <c r="I53" s="42">
        <v>0.2379</v>
      </c>
      <c r="J53" s="43">
        <f>I53</f>
        <v>0.2379</v>
      </c>
      <c r="K53" s="39">
        <v>0</v>
      </c>
      <c r="L53" s="45">
        <f>I53-H53</f>
        <v>-1.6900000000000026E-2</v>
      </c>
      <c r="M53" s="45">
        <f>((I53-H53)/H53)*100</f>
        <v>-6.6326530612244996</v>
      </c>
      <c r="N53" s="46">
        <v>42786</v>
      </c>
      <c r="O53" s="37">
        <v>10180.89</v>
      </c>
      <c r="P53" s="69">
        <v>0</v>
      </c>
      <c r="Q53" s="48">
        <f>J53/G53-1</f>
        <v>-0.27909090909090917</v>
      </c>
      <c r="R53" s="51"/>
      <c r="T53" s="51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15365471.763599999</v>
      </c>
      <c r="E54" s="39">
        <v>0</v>
      </c>
      <c r="F54" s="40" t="s">
        <v>34</v>
      </c>
      <c r="G54" s="68">
        <v>2.3E-2</v>
      </c>
      <c r="H54" s="42">
        <v>3.0800000000000001E-2</v>
      </c>
      <c r="I54" s="42">
        <v>2.52E-2</v>
      </c>
      <c r="J54" s="43">
        <f>I54</f>
        <v>2.52E-2</v>
      </c>
      <c r="K54" s="39">
        <v>0</v>
      </c>
      <c r="L54" s="45">
        <f>I54-H54</f>
        <v>-5.6000000000000008E-3</v>
      </c>
      <c r="M54" s="45">
        <f>((I54-H54)/H54)*100</f>
        <v>-18.181818181818183</v>
      </c>
      <c r="N54" s="46">
        <v>5000</v>
      </c>
      <c r="O54" s="37">
        <v>126.02</v>
      </c>
      <c r="P54" s="69">
        <f>(R54)/J54</f>
        <v>0</v>
      </c>
      <c r="Q54" s="48">
        <f>J54/G54-1</f>
        <v>9.5652173913043592E-2</v>
      </c>
      <c r="T54" s="51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237806352.19</v>
      </c>
      <c r="E55" s="39">
        <v>0</v>
      </c>
      <c r="F55" s="40" t="s">
        <v>47</v>
      </c>
      <c r="G55" s="68">
        <v>9.0200000000000002E-2</v>
      </c>
      <c r="H55" s="42">
        <v>0.1222</v>
      </c>
      <c r="I55" s="42">
        <v>0.11</v>
      </c>
      <c r="J55" s="43">
        <f>I55</f>
        <v>0.11</v>
      </c>
      <c r="K55" s="39">
        <v>0</v>
      </c>
      <c r="L55" s="45">
        <f>I55-H55</f>
        <v>-1.2200000000000003E-2</v>
      </c>
      <c r="M55" s="71">
        <f>((I55-H55)/H55)*100</f>
        <v>-9.9836333878887089</v>
      </c>
      <c r="N55" s="46">
        <v>554308</v>
      </c>
      <c r="O55" s="37">
        <v>61000.31</v>
      </c>
      <c r="P55" s="69">
        <f>(R55)/J55</f>
        <v>0</v>
      </c>
      <c r="Q55" s="48">
        <f>J55/G55-1</f>
        <v>0.21951219512195119</v>
      </c>
      <c r="R55" s="51"/>
      <c r="T55" s="51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745594382.16999996</v>
      </c>
      <c r="E56" s="39">
        <v>0</v>
      </c>
      <c r="F56" s="40" t="s">
        <v>34</v>
      </c>
      <c r="G56" s="68">
        <v>0.95750000000000002</v>
      </c>
      <c r="H56" s="42">
        <v>1.2989999999999999</v>
      </c>
      <c r="I56" s="42">
        <v>1.2946</v>
      </c>
      <c r="J56" s="43">
        <f>I56</f>
        <v>1.2946</v>
      </c>
      <c r="K56" s="39">
        <v>0</v>
      </c>
      <c r="L56" s="45">
        <f>I56-H56</f>
        <v>-4.3999999999999595E-3</v>
      </c>
      <c r="M56" s="45">
        <f>((I56-H56)/H56)*100</f>
        <v>-0.33872209391839564</v>
      </c>
      <c r="N56" s="46">
        <v>33958</v>
      </c>
      <c r="O56" s="37">
        <v>43963.58</v>
      </c>
      <c r="P56" s="70">
        <f>(R56)/J56</f>
        <v>3.6304650084968332E-2</v>
      </c>
      <c r="Q56" s="48">
        <f>J56/G56-1</f>
        <v>0.35206266318537849</v>
      </c>
      <c r="R56" s="51">
        <v>4.7E-2</v>
      </c>
      <c r="T56" s="51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24762599.877599999</v>
      </c>
      <c r="E57" s="39">
        <v>0</v>
      </c>
      <c r="F57" s="40" t="s">
        <v>34</v>
      </c>
      <c r="G57" s="68">
        <v>0.1595</v>
      </c>
      <c r="H57" s="42">
        <v>0.15409999999999999</v>
      </c>
      <c r="I57" s="42">
        <v>0.15079999999999999</v>
      </c>
      <c r="J57" s="43">
        <f>I57</f>
        <v>0.15079999999999999</v>
      </c>
      <c r="K57" s="39">
        <v>0</v>
      </c>
      <c r="L57" s="45">
        <f>I57-H57</f>
        <v>-3.2999999999999974E-3</v>
      </c>
      <c r="M57" s="45">
        <f>((I57-H57)/H57)*100</f>
        <v>-2.141466580142763</v>
      </c>
      <c r="N57" s="46">
        <v>2401</v>
      </c>
      <c r="O57" s="37">
        <v>362.07</v>
      </c>
      <c r="P57" s="69">
        <f>(R57)/J57</f>
        <v>0</v>
      </c>
      <c r="Q57" s="48">
        <f>J57/G57-1</f>
        <v>-5.4545454545454675E-2</v>
      </c>
      <c r="T57" s="51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14540834.422800001</v>
      </c>
      <c r="E58" s="39">
        <v>0</v>
      </c>
      <c r="F58" s="40" t="s">
        <v>92</v>
      </c>
      <c r="G58" s="68">
        <v>1.6799999999999999E-2</v>
      </c>
      <c r="H58" s="42">
        <v>0.02</v>
      </c>
      <c r="I58" s="42">
        <v>1.83E-2</v>
      </c>
      <c r="J58" s="43">
        <f>I58</f>
        <v>1.83E-2</v>
      </c>
      <c r="K58" s="39">
        <v>0</v>
      </c>
      <c r="L58" s="45">
        <f>I58-H58</f>
        <v>-1.7000000000000001E-3</v>
      </c>
      <c r="M58" s="71">
        <f>((I58-H58)/H58)*100</f>
        <v>-8.5</v>
      </c>
      <c r="N58" s="46">
        <v>434590</v>
      </c>
      <c r="O58" s="37">
        <v>7959.63</v>
      </c>
      <c r="P58" s="69">
        <f>(R58)/J58</f>
        <v>0</v>
      </c>
      <c r="Q58" s="48">
        <f>J58/G58-1</f>
        <v>8.9285714285714413E-2</v>
      </c>
      <c r="T58" s="51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2661004.5</v>
      </c>
      <c r="E59" s="39">
        <v>0</v>
      </c>
      <c r="F59" s="40" t="s">
        <v>138</v>
      </c>
      <c r="G59" s="68">
        <v>19.5</v>
      </c>
      <c r="H59" s="42">
        <v>18</v>
      </c>
      <c r="I59" s="42">
        <v>16.5</v>
      </c>
      <c r="J59" s="43">
        <f>I59</f>
        <v>16.5</v>
      </c>
      <c r="K59" s="39">
        <v>0</v>
      </c>
      <c r="L59" s="45">
        <f>I59-H59</f>
        <v>-1.5</v>
      </c>
      <c r="M59" s="45">
        <f>((I59-H59)/H59)*100</f>
        <v>-8.3333333333333321</v>
      </c>
      <c r="N59" s="46">
        <v>5</v>
      </c>
      <c r="O59" s="37">
        <v>82.5</v>
      </c>
      <c r="P59" s="69">
        <f>(R59)/J59</f>
        <v>0</v>
      </c>
      <c r="Q59" s="48">
        <f>J59/G59-1</f>
        <v>-0.15384615384615385</v>
      </c>
      <c r="T59" s="51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786573370.62699997</v>
      </c>
      <c r="E60" s="39">
        <v>0</v>
      </c>
      <c r="F60" s="40" t="s">
        <v>92</v>
      </c>
      <c r="G60" s="68">
        <v>0.59499999999999997</v>
      </c>
      <c r="H60" s="42">
        <v>0.97250000000000003</v>
      </c>
      <c r="I60" s="42">
        <v>0.97699999999999998</v>
      </c>
      <c r="J60" s="43">
        <f>I60</f>
        <v>0.97699999999999998</v>
      </c>
      <c r="K60" s="39">
        <v>0</v>
      </c>
      <c r="L60" s="45">
        <f>I60-H60</f>
        <v>4.4999999999999485E-3</v>
      </c>
      <c r="M60" s="45">
        <f>((I60-H60)/H60)*100</f>
        <v>0.46272493573264251</v>
      </c>
      <c r="N60" s="46">
        <v>732597</v>
      </c>
      <c r="O60" s="37">
        <v>715757.91</v>
      </c>
      <c r="P60" s="69">
        <f>(R60)/J60</f>
        <v>0</v>
      </c>
      <c r="Q60" s="48">
        <f>J60/G60-1</f>
        <v>0.64201680672268902</v>
      </c>
      <c r="R60" s="51"/>
      <c r="T60" s="51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68228989.360599995</v>
      </c>
      <c r="E61" s="39">
        <v>0</v>
      </c>
      <c r="F61" s="40" t="s">
        <v>34</v>
      </c>
      <c r="G61" s="68">
        <v>0.22600000000000001</v>
      </c>
      <c r="H61" s="42">
        <v>0.3</v>
      </c>
      <c r="I61" s="42">
        <v>0.26169999999999999</v>
      </c>
      <c r="J61" s="43">
        <f>I61</f>
        <v>0.26169999999999999</v>
      </c>
      <c r="K61" s="39">
        <v>0</v>
      </c>
      <c r="L61" s="45">
        <f>I61-H61</f>
        <v>-3.8300000000000001E-2</v>
      </c>
      <c r="M61" s="45">
        <f>((I61-H61)/H61)*100</f>
        <v>-12.766666666666667</v>
      </c>
      <c r="N61" s="46">
        <v>16667</v>
      </c>
      <c r="O61" s="37">
        <v>4361.8500000000004</v>
      </c>
      <c r="P61" s="69">
        <f>(R61)/J61</f>
        <v>0</v>
      </c>
      <c r="Q61" s="48">
        <f>J61/G61-1</f>
        <v>0.15796460176991145</v>
      </c>
      <c r="T61" s="51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397014897.28560001</v>
      </c>
      <c r="E62" s="39">
        <v>0</v>
      </c>
      <c r="F62" s="40" t="s">
        <v>34</v>
      </c>
      <c r="G62" s="68">
        <v>0.49440000000000001</v>
      </c>
      <c r="H62" s="42">
        <v>0.63680000000000003</v>
      </c>
      <c r="I62" s="42">
        <v>0.70620000000000005</v>
      </c>
      <c r="J62" s="43">
        <f>I62</f>
        <v>0.70620000000000005</v>
      </c>
      <c r="K62" s="39">
        <v>0</v>
      </c>
      <c r="L62" s="45">
        <f>I62-H62</f>
        <v>6.9400000000000017E-2</v>
      </c>
      <c r="M62" s="45">
        <f>((I62-H62)/H62)*100</f>
        <v>10.898241206030153</v>
      </c>
      <c r="N62" s="46">
        <v>66857</v>
      </c>
      <c r="O62" s="37">
        <v>47213.55</v>
      </c>
      <c r="P62" s="69">
        <f>(R62)/J62</f>
        <v>0</v>
      </c>
      <c r="Q62" s="48">
        <f>J62/G62-1</f>
        <v>0.42839805825242716</v>
      </c>
      <c r="R62" s="51"/>
      <c r="T62" s="51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8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9">
        <f>(R63)/J63</f>
        <v>0</v>
      </c>
      <c r="Q63" s="48">
        <f>J63/G63-1</f>
        <v>0</v>
      </c>
      <c r="T63" s="51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29151509.115599997</v>
      </c>
      <c r="E64" s="39">
        <v>0</v>
      </c>
      <c r="F64" s="40" t="s">
        <v>44</v>
      </c>
      <c r="G64" s="68">
        <v>4.2999999999999997E-2</v>
      </c>
      <c r="H64" s="42">
        <v>0.1057</v>
      </c>
      <c r="I64" s="42">
        <v>8.4599999999999995E-2</v>
      </c>
      <c r="J64" s="43">
        <f>I64</f>
        <v>8.4599999999999995E-2</v>
      </c>
      <c r="K64" s="39">
        <v>0</v>
      </c>
      <c r="L64" s="45">
        <f>I64-H64</f>
        <v>-2.1100000000000008E-2</v>
      </c>
      <c r="M64" s="45">
        <f>((I64-H64)/H64)*100</f>
        <v>-19.962157048249772</v>
      </c>
      <c r="N64" s="46">
        <v>1000</v>
      </c>
      <c r="O64" s="37">
        <v>84.6</v>
      </c>
      <c r="P64" s="69">
        <f>(R64)/J64</f>
        <v>0</v>
      </c>
      <c r="Q64" s="48">
        <f>J64/G64-1</f>
        <v>0.96744186046511627</v>
      </c>
      <c r="T64" s="51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9">
        <f>SUM(N51:N64)</f>
        <v>1894715</v>
      </c>
      <c r="O65" s="60">
        <f>SUM(O51:O64)</f>
        <v>1089318.3700000001</v>
      </c>
      <c r="P65" s="75"/>
      <c r="Q65" s="61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1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49925330.380800001</v>
      </c>
      <c r="E70" s="39">
        <f>C70*K70</f>
        <v>49925330.380800001</v>
      </c>
      <c r="F70" s="87" t="s">
        <v>156</v>
      </c>
      <c r="G70" s="87">
        <v>0.24</v>
      </c>
      <c r="H70" s="88">
        <v>0.36</v>
      </c>
      <c r="I70" s="88">
        <v>0.3584</v>
      </c>
      <c r="J70" s="89">
        <f>I70</f>
        <v>0.3584</v>
      </c>
      <c r="K70" s="89">
        <f>J70</f>
        <v>0.3584</v>
      </c>
      <c r="L70" s="45">
        <f>I70-H70</f>
        <v>-1.5999999999999903E-3</v>
      </c>
      <c r="M70" s="45">
        <f>((I70-H70)/H70)*100</f>
        <v>-0.44444444444444176</v>
      </c>
      <c r="N70" s="90">
        <v>133</v>
      </c>
      <c r="O70" s="91">
        <v>47.66</v>
      </c>
      <c r="P70" s="69">
        <f>(R70)/J70</f>
        <v>0</v>
      </c>
      <c r="Q70" s="48">
        <f>J70/G70-1</f>
        <v>0.4933333333333334</v>
      </c>
      <c r="T70" s="51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69901464.524999991</v>
      </c>
      <c r="E71" s="39">
        <f>C71*K71</f>
        <v>69901464.524999991</v>
      </c>
      <c r="F71" s="87" t="s">
        <v>156</v>
      </c>
      <c r="G71" s="87">
        <v>0.1</v>
      </c>
      <c r="H71" s="88">
        <v>0.14799999999999999</v>
      </c>
      <c r="I71" s="88">
        <v>0.14829999999999999</v>
      </c>
      <c r="J71" s="89">
        <f>I71</f>
        <v>0.14829999999999999</v>
      </c>
      <c r="K71" s="89">
        <f>J71</f>
        <v>0.14829999999999999</v>
      </c>
      <c r="L71" s="45">
        <f>I71-H71</f>
        <v>2.9999999999999472E-4</v>
      </c>
      <c r="M71" s="45">
        <f>((I71-H71)/H71)*100</f>
        <v>0.20270270270269916</v>
      </c>
      <c r="N71" s="46">
        <v>19235</v>
      </c>
      <c r="O71" s="91">
        <v>2851.93</v>
      </c>
      <c r="P71" s="92">
        <f>(R71)/J71</f>
        <v>2.5569790964261634E-2</v>
      </c>
      <c r="Q71" s="48">
        <f>J71/G71-1</f>
        <v>0.48299999999999987</v>
      </c>
      <c r="R71" s="5">
        <v>3.7919999999999998E-3</v>
      </c>
      <c r="T71" s="51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9">
        <f>SUM(N70:N71)</f>
        <v>19368</v>
      </c>
      <c r="O72" s="60">
        <f>SUM(O70:O71)</f>
        <v>2899.5899999999997</v>
      </c>
      <c r="P72" s="85"/>
      <c r="Q72" s="61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3004281.9885000004</v>
      </c>
      <c r="E74" s="39">
        <f>C74*K74</f>
        <v>3004281.9885000004</v>
      </c>
      <c r="F74" s="87" t="s">
        <v>138</v>
      </c>
      <c r="G74" s="87">
        <v>0.1394</v>
      </c>
      <c r="H74" s="88">
        <v>0.1439</v>
      </c>
      <c r="I74" s="88">
        <v>0.14430000000000001</v>
      </c>
      <c r="J74" s="89">
        <f>I74</f>
        <v>0.14430000000000001</v>
      </c>
      <c r="K74" s="89">
        <f>J74</f>
        <v>0.14430000000000001</v>
      </c>
      <c r="L74" s="45">
        <f>I74-H74</f>
        <v>4.0000000000001146E-4</v>
      </c>
      <c r="M74" s="45">
        <f>((I74-H74)/H74)*100</f>
        <v>0.27797081306463617</v>
      </c>
      <c r="N74" s="90">
        <v>23407</v>
      </c>
      <c r="O74" s="91">
        <v>3376.93</v>
      </c>
      <c r="P74" s="69">
        <f>(R74)/J74</f>
        <v>0</v>
      </c>
      <c r="Q74" s="48">
        <f>J74/G74-1</f>
        <v>3.5150645624103305E-2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9"/>
      <c r="O75" s="60"/>
      <c r="P75" s="85"/>
      <c r="Q75" s="61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110911.53442605854</v>
      </c>
      <c r="E77" s="39">
        <f>C77*K77</f>
        <v>94539.935644444442</v>
      </c>
      <c r="F77" s="40" t="s">
        <v>138</v>
      </c>
      <c r="G77" s="68">
        <v>0.105</v>
      </c>
      <c r="H77" s="42">
        <v>6.5599999999999992E-2</v>
      </c>
      <c r="I77" s="42">
        <v>6.5599999999999992E-2</v>
      </c>
      <c r="J77" s="43">
        <f>I77/$J$5</f>
        <v>2.4431756814635216E-3</v>
      </c>
      <c r="K77" s="44">
        <f>I77/$K$4</f>
        <v>2.0825396825396823E-3</v>
      </c>
      <c r="L77" s="45">
        <f>I77-H77</f>
        <v>0</v>
      </c>
      <c r="M77" s="93">
        <f>((I77-H77)/H77)*100</f>
        <v>0</v>
      </c>
      <c r="N77" s="37">
        <v>1000</v>
      </c>
      <c r="O77" s="37">
        <v>65.599999999999994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304269.34224198613</v>
      </c>
      <c r="E78" s="39">
        <f>C78*K78</f>
        <v>259356.28952380954</v>
      </c>
      <c r="F78" s="40" t="s">
        <v>138</v>
      </c>
      <c r="G78" s="68">
        <v>4.2500000000000003E-2</v>
      </c>
      <c r="H78" s="42">
        <v>0.06</v>
      </c>
      <c r="I78" s="42">
        <v>0.06</v>
      </c>
      <c r="J78" s="43">
        <f>I78/$J$5</f>
        <v>2.2346119037776114E-3</v>
      </c>
      <c r="K78" s="44">
        <f>I78/$K$4</f>
        <v>1.9047619047619048E-3</v>
      </c>
      <c r="L78" s="45">
        <f>I78-H78</f>
        <v>0</v>
      </c>
      <c r="M78" s="93">
        <f>((I78-H78)/H78)*100</f>
        <v>0</v>
      </c>
      <c r="N78" s="37">
        <v>225269</v>
      </c>
      <c r="O78" s="37">
        <v>13516.14</v>
      </c>
      <c r="P78" s="40">
        <v>0</v>
      </c>
      <c r="Q78" s="48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1841385.0124579614</v>
      </c>
      <c r="E79" s="39">
        <f>C79*K79</f>
        <v>1569579.0476190476</v>
      </c>
      <c r="F79" s="40" t="s">
        <v>138</v>
      </c>
      <c r="G79" s="68">
        <v>6.0499999999999998E-2</v>
      </c>
      <c r="H79" s="42">
        <v>0.1</v>
      </c>
      <c r="I79" s="42">
        <v>0.1</v>
      </c>
      <c r="J79" s="43">
        <f>I79/$J$5</f>
        <v>3.724353172962686E-3</v>
      </c>
      <c r="K79" s="44">
        <f>I79/$K$4</f>
        <v>3.1746031746031746E-3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2375871.8748021438</v>
      </c>
      <c r="E80" s="39">
        <f>C80*K80</f>
        <v>2025170.5587301587</v>
      </c>
      <c r="F80" s="40" t="s">
        <v>138</v>
      </c>
      <c r="G80" s="68">
        <v>1.85</v>
      </c>
      <c r="H80" s="42">
        <v>1.55</v>
      </c>
      <c r="I80" s="42">
        <v>1.55</v>
      </c>
      <c r="J80" s="43">
        <f>I80/$J$5</f>
        <v>5.7727474180921626E-2</v>
      </c>
      <c r="K80" s="44">
        <f>I80/$K$4</f>
        <v>4.9206349206349205E-2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9">
        <f>SUM(N77:N80)</f>
        <v>226269</v>
      </c>
      <c r="O81" s="60">
        <f>SUM(O77:O80)</f>
        <v>13581.74</v>
      </c>
      <c r="P81" s="75"/>
      <c r="Q81" s="61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27853932.300272249</v>
      </c>
      <c r="E83" s="39">
        <f>C83*K83</f>
        <v>23742426.617206346</v>
      </c>
      <c r="F83" s="40" t="s">
        <v>174</v>
      </c>
      <c r="G83" s="40">
        <v>1.3</v>
      </c>
      <c r="H83" s="42">
        <v>2.0305</v>
      </c>
      <c r="I83" s="42">
        <v>2.0305</v>
      </c>
      <c r="J83" s="43">
        <f>I83/$J$5</f>
        <v>7.5622991177007326E-2</v>
      </c>
      <c r="K83" s="44">
        <f>I83/$K$4</f>
        <v>6.4460317460317454E-2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0.56192307692307675</v>
      </c>
      <c r="R83" s="51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70996055.469026402</v>
      </c>
      <c r="E84" s="39">
        <f>C84*K84</f>
        <v>60516361.528888881</v>
      </c>
      <c r="F84" s="40" t="s">
        <v>174</v>
      </c>
      <c r="G84" s="40">
        <v>1.44347</v>
      </c>
      <c r="H84" s="42">
        <v>1.0453789999999998</v>
      </c>
      <c r="I84" s="42">
        <v>1.0353919999999999</v>
      </c>
      <c r="J84" s="43">
        <f>I84/$J$5</f>
        <v>3.8561654804601803E-2</v>
      </c>
      <c r="K84" s="44">
        <f>I84/$K$4</f>
        <v>3.2869587301587296E-2</v>
      </c>
      <c r="L84" s="45">
        <f>I84-H84</f>
        <v>-9.9869999999999681E-3</v>
      </c>
      <c r="M84" s="45">
        <f>((I84-H84)/H84*100)</f>
        <v>-0.95534729509584271</v>
      </c>
      <c r="N84" s="50">
        <v>741320</v>
      </c>
      <c r="O84" s="37">
        <v>767556.86</v>
      </c>
      <c r="P84" s="47">
        <f>(R84)/J84</f>
        <v>5.6429113611076782E-2</v>
      </c>
      <c r="Q84" s="48">
        <f>I84/G84-1</f>
        <v>-0.28270625645146774</v>
      </c>
      <c r="R84" s="51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9">
        <f>SUM(N83:N84)</f>
        <v>741320</v>
      </c>
      <c r="O85" s="60">
        <f>SUM(O83:O84)</f>
        <v>767556.86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7"/>
      <c r="M86" s="108"/>
      <c r="N86" s="108"/>
      <c r="O86" s="57"/>
      <c r="P86" s="57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72</v>
      </c>
      <c r="B88" s="110">
        <v>1.46</v>
      </c>
      <c r="D88" s="110">
        <v>14.876778918065323</v>
      </c>
      <c r="E88" s="35" t="s">
        <v>64</v>
      </c>
      <c r="F88" s="111">
        <v>0.90610600000000008</v>
      </c>
      <c r="H88" s="112">
        <v>-9.3440720360180052</v>
      </c>
      <c r="L88" s="35" t="s">
        <v>122</v>
      </c>
      <c r="M88" s="50">
        <v>63.961100000000002</v>
      </c>
      <c r="N88" s="113">
        <v>14.801944922578226</v>
      </c>
      <c r="O88" s="35" t="s">
        <v>147</v>
      </c>
      <c r="P88" s="111">
        <v>8.4599999999999995E-2</v>
      </c>
      <c r="Q88" s="114">
        <v>-19.962157048249772</v>
      </c>
    </row>
    <row r="89" spans="1:243" x14ac:dyDescent="0.25">
      <c r="A89" s="35" t="s">
        <v>50</v>
      </c>
      <c r="B89" s="110">
        <v>2.7075019999999999</v>
      </c>
      <c r="D89" s="110">
        <v>14.5551582150479</v>
      </c>
      <c r="E89" s="35" t="s">
        <v>69</v>
      </c>
      <c r="F89" s="111">
        <v>10.899573999999999</v>
      </c>
      <c r="H89" s="112">
        <v>-1.2719746376811569</v>
      </c>
      <c r="L89" s="35" t="s">
        <v>143</v>
      </c>
      <c r="M89" s="50">
        <v>0.70620000000000005</v>
      </c>
      <c r="N89" s="113">
        <v>10.898241206030153</v>
      </c>
      <c r="O89" s="35" t="s">
        <v>126</v>
      </c>
      <c r="P89" s="111">
        <v>2.52E-2</v>
      </c>
      <c r="Q89" s="114">
        <v>-18.181818181818183</v>
      </c>
    </row>
    <row r="90" spans="1:243" x14ac:dyDescent="0.25">
      <c r="A90" s="35" t="s">
        <v>40</v>
      </c>
      <c r="B90" s="110">
        <v>184.99977799999999</v>
      </c>
      <c r="C90" s="110"/>
      <c r="D90" s="110">
        <v>8.8233988235294074</v>
      </c>
      <c r="E90" s="35" t="s">
        <v>97</v>
      </c>
      <c r="F90" s="111">
        <v>5.6087999999999996</v>
      </c>
      <c r="H90" s="112">
        <v>-0.9866557593344597</v>
      </c>
      <c r="L90" s="35" t="s">
        <v>120</v>
      </c>
      <c r="M90" s="50">
        <v>0.13919999999999999</v>
      </c>
      <c r="N90" s="113">
        <v>0.50541516245485807</v>
      </c>
      <c r="O90" s="35" t="s">
        <v>141</v>
      </c>
      <c r="P90" s="111">
        <v>0.26169999999999999</v>
      </c>
      <c r="Q90" s="114">
        <v>-12.766666666666667</v>
      </c>
    </row>
    <row r="91" spans="1:243" x14ac:dyDescent="0.25">
      <c r="A91" s="35" t="s">
        <v>95</v>
      </c>
      <c r="B91" s="110">
        <v>3.9979000000000001E-2</v>
      </c>
      <c r="C91" s="110"/>
      <c r="D91" s="110">
        <v>7.8851499042016382</v>
      </c>
      <c r="E91" s="35" t="s">
        <v>93</v>
      </c>
      <c r="F91" s="111">
        <v>4.0010960000000004</v>
      </c>
      <c r="G91" s="111"/>
      <c r="H91" s="112">
        <v>-0.47024875621888423</v>
      </c>
      <c r="L91" s="35" t="s">
        <v>139</v>
      </c>
      <c r="M91" s="50">
        <v>0.97699999999999998</v>
      </c>
      <c r="N91" s="113">
        <v>0.46272493573264251</v>
      </c>
      <c r="O91" s="35" t="s">
        <v>128</v>
      </c>
      <c r="P91" s="111">
        <v>0.11</v>
      </c>
      <c r="Q91" s="114">
        <v>-9.9836333878887089</v>
      </c>
    </row>
    <row r="92" spans="1:243" x14ac:dyDescent="0.25">
      <c r="A92" s="35" t="s">
        <v>45</v>
      </c>
      <c r="B92" s="110">
        <v>17.8</v>
      </c>
      <c r="C92" s="110"/>
      <c r="D92" s="110">
        <v>1.7421921441309627</v>
      </c>
      <c r="E92" s="35" t="s">
        <v>99</v>
      </c>
      <c r="F92" s="111">
        <v>0.144147</v>
      </c>
      <c r="G92" s="111"/>
      <c r="H92" s="112">
        <v>-0.34498015845581592</v>
      </c>
      <c r="L92" s="35"/>
      <c r="M92" s="50"/>
      <c r="N92" s="113"/>
      <c r="O92" s="35" t="s">
        <v>134</v>
      </c>
      <c r="P92" s="111">
        <v>1.83E-2</v>
      </c>
      <c r="Q92" s="114">
        <v>-8.5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oP2gMmvQCzGEeibWO4MvL7pLJSPrD8fSN2/wjgulNVy4sKwa6x+Pf0pXqwnAY1LJ0k8tD76wRGXRIhmVgzqPHQ==" saltValue="HplOKwtoGFR79hBfiz/LMQ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2026-06-03T13:38:22Z</dcterms:created>
  <dcterms:modified xsi:type="dcterms:W3CDTF">2026-06-03T13:56:03Z</dcterms:modified>
</cp:coreProperties>
</file>