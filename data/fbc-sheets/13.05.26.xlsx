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May/13.05.26/"/>
    </mc:Choice>
  </mc:AlternateContent>
  <xr:revisionPtr revIDLastSave="10" documentId="8_{F308E742-0AB5-4234-8E3F-4B3193B434F1}" xr6:coauthVersionLast="47" xr6:coauthVersionMax="47" xr10:uidLastSave="{DC004FE4-01B9-4DF6-85F4-D0E29CDA812D}"/>
  <bookViews>
    <workbookView xWindow="-108" yWindow="-108" windowWidth="23256" windowHeight="12456" xr2:uid="{795464FB-7A1E-484C-9196-2BDAB3E913B5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3" i="1" l="1"/>
  <c r="M16" i="1"/>
  <c r="M36" i="1"/>
  <c r="M17" i="1"/>
  <c r="M35" i="1"/>
  <c r="M9" i="1"/>
  <c r="M10" i="1"/>
  <c r="M11" i="1"/>
  <c r="O85" i="1"/>
  <c r="Q84" i="1"/>
  <c r="H84" i="1"/>
  <c r="M84" i="1" s="1"/>
  <c r="N85" i="1"/>
  <c r="Q83" i="1"/>
  <c r="M83" i="1"/>
  <c r="L83" i="1"/>
  <c r="K83" i="1"/>
  <c r="J83" i="1"/>
  <c r="P83" i="1" s="1"/>
  <c r="E83" i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E79" i="1" s="1"/>
  <c r="J79" i="1"/>
  <c r="D79" i="1" s="1"/>
  <c r="Q78" i="1"/>
  <c r="M78" i="1"/>
  <c r="L78" i="1"/>
  <c r="K78" i="1"/>
  <c r="E78" i="1" s="1"/>
  <c r="J78" i="1"/>
  <c r="D78" i="1" s="1"/>
  <c r="Q77" i="1"/>
  <c r="M77" i="1"/>
  <c r="L77" i="1"/>
  <c r="K77" i="1"/>
  <c r="E77" i="1" s="1"/>
  <c r="J77" i="1"/>
  <c r="D77" i="1" s="1"/>
  <c r="M74" i="1"/>
  <c r="L74" i="1"/>
  <c r="J74" i="1"/>
  <c r="P74" i="1" s="1"/>
  <c r="D74" i="1"/>
  <c r="O72" i="1"/>
  <c r="N72" i="1"/>
  <c r="M71" i="1"/>
  <c r="L71" i="1"/>
  <c r="J71" i="1"/>
  <c r="K71" i="1" s="1"/>
  <c r="E71" i="1" s="1"/>
  <c r="M70" i="1"/>
  <c r="L70" i="1"/>
  <c r="J70" i="1"/>
  <c r="D70" i="1" s="1"/>
  <c r="M67" i="1"/>
  <c r="L67" i="1"/>
  <c r="D67" i="1"/>
  <c r="O65" i="1"/>
  <c r="N65" i="1"/>
  <c r="M64" i="1"/>
  <c r="L64" i="1"/>
  <c r="J64" i="1"/>
  <c r="P64" i="1" s="1"/>
  <c r="M63" i="1"/>
  <c r="L63" i="1"/>
  <c r="J63" i="1"/>
  <c r="Q63" i="1" s="1"/>
  <c r="D63" i="1"/>
  <c r="M62" i="1"/>
  <c r="L62" i="1"/>
  <c r="J62" i="1"/>
  <c r="P62" i="1" s="1"/>
  <c r="M61" i="1"/>
  <c r="L61" i="1"/>
  <c r="J61" i="1"/>
  <c r="Q61" i="1" s="1"/>
  <c r="M60" i="1"/>
  <c r="L60" i="1"/>
  <c r="J60" i="1"/>
  <c r="Q60" i="1" s="1"/>
  <c r="M59" i="1"/>
  <c r="L59" i="1"/>
  <c r="J59" i="1"/>
  <c r="Q59" i="1" s="1"/>
  <c r="M58" i="1"/>
  <c r="L58" i="1"/>
  <c r="J58" i="1"/>
  <c r="Q58" i="1" s="1"/>
  <c r="M57" i="1"/>
  <c r="L57" i="1"/>
  <c r="J57" i="1"/>
  <c r="Q57" i="1" s="1"/>
  <c r="M56" i="1"/>
  <c r="L56" i="1"/>
  <c r="J56" i="1"/>
  <c r="Q56" i="1" s="1"/>
  <c r="M55" i="1"/>
  <c r="L55" i="1"/>
  <c r="J55" i="1"/>
  <c r="Q55" i="1" s="1"/>
  <c r="D55" i="1"/>
  <c r="M54" i="1"/>
  <c r="L54" i="1"/>
  <c r="J54" i="1"/>
  <c r="Q54" i="1" s="1"/>
  <c r="M53" i="1"/>
  <c r="L53" i="1"/>
  <c r="J53" i="1"/>
  <c r="Q53" i="1" s="1"/>
  <c r="M52" i="1"/>
  <c r="L52" i="1"/>
  <c r="J52" i="1"/>
  <c r="Q52" i="1" s="1"/>
  <c r="M51" i="1"/>
  <c r="L51" i="1"/>
  <c r="J51" i="1"/>
  <c r="P51" i="1" s="1"/>
  <c r="O48" i="1"/>
  <c r="N48" i="1"/>
  <c r="Q47" i="1"/>
  <c r="M47" i="1"/>
  <c r="L47" i="1"/>
  <c r="K47" i="1"/>
  <c r="E47" i="1" s="1"/>
  <c r="J47" i="1"/>
  <c r="D47" i="1" s="1"/>
  <c r="Q46" i="1"/>
  <c r="M46" i="1"/>
  <c r="L46" i="1"/>
  <c r="K46" i="1"/>
  <c r="E46" i="1" s="1"/>
  <c r="J46" i="1"/>
  <c r="P46" i="1" s="1"/>
  <c r="Q45" i="1"/>
  <c r="M45" i="1"/>
  <c r="L45" i="1"/>
  <c r="K45" i="1"/>
  <c r="E45" i="1" s="1"/>
  <c r="J45" i="1"/>
  <c r="P45" i="1" s="1"/>
  <c r="Q44" i="1"/>
  <c r="M44" i="1"/>
  <c r="L44" i="1"/>
  <c r="K44" i="1"/>
  <c r="E44" i="1" s="1"/>
  <c r="J44" i="1"/>
  <c r="D44" i="1" s="1"/>
  <c r="Q43" i="1"/>
  <c r="L43" i="1"/>
  <c r="K43" i="1"/>
  <c r="E43" i="1" s="1"/>
  <c r="J43" i="1"/>
  <c r="P43" i="1" s="1"/>
  <c r="Q42" i="1"/>
  <c r="M42" i="1"/>
  <c r="L42" i="1"/>
  <c r="K42" i="1"/>
  <c r="E42" i="1" s="1"/>
  <c r="J42" i="1"/>
  <c r="P42" i="1" s="1"/>
  <c r="Q41" i="1"/>
  <c r="M41" i="1"/>
  <c r="L41" i="1"/>
  <c r="K41" i="1"/>
  <c r="E41" i="1" s="1"/>
  <c r="J41" i="1"/>
  <c r="D41" i="1" s="1"/>
  <c r="Q40" i="1"/>
  <c r="M40" i="1"/>
  <c r="L40" i="1"/>
  <c r="K40" i="1"/>
  <c r="E40" i="1" s="1"/>
  <c r="J40" i="1"/>
  <c r="P40" i="1" s="1"/>
  <c r="Q39" i="1"/>
  <c r="M39" i="1"/>
  <c r="L39" i="1"/>
  <c r="K39" i="1"/>
  <c r="E39" i="1" s="1"/>
  <c r="J39" i="1"/>
  <c r="D39" i="1" s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Q36" i="1"/>
  <c r="L36" i="1"/>
  <c r="K36" i="1"/>
  <c r="J36" i="1"/>
  <c r="P36" i="1" s="1"/>
  <c r="E36" i="1"/>
  <c r="Q35" i="1"/>
  <c r="L35" i="1"/>
  <c r="K35" i="1"/>
  <c r="E35" i="1" s="1"/>
  <c r="J35" i="1"/>
  <c r="D35" i="1" s="1"/>
  <c r="Q34" i="1"/>
  <c r="M34" i="1"/>
  <c r="L34" i="1"/>
  <c r="K34" i="1"/>
  <c r="J34" i="1"/>
  <c r="P34" i="1" s="1"/>
  <c r="E34" i="1"/>
  <c r="Q33" i="1"/>
  <c r="M33" i="1"/>
  <c r="L33" i="1"/>
  <c r="K33" i="1"/>
  <c r="E33" i="1" s="1"/>
  <c r="J33" i="1"/>
  <c r="P33" i="1" s="1"/>
  <c r="Q32" i="1"/>
  <c r="M32" i="1"/>
  <c r="L32" i="1"/>
  <c r="K32" i="1"/>
  <c r="E32" i="1" s="1"/>
  <c r="J32" i="1"/>
  <c r="D32" i="1" s="1"/>
  <c r="K31" i="1"/>
  <c r="E31" i="1" s="1"/>
  <c r="J31" i="1"/>
  <c r="D31" i="1" s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P28" i="1" s="1"/>
  <c r="Q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P25" i="1" s="1"/>
  <c r="Q24" i="1"/>
  <c r="M24" i="1"/>
  <c r="L24" i="1"/>
  <c r="K24" i="1"/>
  <c r="J24" i="1"/>
  <c r="P24" i="1" s="1"/>
  <c r="E24" i="1"/>
  <c r="Q23" i="1"/>
  <c r="M23" i="1"/>
  <c r="L23" i="1"/>
  <c r="K23" i="1"/>
  <c r="E23" i="1" s="1"/>
  <c r="J23" i="1"/>
  <c r="D23" i="1" s="1"/>
  <c r="Q22" i="1"/>
  <c r="M22" i="1"/>
  <c r="L22" i="1"/>
  <c r="K22" i="1"/>
  <c r="J22" i="1"/>
  <c r="P22" i="1" s="1"/>
  <c r="E22" i="1"/>
  <c r="Q21" i="1"/>
  <c r="M21" i="1"/>
  <c r="L21" i="1"/>
  <c r="K21" i="1"/>
  <c r="E21" i="1" s="1"/>
  <c r="J21" i="1"/>
  <c r="P21" i="1" s="1"/>
  <c r="D21" i="1"/>
  <c r="Q20" i="1"/>
  <c r="M20" i="1"/>
  <c r="L20" i="1"/>
  <c r="K20" i="1"/>
  <c r="E20" i="1" s="1"/>
  <c r="J20" i="1"/>
  <c r="D20" i="1" s="1"/>
  <c r="Q19" i="1"/>
  <c r="M19" i="1"/>
  <c r="L19" i="1"/>
  <c r="K19" i="1"/>
  <c r="E19" i="1" s="1"/>
  <c r="J19" i="1"/>
  <c r="P19" i="1" s="1"/>
  <c r="D19" i="1"/>
  <c r="E18" i="1"/>
  <c r="D18" i="1"/>
  <c r="Q17" i="1"/>
  <c r="L17" i="1"/>
  <c r="K17" i="1"/>
  <c r="E17" i="1" s="1"/>
  <c r="J17" i="1"/>
  <c r="Q16" i="1"/>
  <c r="L16" i="1"/>
  <c r="K16" i="1"/>
  <c r="E16" i="1" s="1"/>
  <c r="J16" i="1"/>
  <c r="D16" i="1" s="1"/>
  <c r="Q15" i="1"/>
  <c r="M15" i="1"/>
  <c r="L15" i="1"/>
  <c r="K15" i="1"/>
  <c r="E15" i="1" s="1"/>
  <c r="J15" i="1"/>
  <c r="P15" i="1" s="1"/>
  <c r="Q14" i="1"/>
  <c r="M14" i="1"/>
  <c r="L14" i="1"/>
  <c r="K14" i="1"/>
  <c r="E14" i="1" s="1"/>
  <c r="J14" i="1"/>
  <c r="P14" i="1" s="1"/>
  <c r="Q13" i="1"/>
  <c r="M13" i="1"/>
  <c r="L13" i="1"/>
  <c r="K13" i="1"/>
  <c r="E13" i="1" s="1"/>
  <c r="J13" i="1"/>
  <c r="P13" i="1" s="1"/>
  <c r="Q12" i="1"/>
  <c r="M12" i="1"/>
  <c r="L12" i="1"/>
  <c r="K12" i="1"/>
  <c r="E12" i="1" s="1"/>
  <c r="J12" i="1"/>
  <c r="P12" i="1" s="1"/>
  <c r="Q11" i="1"/>
  <c r="L11" i="1"/>
  <c r="K11" i="1"/>
  <c r="E11" i="1" s="1"/>
  <c r="J11" i="1"/>
  <c r="P11" i="1" s="1"/>
  <c r="D11" i="1"/>
  <c r="Q10" i="1"/>
  <c r="L10" i="1"/>
  <c r="K10" i="1"/>
  <c r="E10" i="1" s="1"/>
  <c r="J10" i="1"/>
  <c r="D10" i="1" s="1"/>
  <c r="Q9" i="1"/>
  <c r="L9" i="1"/>
  <c r="K9" i="1"/>
  <c r="E9" i="1" s="1"/>
  <c r="J9" i="1"/>
  <c r="P9" i="1" s="1"/>
  <c r="D9" i="1"/>
  <c r="P17" i="1" l="1"/>
  <c r="D60" i="1"/>
  <c r="D83" i="1"/>
  <c r="D58" i="1"/>
  <c r="D40" i="1"/>
  <c r="D42" i="1"/>
  <c r="D34" i="1"/>
  <c r="D36" i="1"/>
  <c r="D52" i="1"/>
  <c r="D57" i="1"/>
  <c r="D54" i="1"/>
  <c r="D61" i="1"/>
  <c r="D28" i="1"/>
  <c r="D43" i="1"/>
  <c r="D45" i="1"/>
  <c r="D22" i="1"/>
  <c r="D24" i="1"/>
  <c r="P71" i="1"/>
  <c r="Q71" i="1"/>
  <c r="D12" i="1"/>
  <c r="D25" i="1"/>
  <c r="D51" i="1"/>
  <c r="D64" i="1"/>
  <c r="D71" i="1"/>
  <c r="D17" i="1"/>
  <c r="D15" i="1"/>
  <c r="D13" i="1"/>
  <c r="D33" i="1"/>
  <c r="P27" i="1"/>
  <c r="Q51" i="1"/>
  <c r="D14" i="1"/>
  <c r="D37" i="1"/>
  <c r="D53" i="1"/>
  <c r="D56" i="1"/>
  <c r="D59" i="1"/>
  <c r="D62" i="1"/>
  <c r="P16" i="1"/>
  <c r="P39" i="1"/>
  <c r="P10" i="1"/>
  <c r="D46" i="1"/>
  <c r="Q74" i="1"/>
  <c r="J84" i="1"/>
  <c r="K84" i="1"/>
  <c r="E84" i="1" s="1"/>
  <c r="L84" i="1"/>
  <c r="K70" i="1"/>
  <c r="E70" i="1" s="1"/>
  <c r="P41" i="1"/>
  <c r="P54" i="1"/>
  <c r="P60" i="1"/>
  <c r="P26" i="1"/>
  <c r="P29" i="1"/>
  <c r="P35" i="1"/>
  <c r="Q64" i="1"/>
  <c r="K74" i="1"/>
  <c r="E74" i="1" s="1"/>
  <c r="P44" i="1"/>
  <c r="P56" i="1"/>
  <c r="P23" i="1"/>
  <c r="Q62" i="1"/>
  <c r="P55" i="1"/>
  <c r="P57" i="1"/>
  <c r="P59" i="1"/>
  <c r="P61" i="1"/>
  <c r="P63" i="1"/>
  <c r="P58" i="1"/>
  <c r="P20" i="1"/>
  <c r="P32" i="1"/>
  <c r="P52" i="1"/>
  <c r="P70" i="1"/>
  <c r="Q70" i="1"/>
  <c r="P84" i="1" l="1"/>
  <c r="D84" i="1"/>
</calcChain>
</file>

<file path=xl/sharedStrings.xml><?xml version="1.0" encoding="utf-8"?>
<sst xmlns="http://schemas.openxmlformats.org/spreadsheetml/2006/main" count="266" uniqueCount="182">
  <si>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</si>
  <si>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</si>
  <si>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</si>
  <si>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</si>
  <si>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</si>
  <si>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</si>
  <si>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</si>
  <si>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</si>
  <si>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</si>
  <si>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</si>
  <si>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</si>
  <si>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</si>
  <si>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</si>
  <si>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</si>
  <si>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</si>
  <si>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</si>
  <si>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</si>
  <si>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</si>
  <si>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</si>
  <si>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</si>
  <si>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</si>
  <si>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</si>
  <si>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</si>
  <si>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</si>
  <si>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</si>
  <si>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</si>
  <si>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</si>
  <si>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</si>
  <si>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</si>
  <si>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</si>
  <si>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</si>
  <si>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</si>
  <si>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</si>
  <si>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</si>
  <si>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</si>
  <si>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</si>
  <si>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</si>
  <si>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</si>
  <si>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</si>
  <si>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</si>
  <si>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</si>
  <si>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</si>
  <si>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</si>
  <si>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</si>
  <si>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</si>
  <si>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</si>
  <si>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</si>
  <si>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</si>
  <si>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</si>
  <si>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</si>
  <si>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</si>
  <si>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</si>
  <si>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</si>
  <si>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</si>
  <si>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</si>
  <si>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</si>
  <si>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</si>
  <si>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</si>
  <si>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</si>
  <si>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</si>
  <si>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</si>
  <si>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</si>
  <si>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</si>
  <si>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</si>
  <si>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</si>
  <si>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</si>
  <si>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</si>
  <si>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</si>
  <si>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</si>
  <si>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</si>
  <si>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</si>
  <si>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</si>
  <si>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</si>
  <si>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</si>
  <si>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</si>
  <si>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</si>
  <si>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</si>
  <si>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</si>
  <si>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</si>
  <si>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</si>
  <si>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</si>
  <si>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</si>
  <si>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</si>
  <si>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</si>
  <si>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</si>
  <si>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</si>
  <si>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</si>
  <si>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</si>
  <si>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</si>
  <si>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</si>
  <si>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</si>
  <si>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</si>
  <si>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</si>
  <si>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</si>
  <si>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</si>
  <si>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</si>
  <si>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</si>
  <si>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</si>
  <si>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</si>
  <si>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</si>
  <si>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</si>
  <si>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</si>
  <si>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</si>
  <si>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</si>
  <si>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</si>
  <si>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</si>
  <si>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</si>
  <si>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</si>
  <si>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</si>
  <si>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</si>
  <si>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</si>
  <si>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</si>
  <si>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</si>
  <si>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</si>
  <si>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</si>
  <si>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</si>
  <si>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</si>
  <si>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</si>
  <si>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</si>
  <si>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</si>
  <si>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</si>
  <si>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</si>
  <si>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</si>
  <si>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</si>
  <si>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</si>
  <si>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</si>
  <si>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</si>
  <si>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</si>
  <si>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</si>
  <si>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</si>
  <si>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</si>
  <si>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</si>
  <si>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</si>
  <si>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</si>
  <si>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</si>
  <si>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</si>
  <si>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</si>
  <si>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</si>
  <si>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</si>
  <si>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</si>
  <si>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</si>
  <si>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</si>
  <si>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</si>
  <si>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</si>
  <si>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</si>
  <si>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</si>
  <si>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</si>
  <si>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</si>
  <si>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</si>
  <si>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</si>
  <si>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</si>
  <si>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</si>
  <si>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</si>
  <si>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</si>
  <si>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</si>
  <si>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</si>
  <si>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</si>
  <si>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</si>
  <si>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</si>
  <si>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</si>
  <si>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</si>
  <si>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</si>
  <si>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</si>
  <si>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</si>
  <si>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</si>
  <si>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</si>
  <si>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</si>
  <si>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</si>
  <si>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</si>
  <si>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</si>
  <si>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</si>
  <si>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</si>
  <si>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</si>
  <si>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</si>
  <si>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</si>
  <si>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</si>
  <si>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</si>
  <si>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This Price Sheet is based on PROVISIONAL information obtained during trading. No liability is accepted by FBC Securities (Private) Limited for any errors in this report. </t>
  </si>
  <si>
    <t>VFEX Top Gainers</t>
  </si>
  <si>
    <t>VFEX Top Losers</t>
  </si>
  <si>
    <t>ZSE Top Gainers</t>
  </si>
  <si>
    <t>ZSE Top Losers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</si>
</sst>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164" fontId="4" fillId="3" borderId="0" xfId="2" applyNumberFormat="1" applyFont="1" applyFill="1" applyAlignment="1"/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</cellXfs>
  <cellStyles count="9">
    <cellStyle name="Comma 2 2 2 2 2 2 2 2 2 2" xfId="3" xr:uid="{2DDF47BC-2530-4976-B2FC-A4C1E10D6166}"/>
    <cellStyle name="Comma 5 2 2 2 2 2 2 2 2" xfId="4" xr:uid="{5DBC54B6-D673-42DF-8613-07101D55C626}"/>
    <cellStyle name="Comma 6 2 2 2" xfId="5" xr:uid="{DC01FDBC-0762-4A35-9738-1D58C714D605}"/>
    <cellStyle name="Hyperlink 2" xfId="8" xr:uid="{CA781E21-47DA-419B-9458-0CF037C180C5}"/>
    <cellStyle name="Normal" xfId="0" builtinId="0"/>
    <cellStyle name="Normal 2" xfId="2" xr:uid="{A63FFDCE-6BD2-4001-B2A3-F0DC5CCE3713}"/>
    <cellStyle name="Normal 20" xfId="7" xr:uid="{86307832-1958-4615-B35B-E5FDF508010F}"/>
    <cellStyle name="Percent" xfId="1" builtinId="5"/>
    <cellStyle name="Percent 3" xfId="6" xr:uid="{A2E1BB9E-E217-43BF-8027-9E124C34C4E4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1DF0CE2D-A5D2-4878-92FF-C41EA1EB3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1175658</xdr:colOff>
      <xdr:row>4</xdr:row>
      <xdr:rowOff>159895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8117CD77-CFE9-410B-BA97-6A3A7AF59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5991499" cy="617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ECDAC-8BDD-4719-A715-06324E723E5C}">
  <dimension ref="A1:II106"/>
  <sheetViews>
    <sheetView tabSelected="1" zoomScale="70" zoomScaleNormal="70" workbookViewId="0">
      <selection activeCell="F15" sqref="F15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25.770099999999999</v>
      </c>
      <c r="K5" s="22"/>
      <c r="L5" s="131" t="s">
        <v>12</v>
      </c>
      <c r="M5" s="132"/>
      <c r="N5" s="23" t="s">
        <v>13</v>
      </c>
      <c r="O5" s="24"/>
      <c r="P5" s="24"/>
      <c r="Q5" s="25"/>
    </row>
    <row r="6" spans="1:18" ht="6.6" customHeight="1" x14ac:dyDescent="0.3">
      <c r="A6" s="127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30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 t="shared" ref="D9:D29" si="0">C9*J9</f>
        <v>76484737.436020821</v>
      </c>
      <c r="E9" s="39">
        <f t="shared" ref="E9:E29" si="1">C9*K9</f>
        <v>65700644.406666674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0.61311364721130301</v>
      </c>
      <c r="K9" s="44">
        <f t="shared" ref="K9:K17" si="2">I9/$K$4</f>
        <v>0.52666666666666673</v>
      </c>
      <c r="L9" s="45">
        <f t="shared" ref="L9:L17" si="3">I9-H9</f>
        <v>0</v>
      </c>
      <c r="M9" s="45">
        <f t="shared" ref="M9:M17" si="4">((I9-H9)/H9)*100</f>
        <v>0</v>
      </c>
      <c r="N9" s="46">
        <v>0</v>
      </c>
      <c r="O9" s="37">
        <v>0</v>
      </c>
      <c r="P9" s="47">
        <f t="shared" ref="P9:P17" si="5">(R9)/J9</f>
        <v>2.4465284810126581E-2</v>
      </c>
      <c r="Q9" s="48">
        <f t="shared" ref="Q9:Q17" si="6"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 t="shared" si="0"/>
        <v>4325811.628883861</v>
      </c>
      <c r="E10" s="39">
        <f t="shared" si="1"/>
        <v>3715886.6085833325</v>
      </c>
      <c r="F10" s="40" t="s">
        <v>34</v>
      </c>
      <c r="G10" s="41">
        <v>3.1600000000000003E-2</v>
      </c>
      <c r="H10" s="42">
        <v>6.8499999999999991E-2</v>
      </c>
      <c r="I10" s="42">
        <v>6.8499999999999991E-2</v>
      </c>
      <c r="J10" s="43">
        <f t="shared" ref="J10:J17" si="7">I10/$J$5</f>
        <v>2.6581192932895099E-3</v>
      </c>
      <c r="K10" s="44">
        <f t="shared" si="2"/>
        <v>2.283333333333333E-3</v>
      </c>
      <c r="L10" s="45">
        <f t="shared" si="3"/>
        <v>0</v>
      </c>
      <c r="M10" s="45">
        <f t="shared" si="4"/>
        <v>0</v>
      </c>
      <c r="N10" s="46">
        <v>33700</v>
      </c>
      <c r="O10" s="37">
        <v>2308.4499999999998</v>
      </c>
      <c r="P10" s="50">
        <f t="shared" si="5"/>
        <v>0</v>
      </c>
      <c r="Q10" s="48">
        <f t="shared" si="6"/>
        <v>1.1677215189873413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 t="shared" si="0"/>
        <v>3308382.256274248</v>
      </c>
      <c r="E11" s="39">
        <f t="shared" si="1"/>
        <v>2841911.3860804336</v>
      </c>
      <c r="F11" s="40" t="s">
        <v>39</v>
      </c>
      <c r="G11" s="41">
        <v>7.8E-2</v>
      </c>
      <c r="H11" s="42">
        <v>0.195107</v>
      </c>
      <c r="I11" s="42">
        <v>0.195107</v>
      </c>
      <c r="J11" s="43">
        <f t="shared" si="7"/>
        <v>7.5710610358516268E-3</v>
      </c>
      <c r="K11" s="44">
        <f t="shared" si="2"/>
        <v>6.5035666666666669E-3</v>
      </c>
      <c r="L11" s="45">
        <f t="shared" si="3"/>
        <v>0</v>
      </c>
      <c r="M11" s="45">
        <f t="shared" si="4"/>
        <v>0</v>
      </c>
      <c r="N11" s="46">
        <v>0</v>
      </c>
      <c r="O11" s="37">
        <v>0</v>
      </c>
      <c r="P11" s="50">
        <f t="shared" si="5"/>
        <v>0</v>
      </c>
      <c r="Q11" s="48">
        <f t="shared" si="6"/>
        <v>1.5013717948717948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 t="shared" si="0"/>
        <v>116098112.34725516</v>
      </c>
      <c r="E12" s="39">
        <f t="shared" si="1"/>
        <v>99728665.5</v>
      </c>
      <c r="F12" s="40" t="s">
        <v>34</v>
      </c>
      <c r="G12" s="41">
        <v>97.381</v>
      </c>
      <c r="H12" s="42">
        <v>170</v>
      </c>
      <c r="I12" s="42">
        <v>145</v>
      </c>
      <c r="J12" s="43">
        <f t="shared" si="7"/>
        <v>5.6266758763062619</v>
      </c>
      <c r="K12" s="44">
        <f t="shared" si="2"/>
        <v>4.833333333333333</v>
      </c>
      <c r="L12" s="45">
        <f t="shared" si="3"/>
        <v>-25</v>
      </c>
      <c r="M12" s="45">
        <f t="shared" si="4"/>
        <v>-14.705882352941178</v>
      </c>
      <c r="N12" s="46">
        <v>5600</v>
      </c>
      <c r="O12" s="37">
        <v>812000</v>
      </c>
      <c r="P12" s="50">
        <f t="shared" si="5"/>
        <v>0</v>
      </c>
      <c r="Q12" s="48">
        <f t="shared" si="6"/>
        <v>0.4889968268964171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 t="shared" si="0"/>
        <v>4406856.7490230929</v>
      </c>
      <c r="E13" s="39">
        <f t="shared" si="1"/>
        <v>3785504.6369333328</v>
      </c>
      <c r="F13" s="40" t="s">
        <v>44</v>
      </c>
      <c r="G13" s="41">
        <v>13.6</v>
      </c>
      <c r="H13" s="42">
        <v>13.000999999999999</v>
      </c>
      <c r="I13" s="42">
        <v>13.000999999999999</v>
      </c>
      <c r="J13" s="43">
        <f t="shared" si="7"/>
        <v>0.50449940046798425</v>
      </c>
      <c r="K13" s="44">
        <f t="shared" si="2"/>
        <v>0.43336666666666662</v>
      </c>
      <c r="L13" s="45">
        <f t="shared" si="3"/>
        <v>0</v>
      </c>
      <c r="M13" s="45">
        <f t="shared" si="4"/>
        <v>0</v>
      </c>
      <c r="N13" s="46">
        <v>0</v>
      </c>
      <c r="O13" s="37">
        <v>0</v>
      </c>
      <c r="P13" s="50">
        <f t="shared" si="5"/>
        <v>0</v>
      </c>
      <c r="Q13" s="48">
        <f t="shared" si="6"/>
        <v>-4.4044117647058845E-2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 t="shared" si="0"/>
        <v>313932338.33586204</v>
      </c>
      <c r="E14" s="39">
        <f t="shared" si="1"/>
        <v>269668925.07163328</v>
      </c>
      <c r="F14" s="40" t="s">
        <v>47</v>
      </c>
      <c r="G14" s="41">
        <v>11.5</v>
      </c>
      <c r="H14" s="42">
        <v>15.478599999999998</v>
      </c>
      <c r="I14" s="42">
        <v>15.478599999999998</v>
      </c>
      <c r="J14" s="43">
        <f t="shared" si="7"/>
        <v>0.60064182909651098</v>
      </c>
      <c r="K14" s="44">
        <f t="shared" si="2"/>
        <v>0.51595333333333326</v>
      </c>
      <c r="L14" s="45">
        <f t="shared" si="3"/>
        <v>0</v>
      </c>
      <c r="M14" s="45">
        <f t="shared" si="4"/>
        <v>0</v>
      </c>
      <c r="N14" s="46">
        <v>0</v>
      </c>
      <c r="O14" s="37">
        <v>0</v>
      </c>
      <c r="P14" s="50">
        <f t="shared" si="5"/>
        <v>0</v>
      </c>
      <c r="Q14" s="48">
        <f t="shared" si="6"/>
        <v>0.34596521739130415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 t="shared" si="0"/>
        <v>24689281.376478944</v>
      </c>
      <c r="E15" s="39">
        <f t="shared" si="1"/>
        <v>21208175</v>
      </c>
      <c r="F15" s="40" t="s">
        <v>34</v>
      </c>
      <c r="G15" s="41">
        <v>5.39</v>
      </c>
      <c r="H15" s="42">
        <v>6</v>
      </c>
      <c r="I15" s="42">
        <v>6</v>
      </c>
      <c r="J15" s="43">
        <f t="shared" si="7"/>
        <v>0.23282796729543154</v>
      </c>
      <c r="K15" s="44">
        <f t="shared" si="2"/>
        <v>0.2</v>
      </c>
      <c r="L15" s="45">
        <f t="shared" si="3"/>
        <v>0</v>
      </c>
      <c r="M15" s="45">
        <f t="shared" si="4"/>
        <v>0</v>
      </c>
      <c r="N15" s="46">
        <v>0</v>
      </c>
      <c r="O15" s="37">
        <v>0</v>
      </c>
      <c r="P15" s="50">
        <f t="shared" si="5"/>
        <v>0</v>
      </c>
      <c r="Q15" s="48">
        <f t="shared" si="6"/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 t="shared" si="0"/>
        <v>33479965.843361109</v>
      </c>
      <c r="E16" s="39">
        <f t="shared" si="1"/>
        <v>28759402.259333335</v>
      </c>
      <c r="F16" s="40" t="s">
        <v>34</v>
      </c>
      <c r="G16" s="41">
        <v>1.9</v>
      </c>
      <c r="H16" s="42">
        <v>2.4005000000000001</v>
      </c>
      <c r="I16" s="42">
        <v>2.41</v>
      </c>
      <c r="J16" s="43">
        <f t="shared" si="7"/>
        <v>9.3519233530331675E-2</v>
      </c>
      <c r="K16" s="44">
        <f t="shared" si="2"/>
        <v>8.033333333333334E-2</v>
      </c>
      <c r="L16" s="45">
        <f t="shared" si="3"/>
        <v>9.5000000000000639E-3</v>
      </c>
      <c r="M16" s="45">
        <f t="shared" si="4"/>
        <v>0.39575088523224594</v>
      </c>
      <c r="N16" s="46">
        <v>121000</v>
      </c>
      <c r="O16" s="37">
        <v>291610</v>
      </c>
      <c r="P16" s="50">
        <f t="shared" si="5"/>
        <v>0</v>
      </c>
      <c r="Q16" s="48">
        <f t="shared" si="6"/>
        <v>0.26842105263157912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 t="shared" si="0"/>
        <v>1463196769.8023098</v>
      </c>
      <c r="E17" s="39">
        <f t="shared" si="1"/>
        <v>1256890902.5827501</v>
      </c>
      <c r="F17" s="40" t="s">
        <v>34</v>
      </c>
      <c r="G17" s="41">
        <v>20.701700000000002</v>
      </c>
      <c r="H17" s="42">
        <v>28.024799999999999</v>
      </c>
      <c r="I17" s="42">
        <v>28.105500000000003</v>
      </c>
      <c r="J17" s="43">
        <f t="shared" si="7"/>
        <v>1.0906244058036252</v>
      </c>
      <c r="K17" s="44">
        <f t="shared" si="2"/>
        <v>0.93685000000000007</v>
      </c>
      <c r="L17" s="45">
        <f t="shared" si="3"/>
        <v>8.0700000000003769E-2</v>
      </c>
      <c r="M17" s="45">
        <f t="shared" si="4"/>
        <v>0.28795923610517749</v>
      </c>
      <c r="N17" s="46">
        <v>1899800</v>
      </c>
      <c r="O17" s="37">
        <v>53394860</v>
      </c>
      <c r="P17" s="47">
        <f t="shared" si="5"/>
        <v>4.5845297183825233E-2</v>
      </c>
      <c r="Q17" s="48">
        <f t="shared" si="6"/>
        <v>0.35764212600897505</v>
      </c>
      <c r="R17" s="49">
        <v>0.05</v>
      </c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299028290.84204954</v>
      </c>
      <c r="E19" s="39">
        <f t="shared" si="1"/>
        <v>256866298.59428999</v>
      </c>
      <c r="F19" s="40" t="s">
        <v>47</v>
      </c>
      <c r="G19" s="41">
        <v>12.45</v>
      </c>
      <c r="H19" s="42">
        <v>11.4681</v>
      </c>
      <c r="I19" s="42">
        <v>11.4681</v>
      </c>
      <c r="J19" s="43">
        <f t="shared" ref="J19:J29" si="8">I19/$J$5</f>
        <v>0.44501573529012306</v>
      </c>
      <c r="K19" s="44">
        <f t="shared" ref="K19:K29" si="9">I19/$K$4</f>
        <v>0.38227</v>
      </c>
      <c r="L19" s="45">
        <f t="shared" ref="L19:L29" si="10">I19-H19</f>
        <v>0</v>
      </c>
      <c r="M19" s="45">
        <f t="shared" ref="M19:M29" si="11">((I19-H19)/H19)*100</f>
        <v>0</v>
      </c>
      <c r="N19" s="46">
        <v>0</v>
      </c>
      <c r="O19" s="37">
        <v>0</v>
      </c>
      <c r="P19" s="50">
        <f t="shared" ref="P19:P29" si="12">(R19)/J19</f>
        <v>0</v>
      </c>
      <c r="Q19" s="48">
        <f t="shared" ref="Q19:Q29" si="13">I19/G19-1</f>
        <v>-7.8867469879518093E-2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2445219.0657499586</v>
      </c>
      <c r="E20" s="39">
        <f t="shared" si="1"/>
        <v>2100451.3282094332</v>
      </c>
      <c r="F20" s="40" t="s">
        <v>47</v>
      </c>
      <c r="G20" s="41">
        <v>0.35</v>
      </c>
      <c r="H20" s="42">
        <v>0.57851300000000005</v>
      </c>
      <c r="I20" s="42">
        <v>0.57851300000000005</v>
      </c>
      <c r="J20" s="43">
        <f t="shared" si="8"/>
        <v>2.2449000973996998E-2</v>
      </c>
      <c r="K20" s="44">
        <f t="shared" si="9"/>
        <v>1.9283766666666667E-2</v>
      </c>
      <c r="L20" s="45">
        <f t="shared" si="10"/>
        <v>0</v>
      </c>
      <c r="M20" s="45">
        <f t="shared" si="11"/>
        <v>0</v>
      </c>
      <c r="N20" s="46">
        <v>0</v>
      </c>
      <c r="O20" s="37">
        <v>0</v>
      </c>
      <c r="P20" s="50">
        <f t="shared" si="12"/>
        <v>0</v>
      </c>
      <c r="Q20" s="48">
        <f t="shared" si="13"/>
        <v>0.65289428571428587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62928108.74754075</v>
      </c>
      <c r="E21" s="39">
        <f t="shared" si="1"/>
        <v>54055455.174499996</v>
      </c>
      <c r="F21" s="40" t="s">
        <v>47</v>
      </c>
      <c r="G21" s="41">
        <v>2.85</v>
      </c>
      <c r="H21" s="42">
        <v>2.5</v>
      </c>
      <c r="I21" s="42">
        <v>2.3497499999999998</v>
      </c>
      <c r="J21" s="43">
        <f t="shared" si="8"/>
        <v>9.1181252692073361E-2</v>
      </c>
      <c r="K21" s="44">
        <f t="shared" si="9"/>
        <v>7.8324999999999992E-2</v>
      </c>
      <c r="L21" s="45">
        <f t="shared" si="10"/>
        <v>-0.15025000000000022</v>
      </c>
      <c r="M21" s="45">
        <f t="shared" si="11"/>
        <v>-6.0100000000000087</v>
      </c>
      <c r="N21" s="46">
        <v>2400</v>
      </c>
      <c r="O21" s="37">
        <v>5639.4</v>
      </c>
      <c r="P21" s="50">
        <f t="shared" si="12"/>
        <v>0</v>
      </c>
      <c r="Q21" s="48">
        <f t="shared" si="13"/>
        <v>-0.17552631578947375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 t="shared" si="0"/>
        <v>50470104.773283035</v>
      </c>
      <c r="E22" s="39">
        <f t="shared" si="1"/>
        <v>43353988.233932696</v>
      </c>
      <c r="F22" s="40" t="s">
        <v>66</v>
      </c>
      <c r="G22" s="41">
        <v>0.88420599999999994</v>
      </c>
      <c r="H22" s="42">
        <v>1.1200000000000001</v>
      </c>
      <c r="I22" s="42">
        <v>1.052217</v>
      </c>
      <c r="J22" s="43">
        <f t="shared" si="8"/>
        <v>4.0830924210616182E-2</v>
      </c>
      <c r="K22" s="44">
        <f t="shared" si="9"/>
        <v>3.5073899999999998E-2</v>
      </c>
      <c r="L22" s="45">
        <f t="shared" si="10"/>
        <v>-6.7783000000000149E-2</v>
      </c>
      <c r="M22" s="45">
        <f t="shared" si="11"/>
        <v>-6.0520535714285835</v>
      </c>
      <c r="N22" s="46">
        <v>41500</v>
      </c>
      <c r="O22" s="37">
        <v>43667</v>
      </c>
      <c r="P22" s="50">
        <f t="shared" si="12"/>
        <v>0</v>
      </c>
      <c r="Q22" s="48">
        <f t="shared" si="13"/>
        <v>0.19001341316390086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 t="shared" si="0"/>
        <v>2498656.7673388924</v>
      </c>
      <c r="E23" s="39">
        <f t="shared" si="1"/>
        <v>2146354.4920000001</v>
      </c>
      <c r="F23" s="40" t="s">
        <v>44</v>
      </c>
      <c r="G23" s="41">
        <v>0.1</v>
      </c>
      <c r="H23" s="42">
        <v>0.12</v>
      </c>
      <c r="I23" s="42">
        <v>0.12</v>
      </c>
      <c r="J23" s="43">
        <f t="shared" si="8"/>
        <v>4.6565593459086301E-3</v>
      </c>
      <c r="K23" s="44">
        <f t="shared" si="9"/>
        <v>4.0000000000000001E-3</v>
      </c>
      <c r="L23" s="45">
        <f t="shared" si="10"/>
        <v>0</v>
      </c>
      <c r="M23" s="45">
        <f t="shared" si="11"/>
        <v>0</v>
      </c>
      <c r="N23" s="46">
        <v>100</v>
      </c>
      <c r="O23" s="37">
        <v>12</v>
      </c>
      <c r="P23" s="50">
        <f t="shared" si="12"/>
        <v>0</v>
      </c>
      <c r="Q23" s="48">
        <f t="shared" si="13"/>
        <v>0.19999999999999996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 t="shared" si="0"/>
        <v>71830035.923803166</v>
      </c>
      <c r="E24" s="39">
        <f t="shared" si="1"/>
        <v>61702240.291999996</v>
      </c>
      <c r="F24" s="40" t="s">
        <v>34</v>
      </c>
      <c r="G24" s="41">
        <v>8.1687659999999997</v>
      </c>
      <c r="H24" s="42">
        <v>9.6</v>
      </c>
      <c r="I24" s="42">
        <v>9.59</v>
      </c>
      <c r="J24" s="43">
        <f t="shared" si="8"/>
        <v>0.37213670106053137</v>
      </c>
      <c r="K24" s="44">
        <f t="shared" si="9"/>
        <v>0.31966666666666665</v>
      </c>
      <c r="L24" s="45">
        <f t="shared" si="10"/>
        <v>-9.9999999999997868E-3</v>
      </c>
      <c r="M24" s="45">
        <f t="shared" si="11"/>
        <v>-0.10416666666666445</v>
      </c>
      <c r="N24" s="46">
        <v>49700</v>
      </c>
      <c r="O24" s="37">
        <v>476623</v>
      </c>
      <c r="P24" s="50">
        <f t="shared" si="12"/>
        <v>0</v>
      </c>
      <c r="Q24" s="48">
        <f t="shared" si="13"/>
        <v>0.17398392853951261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 t="shared" si="0"/>
        <v>85131963.465411469</v>
      </c>
      <c r="E25" s="39">
        <f t="shared" si="1"/>
        <v>73128640.390000001</v>
      </c>
      <c r="F25" s="40" t="s">
        <v>66</v>
      </c>
      <c r="G25" s="41">
        <v>1.6675</v>
      </c>
      <c r="H25" s="42">
        <v>1.3</v>
      </c>
      <c r="I25" s="42">
        <v>1.3</v>
      </c>
      <c r="J25" s="43">
        <f t="shared" si="8"/>
        <v>5.0446059580676834E-2</v>
      </c>
      <c r="K25" s="44">
        <f t="shared" si="9"/>
        <v>4.3333333333333335E-2</v>
      </c>
      <c r="L25" s="45">
        <f t="shared" si="10"/>
        <v>0</v>
      </c>
      <c r="M25" s="45">
        <f t="shared" si="11"/>
        <v>0</v>
      </c>
      <c r="N25" s="46">
        <v>0</v>
      </c>
      <c r="O25" s="37">
        <v>0</v>
      </c>
      <c r="P25" s="50">
        <f t="shared" si="12"/>
        <v>0</v>
      </c>
      <c r="Q25" s="48">
        <f t="shared" si="13"/>
        <v>-0.22038980509745121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 t="shared" si="0"/>
        <v>32419916.625469055</v>
      </c>
      <c r="E26" s="39">
        <f t="shared" si="1"/>
        <v>27848816.447666667</v>
      </c>
      <c r="F26" s="40" t="s">
        <v>44</v>
      </c>
      <c r="G26" s="41">
        <v>1.7994999999999999</v>
      </c>
      <c r="H26" s="42">
        <v>3.49</v>
      </c>
      <c r="I26" s="42">
        <v>3.49</v>
      </c>
      <c r="J26" s="43">
        <f t="shared" si="8"/>
        <v>0.13542826764350935</v>
      </c>
      <c r="K26" s="44">
        <f t="shared" si="9"/>
        <v>0.11633333333333334</v>
      </c>
      <c r="L26" s="45">
        <f t="shared" si="10"/>
        <v>0</v>
      </c>
      <c r="M26" s="45">
        <f t="shared" si="11"/>
        <v>0</v>
      </c>
      <c r="N26" s="46">
        <v>0</v>
      </c>
      <c r="O26" s="37">
        <v>0</v>
      </c>
      <c r="P26" s="50">
        <f t="shared" si="12"/>
        <v>0</v>
      </c>
      <c r="Q26" s="48">
        <f t="shared" si="13"/>
        <v>0.93942761878299552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 t="shared" si="0"/>
        <v>31099809.736594848</v>
      </c>
      <c r="E27" s="39">
        <f t="shared" si="1"/>
        <v>26714840.229767431</v>
      </c>
      <c r="F27" s="40" t="s">
        <v>34</v>
      </c>
      <c r="G27" s="41">
        <v>3.1361369999999997</v>
      </c>
      <c r="H27" s="42">
        <v>3.13</v>
      </c>
      <c r="I27" s="42">
        <v>3.1288029999999996</v>
      </c>
      <c r="J27" s="43">
        <f t="shared" si="8"/>
        <v>0.12141214042630799</v>
      </c>
      <c r="K27" s="44">
        <f t="shared" si="9"/>
        <v>0.10429343333333332</v>
      </c>
      <c r="L27" s="45">
        <f t="shared" si="10"/>
        <v>-1.1970000000003367E-3</v>
      </c>
      <c r="M27" s="45">
        <f t="shared" si="11"/>
        <v>-3.8242811501608201E-2</v>
      </c>
      <c r="N27" s="46">
        <v>11700</v>
      </c>
      <c r="O27" s="37">
        <v>36607</v>
      </c>
      <c r="P27" s="50">
        <f t="shared" si="12"/>
        <v>0</v>
      </c>
      <c r="Q27" s="48">
        <f t="shared" si="13"/>
        <v>-2.3385457969470336E-3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 t="shared" si="0"/>
        <v>25012236.279758327</v>
      </c>
      <c r="E28" s="39">
        <f t="shared" si="1"/>
        <v>21485594.338433333</v>
      </c>
      <c r="F28" s="40" t="s">
        <v>44</v>
      </c>
      <c r="G28" s="41">
        <v>0.8</v>
      </c>
      <c r="H28" s="42">
        <v>0.85299999999999998</v>
      </c>
      <c r="I28" s="42">
        <v>0.85299999999999998</v>
      </c>
      <c r="J28" s="43">
        <f t="shared" si="8"/>
        <v>3.3100376017167185E-2</v>
      </c>
      <c r="K28" s="44">
        <f t="shared" si="9"/>
        <v>2.8433333333333331E-2</v>
      </c>
      <c r="L28" s="45">
        <f t="shared" si="10"/>
        <v>0</v>
      </c>
      <c r="M28" s="45">
        <f t="shared" si="11"/>
        <v>0</v>
      </c>
      <c r="N28" s="46">
        <v>0</v>
      </c>
      <c r="O28" s="37">
        <v>0</v>
      </c>
      <c r="P28" s="50">
        <f t="shared" si="12"/>
        <v>0</v>
      </c>
      <c r="Q28" s="48">
        <f t="shared" si="13"/>
        <v>6.624999999999992E-2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 t="shared" si="0"/>
        <v>81563318.289199501</v>
      </c>
      <c r="E29" s="39">
        <f t="shared" si="1"/>
        <v>70063162.288149998</v>
      </c>
      <c r="F29" s="40" t="s">
        <v>47</v>
      </c>
      <c r="G29" s="41">
        <v>5.15</v>
      </c>
      <c r="H29" s="42">
        <v>5.2004999999999999</v>
      </c>
      <c r="I29" s="42">
        <v>5.2004999999999999</v>
      </c>
      <c r="J29" s="43">
        <f t="shared" si="8"/>
        <v>0.20180364065331527</v>
      </c>
      <c r="K29" s="44">
        <f t="shared" si="9"/>
        <v>0.17335</v>
      </c>
      <c r="L29" s="45">
        <f t="shared" si="10"/>
        <v>0</v>
      </c>
      <c r="M29" s="45">
        <f t="shared" si="11"/>
        <v>0</v>
      </c>
      <c r="N29" s="46">
        <v>32700</v>
      </c>
      <c r="O29" s="37">
        <v>170056.35</v>
      </c>
      <c r="P29" s="50">
        <f t="shared" si="12"/>
        <v>0</v>
      </c>
      <c r="Q29" s="48">
        <f t="shared" si="13"/>
        <v>9.8058252427184467E-3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 t="shared" ref="D31:D47" si="14">C31*J31</f>
        <v>0</v>
      </c>
      <c r="E31" s="39">
        <f t="shared" ref="E31:E47" si="15">C31*K31</f>
        <v>0</v>
      </c>
      <c r="F31" s="40" t="s">
        <v>34</v>
      </c>
      <c r="G31" s="41">
        <v>0.13000100000000001</v>
      </c>
      <c r="H31" s="50">
        <v>0</v>
      </c>
      <c r="I31" s="50"/>
      <c r="J31" s="51">
        <f t="shared" ref="J31:J47" si="16">I31/$J$5</f>
        <v>0</v>
      </c>
      <c r="K31" s="52">
        <f t="shared" ref="K31:K47" si="17">I31/$K$4</f>
        <v>0</v>
      </c>
      <c r="L31" s="45">
        <v>0</v>
      </c>
      <c r="M31" s="45">
        <v>0</v>
      </c>
      <c r="N31" s="53" t="s">
        <v>85</v>
      </c>
      <c r="O31" s="53" t="s">
        <v>85</v>
      </c>
      <c r="P31" s="53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 t="shared" si="14"/>
        <v>14369732.160527123</v>
      </c>
      <c r="E32" s="39">
        <f t="shared" si="15"/>
        <v>12343647.824999999</v>
      </c>
      <c r="F32" s="40" t="s">
        <v>39</v>
      </c>
      <c r="G32" s="41">
        <v>1.4</v>
      </c>
      <c r="H32" s="42">
        <v>1.5</v>
      </c>
      <c r="I32" s="42">
        <v>1.425</v>
      </c>
      <c r="J32" s="43">
        <f t="shared" si="16"/>
        <v>5.5296642232664991E-2</v>
      </c>
      <c r="K32" s="44">
        <f t="shared" si="17"/>
        <v>4.7500000000000001E-2</v>
      </c>
      <c r="L32" s="45">
        <f t="shared" ref="L32:L47" si="18">I32-H32</f>
        <v>-7.4999999999999956E-2</v>
      </c>
      <c r="M32" s="45">
        <f t="shared" ref="M32:M47" si="19">((I32-H32)/H32)*100</f>
        <v>-4.9999999999999964</v>
      </c>
      <c r="N32" s="46">
        <v>600</v>
      </c>
      <c r="O32" s="37">
        <v>855</v>
      </c>
      <c r="P32" s="50">
        <f t="shared" ref="P32:P37" si="20">(R32)/J32</f>
        <v>0</v>
      </c>
      <c r="Q32" s="48">
        <f t="shared" ref="Q32:Q47" si="21">I32/G32-1</f>
        <v>1.7857142857143016E-2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 t="shared" si="14"/>
        <v>3551484.1812798553</v>
      </c>
      <c r="E33" s="39">
        <f t="shared" si="15"/>
        <v>3050736.75</v>
      </c>
      <c r="F33" s="40" t="s">
        <v>39</v>
      </c>
      <c r="G33" s="41">
        <v>0.65</v>
      </c>
      <c r="H33" s="42">
        <v>0.75</v>
      </c>
      <c r="I33" s="42">
        <v>0.75</v>
      </c>
      <c r="J33" s="43">
        <f t="shared" si="16"/>
        <v>2.9103495911928942E-2</v>
      </c>
      <c r="K33" s="44">
        <f t="shared" si="17"/>
        <v>2.5000000000000001E-2</v>
      </c>
      <c r="L33" s="45">
        <f t="shared" si="18"/>
        <v>0</v>
      </c>
      <c r="M33" s="45">
        <f t="shared" si="19"/>
        <v>0</v>
      </c>
      <c r="N33" s="46">
        <v>0</v>
      </c>
      <c r="O33" s="37">
        <v>0</v>
      </c>
      <c r="P33" s="50">
        <f t="shared" si="20"/>
        <v>0</v>
      </c>
      <c r="Q33" s="48">
        <f t="shared" si="21"/>
        <v>0.15384615384615374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 t="shared" si="14"/>
        <v>168496134.85473478</v>
      </c>
      <c r="E34" s="39">
        <f t="shared" si="15"/>
        <v>144738741.49400002</v>
      </c>
      <c r="F34" s="40" t="s">
        <v>92</v>
      </c>
      <c r="G34" s="41">
        <v>1.44</v>
      </c>
      <c r="H34" s="42">
        <v>1.74</v>
      </c>
      <c r="I34" s="42">
        <v>1.74</v>
      </c>
      <c r="J34" s="43">
        <f t="shared" si="16"/>
        <v>6.752011051567515E-2</v>
      </c>
      <c r="K34" s="44">
        <f t="shared" si="17"/>
        <v>5.8000000000000003E-2</v>
      </c>
      <c r="L34" s="45">
        <f t="shared" si="18"/>
        <v>0</v>
      </c>
      <c r="M34" s="45">
        <f t="shared" si="19"/>
        <v>0</v>
      </c>
      <c r="N34" s="46">
        <v>0</v>
      </c>
      <c r="O34" s="37">
        <v>0</v>
      </c>
      <c r="P34" s="50">
        <f t="shared" si="20"/>
        <v>0</v>
      </c>
      <c r="Q34" s="48">
        <f t="shared" si="21"/>
        <v>0.20833333333333348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 t="shared" si="14"/>
        <v>38955326.435815811</v>
      </c>
      <c r="E35" s="39">
        <f t="shared" si="15"/>
        <v>33462755.259453904</v>
      </c>
      <c r="F35" s="40" t="s">
        <v>34</v>
      </c>
      <c r="G35" s="41">
        <v>3.6056249999999999</v>
      </c>
      <c r="H35" s="42">
        <v>3.9504999999999999</v>
      </c>
      <c r="I35" s="42">
        <v>3.9601990000000002</v>
      </c>
      <c r="J35" s="43">
        <f t="shared" si="16"/>
        <v>0.15367418054256679</v>
      </c>
      <c r="K35" s="44">
        <f t="shared" si="17"/>
        <v>0.13200663333333335</v>
      </c>
      <c r="L35" s="45">
        <f t="shared" si="18"/>
        <v>9.6990000000003462E-3</v>
      </c>
      <c r="M35" s="45">
        <f t="shared" si="19"/>
        <v>0.24551322617391078</v>
      </c>
      <c r="N35" s="46">
        <v>86000</v>
      </c>
      <c r="O35" s="37">
        <v>340577.1</v>
      </c>
      <c r="P35" s="50">
        <f t="shared" si="20"/>
        <v>0</v>
      </c>
      <c r="Q35" s="48">
        <f t="shared" si="21"/>
        <v>9.8339122898249309E-2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 t="shared" si="14"/>
        <v>6078903.5617457451</v>
      </c>
      <c r="E36" s="39">
        <f t="shared" si="15"/>
        <v>5221798.4225514671</v>
      </c>
      <c r="F36" s="40" t="s">
        <v>34</v>
      </c>
      <c r="G36" s="41">
        <v>2.5099999999999997E-2</v>
      </c>
      <c r="H36" s="42">
        <v>3.3125000000000002E-2</v>
      </c>
      <c r="I36" s="42">
        <v>3.3224000000000004E-2</v>
      </c>
      <c r="J36" s="43">
        <f t="shared" si="16"/>
        <v>1.2892460642372364E-3</v>
      </c>
      <c r="K36" s="44">
        <f t="shared" si="17"/>
        <v>1.1074666666666668E-3</v>
      </c>
      <c r="L36" s="45">
        <f t="shared" si="18"/>
        <v>9.9000000000001864E-5</v>
      </c>
      <c r="M36" s="45">
        <f t="shared" si="19"/>
        <v>0.29886792452830746</v>
      </c>
      <c r="N36" s="46">
        <v>304500</v>
      </c>
      <c r="O36" s="37">
        <v>10116.6</v>
      </c>
      <c r="P36" s="50">
        <f t="shared" si="20"/>
        <v>0</v>
      </c>
      <c r="Q36" s="48">
        <f t="shared" si="21"/>
        <v>0.32366533864541869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 t="shared" si="14"/>
        <v>34201385.076312087</v>
      </c>
      <c r="E37" s="39">
        <f t="shared" si="15"/>
        <v>29379103.785168998</v>
      </c>
      <c r="F37" s="40" t="s">
        <v>92</v>
      </c>
      <c r="G37" s="41">
        <v>0.61</v>
      </c>
      <c r="H37" s="42">
        <v>3.3043810000000002</v>
      </c>
      <c r="I37" s="42">
        <v>3.3760729999999999</v>
      </c>
      <c r="J37" s="43">
        <f t="shared" si="16"/>
        <v>0.13100736900516491</v>
      </c>
      <c r="K37" s="44">
        <f t="shared" si="17"/>
        <v>0.11253576666666666</v>
      </c>
      <c r="L37" s="45">
        <f t="shared" si="18"/>
        <v>7.1691999999999645E-2</v>
      </c>
      <c r="M37" s="45">
        <f t="shared" si="19"/>
        <v>2.1696045341018375</v>
      </c>
      <c r="N37" s="46">
        <v>24000</v>
      </c>
      <c r="O37" s="37">
        <v>81025.75</v>
      </c>
      <c r="P37" s="50">
        <f t="shared" si="20"/>
        <v>0</v>
      </c>
      <c r="Q37" s="48">
        <f t="shared" si="21"/>
        <v>4.5345459016393441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 t="shared" si="14"/>
        <v>21161102.625523377</v>
      </c>
      <c r="E38" s="39">
        <f t="shared" si="15"/>
        <v>18177457.692333333</v>
      </c>
      <c r="F38" s="40" t="s">
        <v>56</v>
      </c>
      <c r="G38" s="41">
        <v>0.11650199999999999</v>
      </c>
      <c r="H38" s="42">
        <v>0.13</v>
      </c>
      <c r="I38" s="42">
        <v>0.13</v>
      </c>
      <c r="J38" s="43">
        <f t="shared" si="16"/>
        <v>5.0446059580676831E-3</v>
      </c>
      <c r="K38" s="44">
        <f t="shared" si="17"/>
        <v>4.3333333333333331E-3</v>
      </c>
      <c r="L38" s="45">
        <f t="shared" si="18"/>
        <v>0</v>
      </c>
      <c r="M38" s="45">
        <f t="shared" si="19"/>
        <v>0</v>
      </c>
      <c r="N38" s="46">
        <v>177000</v>
      </c>
      <c r="O38" s="37">
        <v>23010</v>
      </c>
      <c r="P38" s="50">
        <v>0</v>
      </c>
      <c r="Q38" s="48">
        <f t="shared" si="21"/>
        <v>0.11586067191979543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 t="shared" si="14"/>
        <v>84499692.356645882</v>
      </c>
      <c r="E39" s="39">
        <f t="shared" si="15"/>
        <v>72585517.400000006</v>
      </c>
      <c r="F39" s="40" t="s">
        <v>34</v>
      </c>
      <c r="G39" s="41">
        <v>2.6005000000000003</v>
      </c>
      <c r="H39" s="42">
        <v>6</v>
      </c>
      <c r="I39" s="42">
        <v>6</v>
      </c>
      <c r="J39" s="43">
        <f t="shared" si="16"/>
        <v>0.23282796729543154</v>
      </c>
      <c r="K39" s="44">
        <f t="shared" si="17"/>
        <v>0.2</v>
      </c>
      <c r="L39" s="45">
        <f t="shared" si="18"/>
        <v>0</v>
      </c>
      <c r="M39" s="45">
        <f t="shared" si="19"/>
        <v>0</v>
      </c>
      <c r="N39" s="46">
        <v>5500</v>
      </c>
      <c r="O39" s="37">
        <v>33000</v>
      </c>
      <c r="P39" s="50">
        <f t="shared" ref="P39:P46" si="22">(R39)/J39</f>
        <v>0</v>
      </c>
      <c r="Q39" s="48">
        <f t="shared" si="21"/>
        <v>1.3072486060373003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 t="shared" si="14"/>
        <v>15105821.483416829</v>
      </c>
      <c r="E40" s="39">
        <f t="shared" si="15"/>
        <v>12975951.006993333</v>
      </c>
      <c r="F40" s="40" t="s">
        <v>39</v>
      </c>
      <c r="G40" s="41">
        <v>0.1</v>
      </c>
      <c r="H40" s="42">
        <v>9.0200000000000002E-2</v>
      </c>
      <c r="I40" s="42">
        <v>9.0200000000000002E-2</v>
      </c>
      <c r="J40" s="43">
        <f t="shared" si="16"/>
        <v>3.5001804416746542E-3</v>
      </c>
      <c r="K40" s="44">
        <f t="shared" si="17"/>
        <v>3.0066666666666666E-3</v>
      </c>
      <c r="L40" s="45">
        <f t="shared" si="18"/>
        <v>0</v>
      </c>
      <c r="M40" s="45">
        <f t="shared" si="19"/>
        <v>0</v>
      </c>
      <c r="N40" s="46">
        <v>0</v>
      </c>
      <c r="O40" s="37">
        <v>0</v>
      </c>
      <c r="P40" s="50">
        <f t="shared" si="22"/>
        <v>0</v>
      </c>
      <c r="Q40" s="48">
        <f t="shared" si="21"/>
        <v>-9.7999999999999976E-2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 t="shared" si="14"/>
        <v>7230469.2162622577</v>
      </c>
      <c r="E41" s="39">
        <f t="shared" si="15"/>
        <v>6210997.1583333332</v>
      </c>
      <c r="F41" s="40" t="s">
        <v>44</v>
      </c>
      <c r="G41" s="41">
        <v>1.7452379999999998</v>
      </c>
      <c r="H41" s="42">
        <v>1.75</v>
      </c>
      <c r="I41" s="42">
        <v>1.75</v>
      </c>
      <c r="J41" s="43">
        <f t="shared" si="16"/>
        <v>6.7908157127834198E-2</v>
      </c>
      <c r="K41" s="44">
        <f t="shared" si="17"/>
        <v>5.8333333333333334E-2</v>
      </c>
      <c r="L41" s="45">
        <f t="shared" si="18"/>
        <v>0</v>
      </c>
      <c r="M41" s="45">
        <f t="shared" si="19"/>
        <v>0</v>
      </c>
      <c r="N41" s="46">
        <v>22000</v>
      </c>
      <c r="O41" s="37">
        <v>38500</v>
      </c>
      <c r="P41" s="50">
        <f t="shared" si="22"/>
        <v>0</v>
      </c>
      <c r="Q41" s="48">
        <f t="shared" si="21"/>
        <v>2.7285676795945069E-3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 t="shared" si="14"/>
        <v>2759789.7221974307</v>
      </c>
      <c r="E42" s="39">
        <f t="shared" si="15"/>
        <v>2370668.5706666666</v>
      </c>
      <c r="F42" s="40" t="s">
        <v>39</v>
      </c>
      <c r="G42" s="41">
        <v>0.03</v>
      </c>
      <c r="H42" s="42">
        <v>0.04</v>
      </c>
      <c r="I42" s="42">
        <v>0.04</v>
      </c>
      <c r="J42" s="43">
        <f t="shared" si="16"/>
        <v>1.5521864486362103E-3</v>
      </c>
      <c r="K42" s="44">
        <f t="shared" si="17"/>
        <v>1.3333333333333333E-3</v>
      </c>
      <c r="L42" s="45">
        <f t="shared" si="18"/>
        <v>0</v>
      </c>
      <c r="M42" s="45">
        <f t="shared" si="19"/>
        <v>0</v>
      </c>
      <c r="N42" s="46">
        <v>99100</v>
      </c>
      <c r="O42" s="37">
        <v>3964</v>
      </c>
      <c r="P42" s="50">
        <f t="shared" si="22"/>
        <v>0</v>
      </c>
      <c r="Q42" s="48">
        <f t="shared" si="21"/>
        <v>0.33333333333333348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 t="shared" si="14"/>
        <v>36030531.608336791</v>
      </c>
      <c r="E43" s="39">
        <f t="shared" si="15"/>
        <v>30950346.753333334</v>
      </c>
      <c r="F43" s="40" t="s">
        <v>47</v>
      </c>
      <c r="G43" s="41">
        <v>4.5</v>
      </c>
      <c r="H43" s="42">
        <v>5.2</v>
      </c>
      <c r="I43" s="42">
        <v>5.3</v>
      </c>
      <c r="J43" s="43">
        <f t="shared" si="16"/>
        <v>0.20566470444429785</v>
      </c>
      <c r="K43" s="44">
        <f t="shared" si="17"/>
        <v>0.17666666666666667</v>
      </c>
      <c r="L43" s="45">
        <f t="shared" si="18"/>
        <v>9.9999999999999645E-2</v>
      </c>
      <c r="M43" s="45">
        <f t="shared" si="19"/>
        <v>1.9230769230769162</v>
      </c>
      <c r="N43" s="46">
        <v>20000</v>
      </c>
      <c r="O43" s="37">
        <v>106000</v>
      </c>
      <c r="P43" s="50">
        <f t="shared" si="22"/>
        <v>0</v>
      </c>
      <c r="Q43" s="48">
        <f t="shared" si="21"/>
        <v>0.17777777777777781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 t="shared" si="14"/>
        <v>323.63389734614924</v>
      </c>
      <c r="E44" s="39">
        <f t="shared" si="15"/>
        <v>278.0025966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 t="shared" si="16"/>
        <v>6.9848390188629463E-7</v>
      </c>
      <c r="K44" s="44">
        <f t="shared" si="17"/>
        <v>5.9999999999999997E-7</v>
      </c>
      <c r="L44" s="45">
        <f t="shared" si="18"/>
        <v>0</v>
      </c>
      <c r="M44" s="45">
        <f t="shared" si="19"/>
        <v>0</v>
      </c>
      <c r="N44" s="46">
        <v>0</v>
      </c>
      <c r="O44" s="37">
        <v>0</v>
      </c>
      <c r="P44" s="50">
        <f t="shared" si="22"/>
        <v>0</v>
      </c>
      <c r="Q44" s="48">
        <f t="shared" si="21"/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 t="shared" si="14"/>
        <v>1569074.2371973721</v>
      </c>
      <c r="E45" s="39">
        <f t="shared" si="15"/>
        <v>1347840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 t="shared" si="16"/>
        <v>2.724087217356549E-3</v>
      </c>
      <c r="K45" s="44">
        <f t="shared" si="17"/>
        <v>2.3400000000000001E-3</v>
      </c>
      <c r="L45" s="45">
        <f t="shared" si="18"/>
        <v>0</v>
      </c>
      <c r="M45" s="45">
        <f t="shared" si="19"/>
        <v>0</v>
      </c>
      <c r="N45" s="46">
        <v>0</v>
      </c>
      <c r="O45" s="37">
        <v>0</v>
      </c>
      <c r="P45" s="50">
        <f t="shared" si="22"/>
        <v>0</v>
      </c>
      <c r="Q45" s="48">
        <f t="shared" si="21"/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 t="shared" si="14"/>
        <v>52881245.323339842</v>
      </c>
      <c r="E46" s="39">
        <f t="shared" si="15"/>
        <v>45425166.003566675</v>
      </c>
      <c r="F46" s="40" t="s">
        <v>47</v>
      </c>
      <c r="G46" s="41">
        <v>0.9998999999999999</v>
      </c>
      <c r="H46" s="42">
        <v>0.75</v>
      </c>
      <c r="I46" s="42">
        <v>0.74950000000000006</v>
      </c>
      <c r="J46" s="43">
        <f t="shared" si="16"/>
        <v>2.908409358132099E-2</v>
      </c>
      <c r="K46" s="44">
        <f t="shared" si="17"/>
        <v>2.4983333333333337E-2</v>
      </c>
      <c r="L46" s="45">
        <f t="shared" si="18"/>
        <v>-4.9999999999994493E-4</v>
      </c>
      <c r="M46" s="45">
        <f t="shared" si="19"/>
        <v>-6.6666666666659324E-2</v>
      </c>
      <c r="N46" s="46">
        <v>100</v>
      </c>
      <c r="O46" s="37">
        <v>74.95</v>
      </c>
      <c r="P46" s="50">
        <f t="shared" si="22"/>
        <v>0</v>
      </c>
      <c r="Q46" s="48">
        <f t="shared" si="21"/>
        <v>-0.25042504250425035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 t="shared" si="14"/>
        <v>3986278.5569431246</v>
      </c>
      <c r="E47" s="39">
        <f t="shared" si="15"/>
        <v>3424226.5680093337</v>
      </c>
      <c r="F47" s="40" t="s">
        <v>47</v>
      </c>
      <c r="G47" s="41">
        <v>1.4503460000000001</v>
      </c>
      <c r="H47" s="42">
        <v>1.1000000000000001</v>
      </c>
      <c r="I47" s="42">
        <v>1.0001390000000001</v>
      </c>
      <c r="J47" s="43">
        <f t="shared" si="16"/>
        <v>3.8810055063814269E-2</v>
      </c>
      <c r="K47" s="44">
        <f t="shared" si="17"/>
        <v>3.333796666666667E-2</v>
      </c>
      <c r="L47" s="45">
        <f t="shared" si="18"/>
        <v>-9.9860999999999978E-2</v>
      </c>
      <c r="M47" s="45">
        <f t="shared" si="19"/>
        <v>-9.0782727272727257</v>
      </c>
      <c r="N47" s="46">
        <v>36000</v>
      </c>
      <c r="O47" s="37">
        <v>36005</v>
      </c>
      <c r="P47" s="50">
        <v>0</v>
      </c>
      <c r="Q47" s="48">
        <f t="shared" si="21"/>
        <v>-0.31041351511984039</v>
      </c>
      <c r="R47" s="49"/>
    </row>
    <row r="48" spans="1:18" ht="13.8" thickBot="1" x14ac:dyDescent="0.4">
      <c r="A48" s="54"/>
      <c r="B48" s="55" t="s">
        <v>82</v>
      </c>
      <c r="C48" s="56"/>
      <c r="D48" s="57"/>
      <c r="E48" s="57"/>
      <c r="F48" s="58"/>
      <c r="G48" s="58"/>
      <c r="H48" s="45"/>
      <c r="I48" s="45"/>
      <c r="J48" s="45"/>
      <c r="K48" s="45"/>
      <c r="L48" s="45"/>
      <c r="M48" s="45"/>
      <c r="N48" s="58">
        <f>SUM(N9:N47)</f>
        <v>2973000</v>
      </c>
      <c r="O48" s="59">
        <f>SUM(O9:O47)</f>
        <v>55906511.600000009</v>
      </c>
      <c r="P48" s="59"/>
      <c r="Q48" s="60"/>
    </row>
    <row r="49" spans="1:20" ht="13.2" x14ac:dyDescent="0.35">
      <c r="A49" s="61"/>
      <c r="B49" s="62" t="s">
        <v>82</v>
      </c>
      <c r="C49" s="63"/>
      <c r="D49" s="63"/>
      <c r="E49" s="63"/>
      <c r="F49" s="64"/>
      <c r="G49" s="64"/>
      <c r="H49" s="65"/>
      <c r="I49" s="65"/>
      <c r="J49" s="65"/>
      <c r="K49" s="65"/>
      <c r="L49" s="65"/>
      <c r="M49" s="65"/>
      <c r="N49" s="64"/>
      <c r="O49" s="64"/>
      <c r="P49" s="64"/>
      <c r="Q49" s="66"/>
    </row>
    <row r="50" spans="1:20" ht="12.6" x14ac:dyDescent="0.3">
      <c r="A50" s="133" t="s">
        <v>119</v>
      </c>
      <c r="B50" s="134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6"/>
    </row>
    <row r="51" spans="1:20" x14ac:dyDescent="0.25">
      <c r="A51" s="35" t="s">
        <v>120</v>
      </c>
      <c r="B51" s="36" t="s">
        <v>121</v>
      </c>
      <c r="C51" s="40">
        <v>554920308</v>
      </c>
      <c r="D51" s="38">
        <f t="shared" ref="D51:D64" si="23">C51*J51</f>
        <v>72195132.070799991</v>
      </c>
      <c r="E51" s="39">
        <v>0</v>
      </c>
      <c r="F51" s="40" t="s">
        <v>92</v>
      </c>
      <c r="G51" s="67">
        <v>0.1</v>
      </c>
      <c r="H51" s="42">
        <v>0.13</v>
      </c>
      <c r="I51" s="42">
        <v>0.13009999999999999</v>
      </c>
      <c r="J51" s="43">
        <f t="shared" ref="J51:J64" si="24">I51</f>
        <v>0.13009999999999999</v>
      </c>
      <c r="K51" s="39">
        <v>0</v>
      </c>
      <c r="L51" s="45">
        <f t="shared" ref="L51:L64" si="25">I51-H51</f>
        <v>9.9999999999988987E-5</v>
      </c>
      <c r="M51" s="45">
        <f t="shared" ref="M51:M64" si="26">((I51-H51)/H51)*100</f>
        <v>7.6923076923068448E-2</v>
      </c>
      <c r="N51" s="46">
        <v>840</v>
      </c>
      <c r="O51" s="37">
        <v>109.26</v>
      </c>
      <c r="P51" s="68">
        <f>(R51)/J51</f>
        <v>0</v>
      </c>
      <c r="Q51" s="48">
        <f t="shared" ref="Q51:Q64" si="27">J51/G51-1</f>
        <v>0.30099999999999993</v>
      </c>
      <c r="T51" s="69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 t="shared" si="23"/>
        <v>62403415</v>
      </c>
      <c r="E52" s="39">
        <v>0</v>
      </c>
      <c r="F52" s="40" t="s">
        <v>39</v>
      </c>
      <c r="G52" s="67">
        <v>39.9</v>
      </c>
      <c r="H52" s="42">
        <v>50.066699999999997</v>
      </c>
      <c r="I52" s="42">
        <v>59</v>
      </c>
      <c r="J52" s="43">
        <f t="shared" si="24"/>
        <v>59</v>
      </c>
      <c r="K52" s="39">
        <v>0</v>
      </c>
      <c r="L52" s="45">
        <f t="shared" si="25"/>
        <v>8.9333000000000027</v>
      </c>
      <c r="M52" s="45">
        <f t="shared" si="26"/>
        <v>17.842797707857724</v>
      </c>
      <c r="N52" s="46">
        <v>2</v>
      </c>
      <c r="O52" s="37">
        <v>118</v>
      </c>
      <c r="P52" s="70">
        <f>(R52)/J52</f>
        <v>9.4915254237288148E-3</v>
      </c>
      <c r="Q52" s="48">
        <f t="shared" si="27"/>
        <v>0.47869674185463662</v>
      </c>
      <c r="R52" s="69">
        <v>0.56000000000000005</v>
      </c>
      <c r="T52" s="69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 t="shared" si="23"/>
        <v>727993307.28989995</v>
      </c>
      <c r="E53" s="39"/>
      <c r="F53" s="40" t="s">
        <v>56</v>
      </c>
      <c r="G53" s="67">
        <v>0.33</v>
      </c>
      <c r="H53" s="42">
        <v>0.2581</v>
      </c>
      <c r="I53" s="42">
        <v>0.24329999999999999</v>
      </c>
      <c r="J53" s="43">
        <f t="shared" si="24"/>
        <v>0.24329999999999999</v>
      </c>
      <c r="K53" s="39">
        <v>0</v>
      </c>
      <c r="L53" s="45">
        <f t="shared" si="25"/>
        <v>-1.4800000000000008E-2</v>
      </c>
      <c r="M53" s="45">
        <f t="shared" si="26"/>
        <v>-5.7342115459124399</v>
      </c>
      <c r="N53" s="46">
        <v>62461</v>
      </c>
      <c r="O53" s="37">
        <v>15195.91</v>
      </c>
      <c r="P53" s="68">
        <v>0</v>
      </c>
      <c r="Q53" s="48">
        <f t="shared" si="27"/>
        <v>-0.26272727272727281</v>
      </c>
      <c r="R53" s="69"/>
      <c r="T53" s="69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 t="shared" si="23"/>
        <v>17072746.403999999</v>
      </c>
      <c r="E54" s="39">
        <v>0</v>
      </c>
      <c r="F54" s="40" t="s">
        <v>34</v>
      </c>
      <c r="G54" s="67">
        <v>2.3E-2</v>
      </c>
      <c r="H54" s="42">
        <v>2.8000000000000001E-2</v>
      </c>
      <c r="I54" s="42">
        <v>2.8000000000000001E-2</v>
      </c>
      <c r="J54" s="43">
        <f t="shared" si="24"/>
        <v>2.8000000000000001E-2</v>
      </c>
      <c r="K54" s="39">
        <v>0</v>
      </c>
      <c r="L54" s="45">
        <f t="shared" si="25"/>
        <v>0</v>
      </c>
      <c r="M54" s="45">
        <f t="shared" si="26"/>
        <v>0</v>
      </c>
      <c r="N54" s="46">
        <v>2233483</v>
      </c>
      <c r="O54" s="37">
        <v>62607.519999999997</v>
      </c>
      <c r="P54" s="68">
        <f t="shared" ref="P54:P64" si="28">(R54)/J54</f>
        <v>0</v>
      </c>
      <c r="Q54" s="48">
        <f t="shared" si="27"/>
        <v>0.21739130434782616</v>
      </c>
      <c r="T54" s="69"/>
    </row>
    <row r="55" spans="1:20" x14ac:dyDescent="0.25">
      <c r="A55" s="35" t="s">
        <v>128</v>
      </c>
      <c r="B55" s="36" t="s">
        <v>129</v>
      </c>
      <c r="C55" s="40">
        <v>2161875929</v>
      </c>
      <c r="D55" s="38">
        <f t="shared" si="23"/>
        <v>242130104.04800001</v>
      </c>
      <c r="E55" s="39">
        <v>0</v>
      </c>
      <c r="F55" s="40" t="s">
        <v>47</v>
      </c>
      <c r="G55" s="67">
        <v>9.0200000000000002E-2</v>
      </c>
      <c r="H55" s="42">
        <v>0.11</v>
      </c>
      <c r="I55" s="42">
        <v>0.112</v>
      </c>
      <c r="J55" s="43">
        <f t="shared" si="24"/>
        <v>0.112</v>
      </c>
      <c r="K55" s="39">
        <v>0</v>
      </c>
      <c r="L55" s="45">
        <f t="shared" si="25"/>
        <v>2.0000000000000018E-3</v>
      </c>
      <c r="M55" s="71">
        <f t="shared" si="26"/>
        <v>1.8181818181818199</v>
      </c>
      <c r="N55" s="46">
        <v>1955</v>
      </c>
      <c r="O55" s="37">
        <v>219.05</v>
      </c>
      <c r="P55" s="68">
        <f t="shared" si="28"/>
        <v>0</v>
      </c>
      <c r="Q55" s="48">
        <f t="shared" si="27"/>
        <v>0.24168514412416853</v>
      </c>
      <c r="R55" s="69"/>
      <c r="T55" s="69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 t="shared" si="23"/>
        <v>705106752.73500001</v>
      </c>
      <c r="E56" s="39">
        <v>0</v>
      </c>
      <c r="F56" s="40" t="s">
        <v>34</v>
      </c>
      <c r="G56" s="67">
        <v>0.95750000000000002</v>
      </c>
      <c r="H56" s="42">
        <v>1.2032</v>
      </c>
      <c r="I56" s="42">
        <v>1.2242999999999999</v>
      </c>
      <c r="J56" s="43">
        <f t="shared" si="24"/>
        <v>1.2242999999999999</v>
      </c>
      <c r="K56" s="39">
        <v>0</v>
      </c>
      <c r="L56" s="45">
        <f t="shared" si="25"/>
        <v>2.1099999999999897E-2</v>
      </c>
      <c r="M56" s="45">
        <f t="shared" si="26"/>
        <v>1.7536569148936083</v>
      </c>
      <c r="N56" s="46">
        <v>72229</v>
      </c>
      <c r="O56" s="37">
        <v>88432.01</v>
      </c>
      <c r="P56" s="70">
        <f t="shared" si="28"/>
        <v>3.8389283672302543E-2</v>
      </c>
      <c r="Q56" s="48">
        <f t="shared" si="27"/>
        <v>0.27864229765013038</v>
      </c>
      <c r="R56" s="69">
        <v>4.7E-2</v>
      </c>
      <c r="T56" s="69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 t="shared" si="23"/>
        <v>24680495.766599998</v>
      </c>
      <c r="E57" s="39">
        <v>0</v>
      </c>
      <c r="F57" s="40" t="s">
        <v>34</v>
      </c>
      <c r="G57" s="67">
        <v>0.1595</v>
      </c>
      <c r="H57" s="42">
        <v>0.1598</v>
      </c>
      <c r="I57" s="42">
        <v>0.15029999999999999</v>
      </c>
      <c r="J57" s="43">
        <f t="shared" si="24"/>
        <v>0.15029999999999999</v>
      </c>
      <c r="K57" s="39">
        <v>0</v>
      </c>
      <c r="L57" s="45">
        <f t="shared" si="25"/>
        <v>-9.5000000000000084E-3</v>
      </c>
      <c r="M57" s="45">
        <f t="shared" si="26"/>
        <v>-5.9449311639549487</v>
      </c>
      <c r="N57" s="46">
        <v>1043</v>
      </c>
      <c r="O57" s="37">
        <v>156.81</v>
      </c>
      <c r="P57" s="68">
        <f t="shared" si="28"/>
        <v>0</v>
      </c>
      <c r="Q57" s="48">
        <f t="shared" si="27"/>
        <v>-5.7680250783699094E-2</v>
      </c>
      <c r="T57" s="69"/>
    </row>
    <row r="58" spans="1:20" x14ac:dyDescent="0.25">
      <c r="A58" s="35" t="s">
        <v>134</v>
      </c>
      <c r="B58" s="36" t="s">
        <v>135</v>
      </c>
      <c r="C58" s="40">
        <v>794581116</v>
      </c>
      <c r="D58" s="38">
        <f t="shared" si="23"/>
        <v>14302460.088</v>
      </c>
      <c r="E58" s="39">
        <v>0</v>
      </c>
      <c r="F58" s="40" t="s">
        <v>92</v>
      </c>
      <c r="G58" s="67">
        <v>1.6799999999999999E-2</v>
      </c>
      <c r="H58" s="42">
        <v>1.7999999999999999E-2</v>
      </c>
      <c r="I58" s="42">
        <v>1.7999999999999999E-2</v>
      </c>
      <c r="J58" s="43">
        <f t="shared" si="24"/>
        <v>1.7999999999999999E-2</v>
      </c>
      <c r="K58" s="39">
        <v>0</v>
      </c>
      <c r="L58" s="45">
        <f t="shared" si="25"/>
        <v>0</v>
      </c>
      <c r="M58" s="71">
        <f t="shared" si="26"/>
        <v>0</v>
      </c>
      <c r="N58" s="46">
        <v>225057</v>
      </c>
      <c r="O58" s="37">
        <v>4051.58</v>
      </c>
      <c r="P58" s="68">
        <f t="shared" si="28"/>
        <v>0</v>
      </c>
      <c r="Q58" s="48">
        <f t="shared" si="27"/>
        <v>7.1428571428571397E-2</v>
      </c>
      <c r="T58" s="69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 t="shared" si="23"/>
        <v>3144823.5</v>
      </c>
      <c r="E59" s="39">
        <v>0</v>
      </c>
      <c r="F59" s="40" t="s">
        <v>138</v>
      </c>
      <c r="G59" s="67">
        <v>19.5</v>
      </c>
      <c r="H59" s="42">
        <v>18</v>
      </c>
      <c r="I59" s="42">
        <v>19.5</v>
      </c>
      <c r="J59" s="43">
        <f t="shared" si="24"/>
        <v>19.5</v>
      </c>
      <c r="K59" s="39">
        <v>0</v>
      </c>
      <c r="L59" s="45">
        <f t="shared" si="25"/>
        <v>1.5</v>
      </c>
      <c r="M59" s="45">
        <f t="shared" si="26"/>
        <v>8.3333333333333321</v>
      </c>
      <c r="N59" s="46">
        <v>2</v>
      </c>
      <c r="O59" s="37">
        <v>39</v>
      </c>
      <c r="P59" s="68">
        <f t="shared" si="28"/>
        <v>0</v>
      </c>
      <c r="Q59" s="48">
        <f t="shared" si="27"/>
        <v>0</v>
      </c>
      <c r="T59" s="69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 t="shared" si="23"/>
        <v>767331708.84809995</v>
      </c>
      <c r="E60" s="39">
        <v>0</v>
      </c>
      <c r="F60" s="40" t="s">
        <v>92</v>
      </c>
      <c r="G60" s="67">
        <v>0.59499999999999997</v>
      </c>
      <c r="H60" s="42">
        <v>1.1483000000000001</v>
      </c>
      <c r="I60" s="42">
        <v>0.95309999999999995</v>
      </c>
      <c r="J60" s="43">
        <f t="shared" si="24"/>
        <v>0.95309999999999995</v>
      </c>
      <c r="K60" s="39">
        <v>0</v>
      </c>
      <c r="L60" s="45">
        <f t="shared" si="25"/>
        <v>-0.19520000000000015</v>
      </c>
      <c r="M60" s="45">
        <f t="shared" si="26"/>
        <v>-16.999042062178884</v>
      </c>
      <c r="N60" s="46">
        <v>97988</v>
      </c>
      <c r="O60" s="37">
        <v>93391.15</v>
      </c>
      <c r="P60" s="68">
        <f t="shared" si="28"/>
        <v>0</v>
      </c>
      <c r="Q60" s="48">
        <f t="shared" si="27"/>
        <v>0.60184873949579831</v>
      </c>
      <c r="R60" s="69"/>
      <c r="T60" s="69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 t="shared" si="23"/>
        <v>78214355.399999991</v>
      </c>
      <c r="E61" s="39">
        <v>0</v>
      </c>
      <c r="F61" s="40" t="s">
        <v>34</v>
      </c>
      <c r="G61" s="67">
        <v>0.22600000000000001</v>
      </c>
      <c r="H61" s="42">
        <v>0.28070000000000001</v>
      </c>
      <c r="I61" s="42">
        <v>0.3</v>
      </c>
      <c r="J61" s="43">
        <f t="shared" si="24"/>
        <v>0.3</v>
      </c>
      <c r="K61" s="39">
        <v>0</v>
      </c>
      <c r="L61" s="45">
        <f t="shared" si="25"/>
        <v>1.9299999999999984E-2</v>
      </c>
      <c r="M61" s="45">
        <f t="shared" si="26"/>
        <v>6.8756679729248242</v>
      </c>
      <c r="N61" s="46">
        <v>48</v>
      </c>
      <c r="O61" s="37">
        <v>14.4</v>
      </c>
      <c r="P61" s="68">
        <f t="shared" si="28"/>
        <v>0</v>
      </c>
      <c r="Q61" s="48">
        <f t="shared" si="27"/>
        <v>0.32743362831858391</v>
      </c>
      <c r="T61" s="69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 t="shared" si="23"/>
        <v>338997427.16399997</v>
      </c>
      <c r="E62" s="39">
        <v>0</v>
      </c>
      <c r="F62" s="40" t="s">
        <v>34</v>
      </c>
      <c r="G62" s="67">
        <v>0.49440000000000001</v>
      </c>
      <c r="H62" s="42">
        <v>0.61150000000000004</v>
      </c>
      <c r="I62" s="42">
        <v>0.60299999999999998</v>
      </c>
      <c r="J62" s="43">
        <f t="shared" si="24"/>
        <v>0.60299999999999998</v>
      </c>
      <c r="K62" s="39">
        <v>0</v>
      </c>
      <c r="L62" s="45">
        <f t="shared" si="25"/>
        <v>-8.5000000000000631E-3</v>
      </c>
      <c r="M62" s="45">
        <f t="shared" si="26"/>
        <v>-1.3900245298446545</v>
      </c>
      <c r="N62" s="46">
        <v>48930</v>
      </c>
      <c r="O62" s="37">
        <v>29503.82</v>
      </c>
      <c r="P62" s="68">
        <f t="shared" si="28"/>
        <v>0</v>
      </c>
      <c r="Q62" s="48">
        <f t="shared" si="27"/>
        <v>0.21966019417475713</v>
      </c>
      <c r="R62" s="69"/>
      <c r="T62" s="69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 t="shared" si="23"/>
        <v>300000000</v>
      </c>
      <c r="E63" s="39">
        <v>0</v>
      </c>
      <c r="F63" s="40" t="s">
        <v>66</v>
      </c>
      <c r="G63" s="67">
        <v>10</v>
      </c>
      <c r="H63" s="42">
        <v>10</v>
      </c>
      <c r="I63" s="42">
        <v>10</v>
      </c>
      <c r="J63" s="43">
        <f t="shared" si="24"/>
        <v>10</v>
      </c>
      <c r="K63" s="39">
        <v>0</v>
      </c>
      <c r="L63" s="45">
        <f t="shared" si="25"/>
        <v>0</v>
      </c>
      <c r="M63" s="45">
        <f t="shared" si="26"/>
        <v>0</v>
      </c>
      <c r="N63" s="46">
        <v>0</v>
      </c>
      <c r="O63" s="37">
        <v>0</v>
      </c>
      <c r="P63" s="68">
        <f t="shared" si="28"/>
        <v>0</v>
      </c>
      <c r="Q63" s="48">
        <f t="shared" si="27"/>
        <v>0</v>
      </c>
      <c r="T63" s="69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 t="shared" si="23"/>
        <v>20847119.403000001</v>
      </c>
      <c r="E64" s="39">
        <v>0</v>
      </c>
      <c r="F64" s="40" t="s">
        <v>44</v>
      </c>
      <c r="G64" s="67">
        <v>4.2999999999999997E-2</v>
      </c>
      <c r="H64" s="42">
        <v>6.2E-2</v>
      </c>
      <c r="I64" s="42">
        <v>6.0499999999999998E-2</v>
      </c>
      <c r="J64" s="43">
        <f t="shared" si="24"/>
        <v>6.0499999999999998E-2</v>
      </c>
      <c r="K64" s="39">
        <v>0</v>
      </c>
      <c r="L64" s="45">
        <f t="shared" si="25"/>
        <v>-1.5000000000000013E-3</v>
      </c>
      <c r="M64" s="45">
        <f t="shared" si="26"/>
        <v>-2.4193548387096793</v>
      </c>
      <c r="N64" s="46">
        <v>2215</v>
      </c>
      <c r="O64" s="37">
        <v>133.9</v>
      </c>
      <c r="P64" s="68">
        <f t="shared" si="28"/>
        <v>0</v>
      </c>
      <c r="Q64" s="48">
        <f t="shared" si="27"/>
        <v>0.40697674418604657</v>
      </c>
      <c r="T64" s="69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8">
        <f>SUM(N51:N64)</f>
        <v>2746253</v>
      </c>
      <c r="O65" s="59">
        <f>SUM(O51:O64)</f>
        <v>293972.41000000003</v>
      </c>
      <c r="P65" s="75"/>
      <c r="Q65" s="60"/>
    </row>
    <row r="66" spans="1:20" ht="12.6" hidden="1" x14ac:dyDescent="0.3">
      <c r="A66" s="127" t="s">
        <v>149</v>
      </c>
      <c r="B66" s="128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30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0"/>
    </row>
    <row r="69" spans="1:20" ht="12.6" x14ac:dyDescent="0.3">
      <c r="A69" s="127" t="s">
        <v>153</v>
      </c>
      <c r="B69" s="128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30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41901616.569600001</v>
      </c>
      <c r="E70" s="39">
        <f>C70*K70</f>
        <v>41901616.569600001</v>
      </c>
      <c r="F70" s="87" t="s">
        <v>156</v>
      </c>
      <c r="G70" s="87">
        <v>0.24</v>
      </c>
      <c r="H70" s="88">
        <v>0.31</v>
      </c>
      <c r="I70" s="88">
        <v>0.30080000000000001</v>
      </c>
      <c r="J70" s="89">
        <f>I70</f>
        <v>0.30080000000000001</v>
      </c>
      <c r="K70" s="89">
        <f>J70</f>
        <v>0.30080000000000001</v>
      </c>
      <c r="L70" s="45">
        <f>I70-H70</f>
        <v>-9.199999999999986E-3</v>
      </c>
      <c r="M70" s="45">
        <f>((I70-H70)/H70)*100</f>
        <v>-2.9677419354838666</v>
      </c>
      <c r="N70" s="90">
        <v>229</v>
      </c>
      <c r="O70" s="91">
        <v>68.88</v>
      </c>
      <c r="P70" s="68">
        <f>(R70)/J70</f>
        <v>0</v>
      </c>
      <c r="Q70" s="48">
        <f>J70/G70-1</f>
        <v>0.25333333333333341</v>
      </c>
      <c r="T70" s="69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69665788.649999991</v>
      </c>
      <c r="E71" s="39">
        <f>C71*K71</f>
        <v>69665788.649999991</v>
      </c>
      <c r="F71" s="87" t="s">
        <v>156</v>
      </c>
      <c r="G71" s="87">
        <v>0.1</v>
      </c>
      <c r="H71" s="88">
        <v>0.14799999999999999</v>
      </c>
      <c r="I71" s="88">
        <v>0.14779999999999999</v>
      </c>
      <c r="J71" s="89">
        <f>I71</f>
        <v>0.14779999999999999</v>
      </c>
      <c r="K71" s="89">
        <f>J71</f>
        <v>0.14779999999999999</v>
      </c>
      <c r="L71" s="45">
        <f>I71-H71</f>
        <v>-2.0000000000000573E-4</v>
      </c>
      <c r="M71" s="45">
        <f>((I71-H71)/H71)*100</f>
        <v>-0.135135135135139</v>
      </c>
      <c r="N71" s="46">
        <v>12527</v>
      </c>
      <c r="O71" s="91">
        <v>1850.89</v>
      </c>
      <c r="P71" s="92">
        <f>(R71)/J71</f>
        <v>2.5656292286874154E-2</v>
      </c>
      <c r="Q71" s="48">
        <f>J71/G71-1</f>
        <v>0.47799999999999976</v>
      </c>
      <c r="R71" s="5">
        <v>3.7919999999999998E-3</v>
      </c>
      <c r="T71" s="69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8">
        <f>SUM(N70:N71)</f>
        <v>12756</v>
      </c>
      <c r="O72" s="59">
        <f>SUM(O70:O71)</f>
        <v>1919.77</v>
      </c>
      <c r="P72" s="85"/>
      <c r="Q72" s="60"/>
    </row>
    <row r="73" spans="1:20" ht="12.6" x14ac:dyDescent="0.3">
      <c r="A73" s="127" t="s">
        <v>159</v>
      </c>
      <c r="B73" s="128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30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2914757.3000000003</v>
      </c>
      <c r="E74" s="39">
        <f>C74*K74</f>
        <v>2914757.3000000003</v>
      </c>
      <c r="F74" s="87" t="s">
        <v>138</v>
      </c>
      <c r="G74" s="87">
        <v>0.1394</v>
      </c>
      <c r="H74" s="88">
        <v>0.1394</v>
      </c>
      <c r="I74" s="88">
        <v>0.14000000000000001</v>
      </c>
      <c r="J74" s="89">
        <f>I74</f>
        <v>0.14000000000000001</v>
      </c>
      <c r="K74" s="89">
        <f>J74</f>
        <v>0.14000000000000001</v>
      </c>
      <c r="L74" s="45">
        <f>I74-H74</f>
        <v>6.0000000000001719E-4</v>
      </c>
      <c r="M74" s="45">
        <f>((I74-H74)/H74)*100</f>
        <v>0.4304160688665834</v>
      </c>
      <c r="N74" s="90">
        <v>1406</v>
      </c>
      <c r="O74" s="91">
        <v>196.84</v>
      </c>
      <c r="P74" s="68">
        <f>(R74)/J74</f>
        <v>0</v>
      </c>
      <c r="Q74" s="48">
        <f>J74/G74-1</f>
        <v>4.3041606886657924E-3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8"/>
      <c r="O75" s="59"/>
      <c r="P75" s="85"/>
      <c r="Q75" s="60"/>
    </row>
    <row r="76" spans="1:20" ht="12.6" x14ac:dyDescent="0.3">
      <c r="A76" s="133" t="s">
        <v>162</v>
      </c>
      <c r="B76" s="134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6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176159.4367115378</v>
      </c>
      <c r="E77" s="39">
        <f>C77*K77</f>
        <v>151321.54333333333</v>
      </c>
      <c r="F77" s="40" t="s">
        <v>138</v>
      </c>
      <c r="G77" s="67">
        <v>0.105</v>
      </c>
      <c r="H77" s="42">
        <v>0.1</v>
      </c>
      <c r="I77" s="42">
        <v>0.1</v>
      </c>
      <c r="J77" s="43">
        <f>I77/$J$5</f>
        <v>3.8804661215905258E-3</v>
      </c>
      <c r="K77" s="44">
        <f>I77/$K$4</f>
        <v>3.3333333333333335E-3</v>
      </c>
      <c r="L77" s="45">
        <f>I77-H77</f>
        <v>0</v>
      </c>
      <c r="M77" s="93">
        <f>((I77-H77)/H77)*100</f>
        <v>0</v>
      </c>
      <c r="N77" s="37">
        <v>0</v>
      </c>
      <c r="O77" s="37">
        <v>0</v>
      </c>
      <c r="P77" s="40">
        <v>0</v>
      </c>
      <c r="Q77" s="48">
        <f>I77/G77-1</f>
        <v>-4.7619047619047561E-2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290604.72640773607</v>
      </c>
      <c r="E78" s="39">
        <f>C78*K78</f>
        <v>249630.42866666667</v>
      </c>
      <c r="F78" s="40" t="s">
        <v>138</v>
      </c>
      <c r="G78" s="67">
        <v>4.2500000000000003E-2</v>
      </c>
      <c r="H78" s="42">
        <v>5.5E-2</v>
      </c>
      <c r="I78" s="42">
        <v>5.5E-2</v>
      </c>
      <c r="J78" s="43">
        <f>I78/$J$5</f>
        <v>2.134256366874789E-3</v>
      </c>
      <c r="K78" s="44">
        <f>I78/$K$4</f>
        <v>1.8333333333333333E-3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0.29411764705882337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1822641.472093628</v>
      </c>
      <c r="E79" s="39">
        <f>C79*K79</f>
        <v>1565655.0999999999</v>
      </c>
      <c r="F79" s="40" t="s">
        <v>138</v>
      </c>
      <c r="G79" s="67">
        <v>6.0499999999999998E-2</v>
      </c>
      <c r="H79" s="42">
        <v>9.5000000000000001E-2</v>
      </c>
      <c r="I79" s="42">
        <v>9.5000000000000001E-2</v>
      </c>
      <c r="J79" s="43">
        <f>I79/$J$5</f>
        <v>3.6864428155109993E-3</v>
      </c>
      <c r="K79" s="44">
        <f>I79/$K$4</f>
        <v>3.1666666666666666E-3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0.57024793388429762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2571285.0986220469</v>
      </c>
      <c r="E80" s="39">
        <f>C80*K80</f>
        <v>2208742.4706666665</v>
      </c>
      <c r="F80" s="40" t="s">
        <v>138</v>
      </c>
      <c r="G80" s="67">
        <v>1.85</v>
      </c>
      <c r="H80" s="42">
        <v>1.61</v>
      </c>
      <c r="I80" s="42">
        <v>1.61</v>
      </c>
      <c r="J80" s="43">
        <f>I80/$J$5</f>
        <v>6.2475504557607468E-2</v>
      </c>
      <c r="K80" s="44">
        <f>I80/$K$4</f>
        <v>5.3666666666666668E-2</v>
      </c>
      <c r="L80" s="45">
        <f>I80-H80</f>
        <v>0</v>
      </c>
      <c r="M80" s="93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-0.12972972972972974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8">
        <f>SUM(N77:N80)</f>
        <v>0</v>
      </c>
      <c r="O81" s="59">
        <f>SUM(O77:O80)</f>
        <v>0</v>
      </c>
      <c r="P81" s="75"/>
      <c r="Q81" s="60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27" t="s">
        <v>171</v>
      </c>
      <c r="B82" s="128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30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33580875.133507438</v>
      </c>
      <c r="E83" s="39">
        <f>C83*K83</f>
        <v>28846083.675933331</v>
      </c>
      <c r="F83" s="40" t="s">
        <v>174</v>
      </c>
      <c r="G83" s="40">
        <v>1.3</v>
      </c>
      <c r="H83" s="42">
        <v>2.3494999999999999</v>
      </c>
      <c r="I83" s="42">
        <v>2.3494999999999999</v>
      </c>
      <c r="J83" s="43">
        <f>I83/$J$5</f>
        <v>9.1171551526769395E-2</v>
      </c>
      <c r="K83" s="44">
        <f>I83/$K$4</f>
        <v>7.8316666666666659E-2</v>
      </c>
      <c r="L83" s="45">
        <f>I83-H83</f>
        <v>0</v>
      </c>
      <c r="M83" s="45">
        <f>((I83-H83)/H83*100)</f>
        <v>0</v>
      </c>
      <c r="N83" s="50">
        <v>300</v>
      </c>
      <c r="O83" s="37">
        <v>704.85</v>
      </c>
      <c r="P83" s="50">
        <f>(R83)/J83</f>
        <v>0</v>
      </c>
      <c r="Q83" s="48">
        <f>I83/G83-1</f>
        <v>0.80730769230769228</v>
      </c>
      <c r="R83" s="69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77794064.572896495</v>
      </c>
      <c r="E84" s="39">
        <f>C84*K84</f>
        <v>66825360.781666666</v>
      </c>
      <c r="F84" s="40" t="s">
        <v>174</v>
      </c>
      <c r="G84" s="40">
        <v>1.44347</v>
      </c>
      <c r="H84" s="42">
        <f>109.2801/100</f>
        <v>1.0928010000000001</v>
      </c>
      <c r="I84" s="42">
        <v>1.0888899999999999</v>
      </c>
      <c r="J84" s="43">
        <f>I84/$J$5</f>
        <v>4.2254007551387071E-2</v>
      </c>
      <c r="K84" s="44">
        <f>I84/$K$4</f>
        <v>3.6296333333333333E-2</v>
      </c>
      <c r="L84" s="45">
        <f>I84-H84</f>
        <v>-3.9110000000002199E-3</v>
      </c>
      <c r="M84" s="45">
        <f>((I84-H84)/H84*100)</f>
        <v>-0.35788766664747007</v>
      </c>
      <c r="N84" s="50">
        <v>4600803</v>
      </c>
      <c r="O84" s="37">
        <v>5009775.1775000002</v>
      </c>
      <c r="P84" s="47">
        <f>(R84)/J84</f>
        <v>5.1498073818292023E-2</v>
      </c>
      <c r="Q84" s="48">
        <f>I84/G84-1</f>
        <v>-0.2456441768793256</v>
      </c>
      <c r="R84" s="69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8">
        <f>SUM(N83:N84)</f>
        <v>4601103</v>
      </c>
      <c r="O85" s="59">
        <f>SUM(O83:O84)</f>
        <v>5010480.0274999999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6"/>
      <c r="M86" s="108"/>
      <c r="N86" s="108"/>
      <c r="O86" s="56"/>
      <c r="P86" s="56"/>
      <c r="Q86" s="109"/>
    </row>
    <row r="87" spans="1:243" ht="12.6" thickBot="1" x14ac:dyDescent="0.3">
      <c r="A87" s="137" t="s">
        <v>180</v>
      </c>
      <c r="B87" s="138"/>
      <c r="C87" s="138"/>
      <c r="D87" s="138"/>
      <c r="E87" s="137" t="s">
        <v>181</v>
      </c>
      <c r="F87" s="138"/>
      <c r="G87" s="138"/>
      <c r="H87" s="139"/>
      <c r="L87" s="140" t="s">
        <v>178</v>
      </c>
      <c r="M87" s="141"/>
      <c r="N87" s="142"/>
      <c r="O87" s="140" t="s">
        <v>179</v>
      </c>
      <c r="P87" s="141"/>
      <c r="Q87" s="142"/>
    </row>
    <row r="88" spans="1:243" x14ac:dyDescent="0.25">
      <c r="A88" s="35" t="s">
        <v>97</v>
      </c>
      <c r="B88" s="110">
        <v>3.3760729999999999</v>
      </c>
      <c r="C88" s="110"/>
      <c r="D88" s="110">
        <v>2.1696045341018375</v>
      </c>
      <c r="E88" s="35" t="s">
        <v>40</v>
      </c>
      <c r="F88" s="111">
        <v>145</v>
      </c>
      <c r="G88" s="111"/>
      <c r="H88" s="112">
        <v>-14.705882352941178</v>
      </c>
      <c r="L88" s="35" t="s">
        <v>122</v>
      </c>
      <c r="M88" s="50">
        <v>59</v>
      </c>
      <c r="N88" s="113">
        <v>17.842797707857724</v>
      </c>
      <c r="O88" s="35" t="s">
        <v>139</v>
      </c>
      <c r="P88" s="111">
        <v>0.95309999999999995</v>
      </c>
      <c r="Q88" s="114">
        <v>-16.999042062178884</v>
      </c>
    </row>
    <row r="89" spans="1:243" x14ac:dyDescent="0.25">
      <c r="A89" s="35" t="s">
        <v>109</v>
      </c>
      <c r="B89" s="110">
        <v>5.3</v>
      </c>
      <c r="C89" s="110"/>
      <c r="D89" s="110">
        <v>1.9230769230769162</v>
      </c>
      <c r="E89" s="35" t="s">
        <v>117</v>
      </c>
      <c r="F89" s="111">
        <v>1.0001390000000001</v>
      </c>
      <c r="G89" s="111"/>
      <c r="H89" s="112">
        <v>-9.0782727272727257</v>
      </c>
      <c r="L89" s="35" t="s">
        <v>136</v>
      </c>
      <c r="M89" s="50">
        <v>19.5</v>
      </c>
      <c r="N89" s="113">
        <v>8.3333333333333321</v>
      </c>
      <c r="O89" s="35" t="s">
        <v>132</v>
      </c>
      <c r="P89" s="111">
        <v>0.15029999999999999</v>
      </c>
      <c r="Q89" s="114">
        <v>-5.9449311639549487</v>
      </c>
    </row>
    <row r="90" spans="1:243" x14ac:dyDescent="0.25">
      <c r="A90" s="35" t="s">
        <v>50</v>
      </c>
      <c r="B90" s="110">
        <v>2.41</v>
      </c>
      <c r="C90" s="110"/>
      <c r="D90" s="110">
        <v>0.39575088523224594</v>
      </c>
      <c r="E90" s="35" t="s">
        <v>64</v>
      </c>
      <c r="F90" s="111">
        <v>1.052217</v>
      </c>
      <c r="G90" s="111"/>
      <c r="H90" s="112">
        <v>-6.0520535714285835</v>
      </c>
      <c r="L90" s="35" t="s">
        <v>141</v>
      </c>
      <c r="M90" s="50">
        <v>0.3</v>
      </c>
      <c r="N90" s="113">
        <v>6.8756679729248242</v>
      </c>
      <c r="O90" s="35" t="s">
        <v>124</v>
      </c>
      <c r="P90" s="111">
        <v>0.24329999999999999</v>
      </c>
      <c r="Q90" s="114">
        <v>-5.7342115459124399</v>
      </c>
    </row>
    <row r="91" spans="1:243" x14ac:dyDescent="0.25">
      <c r="A91" s="35" t="s">
        <v>95</v>
      </c>
      <c r="B91" s="110">
        <v>3.3224000000000004E-2</v>
      </c>
      <c r="C91" s="110"/>
      <c r="D91" s="110">
        <v>0.29886792452830746</v>
      </c>
      <c r="E91" s="35" t="s">
        <v>62</v>
      </c>
      <c r="F91" s="111">
        <v>2.3497499999999998</v>
      </c>
      <c r="G91" s="111"/>
      <c r="H91" s="112">
        <v>-6.0100000000000087</v>
      </c>
      <c r="L91" s="35" t="s">
        <v>128</v>
      </c>
      <c r="M91" s="50">
        <v>0.112</v>
      </c>
      <c r="N91" s="113">
        <v>1.8181818181818199</v>
      </c>
      <c r="O91" s="35" t="s">
        <v>147</v>
      </c>
      <c r="P91" s="111">
        <v>6.0499999999999998E-2</v>
      </c>
      <c r="Q91" s="114">
        <v>-2.4193548387096793</v>
      </c>
    </row>
    <row r="92" spans="1:243" x14ac:dyDescent="0.25">
      <c r="A92" s="35" t="s">
        <v>52</v>
      </c>
      <c r="B92" s="110">
        <v>28.105500000000003</v>
      </c>
      <c r="C92" s="110"/>
      <c r="D92" s="110">
        <v>0.28795923610517749</v>
      </c>
      <c r="E92" s="35" t="s">
        <v>86</v>
      </c>
      <c r="F92" s="111">
        <v>1.425</v>
      </c>
      <c r="G92" s="111"/>
      <c r="H92" s="112">
        <v>-4.9999999999999964</v>
      </c>
      <c r="L92" s="35" t="s">
        <v>130</v>
      </c>
      <c r="M92" s="50">
        <v>1.2242999999999999</v>
      </c>
      <c r="N92" s="113">
        <v>1.7536569148936083</v>
      </c>
      <c r="O92" s="35" t="s">
        <v>143</v>
      </c>
      <c r="P92" s="111">
        <v>0.60299999999999998</v>
      </c>
      <c r="Q92" s="114">
        <v>-1.3900245298446545</v>
      </c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177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9yNWm3qPWITAMOaTRvJuAhLlBAvCGqqoWcyAM3NCkcDdFlOdtBPx+/E5o2KIoPzg16oi8VQbkXrgPUK4cOmPHw==" saltValue="eGqRRv9+WJUVJlAvEE0NSQ==" spinCount="100000" sheet="1"/>
  <sortState xmlns:xlrd2="http://schemas.microsoft.com/office/spreadsheetml/2017/richdata2" ref="A51:II64">
    <sortCondition ref="A51:A64"/>
  </sortState>
  <mergeCells count="12">
    <mergeCell ref="A76:Q76"/>
    <mergeCell ref="A82:Q82"/>
    <mergeCell ref="A87:D87"/>
    <mergeCell ref="E87:H87"/>
    <mergeCell ref="L87:N87"/>
    <mergeCell ref="O87:Q87"/>
    <mergeCell ref="A73:Q73"/>
    <mergeCell ref="L5:M5"/>
    <mergeCell ref="A6:Q6"/>
    <mergeCell ref="A50:Q50"/>
    <mergeCell ref="A66:Q66"/>
    <mergeCell ref="A69:Q69"/>
  </mergeCells>
  <conditionalFormatting sqref="A9:A11">
    <cfRule type="duplicateValues" dxfId="40" priority="46" stopIfTrue="1"/>
  </conditionalFormatting>
  <conditionalFormatting sqref="A29:A34">
    <cfRule type="duplicateValues" dxfId="39" priority="47" stopIfTrue="1"/>
  </conditionalFormatting>
  <conditionalFormatting sqref="A88:A90">
    <cfRule type="duplicateValues" dxfId="38" priority="9" stopIfTrue="1"/>
  </conditionalFormatting>
  <conditionalFormatting sqref="L9:M26 L28:M47 L51:M64">
    <cfRule type="cellIs" dxfId="37" priority="42" stopIfTrue="1" operator="lessThan">
      <formula>0</formula>
    </cfRule>
    <cfRule type="cellIs" priority="45" stopIfTrue="1" operator="greaterThan">
      <formula>0</formula>
    </cfRule>
    <cfRule type="cellIs" dxfId="36" priority="44" stopIfTrue="1" operator="greaterThan">
      <formula>0</formula>
    </cfRule>
    <cfRule type="cellIs" dxfId="35" priority="43" stopIfTrue="1" operator="greaterThan">
      <formula>0</formula>
    </cfRule>
  </conditionalFormatting>
  <conditionalFormatting sqref="L9:M47 L51:M64">
    <cfRule type="cellIs" dxfId="34" priority="24" stopIfTrue="1" operator="greaterThan">
      <formula>0</formula>
    </cfRule>
    <cfRule type="cellIs" dxfId="33" priority="20" stopIfTrue="1" operator="lessThan">
      <formula>0</formula>
    </cfRule>
  </conditionalFormatting>
  <conditionalFormatting sqref="L27:M27"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  <cfRule type="cellIs" priority="25" stopIfTrue="1" operator="greaterThan">
      <formula>0</formula>
    </cfRule>
  </conditionalFormatting>
  <conditionalFormatting sqref="L70:M71">
    <cfRule type="cellIs" dxfId="29" priority="11" stopIfTrue="1" operator="greaterThan">
      <formula>0</formula>
    </cfRule>
    <cfRule type="cellIs" dxfId="28" priority="10" stopIfTrue="1" operator="less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4:M74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7:M80">
    <cfRule type="cellIs" dxfId="19" priority="36" stopIfTrue="1" operator="lessThan">
      <formula>0</formula>
    </cfRule>
    <cfRule type="cellIs" dxfId="18" priority="38" stopIfTrue="1" operator="lessThan">
      <formula>0</formula>
    </cfRule>
    <cfRule type="cellIs" dxfId="17" priority="39" stopIfTrue="1" operator="greaterThan">
      <formula>0</formula>
    </cfRule>
    <cfRule type="cellIs" dxfId="16" priority="40" stopIfTrue="1" operator="greaterThan">
      <formula>0</formula>
    </cfRule>
    <cfRule type="cellIs" priority="41" stopIfTrue="1" operator="greaterThan">
      <formula>0</formula>
    </cfRule>
    <cfRule type="cellIs" dxfId="15" priority="37" stopIfTrue="1" operator="greaterThan">
      <formula>0</formula>
    </cfRule>
  </conditionalFormatting>
  <conditionalFormatting sqref="L83:M84">
    <cfRule type="cellIs" dxfId="14" priority="30" stopIfTrue="1" operator="lessThan">
      <formula>0</formula>
    </cfRule>
    <cfRule type="cellIs" dxfId="13" priority="31" stopIfTrue="1" operator="greaterThan">
      <formula>0</formula>
    </cfRule>
    <cfRule type="cellIs" dxfId="12" priority="32" stopIfTrue="1" operator="lessThan">
      <formula>0</formula>
    </cfRule>
    <cfRule type="cellIs" dxfId="11" priority="33" stopIfTrue="1" operator="greaterThan">
      <formula>0</formula>
    </cfRule>
    <cfRule type="cellIs" dxfId="10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4">
    <cfRule type="cellIs" dxfId="9" priority="19" stopIfTrue="1" operator="lessThan">
      <formula>0</formula>
    </cfRule>
    <cfRule type="cellIs" dxfId="8" priority="18" stopIfTrue="1" operator="greaterThan">
      <formula>0</formula>
    </cfRule>
  </conditionalFormatting>
  <conditionalFormatting sqref="Q70:Q71">
    <cfRule type="cellIs" dxfId="7" priority="17" stopIfTrue="1" operator="lessThan">
      <formula>0</formula>
    </cfRule>
    <cfRule type="cellIs" dxfId="6" priority="16" stopIfTrue="1" operator="greaterThan">
      <formula>0</formula>
    </cfRule>
  </conditionalFormatting>
  <conditionalFormatting sqref="Q74">
    <cfRule type="cellIs" dxfId="5" priority="8" stopIfTrue="1" operator="lessThan">
      <formula>0</formula>
    </cfRule>
    <cfRule type="cellIs" dxfId="4" priority="7" stopIfTrue="1" operator="greaterThan">
      <formula>0</formula>
    </cfRule>
  </conditionalFormatting>
  <conditionalFormatting sqref="Q77:Q80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3:Q84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2026-05-13T15:35:09Z</dcterms:created>
  <dcterms:modified xsi:type="dcterms:W3CDTF">2026-05-13T16:15:38Z</dcterms:modified>
</cp:coreProperties>
</file>