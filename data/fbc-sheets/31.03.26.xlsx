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karwae\AppData\Local\Microsoft\Windows\INetCache\Content.Outlook\EPBWVUK0\"/>
    </mc:Choice>
  </mc:AlternateContent>
  <xr:revisionPtr revIDLastSave="0" documentId="8_{A7EAAA33-BBA1-41A9-844D-829EA5D2C3D2}" xr6:coauthVersionLast="47" xr6:coauthVersionMax="47" xr10:uidLastSave="{00000000-0000-0000-0000-000000000000}"/>
  <bookViews>
    <workbookView xWindow="-108" yWindow="-108" windowWidth="23256" windowHeight="12456" xr2:uid="{ED1B6E1A-762A-4882-9AD2-DE5E39D83C73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4" i="1"/>
  <c r="Q54" i="1"/>
  <c r="O55" i="1"/>
  <c r="O67" i="1" s="1"/>
  <c r="J55" i="1"/>
  <c r="J54" i="1"/>
  <c r="O84" i="1"/>
  <c r="N84" i="1"/>
  <c r="Q83" i="1"/>
  <c r="M83" i="1"/>
  <c r="L83" i="1"/>
  <c r="K83" i="1"/>
  <c r="E83" i="1" s="1"/>
  <c r="J83" i="1"/>
  <c r="P83" i="1" s="1"/>
  <c r="Q82" i="1"/>
  <c r="M82" i="1"/>
  <c r="L82" i="1"/>
  <c r="K82" i="1"/>
  <c r="J82" i="1"/>
  <c r="P82" i="1" s="1"/>
  <c r="E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Q76" i="1"/>
  <c r="M76" i="1"/>
  <c r="L76" i="1"/>
  <c r="K76" i="1"/>
  <c r="J76" i="1"/>
  <c r="E76" i="1"/>
  <c r="D76" i="1"/>
  <c r="O74" i="1"/>
  <c r="N74" i="1"/>
  <c r="M73" i="1"/>
  <c r="L73" i="1"/>
  <c r="J73" i="1"/>
  <c r="D73" i="1" s="1"/>
  <c r="M72" i="1"/>
  <c r="L72" i="1"/>
  <c r="J72" i="1"/>
  <c r="K72" i="1" s="1"/>
  <c r="E72" i="1" s="1"/>
  <c r="M69" i="1"/>
  <c r="L69" i="1"/>
  <c r="D69" i="1"/>
  <c r="N67" i="1"/>
  <c r="M66" i="1"/>
  <c r="L66" i="1"/>
  <c r="J66" i="1"/>
  <c r="Q66" i="1" s="1"/>
  <c r="D66" i="1"/>
  <c r="M65" i="1"/>
  <c r="L65" i="1"/>
  <c r="J65" i="1"/>
  <c r="D65" i="1" s="1"/>
  <c r="M64" i="1"/>
  <c r="L64" i="1"/>
  <c r="J64" i="1"/>
  <c r="Q64" i="1" s="1"/>
  <c r="D64" i="1"/>
  <c r="M63" i="1"/>
  <c r="L63" i="1"/>
  <c r="J63" i="1"/>
  <c r="D63" i="1" s="1"/>
  <c r="M62" i="1"/>
  <c r="L62" i="1"/>
  <c r="J62" i="1"/>
  <c r="P62" i="1" s="1"/>
  <c r="D62" i="1"/>
  <c r="M61" i="1"/>
  <c r="L61" i="1"/>
  <c r="J61" i="1"/>
  <c r="D61" i="1" s="1"/>
  <c r="M60" i="1"/>
  <c r="L60" i="1"/>
  <c r="J60" i="1"/>
  <c r="Q60" i="1" s="1"/>
  <c r="D60" i="1"/>
  <c r="M59" i="1"/>
  <c r="L59" i="1"/>
  <c r="J59" i="1"/>
  <c r="D59" i="1" s="1"/>
  <c r="M58" i="1"/>
  <c r="L58" i="1"/>
  <c r="J58" i="1"/>
  <c r="Q58" i="1" s="1"/>
  <c r="D58" i="1"/>
  <c r="M57" i="1"/>
  <c r="L57" i="1"/>
  <c r="J57" i="1"/>
  <c r="D57" i="1" s="1"/>
  <c r="M56" i="1"/>
  <c r="L56" i="1"/>
  <c r="J56" i="1"/>
  <c r="P56" i="1" s="1"/>
  <c r="D56" i="1"/>
  <c r="M54" i="1"/>
  <c r="L54" i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P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J45" i="1"/>
  <c r="P45" i="1" s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J42" i="1"/>
  <c r="P42" i="1" s="1"/>
  <c r="E42" i="1"/>
  <c r="D42" i="1"/>
  <c r="T41" i="1"/>
  <c r="U41" i="1" s="1"/>
  <c r="Q41" i="1"/>
  <c r="M41" i="1"/>
  <c r="L41" i="1"/>
  <c r="K41" i="1"/>
  <c r="J41" i="1"/>
  <c r="P41" i="1" s="1"/>
  <c r="E41" i="1"/>
  <c r="Q40" i="1"/>
  <c r="M40" i="1"/>
  <c r="L40" i="1"/>
  <c r="K40" i="1"/>
  <c r="E40" i="1" s="1"/>
  <c r="J40" i="1"/>
  <c r="P40" i="1" s="1"/>
  <c r="Q39" i="1"/>
  <c r="M39" i="1"/>
  <c r="L39" i="1"/>
  <c r="K39" i="1"/>
  <c r="J39" i="1"/>
  <c r="E39" i="1"/>
  <c r="D39" i="1"/>
  <c r="U38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P37" i="1" s="1"/>
  <c r="E37" i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P35" i="1" s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Q32" i="1"/>
  <c r="M32" i="1"/>
  <c r="L32" i="1"/>
  <c r="K32" i="1"/>
  <c r="J32" i="1"/>
  <c r="P32" i="1" s="1"/>
  <c r="E32" i="1"/>
  <c r="Q30" i="1"/>
  <c r="P30" i="1"/>
  <c r="M30" i="1"/>
  <c r="L30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Q25" i="1"/>
  <c r="M25" i="1"/>
  <c r="L25" i="1"/>
  <c r="K25" i="1"/>
  <c r="E25" i="1" s="1"/>
  <c r="J25" i="1"/>
  <c r="P25" i="1" s="1"/>
  <c r="D25" i="1"/>
  <c r="Q24" i="1"/>
  <c r="P24" i="1"/>
  <c r="M24" i="1"/>
  <c r="L24" i="1"/>
  <c r="K24" i="1"/>
  <c r="J24" i="1"/>
  <c r="E24" i="1"/>
  <c r="D24" i="1"/>
  <c r="Q23" i="1"/>
  <c r="M23" i="1"/>
  <c r="L23" i="1"/>
  <c r="K23" i="1"/>
  <c r="J23" i="1"/>
  <c r="P23" i="1" s="1"/>
  <c r="E23" i="1"/>
  <c r="D23" i="1"/>
  <c r="Q22" i="1"/>
  <c r="M22" i="1"/>
  <c r="L22" i="1"/>
  <c r="K22" i="1"/>
  <c r="E22" i="1" s="1"/>
  <c r="J22" i="1"/>
  <c r="P22" i="1" s="1"/>
  <c r="Q21" i="1"/>
  <c r="P21" i="1"/>
  <c r="M21" i="1"/>
  <c r="L21" i="1"/>
  <c r="K21" i="1"/>
  <c r="E21" i="1" s="1"/>
  <c r="J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Q18" i="1"/>
  <c r="M18" i="1"/>
  <c r="L18" i="1"/>
  <c r="K18" i="1"/>
  <c r="J18" i="1"/>
  <c r="P18" i="1" s="1"/>
  <c r="E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D16" i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Q10" i="1"/>
  <c r="M10" i="1"/>
  <c r="L10" i="1"/>
  <c r="K10" i="1"/>
  <c r="J10" i="1"/>
  <c r="P10" i="1" s="1"/>
  <c r="E10" i="1"/>
  <c r="D26" i="1" l="1"/>
  <c r="D40" i="1"/>
  <c r="D18" i="1"/>
  <c r="P27" i="1"/>
  <c r="D32" i="1"/>
  <c r="D37" i="1"/>
  <c r="D36" i="1"/>
  <c r="D22" i="1"/>
  <c r="D10" i="1"/>
  <c r="P15" i="1"/>
  <c r="D33" i="1"/>
  <c r="D41" i="1"/>
  <c r="P44" i="1"/>
  <c r="D72" i="1"/>
  <c r="D82" i="1"/>
  <c r="P53" i="1"/>
  <c r="P58" i="1"/>
  <c r="P60" i="1"/>
  <c r="P64" i="1"/>
  <c r="P66" i="1"/>
  <c r="D11" i="1"/>
  <c r="D14" i="1"/>
  <c r="D43" i="1"/>
  <c r="D46" i="1"/>
  <c r="Q56" i="1"/>
  <c r="Q62" i="1"/>
  <c r="Q72" i="1"/>
  <c r="D83" i="1"/>
  <c r="K73" i="1"/>
  <c r="E73" i="1" s="1"/>
  <c r="P54" i="1"/>
  <c r="P57" i="1"/>
  <c r="P59" i="1"/>
  <c r="P61" i="1"/>
  <c r="P63" i="1"/>
  <c r="P65" i="1"/>
  <c r="Q52" i="1"/>
  <c r="Q57" i="1"/>
  <c r="Q59" i="1"/>
  <c r="Q61" i="1"/>
  <c r="Q63" i="1"/>
  <c r="Q65" i="1"/>
  <c r="Q73" i="1"/>
</calcChain>
</file>

<file path=xl/sharedStrings.xml><?xml version="1.0" encoding="utf-8"?>
<sst xmlns="http://schemas.openxmlformats.org/spreadsheetml/2006/main" count="285" uniqueCount="199">
  <si>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</si>
  <si>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</si>
  <si>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</si>
  <si>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</si>
  <si>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</si>
  <si>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</si>
  <si>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</si>
  <si>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</si>
  <si>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</si>
  <si>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</si>
  <si>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</si>
  <si>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</si>
  <si>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</si>
  <si>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</si>
  <si>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</si>
  <si>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</si>
  <si>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</si>
  <si>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</si>
  <si>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</si>
  <si>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</si>
  <si>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</si>
  <si>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</si>
  <si>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</si>
  <si>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</si>
  <si>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</si>
  <si>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</si>
  <si>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</si>
  <si>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</si>
  <si>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</si>
  <si>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</si>
  <si>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</si>
  <si>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</si>
  <si>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</si>
  <si>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</si>
  <si>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</si>
  <si>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</si>
  <si>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</si>
  <si>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</si>
  <si>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</si>
  <si>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</si>
  <si>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</si>
  <si>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</si>
  <si>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</si>
  <si>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</si>
  <si>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</si>
  <si>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</si>
  <si>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</si>
  <si>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</si>
  <si>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</si>
  <si>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</si>
  <si>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</si>
  <si>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</si>
  <si>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</si>
  <si>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</si>
  <si>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</si>
  <si>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</si>
  <si>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</si>
  <si>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</si>
  <si>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</si>
  <si>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</si>
  <si>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</si>
  <si>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</si>
  <si>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</si>
  <si>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</si>
  <si>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</si>
  <si>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</si>
  <si>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</si>
  <si>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</si>
  <si>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</si>
  <si>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</si>
  <si>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</si>
  <si>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</si>
  <si>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</si>
  <si>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</si>
  <si>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</si>
  <si>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</si>
  <si>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</si>
  <si>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</si>
  <si>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</si>
  <si>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</si>
  <si>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</si>
  <si>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</si>
  <si>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</si>
  <si>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</si>
  <si>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</si>
  <si>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</si>
  <si>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</si>
  <si>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</si>
  <si>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</si>
  <si>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</si>
  <si>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</si>
  <si>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</si>
  <si>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</si>
  <si>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</si>
  <si>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</si>
  <si>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</si>
  <si>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</si>
  <si>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</si>
  <si>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</si>
  <si>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</si>
  <si>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</si>
  <si>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</si>
  <si>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</si>
  <si>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</si>
  <si>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</si>
  <si>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</si>
  <si>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</si>
  <si>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</si>
  <si>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</si>
  <si>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</si>
  <si>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</si>
  <si>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</si>
  <si>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</si>
  <si>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</si>
  <si>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</si>
  <si>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</si>
  <si>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</si>
  <si>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</si>
  <si>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</si>
  <si>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</si>
  <si>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</si>
  <si>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</si>
  <si>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</si>
  <si>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</si>
  <si>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</si>
  <si>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</si>
  <si>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</si>
  <si>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</si>
  <si>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</si>
  <si>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</si>
  <si>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</si>
  <si>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</si>
  <si>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</si>
  <si>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</si>
  <si>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</si>
  <si>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</si>
  <si>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</si>
  <si>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</si>
  <si>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</si>
  <si>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</si>
  <si>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</si>
  <si>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</si>
  <si>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</si>
  <si>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</si>
  <si>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</si>
  <si>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</si>
  <si>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</si>
  <si>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</si>
  <si>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</si>
  <si>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</si>
  <si>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</si>
  <si>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</si>
  <si>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</si>
  <si>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</si>
  <si>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</si>
  <si>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</si>
  <si>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</si>
  <si>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</si>
  <si>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</si>
  <si>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</si>
  <si>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</si>
  <si>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</si>
  <si>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</si>
  <si>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</si>
  <si>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</si>
  <si>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</si>
  <si>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</si>
  <si>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</si>
  <si>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</si>
  <si>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</si>
  <si>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</si>
  <si>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</si>
  <si>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</si>
  <si>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</si>
  <si>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</si>
  <si>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</si>
  <si>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</si>
  <si>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</si>
  <si>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</si>
  <si>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</si>
  <si>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</si>
  <si>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</si>
  <si>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</si>
  <si>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</si>
  <si>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</si>
  <si>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</si>
  <si>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</si>
  <si>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</si>
  <si>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</si>
  <si>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</si>
  <si>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</si>
  <si>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</si>
  <si>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</si>
  <si>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</si>
  <si>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</si>
  <si>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</si>
  <si>
    <t>Econet InfraCo</t>
  </si>
  <si>
    <t>ZWVX09010120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</si>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</sst>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59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164" fontId="16" fillId="5" borderId="0" xfId="5" applyFont="1" applyFill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8" applyFont="1" applyFill="1" applyAlignment="1" applyProtection="1"/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1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0" fontId="24" fillId="2" borderId="16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7" xfId="7" applyFont="1" applyFill="1" applyBorder="1" applyAlignment="1">
      <alignment horizontal="center"/>
    </xf>
    <xf numFmtId="0" fontId="25" fillId="2" borderId="16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7" xfId="7" applyFont="1" applyFill="1" applyBorder="1" applyAlignment="1">
      <alignment horizontal="center"/>
    </xf>
  </cellXfs>
  <cellStyles count="9">
    <cellStyle name="Comma" xfId="1" builtinId="3"/>
    <cellStyle name="Comma 2 2 2 2 2 2 2 2" xfId="3" xr:uid="{6F6B84A7-0FA6-431A-A710-900A4F79FEB3}"/>
    <cellStyle name="Comma 5 2 2 2 2 2 2" xfId="4" xr:uid="{C69E6DC6-1F79-45DC-965D-9B62A69543CB}"/>
    <cellStyle name="Comma 6 2" xfId="5" xr:uid="{0F432685-756C-456A-BDF0-1667AD2535E4}"/>
    <cellStyle name="Hyperlink 2" xfId="8" xr:uid="{FB78992E-E785-4FA4-9383-A43F9F88986E}"/>
    <cellStyle name="Normal" xfId="0" builtinId="0"/>
    <cellStyle name="Normal 2" xfId="2" xr:uid="{5ED9D75B-7FD4-4D9E-A580-D601139F7ECC}"/>
    <cellStyle name="Normal 20" xfId="7" xr:uid="{91045311-EED1-43A7-9B69-351096F4015B}"/>
    <cellStyle name="Percent 3" xfId="6" xr:uid="{189D049D-B111-4912-8F08-09D8A7B83C1E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1442F473-158A-4B23-BD61-DAF2C279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82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1183341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C208B6C-2B99-4234-A3DE-D2835E358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24"/>
          <a:ext cx="637413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0AEB-1098-4A23-8919-25A79C5AA702}">
  <sheetPr codeName="Sheet2"/>
  <dimension ref="A1:IO105"/>
  <sheetViews>
    <sheetView tabSelected="1" zoomScale="80" zoomScaleNormal="80" workbookViewId="0">
      <pane ySplit="7" topLeftCell="A15" activePane="bottomLeft" state="frozen"/>
      <selection pane="bottomLeft" activeCell="A91" sqref="A91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21" width="8.88671875" style="5" hidden="1" customWidth="1"/>
    <col min="22" max="22" width="13.44140625" style="5" hidden="1" customWidth="1"/>
    <col min="23" max="23" width="9.33203125" style="5" hidden="1" customWidth="1"/>
    <col min="24" max="24" width="10" style="5" hidden="1" customWidth="1"/>
    <col min="25" max="32" width="9.33203125" style="5" hidden="1" customWidth="1"/>
    <col min="33" max="250" width="9.3320312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6640625" style="5" customWidth="1"/>
    <col min="258" max="258" width="22.3320312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33203125" style="5" customWidth="1"/>
    <col min="270" max="281" width="0" style="5" hidden="1" customWidth="1"/>
    <col min="282" max="506" width="9.3320312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6640625" style="5" customWidth="1"/>
    <col min="514" max="514" width="22.3320312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33203125" style="5" customWidth="1"/>
    <col min="526" max="537" width="0" style="5" hidden="1" customWidth="1"/>
    <col min="538" max="762" width="9.3320312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6640625" style="5" customWidth="1"/>
    <col min="770" max="770" width="22.3320312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33203125" style="5" customWidth="1"/>
    <col min="782" max="793" width="0" style="5" hidden="1" customWidth="1"/>
    <col min="794" max="1018" width="9.3320312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6640625" style="5" customWidth="1"/>
    <col min="1026" max="1026" width="22.3320312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33203125" style="5" customWidth="1"/>
    <col min="1038" max="1049" width="0" style="5" hidden="1" customWidth="1"/>
    <col min="1050" max="1274" width="9.3320312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6640625" style="5" customWidth="1"/>
    <col min="1282" max="1282" width="22.3320312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33203125" style="5" customWidth="1"/>
    <col min="1294" max="1305" width="0" style="5" hidden="1" customWidth="1"/>
    <col min="1306" max="1530" width="9.3320312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6640625" style="5" customWidth="1"/>
    <col min="1538" max="1538" width="22.3320312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33203125" style="5" customWidth="1"/>
    <col min="1550" max="1561" width="0" style="5" hidden="1" customWidth="1"/>
    <col min="1562" max="1786" width="9.3320312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6640625" style="5" customWidth="1"/>
    <col min="1794" max="1794" width="22.3320312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33203125" style="5" customWidth="1"/>
    <col min="1806" max="1817" width="0" style="5" hidden="1" customWidth="1"/>
    <col min="1818" max="2042" width="9.3320312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6640625" style="5" customWidth="1"/>
    <col min="2050" max="2050" width="22.3320312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33203125" style="5" customWidth="1"/>
    <col min="2062" max="2073" width="0" style="5" hidden="1" customWidth="1"/>
    <col min="2074" max="2298" width="9.3320312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6640625" style="5" customWidth="1"/>
    <col min="2306" max="2306" width="22.3320312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33203125" style="5" customWidth="1"/>
    <col min="2318" max="2329" width="0" style="5" hidden="1" customWidth="1"/>
    <col min="2330" max="2554" width="9.3320312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6640625" style="5" customWidth="1"/>
    <col min="2562" max="2562" width="22.3320312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33203125" style="5" customWidth="1"/>
    <col min="2574" max="2585" width="0" style="5" hidden="1" customWidth="1"/>
    <col min="2586" max="2810" width="9.3320312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6640625" style="5" customWidth="1"/>
    <col min="2818" max="2818" width="22.3320312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33203125" style="5" customWidth="1"/>
    <col min="2830" max="2841" width="0" style="5" hidden="1" customWidth="1"/>
    <col min="2842" max="3066" width="9.3320312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6640625" style="5" customWidth="1"/>
    <col min="3074" max="3074" width="22.3320312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33203125" style="5" customWidth="1"/>
    <col min="3086" max="3097" width="0" style="5" hidden="1" customWidth="1"/>
    <col min="3098" max="3322" width="9.3320312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6640625" style="5" customWidth="1"/>
    <col min="3330" max="3330" width="22.3320312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33203125" style="5" customWidth="1"/>
    <col min="3342" max="3353" width="0" style="5" hidden="1" customWidth="1"/>
    <col min="3354" max="3578" width="9.3320312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6640625" style="5" customWidth="1"/>
    <col min="3586" max="3586" width="22.3320312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33203125" style="5" customWidth="1"/>
    <col min="3598" max="3609" width="0" style="5" hidden="1" customWidth="1"/>
    <col min="3610" max="3834" width="9.3320312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6640625" style="5" customWidth="1"/>
    <col min="3842" max="3842" width="22.3320312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33203125" style="5" customWidth="1"/>
    <col min="3854" max="3865" width="0" style="5" hidden="1" customWidth="1"/>
    <col min="3866" max="4090" width="9.3320312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6640625" style="5" customWidth="1"/>
    <col min="4098" max="4098" width="22.3320312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33203125" style="5" customWidth="1"/>
    <col min="4110" max="4121" width="0" style="5" hidden="1" customWidth="1"/>
    <col min="4122" max="4346" width="9.3320312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6640625" style="5" customWidth="1"/>
    <col min="4354" max="4354" width="22.3320312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33203125" style="5" customWidth="1"/>
    <col min="4366" max="4377" width="0" style="5" hidden="1" customWidth="1"/>
    <col min="4378" max="4602" width="9.3320312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6640625" style="5" customWidth="1"/>
    <col min="4610" max="4610" width="22.3320312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33203125" style="5" customWidth="1"/>
    <col min="4622" max="4633" width="0" style="5" hidden="1" customWidth="1"/>
    <col min="4634" max="4858" width="9.3320312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6640625" style="5" customWidth="1"/>
    <col min="4866" max="4866" width="22.3320312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33203125" style="5" customWidth="1"/>
    <col min="4878" max="4889" width="0" style="5" hidden="1" customWidth="1"/>
    <col min="4890" max="5114" width="9.3320312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6640625" style="5" customWidth="1"/>
    <col min="5122" max="5122" width="22.3320312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33203125" style="5" customWidth="1"/>
    <col min="5134" max="5145" width="0" style="5" hidden="1" customWidth="1"/>
    <col min="5146" max="5370" width="9.3320312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6640625" style="5" customWidth="1"/>
    <col min="5378" max="5378" width="22.3320312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33203125" style="5" customWidth="1"/>
    <col min="5390" max="5401" width="0" style="5" hidden="1" customWidth="1"/>
    <col min="5402" max="5626" width="9.3320312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6640625" style="5" customWidth="1"/>
    <col min="5634" max="5634" width="22.3320312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33203125" style="5" customWidth="1"/>
    <col min="5646" max="5657" width="0" style="5" hidden="1" customWidth="1"/>
    <col min="5658" max="5882" width="9.3320312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6640625" style="5" customWidth="1"/>
    <col min="5890" max="5890" width="22.3320312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33203125" style="5" customWidth="1"/>
    <col min="5902" max="5913" width="0" style="5" hidden="1" customWidth="1"/>
    <col min="5914" max="6138" width="9.3320312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6640625" style="5" customWidth="1"/>
    <col min="6146" max="6146" width="22.3320312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33203125" style="5" customWidth="1"/>
    <col min="6158" max="6169" width="0" style="5" hidden="1" customWidth="1"/>
    <col min="6170" max="6394" width="9.3320312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6640625" style="5" customWidth="1"/>
    <col min="6402" max="6402" width="22.3320312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33203125" style="5" customWidth="1"/>
    <col min="6414" max="6425" width="0" style="5" hidden="1" customWidth="1"/>
    <col min="6426" max="6650" width="9.3320312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6640625" style="5" customWidth="1"/>
    <col min="6658" max="6658" width="22.3320312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33203125" style="5" customWidth="1"/>
    <col min="6670" max="6681" width="0" style="5" hidden="1" customWidth="1"/>
    <col min="6682" max="6906" width="9.3320312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6640625" style="5" customWidth="1"/>
    <col min="6914" max="6914" width="22.3320312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33203125" style="5" customWidth="1"/>
    <col min="6926" max="6937" width="0" style="5" hidden="1" customWidth="1"/>
    <col min="6938" max="7162" width="9.3320312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6640625" style="5" customWidth="1"/>
    <col min="7170" max="7170" width="22.3320312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33203125" style="5" customWidth="1"/>
    <col min="7182" max="7193" width="0" style="5" hidden="1" customWidth="1"/>
    <col min="7194" max="7418" width="9.3320312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6640625" style="5" customWidth="1"/>
    <col min="7426" max="7426" width="22.3320312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33203125" style="5" customWidth="1"/>
    <col min="7438" max="7449" width="0" style="5" hidden="1" customWidth="1"/>
    <col min="7450" max="7674" width="9.3320312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6640625" style="5" customWidth="1"/>
    <col min="7682" max="7682" width="22.3320312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33203125" style="5" customWidth="1"/>
    <col min="7694" max="7705" width="0" style="5" hidden="1" customWidth="1"/>
    <col min="7706" max="7930" width="9.3320312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6640625" style="5" customWidth="1"/>
    <col min="7938" max="7938" width="22.3320312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33203125" style="5" customWidth="1"/>
    <col min="7950" max="7961" width="0" style="5" hidden="1" customWidth="1"/>
    <col min="7962" max="8186" width="9.3320312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6640625" style="5" customWidth="1"/>
    <col min="8194" max="8194" width="22.3320312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33203125" style="5" customWidth="1"/>
    <col min="8206" max="8217" width="0" style="5" hidden="1" customWidth="1"/>
    <col min="8218" max="8442" width="9.3320312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6640625" style="5" customWidth="1"/>
    <col min="8450" max="8450" width="22.3320312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33203125" style="5" customWidth="1"/>
    <col min="8462" max="8473" width="0" style="5" hidden="1" customWidth="1"/>
    <col min="8474" max="8698" width="9.3320312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6640625" style="5" customWidth="1"/>
    <col min="8706" max="8706" width="22.3320312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33203125" style="5" customWidth="1"/>
    <col min="8718" max="8729" width="0" style="5" hidden="1" customWidth="1"/>
    <col min="8730" max="8954" width="9.3320312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6640625" style="5" customWidth="1"/>
    <col min="8962" max="8962" width="22.3320312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33203125" style="5" customWidth="1"/>
    <col min="8974" max="8985" width="0" style="5" hidden="1" customWidth="1"/>
    <col min="8986" max="9210" width="9.3320312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6640625" style="5" customWidth="1"/>
    <col min="9218" max="9218" width="22.3320312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33203125" style="5" customWidth="1"/>
    <col min="9230" max="9241" width="0" style="5" hidden="1" customWidth="1"/>
    <col min="9242" max="9466" width="9.3320312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6640625" style="5" customWidth="1"/>
    <col min="9474" max="9474" width="22.3320312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33203125" style="5" customWidth="1"/>
    <col min="9486" max="9497" width="0" style="5" hidden="1" customWidth="1"/>
    <col min="9498" max="9722" width="9.3320312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6640625" style="5" customWidth="1"/>
    <col min="9730" max="9730" width="22.3320312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33203125" style="5" customWidth="1"/>
    <col min="9742" max="9753" width="0" style="5" hidden="1" customWidth="1"/>
    <col min="9754" max="9978" width="9.3320312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6640625" style="5" customWidth="1"/>
    <col min="9986" max="9986" width="22.3320312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33203125" style="5" customWidth="1"/>
    <col min="9998" max="10009" width="0" style="5" hidden="1" customWidth="1"/>
    <col min="10010" max="10234" width="9.3320312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6640625" style="5" customWidth="1"/>
    <col min="10242" max="10242" width="22.3320312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33203125" style="5" customWidth="1"/>
    <col min="10254" max="10265" width="0" style="5" hidden="1" customWidth="1"/>
    <col min="10266" max="10490" width="9.3320312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6640625" style="5" customWidth="1"/>
    <col min="10498" max="10498" width="22.3320312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33203125" style="5" customWidth="1"/>
    <col min="10510" max="10521" width="0" style="5" hidden="1" customWidth="1"/>
    <col min="10522" max="10746" width="9.3320312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6640625" style="5" customWidth="1"/>
    <col min="10754" max="10754" width="22.3320312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33203125" style="5" customWidth="1"/>
    <col min="10766" max="10777" width="0" style="5" hidden="1" customWidth="1"/>
    <col min="10778" max="11002" width="9.3320312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6640625" style="5" customWidth="1"/>
    <col min="11010" max="11010" width="22.3320312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33203125" style="5" customWidth="1"/>
    <col min="11022" max="11033" width="0" style="5" hidden="1" customWidth="1"/>
    <col min="11034" max="11258" width="9.3320312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6640625" style="5" customWidth="1"/>
    <col min="11266" max="11266" width="22.3320312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33203125" style="5" customWidth="1"/>
    <col min="11278" max="11289" width="0" style="5" hidden="1" customWidth="1"/>
    <col min="11290" max="11514" width="9.3320312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6640625" style="5" customWidth="1"/>
    <col min="11522" max="11522" width="22.3320312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33203125" style="5" customWidth="1"/>
    <col min="11534" max="11545" width="0" style="5" hidden="1" customWidth="1"/>
    <col min="11546" max="11770" width="9.3320312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6640625" style="5" customWidth="1"/>
    <col min="11778" max="11778" width="22.3320312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33203125" style="5" customWidth="1"/>
    <col min="11790" max="11801" width="0" style="5" hidden="1" customWidth="1"/>
    <col min="11802" max="12026" width="9.3320312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6640625" style="5" customWidth="1"/>
    <col min="12034" max="12034" width="22.3320312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33203125" style="5" customWidth="1"/>
    <col min="12046" max="12057" width="0" style="5" hidden="1" customWidth="1"/>
    <col min="12058" max="12282" width="9.3320312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6640625" style="5" customWidth="1"/>
    <col min="12290" max="12290" width="22.3320312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33203125" style="5" customWidth="1"/>
    <col min="12302" max="12313" width="0" style="5" hidden="1" customWidth="1"/>
    <col min="12314" max="12538" width="9.3320312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6640625" style="5" customWidth="1"/>
    <col min="12546" max="12546" width="22.3320312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33203125" style="5" customWidth="1"/>
    <col min="12558" max="12569" width="0" style="5" hidden="1" customWidth="1"/>
    <col min="12570" max="12794" width="9.3320312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6640625" style="5" customWidth="1"/>
    <col min="12802" max="12802" width="22.3320312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33203125" style="5" customWidth="1"/>
    <col min="12814" max="12825" width="0" style="5" hidden="1" customWidth="1"/>
    <col min="12826" max="13050" width="9.3320312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6640625" style="5" customWidth="1"/>
    <col min="13058" max="13058" width="22.3320312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33203125" style="5" customWidth="1"/>
    <col min="13070" max="13081" width="0" style="5" hidden="1" customWidth="1"/>
    <col min="13082" max="13306" width="9.3320312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6640625" style="5" customWidth="1"/>
    <col min="13314" max="13314" width="22.3320312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33203125" style="5" customWidth="1"/>
    <col min="13326" max="13337" width="0" style="5" hidden="1" customWidth="1"/>
    <col min="13338" max="13562" width="9.3320312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6640625" style="5" customWidth="1"/>
    <col min="13570" max="13570" width="22.3320312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33203125" style="5" customWidth="1"/>
    <col min="13582" max="13593" width="0" style="5" hidden="1" customWidth="1"/>
    <col min="13594" max="13818" width="9.3320312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6640625" style="5" customWidth="1"/>
    <col min="13826" max="13826" width="22.3320312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33203125" style="5" customWidth="1"/>
    <col min="13838" max="13849" width="0" style="5" hidden="1" customWidth="1"/>
    <col min="13850" max="14074" width="9.3320312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6640625" style="5" customWidth="1"/>
    <col min="14082" max="14082" width="22.3320312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33203125" style="5" customWidth="1"/>
    <col min="14094" max="14105" width="0" style="5" hidden="1" customWidth="1"/>
    <col min="14106" max="14330" width="9.3320312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6640625" style="5" customWidth="1"/>
    <col min="14338" max="14338" width="22.3320312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33203125" style="5" customWidth="1"/>
    <col min="14350" max="14361" width="0" style="5" hidden="1" customWidth="1"/>
    <col min="14362" max="14586" width="9.3320312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6640625" style="5" customWidth="1"/>
    <col min="14594" max="14594" width="22.3320312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33203125" style="5" customWidth="1"/>
    <col min="14606" max="14617" width="0" style="5" hidden="1" customWidth="1"/>
    <col min="14618" max="14842" width="9.3320312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6640625" style="5" customWidth="1"/>
    <col min="14850" max="14850" width="22.3320312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33203125" style="5" customWidth="1"/>
    <col min="14862" max="14873" width="0" style="5" hidden="1" customWidth="1"/>
    <col min="14874" max="15098" width="9.3320312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6640625" style="5" customWidth="1"/>
    <col min="15106" max="15106" width="22.3320312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33203125" style="5" customWidth="1"/>
    <col min="15118" max="15129" width="0" style="5" hidden="1" customWidth="1"/>
    <col min="15130" max="15354" width="9.3320312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6640625" style="5" customWidth="1"/>
    <col min="15362" max="15362" width="22.3320312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33203125" style="5" customWidth="1"/>
    <col min="15374" max="15385" width="0" style="5" hidden="1" customWidth="1"/>
    <col min="15386" max="15610" width="9.3320312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6640625" style="5" customWidth="1"/>
    <col min="15618" max="15618" width="22.3320312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33203125" style="5" customWidth="1"/>
    <col min="15630" max="15641" width="0" style="5" hidden="1" customWidth="1"/>
    <col min="15642" max="15866" width="9.3320312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6640625" style="5" customWidth="1"/>
    <col min="15874" max="15874" width="22.3320312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33203125" style="5" customWidth="1"/>
    <col min="15886" max="15897" width="0" style="5" hidden="1" customWidth="1"/>
    <col min="15898" max="16122" width="9.3320312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6640625" style="5" customWidth="1"/>
    <col min="16130" max="16130" width="22.3320312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33203125" style="5" customWidth="1"/>
    <col min="16142" max="16153" width="0" style="5" hidden="1" customWidth="1"/>
    <col min="16154" max="16378" width="9.33203125" style="5" customWidth="1"/>
    <col min="16379" max="16384" width="9.1093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25.320900000000002</v>
      </c>
      <c r="K5" s="23"/>
      <c r="L5" s="147" t="s">
        <v>12</v>
      </c>
      <c r="M5" s="148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9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1"/>
      <c r="S6" s="28"/>
      <c r="T6" s="13"/>
      <c r="U6" s="9"/>
      <c r="V6" s="9"/>
    </row>
    <row r="7" spans="1:22" s="35" customFormat="1" ht="28.2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2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2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7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68973568.317081928</v>
      </c>
      <c r="E10" s="40">
        <f t="shared" ref="E10:E30" si="1">C10*K10</f>
        <v>58215760.866666667</v>
      </c>
      <c r="F10" s="41" t="s">
        <v>35</v>
      </c>
      <c r="G10" s="42">
        <v>8.9894999999999996</v>
      </c>
      <c r="H10" s="43">
        <v>13.592000000000001</v>
      </c>
      <c r="I10" s="43">
        <v>14</v>
      </c>
      <c r="J10" s="44">
        <f>(I10/$J$5)</f>
        <v>0.55290293788925349</v>
      </c>
      <c r="K10" s="45">
        <f t="shared" ref="K10:K30" si="2">I10/$K$4</f>
        <v>0.46666666666666667</v>
      </c>
      <c r="L10" s="46">
        <f t="shared" ref="L10:L30" si="3">I10-H10</f>
        <v>0.40799999999999947</v>
      </c>
      <c r="M10" s="46">
        <f t="shared" ref="M10:M30" si="4">((I10-H10)/H10)*100</f>
        <v>3.001765744555617</v>
      </c>
      <c r="N10" s="47">
        <v>500</v>
      </c>
      <c r="O10" s="38">
        <v>7000</v>
      </c>
      <c r="P10" s="48">
        <f t="shared" ref="P10:P30" si="5">(R10)/J10</f>
        <v>0</v>
      </c>
      <c r="Q10" s="49">
        <f t="shared" ref="Q10:Q30" si="6">I10/G10-1</f>
        <v>0.55737249012737089</v>
      </c>
      <c r="R10" s="50"/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1928125.2976789922</v>
      </c>
      <c r="E11" s="40">
        <f t="shared" si="1"/>
        <v>1627395.595</v>
      </c>
      <c r="F11" s="41" t="s">
        <v>35</v>
      </c>
      <c r="G11" s="42">
        <v>3.1600000000000003E-2</v>
      </c>
      <c r="H11" s="43">
        <v>3.2500000000000001E-2</v>
      </c>
      <c r="I11" s="43">
        <v>0.03</v>
      </c>
      <c r="J11" s="44">
        <f t="shared" ref="J11:J30" si="7">I11/$J$5</f>
        <v>1.1847920097626859E-3</v>
      </c>
      <c r="K11" s="45">
        <f t="shared" si="2"/>
        <v>1E-3</v>
      </c>
      <c r="L11" s="46">
        <f t="shared" si="3"/>
        <v>-2.5000000000000022E-3</v>
      </c>
      <c r="M11" s="46">
        <f t="shared" si="4"/>
        <v>-7.6923076923076987</v>
      </c>
      <c r="N11" s="47">
        <v>100</v>
      </c>
      <c r="O11" s="38">
        <v>3</v>
      </c>
      <c r="P11" s="48">
        <f t="shared" si="5"/>
        <v>0</v>
      </c>
      <c r="Q11" s="49">
        <f t="shared" si="6"/>
        <v>-5.0632911392405222E-2</v>
      </c>
      <c r="R11" s="50"/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4262621.2999142995</v>
      </c>
      <c r="E12" s="40">
        <f t="shared" si="1"/>
        <v>3597780.255766667</v>
      </c>
      <c r="F12" s="41" t="s">
        <v>42</v>
      </c>
      <c r="G12" s="42">
        <v>7.8E-2</v>
      </c>
      <c r="H12" s="43">
        <v>0.247</v>
      </c>
      <c r="I12" s="43">
        <v>0.247</v>
      </c>
      <c r="J12" s="44">
        <f t="shared" si="7"/>
        <v>9.7547875470461159E-3</v>
      </c>
      <c r="K12" s="45">
        <f t="shared" si="2"/>
        <v>8.2333333333333338E-3</v>
      </c>
      <c r="L12" s="46">
        <f t="shared" si="3"/>
        <v>0</v>
      </c>
      <c r="M12" s="46">
        <f t="shared" si="4"/>
        <v>0</v>
      </c>
      <c r="N12" s="47">
        <v>0</v>
      </c>
      <c r="O12" s="38">
        <v>0</v>
      </c>
      <c r="P12" s="48">
        <f t="shared" si="5"/>
        <v>0</v>
      </c>
      <c r="Q12" s="49">
        <f t="shared" si="6"/>
        <v>2.1666666666666665</v>
      </c>
      <c r="R12" s="50"/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174375949.75184533</v>
      </c>
      <c r="E13" s="40">
        <f t="shared" si="1"/>
        <v>147178532.86905</v>
      </c>
      <c r="F13" s="41" t="s">
        <v>35</v>
      </c>
      <c r="G13" s="42">
        <v>97.381</v>
      </c>
      <c r="H13" s="43">
        <v>213.98950000000002</v>
      </c>
      <c r="I13" s="43">
        <v>213.98950000000002</v>
      </c>
      <c r="J13" s="44">
        <f t="shared" si="7"/>
        <v>8.4511016591037453</v>
      </c>
      <c r="K13" s="45">
        <f t="shared" si="2"/>
        <v>7.1329833333333337</v>
      </c>
      <c r="L13" s="46">
        <f t="shared" si="3"/>
        <v>0</v>
      </c>
      <c r="M13" s="46">
        <f t="shared" si="4"/>
        <v>0</v>
      </c>
      <c r="N13" s="47">
        <v>0</v>
      </c>
      <c r="O13" s="38">
        <v>0</v>
      </c>
      <c r="P13" s="48">
        <f t="shared" si="5"/>
        <v>0</v>
      </c>
      <c r="Q13" s="49">
        <f t="shared" si="6"/>
        <v>1.1974461137182821</v>
      </c>
      <c r="R13" s="50"/>
      <c r="T13" s="53" t="s">
        <v>46</v>
      </c>
      <c r="U13" s="54">
        <v>0.4</v>
      </c>
    </row>
    <row r="14" spans="1:22" ht="14.7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4484690.6705527836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0.51340987089716394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48">
        <f t="shared" si="5"/>
        <v>0</v>
      </c>
      <c r="Q14" s="49">
        <f t="shared" si="6"/>
        <v>-4.4117647058823484E-2</v>
      </c>
      <c r="R14" s="50"/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332308092.9813562</v>
      </c>
      <c r="E15" s="40">
        <f t="shared" si="1"/>
        <v>280477999.71905416</v>
      </c>
      <c r="F15" s="41" t="s">
        <v>53</v>
      </c>
      <c r="G15" s="42">
        <v>11.5</v>
      </c>
      <c r="H15" s="43">
        <v>16.0441</v>
      </c>
      <c r="I15" s="43">
        <v>16.099024999999997</v>
      </c>
      <c r="J15" s="44">
        <f t="shared" si="7"/>
        <v>0.63579987283232409</v>
      </c>
      <c r="K15" s="45">
        <f t="shared" si="2"/>
        <v>0.53663416666666663</v>
      </c>
      <c r="L15" s="46">
        <f t="shared" si="3"/>
        <v>5.4924999999997226E-2</v>
      </c>
      <c r="M15" s="46">
        <f t="shared" si="4"/>
        <v>0.34233768176461893</v>
      </c>
      <c r="N15" s="47">
        <v>153900</v>
      </c>
      <c r="O15" s="38">
        <v>2477640</v>
      </c>
      <c r="P15" s="48">
        <f t="shared" si="5"/>
        <v>0</v>
      </c>
      <c r="Q15" s="49">
        <f t="shared" si="6"/>
        <v>0.39991521739130409</v>
      </c>
      <c r="R15" s="50"/>
      <c r="T15" s="53" t="s">
        <v>54</v>
      </c>
      <c r="U15" s="54">
        <f>((0.63+0.6)/100)*2</f>
        <v>2.46E-2</v>
      </c>
      <c r="V15" s="55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25922973.363900967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0.24446208468103425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8">
        <f t="shared" si="5"/>
        <v>0</v>
      </c>
      <c r="Q16" s="49">
        <f t="shared" si="6"/>
        <v>0.14842300556586285</v>
      </c>
      <c r="R16" s="50"/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37043005.89473518</v>
      </c>
      <c r="E17" s="40">
        <f t="shared" si="1"/>
        <v>31265408.265333332</v>
      </c>
      <c r="F17" s="41" t="s">
        <v>35</v>
      </c>
      <c r="G17" s="42">
        <v>1.9</v>
      </c>
      <c r="H17" s="43">
        <v>2.62</v>
      </c>
      <c r="I17" s="43">
        <v>2.62</v>
      </c>
      <c r="J17" s="44">
        <f t="shared" si="7"/>
        <v>0.10347183551927459</v>
      </c>
      <c r="K17" s="45">
        <f t="shared" si="2"/>
        <v>8.7333333333333332E-2</v>
      </c>
      <c r="L17" s="46">
        <f t="shared" si="3"/>
        <v>0</v>
      </c>
      <c r="M17" s="46">
        <f t="shared" si="4"/>
        <v>0</v>
      </c>
      <c r="N17" s="47">
        <v>0</v>
      </c>
      <c r="O17" s="38">
        <v>0</v>
      </c>
      <c r="P17" s="48">
        <f t="shared" si="5"/>
        <v>0</v>
      </c>
      <c r="Q17" s="49">
        <f t="shared" si="6"/>
        <v>0.3789473684210527</v>
      </c>
      <c r="R17" s="50"/>
      <c r="T17" s="53" t="s">
        <v>60</v>
      </c>
      <c r="U17" s="54">
        <v>0.16400000000000001</v>
      </c>
      <c r="W17" s="56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1406510328.0037215</v>
      </c>
      <c r="E18" s="40">
        <f t="shared" si="1"/>
        <v>1187136912.1449809</v>
      </c>
      <c r="F18" s="41" t="s">
        <v>35</v>
      </c>
      <c r="G18" s="42">
        <v>20.701700000000002</v>
      </c>
      <c r="H18" s="43">
        <v>26.899000000000001</v>
      </c>
      <c r="I18" s="43">
        <v>26.545722000000001</v>
      </c>
      <c r="J18" s="44">
        <f t="shared" si="7"/>
        <v>1.0483719772993851</v>
      </c>
      <c r="K18" s="45">
        <f t="shared" si="2"/>
        <v>0.88485740000000002</v>
      </c>
      <c r="L18" s="46">
        <f t="shared" si="3"/>
        <v>-0.35327799999999954</v>
      </c>
      <c r="M18" s="46">
        <f t="shared" si="4"/>
        <v>-1.3133499386594278</v>
      </c>
      <c r="N18" s="47">
        <v>349500</v>
      </c>
      <c r="O18" s="38">
        <v>9277730</v>
      </c>
      <c r="P18" s="48">
        <f t="shared" si="5"/>
        <v>0</v>
      </c>
      <c r="Q18" s="49">
        <f t="shared" si="6"/>
        <v>0.28229671959307678</v>
      </c>
      <c r="R18" s="50"/>
      <c r="T18" s="53" t="s">
        <v>62</v>
      </c>
      <c r="U18" s="54">
        <v>2.3702520000000001E-2</v>
      </c>
      <c r="W18" s="56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1206129076.8050528</v>
      </c>
      <c r="E19" s="40">
        <f t="shared" si="1"/>
        <v>1018009124.6957687</v>
      </c>
      <c r="F19" s="41" t="s">
        <v>64</v>
      </c>
      <c r="G19" s="42">
        <v>6.1399460000000001</v>
      </c>
      <c r="H19" s="43">
        <v>10.952199999999999</v>
      </c>
      <c r="I19" s="43">
        <v>10.206754</v>
      </c>
      <c r="J19" s="44">
        <f t="shared" si="7"/>
        <v>0.40309601949377782</v>
      </c>
      <c r="K19" s="45">
        <f t="shared" si="2"/>
        <v>0.34022513333333332</v>
      </c>
      <c r="L19" s="46">
        <f t="shared" si="3"/>
        <v>-0.74544599999999939</v>
      </c>
      <c r="M19" s="46">
        <f t="shared" si="4"/>
        <v>-6.8063585398367401</v>
      </c>
      <c r="N19" s="47">
        <v>146000</v>
      </c>
      <c r="O19" s="38">
        <v>1490186.15</v>
      </c>
      <c r="P19" s="48">
        <f t="shared" si="5"/>
        <v>0</v>
      </c>
      <c r="Q19" s="49">
        <f t="shared" si="6"/>
        <v>0.66235240505372528</v>
      </c>
      <c r="R19" s="50"/>
      <c r="S19" s="55"/>
      <c r="T19" s="53" t="s">
        <v>65</v>
      </c>
      <c r="U19" s="54">
        <v>0</v>
      </c>
      <c r="W19" s="56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271270820.81117946</v>
      </c>
      <c r="E20" s="40">
        <f t="shared" si="1"/>
        <v>228960710.88925979</v>
      </c>
      <c r="F20" s="41" t="s">
        <v>53</v>
      </c>
      <c r="G20" s="42">
        <v>12.45</v>
      </c>
      <c r="H20" s="43">
        <v>10</v>
      </c>
      <c r="I20" s="43">
        <v>10.222222</v>
      </c>
      <c r="J20" s="44">
        <f t="shared" si="7"/>
        <v>0.40370689825401151</v>
      </c>
      <c r="K20" s="45">
        <f t="shared" si="2"/>
        <v>0.34074073333333332</v>
      </c>
      <c r="L20" s="46">
        <f t="shared" si="3"/>
        <v>0.22222200000000036</v>
      </c>
      <c r="M20" s="46">
        <f t="shared" si="4"/>
        <v>2.2222200000000036</v>
      </c>
      <c r="N20" s="47">
        <v>900</v>
      </c>
      <c r="O20" s="38">
        <v>9200</v>
      </c>
      <c r="P20" s="48">
        <f t="shared" si="5"/>
        <v>0</v>
      </c>
      <c r="Q20" s="49">
        <f t="shared" si="6"/>
        <v>-0.17893799196787141</v>
      </c>
      <c r="R20" s="50"/>
      <c r="T20" s="53" t="s">
        <v>68</v>
      </c>
      <c r="U20" s="54">
        <v>1.5</v>
      </c>
      <c r="W20" s="57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2572425.4674201938</v>
      </c>
      <c r="E21" s="40">
        <f t="shared" si="1"/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 t="shared" si="7"/>
        <v>2.3616854061269541E-2</v>
      </c>
      <c r="K21" s="45">
        <f t="shared" si="2"/>
        <v>1.9933333333333334E-2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48">
        <f t="shared" si="5"/>
        <v>0</v>
      </c>
      <c r="Q21" s="49">
        <f t="shared" si="6"/>
        <v>0.70857142857142863</v>
      </c>
      <c r="R21" s="50"/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103572291.19028154</v>
      </c>
      <c r="E22" s="40">
        <f t="shared" si="1"/>
        <v>87418120.933333322</v>
      </c>
      <c r="F22" s="41" t="s">
        <v>53</v>
      </c>
      <c r="G22" s="42">
        <v>2.85</v>
      </c>
      <c r="H22" s="43">
        <v>3.8</v>
      </c>
      <c r="I22" s="43">
        <v>3.8</v>
      </c>
      <c r="J22" s="44">
        <f t="shared" si="7"/>
        <v>0.15007365456994023</v>
      </c>
      <c r="K22" s="45">
        <f t="shared" si="2"/>
        <v>0.12666666666666665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48">
        <f t="shared" si="5"/>
        <v>0</v>
      </c>
      <c r="Q22" s="49">
        <f t="shared" si="6"/>
        <v>0.33333333333333326</v>
      </c>
      <c r="R22" s="50"/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48816412.252329104</v>
      </c>
      <c r="E23" s="40">
        <f t="shared" si="1"/>
        <v>41202516.43333333</v>
      </c>
      <c r="F23" s="41" t="s">
        <v>76</v>
      </c>
      <c r="G23" s="42">
        <v>0.88420599999999994</v>
      </c>
      <c r="H23" s="43">
        <v>1</v>
      </c>
      <c r="I23" s="43">
        <v>1</v>
      </c>
      <c r="J23" s="44">
        <f t="shared" si="7"/>
        <v>3.9493066992089536E-2</v>
      </c>
      <c r="K23" s="45">
        <f t="shared" si="2"/>
        <v>3.3333333333333333E-2</v>
      </c>
      <c r="L23" s="46">
        <f t="shared" si="3"/>
        <v>0</v>
      </c>
      <c r="M23" s="46">
        <f t="shared" si="4"/>
        <v>0</v>
      </c>
      <c r="N23" s="47">
        <v>1500</v>
      </c>
      <c r="O23" s="38">
        <v>1500</v>
      </c>
      <c r="P23" s="48">
        <f t="shared" si="5"/>
        <v>0</v>
      </c>
      <c r="Q23" s="49">
        <f t="shared" si="6"/>
        <v>0.13095817038111046</v>
      </c>
      <c r="R23" s="50"/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2129748.8087508739</v>
      </c>
      <c r="E24" s="40">
        <f t="shared" si="1"/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 t="shared" si="7"/>
        <v>3.9690532327049987E-3</v>
      </c>
      <c r="K24" s="45">
        <f t="shared" si="2"/>
        <v>3.3500000000000001E-3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8">
        <f t="shared" si="5"/>
        <v>0</v>
      </c>
      <c r="Q24" s="49">
        <f t="shared" si="6"/>
        <v>4.9999999999998934E-3</v>
      </c>
      <c r="R24" s="50"/>
      <c r="T24" s="58" t="s">
        <v>80</v>
      </c>
      <c r="U24" s="59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60983792.519223243</v>
      </c>
      <c r="E25" s="40">
        <f t="shared" si="1"/>
        <v>51472150.399999999</v>
      </c>
      <c r="F25" s="41" t="s">
        <v>35</v>
      </c>
      <c r="G25" s="42">
        <v>8.1687659999999997</v>
      </c>
      <c r="H25" s="43">
        <v>8.6020000000000003</v>
      </c>
      <c r="I25" s="43">
        <v>8</v>
      </c>
      <c r="J25" s="44">
        <f t="shared" si="7"/>
        <v>0.31594453593671629</v>
      </c>
      <c r="K25" s="45">
        <f t="shared" si="2"/>
        <v>0.26666666666666666</v>
      </c>
      <c r="L25" s="46">
        <f t="shared" si="3"/>
        <v>-0.60200000000000031</v>
      </c>
      <c r="M25" s="46">
        <f t="shared" si="4"/>
        <v>-6.9983724715182554</v>
      </c>
      <c r="N25" s="47">
        <v>100</v>
      </c>
      <c r="O25" s="38">
        <v>800</v>
      </c>
      <c r="P25" s="48">
        <f t="shared" si="5"/>
        <v>0</v>
      </c>
      <c r="Q25" s="49">
        <f t="shared" si="6"/>
        <v>-2.0659913627101067E-2</v>
      </c>
      <c r="R25" s="50"/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65248263.087449498</v>
      </c>
      <c r="E26" s="40">
        <f t="shared" si="1"/>
        <v>55071491.493699998</v>
      </c>
      <c r="F26" s="41" t="s">
        <v>76</v>
      </c>
      <c r="G26" s="42">
        <v>1.6675</v>
      </c>
      <c r="H26" s="43">
        <v>1.1517379999999999</v>
      </c>
      <c r="I26" s="43">
        <v>0.97900000000000009</v>
      </c>
      <c r="J26" s="44">
        <f t="shared" si="7"/>
        <v>3.8663712585255659E-2</v>
      </c>
      <c r="K26" s="45">
        <f t="shared" si="2"/>
        <v>3.2633333333333334E-2</v>
      </c>
      <c r="L26" s="46">
        <f t="shared" si="3"/>
        <v>-0.17273799999999984</v>
      </c>
      <c r="M26" s="46">
        <f t="shared" si="4"/>
        <v>-14.99802906563818</v>
      </c>
      <c r="N26" s="47">
        <v>400</v>
      </c>
      <c r="O26" s="38">
        <v>391.6</v>
      </c>
      <c r="P26" s="48">
        <f t="shared" si="5"/>
        <v>0</v>
      </c>
      <c r="Q26" s="49">
        <f t="shared" si="6"/>
        <v>-0.41289355322338828</v>
      </c>
      <c r="R26" s="50"/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17395673.806223318</v>
      </c>
      <c r="E27" s="40">
        <f t="shared" si="1"/>
        <v>14682470.562666668</v>
      </c>
      <c r="F27" s="41" t="s">
        <v>49</v>
      </c>
      <c r="G27" s="42">
        <v>1.7994999999999999</v>
      </c>
      <c r="H27" s="43">
        <v>1.84</v>
      </c>
      <c r="I27" s="43">
        <v>1.84</v>
      </c>
      <c r="J27" s="44">
        <f t="shared" si="7"/>
        <v>7.2667243265444756E-2</v>
      </c>
      <c r="K27" s="45">
        <f t="shared" si="2"/>
        <v>6.1333333333333337E-2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48">
        <f t="shared" si="5"/>
        <v>0</v>
      </c>
      <c r="Q27" s="49">
        <f t="shared" si="6"/>
        <v>2.2506251736593708E-2</v>
      </c>
      <c r="R27" s="50"/>
      <c r="T27" s="60" t="s">
        <v>44</v>
      </c>
      <c r="U27" s="60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27516005.178330943</v>
      </c>
      <c r="E28" s="40">
        <f t="shared" si="1"/>
        <v>23224333.850666668</v>
      </c>
      <c r="F28" s="41" t="s">
        <v>35</v>
      </c>
      <c r="G28" s="42">
        <v>3.1361369999999997</v>
      </c>
      <c r="H28" s="43">
        <v>2.7250529999999999</v>
      </c>
      <c r="I28" s="43">
        <v>2.72</v>
      </c>
      <c r="J28" s="44">
        <f t="shared" si="7"/>
        <v>0.10742114221848355</v>
      </c>
      <c r="K28" s="45">
        <f t="shared" si="2"/>
        <v>9.0666666666666673E-2</v>
      </c>
      <c r="L28" s="46">
        <f t="shared" si="3"/>
        <v>-5.0529999999997521E-3</v>
      </c>
      <c r="M28" s="46">
        <f t="shared" si="4"/>
        <v>-0.18542758617904873</v>
      </c>
      <c r="N28" s="47">
        <v>15600</v>
      </c>
      <c r="O28" s="38">
        <v>42432</v>
      </c>
      <c r="P28" s="48">
        <f t="shared" si="5"/>
        <v>0</v>
      </c>
      <c r="Q28" s="49">
        <f t="shared" si="6"/>
        <v>-0.13269095068232017</v>
      </c>
      <c r="R28" s="50"/>
      <c r="T28" s="60"/>
      <c r="U28" s="60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22382145.806428682</v>
      </c>
      <c r="E29" s="40">
        <f t="shared" si="1"/>
        <v>18891202.525000002</v>
      </c>
      <c r="F29" s="41" t="s">
        <v>49</v>
      </c>
      <c r="G29" s="42">
        <v>0.8</v>
      </c>
      <c r="H29" s="43">
        <v>0.75</v>
      </c>
      <c r="I29" s="43">
        <v>0.75</v>
      </c>
      <c r="J29" s="44">
        <f t="shared" si="7"/>
        <v>2.9619800244067154E-2</v>
      </c>
      <c r="K29" s="45">
        <f t="shared" si="2"/>
        <v>2.5000000000000001E-2</v>
      </c>
      <c r="L29" s="46">
        <f t="shared" si="3"/>
        <v>0</v>
      </c>
      <c r="M29" s="46">
        <f t="shared" si="4"/>
        <v>0</v>
      </c>
      <c r="N29" s="47">
        <v>0</v>
      </c>
      <c r="O29" s="38">
        <v>0</v>
      </c>
      <c r="P29" s="48">
        <f t="shared" si="5"/>
        <v>0</v>
      </c>
      <c r="Q29" s="49">
        <f t="shared" si="6"/>
        <v>-6.25E-2</v>
      </c>
      <c r="R29" s="50"/>
      <c r="T29" s="60"/>
      <c r="U29" s="60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80129137.541714534</v>
      </c>
      <c r="E30" s="40">
        <f t="shared" si="1"/>
        <v>67631395.959333315</v>
      </c>
      <c r="F30" s="41" t="s">
        <v>53</v>
      </c>
      <c r="G30" s="42">
        <v>5.15</v>
      </c>
      <c r="H30" s="43">
        <v>5.0199999999999996</v>
      </c>
      <c r="I30" s="43">
        <v>5.0199999999999996</v>
      </c>
      <c r="J30" s="44">
        <f t="shared" si="7"/>
        <v>0.19825519630028945</v>
      </c>
      <c r="K30" s="45">
        <f t="shared" si="2"/>
        <v>0.16733333333333331</v>
      </c>
      <c r="L30" s="46">
        <f t="shared" si="3"/>
        <v>0</v>
      </c>
      <c r="M30" s="46">
        <f t="shared" si="4"/>
        <v>0</v>
      </c>
      <c r="N30" s="47">
        <v>0</v>
      </c>
      <c r="O30" s="38">
        <v>0</v>
      </c>
      <c r="P30" s="48">
        <f t="shared" si="5"/>
        <v>0</v>
      </c>
      <c r="Q30" s="49">
        <f t="shared" si="6"/>
        <v>-2.5242718446602086E-2</v>
      </c>
      <c r="R30" s="50"/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48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14238908.959634611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4.4901247585986282E-3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8">
        <f t="shared" ref="P32:P38" si="14">(R32)/J32</f>
        <v>0</v>
      </c>
      <c r="Q32" s="49">
        <f t="shared" ref="Q32:Q48" si="15">I32/G32-1</f>
        <v>-0.12543749663464132</v>
      </c>
      <c r="R32" s="50"/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15497003.175242584</v>
      </c>
      <c r="E33" s="40">
        <f t="shared" si="9"/>
        <v>13079935.59</v>
      </c>
      <c r="F33" s="41" t="s">
        <v>42</v>
      </c>
      <c r="G33" s="42">
        <v>1.4</v>
      </c>
      <c r="H33" s="43">
        <v>1.3246449999999999</v>
      </c>
      <c r="I33" s="43">
        <v>1.51</v>
      </c>
      <c r="J33" s="44">
        <f t="shared" si="10"/>
        <v>5.9634531158055198E-2</v>
      </c>
      <c r="K33" s="45">
        <f t="shared" si="11"/>
        <v>5.0333333333333334E-2</v>
      </c>
      <c r="L33" s="46">
        <f t="shared" si="12"/>
        <v>0.18535500000000016</v>
      </c>
      <c r="M33" s="46">
        <f t="shared" si="13"/>
        <v>13.992805619618856</v>
      </c>
      <c r="N33" s="47">
        <v>550000</v>
      </c>
      <c r="O33" s="38">
        <v>830500</v>
      </c>
      <c r="P33" s="48">
        <f t="shared" si="14"/>
        <v>0</v>
      </c>
      <c r="Q33" s="49">
        <f t="shared" si="15"/>
        <v>7.8571428571428736E-2</v>
      </c>
      <c r="R33" s="50"/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3614488.5252893856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2.9619800244067154E-2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8">
        <f t="shared" si="14"/>
        <v>0</v>
      </c>
      <c r="Q34" s="49">
        <f t="shared" si="15"/>
        <v>0.15384615384615374</v>
      </c>
      <c r="R34" s="50"/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172187605.7351602</v>
      </c>
      <c r="E35" s="40">
        <f t="shared" si="9"/>
        <v>145331504.86864728</v>
      </c>
      <c r="F35" s="41" t="s">
        <v>108</v>
      </c>
      <c r="G35" s="42">
        <v>1.44</v>
      </c>
      <c r="H35" s="43">
        <v>1.7279599999999999</v>
      </c>
      <c r="I35" s="43">
        <v>1.7471260000000002</v>
      </c>
      <c r="J35" s="44">
        <f t="shared" si="10"/>
        <v>6.8999364161621432E-2</v>
      </c>
      <c r="K35" s="45">
        <f t="shared" si="11"/>
        <v>5.8237533333333341E-2</v>
      </c>
      <c r="L35" s="46">
        <f t="shared" si="12"/>
        <v>1.9166000000000238E-2</v>
      </c>
      <c r="M35" s="46">
        <f t="shared" si="13"/>
        <v>1.1091691937313501</v>
      </c>
      <c r="N35" s="47">
        <v>17400</v>
      </c>
      <c r="O35" s="38">
        <v>30400</v>
      </c>
      <c r="P35" s="48">
        <f t="shared" si="14"/>
        <v>0</v>
      </c>
      <c r="Q35" s="49">
        <f t="shared" si="15"/>
        <v>0.2132819444444447</v>
      </c>
      <c r="R35" s="50"/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39803210.722223379</v>
      </c>
      <c r="E36" s="40">
        <f t="shared" si="9"/>
        <v>33595103.9458782</v>
      </c>
      <c r="F36" s="41" t="s">
        <v>35</v>
      </c>
      <c r="G36" s="42">
        <v>3.6056249999999999</v>
      </c>
      <c r="H36" s="43">
        <v>3.9758620000000002</v>
      </c>
      <c r="I36" s="43">
        <v>3.9758620000000002</v>
      </c>
      <c r="J36" s="44">
        <f t="shared" si="10"/>
        <v>0.1570189843173031</v>
      </c>
      <c r="K36" s="45">
        <f t="shared" si="11"/>
        <v>0.13252873333333334</v>
      </c>
      <c r="L36" s="46">
        <f t="shared" si="12"/>
        <v>0</v>
      </c>
      <c r="M36" s="46">
        <f t="shared" si="13"/>
        <v>0</v>
      </c>
      <c r="N36" s="47">
        <v>0</v>
      </c>
      <c r="O36" s="38">
        <v>0</v>
      </c>
      <c r="P36" s="48">
        <f t="shared" si="14"/>
        <v>0</v>
      </c>
      <c r="Q36" s="49">
        <f t="shared" si="15"/>
        <v>0.10268316866007976</v>
      </c>
      <c r="R36" s="50"/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5633878.2631849581</v>
      </c>
      <c r="E37" s="40">
        <f t="shared" si="9"/>
        <v>4755162.2704760004</v>
      </c>
      <c r="F37" s="41" t="s">
        <v>35</v>
      </c>
      <c r="G37" s="42">
        <v>2.5099999999999997E-2</v>
      </c>
      <c r="H37" s="43">
        <v>3.3500000000000002E-2</v>
      </c>
      <c r="I37" s="43">
        <v>3.0255000000000001E-2</v>
      </c>
      <c r="J37" s="44">
        <f t="shared" si="10"/>
        <v>1.194862741845669E-3</v>
      </c>
      <c r="K37" s="45">
        <f t="shared" si="11"/>
        <v>1.0085000000000001E-3</v>
      </c>
      <c r="L37" s="46">
        <f t="shared" si="12"/>
        <v>-3.2450000000000014E-3</v>
      </c>
      <c r="M37" s="46">
        <f t="shared" si="13"/>
        <v>-9.6865671641791078</v>
      </c>
      <c r="N37" s="47">
        <v>28100</v>
      </c>
      <c r="O37" s="38">
        <v>850.17</v>
      </c>
      <c r="P37" s="48">
        <f t="shared" si="14"/>
        <v>0</v>
      </c>
      <c r="Q37" s="49">
        <f t="shared" si="15"/>
        <v>0.20537848605577702</v>
      </c>
      <c r="R37" s="50"/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12681596.850822836</v>
      </c>
      <c r="E38" s="40">
        <f t="shared" si="9"/>
        <v>10703648.190000001</v>
      </c>
      <c r="F38" s="41" t="s">
        <v>108</v>
      </c>
      <c r="G38" s="42">
        <v>0.61</v>
      </c>
      <c r="H38" s="43">
        <v>1.1445000000000001</v>
      </c>
      <c r="I38" s="43">
        <v>1.23</v>
      </c>
      <c r="J38" s="44">
        <f t="shared" si="10"/>
        <v>4.8576472400270125E-2</v>
      </c>
      <c r="K38" s="45">
        <f t="shared" si="11"/>
        <v>4.1000000000000002E-2</v>
      </c>
      <c r="L38" s="46">
        <f t="shared" si="12"/>
        <v>8.5499999999999909E-2</v>
      </c>
      <c r="M38" s="46">
        <f t="shared" si="13"/>
        <v>7.470511140235903</v>
      </c>
      <c r="N38" s="47">
        <v>200</v>
      </c>
      <c r="O38" s="38">
        <v>246</v>
      </c>
      <c r="P38" s="48">
        <f t="shared" si="14"/>
        <v>0</v>
      </c>
      <c r="Q38" s="49">
        <f t="shared" si="15"/>
        <v>1.0163934426229506</v>
      </c>
      <c r="R38" s="50"/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20188818.312839787</v>
      </c>
      <c r="E39" s="40">
        <f t="shared" si="9"/>
        <v>17039968.320586167</v>
      </c>
      <c r="F39" s="41" t="s">
        <v>64</v>
      </c>
      <c r="G39" s="42">
        <v>0.11650199999999999</v>
      </c>
      <c r="H39" s="43">
        <v>0.120061</v>
      </c>
      <c r="I39" s="43">
        <v>0.121865</v>
      </c>
      <c r="J39" s="44">
        <f t="shared" si="10"/>
        <v>4.8128226089909918E-3</v>
      </c>
      <c r="K39" s="45">
        <f t="shared" si="11"/>
        <v>4.0621666666666671E-3</v>
      </c>
      <c r="L39" s="46">
        <f t="shared" si="12"/>
        <v>1.804E-3</v>
      </c>
      <c r="M39" s="46">
        <f t="shared" si="13"/>
        <v>1.5025695271570285</v>
      </c>
      <c r="N39" s="47">
        <v>6300</v>
      </c>
      <c r="O39" s="38">
        <v>767.75</v>
      </c>
      <c r="P39" s="48">
        <v>0</v>
      </c>
      <c r="Q39" s="49">
        <f t="shared" si="15"/>
        <v>4.6033544488506717E-2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66639005.4526769</v>
      </c>
      <c r="E40" s="40">
        <f t="shared" si="9"/>
        <v>56245319.772222899</v>
      </c>
      <c r="F40" s="41" t="s">
        <v>35</v>
      </c>
      <c r="G40" s="42">
        <v>2.6005000000000003</v>
      </c>
      <c r="H40" s="43">
        <v>4.05</v>
      </c>
      <c r="I40" s="43">
        <v>4.6493009999999995</v>
      </c>
      <c r="J40" s="44">
        <f t="shared" si="10"/>
        <v>0.18361515585938884</v>
      </c>
      <c r="K40" s="45">
        <f t="shared" si="11"/>
        <v>0.1549767</v>
      </c>
      <c r="L40" s="46">
        <f t="shared" si="12"/>
        <v>0.59930099999999964</v>
      </c>
      <c r="M40" s="46">
        <f t="shared" si="13"/>
        <v>14.797555555555547</v>
      </c>
      <c r="N40" s="47">
        <v>479000</v>
      </c>
      <c r="O40" s="38">
        <v>2227015</v>
      </c>
      <c r="P40" s="48">
        <f t="shared" ref="P40:P47" si="16">(R40)/J40</f>
        <v>0</v>
      </c>
      <c r="Q40" s="49">
        <f t="shared" si="15"/>
        <v>0.7878488752163042</v>
      </c>
      <c r="R40" s="50"/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17129348.212326575</v>
      </c>
      <c r="E41" s="40">
        <f t="shared" si="9"/>
        <v>14457683.771650001</v>
      </c>
      <c r="F41" s="41" t="s">
        <v>42</v>
      </c>
      <c r="G41" s="42">
        <v>0.1</v>
      </c>
      <c r="H41" s="43">
        <v>9.5000000000000001E-2</v>
      </c>
      <c r="I41" s="43">
        <v>0.10050000000000001</v>
      </c>
      <c r="J41" s="44">
        <f t="shared" si="10"/>
        <v>3.9690532327049987E-3</v>
      </c>
      <c r="K41" s="45">
        <f t="shared" si="11"/>
        <v>3.3500000000000001E-3</v>
      </c>
      <c r="L41" s="46">
        <f t="shared" si="12"/>
        <v>5.5000000000000049E-3</v>
      </c>
      <c r="M41" s="46">
        <f t="shared" si="13"/>
        <v>5.789473684210531</v>
      </c>
      <c r="N41" s="47">
        <v>100000</v>
      </c>
      <c r="O41" s="38">
        <v>10050</v>
      </c>
      <c r="P41" s="48">
        <f t="shared" si="16"/>
        <v>0</v>
      </c>
      <c r="Q41" s="49">
        <f t="shared" si="15"/>
        <v>4.9999999999998934E-3</v>
      </c>
      <c r="R41" s="50"/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12614982.524317855</v>
      </c>
      <c r="E42" s="40">
        <f t="shared" si="9"/>
        <v>10647423.700000001</v>
      </c>
      <c r="F42" s="41" t="s">
        <v>49</v>
      </c>
      <c r="G42" s="42">
        <v>1.7452379999999998</v>
      </c>
      <c r="H42" s="43">
        <v>3</v>
      </c>
      <c r="I42" s="43">
        <v>3</v>
      </c>
      <c r="J42" s="44">
        <f t="shared" si="10"/>
        <v>0.11847920097626861</v>
      </c>
      <c r="K42" s="45">
        <f t="shared" si="11"/>
        <v>0.1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48">
        <f t="shared" si="16"/>
        <v>0</v>
      </c>
      <c r="Q42" s="49">
        <f t="shared" si="15"/>
        <v>0.7189632588793049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2141671.2499950631</v>
      </c>
      <c r="E43" s="40">
        <f t="shared" si="9"/>
        <v>1807634.7851333332</v>
      </c>
      <c r="F43" s="41" t="s">
        <v>42</v>
      </c>
      <c r="G43" s="42">
        <v>0.03</v>
      </c>
      <c r="H43" s="43">
        <v>3.0499999999999999E-2</v>
      </c>
      <c r="I43" s="43">
        <v>3.0499999999999999E-2</v>
      </c>
      <c r="J43" s="44">
        <f t="shared" si="10"/>
        <v>1.2045385432587308E-3</v>
      </c>
      <c r="K43" s="45">
        <f t="shared" si="11"/>
        <v>1.0166666666666666E-3</v>
      </c>
      <c r="L43" s="46">
        <f t="shared" si="12"/>
        <v>0</v>
      </c>
      <c r="M43" s="46">
        <f t="shared" si="13"/>
        <v>0</v>
      </c>
      <c r="N43" s="47">
        <v>0</v>
      </c>
      <c r="O43" s="38">
        <v>0</v>
      </c>
      <c r="P43" s="48">
        <f t="shared" si="16"/>
        <v>0</v>
      </c>
      <c r="Q43" s="49">
        <f t="shared" si="15"/>
        <v>1.6666666666666607E-2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29174342.098038141</v>
      </c>
      <c r="E44" s="40">
        <f t="shared" si="9"/>
        <v>24624019.961007133</v>
      </c>
      <c r="F44" s="41" t="s">
        <v>53</v>
      </c>
      <c r="G44" s="42">
        <v>4.5</v>
      </c>
      <c r="H44" s="43">
        <v>4.2166670000000002</v>
      </c>
      <c r="I44" s="43">
        <v>4.2166670000000002</v>
      </c>
      <c r="J44" s="44">
        <f t="shared" si="10"/>
        <v>0.16652911231433321</v>
      </c>
      <c r="K44" s="45">
        <f t="shared" si="11"/>
        <v>0.14055556666666666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48">
        <f t="shared" si="16"/>
        <v>0</v>
      </c>
      <c r="Q44" s="49">
        <f t="shared" si="15"/>
        <v>-6.2962888888888902E-2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329.37525514495928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7.1087520585761164E-7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8">
        <f t="shared" si="16"/>
        <v>0</v>
      </c>
      <c r="Q45" s="49">
        <f t="shared" si="15"/>
        <v>0</v>
      </c>
      <c r="R45" s="50">
        <v>0</v>
      </c>
      <c r="V45" s="61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1819840.5269954859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3.1594453593671631E-3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8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53855277.241330281</v>
      </c>
      <c r="E47" s="40">
        <f t="shared" si="9"/>
        <v>45455469.650000006</v>
      </c>
      <c r="F47" s="41" t="s">
        <v>53</v>
      </c>
      <c r="G47" s="42">
        <v>0.9998999999999999</v>
      </c>
      <c r="H47" s="43">
        <v>0.74957499999999999</v>
      </c>
      <c r="I47" s="43">
        <v>0.75</v>
      </c>
      <c r="J47" s="44">
        <f t="shared" si="10"/>
        <v>2.9619800244067154E-2</v>
      </c>
      <c r="K47" s="45">
        <f t="shared" si="11"/>
        <v>2.5000000000000001E-2</v>
      </c>
      <c r="L47" s="46">
        <f t="shared" si="12"/>
        <v>4.250000000000087E-4</v>
      </c>
      <c r="M47" s="46">
        <f t="shared" si="13"/>
        <v>5.6698795984392314E-2</v>
      </c>
      <c r="N47" s="47">
        <v>1000</v>
      </c>
      <c r="O47" s="38">
        <v>750</v>
      </c>
      <c r="P47" s="48">
        <f t="shared" si="16"/>
        <v>0</v>
      </c>
      <c r="Q47" s="49">
        <f t="shared" si="15"/>
        <v>-0.24992499249924982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4867718.9199436037</v>
      </c>
      <c r="E48" s="40">
        <f t="shared" si="9"/>
        <v>4108500.8000000003</v>
      </c>
      <c r="F48" s="41" t="s">
        <v>53</v>
      </c>
      <c r="G48" s="42">
        <v>1.4503460000000001</v>
      </c>
      <c r="H48" s="43">
        <v>1.2</v>
      </c>
      <c r="I48" s="43">
        <v>1.2</v>
      </c>
      <c r="J48" s="44">
        <f t="shared" si="10"/>
        <v>4.7391680390507444E-2</v>
      </c>
      <c r="K48" s="45">
        <f t="shared" si="11"/>
        <v>0.04</v>
      </c>
      <c r="L48" s="46">
        <f t="shared" si="12"/>
        <v>0</v>
      </c>
      <c r="M48" s="46">
        <f t="shared" si="13"/>
        <v>0</v>
      </c>
      <c r="N48" s="47">
        <v>500</v>
      </c>
      <c r="O48" s="38">
        <v>600</v>
      </c>
      <c r="P48" s="48">
        <v>0</v>
      </c>
      <c r="Q48" s="49">
        <f t="shared" si="15"/>
        <v>-0.17261122518350802</v>
      </c>
      <c r="R48" s="50"/>
    </row>
    <row r="49" spans="1:26" ht="13.8" thickBot="1" x14ac:dyDescent="0.4">
      <c r="A49" s="62"/>
      <c r="B49" s="63" t="s">
        <v>96</v>
      </c>
      <c r="C49" s="64"/>
      <c r="D49" s="65"/>
      <c r="E49" s="65"/>
      <c r="F49" s="66"/>
      <c r="G49" s="66"/>
      <c r="H49" s="46"/>
      <c r="I49" s="46"/>
      <c r="J49" s="46"/>
      <c r="K49" s="46"/>
      <c r="L49" s="46"/>
      <c r="M49" s="46"/>
      <c r="N49" s="66">
        <f>SUM(N10:N48)</f>
        <v>1851000</v>
      </c>
      <c r="O49" s="67">
        <f>SUM(O10:O48)</f>
        <v>16408061.67</v>
      </c>
      <c r="P49" s="67"/>
      <c r="Q49" s="68"/>
    </row>
    <row r="50" spans="1:26" ht="13.2" x14ac:dyDescent="0.35">
      <c r="A50" s="69"/>
      <c r="B50" s="70" t="s">
        <v>96</v>
      </c>
      <c r="C50" s="71"/>
      <c r="D50" s="71"/>
      <c r="E50" s="71"/>
      <c r="F50" s="72"/>
      <c r="G50" s="72"/>
      <c r="H50" s="73"/>
      <c r="I50" s="73"/>
      <c r="J50" s="73"/>
      <c r="K50" s="73"/>
      <c r="L50" s="73"/>
      <c r="M50" s="73"/>
      <c r="N50" s="72"/>
      <c r="O50" s="72"/>
      <c r="P50" s="72"/>
      <c r="Q50" s="74"/>
    </row>
    <row r="51" spans="1:26" ht="12.6" x14ac:dyDescent="0.3">
      <c r="A51" s="143" t="s">
        <v>138</v>
      </c>
      <c r="B51" s="144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6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6" si="17">C52*J52</f>
        <v>62371313.039999999</v>
      </c>
      <c r="E52" s="40">
        <f>C52*K52</f>
        <v>0</v>
      </c>
      <c r="F52" s="41" t="s">
        <v>108</v>
      </c>
      <c r="G52" s="75">
        <v>4</v>
      </c>
      <c r="H52" s="43">
        <v>4.22</v>
      </c>
      <c r="I52" s="43">
        <v>4.22</v>
      </c>
      <c r="J52" s="44">
        <f t="shared" ref="J52:J66" si="18">I52</f>
        <v>4.22</v>
      </c>
      <c r="K52" s="40">
        <v>0</v>
      </c>
      <c r="L52" s="46">
        <f t="shared" ref="L52:L66" si="19">I52-H52</f>
        <v>0</v>
      </c>
      <c r="M52" s="46">
        <f t="shared" ref="M52:M66" si="20">((I52-H52)/H52)*100</f>
        <v>0</v>
      </c>
      <c r="N52" s="47">
        <v>5</v>
      </c>
      <c r="O52" s="38">
        <v>21.1</v>
      </c>
      <c r="P52" s="48">
        <v>0</v>
      </c>
      <c r="Q52" s="49">
        <f t="shared" ref="Q52:Q66" si="21">J52/G52-1</f>
        <v>5.4999999999999938E-2</v>
      </c>
      <c r="R52" s="55"/>
      <c r="X52" s="55"/>
      <c r="Z52" s="55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76634580.847299993</v>
      </c>
      <c r="E53" s="40">
        <v>0</v>
      </c>
      <c r="F53" s="41" t="s">
        <v>108</v>
      </c>
      <c r="G53" s="75">
        <v>0.1</v>
      </c>
      <c r="H53" s="43">
        <v>0.1368</v>
      </c>
      <c r="I53" s="43">
        <v>0.1381</v>
      </c>
      <c r="J53" s="44">
        <f t="shared" si="18"/>
        <v>0.1381</v>
      </c>
      <c r="K53" s="40">
        <v>0</v>
      </c>
      <c r="L53" s="46">
        <f t="shared" si="19"/>
        <v>1.2999999999999956E-3</v>
      </c>
      <c r="M53" s="46">
        <f t="shared" si="20"/>
        <v>0.95029239766081552</v>
      </c>
      <c r="N53" s="47">
        <v>83301</v>
      </c>
      <c r="O53" s="38">
        <v>11506.55</v>
      </c>
      <c r="P53" s="41">
        <f t="shared" ref="P53:P66" si="22">(R53)/J53</f>
        <v>0</v>
      </c>
      <c r="Q53" s="49">
        <f t="shared" si="21"/>
        <v>0.38100000000000001</v>
      </c>
      <c r="X53" s="55"/>
      <c r="Z53" s="55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>C54*J54</f>
        <v>72419226</v>
      </c>
      <c r="E54" s="40">
        <v>0</v>
      </c>
      <c r="F54" s="41" t="s">
        <v>42</v>
      </c>
      <c r="G54" s="75">
        <v>39.9</v>
      </c>
      <c r="H54" s="43">
        <v>68.952200000000005</v>
      </c>
      <c r="I54" s="43">
        <v>69</v>
      </c>
      <c r="J54" s="44">
        <f>I54</f>
        <v>69</v>
      </c>
      <c r="K54" s="40">
        <v>0</v>
      </c>
      <c r="L54" s="46">
        <f t="shared" si="19"/>
        <v>4.779999999999518E-2</v>
      </c>
      <c r="M54" s="46">
        <f t="shared" si="20"/>
        <v>6.9323386345896396E-2</v>
      </c>
      <c r="N54" s="47">
        <v>1</v>
      </c>
      <c r="O54" s="38">
        <v>69</v>
      </c>
      <c r="P54" s="41">
        <f t="shared" si="22"/>
        <v>0</v>
      </c>
      <c r="Q54" s="49">
        <f>J54/G54-1</f>
        <v>0.72932330827067671</v>
      </c>
      <c r="R54" s="55"/>
      <c r="X54" s="55"/>
      <c r="Z54" s="55"/>
    </row>
    <row r="55" spans="1:26" x14ac:dyDescent="0.25">
      <c r="A55" s="36" t="s">
        <v>196</v>
      </c>
      <c r="B55" s="37" t="s">
        <v>197</v>
      </c>
      <c r="C55" s="41">
        <v>2992163203</v>
      </c>
      <c r="D55" s="39">
        <f>C55*J55</f>
        <v>900641124.10299993</v>
      </c>
      <c r="E55" s="40"/>
      <c r="F55" s="41" t="s">
        <v>64</v>
      </c>
      <c r="G55" s="75"/>
      <c r="H55" s="43" t="s">
        <v>198</v>
      </c>
      <c r="I55" s="43">
        <v>0.30099999999999999</v>
      </c>
      <c r="J55" s="44">
        <f>I55</f>
        <v>0.30099999999999999</v>
      </c>
      <c r="K55" s="40">
        <v>0</v>
      </c>
      <c r="L55" s="46">
        <v>0</v>
      </c>
      <c r="M55" s="46">
        <v>0</v>
      </c>
      <c r="N55" s="47">
        <v>1257887</v>
      </c>
      <c r="O55" s="38">
        <f>N55*I55</f>
        <v>378623.98699999996</v>
      </c>
      <c r="P55" s="41">
        <v>0</v>
      </c>
      <c r="Q55" s="49">
        <v>0</v>
      </c>
      <c r="R55" s="55"/>
      <c r="X55" s="55"/>
      <c r="Z55" s="55"/>
    </row>
    <row r="56" spans="1:26" x14ac:dyDescent="0.25">
      <c r="A56" s="36" t="s">
        <v>143</v>
      </c>
      <c r="B56" s="37" t="s">
        <v>144</v>
      </c>
      <c r="C56" s="41">
        <v>609740943</v>
      </c>
      <c r="D56" s="39">
        <f t="shared" si="17"/>
        <v>18292228.289999999</v>
      </c>
      <c r="E56" s="40">
        <v>0</v>
      </c>
      <c r="F56" s="41" t="s">
        <v>35</v>
      </c>
      <c r="G56" s="75">
        <v>2.3E-2</v>
      </c>
      <c r="H56" s="43">
        <v>0.03</v>
      </c>
      <c r="I56" s="43">
        <v>0.03</v>
      </c>
      <c r="J56" s="44">
        <f t="shared" si="18"/>
        <v>0.03</v>
      </c>
      <c r="K56" s="40">
        <v>0</v>
      </c>
      <c r="L56" s="46">
        <f t="shared" si="19"/>
        <v>0</v>
      </c>
      <c r="M56" s="46">
        <f t="shared" si="20"/>
        <v>0</v>
      </c>
      <c r="N56" s="47">
        <v>1500</v>
      </c>
      <c r="O56" s="38">
        <v>45</v>
      </c>
      <c r="P56" s="41">
        <f t="shared" si="22"/>
        <v>0</v>
      </c>
      <c r="Q56" s="49">
        <f t="shared" si="21"/>
        <v>0.30434782608695654</v>
      </c>
      <c r="X56" s="55"/>
      <c r="Z56" s="55"/>
    </row>
    <row r="57" spans="1:26" x14ac:dyDescent="0.25">
      <c r="A57" s="36" t="s">
        <v>145</v>
      </c>
      <c r="B57" s="37" t="s">
        <v>146</v>
      </c>
      <c r="C57" s="41">
        <v>2162005813</v>
      </c>
      <c r="D57" s="39">
        <f t="shared" si="17"/>
        <v>218146386.53170002</v>
      </c>
      <c r="E57" s="40">
        <v>0</v>
      </c>
      <c r="F57" s="41" t="s">
        <v>53</v>
      </c>
      <c r="G57" s="75">
        <v>9.0200000000000002E-2</v>
      </c>
      <c r="H57" s="43">
        <v>0.1023</v>
      </c>
      <c r="I57" s="43">
        <v>0.1009</v>
      </c>
      <c r="J57" s="44">
        <f t="shared" si="18"/>
        <v>0.1009</v>
      </c>
      <c r="K57" s="40">
        <v>0</v>
      </c>
      <c r="L57" s="46">
        <f t="shared" si="19"/>
        <v>-1.3999999999999985E-3</v>
      </c>
      <c r="M57" s="76">
        <f t="shared" si="20"/>
        <v>-1.3685239491691088</v>
      </c>
      <c r="N57" s="47">
        <v>967386</v>
      </c>
      <c r="O57" s="38">
        <v>97656.73</v>
      </c>
      <c r="P57" s="41">
        <f t="shared" si="22"/>
        <v>0</v>
      </c>
      <c r="Q57" s="49">
        <f t="shared" si="21"/>
        <v>0.11862527716186255</v>
      </c>
      <c r="R57" s="55"/>
      <c r="X57" s="55"/>
      <c r="Z57" s="55"/>
    </row>
    <row r="58" spans="1:26" x14ac:dyDescent="0.25">
      <c r="A58" s="36" t="s">
        <v>147</v>
      </c>
      <c r="B58" s="37" t="s">
        <v>148</v>
      </c>
      <c r="C58" s="41">
        <v>575927100</v>
      </c>
      <c r="D58" s="39">
        <f t="shared" si="17"/>
        <v>763391371.04999995</v>
      </c>
      <c r="E58" s="40">
        <v>0</v>
      </c>
      <c r="F58" s="41" t="s">
        <v>35</v>
      </c>
      <c r="G58" s="75">
        <v>0.95750000000000002</v>
      </c>
      <c r="H58" s="43">
        <v>1.3384</v>
      </c>
      <c r="I58" s="43">
        <v>1.3254999999999999</v>
      </c>
      <c r="J58" s="44">
        <f t="shared" si="18"/>
        <v>1.3254999999999999</v>
      </c>
      <c r="K58" s="40">
        <v>0</v>
      </c>
      <c r="L58" s="46">
        <f t="shared" si="19"/>
        <v>-1.2900000000000134E-2</v>
      </c>
      <c r="M58" s="46">
        <f t="shared" si="20"/>
        <v>-0.96383741781232313</v>
      </c>
      <c r="N58" s="47">
        <v>93876</v>
      </c>
      <c r="O58" s="38">
        <v>124435.72</v>
      </c>
      <c r="P58" s="41">
        <f t="shared" si="22"/>
        <v>0</v>
      </c>
      <c r="Q58" s="49">
        <f t="shared" si="21"/>
        <v>0.38433420365535231</v>
      </c>
      <c r="R58" s="55"/>
      <c r="X58" s="55"/>
      <c r="Z58" s="55"/>
    </row>
    <row r="59" spans="1:26" x14ac:dyDescent="0.25">
      <c r="A59" s="36" t="s">
        <v>149</v>
      </c>
      <c r="B59" s="37" t="s">
        <v>150</v>
      </c>
      <c r="C59" s="41">
        <v>164208222</v>
      </c>
      <c r="D59" s="39">
        <f t="shared" si="17"/>
        <v>24631233.300000001</v>
      </c>
      <c r="E59" s="40">
        <v>0</v>
      </c>
      <c r="F59" s="41" t="s">
        <v>35</v>
      </c>
      <c r="G59" s="75">
        <v>0.1595</v>
      </c>
      <c r="H59" s="43">
        <v>0.1522</v>
      </c>
      <c r="I59" s="43">
        <v>0.15</v>
      </c>
      <c r="J59" s="44">
        <f t="shared" si="18"/>
        <v>0.15</v>
      </c>
      <c r="K59" s="40">
        <v>0</v>
      </c>
      <c r="L59" s="46">
        <f t="shared" si="19"/>
        <v>-2.2000000000000075E-3</v>
      </c>
      <c r="M59" s="46">
        <f t="shared" si="20"/>
        <v>-1.4454664914586119</v>
      </c>
      <c r="N59" s="47">
        <v>30</v>
      </c>
      <c r="O59" s="38">
        <v>4.5</v>
      </c>
      <c r="P59" s="41">
        <f t="shared" si="22"/>
        <v>0</v>
      </c>
      <c r="Q59" s="49">
        <f t="shared" si="21"/>
        <v>-5.9561128526645857E-2</v>
      </c>
      <c r="X59" s="55"/>
      <c r="Z59" s="55"/>
    </row>
    <row r="60" spans="1:26" x14ac:dyDescent="0.25">
      <c r="A60" s="36" t="s">
        <v>151</v>
      </c>
      <c r="B60" s="37" t="s">
        <v>152</v>
      </c>
      <c r="C60" s="41">
        <v>370573735</v>
      </c>
      <c r="D60" s="39">
        <f t="shared" si="17"/>
        <v>7411474.7000000002</v>
      </c>
      <c r="E60" s="40">
        <v>0</v>
      </c>
      <c r="F60" s="41" t="s">
        <v>108</v>
      </c>
      <c r="G60" s="75">
        <v>1.6799999999999999E-2</v>
      </c>
      <c r="H60" s="43">
        <v>0.02</v>
      </c>
      <c r="I60" s="43">
        <v>0.02</v>
      </c>
      <c r="J60" s="44">
        <f t="shared" si="18"/>
        <v>0.02</v>
      </c>
      <c r="K60" s="40">
        <v>0</v>
      </c>
      <c r="L60" s="46">
        <f t="shared" si="19"/>
        <v>0</v>
      </c>
      <c r="M60" s="76">
        <f t="shared" si="20"/>
        <v>0</v>
      </c>
      <c r="N60" s="47">
        <v>767652</v>
      </c>
      <c r="O60" s="38">
        <v>15351.84</v>
      </c>
      <c r="P60" s="41">
        <f t="shared" si="22"/>
        <v>0</v>
      </c>
      <c r="Q60" s="49">
        <f t="shared" si="21"/>
        <v>0.19047619047619047</v>
      </c>
      <c r="X60" s="55"/>
      <c r="Z60" s="55"/>
    </row>
    <row r="61" spans="1:26" x14ac:dyDescent="0.25">
      <c r="A61" s="36" t="s">
        <v>153</v>
      </c>
      <c r="B61" s="37" t="s">
        <v>154</v>
      </c>
      <c r="C61" s="41">
        <v>161273</v>
      </c>
      <c r="D61" s="39">
        <f t="shared" si="17"/>
        <v>2096549</v>
      </c>
      <c r="E61" s="40">
        <v>0</v>
      </c>
      <c r="F61" s="41" t="s">
        <v>155</v>
      </c>
      <c r="G61" s="75">
        <v>19.5</v>
      </c>
      <c r="H61" s="43">
        <v>13</v>
      </c>
      <c r="I61" s="43">
        <v>13</v>
      </c>
      <c r="J61" s="44">
        <f t="shared" si="18"/>
        <v>13</v>
      </c>
      <c r="K61" s="40">
        <v>0</v>
      </c>
      <c r="L61" s="46">
        <f t="shared" si="19"/>
        <v>0</v>
      </c>
      <c r="M61" s="46">
        <f t="shared" si="20"/>
        <v>0</v>
      </c>
      <c r="N61" s="47">
        <v>0</v>
      </c>
      <c r="O61" s="38">
        <v>0</v>
      </c>
      <c r="P61" s="41">
        <f t="shared" si="22"/>
        <v>0</v>
      </c>
      <c r="Q61" s="49">
        <f t="shared" si="21"/>
        <v>-0.33333333333333337</v>
      </c>
      <c r="X61" s="55"/>
      <c r="Z61" s="55"/>
    </row>
    <row r="62" spans="1:26" x14ac:dyDescent="0.25">
      <c r="A62" s="36" t="s">
        <v>102</v>
      </c>
      <c r="B62" s="37" t="s">
        <v>156</v>
      </c>
      <c r="C62" s="41">
        <v>805091101</v>
      </c>
      <c r="D62" s="39">
        <f t="shared" si="17"/>
        <v>906210543.28559995</v>
      </c>
      <c r="E62" s="40">
        <v>0</v>
      </c>
      <c r="F62" s="41" t="s">
        <v>108</v>
      </c>
      <c r="G62" s="75">
        <v>0.59499999999999997</v>
      </c>
      <c r="H62" s="43">
        <v>1.1753</v>
      </c>
      <c r="I62" s="43">
        <v>1.1255999999999999</v>
      </c>
      <c r="J62" s="44">
        <f t="shared" si="18"/>
        <v>1.1255999999999999</v>
      </c>
      <c r="K62" s="40">
        <v>0</v>
      </c>
      <c r="L62" s="46">
        <f t="shared" si="19"/>
        <v>-4.9700000000000077E-2</v>
      </c>
      <c r="M62" s="46">
        <f t="shared" si="20"/>
        <v>-4.2287075640262124</v>
      </c>
      <c r="N62" s="47">
        <v>291730</v>
      </c>
      <c r="O62" s="38">
        <v>328370.56</v>
      </c>
      <c r="P62" s="41">
        <f t="shared" si="22"/>
        <v>0</v>
      </c>
      <c r="Q62" s="49">
        <f t="shared" si="21"/>
        <v>0.89176470588235301</v>
      </c>
      <c r="R62" s="55"/>
      <c r="X62" s="55"/>
      <c r="Z62" s="55"/>
    </row>
    <row r="63" spans="1:26" x14ac:dyDescent="0.25">
      <c r="A63" s="36" t="s">
        <v>157</v>
      </c>
      <c r="B63" s="37" t="s">
        <v>158</v>
      </c>
      <c r="C63" s="41">
        <v>260714518</v>
      </c>
      <c r="D63" s="39">
        <f t="shared" si="17"/>
        <v>73130422.29900001</v>
      </c>
      <c r="E63" s="40">
        <v>0</v>
      </c>
      <c r="F63" s="41" t="s">
        <v>35</v>
      </c>
      <c r="G63" s="75">
        <v>0.22600000000000001</v>
      </c>
      <c r="H63" s="43">
        <v>0.28000000000000003</v>
      </c>
      <c r="I63" s="43">
        <v>0.28050000000000003</v>
      </c>
      <c r="J63" s="44">
        <f t="shared" si="18"/>
        <v>0.28050000000000003</v>
      </c>
      <c r="K63" s="40">
        <v>0</v>
      </c>
      <c r="L63" s="46">
        <f t="shared" si="19"/>
        <v>5.0000000000000044E-4</v>
      </c>
      <c r="M63" s="46">
        <f t="shared" si="20"/>
        <v>0.17857142857142871</v>
      </c>
      <c r="N63" s="47">
        <v>218</v>
      </c>
      <c r="O63" s="38">
        <v>61.15</v>
      </c>
      <c r="P63" s="41">
        <f t="shared" si="22"/>
        <v>0</v>
      </c>
      <c r="Q63" s="49">
        <f t="shared" si="21"/>
        <v>0.24115044247787609</v>
      </c>
      <c r="X63" s="55"/>
      <c r="Z63" s="55"/>
    </row>
    <row r="64" spans="1:26" x14ac:dyDescent="0.25">
      <c r="A64" s="36" t="s">
        <v>159</v>
      </c>
      <c r="B64" s="37" t="s">
        <v>160</v>
      </c>
      <c r="C64" s="41">
        <v>562184788</v>
      </c>
      <c r="D64" s="39">
        <f t="shared" si="17"/>
        <v>413037163.74360001</v>
      </c>
      <c r="E64" s="40">
        <v>0</v>
      </c>
      <c r="F64" s="41" t="s">
        <v>35</v>
      </c>
      <c r="G64" s="75">
        <v>0.49440000000000001</v>
      </c>
      <c r="H64" s="43">
        <v>0.73260000000000003</v>
      </c>
      <c r="I64" s="43">
        <v>0.73470000000000002</v>
      </c>
      <c r="J64" s="44">
        <f t="shared" si="18"/>
        <v>0.73470000000000002</v>
      </c>
      <c r="K64" s="40">
        <v>0</v>
      </c>
      <c r="L64" s="46">
        <f t="shared" si="19"/>
        <v>2.0999999999999908E-3</v>
      </c>
      <c r="M64" s="46">
        <f t="shared" si="20"/>
        <v>0.28665028665028536</v>
      </c>
      <c r="N64" s="47">
        <v>3216</v>
      </c>
      <c r="O64" s="38">
        <v>2362.79</v>
      </c>
      <c r="P64" s="41">
        <f t="shared" si="22"/>
        <v>0</v>
      </c>
      <c r="Q64" s="49">
        <f t="shared" si="21"/>
        <v>0.48604368932038833</v>
      </c>
      <c r="R64" s="55"/>
      <c r="X64" s="55"/>
      <c r="Z64" s="55"/>
    </row>
    <row r="65" spans="1:249" x14ac:dyDescent="0.25">
      <c r="A65" s="36" t="s">
        <v>161</v>
      </c>
      <c r="B65" s="37" t="s">
        <v>162</v>
      </c>
      <c r="C65" s="41">
        <v>30000000</v>
      </c>
      <c r="D65" s="39">
        <f t="shared" si="17"/>
        <v>300000000</v>
      </c>
      <c r="E65" s="40">
        <v>0</v>
      </c>
      <c r="F65" s="41" t="s">
        <v>76</v>
      </c>
      <c r="G65" s="75">
        <v>10</v>
      </c>
      <c r="H65" s="43">
        <v>10</v>
      </c>
      <c r="I65" s="43">
        <v>10</v>
      </c>
      <c r="J65" s="44">
        <f t="shared" si="18"/>
        <v>10</v>
      </c>
      <c r="K65" s="40">
        <v>0</v>
      </c>
      <c r="L65" s="46">
        <f t="shared" si="19"/>
        <v>0</v>
      </c>
      <c r="M65" s="46">
        <f t="shared" si="20"/>
        <v>0</v>
      </c>
      <c r="N65" s="47">
        <v>0</v>
      </c>
      <c r="O65" s="38">
        <v>0</v>
      </c>
      <c r="P65" s="41">
        <f t="shared" si="22"/>
        <v>0</v>
      </c>
      <c r="Q65" s="49">
        <f t="shared" si="21"/>
        <v>0</v>
      </c>
      <c r="X65" s="55"/>
      <c r="Z65" s="55"/>
    </row>
    <row r="66" spans="1:249" x14ac:dyDescent="0.25">
      <c r="A66" s="36" t="s">
        <v>163</v>
      </c>
      <c r="B66" s="37" t="s">
        <v>164</v>
      </c>
      <c r="C66" s="41">
        <v>344580486</v>
      </c>
      <c r="D66" s="39">
        <f t="shared" si="17"/>
        <v>17297940.3972</v>
      </c>
      <c r="E66" s="40">
        <v>0</v>
      </c>
      <c r="F66" s="41" t="s">
        <v>49</v>
      </c>
      <c r="G66" s="75">
        <v>4.2999999999999997E-2</v>
      </c>
      <c r="H66" s="43">
        <v>5.04E-2</v>
      </c>
      <c r="I66" s="43">
        <v>5.0200000000000002E-2</v>
      </c>
      <c r="J66" s="44">
        <f t="shared" si="18"/>
        <v>5.0200000000000002E-2</v>
      </c>
      <c r="K66" s="40">
        <v>0</v>
      </c>
      <c r="L66" s="46">
        <f t="shared" si="19"/>
        <v>-1.9999999999999879E-4</v>
      </c>
      <c r="M66" s="46">
        <f t="shared" si="20"/>
        <v>-0.39682539682539447</v>
      </c>
      <c r="N66" s="47">
        <v>50</v>
      </c>
      <c r="O66" s="38">
        <v>2.5099999999999998</v>
      </c>
      <c r="P66" s="41">
        <f t="shared" si="22"/>
        <v>0</v>
      </c>
      <c r="Q66" s="49">
        <f t="shared" si="21"/>
        <v>0.16744186046511644</v>
      </c>
      <c r="X66" s="55"/>
      <c r="Z66" s="55"/>
    </row>
    <row r="67" spans="1:249" ht="13.2" x14ac:dyDescent="0.35">
      <c r="B67" s="37" t="s">
        <v>96</v>
      </c>
      <c r="C67" s="41"/>
      <c r="D67" s="77"/>
      <c r="E67" s="77"/>
      <c r="F67" s="41"/>
      <c r="G67" s="41"/>
      <c r="H67" s="43"/>
      <c r="I67" s="43"/>
      <c r="J67" s="43"/>
      <c r="K67" s="43"/>
      <c r="L67" s="46"/>
      <c r="M67" s="78"/>
      <c r="N67" s="66">
        <f>SUM(N52:N66)</f>
        <v>3466852</v>
      </c>
      <c r="O67" s="67">
        <f>SUM(O52:O66)</f>
        <v>958511.43700000003</v>
      </c>
      <c r="P67" s="79"/>
      <c r="Q67" s="68"/>
    </row>
    <row r="68" spans="1:249" ht="12.6" hidden="1" x14ac:dyDescent="0.3">
      <c r="A68" s="149" t="s">
        <v>165</v>
      </c>
      <c r="B68" s="152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1"/>
    </row>
    <row r="69" spans="1:249" ht="12.6" hidden="1" thickBot="1" x14ac:dyDescent="0.3">
      <c r="A69" s="80" t="s">
        <v>166</v>
      </c>
      <c r="B69" s="81" t="s">
        <v>167</v>
      </c>
      <c r="C69" s="82">
        <v>20000</v>
      </c>
      <c r="D69" s="83">
        <f>C69*J69</f>
        <v>0</v>
      </c>
      <c r="E69" s="83"/>
      <c r="F69" s="82" t="s">
        <v>168</v>
      </c>
      <c r="G69" s="82"/>
      <c r="H69" s="84">
        <v>100</v>
      </c>
      <c r="I69" s="84"/>
      <c r="J69" s="84"/>
      <c r="K69" s="84"/>
      <c r="L69" s="85">
        <f>I69-H69</f>
        <v>-100</v>
      </c>
      <c r="M69" s="86">
        <f>((I69-H69)/H69)*100</f>
        <v>-100</v>
      </c>
      <c r="N69" s="87" t="s">
        <v>169</v>
      </c>
      <c r="O69" s="87" t="s">
        <v>169</v>
      </c>
      <c r="P69" s="87"/>
      <c r="Q69" s="88">
        <v>100</v>
      </c>
    </row>
    <row r="70" spans="1:249" ht="12.6" thickBot="1" x14ac:dyDescent="0.3">
      <c r="A70" s="36"/>
      <c r="B70" s="37" t="s">
        <v>96</v>
      </c>
      <c r="C70" s="41"/>
      <c r="D70" s="38"/>
      <c r="E70" s="38"/>
      <c r="F70" s="41"/>
      <c r="G70" s="41"/>
      <c r="H70" s="43"/>
      <c r="I70" s="43"/>
      <c r="J70" s="43"/>
      <c r="K70" s="43"/>
      <c r="L70" s="46"/>
      <c r="M70" s="78"/>
      <c r="N70" s="89"/>
      <c r="O70" s="89"/>
      <c r="P70" s="89"/>
      <c r="Q70" s="68"/>
    </row>
    <row r="71" spans="1:249" ht="12.6" x14ac:dyDescent="0.3">
      <c r="A71" s="149" t="s">
        <v>170</v>
      </c>
      <c r="B71" s="152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1"/>
    </row>
    <row r="72" spans="1:249" x14ac:dyDescent="0.25">
      <c r="A72" s="90" t="s">
        <v>171</v>
      </c>
      <c r="B72" s="91" t="s">
        <v>172</v>
      </c>
      <c r="C72" s="92">
        <v>139300587</v>
      </c>
      <c r="D72" s="93">
        <f>C72*J72</f>
        <v>53839676.875500001</v>
      </c>
      <c r="E72" s="94">
        <f>C72*K72</f>
        <v>53839676.875500001</v>
      </c>
      <c r="F72" s="92" t="s">
        <v>173</v>
      </c>
      <c r="G72" s="92">
        <v>0.24</v>
      </c>
      <c r="H72" s="95">
        <v>0.36</v>
      </c>
      <c r="I72" s="95">
        <v>0.38650000000000001</v>
      </c>
      <c r="J72" s="96">
        <f>I72</f>
        <v>0.38650000000000001</v>
      </c>
      <c r="K72" s="96">
        <f>J72</f>
        <v>0.38650000000000001</v>
      </c>
      <c r="L72" s="97">
        <f>I72-H72</f>
        <v>2.6500000000000024E-2</v>
      </c>
      <c r="M72" s="97">
        <f>((I72-H72)/H72)*100</f>
        <v>7.3611111111111178</v>
      </c>
      <c r="N72" s="98">
        <v>127</v>
      </c>
      <c r="O72" s="99">
        <v>49.08</v>
      </c>
      <c r="P72" s="100">
        <v>0</v>
      </c>
      <c r="Q72" s="101">
        <f>J72/G72-1</f>
        <v>0.61041666666666683</v>
      </c>
      <c r="Z72" s="55"/>
    </row>
    <row r="73" spans="1:249" x14ac:dyDescent="0.25">
      <c r="A73" s="90" t="s">
        <v>174</v>
      </c>
      <c r="B73" s="91" t="s">
        <v>175</v>
      </c>
      <c r="C73" s="92">
        <v>471351750</v>
      </c>
      <c r="D73" s="93">
        <f>C73*J73</f>
        <v>66460596.749999993</v>
      </c>
      <c r="E73" s="94">
        <f>C73*K73</f>
        <v>66460596.749999993</v>
      </c>
      <c r="F73" s="92" t="s">
        <v>173</v>
      </c>
      <c r="G73" s="92">
        <v>0.1</v>
      </c>
      <c r="H73" s="95">
        <v>0.1449</v>
      </c>
      <c r="I73" s="95">
        <v>0.14099999999999999</v>
      </c>
      <c r="J73" s="96">
        <f>I73</f>
        <v>0.14099999999999999</v>
      </c>
      <c r="K73" s="96">
        <f>J73</f>
        <v>0.14099999999999999</v>
      </c>
      <c r="L73" s="97">
        <f>I73-H73</f>
        <v>-3.9000000000000146E-3</v>
      </c>
      <c r="M73" s="97">
        <f>((I73-H73)/H73)*100</f>
        <v>-2.6915113871635712</v>
      </c>
      <c r="N73" s="47">
        <v>3812</v>
      </c>
      <c r="O73" s="99">
        <v>537.49</v>
      </c>
      <c r="P73" s="100">
        <v>0</v>
      </c>
      <c r="Q73" s="101">
        <f>J73/G73-1</f>
        <v>0.4099999999999997</v>
      </c>
      <c r="Z73" s="55"/>
    </row>
    <row r="74" spans="1:249" ht="13.2" x14ac:dyDescent="0.35">
      <c r="A74" s="90"/>
      <c r="B74" s="102" t="s">
        <v>96</v>
      </c>
      <c r="C74" s="103"/>
      <c r="D74" s="104"/>
      <c r="E74" s="104"/>
      <c r="F74" s="103"/>
      <c r="G74" s="103"/>
      <c r="H74" s="105"/>
      <c r="I74" s="105"/>
      <c r="J74" s="105"/>
      <c r="K74" s="105"/>
      <c r="L74" s="97"/>
      <c r="M74" s="106"/>
      <c r="N74" s="66">
        <f>SUM(N72:N73)</f>
        <v>3939</v>
      </c>
      <c r="O74" s="67">
        <f>SUM(O72:O73)</f>
        <v>586.57000000000005</v>
      </c>
      <c r="P74" s="107"/>
      <c r="Q74" s="97"/>
    </row>
    <row r="75" spans="1:249" ht="12.6" x14ac:dyDescent="0.3">
      <c r="A75" s="143" t="s">
        <v>176</v>
      </c>
      <c r="B75" s="144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6"/>
    </row>
    <row r="76" spans="1:249" x14ac:dyDescent="0.25">
      <c r="A76" s="36" t="s">
        <v>177</v>
      </c>
      <c r="B76" s="37" t="s">
        <v>178</v>
      </c>
      <c r="C76" s="41">
        <v>45396463</v>
      </c>
      <c r="D76" s="39">
        <f>C76*J76</f>
        <v>143427.64435703313</v>
      </c>
      <c r="E76" s="40">
        <f>C76*K76</f>
        <v>121057.23466666666</v>
      </c>
      <c r="F76" s="41" t="s">
        <v>155</v>
      </c>
      <c r="G76" s="75">
        <v>0.105</v>
      </c>
      <c r="H76" s="43">
        <v>7.4999999999999997E-2</v>
      </c>
      <c r="I76" s="43">
        <v>0.08</v>
      </c>
      <c r="J76" s="44">
        <f>I76/$J$5</f>
        <v>3.1594453593671631E-3</v>
      </c>
      <c r="K76" s="45">
        <f>I76/$K$4</f>
        <v>2.6666666666666666E-3</v>
      </c>
      <c r="L76" s="46">
        <f>I76-H76</f>
        <v>5.0000000000000044E-3</v>
      </c>
      <c r="M76" s="108">
        <f>((I76-H76)/H76)*100</f>
        <v>6.6666666666666732</v>
      </c>
      <c r="N76" s="38">
        <v>2500</v>
      </c>
      <c r="O76" s="38">
        <v>200</v>
      </c>
      <c r="P76" s="41">
        <v>0</v>
      </c>
      <c r="Q76" s="49">
        <f>I76/G76-1</f>
        <v>-0.23809523809523803</v>
      </c>
    </row>
    <row r="77" spans="1:249" x14ac:dyDescent="0.25">
      <c r="A77" s="36" t="s">
        <v>179</v>
      </c>
      <c r="B77" s="37" t="s">
        <v>180</v>
      </c>
      <c r="C77" s="41">
        <v>136162052</v>
      </c>
      <c r="D77" s="39">
        <f>C77*J77</f>
        <v>279627.7661536517</v>
      </c>
      <c r="E77" s="40">
        <f>C77*K77</f>
        <v>236014.22346666668</v>
      </c>
      <c r="F77" s="41" t="s">
        <v>155</v>
      </c>
      <c r="G77" s="75">
        <v>4.2500000000000003E-2</v>
      </c>
      <c r="H77" s="43">
        <v>5.2000000000000005E-2</v>
      </c>
      <c r="I77" s="43">
        <v>5.2000000000000005E-2</v>
      </c>
      <c r="J77" s="44">
        <f>I77/$J$5</f>
        <v>2.053639483588656E-3</v>
      </c>
      <c r="K77" s="45">
        <f>I77/$K$4</f>
        <v>1.7333333333333335E-3</v>
      </c>
      <c r="L77" s="46">
        <f>I77-H77</f>
        <v>0</v>
      </c>
      <c r="M77" s="108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0.22352941176470598</v>
      </c>
    </row>
    <row r="78" spans="1:249" x14ac:dyDescent="0.25">
      <c r="A78" s="36" t="s">
        <v>181</v>
      </c>
      <c r="B78" s="37" t="s">
        <v>182</v>
      </c>
      <c r="C78" s="41">
        <v>494417400</v>
      </c>
      <c r="D78" s="39">
        <f>C78*J78</f>
        <v>1366824.1650178311</v>
      </c>
      <c r="E78" s="40">
        <f>C78*K78</f>
        <v>1153640.6000000001</v>
      </c>
      <c r="F78" s="41" t="s">
        <v>155</v>
      </c>
      <c r="G78" s="75">
        <v>6.0499999999999998E-2</v>
      </c>
      <c r="H78" s="43">
        <v>7.0000000000000007E-2</v>
      </c>
      <c r="I78" s="43">
        <v>7.0000000000000007E-2</v>
      </c>
      <c r="J78" s="44">
        <f>I78/$J$5</f>
        <v>2.7645146894462679E-3</v>
      </c>
      <c r="K78" s="45">
        <f>I78/$K$4</f>
        <v>2.3333333333333335E-3</v>
      </c>
      <c r="L78" s="46">
        <f>I78-H78</f>
        <v>0</v>
      </c>
      <c r="M78" s="108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0.1570247933884299</v>
      </c>
    </row>
    <row r="79" spans="1:249" x14ac:dyDescent="0.25">
      <c r="A79" s="36" t="s">
        <v>183</v>
      </c>
      <c r="B79" s="37" t="s">
        <v>184</v>
      </c>
      <c r="C79" s="38">
        <v>41156692</v>
      </c>
      <c r="D79" s="39">
        <f>C79*J79</f>
        <v>2925727.1897918317</v>
      </c>
      <c r="E79" s="40">
        <f>C79*K79</f>
        <v>2469401.52</v>
      </c>
      <c r="F79" s="41" t="s">
        <v>155</v>
      </c>
      <c r="G79" s="75">
        <v>1.85</v>
      </c>
      <c r="H79" s="43">
        <v>1.8</v>
      </c>
      <c r="I79" s="43">
        <v>1.8</v>
      </c>
      <c r="J79" s="44">
        <f>I79/$J$5</f>
        <v>7.1087520585761163E-2</v>
      </c>
      <c r="K79" s="45">
        <f>I79/$K$4</f>
        <v>6.0000000000000005E-2</v>
      </c>
      <c r="L79" s="46">
        <f>I79-H79</f>
        <v>0</v>
      </c>
      <c r="M79" s="108">
        <f>((I79-H79)/H79)*100</f>
        <v>0</v>
      </c>
      <c r="N79" s="38">
        <v>0</v>
      </c>
      <c r="O79" s="38">
        <v>0</v>
      </c>
      <c r="P79" s="41">
        <v>0</v>
      </c>
      <c r="Q79" s="49">
        <f>I79/G79-1</f>
        <v>-2.7027027027027084E-2</v>
      </c>
    </row>
    <row r="80" spans="1:249" ht="13.8" thickBot="1" x14ac:dyDescent="0.4">
      <c r="A80" s="36"/>
      <c r="B80" s="37" t="s">
        <v>96</v>
      </c>
      <c r="C80" s="38"/>
      <c r="D80" s="38"/>
      <c r="E80" s="38"/>
      <c r="F80" s="41"/>
      <c r="G80" s="41"/>
      <c r="H80" s="43"/>
      <c r="I80" s="43"/>
      <c r="J80" s="43"/>
      <c r="K80" s="43"/>
      <c r="L80" s="46"/>
      <c r="M80" s="46"/>
      <c r="N80" s="66">
        <f>SUM(N76:N79)</f>
        <v>2500</v>
      </c>
      <c r="O80" s="67">
        <f>SUM(O76:O79)</f>
        <v>200</v>
      </c>
      <c r="P80" s="79"/>
      <c r="Q80" s="68"/>
      <c r="EA80" s="109"/>
      <c r="EB80" s="109"/>
      <c r="EC80" s="110"/>
      <c r="ED80" s="111"/>
      <c r="EE80" s="111"/>
      <c r="EF80" s="112"/>
      <c r="EG80" s="112"/>
      <c r="EH80" s="113"/>
      <c r="EI80" s="113"/>
      <c r="EJ80" s="114"/>
      <c r="EK80" s="114"/>
      <c r="EL80" s="112"/>
      <c r="EM80" s="115"/>
      <c r="EN80" s="116"/>
      <c r="EO80" s="110"/>
      <c r="EP80" s="109"/>
      <c r="EQ80" s="109"/>
      <c r="ER80" s="110"/>
      <c r="ES80" s="111"/>
      <c r="ET80" s="111"/>
      <c r="EU80" s="112"/>
      <c r="EV80" s="112"/>
      <c r="EW80" s="113"/>
      <c r="EX80" s="113"/>
      <c r="EY80" s="114"/>
      <c r="EZ80" s="114"/>
      <c r="FA80" s="112"/>
      <c r="FB80" s="115"/>
      <c r="FC80" s="116"/>
      <c r="FD80" s="110"/>
      <c r="FE80" s="109"/>
      <c r="FF80" s="109"/>
      <c r="FG80" s="110"/>
      <c r="FH80" s="111"/>
      <c r="FI80" s="111"/>
      <c r="FJ80" s="112"/>
      <c r="FK80" s="112"/>
      <c r="FL80" s="113"/>
      <c r="FM80" s="113"/>
      <c r="FN80" s="114"/>
      <c r="FO80" s="114"/>
      <c r="FP80" s="112"/>
      <c r="FQ80" s="115"/>
      <c r="FR80" s="116"/>
      <c r="FS80" s="110"/>
      <c r="FT80" s="109"/>
      <c r="FU80" s="109"/>
      <c r="FV80" s="110"/>
      <c r="FW80" s="111"/>
      <c r="FX80" s="111"/>
      <c r="FY80" s="112"/>
      <c r="FZ80" s="112"/>
      <c r="GA80" s="113"/>
      <c r="GB80" s="113"/>
      <c r="GC80" s="114"/>
      <c r="GD80" s="114"/>
      <c r="GE80" s="112"/>
      <c r="GF80" s="115"/>
      <c r="GG80" s="116"/>
      <c r="GH80" s="110"/>
      <c r="GI80" s="109"/>
      <c r="GJ80" s="109"/>
      <c r="GK80" s="110"/>
      <c r="GL80" s="111"/>
      <c r="GM80" s="111"/>
      <c r="GN80" s="112"/>
      <c r="GO80" s="112"/>
      <c r="GP80" s="113"/>
      <c r="GQ80" s="113"/>
      <c r="GR80" s="114"/>
      <c r="GS80" s="114"/>
      <c r="GT80" s="112"/>
      <c r="GU80" s="115"/>
      <c r="GV80" s="116"/>
      <c r="GW80" s="110"/>
      <c r="GX80" s="109"/>
      <c r="GY80" s="109"/>
      <c r="GZ80" s="110"/>
      <c r="HA80" s="111"/>
      <c r="HB80" s="111"/>
      <c r="HC80" s="112"/>
      <c r="HD80" s="112"/>
      <c r="HE80" s="113"/>
      <c r="HF80" s="113"/>
      <c r="HG80" s="114"/>
      <c r="HH80" s="114"/>
      <c r="HI80" s="112"/>
      <c r="HJ80" s="115"/>
      <c r="HK80" s="116"/>
      <c r="HL80" s="110"/>
      <c r="HM80" s="109"/>
      <c r="HN80" s="109"/>
      <c r="HO80" s="110"/>
      <c r="HP80" s="111"/>
      <c r="HQ80" s="111"/>
      <c r="HR80" s="112"/>
      <c r="HS80" s="112"/>
      <c r="HT80" s="113"/>
      <c r="HU80" s="113"/>
      <c r="HV80" s="114"/>
      <c r="HW80" s="114"/>
      <c r="HX80" s="112"/>
      <c r="HY80" s="115"/>
      <c r="HZ80" s="116"/>
      <c r="IA80" s="110"/>
      <c r="IB80" s="109"/>
      <c r="IC80" s="109"/>
      <c r="ID80" s="110"/>
      <c r="IE80" s="111"/>
      <c r="IF80" s="111"/>
      <c r="IG80" s="112"/>
      <c r="IH80" s="112"/>
      <c r="II80" s="113"/>
      <c r="IJ80" s="113"/>
      <c r="IK80" s="114"/>
      <c r="IL80" s="114"/>
      <c r="IM80" s="112"/>
      <c r="IN80" s="115"/>
      <c r="IO80" s="116"/>
    </row>
    <row r="81" spans="1:44" ht="13.2" thickTop="1" x14ac:dyDescent="0.3">
      <c r="A81" s="149" t="s">
        <v>185</v>
      </c>
      <c r="B81" s="152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1"/>
    </row>
    <row r="82" spans="1:44" x14ac:dyDescent="0.25">
      <c r="A82" s="36" t="s">
        <v>186</v>
      </c>
      <c r="B82" s="37" t="s">
        <v>187</v>
      </c>
      <c r="C82" s="41">
        <v>368326244</v>
      </c>
      <c r="D82" s="39">
        <f>C82*J82</f>
        <v>34911199.270168118</v>
      </c>
      <c r="E82" s="40">
        <f>C82*K82</f>
        <v>29466099.52</v>
      </c>
      <c r="F82" s="41" t="s">
        <v>188</v>
      </c>
      <c r="G82" s="41">
        <v>1.3</v>
      </c>
      <c r="H82" s="43">
        <v>2.11</v>
      </c>
      <c r="I82" s="43">
        <v>2.4</v>
      </c>
      <c r="J82" s="44">
        <f>I82/$J$5</f>
        <v>9.4783360781014889E-2</v>
      </c>
      <c r="K82" s="45">
        <f>I82/$K$4</f>
        <v>0.08</v>
      </c>
      <c r="L82" s="46">
        <f>I82-H82</f>
        <v>0.29000000000000004</v>
      </c>
      <c r="M82" s="46">
        <f>((I82-H82)/H82*100)</f>
        <v>13.74407582938389</v>
      </c>
      <c r="N82" s="117">
        <v>600</v>
      </c>
      <c r="O82" s="38">
        <v>1440</v>
      </c>
      <c r="P82" s="48">
        <f>(R82)/J82</f>
        <v>0</v>
      </c>
      <c r="Q82" s="49">
        <f>I82/G82-1</f>
        <v>0.84615384615384603</v>
      </c>
      <c r="R82" s="55">
        <v>0</v>
      </c>
    </row>
    <row r="83" spans="1:44" s="119" customFormat="1" ht="12.6" thickBot="1" x14ac:dyDescent="0.3">
      <c r="A83" s="36" t="s">
        <v>189</v>
      </c>
      <c r="B83" s="37" t="s">
        <v>190</v>
      </c>
      <c r="C83" s="41">
        <v>1841105000</v>
      </c>
      <c r="D83" s="39">
        <f>C83*J83</f>
        <v>74148231.841680199</v>
      </c>
      <c r="E83" s="40">
        <f>C83*K83</f>
        <v>62583332.121333331</v>
      </c>
      <c r="F83" s="41" t="s">
        <v>188</v>
      </c>
      <c r="G83" s="41">
        <v>1.44347</v>
      </c>
      <c r="H83" s="43">
        <v>1.0494520000000001</v>
      </c>
      <c r="I83" s="43">
        <v>1.019768</v>
      </c>
      <c r="J83" s="44">
        <f>I83/$J$5</f>
        <v>4.0273765940389165E-2</v>
      </c>
      <c r="K83" s="45">
        <f>I83/$K$4</f>
        <v>3.3992266666666666E-2</v>
      </c>
      <c r="L83" s="46">
        <f>I83-H83</f>
        <v>-2.9684000000000044E-2</v>
      </c>
      <c r="M83" s="46">
        <f>((I83-H83)/H83*100)</f>
        <v>-2.8285238391084149</v>
      </c>
      <c r="N83" s="118">
        <v>6316500</v>
      </c>
      <c r="O83" s="38">
        <v>6441367.25</v>
      </c>
      <c r="P83" s="48">
        <f>(R83)/J83</f>
        <v>0</v>
      </c>
      <c r="Q83" s="49">
        <f>I83/G83-1</f>
        <v>-0.29353017381725977</v>
      </c>
      <c r="R83" s="5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3.8" thickBot="1" x14ac:dyDescent="0.4">
      <c r="A84" s="80"/>
      <c r="B84" s="81" t="s">
        <v>96</v>
      </c>
      <c r="C84" s="82"/>
      <c r="D84" s="120"/>
      <c r="E84" s="83"/>
      <c r="F84" s="82"/>
      <c r="G84" s="82"/>
      <c r="H84" s="84"/>
      <c r="I84" s="84"/>
      <c r="J84" s="84"/>
      <c r="K84" s="84"/>
      <c r="L84" s="85"/>
      <c r="M84" s="85"/>
      <c r="N84" s="66">
        <f>SUM(N82:N83)</f>
        <v>6317100</v>
      </c>
      <c r="O84" s="67">
        <f>SUM(O82:O83)</f>
        <v>6442807.25</v>
      </c>
      <c r="P84" s="121"/>
      <c r="Q84" s="88"/>
    </row>
    <row r="85" spans="1:44" ht="12.6" thickBot="1" x14ac:dyDescent="0.3">
      <c r="A85" s="122"/>
      <c r="B85" s="123"/>
      <c r="C85" s="123"/>
      <c r="D85" s="123"/>
      <c r="E85" s="123"/>
      <c r="F85" s="124"/>
      <c r="G85" s="124"/>
      <c r="H85" s="64"/>
      <c r="M85" s="125"/>
      <c r="N85" s="125"/>
      <c r="O85" s="64"/>
      <c r="P85" s="64"/>
      <c r="Q85" s="126"/>
    </row>
    <row r="86" spans="1:44" ht="12.6" thickBot="1" x14ac:dyDescent="0.3">
      <c r="A86" s="153" t="s">
        <v>191</v>
      </c>
      <c r="B86" s="154"/>
      <c r="C86" s="154"/>
      <c r="D86" s="154"/>
      <c r="E86" s="153" t="s">
        <v>192</v>
      </c>
      <c r="F86" s="154"/>
      <c r="G86" s="154"/>
      <c r="H86" s="155"/>
      <c r="L86" s="156" t="s">
        <v>193</v>
      </c>
      <c r="M86" s="157"/>
      <c r="N86" s="158"/>
      <c r="O86" s="156" t="s">
        <v>194</v>
      </c>
      <c r="P86" s="157"/>
      <c r="Q86" s="158"/>
    </row>
    <row r="87" spans="1:44" x14ac:dyDescent="0.25">
      <c r="A87" s="36" t="s">
        <v>120</v>
      </c>
      <c r="B87" s="127">
        <v>4.6493009999999995</v>
      </c>
      <c r="C87" s="127"/>
      <c r="D87" s="127">
        <v>14.797555555555547</v>
      </c>
      <c r="E87" s="36" t="s">
        <v>85</v>
      </c>
      <c r="F87" s="128">
        <v>0.97900000000000009</v>
      </c>
      <c r="G87" s="128"/>
      <c r="H87" s="129">
        <v>-14.99802906563818</v>
      </c>
      <c r="L87" s="36" t="s">
        <v>140</v>
      </c>
      <c r="M87" s="127">
        <v>0.1381</v>
      </c>
      <c r="N87" s="130">
        <v>0.95029239766081552</v>
      </c>
      <c r="O87" s="36" t="s">
        <v>102</v>
      </c>
      <c r="P87" s="128">
        <v>1.1255999999999999</v>
      </c>
      <c r="Q87" s="129">
        <v>-4.2287075640262124</v>
      </c>
    </row>
    <row r="88" spans="1:44" x14ac:dyDescent="0.25">
      <c r="A88" s="36" t="s">
        <v>100</v>
      </c>
      <c r="B88" s="127">
        <v>1.51</v>
      </c>
      <c r="C88" s="127"/>
      <c r="D88" s="127">
        <v>13.992805619618856</v>
      </c>
      <c r="E88" s="36" t="s">
        <v>113</v>
      </c>
      <c r="F88" s="128">
        <v>3.0255000000000001E-2</v>
      </c>
      <c r="G88" s="128"/>
      <c r="H88" s="129">
        <v>-9.6865671641791078</v>
      </c>
      <c r="L88" s="36" t="s">
        <v>159</v>
      </c>
      <c r="M88" s="127">
        <v>0.73470000000000002</v>
      </c>
      <c r="N88" s="130">
        <v>0.28665028665028536</v>
      </c>
      <c r="O88" s="36" t="s">
        <v>149</v>
      </c>
      <c r="P88" s="128">
        <v>0.15</v>
      </c>
      <c r="Q88" s="129">
        <v>-1.4454664914586119</v>
      </c>
    </row>
    <row r="89" spans="1:44" x14ac:dyDescent="0.25">
      <c r="A89" s="36" t="s">
        <v>116</v>
      </c>
      <c r="B89" s="127">
        <v>1.23</v>
      </c>
      <c r="C89" s="127"/>
      <c r="D89" s="127">
        <v>7.470511140235903</v>
      </c>
      <c r="E89" s="36" t="s">
        <v>36</v>
      </c>
      <c r="F89" s="128">
        <v>0.03</v>
      </c>
      <c r="G89" s="128"/>
      <c r="H89" s="129">
        <v>-7.6923076923076987</v>
      </c>
      <c r="L89" s="36" t="s">
        <v>157</v>
      </c>
      <c r="M89" s="127">
        <v>0.28050000000000003</v>
      </c>
      <c r="N89" s="130">
        <v>0.17857142857142871</v>
      </c>
      <c r="O89" s="36" t="s">
        <v>145</v>
      </c>
      <c r="P89" s="128">
        <v>0.1009</v>
      </c>
      <c r="Q89" s="129">
        <v>-1.3685239491691088</v>
      </c>
    </row>
    <row r="90" spans="1:44" x14ac:dyDescent="0.25">
      <c r="A90" s="36" t="s">
        <v>122</v>
      </c>
      <c r="B90" s="127">
        <v>0.10050000000000001</v>
      </c>
      <c r="C90" s="127"/>
      <c r="D90" s="127">
        <v>5.789473684210531</v>
      </c>
      <c r="E90" s="36" t="s">
        <v>81</v>
      </c>
      <c r="F90" s="128">
        <v>8</v>
      </c>
      <c r="G90" s="128"/>
      <c r="H90" s="129">
        <v>-6.9983724715182554</v>
      </c>
      <c r="L90" s="36" t="s">
        <v>112</v>
      </c>
      <c r="M90" s="127">
        <v>69</v>
      </c>
      <c r="N90" s="130">
        <v>6.9323386345896396E-2</v>
      </c>
      <c r="O90" s="36" t="s">
        <v>147</v>
      </c>
      <c r="P90" s="128">
        <v>1.3254999999999999</v>
      </c>
      <c r="Q90" s="129">
        <v>-0.96383741781232313</v>
      </c>
    </row>
    <row r="91" spans="1:44" x14ac:dyDescent="0.25">
      <c r="A91" s="36" t="s">
        <v>33</v>
      </c>
      <c r="B91" s="127">
        <v>14</v>
      </c>
      <c r="C91" s="127"/>
      <c r="D91" s="127">
        <v>3.001765744555617</v>
      </c>
      <c r="E91" s="36" t="s">
        <v>54</v>
      </c>
      <c r="F91" s="128">
        <v>10.206754</v>
      </c>
      <c r="G91" s="128"/>
      <c r="H91" s="129">
        <v>-6.8063585398367401</v>
      </c>
      <c r="L91" s="36"/>
      <c r="M91" s="127"/>
      <c r="N91" s="130"/>
      <c r="O91" s="36" t="s">
        <v>163</v>
      </c>
      <c r="P91" s="128">
        <v>5.0200000000000002E-2</v>
      </c>
      <c r="Q91" s="131">
        <v>-0.39682539682539447</v>
      </c>
    </row>
    <row r="92" spans="1:44" ht="12.6" thickBot="1" x14ac:dyDescent="0.3">
      <c r="A92" s="132"/>
      <c r="B92" s="133"/>
      <c r="C92" s="133"/>
      <c r="D92" s="133"/>
      <c r="E92" s="132"/>
      <c r="F92" s="133"/>
      <c r="G92" s="133"/>
      <c r="H92" s="134"/>
      <c r="L92" s="132"/>
      <c r="M92" s="133"/>
      <c r="N92" s="134"/>
      <c r="O92" s="133"/>
      <c r="P92" s="133"/>
      <c r="Q92" s="134"/>
    </row>
    <row r="93" spans="1:44" x14ac:dyDescent="0.25">
      <c r="A93" s="135"/>
      <c r="B93" s="136"/>
      <c r="C93" s="136"/>
      <c r="D93" s="136"/>
      <c r="E93" s="125"/>
      <c r="F93" s="125"/>
      <c r="G93" s="125"/>
      <c r="H93" s="125"/>
      <c r="I93" s="125"/>
      <c r="J93" s="125"/>
      <c r="K93" s="125"/>
      <c r="L93" s="125"/>
      <c r="M93" s="136"/>
      <c r="Q93" s="16"/>
    </row>
    <row r="94" spans="1:44" x14ac:dyDescent="0.25">
      <c r="A94" s="12" t="s">
        <v>195</v>
      </c>
      <c r="B94" s="27"/>
      <c r="C94" s="27"/>
      <c r="D94" s="27"/>
      <c r="E94" s="27"/>
      <c r="F94" s="13"/>
      <c r="G94" s="13"/>
      <c r="H94" s="13"/>
      <c r="I94" s="13"/>
      <c r="J94" s="13"/>
      <c r="K94" s="13"/>
      <c r="L94" s="13"/>
      <c r="M94" s="13"/>
      <c r="Q94" s="16"/>
    </row>
    <row r="95" spans="1:44" x14ac:dyDescent="0.25">
      <c r="A95" s="135"/>
      <c r="B95" s="136"/>
      <c r="C95" s="136"/>
      <c r="D95" s="136"/>
      <c r="E95" s="136"/>
      <c r="F95" s="125"/>
      <c r="G95" s="125"/>
      <c r="H95" s="136"/>
      <c r="I95" s="125"/>
      <c r="J95" s="125"/>
      <c r="K95" s="125"/>
      <c r="L95" s="125"/>
      <c r="M95" s="136"/>
      <c r="Q95" s="16"/>
    </row>
    <row r="96" spans="1:44" ht="12.6" thickBot="1" x14ac:dyDescent="0.3">
      <c r="A96" s="137"/>
      <c r="B96" s="138"/>
      <c r="C96" s="138"/>
      <c r="D96" s="138"/>
      <c r="E96" s="138"/>
      <c r="F96" s="139"/>
      <c r="G96" s="139"/>
      <c r="H96" s="139"/>
      <c r="I96" s="140"/>
      <c r="J96" s="140"/>
      <c r="K96" s="140"/>
      <c r="L96" s="140"/>
      <c r="M96" s="140"/>
      <c r="N96" s="140"/>
      <c r="O96" s="140"/>
      <c r="P96" s="140"/>
      <c r="Q96" s="141"/>
    </row>
    <row r="97" spans="9:16" x14ac:dyDescent="0.25">
      <c r="I97" s="35"/>
      <c r="J97" s="35"/>
      <c r="K97" s="35"/>
      <c r="L97" s="35"/>
      <c r="M97" s="35"/>
      <c r="N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35"/>
      <c r="J99" s="35"/>
      <c r="K99" s="35"/>
      <c r="O99" s="35"/>
      <c r="P99" s="35"/>
    </row>
    <row r="100" spans="9:16" x14ac:dyDescent="0.25">
      <c r="I100" s="142"/>
      <c r="J100" s="142"/>
      <c r="K100" s="142"/>
      <c r="O100" s="142"/>
      <c r="P100" s="142"/>
    </row>
    <row r="102" spans="9:16" x14ac:dyDescent="0.25">
      <c r="I102" s="35"/>
      <c r="J102" s="35"/>
      <c r="K102" s="35"/>
      <c r="O102" s="35"/>
      <c r="P102" s="35"/>
    </row>
    <row r="103" spans="9:16" x14ac:dyDescent="0.25">
      <c r="I103" s="142"/>
      <c r="J103" s="142"/>
      <c r="K103" s="142"/>
      <c r="O103" s="142"/>
      <c r="P103" s="142"/>
    </row>
    <row r="104" spans="9:16" x14ac:dyDescent="0.25">
      <c r="I104" s="35"/>
      <c r="J104" s="35"/>
      <c r="K104" s="35"/>
      <c r="O104" s="35"/>
      <c r="P104" s="35"/>
    </row>
    <row r="105" spans="9:16" x14ac:dyDescent="0.25">
      <c r="I105" s="142"/>
      <c r="J105" s="142"/>
      <c r="K105" s="142"/>
      <c r="O105" s="142"/>
      <c r="P105" s="142"/>
    </row>
  </sheetData>
  <sheetProtection algorithmName="SHA-512" hashValue="oG3tQQK6fh2yR68E1jr/g9y0RobqZ806kzgNlV4YJ0rqmK+A7my+du4MrOrmTwwr+I24MupzwRc/y0tgcLElYw==" saltValue="8A+rX6wmNhPX1z/grYsc2Q==" spinCount="100000" sheet="1" objects="1" scenarios="1"/>
  <mergeCells count="11">
    <mergeCell ref="A81:Q81"/>
    <mergeCell ref="A86:D86"/>
    <mergeCell ref="E86:H86"/>
    <mergeCell ref="L86:N86"/>
    <mergeCell ref="O86:Q86"/>
    <mergeCell ref="A75:Q75"/>
    <mergeCell ref="L5:M5"/>
    <mergeCell ref="A6:Q6"/>
    <mergeCell ref="A51:Q51"/>
    <mergeCell ref="A68:Q68"/>
    <mergeCell ref="A71:Q71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23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6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2:Q73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6:Q79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2:Q83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Enock Rukarwa</cp:lastModifiedBy>
  <cp:lastPrinted>2026-03-31T14:15:33Z</cp:lastPrinted>
  <dcterms:created xsi:type="dcterms:W3CDTF">2026-03-31T13:53:12Z</dcterms:created>
  <dcterms:modified xsi:type="dcterms:W3CDTF">2026-03-31T14:18:24Z</dcterms:modified>
</cp:coreProperties>
</file>