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2.04.26/"/>
    </mc:Choice>
  </mc:AlternateContent>
  <xr:revisionPtr revIDLastSave="0" documentId="8_{9BCB0B52-68F3-4259-AB06-7D337B7009F1}" xr6:coauthVersionLast="47" xr6:coauthVersionMax="47" xr10:uidLastSave="{00000000-0000-0000-0000-000000000000}"/>
  <bookViews>
    <workbookView xWindow="-108" yWindow="-108" windowWidth="23256" windowHeight="12456" xr2:uid="{E812D9A6-7E64-47EC-A535-CB32609685E0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P83" i="1"/>
  <c r="M83" i="1"/>
  <c r="L83" i="1"/>
  <c r="K83" i="1"/>
  <c r="J83" i="1"/>
  <c r="E83" i="1"/>
  <c r="D83" i="1"/>
  <c r="Q82" i="1"/>
  <c r="M82" i="1"/>
  <c r="L82" i="1"/>
  <c r="K82" i="1"/>
  <c r="J82" i="1"/>
  <c r="D82" i="1" s="1"/>
  <c r="E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/>
  <c r="O74" i="1"/>
  <c r="N74" i="1"/>
  <c r="M73" i="1"/>
  <c r="L73" i="1"/>
  <c r="K73" i="1"/>
  <c r="E73" i="1" s="1"/>
  <c r="J73" i="1"/>
  <c r="Q73" i="1" s="1"/>
  <c r="D73" i="1"/>
  <c r="Q72" i="1"/>
  <c r="M72" i="1"/>
  <c r="L72" i="1"/>
  <c r="J72" i="1"/>
  <c r="K72" i="1" s="1"/>
  <c r="E72" i="1" s="1"/>
  <c r="D72" i="1"/>
  <c r="M69" i="1"/>
  <c r="L69" i="1"/>
  <c r="D69" i="1"/>
  <c r="O67" i="1"/>
  <c r="N67" i="1"/>
  <c r="Q66" i="1"/>
  <c r="P66" i="1"/>
  <c r="M66" i="1"/>
  <c r="L66" i="1"/>
  <c r="J66" i="1"/>
  <c r="D66" i="1"/>
  <c r="Q65" i="1"/>
  <c r="P65" i="1"/>
  <c r="M65" i="1"/>
  <c r="L65" i="1"/>
  <c r="J65" i="1"/>
  <c r="D65" i="1"/>
  <c r="Q64" i="1"/>
  <c r="P64" i="1"/>
  <c r="M64" i="1"/>
  <c r="L64" i="1"/>
  <c r="J64" i="1"/>
  <c r="D64" i="1"/>
  <c r="Q63" i="1"/>
  <c r="P63" i="1"/>
  <c r="M63" i="1"/>
  <c r="L63" i="1"/>
  <c r="J63" i="1"/>
  <c r="D63" i="1"/>
  <c r="Q62" i="1"/>
  <c r="P62" i="1"/>
  <c r="M62" i="1"/>
  <c r="L62" i="1"/>
  <c r="J62" i="1"/>
  <c r="D62" i="1"/>
  <c r="Q61" i="1"/>
  <c r="P61" i="1"/>
  <c r="M61" i="1"/>
  <c r="L61" i="1"/>
  <c r="J61" i="1"/>
  <c r="D61" i="1"/>
  <c r="Q60" i="1"/>
  <c r="P60" i="1"/>
  <c r="M60" i="1"/>
  <c r="L60" i="1"/>
  <c r="J60" i="1"/>
  <c r="D60" i="1"/>
  <c r="Q59" i="1"/>
  <c r="P59" i="1"/>
  <c r="M59" i="1"/>
  <c r="L59" i="1"/>
  <c r="J59" i="1"/>
  <c r="D59" i="1"/>
  <c r="Q58" i="1"/>
  <c r="P58" i="1"/>
  <c r="M58" i="1"/>
  <c r="L58" i="1"/>
  <c r="J58" i="1"/>
  <c r="D58" i="1"/>
  <c r="Q57" i="1"/>
  <c r="P57" i="1"/>
  <c r="M57" i="1"/>
  <c r="L57" i="1"/>
  <c r="J57" i="1"/>
  <c r="D57" i="1"/>
  <c r="Q56" i="1"/>
  <c r="P56" i="1"/>
  <c r="M56" i="1"/>
  <c r="L56" i="1"/>
  <c r="J56" i="1"/>
  <c r="D56" i="1"/>
  <c r="Q55" i="1"/>
  <c r="M55" i="1"/>
  <c r="L55" i="1"/>
  <c r="J55" i="1"/>
  <c r="D55" i="1" s="1"/>
  <c r="Q54" i="1"/>
  <c r="P54" i="1"/>
  <c r="M54" i="1"/>
  <c r="L54" i="1"/>
  <c r="J54" i="1"/>
  <c r="D54" i="1"/>
  <c r="P53" i="1"/>
  <c r="M53" i="1"/>
  <c r="L53" i="1"/>
  <c r="J53" i="1"/>
  <c r="Q53" i="1" s="1"/>
  <c r="Q52" i="1"/>
  <c r="M52" i="1"/>
  <c r="L52" i="1"/>
  <c r="J52" i="1"/>
  <c r="D52" i="1" s="1"/>
  <c r="E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E47" i="1" s="1"/>
  <c r="J47" i="1"/>
  <c r="P47" i="1" s="1"/>
  <c r="Q46" i="1"/>
  <c r="P46" i="1"/>
  <c r="M46" i="1"/>
  <c r="L46" i="1"/>
  <c r="K46" i="1"/>
  <c r="E46" i="1" s="1"/>
  <c r="J46" i="1"/>
  <c r="D46" i="1"/>
  <c r="Q45" i="1"/>
  <c r="P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E43" i="1" s="1"/>
  <c r="J43" i="1"/>
  <c r="D43" i="1"/>
  <c r="Q42" i="1"/>
  <c r="P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E39" i="1"/>
  <c r="D39" i="1"/>
  <c r="Q38" i="1"/>
  <c r="P38" i="1"/>
  <c r="M38" i="1"/>
  <c r="L38" i="1"/>
  <c r="K38" i="1"/>
  <c r="J38" i="1"/>
  <c r="D38" i="1" s="1"/>
  <c r="E38" i="1"/>
  <c r="Q37" i="1"/>
  <c r="M37" i="1"/>
  <c r="L37" i="1"/>
  <c r="K37" i="1"/>
  <c r="E37" i="1" s="1"/>
  <c r="J37" i="1"/>
  <c r="D37" i="1" s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J35" i="1"/>
  <c r="D35" i="1" s="1"/>
  <c r="E35" i="1"/>
  <c r="Q34" i="1"/>
  <c r="M34" i="1"/>
  <c r="L34" i="1"/>
  <c r="K34" i="1"/>
  <c r="E34" i="1" s="1"/>
  <c r="J34" i="1"/>
  <c r="D34" i="1" s="1"/>
  <c r="Q33" i="1"/>
  <c r="P33" i="1"/>
  <c r="M33" i="1"/>
  <c r="L33" i="1"/>
  <c r="K33" i="1"/>
  <c r="J33" i="1"/>
  <c r="E33" i="1"/>
  <c r="D33" i="1"/>
  <c r="K32" i="1"/>
  <c r="E32" i="1" s="1"/>
  <c r="J32" i="1"/>
  <c r="D32" i="1" s="1"/>
  <c r="Q30" i="1"/>
  <c r="P30" i="1"/>
  <c r="M30" i="1"/>
  <c r="L30" i="1"/>
  <c r="K30" i="1"/>
  <c r="J30" i="1"/>
  <c r="E30" i="1"/>
  <c r="D30" i="1"/>
  <c r="Q29" i="1"/>
  <c r="P29" i="1"/>
  <c r="M29" i="1"/>
  <c r="L29" i="1"/>
  <c r="K29" i="1"/>
  <c r="J29" i="1"/>
  <c r="D29" i="1" s="1"/>
  <c r="E29" i="1"/>
  <c r="Q28" i="1"/>
  <c r="M28" i="1"/>
  <c r="L28" i="1"/>
  <c r="K28" i="1"/>
  <c r="E28" i="1" s="1"/>
  <c r="J28" i="1"/>
  <c r="D28" i="1" s="1"/>
  <c r="Q27" i="1"/>
  <c r="P27" i="1"/>
  <c r="M27" i="1"/>
  <c r="L27" i="1"/>
  <c r="K27" i="1"/>
  <c r="J27" i="1"/>
  <c r="E27" i="1"/>
  <c r="D27" i="1"/>
  <c r="Q26" i="1"/>
  <c r="P26" i="1"/>
  <c r="M26" i="1"/>
  <c r="L26" i="1"/>
  <c r="K26" i="1"/>
  <c r="J26" i="1"/>
  <c r="D26" i="1" s="1"/>
  <c r="E26" i="1"/>
  <c r="Q25" i="1"/>
  <c r="M25" i="1"/>
  <c r="L25" i="1"/>
  <c r="K25" i="1"/>
  <c r="E25" i="1" s="1"/>
  <c r="J25" i="1"/>
  <c r="D25" i="1" s="1"/>
  <c r="Q24" i="1"/>
  <c r="P24" i="1"/>
  <c r="M24" i="1"/>
  <c r="L24" i="1"/>
  <c r="K24" i="1"/>
  <c r="J24" i="1"/>
  <c r="E24" i="1"/>
  <c r="D24" i="1"/>
  <c r="Q23" i="1"/>
  <c r="P23" i="1"/>
  <c r="M23" i="1"/>
  <c r="L23" i="1"/>
  <c r="K23" i="1"/>
  <c r="J23" i="1"/>
  <c r="D23" i="1" s="1"/>
  <c r="E23" i="1"/>
  <c r="Q22" i="1"/>
  <c r="M22" i="1"/>
  <c r="L22" i="1"/>
  <c r="K22" i="1"/>
  <c r="E22" i="1" s="1"/>
  <c r="J22" i="1"/>
  <c r="D22" i="1" s="1"/>
  <c r="Q21" i="1"/>
  <c r="P21" i="1"/>
  <c r="M21" i="1"/>
  <c r="L21" i="1"/>
  <c r="K21" i="1"/>
  <c r="J21" i="1"/>
  <c r="E21" i="1"/>
  <c r="D21" i="1"/>
  <c r="Q20" i="1"/>
  <c r="P20" i="1"/>
  <c r="M20" i="1"/>
  <c r="L20" i="1"/>
  <c r="K20" i="1"/>
  <c r="J20" i="1"/>
  <c r="D20" i="1" s="1"/>
  <c r="E20" i="1"/>
  <c r="E19" i="1"/>
  <c r="D19" i="1"/>
  <c r="Q18" i="1"/>
  <c r="P18" i="1"/>
  <c r="M18" i="1"/>
  <c r="L18" i="1"/>
  <c r="K18" i="1"/>
  <c r="J18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Q15" i="1"/>
  <c r="P15" i="1"/>
  <c r="M15" i="1"/>
  <c r="L15" i="1"/>
  <c r="K15" i="1"/>
  <c r="J15" i="1"/>
  <c r="E15" i="1"/>
  <c r="D15" i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Q12" i="1"/>
  <c r="P12" i="1"/>
  <c r="M12" i="1"/>
  <c r="L12" i="1"/>
  <c r="K12" i="1"/>
  <c r="J12" i="1"/>
  <c r="E12" i="1"/>
  <c r="D12" i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P10" i="1" s="1"/>
  <c r="P82" i="1" l="1"/>
  <c r="D10" i="1"/>
  <c r="D13" i="1"/>
  <c r="D16" i="1"/>
  <c r="P22" i="1"/>
  <c r="P25" i="1"/>
  <c r="P28" i="1"/>
  <c r="P34" i="1"/>
  <c r="P37" i="1"/>
  <c r="D53" i="1"/>
  <c r="D41" i="1"/>
  <c r="D44" i="1"/>
  <c r="D47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<sst xmlns="http://schemas.openxmlformats.org/spreadsheetml/2006/main" count="265" uniqueCount="181">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</sst>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9" fontId="15" fillId="5" borderId="0" xfId="1" applyFont="1" applyFill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</cellXfs>
  <cellStyles count="9">
    <cellStyle name="Comma 2 2 2 2 2 2 2 2 2 2" xfId="3" xr:uid="{D516E57C-4EF6-44D8-A0C6-AFE2209E7F85}"/>
    <cellStyle name="Comma 5 2 2 2 2 2 2 2 2" xfId="4" xr:uid="{D4A05183-457D-4EB1-9C82-9E3CE25732CB}"/>
    <cellStyle name="Comma 6 2 2 2" xfId="5" xr:uid="{3988027E-AFEC-4C24-BFD3-5B5376BBAEB9}"/>
    <cellStyle name="Hyperlink 2" xfId="8" xr:uid="{750FCF13-06FD-42F7-BF88-CE83671CEFFC}"/>
    <cellStyle name="Normal" xfId="0" builtinId="0"/>
    <cellStyle name="Normal 2" xfId="2" xr:uid="{25D5D064-3626-4640-AB2C-C211C9EF9C13}"/>
    <cellStyle name="Normal 20" xfId="7" xr:uid="{EDE19853-2CAD-4CE9-8C3D-CE5674C394D8}"/>
    <cellStyle name="Percent" xfId="1" builtinId="5"/>
    <cellStyle name="Percent 3" xfId="6" xr:uid="{F81764B2-B7DC-4FDA-88FE-EB2AFA395629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8A0FE09-1BA1-414E-B29D-C56E1D7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1171190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13C30D4-8E90-4250-93ED-E487056A8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321"/>
          <a:ext cx="6552000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F3B4-BF7C-4630-A8AD-E0509FA266BC}">
  <dimension ref="A1:II105"/>
  <sheetViews>
    <sheetView tabSelected="1" zoomScale="70" zoomScaleNormal="70" workbookViewId="0">
      <selection activeCell="T12" sqref="T12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0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25.249700000000001</v>
      </c>
      <c r="K5" s="22"/>
      <c r="L5" s="135" t="s">
        <v>12</v>
      </c>
      <c r="M5" s="136"/>
      <c r="N5" s="23" t="s">
        <v>13</v>
      </c>
      <c r="O5" s="24"/>
      <c r="P5" s="24"/>
      <c r="Q5" s="25"/>
    </row>
    <row r="6" spans="1:18" ht="12.6" x14ac:dyDescent="0.3">
      <c r="A6" s="125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8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68179947.254818872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0.54654114702352896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0</v>
      </c>
      <c r="O10" s="37">
        <v>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1949095.2442363671</v>
      </c>
      <c r="E11" s="39">
        <f t="shared" si="1"/>
        <v>1640469.0062798329</v>
      </c>
      <c r="F11" s="40" t="s">
        <v>34</v>
      </c>
      <c r="G11" s="41">
        <v>3.1600000000000003E-2</v>
      </c>
      <c r="H11" s="42">
        <v>0.03</v>
      </c>
      <c r="I11" s="42">
        <v>3.0240999999999997E-2</v>
      </c>
      <c r="J11" s="43">
        <f t="shared" ref="J11:J18" si="7">I11/$J$5</f>
        <v>1.1976775961694594E-3</v>
      </c>
      <c r="K11" s="44">
        <f t="shared" si="2"/>
        <v>1.0080333333333331E-3</v>
      </c>
      <c r="L11" s="45">
        <f t="shared" si="3"/>
        <v>2.4099999999999816E-4</v>
      </c>
      <c r="M11" s="45">
        <f t="shared" si="4"/>
        <v>0.80333333333332724</v>
      </c>
      <c r="N11" s="46">
        <v>43200</v>
      </c>
      <c r="O11" s="37">
        <v>1306.4000000000001</v>
      </c>
      <c r="P11" s="47">
        <f t="shared" si="5"/>
        <v>0</v>
      </c>
      <c r="Q11" s="48">
        <f t="shared" si="6"/>
        <v>-4.3006329113924213E-2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4274641.190707216</v>
      </c>
      <c r="E12" s="39">
        <f t="shared" si="1"/>
        <v>3597780.255766667</v>
      </c>
      <c r="F12" s="40" t="s">
        <v>39</v>
      </c>
      <c r="G12" s="41">
        <v>7.8E-2</v>
      </c>
      <c r="H12" s="42">
        <v>0.24509699999999998</v>
      </c>
      <c r="I12" s="42">
        <v>0.247</v>
      </c>
      <c r="J12" s="43">
        <f t="shared" si="7"/>
        <v>9.7822944431022931E-3</v>
      </c>
      <c r="K12" s="44">
        <f t="shared" si="2"/>
        <v>8.2333333333333338E-3</v>
      </c>
      <c r="L12" s="45">
        <f t="shared" si="3"/>
        <v>1.9030000000000158E-3</v>
      </c>
      <c r="M12" s="45">
        <f t="shared" si="4"/>
        <v>0.77642729205172478</v>
      </c>
      <c r="N12" s="46">
        <v>2000</v>
      </c>
      <c r="O12" s="37">
        <v>494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156653156.6276035</v>
      </c>
      <c r="E13" s="39">
        <f t="shared" si="1"/>
        <v>131848173.63</v>
      </c>
      <c r="F13" s="40" t="s">
        <v>34</v>
      </c>
      <c r="G13" s="41">
        <v>97.381</v>
      </c>
      <c r="H13" s="42">
        <v>191.7</v>
      </c>
      <c r="I13" s="42">
        <v>191.7</v>
      </c>
      <c r="J13" s="43">
        <f t="shared" si="7"/>
        <v>7.5921694119138046</v>
      </c>
      <c r="K13" s="44">
        <f t="shared" si="2"/>
        <v>6.39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47">
        <f t="shared" si="5"/>
        <v>0</v>
      </c>
      <c r="Q13" s="48">
        <f t="shared" si="6"/>
        <v>0.9685564945934011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4497509.7349275434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0.51487740448401365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320760634.60134172</v>
      </c>
      <c r="E15" s="39">
        <f t="shared" si="1"/>
        <v>269970326.51644999</v>
      </c>
      <c r="F15" s="40" t="s">
        <v>47</v>
      </c>
      <c r="G15" s="41">
        <v>11.5</v>
      </c>
      <c r="H15" s="42">
        <v>15.2</v>
      </c>
      <c r="I15" s="42">
        <v>15.495899999999999</v>
      </c>
      <c r="J15" s="43">
        <f t="shared" si="7"/>
        <v>0.61370630146100735</v>
      </c>
      <c r="K15" s="44">
        <f t="shared" si="2"/>
        <v>0.51652999999999993</v>
      </c>
      <c r="L15" s="45">
        <f t="shared" si="3"/>
        <v>0.29589999999999961</v>
      </c>
      <c r="M15" s="45">
        <f t="shared" si="4"/>
        <v>1.9467105263157869</v>
      </c>
      <c r="N15" s="46">
        <v>6100</v>
      </c>
      <c r="O15" s="37">
        <v>94525</v>
      </c>
      <c r="P15" s="47">
        <f t="shared" si="5"/>
        <v>0</v>
      </c>
      <c r="Q15" s="48">
        <f t="shared" si="6"/>
        <v>0.34746956521739114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25996071.884022385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0.24515142754171337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36722037.577306263</v>
      </c>
      <c r="E17" s="39">
        <f t="shared" si="1"/>
        <v>30907347.740523666</v>
      </c>
      <c r="F17" s="40" t="s">
        <v>34</v>
      </c>
      <c r="G17" s="41">
        <v>1.9</v>
      </c>
      <c r="H17" s="42">
        <v>2.6</v>
      </c>
      <c r="I17" s="42">
        <v>2.589995</v>
      </c>
      <c r="J17" s="43">
        <f t="shared" si="7"/>
        <v>0.1025752781221163</v>
      </c>
      <c r="K17" s="44">
        <f t="shared" si="2"/>
        <v>8.6333166666666669E-2</v>
      </c>
      <c r="L17" s="45">
        <f t="shared" si="3"/>
        <v>-1.0005000000000042E-2</v>
      </c>
      <c r="M17" s="45">
        <f t="shared" si="4"/>
        <v>-0.3848076923076939</v>
      </c>
      <c r="N17" s="46">
        <v>197300</v>
      </c>
      <c r="O17" s="37">
        <v>511006.05</v>
      </c>
      <c r="P17" s="47">
        <f t="shared" si="5"/>
        <v>0</v>
      </c>
      <c r="Q17" s="48">
        <f t="shared" si="6"/>
        <v>0.36315526315789493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1434199551.5686522</v>
      </c>
      <c r="E18" s="39">
        <f t="shared" si="1"/>
        <v>1207103613.9080999</v>
      </c>
      <c r="F18" s="40" t="s">
        <v>34</v>
      </c>
      <c r="G18" s="41">
        <v>20.701700000000002</v>
      </c>
      <c r="H18" s="42">
        <v>27.000500000000002</v>
      </c>
      <c r="I18" s="42">
        <v>26.992199999999997</v>
      </c>
      <c r="J18" s="43">
        <f t="shared" si="7"/>
        <v>1.0690107209194564</v>
      </c>
      <c r="K18" s="44">
        <f t="shared" si="2"/>
        <v>0.89973999999999987</v>
      </c>
      <c r="L18" s="45">
        <f t="shared" si="3"/>
        <v>-8.3000000000055252E-3</v>
      </c>
      <c r="M18" s="45">
        <f t="shared" si="4"/>
        <v>-3.0740171478326417E-2</v>
      </c>
      <c r="N18" s="46">
        <v>245300</v>
      </c>
      <c r="O18" s="37">
        <v>6621178.5</v>
      </c>
      <c r="P18" s="47">
        <f t="shared" si="5"/>
        <v>0</v>
      </c>
      <c r="Q18" s="48">
        <f t="shared" si="6"/>
        <v>0.30386393387982591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263460725.36703405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0.39208386634296644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2495559.3073779093</v>
      </c>
      <c r="E21" s="39">
        <f t="shared" si="1"/>
        <v>2100404.1281166668</v>
      </c>
      <c r="F21" s="40" t="s">
        <v>47</v>
      </c>
      <c r="G21" s="41">
        <v>0.35</v>
      </c>
      <c r="H21" s="42">
        <v>0.57850000000000001</v>
      </c>
      <c r="I21" s="42">
        <v>0.57850000000000001</v>
      </c>
      <c r="J21" s="43">
        <f t="shared" si="8"/>
        <v>2.291116330095011E-2</v>
      </c>
      <c r="K21" s="44">
        <f t="shared" si="9"/>
        <v>1.9283333333333333E-2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0.65285714285714302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78991569.93548438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0.11445680542739121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47974985.17368523</v>
      </c>
      <c r="E23" s="39">
        <f t="shared" si="1"/>
        <v>40378466.104666665</v>
      </c>
      <c r="F23" s="40" t="s">
        <v>66</v>
      </c>
      <c r="G23" s="41">
        <v>0.88420599999999994</v>
      </c>
      <c r="H23" s="42">
        <v>0.98199999999999998</v>
      </c>
      <c r="I23" s="42">
        <v>0.98</v>
      </c>
      <c r="J23" s="43">
        <f t="shared" si="8"/>
        <v>3.8812342324859306E-2</v>
      </c>
      <c r="K23" s="44">
        <f t="shared" si="9"/>
        <v>3.2666666666666663E-2</v>
      </c>
      <c r="L23" s="45">
        <f t="shared" si="10"/>
        <v>-2.0000000000000018E-3</v>
      </c>
      <c r="M23" s="45">
        <f t="shared" si="11"/>
        <v>-0.20366598778004094</v>
      </c>
      <c r="N23" s="46">
        <v>10500</v>
      </c>
      <c r="O23" s="37">
        <v>10290</v>
      </c>
      <c r="P23" s="47">
        <f t="shared" si="12"/>
        <v>0</v>
      </c>
      <c r="Q23" s="48">
        <f t="shared" si="13"/>
        <v>0.10833900697348819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2135754.3500120793</v>
      </c>
      <c r="E24" s="39">
        <f t="shared" si="1"/>
        <v>1797571.88705</v>
      </c>
      <c r="F24" s="40" t="s">
        <v>44</v>
      </c>
      <c r="G24" s="41">
        <v>0.1</v>
      </c>
      <c r="H24" s="42">
        <v>0.10050000000000001</v>
      </c>
      <c r="I24" s="42">
        <v>0.10050000000000001</v>
      </c>
      <c r="J24" s="43">
        <f t="shared" si="8"/>
        <v>3.9802453098452652E-3</v>
      </c>
      <c r="K24" s="44">
        <f t="shared" si="9"/>
        <v>3.3500000000000001E-3</v>
      </c>
      <c r="L24" s="45">
        <f t="shared" si="10"/>
        <v>0</v>
      </c>
      <c r="M24" s="45">
        <f t="shared" si="11"/>
        <v>0</v>
      </c>
      <c r="N24" s="46">
        <v>0</v>
      </c>
      <c r="O24" s="37">
        <v>0</v>
      </c>
      <c r="P24" s="47">
        <f t="shared" si="12"/>
        <v>0</v>
      </c>
      <c r="Q24" s="48">
        <f t="shared" si="13"/>
        <v>4.9999999999998934E-3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72622461.177756563</v>
      </c>
      <c r="E25" s="39">
        <f t="shared" si="1"/>
        <v>61123178.599999994</v>
      </c>
      <c r="F25" s="40" t="s">
        <v>34</v>
      </c>
      <c r="G25" s="41">
        <v>8.1687659999999997</v>
      </c>
      <c r="H25" s="42">
        <v>9.5</v>
      </c>
      <c r="I25" s="42">
        <v>9.5</v>
      </c>
      <c r="J25" s="43">
        <f t="shared" si="8"/>
        <v>0.37624209396547287</v>
      </c>
      <c r="K25" s="44">
        <f t="shared" si="9"/>
        <v>0.31666666666666665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47">
        <f t="shared" si="12"/>
        <v>0</v>
      </c>
      <c r="Q25" s="48">
        <f t="shared" si="13"/>
        <v>0.16296635256781755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80169547.313255206</v>
      </c>
      <c r="E26" s="39">
        <f t="shared" si="1"/>
        <v>67475233.959849998</v>
      </c>
      <c r="F26" s="40" t="s">
        <v>66</v>
      </c>
      <c r="G26" s="41">
        <v>1.6675</v>
      </c>
      <c r="H26" s="42">
        <v>1.2</v>
      </c>
      <c r="I26" s="42">
        <v>1.1995</v>
      </c>
      <c r="J26" s="43">
        <f t="shared" si="8"/>
        <v>4.7505514917008912E-2</v>
      </c>
      <c r="K26" s="44">
        <f t="shared" si="9"/>
        <v>3.9983333333333336E-2</v>
      </c>
      <c r="L26" s="45">
        <f t="shared" si="10"/>
        <v>-4.9999999999994493E-4</v>
      </c>
      <c r="M26" s="45">
        <f t="shared" si="11"/>
        <v>-4.1666666666662078E-2</v>
      </c>
      <c r="N26" s="46">
        <v>1200</v>
      </c>
      <c r="O26" s="37">
        <v>1439.4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21805908.430595212</v>
      </c>
      <c r="E27" s="39">
        <f t="shared" si="1"/>
        <v>18353088.203333333</v>
      </c>
      <c r="F27" s="40" t="s">
        <v>44</v>
      </c>
      <c r="G27" s="41">
        <v>1.7994999999999999</v>
      </c>
      <c r="H27" s="42">
        <v>2.2999999999999998</v>
      </c>
      <c r="I27" s="42">
        <v>2.2999999999999998</v>
      </c>
      <c r="J27" s="43">
        <f t="shared" si="8"/>
        <v>9.1090191170588156E-2</v>
      </c>
      <c r="K27" s="44">
        <f t="shared" si="9"/>
        <v>7.6666666666666661E-2</v>
      </c>
      <c r="L27" s="45">
        <f t="shared" si="10"/>
        <v>0</v>
      </c>
      <c r="M27" s="45">
        <f t="shared" si="11"/>
        <v>0</v>
      </c>
      <c r="N27" s="46">
        <v>5000</v>
      </c>
      <c r="O27" s="37">
        <v>11500</v>
      </c>
      <c r="P27" s="47">
        <f t="shared" si="12"/>
        <v>0</v>
      </c>
      <c r="Q27" s="48">
        <f t="shared" si="13"/>
        <v>0.2781328146707418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31803293.019682016</v>
      </c>
      <c r="E28" s="39">
        <f t="shared" si="1"/>
        <v>26767453.591968838</v>
      </c>
      <c r="F28" s="40" t="s">
        <v>34</v>
      </c>
      <c r="G28" s="41">
        <v>3.1361369999999997</v>
      </c>
      <c r="H28" s="42">
        <v>3.2</v>
      </c>
      <c r="I28" s="42">
        <v>3.1349650000000002</v>
      </c>
      <c r="J28" s="43">
        <f t="shared" si="8"/>
        <v>0.12415850485352302</v>
      </c>
      <c r="K28" s="44">
        <f t="shared" si="9"/>
        <v>0.10449883333333335</v>
      </c>
      <c r="L28" s="45">
        <f t="shared" si="10"/>
        <v>-6.5034999999999954E-2</v>
      </c>
      <c r="M28" s="45">
        <f t="shared" si="11"/>
        <v>-2.0323437499999986</v>
      </c>
      <c r="N28" s="46">
        <v>22800</v>
      </c>
      <c r="O28" s="37">
        <v>71477.2</v>
      </c>
      <c r="P28" s="47">
        <f t="shared" si="12"/>
        <v>0</v>
      </c>
      <c r="Q28" s="48">
        <f t="shared" si="13"/>
        <v>-3.7370816389703521E-4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24299776.91904331</v>
      </c>
      <c r="E29" s="39">
        <f t="shared" si="1"/>
        <v>20452069.242425598</v>
      </c>
      <c r="F29" s="40" t="s">
        <v>44</v>
      </c>
      <c r="G29" s="41">
        <v>0.8</v>
      </c>
      <c r="H29" s="42">
        <v>0.80040599999999995</v>
      </c>
      <c r="I29" s="42">
        <v>0.81196799999999991</v>
      </c>
      <c r="J29" s="43">
        <f t="shared" si="8"/>
        <v>3.2157530584521789E-2</v>
      </c>
      <c r="K29" s="44">
        <f t="shared" si="9"/>
        <v>2.7065599999999999E-2</v>
      </c>
      <c r="L29" s="45">
        <f t="shared" si="10"/>
        <v>1.1561999999999961E-2</v>
      </c>
      <c r="M29" s="45">
        <f t="shared" si="11"/>
        <v>1.4445169076693531</v>
      </c>
      <c r="N29" s="46">
        <v>9400</v>
      </c>
      <c r="O29" s="37">
        <v>7632.5</v>
      </c>
      <c r="P29" s="47">
        <f t="shared" si="12"/>
        <v>0</v>
      </c>
      <c r="Q29" s="48">
        <f t="shared" si="13"/>
        <v>1.4959999999999862E-2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80355088.526992396</v>
      </c>
      <c r="E30" s="39">
        <f t="shared" si="1"/>
        <v>67631395.959333315</v>
      </c>
      <c r="F30" s="40" t="s">
        <v>47</v>
      </c>
      <c r="G30" s="41">
        <v>5.15</v>
      </c>
      <c r="H30" s="42">
        <v>5.0199999999999996</v>
      </c>
      <c r="I30" s="42">
        <v>5.0199999999999996</v>
      </c>
      <c r="J30" s="43">
        <f t="shared" si="8"/>
        <v>0.19881424333754458</v>
      </c>
      <c r="K30" s="44">
        <f t="shared" si="9"/>
        <v>0.16733333333333331</v>
      </c>
      <c r="L30" s="45">
        <f t="shared" si="10"/>
        <v>0</v>
      </c>
      <c r="M30" s="45">
        <f t="shared" si="11"/>
        <v>0</v>
      </c>
      <c r="N30" s="46">
        <v>0</v>
      </c>
      <c r="O30" s="37">
        <v>0</v>
      </c>
      <c r="P30" s="47">
        <f t="shared" si="12"/>
        <v>0</v>
      </c>
      <c r="Q30" s="48">
        <f t="shared" si="13"/>
        <v>-2.5242718446602086E-2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15432637.689358683</v>
      </c>
      <c r="E33" s="39">
        <f t="shared" si="15"/>
        <v>12988982.395499999</v>
      </c>
      <c r="F33" s="40" t="s">
        <v>39</v>
      </c>
      <c r="G33" s="41">
        <v>1.4</v>
      </c>
      <c r="H33" s="42">
        <v>1.5</v>
      </c>
      <c r="I33" s="42">
        <v>1.4994999999999998</v>
      </c>
      <c r="J33" s="43">
        <f t="shared" si="16"/>
        <v>5.9386844200129102E-2</v>
      </c>
      <c r="K33" s="44">
        <f t="shared" si="17"/>
        <v>4.9983333333333331E-2</v>
      </c>
      <c r="L33" s="45">
        <f t="shared" ref="L33:L48" si="18">I33-H33</f>
        <v>-5.0000000000016698E-4</v>
      </c>
      <c r="M33" s="45">
        <f t="shared" ref="M33:M48" si="19">((I33-H33)/H33)*100</f>
        <v>-3.333333333334447E-2</v>
      </c>
      <c r="N33" s="46">
        <v>81300</v>
      </c>
      <c r="O33" s="37">
        <v>121909.35</v>
      </c>
      <c r="P33" s="47">
        <f t="shared" ref="P33:P38" si="20">(R33)/J33</f>
        <v>0</v>
      </c>
      <c r="Q33" s="48">
        <f t="shared" ref="Q33:Q48" si="21">I33/G33-1</f>
        <v>7.1071428571428452E-2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3624680.7882865937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2.9703323207800489E-2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400</v>
      </c>
      <c r="O34" s="37">
        <v>300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171850265.55437887</v>
      </c>
      <c r="E35" s="39">
        <f t="shared" si="15"/>
        <v>144638921.67227998</v>
      </c>
      <c r="F35" s="40" t="s">
        <v>92</v>
      </c>
      <c r="G35" s="41">
        <v>1.44</v>
      </c>
      <c r="H35" s="42">
        <v>1.648684</v>
      </c>
      <c r="I35" s="42">
        <v>1.7387999999999999</v>
      </c>
      <c r="J35" s="43">
        <f t="shared" si="16"/>
        <v>6.886418452496465E-2</v>
      </c>
      <c r="K35" s="44">
        <f t="shared" si="17"/>
        <v>5.7959999999999998E-2</v>
      </c>
      <c r="L35" s="45">
        <f t="shared" si="18"/>
        <v>9.0115999999999863E-2</v>
      </c>
      <c r="M35" s="45">
        <f t="shared" si="19"/>
        <v>5.4659352550276381</v>
      </c>
      <c r="N35" s="46">
        <v>2500</v>
      </c>
      <c r="O35" s="37">
        <v>4347</v>
      </c>
      <c r="P35" s="47">
        <f t="shared" si="20"/>
        <v>0</v>
      </c>
      <c r="Q35" s="48">
        <f t="shared" si="21"/>
        <v>0.20750000000000002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35650020.204916686</v>
      </c>
      <c r="E36" s="39">
        <f t="shared" si="15"/>
        <v>30005077.172269501</v>
      </c>
      <c r="F36" s="40" t="s">
        <v>34</v>
      </c>
      <c r="G36" s="41">
        <v>3.6056249999999999</v>
      </c>
      <c r="H36" s="42">
        <v>3.51</v>
      </c>
      <c r="I36" s="42">
        <v>3.5509949999999999</v>
      </c>
      <c r="J36" s="43">
        <f t="shared" si="16"/>
        <v>0.14063513625904464</v>
      </c>
      <c r="K36" s="44">
        <f t="shared" si="17"/>
        <v>0.1183665</v>
      </c>
      <c r="L36" s="45">
        <f t="shared" si="18"/>
        <v>4.0995000000000115E-2</v>
      </c>
      <c r="M36" s="45">
        <f t="shared" si="19"/>
        <v>1.1679487179487211</v>
      </c>
      <c r="N36" s="46">
        <v>150700</v>
      </c>
      <c r="O36" s="37">
        <v>535134.9</v>
      </c>
      <c r="P36" s="47">
        <f t="shared" si="20"/>
        <v>0</v>
      </c>
      <c r="Q36" s="48">
        <f t="shared" si="21"/>
        <v>-1.5151326053042147E-2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6387007.369092227</v>
      </c>
      <c r="E37" s="39">
        <f t="shared" si="15"/>
        <v>5375667.3322456013</v>
      </c>
      <c r="F37" s="40" t="s">
        <v>34</v>
      </c>
      <c r="G37" s="41">
        <v>2.5099999999999997E-2</v>
      </c>
      <c r="H37" s="42">
        <v>3.4000000000000002E-2</v>
      </c>
      <c r="I37" s="42">
        <v>3.4203000000000004E-2</v>
      </c>
      <c r="J37" s="43">
        <f t="shared" si="16"/>
        <v>1.3545903515685335E-3</v>
      </c>
      <c r="K37" s="44">
        <f t="shared" si="17"/>
        <v>1.1401000000000002E-3</v>
      </c>
      <c r="L37" s="45">
        <f t="shared" si="18"/>
        <v>2.0300000000000179E-4</v>
      </c>
      <c r="M37" s="45">
        <f t="shared" si="19"/>
        <v>0.59705882352941697</v>
      </c>
      <c r="N37" s="46">
        <v>20000</v>
      </c>
      <c r="O37" s="37">
        <v>684.05</v>
      </c>
      <c r="P37" s="47">
        <f t="shared" si="20"/>
        <v>0</v>
      </c>
      <c r="Q37" s="48">
        <f t="shared" si="21"/>
        <v>0.36266932270916374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20071783.665514044</v>
      </c>
      <c r="E38" s="39">
        <f t="shared" si="15"/>
        <v>16893550.533970997</v>
      </c>
      <c r="F38" s="40" t="s">
        <v>92</v>
      </c>
      <c r="G38" s="41">
        <v>0.61</v>
      </c>
      <c r="H38" s="42">
        <v>1.7024999999999999</v>
      </c>
      <c r="I38" s="42">
        <v>1.9413069999999999</v>
      </c>
      <c r="J38" s="43">
        <f t="shared" si="16"/>
        <v>7.6884359022087387E-2</v>
      </c>
      <c r="K38" s="44">
        <f t="shared" si="17"/>
        <v>6.4710233333333325E-2</v>
      </c>
      <c r="L38" s="45">
        <f t="shared" si="18"/>
        <v>0.23880699999999999</v>
      </c>
      <c r="M38" s="45">
        <f t="shared" si="19"/>
        <v>14.02684287812041</v>
      </c>
      <c r="N38" s="46">
        <v>28300</v>
      </c>
      <c r="O38" s="37">
        <v>54939</v>
      </c>
      <c r="P38" s="47">
        <f t="shared" si="20"/>
        <v>0</v>
      </c>
      <c r="Q38" s="48">
        <f t="shared" si="21"/>
        <v>2.1824704918032785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16493809.161655348</v>
      </c>
      <c r="E39" s="39">
        <f t="shared" si="15"/>
        <v>13882124.439634968</v>
      </c>
      <c r="F39" s="40" t="s">
        <v>56</v>
      </c>
      <c r="G39" s="41">
        <v>0.11650199999999999</v>
      </c>
      <c r="H39" s="42">
        <v>0.1</v>
      </c>
      <c r="I39" s="42">
        <v>9.9281000000000008E-2</v>
      </c>
      <c r="J39" s="43">
        <f t="shared" si="16"/>
        <v>3.9319675085248539E-3</v>
      </c>
      <c r="K39" s="44">
        <f t="shared" si="17"/>
        <v>3.309366666666667E-3</v>
      </c>
      <c r="L39" s="45">
        <f t="shared" si="18"/>
        <v>-7.1899999999999742E-4</v>
      </c>
      <c r="M39" s="45">
        <f t="shared" si="19"/>
        <v>-0.71899999999999742</v>
      </c>
      <c r="N39" s="46">
        <v>56300</v>
      </c>
      <c r="O39" s="37">
        <v>5589.5</v>
      </c>
      <c r="P39" s="47">
        <v>0</v>
      </c>
      <c r="Q39" s="48">
        <f t="shared" si="21"/>
        <v>-0.14781720485485217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85666301.719228342</v>
      </c>
      <c r="E40" s="39">
        <f t="shared" si="15"/>
        <v>72101613.950666666</v>
      </c>
      <c r="F40" s="40" t="s">
        <v>34</v>
      </c>
      <c r="G40" s="41">
        <v>2.6005000000000003</v>
      </c>
      <c r="H40" s="42">
        <v>6</v>
      </c>
      <c r="I40" s="42">
        <v>5.96</v>
      </c>
      <c r="J40" s="43">
        <f t="shared" si="16"/>
        <v>0.23604240842465454</v>
      </c>
      <c r="K40" s="44">
        <f t="shared" si="17"/>
        <v>0.19866666666666666</v>
      </c>
      <c r="L40" s="45">
        <f t="shared" si="18"/>
        <v>-4.0000000000000036E-2</v>
      </c>
      <c r="M40" s="45">
        <f t="shared" si="19"/>
        <v>-0.66666666666666718</v>
      </c>
      <c r="N40" s="46">
        <v>1500</v>
      </c>
      <c r="O40" s="37">
        <v>8940</v>
      </c>
      <c r="P40" s="47">
        <f t="shared" ref="P40:P47" si="22">(R40)/J40</f>
        <v>0</v>
      </c>
      <c r="Q40" s="48">
        <f t="shared" si="21"/>
        <v>1.2918669486637184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16284583.269988354</v>
      </c>
      <c r="E41" s="39">
        <f t="shared" si="15"/>
        <v>13706028.073074168</v>
      </c>
      <c r="F41" s="40" t="s">
        <v>39</v>
      </c>
      <c r="G41" s="41">
        <v>0.1</v>
      </c>
      <c r="H41" s="42">
        <v>9.0200000000000002E-2</v>
      </c>
      <c r="I41" s="42">
        <v>9.5274999999999999E-2</v>
      </c>
      <c r="J41" s="43">
        <f t="shared" si="16"/>
        <v>3.7733121581642552E-3</v>
      </c>
      <c r="K41" s="44">
        <f t="shared" si="17"/>
        <v>3.1758333333333335E-3</v>
      </c>
      <c r="L41" s="45">
        <f t="shared" si="18"/>
        <v>5.0749999999999962E-3</v>
      </c>
      <c r="M41" s="45">
        <f t="shared" si="19"/>
        <v>5.6263858093126338</v>
      </c>
      <c r="N41" s="46">
        <v>3200</v>
      </c>
      <c r="O41" s="37">
        <v>304.88</v>
      </c>
      <c r="P41" s="47">
        <f t="shared" si="22"/>
        <v>0</v>
      </c>
      <c r="Q41" s="48">
        <f t="shared" si="21"/>
        <v>-4.7250000000000014E-2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9277073.4464171864</v>
      </c>
      <c r="E42" s="39">
        <f t="shared" si="15"/>
        <v>7808110.7133333329</v>
      </c>
      <c r="F42" s="40" t="s">
        <v>44</v>
      </c>
      <c r="G42" s="41">
        <v>1.7452379999999998</v>
      </c>
      <c r="H42" s="42">
        <v>2.2000000000000002</v>
      </c>
      <c r="I42" s="42">
        <v>2.2000000000000002</v>
      </c>
      <c r="J42" s="43">
        <f t="shared" si="16"/>
        <v>8.7129748076214777E-2</v>
      </c>
      <c r="K42" s="44">
        <f t="shared" si="17"/>
        <v>7.3333333333333334E-2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0.26057305651149032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2401210.6557622463</v>
      </c>
      <c r="E43" s="39">
        <f t="shared" si="15"/>
        <v>2020994.9564933334</v>
      </c>
      <c r="F43" s="40" t="s">
        <v>39</v>
      </c>
      <c r="G43" s="41">
        <v>0.03</v>
      </c>
      <c r="H43" s="42">
        <v>3.1E-2</v>
      </c>
      <c r="I43" s="42">
        <v>3.4099999999999998E-2</v>
      </c>
      <c r="J43" s="43">
        <f t="shared" si="16"/>
        <v>1.3505110951813287E-3</v>
      </c>
      <c r="K43" s="44">
        <f t="shared" si="17"/>
        <v>1.1366666666666667E-3</v>
      </c>
      <c r="L43" s="45">
        <f t="shared" si="18"/>
        <v>3.0999999999999986E-3</v>
      </c>
      <c r="M43" s="45">
        <f t="shared" si="19"/>
        <v>9.9999999999999947</v>
      </c>
      <c r="N43" s="46">
        <v>10000</v>
      </c>
      <c r="O43" s="37">
        <v>341</v>
      </c>
      <c r="P43" s="47">
        <f t="shared" si="22"/>
        <v>0</v>
      </c>
      <c r="Q43" s="48">
        <f t="shared" si="21"/>
        <v>0.13666666666666671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35940527.038341045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0.20515095228854202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330.3040391767031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7.1287975698721174E-7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1647949.8766321975</v>
      </c>
      <c r="E46" s="39">
        <f t="shared" si="15"/>
        <v>1387008</v>
      </c>
      <c r="F46" s="40" t="s">
        <v>56</v>
      </c>
      <c r="G46" s="41">
        <v>7.0000000000000007E-2</v>
      </c>
      <c r="H46" s="42">
        <v>7.2039999999999993E-2</v>
      </c>
      <c r="I46" s="42">
        <v>7.2239999999999999E-2</v>
      </c>
      <c r="J46" s="43">
        <f t="shared" si="16"/>
        <v>2.8610240913753428E-3</v>
      </c>
      <c r="K46" s="44">
        <f t="shared" si="17"/>
        <v>2.408E-3</v>
      </c>
      <c r="L46" s="45">
        <f t="shared" si="18"/>
        <v>2.0000000000000573E-4</v>
      </c>
      <c r="M46" s="45">
        <f t="shared" si="19"/>
        <v>0.27762354247640997</v>
      </c>
      <c r="N46" s="46">
        <v>10000</v>
      </c>
      <c r="O46" s="37">
        <v>722.4</v>
      </c>
      <c r="P46" s="47">
        <f t="shared" si="22"/>
        <v>0</v>
      </c>
      <c r="Q46" s="48">
        <f t="shared" si="21"/>
        <v>3.1999999999999806E-2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61208092.298126318</v>
      </c>
      <c r="E47" s="39">
        <f t="shared" si="15"/>
        <v>51516198.936666667</v>
      </c>
      <c r="F47" s="40" t="s">
        <v>47</v>
      </c>
      <c r="G47" s="41">
        <v>0.9998999999999999</v>
      </c>
      <c r="H47" s="42">
        <v>0.75</v>
      </c>
      <c r="I47" s="42">
        <v>0.85</v>
      </c>
      <c r="J47" s="43">
        <f t="shared" si="16"/>
        <v>3.3663766302173888E-2</v>
      </c>
      <c r="K47" s="44">
        <f t="shared" si="17"/>
        <v>2.8333333333333332E-2</v>
      </c>
      <c r="L47" s="45">
        <f t="shared" si="18"/>
        <v>9.9999999999999978E-2</v>
      </c>
      <c r="M47" s="45">
        <f t="shared" si="19"/>
        <v>13.33333333333333</v>
      </c>
      <c r="N47" s="46">
        <v>4900</v>
      </c>
      <c r="O47" s="37">
        <v>4165</v>
      </c>
      <c r="P47" s="47">
        <f t="shared" si="22"/>
        <v>0</v>
      </c>
      <c r="Q47" s="48">
        <f t="shared" si="21"/>
        <v>-0.14991499149914989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4155041.3110286458</v>
      </c>
      <c r="E48" s="39">
        <f t="shared" si="15"/>
        <v>3497118.2197026666</v>
      </c>
      <c r="F48" s="40" t="s">
        <v>47</v>
      </c>
      <c r="G48" s="41">
        <v>1.4503460000000001</v>
      </c>
      <c r="H48" s="42">
        <v>1</v>
      </c>
      <c r="I48" s="42">
        <v>1.0214289999999999</v>
      </c>
      <c r="J48" s="43">
        <f t="shared" si="16"/>
        <v>4.0453114294427259E-2</v>
      </c>
      <c r="K48" s="44">
        <f t="shared" si="17"/>
        <v>3.4047633333333334E-2</v>
      </c>
      <c r="L48" s="45">
        <f t="shared" si="18"/>
        <v>2.142899999999992E-2</v>
      </c>
      <c r="M48" s="45">
        <f t="shared" si="19"/>
        <v>2.142899999999992</v>
      </c>
      <c r="N48" s="46">
        <v>700</v>
      </c>
      <c r="O48" s="37">
        <v>715</v>
      </c>
      <c r="P48" s="47">
        <v>0</v>
      </c>
      <c r="Q48" s="48">
        <f t="shared" si="21"/>
        <v>-0.29573425927330454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912600</v>
      </c>
      <c r="O49" s="58">
        <f>SUM(O10:O48)</f>
        <v>8068941.1300000008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7" t="s">
        <v>119</v>
      </c>
      <c r="B51" s="138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40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74581289.395199999</v>
      </c>
      <c r="E53" s="39">
        <v>0</v>
      </c>
      <c r="F53" s="40" t="s">
        <v>92</v>
      </c>
      <c r="G53" s="66">
        <v>0.1</v>
      </c>
      <c r="H53" s="42">
        <v>0.14000000000000001</v>
      </c>
      <c r="I53" s="42">
        <v>0.13439999999999999</v>
      </c>
      <c r="J53" s="43">
        <f t="shared" si="24"/>
        <v>0.13439999999999999</v>
      </c>
      <c r="K53" s="39">
        <v>0</v>
      </c>
      <c r="L53" s="45">
        <f t="shared" si="25"/>
        <v>-5.6000000000000216E-3</v>
      </c>
      <c r="M53" s="45">
        <f t="shared" si="26"/>
        <v>-4.0000000000000151</v>
      </c>
      <c r="N53" s="46">
        <v>158335</v>
      </c>
      <c r="O53" s="37">
        <v>21279.84</v>
      </c>
      <c r="P53" s="141">
        <f>(R53)/J53</f>
        <v>0</v>
      </c>
      <c r="Q53" s="48">
        <f t="shared" si="27"/>
        <v>0.34399999999999986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63408215.75</v>
      </c>
      <c r="E54" s="39">
        <v>0</v>
      </c>
      <c r="F54" s="40" t="s">
        <v>39</v>
      </c>
      <c r="G54" s="66">
        <v>39.9</v>
      </c>
      <c r="H54" s="42">
        <v>50.100900000000003</v>
      </c>
      <c r="I54" s="42">
        <v>59.95</v>
      </c>
      <c r="J54" s="43">
        <f t="shared" si="24"/>
        <v>59.95</v>
      </c>
      <c r="K54" s="39">
        <v>0</v>
      </c>
      <c r="L54" s="45">
        <f t="shared" si="25"/>
        <v>9.8491</v>
      </c>
      <c r="M54" s="45">
        <f t="shared" si="26"/>
        <v>19.658529088299808</v>
      </c>
      <c r="N54" s="46">
        <v>1</v>
      </c>
      <c r="O54" s="37">
        <v>59.95</v>
      </c>
      <c r="P54" s="142">
        <f>(R54)/J54</f>
        <v>9.3411175979983326E-3</v>
      </c>
      <c r="Q54" s="48">
        <f t="shared" si="27"/>
        <v>0.50250626566416057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793820897.75589991</v>
      </c>
      <c r="E55" s="39"/>
      <c r="F55" s="40" t="s">
        <v>56</v>
      </c>
      <c r="G55" s="66">
        <v>0.33</v>
      </c>
      <c r="H55" s="42">
        <v>0.2601</v>
      </c>
      <c r="I55" s="42">
        <v>0.26529999999999998</v>
      </c>
      <c r="J55" s="43">
        <f t="shared" si="24"/>
        <v>0.26529999999999998</v>
      </c>
      <c r="K55" s="39">
        <v>0</v>
      </c>
      <c r="L55" s="45">
        <f t="shared" si="25"/>
        <v>5.1999999999999824E-3</v>
      </c>
      <c r="M55" s="45">
        <f t="shared" si="26"/>
        <v>1.9992310649750027</v>
      </c>
      <c r="N55" s="46">
        <v>243556</v>
      </c>
      <c r="O55" s="37">
        <v>64604.06</v>
      </c>
      <c r="P55" s="141">
        <v>0</v>
      </c>
      <c r="Q55" s="48">
        <f t="shared" si="27"/>
        <v>-0.19606060606060616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13658197.123199999</v>
      </c>
      <c r="E56" s="39">
        <v>0</v>
      </c>
      <c r="F56" s="40" t="s">
        <v>34</v>
      </c>
      <c r="G56" s="66">
        <v>2.3E-2</v>
      </c>
      <c r="H56" s="42">
        <v>2.24E-2</v>
      </c>
      <c r="I56" s="42">
        <v>2.24E-2</v>
      </c>
      <c r="J56" s="43">
        <f t="shared" si="24"/>
        <v>2.24E-2</v>
      </c>
      <c r="K56" s="39">
        <v>0</v>
      </c>
      <c r="L56" s="45">
        <f t="shared" si="25"/>
        <v>0</v>
      </c>
      <c r="M56" s="45">
        <f t="shared" si="26"/>
        <v>0</v>
      </c>
      <c r="N56" s="46">
        <v>0</v>
      </c>
      <c r="O56" s="37">
        <v>0</v>
      </c>
      <c r="P56" s="141">
        <f t="shared" ref="P56:P66" si="28">(R56)/J56</f>
        <v>0</v>
      </c>
      <c r="Q56" s="48">
        <f t="shared" si="27"/>
        <v>-2.6086956521739091E-2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225051284.2089</v>
      </c>
      <c r="E57" s="39">
        <v>0</v>
      </c>
      <c r="F57" s="40" t="s">
        <v>47</v>
      </c>
      <c r="G57" s="66">
        <v>9.0200000000000002E-2</v>
      </c>
      <c r="H57" s="42">
        <v>0.1051</v>
      </c>
      <c r="I57" s="42">
        <v>0.1041</v>
      </c>
      <c r="J57" s="43">
        <f t="shared" si="24"/>
        <v>0.1041</v>
      </c>
      <c r="K57" s="39">
        <v>0</v>
      </c>
      <c r="L57" s="45">
        <f t="shared" si="25"/>
        <v>-1.0000000000000009E-3</v>
      </c>
      <c r="M57" s="69">
        <f t="shared" si="26"/>
        <v>-0.95147478591817403</v>
      </c>
      <c r="N57" s="46">
        <v>5433</v>
      </c>
      <c r="O57" s="37">
        <v>565.54</v>
      </c>
      <c r="P57" s="141">
        <f t="shared" si="28"/>
        <v>0</v>
      </c>
      <c r="Q57" s="48">
        <f t="shared" si="27"/>
        <v>0.15410199556541015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724630659.38999999</v>
      </c>
      <c r="E58" s="39">
        <v>0</v>
      </c>
      <c r="F58" s="40" t="s">
        <v>34</v>
      </c>
      <c r="G58" s="66">
        <v>0.95750000000000002</v>
      </c>
      <c r="H58" s="42">
        <v>1.284</v>
      </c>
      <c r="I58" s="42">
        <v>1.2582</v>
      </c>
      <c r="J58" s="43">
        <f t="shared" si="24"/>
        <v>1.2582</v>
      </c>
      <c r="K58" s="39">
        <v>0</v>
      </c>
      <c r="L58" s="45">
        <f t="shared" si="25"/>
        <v>-2.5800000000000045E-2</v>
      </c>
      <c r="M58" s="45">
        <f t="shared" si="26"/>
        <v>-2.009345794392527</v>
      </c>
      <c r="N58" s="46">
        <v>17811</v>
      </c>
      <c r="O58" s="37">
        <v>22409.14</v>
      </c>
      <c r="P58" s="142">
        <f t="shared" si="28"/>
        <v>3.7354951518041649E-2</v>
      </c>
      <c r="Q58" s="48">
        <f t="shared" si="27"/>
        <v>0.31404699738903386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35</v>
      </c>
      <c r="O59" s="37">
        <v>5.25</v>
      </c>
      <c r="P59" s="141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16368370.989600001</v>
      </c>
      <c r="E60" s="39">
        <v>0</v>
      </c>
      <c r="F60" s="40" t="s">
        <v>92</v>
      </c>
      <c r="G60" s="66">
        <v>1.6799999999999999E-2</v>
      </c>
      <c r="H60" s="42">
        <v>2.0199999999999999E-2</v>
      </c>
      <c r="I60" s="42">
        <v>2.06E-2</v>
      </c>
      <c r="J60" s="43">
        <f t="shared" si="24"/>
        <v>2.06E-2</v>
      </c>
      <c r="K60" s="39">
        <v>0</v>
      </c>
      <c r="L60" s="45">
        <f t="shared" si="25"/>
        <v>4.0000000000000105E-4</v>
      </c>
      <c r="M60" s="69">
        <f t="shared" si="26"/>
        <v>1.9801980198019855</v>
      </c>
      <c r="N60" s="46">
        <v>599055</v>
      </c>
      <c r="O60" s="37">
        <v>12360.35</v>
      </c>
      <c r="P60" s="141">
        <f t="shared" si="28"/>
        <v>0</v>
      </c>
      <c r="Q60" s="48">
        <f t="shared" si="27"/>
        <v>0.22619047619047628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2515858.7999999998</v>
      </c>
      <c r="E61" s="39">
        <v>0</v>
      </c>
      <c r="F61" s="40" t="s">
        <v>140</v>
      </c>
      <c r="G61" s="66">
        <v>19.5</v>
      </c>
      <c r="H61" s="42">
        <v>15.6</v>
      </c>
      <c r="I61" s="42">
        <v>15.6</v>
      </c>
      <c r="J61" s="43">
        <f t="shared" si="24"/>
        <v>15.6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141">
        <f t="shared" si="28"/>
        <v>0</v>
      </c>
      <c r="Q61" s="48">
        <f t="shared" si="27"/>
        <v>-0.20000000000000007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852590787.60899997</v>
      </c>
      <c r="E62" s="39">
        <v>0</v>
      </c>
      <c r="F62" s="40" t="s">
        <v>92</v>
      </c>
      <c r="G62" s="66">
        <v>0.59499999999999997</v>
      </c>
      <c r="H62" s="42">
        <v>1.0572999999999999</v>
      </c>
      <c r="I62" s="42">
        <v>1.0589999999999999</v>
      </c>
      <c r="J62" s="43">
        <f t="shared" si="24"/>
        <v>1.0589999999999999</v>
      </c>
      <c r="K62" s="39">
        <v>0</v>
      </c>
      <c r="L62" s="45">
        <f t="shared" si="25"/>
        <v>1.7000000000000348E-3</v>
      </c>
      <c r="M62" s="45">
        <f t="shared" si="26"/>
        <v>0.16078691005391421</v>
      </c>
      <c r="N62" s="46">
        <v>7765</v>
      </c>
      <c r="O62" s="37">
        <v>8222.94</v>
      </c>
      <c r="P62" s="141">
        <f t="shared" si="28"/>
        <v>0</v>
      </c>
      <c r="Q62" s="48">
        <f t="shared" si="27"/>
        <v>0.77983193277310914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79335427.827399999</v>
      </c>
      <c r="E63" s="39">
        <v>0</v>
      </c>
      <c r="F63" s="40" t="s">
        <v>34</v>
      </c>
      <c r="G63" s="66">
        <v>0.22600000000000001</v>
      </c>
      <c r="H63" s="42">
        <v>0.2651</v>
      </c>
      <c r="I63" s="42">
        <v>0.30430000000000001</v>
      </c>
      <c r="J63" s="43">
        <f t="shared" si="24"/>
        <v>0.30430000000000001</v>
      </c>
      <c r="K63" s="39">
        <v>0</v>
      </c>
      <c r="L63" s="45">
        <f t="shared" si="25"/>
        <v>3.9200000000000013E-2</v>
      </c>
      <c r="M63" s="45">
        <f t="shared" si="26"/>
        <v>14.78687287815919</v>
      </c>
      <c r="N63" s="46">
        <v>89498</v>
      </c>
      <c r="O63" s="37">
        <v>27231.55</v>
      </c>
      <c r="P63" s="141">
        <f t="shared" si="28"/>
        <v>0</v>
      </c>
      <c r="Q63" s="48">
        <f t="shared" si="27"/>
        <v>0.34646017699115039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379306076.46359998</v>
      </c>
      <c r="E64" s="39">
        <v>0</v>
      </c>
      <c r="F64" s="40" t="s">
        <v>34</v>
      </c>
      <c r="G64" s="66">
        <v>0.49440000000000001</v>
      </c>
      <c r="H64" s="42">
        <v>0.68110000000000004</v>
      </c>
      <c r="I64" s="42">
        <v>0.67469999999999997</v>
      </c>
      <c r="J64" s="43">
        <f t="shared" si="24"/>
        <v>0.67469999999999997</v>
      </c>
      <c r="K64" s="39">
        <v>0</v>
      </c>
      <c r="L64" s="45">
        <f t="shared" si="25"/>
        <v>-6.4000000000000723E-3</v>
      </c>
      <c r="M64" s="45">
        <f t="shared" si="26"/>
        <v>-0.9396564381148248</v>
      </c>
      <c r="N64" s="46">
        <v>242134</v>
      </c>
      <c r="O64" s="37">
        <v>163378.87</v>
      </c>
      <c r="P64" s="141">
        <f t="shared" si="28"/>
        <v>0</v>
      </c>
      <c r="Q64" s="48">
        <f t="shared" si="27"/>
        <v>0.36468446601941729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141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21605196.472200003</v>
      </c>
      <c r="E66" s="39">
        <v>0</v>
      </c>
      <c r="F66" s="40" t="s">
        <v>44</v>
      </c>
      <c r="G66" s="66">
        <v>4.2999999999999997E-2</v>
      </c>
      <c r="H66" s="42">
        <v>6.6400000000000001E-2</v>
      </c>
      <c r="I66" s="42">
        <v>6.2700000000000006E-2</v>
      </c>
      <c r="J66" s="43">
        <f t="shared" si="24"/>
        <v>6.2700000000000006E-2</v>
      </c>
      <c r="K66" s="39">
        <v>0</v>
      </c>
      <c r="L66" s="45">
        <f t="shared" si="25"/>
        <v>-3.699999999999995E-3</v>
      </c>
      <c r="M66" s="45">
        <f t="shared" si="26"/>
        <v>-5.572289156626498</v>
      </c>
      <c r="N66" s="46">
        <v>980</v>
      </c>
      <c r="O66" s="37">
        <v>61.47</v>
      </c>
      <c r="P66" s="141">
        <f t="shared" si="28"/>
        <v>0</v>
      </c>
      <c r="Q66" s="48">
        <f t="shared" si="27"/>
        <v>0.45813953488372117</v>
      </c>
      <c r="T66" s="67"/>
    </row>
    <row r="67" spans="1:243" ht="13.2" x14ac:dyDescent="0.35">
      <c r="B67" s="36" t="s">
        <v>82</v>
      </c>
      <c r="C67" s="40"/>
      <c r="D67" s="70"/>
      <c r="E67" s="70"/>
      <c r="F67" s="40"/>
      <c r="G67" s="40"/>
      <c r="H67" s="42"/>
      <c r="I67" s="42"/>
      <c r="J67" s="42"/>
      <c r="K67" s="42"/>
      <c r="L67" s="45"/>
      <c r="M67" s="71"/>
      <c r="N67" s="57">
        <f>SUM(N52:N66)</f>
        <v>1364603</v>
      </c>
      <c r="O67" s="58">
        <f>SUM(O52:O66)</f>
        <v>320178.95999999996</v>
      </c>
      <c r="P67" s="72"/>
      <c r="Q67" s="59"/>
    </row>
    <row r="68" spans="1:243" ht="12.6" hidden="1" x14ac:dyDescent="0.3">
      <c r="A68" s="125" t="s">
        <v>151</v>
      </c>
      <c r="B68" s="126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8"/>
    </row>
    <row r="69" spans="1:243" ht="12.6" hidden="1" thickBot="1" x14ac:dyDescent="0.3">
      <c r="A69" s="73" t="s">
        <v>152</v>
      </c>
      <c r="B69" s="74" t="s">
        <v>153</v>
      </c>
      <c r="C69" s="75">
        <v>20000</v>
      </c>
      <c r="D69" s="76">
        <f>C69*J69</f>
        <v>0</v>
      </c>
      <c r="E69" s="76"/>
      <c r="F69" s="75" t="s">
        <v>154</v>
      </c>
      <c r="G69" s="75"/>
      <c r="H69" s="77">
        <v>100</v>
      </c>
      <c r="I69" s="77"/>
      <c r="J69" s="77"/>
      <c r="K69" s="77"/>
      <c r="L69" s="78">
        <f>I69-H69</f>
        <v>-100</v>
      </c>
      <c r="M69" s="79">
        <f>((I69-H69)/H69)*100</f>
        <v>-100</v>
      </c>
      <c r="N69" s="80" t="s">
        <v>57</v>
      </c>
      <c r="O69" s="80" t="s">
        <v>57</v>
      </c>
      <c r="P69" s="80"/>
      <c r="Q69" s="81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1"/>
      <c r="N70" s="82"/>
      <c r="O70" s="82"/>
      <c r="P70" s="82"/>
      <c r="Q70" s="59"/>
    </row>
    <row r="71" spans="1:243" ht="12.6" x14ac:dyDescent="0.3">
      <c r="A71" s="125" t="s">
        <v>155</v>
      </c>
      <c r="B71" s="126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8"/>
    </row>
    <row r="72" spans="1:243" x14ac:dyDescent="0.25">
      <c r="A72" s="83" t="s">
        <v>156</v>
      </c>
      <c r="B72" s="84" t="s">
        <v>157</v>
      </c>
      <c r="C72" s="85">
        <v>139300587</v>
      </c>
      <c r="D72" s="38">
        <f>C72*J72</f>
        <v>50148211.32</v>
      </c>
      <c r="E72" s="39">
        <f>C72*K72</f>
        <v>50148211.32</v>
      </c>
      <c r="F72" s="85" t="s">
        <v>158</v>
      </c>
      <c r="G72" s="85">
        <v>0.24</v>
      </c>
      <c r="H72" s="86">
        <v>0.36</v>
      </c>
      <c r="I72" s="86">
        <v>0.36</v>
      </c>
      <c r="J72" s="87">
        <f>I72</f>
        <v>0.36</v>
      </c>
      <c r="K72" s="87">
        <f>J72</f>
        <v>0.36</v>
      </c>
      <c r="L72" s="45">
        <f>I72-H72</f>
        <v>0</v>
      </c>
      <c r="M72" s="45">
        <f>((I72-H72)/H72)*100</f>
        <v>0</v>
      </c>
      <c r="N72" s="88">
        <v>205</v>
      </c>
      <c r="O72" s="89">
        <v>73.8</v>
      </c>
      <c r="P72" s="90">
        <v>0</v>
      </c>
      <c r="Q72" s="91">
        <f>J72/G72-1</f>
        <v>0.5</v>
      </c>
      <c r="T72" s="67"/>
    </row>
    <row r="73" spans="1:243" x14ac:dyDescent="0.25">
      <c r="A73" s="83" t="s">
        <v>159</v>
      </c>
      <c r="B73" s="84" t="s">
        <v>160</v>
      </c>
      <c r="C73" s="85">
        <v>471351750</v>
      </c>
      <c r="D73" s="38">
        <f>C73*J73</f>
        <v>67921787.174999997</v>
      </c>
      <c r="E73" s="39">
        <f>C73*K73</f>
        <v>67921787.174999997</v>
      </c>
      <c r="F73" s="85" t="s">
        <v>158</v>
      </c>
      <c r="G73" s="85">
        <v>0.1</v>
      </c>
      <c r="H73" s="86">
        <v>0.1449</v>
      </c>
      <c r="I73" s="86">
        <v>0.14410000000000001</v>
      </c>
      <c r="J73" s="87">
        <f>I73</f>
        <v>0.14410000000000001</v>
      </c>
      <c r="K73" s="87">
        <f>J73</f>
        <v>0.14410000000000001</v>
      </c>
      <c r="L73" s="45">
        <f>I73-H73</f>
        <v>-7.9999999999999516E-4</v>
      </c>
      <c r="M73" s="45">
        <f>((I73-H73)/H73)*100</f>
        <v>-0.55210489993098355</v>
      </c>
      <c r="N73" s="46">
        <v>11764</v>
      </c>
      <c r="O73" s="89">
        <v>1694.73</v>
      </c>
      <c r="P73" s="90">
        <v>0</v>
      </c>
      <c r="Q73" s="91">
        <f>J73/G73-1</f>
        <v>0.44100000000000006</v>
      </c>
      <c r="T73" s="67"/>
    </row>
    <row r="74" spans="1:243" ht="13.2" x14ac:dyDescent="0.35">
      <c r="A74" s="83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1"/>
      <c r="N74" s="57">
        <f>SUM(N72:N73)</f>
        <v>11969</v>
      </c>
      <c r="O74" s="58">
        <f>SUM(O72:O73)</f>
        <v>1768.53</v>
      </c>
      <c r="P74" s="82"/>
      <c r="Q74" s="45"/>
    </row>
    <row r="75" spans="1:243" ht="12.6" x14ac:dyDescent="0.3">
      <c r="A75" s="137" t="s">
        <v>161</v>
      </c>
      <c r="B75" s="138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40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168103.75135150121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3.7030142932391276E-3</v>
      </c>
      <c r="K76" s="44">
        <f>I76/$K$4</f>
        <v>3.1166666666666665E-3</v>
      </c>
      <c r="L76" s="45">
        <f>I76-H76</f>
        <v>0</v>
      </c>
      <c r="M76" s="92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280416.27045073808</v>
      </c>
      <c r="E77" s="39">
        <f>C77*K77</f>
        <v>236014.22346666668</v>
      </c>
      <c r="F77" s="40" t="s">
        <v>140</v>
      </c>
      <c r="G77" s="66">
        <v>4.2500000000000003E-2</v>
      </c>
      <c r="H77" s="42">
        <v>5.2499999999999998E-2</v>
      </c>
      <c r="I77" s="42">
        <v>5.2000000000000005E-2</v>
      </c>
      <c r="J77" s="43">
        <f>I77/$J$5</f>
        <v>2.0594304090741674E-3</v>
      </c>
      <c r="K77" s="44">
        <f>I77/$K$4</f>
        <v>1.7333333333333335E-3</v>
      </c>
      <c r="L77" s="45">
        <f>I77-H77</f>
        <v>-4.9999999999999351E-4</v>
      </c>
      <c r="M77" s="92">
        <f>((I77-H77)/H77)*100</f>
        <v>-0.95238095238094</v>
      </c>
      <c r="N77" s="37">
        <v>1000</v>
      </c>
      <c r="O77" s="37">
        <v>52</v>
      </c>
      <c r="P77" s="40">
        <v>0</v>
      </c>
      <c r="Q77" s="48">
        <f>I77/G77-1</f>
        <v>0.22352941176470598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1566489.5820544404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3.1683544754987189E-3</v>
      </c>
      <c r="K78" s="44">
        <f>I78/$K$4</f>
        <v>2.6666666666666666E-3</v>
      </c>
      <c r="L78" s="45">
        <f>I78-H78</f>
        <v>0</v>
      </c>
      <c r="M78" s="92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2607979.7858984466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6.3367089509974384E-2</v>
      </c>
      <c r="K79" s="44">
        <f>I79/$K$4</f>
        <v>5.3333333333333337E-2</v>
      </c>
      <c r="L79" s="45">
        <f>I79-H79</f>
        <v>0</v>
      </c>
      <c r="M79" s="92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-0.13513513513513509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1000</v>
      </c>
      <c r="O80" s="58">
        <f>SUM(O76:O79)</f>
        <v>52</v>
      </c>
      <c r="P80" s="72"/>
      <c r="Q80" s="59"/>
      <c r="DU80" s="93"/>
      <c r="DV80" s="93"/>
      <c r="DW80" s="94"/>
      <c r="DX80" s="95"/>
      <c r="DY80" s="95"/>
      <c r="DZ80" s="96"/>
      <c r="EA80" s="96"/>
      <c r="EB80" s="97"/>
      <c r="EC80" s="97"/>
      <c r="ED80" s="98"/>
      <c r="EE80" s="98"/>
      <c r="EF80" s="96"/>
      <c r="EG80" s="99"/>
      <c r="EH80" s="100"/>
      <c r="EI80" s="94"/>
      <c r="EJ80" s="93"/>
      <c r="EK80" s="93"/>
      <c r="EL80" s="94"/>
      <c r="EM80" s="95"/>
      <c r="EN80" s="95"/>
      <c r="EO80" s="96"/>
      <c r="EP80" s="96"/>
      <c r="EQ80" s="97"/>
      <c r="ER80" s="97"/>
      <c r="ES80" s="98"/>
      <c r="ET80" s="98"/>
      <c r="EU80" s="96"/>
      <c r="EV80" s="99"/>
      <c r="EW80" s="100"/>
      <c r="EX80" s="94"/>
      <c r="EY80" s="93"/>
      <c r="EZ80" s="93"/>
      <c r="FA80" s="94"/>
      <c r="FB80" s="95"/>
      <c r="FC80" s="95"/>
      <c r="FD80" s="96"/>
      <c r="FE80" s="96"/>
      <c r="FF80" s="97"/>
      <c r="FG80" s="97"/>
      <c r="FH80" s="98"/>
      <c r="FI80" s="98"/>
      <c r="FJ80" s="96"/>
      <c r="FK80" s="99"/>
      <c r="FL80" s="100"/>
      <c r="FM80" s="94"/>
      <c r="FN80" s="93"/>
      <c r="FO80" s="93"/>
      <c r="FP80" s="94"/>
      <c r="FQ80" s="95"/>
      <c r="FR80" s="95"/>
      <c r="FS80" s="96"/>
      <c r="FT80" s="96"/>
      <c r="FU80" s="97"/>
      <c r="FV80" s="97"/>
      <c r="FW80" s="98"/>
      <c r="FX80" s="98"/>
      <c r="FY80" s="96"/>
      <c r="FZ80" s="99"/>
      <c r="GA80" s="100"/>
      <c r="GB80" s="94"/>
      <c r="GC80" s="93"/>
      <c r="GD80" s="93"/>
      <c r="GE80" s="94"/>
      <c r="GF80" s="95"/>
      <c r="GG80" s="95"/>
      <c r="GH80" s="96"/>
      <c r="GI80" s="96"/>
      <c r="GJ80" s="97"/>
      <c r="GK80" s="97"/>
      <c r="GL80" s="98"/>
      <c r="GM80" s="98"/>
      <c r="GN80" s="96"/>
      <c r="GO80" s="99"/>
      <c r="GP80" s="100"/>
      <c r="GQ80" s="94"/>
      <c r="GR80" s="93"/>
      <c r="GS80" s="93"/>
      <c r="GT80" s="94"/>
      <c r="GU80" s="95"/>
      <c r="GV80" s="95"/>
      <c r="GW80" s="96"/>
      <c r="GX80" s="96"/>
      <c r="GY80" s="97"/>
      <c r="GZ80" s="97"/>
      <c r="HA80" s="98"/>
      <c r="HB80" s="98"/>
      <c r="HC80" s="96"/>
      <c r="HD80" s="99"/>
      <c r="HE80" s="100"/>
      <c r="HF80" s="94"/>
      <c r="HG80" s="93"/>
      <c r="HH80" s="93"/>
      <c r="HI80" s="94"/>
      <c r="HJ80" s="95"/>
      <c r="HK80" s="95"/>
      <c r="HL80" s="96"/>
      <c r="HM80" s="96"/>
      <c r="HN80" s="97"/>
      <c r="HO80" s="97"/>
      <c r="HP80" s="98"/>
      <c r="HQ80" s="98"/>
      <c r="HR80" s="96"/>
      <c r="HS80" s="99"/>
      <c r="HT80" s="100"/>
      <c r="HU80" s="94"/>
      <c r="HV80" s="93"/>
      <c r="HW80" s="93"/>
      <c r="HX80" s="94"/>
      <c r="HY80" s="95"/>
      <c r="HZ80" s="95"/>
      <c r="IA80" s="96"/>
      <c r="IB80" s="96"/>
      <c r="IC80" s="97"/>
      <c r="ID80" s="97"/>
      <c r="IE80" s="98"/>
      <c r="IF80" s="98"/>
      <c r="IG80" s="96"/>
      <c r="IH80" s="99"/>
      <c r="II80" s="100"/>
    </row>
    <row r="81" spans="1:38" ht="13.2" thickTop="1" x14ac:dyDescent="0.3">
      <c r="A81" s="125" t="s">
        <v>170</v>
      </c>
      <c r="B81" s="126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8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35046111.486869149</v>
      </c>
      <c r="E82" s="39">
        <f>C82*K82</f>
        <v>29496793.373666663</v>
      </c>
      <c r="F82" s="40" t="s">
        <v>173</v>
      </c>
      <c r="G82" s="40">
        <v>1.3</v>
      </c>
      <c r="H82" s="42">
        <v>2.4024999999999999</v>
      </c>
      <c r="I82" s="42">
        <v>2.4024999999999999</v>
      </c>
      <c r="J82" s="43">
        <f>I82/$J$5</f>
        <v>9.5149645342320885E-2</v>
      </c>
      <c r="K82" s="44">
        <f>I82/$K$4</f>
        <v>8.0083333333333326E-2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0.84807692307692295</v>
      </c>
      <c r="R82" s="67"/>
    </row>
    <row r="83" spans="1:38" s="101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73636762.576585069</v>
      </c>
      <c r="E83" s="39">
        <f>C83*K83</f>
        <v>61976872.134333335</v>
      </c>
      <c r="F83" s="40" t="s">
        <v>173</v>
      </c>
      <c r="G83" s="40">
        <v>1.44347</v>
      </c>
      <c r="H83" s="42">
        <v>1.004516</v>
      </c>
      <c r="I83" s="42">
        <v>1.0098860000000001</v>
      </c>
      <c r="J83" s="43">
        <f>I83/$J$5</f>
        <v>3.9995960348043744E-2</v>
      </c>
      <c r="K83" s="44">
        <f>I83/$K$4</f>
        <v>3.3662866666666666E-2</v>
      </c>
      <c r="L83" s="45">
        <f>I83-H83</f>
        <v>5.3700000000000969E-3</v>
      </c>
      <c r="M83" s="45">
        <f>((I83-H83)/H83*100)</f>
        <v>0.53458581047988252</v>
      </c>
      <c r="N83" s="47">
        <v>371881</v>
      </c>
      <c r="O83" s="37">
        <v>375564.25</v>
      </c>
      <c r="P83" s="68">
        <f>(R83)/J83</f>
        <v>5.4405494481555336E-2</v>
      </c>
      <c r="Q83" s="48">
        <f>I83/G83-1</f>
        <v>-0.30037617685161444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3"/>
      <c r="B84" s="74" t="s">
        <v>82</v>
      </c>
      <c r="C84" s="75"/>
      <c r="D84" s="102"/>
      <c r="E84" s="76"/>
      <c r="F84" s="75"/>
      <c r="G84" s="75"/>
      <c r="H84" s="77"/>
      <c r="I84" s="77"/>
      <c r="J84" s="77"/>
      <c r="K84" s="77"/>
      <c r="L84" s="78"/>
      <c r="M84" s="78"/>
      <c r="N84" s="57">
        <f>SUM(N82:N83)</f>
        <v>371881</v>
      </c>
      <c r="O84" s="58">
        <f>SUM(O82:O83)</f>
        <v>375564.25</v>
      </c>
      <c r="P84" s="103"/>
      <c r="Q84" s="81"/>
    </row>
    <row r="85" spans="1:38" ht="12.6" thickBot="1" x14ac:dyDescent="0.3">
      <c r="A85" s="104"/>
      <c r="B85" s="105"/>
      <c r="C85" s="105"/>
      <c r="D85" s="105"/>
      <c r="E85" s="105"/>
      <c r="F85" s="106"/>
      <c r="G85" s="106"/>
      <c r="H85" s="55"/>
      <c r="M85" s="83"/>
      <c r="N85" s="83"/>
      <c r="O85" s="55"/>
      <c r="P85" s="55"/>
      <c r="Q85" s="107"/>
    </row>
    <row r="86" spans="1:38" ht="12.6" thickBot="1" x14ac:dyDescent="0.3">
      <c r="A86" s="129" t="s">
        <v>176</v>
      </c>
      <c r="B86" s="130"/>
      <c r="C86" s="130"/>
      <c r="D86" s="130"/>
      <c r="E86" s="129" t="s">
        <v>177</v>
      </c>
      <c r="F86" s="130"/>
      <c r="G86" s="130"/>
      <c r="H86" s="131"/>
      <c r="L86" s="132" t="s">
        <v>178</v>
      </c>
      <c r="M86" s="133"/>
      <c r="N86" s="134"/>
      <c r="O86" s="132" t="s">
        <v>179</v>
      </c>
      <c r="P86" s="133"/>
      <c r="Q86" s="134"/>
    </row>
    <row r="87" spans="1:38" x14ac:dyDescent="0.25">
      <c r="A87" s="35" t="s">
        <v>97</v>
      </c>
      <c r="B87" s="108">
        <v>1.9413069999999999</v>
      </c>
      <c r="C87" s="108"/>
      <c r="D87" s="108">
        <v>14.02684287812041</v>
      </c>
      <c r="E87" s="35" t="s">
        <v>76</v>
      </c>
      <c r="F87" s="109">
        <v>3.1349650000000002</v>
      </c>
      <c r="G87" s="109"/>
      <c r="H87" s="110">
        <v>-2.0323437499999986</v>
      </c>
      <c r="L87" s="35" t="s">
        <v>124</v>
      </c>
      <c r="M87" s="47">
        <v>59.95</v>
      </c>
      <c r="N87" s="111">
        <v>19.658529088299808</v>
      </c>
      <c r="O87" s="35" t="s">
        <v>149</v>
      </c>
      <c r="P87" s="109">
        <v>6.2700000000000006E-2</v>
      </c>
      <c r="Q87" s="110">
        <v>-5.572289156626498</v>
      </c>
    </row>
    <row r="88" spans="1:38" x14ac:dyDescent="0.25">
      <c r="A88" s="35" t="s">
        <v>115</v>
      </c>
      <c r="B88" s="108">
        <v>0.85</v>
      </c>
      <c r="C88" s="108"/>
      <c r="D88" s="108">
        <v>13.33333333333333</v>
      </c>
      <c r="E88" s="35" t="s">
        <v>99</v>
      </c>
      <c r="F88" s="109">
        <v>9.9281000000000008E-2</v>
      </c>
      <c r="G88" s="109"/>
      <c r="H88" s="110">
        <v>-0.71899999999999742</v>
      </c>
      <c r="L88" s="35" t="s">
        <v>143</v>
      </c>
      <c r="M88" s="47">
        <v>0.30430000000000001</v>
      </c>
      <c r="N88" s="111">
        <v>14.78687287815919</v>
      </c>
      <c r="O88" s="35" t="s">
        <v>122</v>
      </c>
      <c r="P88" s="109">
        <v>0.13439999999999999</v>
      </c>
      <c r="Q88" s="110">
        <v>-4.0000000000000151</v>
      </c>
    </row>
    <row r="89" spans="1:38" x14ac:dyDescent="0.25">
      <c r="A89" s="35" t="s">
        <v>107</v>
      </c>
      <c r="B89" s="108">
        <v>3.4099999999999998E-2</v>
      </c>
      <c r="C89" s="108"/>
      <c r="D89" s="108">
        <v>9.9999999999999947</v>
      </c>
      <c r="E89" s="35" t="s">
        <v>101</v>
      </c>
      <c r="F89" s="109">
        <v>5.96</v>
      </c>
      <c r="G89" s="109"/>
      <c r="H89" s="110">
        <v>-0.66666666666666718</v>
      </c>
      <c r="L89" s="35" t="s">
        <v>126</v>
      </c>
      <c r="M89" s="47">
        <v>0.26529999999999998</v>
      </c>
      <c r="N89" s="111">
        <v>1.9992310649750027</v>
      </c>
      <c r="O89" s="35" t="s">
        <v>132</v>
      </c>
      <c r="P89" s="109">
        <v>1.2582</v>
      </c>
      <c r="Q89" s="112">
        <v>-2.009345794392527</v>
      </c>
    </row>
    <row r="90" spans="1:38" x14ac:dyDescent="0.25">
      <c r="A90" s="35" t="s">
        <v>103</v>
      </c>
      <c r="B90" s="108">
        <v>9.5274999999999999E-2</v>
      </c>
      <c r="C90" s="108"/>
      <c r="D90" s="108">
        <v>5.6263858093126338</v>
      </c>
      <c r="E90" s="35" t="s">
        <v>50</v>
      </c>
      <c r="F90" s="109">
        <v>2.589995</v>
      </c>
      <c r="G90" s="109"/>
      <c r="H90" s="110">
        <v>-0.3848076923076939</v>
      </c>
      <c r="L90" s="35" t="s">
        <v>136</v>
      </c>
      <c r="M90" s="47">
        <v>2.06E-2</v>
      </c>
      <c r="N90" s="111">
        <v>1.9801980198019855</v>
      </c>
      <c r="O90" s="35" t="s">
        <v>130</v>
      </c>
      <c r="P90" s="109">
        <v>0.1041</v>
      </c>
      <c r="Q90" s="112">
        <v>-0.95147478591817403</v>
      </c>
    </row>
    <row r="91" spans="1:38" x14ac:dyDescent="0.25">
      <c r="A91" s="35" t="s">
        <v>90</v>
      </c>
      <c r="B91" s="108">
        <v>1.7387999999999999</v>
      </c>
      <c r="C91" s="108"/>
      <c r="D91" s="108">
        <v>5.4659352550276381</v>
      </c>
      <c r="E91" s="35" t="s">
        <v>64</v>
      </c>
      <c r="F91" s="109">
        <v>0.98</v>
      </c>
      <c r="G91" s="109"/>
      <c r="H91" s="110">
        <v>-0.20366598778004094</v>
      </c>
      <c r="L91" s="35" t="s">
        <v>141</v>
      </c>
      <c r="M91" s="47">
        <v>1.0589999999999999</v>
      </c>
      <c r="N91" s="111">
        <v>0.16078691005391421</v>
      </c>
      <c r="O91" s="35"/>
      <c r="P91" s="109"/>
      <c r="Q91" s="112"/>
    </row>
    <row r="92" spans="1:38" ht="12.6" thickBot="1" x14ac:dyDescent="0.3">
      <c r="A92" s="113"/>
      <c r="B92" s="114"/>
      <c r="C92" s="114"/>
      <c r="D92" s="114"/>
      <c r="E92" s="113"/>
      <c r="F92" s="114"/>
      <c r="G92" s="114"/>
      <c r="H92" s="115"/>
      <c r="L92" s="113"/>
      <c r="M92" s="114"/>
      <c r="N92" s="115"/>
      <c r="O92" s="114"/>
      <c r="P92" s="114"/>
      <c r="Q92" s="115"/>
    </row>
    <row r="93" spans="1:38" x14ac:dyDescent="0.25">
      <c r="A93" s="116"/>
      <c r="B93" s="117"/>
      <c r="C93" s="117"/>
      <c r="D93" s="117"/>
      <c r="E93" s="83"/>
      <c r="F93" s="83"/>
      <c r="G93" s="83"/>
      <c r="H93" s="83"/>
      <c r="I93" s="83"/>
      <c r="J93" s="83"/>
      <c r="K93" s="83"/>
      <c r="L93" s="83"/>
      <c r="M93" s="117"/>
      <c r="Q93" s="16"/>
    </row>
    <row r="94" spans="1:38" x14ac:dyDescent="0.25">
      <c r="A94" s="12" t="s">
        <v>180</v>
      </c>
      <c r="B94" s="118"/>
      <c r="C94" s="118"/>
      <c r="D94" s="118"/>
      <c r="E94" s="118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6"/>
      <c r="B95" s="117"/>
      <c r="C95" s="117"/>
      <c r="D95" s="117"/>
      <c r="E95" s="117"/>
      <c r="F95" s="83"/>
      <c r="G95" s="83"/>
      <c r="H95" s="117"/>
      <c r="I95" s="83"/>
      <c r="J95" s="83"/>
      <c r="K95" s="83"/>
      <c r="L95" s="83"/>
      <c r="M95" s="117"/>
      <c r="Q95" s="16"/>
    </row>
    <row r="96" spans="1:38" ht="12.6" thickBot="1" x14ac:dyDescent="0.3">
      <c r="A96" s="119"/>
      <c r="B96" s="120"/>
      <c r="C96" s="120"/>
      <c r="D96" s="120"/>
      <c r="E96" s="120"/>
      <c r="F96" s="121"/>
      <c r="G96" s="121"/>
      <c r="H96" s="121"/>
      <c r="I96" s="122"/>
      <c r="J96" s="122"/>
      <c r="K96" s="122"/>
      <c r="L96" s="122"/>
      <c r="M96" s="122"/>
      <c r="N96" s="122"/>
      <c r="O96" s="122"/>
      <c r="P96" s="122"/>
      <c r="Q96" s="123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4"/>
      <c r="J100" s="124"/>
      <c r="K100" s="124"/>
      <c r="O100" s="124"/>
      <c r="P100" s="124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4"/>
      <c r="J103" s="124"/>
      <c r="K103" s="124"/>
      <c r="O103" s="124"/>
      <c r="P103" s="124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4"/>
      <c r="J105" s="124"/>
      <c r="K105" s="124"/>
      <c r="O105" s="124"/>
      <c r="P105" s="124"/>
    </row>
  </sheetData>
  <sheetProtection algorithmName="SHA-512" hashValue="2i9muqLjcbGhBO8ZDDCG6DtsKYwJO5xHflR4DH7kH/xxsthMXKqQpy3fr/lf4wJ3VN92RAbSzRn2w34zktQ5dA==" saltValue="PMwrh/wdhuRNTtlG2K1kgA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2026-04-22T13:43:55Z</dcterms:created>
  <dcterms:modified xsi:type="dcterms:W3CDTF">2026-04-22T13:48:20Z</dcterms:modified>
</cp:coreProperties>
</file>