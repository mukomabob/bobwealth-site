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8.09.26/"/>
    </mc:Choice>
  </mc:AlternateContent>
  <xr:revisionPtr revIDLastSave="0" documentId="8_{FBC8CC2A-96BF-4E78-A36D-D3D818A75369}" xr6:coauthVersionLast="47" xr6:coauthVersionMax="47" xr10:uidLastSave="{00000000-0000-0000-0000-000000000000}"/>
  <bookViews>
    <workbookView xWindow="-108" yWindow="-108" windowWidth="23256" windowHeight="12456" xr2:uid="{282DC3CA-60AC-4D25-96A3-8E97C91783BD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E84" i="1" s="1"/>
  <c r="J84" i="1"/>
  <c r="P84" i="1" s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K70" i="1" s="1"/>
  <c r="E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M63" i="1"/>
  <c r="L63" i="1"/>
  <c r="J63" i="1"/>
  <c r="P63" i="1" s="1"/>
  <c r="D63" i="1"/>
  <c r="M62" i="1"/>
  <c r="L62" i="1"/>
  <c r="J62" i="1"/>
  <c r="Q62" i="1" s="1"/>
  <c r="D62" i="1"/>
  <c r="Q61" i="1"/>
  <c r="M61" i="1"/>
  <c r="L61" i="1"/>
  <c r="J61" i="1"/>
  <c r="P61" i="1" s="1"/>
  <c r="D61" i="1"/>
  <c r="M60" i="1"/>
  <c r="L60" i="1"/>
  <c r="J60" i="1"/>
  <c r="Q60" i="1" s="1"/>
  <c r="D60" i="1"/>
  <c r="Q59" i="1"/>
  <c r="M59" i="1"/>
  <c r="L59" i="1"/>
  <c r="J59" i="1"/>
  <c r="P59" i="1" s="1"/>
  <c r="D59" i="1"/>
  <c r="M58" i="1"/>
  <c r="L58" i="1"/>
  <c r="J58" i="1"/>
  <c r="Q58" i="1" s="1"/>
  <c r="D58" i="1"/>
  <c r="Q57" i="1"/>
  <c r="M57" i="1"/>
  <c r="L57" i="1"/>
  <c r="J57" i="1"/>
  <c r="P57" i="1" s="1"/>
  <c r="D57" i="1"/>
  <c r="M56" i="1"/>
  <c r="L56" i="1"/>
  <c r="J56" i="1"/>
  <c r="Q56" i="1" s="1"/>
  <c r="D56" i="1"/>
  <c r="Q55" i="1"/>
  <c r="M55" i="1"/>
  <c r="L55" i="1"/>
  <c r="J55" i="1"/>
  <c r="P55" i="1" s="1"/>
  <c r="D55" i="1"/>
  <c r="M54" i="1"/>
  <c r="L54" i="1"/>
  <c r="J54" i="1"/>
  <c r="Q54" i="1" s="1"/>
  <c r="D54" i="1"/>
  <c r="Q53" i="1"/>
  <c r="M53" i="1"/>
  <c r="L53" i="1"/>
  <c r="J53" i="1"/>
  <c r="P53" i="1" s="1"/>
  <c r="D53" i="1"/>
  <c r="M52" i="1"/>
  <c r="L52" i="1"/>
  <c r="J52" i="1"/>
  <c r="Q52" i="1" s="1"/>
  <c r="D52" i="1"/>
  <c r="Q51" i="1"/>
  <c r="M51" i="1"/>
  <c r="L51" i="1"/>
  <c r="J51" i="1"/>
  <c r="D51" i="1"/>
  <c r="M50" i="1"/>
  <c r="L50" i="1"/>
  <c r="J50" i="1"/>
  <c r="P50" i="1" s="1"/>
  <c r="D50" i="1"/>
  <c r="Q49" i="1"/>
  <c r="P49" i="1"/>
  <c r="M49" i="1"/>
  <c r="L49" i="1"/>
  <c r="J49" i="1"/>
  <c r="D49" i="1"/>
  <c r="O46" i="1"/>
  <c r="N46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P38" i="1" s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M35" i="1"/>
  <c r="L35" i="1"/>
  <c r="K35" i="1"/>
  <c r="E35" i="1" s="1"/>
  <c r="J35" i="1"/>
  <c r="P35" i="1" s="1"/>
  <c r="Q34" i="1"/>
  <c r="P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Q32" i="1"/>
  <c r="M32" i="1"/>
  <c r="L32" i="1"/>
  <c r="K32" i="1"/>
  <c r="E32" i="1" s="1"/>
  <c r="J32" i="1"/>
  <c r="P32" i="1" s="1"/>
  <c r="Q31" i="1"/>
  <c r="P31" i="1"/>
  <c r="M31" i="1"/>
  <c r="L31" i="1"/>
  <c r="K31" i="1"/>
  <c r="J31" i="1"/>
  <c r="D31" i="1" s="1"/>
  <c r="E31" i="1"/>
  <c r="K30" i="1"/>
  <c r="E30" i="1" s="1"/>
  <c r="J30" i="1"/>
  <c r="D30" i="1" s="1"/>
  <c r="Q29" i="1"/>
  <c r="P29" i="1"/>
  <c r="M29" i="1"/>
  <c r="L29" i="1"/>
  <c r="K29" i="1"/>
  <c r="J29" i="1"/>
  <c r="D29" i="1" s="1"/>
  <c r="E29" i="1"/>
  <c r="Q28" i="1"/>
  <c r="M28" i="1"/>
  <c r="L28" i="1"/>
  <c r="K28" i="1"/>
  <c r="J28" i="1"/>
  <c r="P28" i="1" s="1"/>
  <c r="E28" i="1"/>
  <c r="D28" i="1"/>
  <c r="Q27" i="1"/>
  <c r="M27" i="1"/>
  <c r="L27" i="1"/>
  <c r="K27" i="1"/>
  <c r="E27" i="1" s="1"/>
  <c r="J27" i="1"/>
  <c r="P27" i="1" s="1"/>
  <c r="Q26" i="1"/>
  <c r="P26" i="1"/>
  <c r="M26" i="1"/>
  <c r="L26" i="1"/>
  <c r="K26" i="1"/>
  <c r="J26" i="1"/>
  <c r="D26" i="1" s="1"/>
  <c r="E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E24" i="1" s="1"/>
  <c r="J24" i="1"/>
  <c r="P24" i="1" s="1"/>
  <c r="D24" i="1"/>
  <c r="Q23" i="1"/>
  <c r="P23" i="1"/>
  <c r="M23" i="1"/>
  <c r="L23" i="1"/>
  <c r="K23" i="1"/>
  <c r="E23" i="1" s="1"/>
  <c r="J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Q20" i="1"/>
  <c r="P20" i="1"/>
  <c r="M20" i="1"/>
  <c r="L20" i="1"/>
  <c r="K20" i="1"/>
  <c r="E20" i="1" s="1"/>
  <c r="J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E17" i="1" s="1"/>
  <c r="J17" i="1"/>
  <c r="P17" i="1" s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D12" i="1" s="1"/>
  <c r="E12" i="1"/>
  <c r="Q11" i="1"/>
  <c r="P11" i="1"/>
  <c r="M11" i="1"/>
  <c r="L11" i="1"/>
  <c r="K11" i="1"/>
  <c r="E11" i="1" s="1"/>
  <c r="J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D9" i="1" s="1"/>
  <c r="E9" i="1"/>
  <c r="D27" i="1" l="1"/>
  <c r="D32" i="1"/>
  <c r="D35" i="1"/>
  <c r="D84" i="1"/>
  <c r="P9" i="1"/>
  <c r="P12" i="1"/>
  <c r="P15" i="1"/>
  <c r="D21" i="1"/>
  <c r="P39" i="1"/>
  <c r="P42" i="1"/>
  <c r="P52" i="1"/>
  <c r="P54" i="1"/>
  <c r="P56" i="1"/>
  <c r="P58" i="1"/>
  <c r="P60" i="1"/>
  <c r="P62" i="1"/>
  <c r="P64" i="1"/>
  <c r="P70" i="1"/>
  <c r="Q50" i="1"/>
  <c r="Q70" i="1"/>
  <c r="D71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<sst xmlns="http://schemas.openxmlformats.org/spreadsheetml/2006/main" count="270" uniqueCount="185">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</sst>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AFD5C7CF-804D-49E9-BF32-918D0781A7D7}"/>
    <cellStyle name="Comma 5 2 2 2 2 2 2 2 2 2 2 2" xfId="4" xr:uid="{BAB51D78-B692-4D15-AE95-17A1A0677C6F}"/>
    <cellStyle name="Comma 6 2 2 2 2 2 2" xfId="5" xr:uid="{9C45AC77-1DFD-460F-9717-EC893648E4BE}"/>
    <cellStyle name="Hyperlink 2" xfId="8" xr:uid="{9DE5B9C2-1EDF-4A08-8B03-E0C8C8AC4555}"/>
    <cellStyle name="Normal" xfId="0" builtinId="0"/>
    <cellStyle name="Normal 2" xfId="2" xr:uid="{F8B18F7F-6006-42CE-80A3-9E5B3AA13E6B}"/>
    <cellStyle name="Normal 20" xfId="7" xr:uid="{A2CF527F-5286-407C-8E61-E5E0E98FF85D}"/>
    <cellStyle name="Percent" xfId="1" builtinId="5"/>
    <cellStyle name="Percent 3" xfId="6" xr:uid="{716965A3-3747-4B67-9A3E-08ECAFC3AE1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A45CD1E-C1DA-44FE-BDE1-48464D74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6F57568-FAC9-41BA-9C45-43FFAD2E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30B8-5ADE-481F-8C4C-7160F87116A6}">
  <dimension ref="A1:II106"/>
  <sheetViews>
    <sheetView tabSelected="1" zoomScale="70" zoomScaleNormal="70" workbookViewId="0">
      <selection activeCell="U61" sqref="U6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26.725300000000001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81349660.162841961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0.64545580405084324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1600</v>
      </c>
      <c r="O9" s="37">
        <v>27600</v>
      </c>
      <c r="P9" s="48">
        <f t="shared" ref="P9:P17" si="5">(R9)/J9</f>
        <v>2.3239391304347823E-2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3044672.2674768851</v>
      </c>
      <c r="E10" s="39">
        <f t="shared" si="1"/>
        <v>2542805.6171875</v>
      </c>
      <c r="F10" s="40" t="s">
        <v>34</v>
      </c>
      <c r="G10" s="41">
        <v>3.1600000000000003E-2</v>
      </c>
      <c r="H10" s="42">
        <v>5.0224999999999999E-2</v>
      </c>
      <c r="I10" s="43">
        <v>0.05</v>
      </c>
      <c r="J10" s="44">
        <f t="shared" ref="J10:J17" si="7">I10/$J$5</f>
        <v>1.8708863885531688E-3</v>
      </c>
      <c r="K10" s="45">
        <f t="shared" si="2"/>
        <v>1.5625000000000001E-3</v>
      </c>
      <c r="L10" s="46">
        <f t="shared" si="3"/>
        <v>-2.2499999999999604E-4</v>
      </c>
      <c r="M10" s="46">
        <f t="shared" si="4"/>
        <v>-0.44798407167744353</v>
      </c>
      <c r="N10" s="51">
        <v>1800</v>
      </c>
      <c r="O10" s="37">
        <v>90</v>
      </c>
      <c r="P10" s="52">
        <f t="shared" si="5"/>
        <v>0</v>
      </c>
      <c r="Q10" s="49">
        <f t="shared" si="6"/>
        <v>0.58227848101265822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3556277.2198067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8.138355790206284E-3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131250084.75115339</v>
      </c>
      <c r="E12" s="39">
        <f t="shared" si="1"/>
        <v>109615559.0625</v>
      </c>
      <c r="F12" s="40" t="s">
        <v>34</v>
      </c>
      <c r="G12" s="41">
        <v>97.381</v>
      </c>
      <c r="H12" s="42">
        <v>170</v>
      </c>
      <c r="I12" s="43">
        <v>170</v>
      </c>
      <c r="J12" s="44">
        <f t="shared" si="7"/>
        <v>6.3610137210807736</v>
      </c>
      <c r="K12" s="45">
        <f t="shared" si="2"/>
        <v>5.3125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0.74572041774062692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8171197.3298709458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0.93544319427658429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762715372.13801157</v>
      </c>
      <c r="E14" s="39">
        <f t="shared" si="1"/>
        <v>636993660.46875</v>
      </c>
      <c r="F14" s="40" t="s">
        <v>47</v>
      </c>
      <c r="G14" s="41">
        <v>11.5</v>
      </c>
      <c r="H14" s="42">
        <v>39.377254999999998</v>
      </c>
      <c r="I14" s="43">
        <v>39</v>
      </c>
      <c r="J14" s="44">
        <f t="shared" si="7"/>
        <v>1.4592913830714715</v>
      </c>
      <c r="K14" s="45">
        <f t="shared" si="2"/>
        <v>1.21875</v>
      </c>
      <c r="L14" s="46">
        <f t="shared" si="3"/>
        <v>-0.37725499999999812</v>
      </c>
      <c r="M14" s="46">
        <f t="shared" si="4"/>
        <v>-0.95805306896074427</v>
      </c>
      <c r="N14" s="51">
        <v>100</v>
      </c>
      <c r="O14" s="37">
        <v>3900</v>
      </c>
      <c r="P14" s="52">
        <f t="shared" si="5"/>
        <v>0</v>
      </c>
      <c r="Q14" s="49">
        <f t="shared" si="6"/>
        <v>2.3913043478260869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27379863.198448658</v>
      </c>
      <c r="E15" s="39">
        <f t="shared" si="1"/>
        <v>22866720.560546871</v>
      </c>
      <c r="F15" s="40" t="s">
        <v>34</v>
      </c>
      <c r="G15" s="41">
        <v>5.39</v>
      </c>
      <c r="H15" s="42">
        <v>6.9</v>
      </c>
      <c r="I15" s="43">
        <v>6.9004999999999992</v>
      </c>
      <c r="J15" s="44">
        <f t="shared" si="7"/>
        <v>0.25820103048422277</v>
      </c>
      <c r="K15" s="45">
        <f t="shared" si="2"/>
        <v>0.21564062499999997</v>
      </c>
      <c r="L15" s="46">
        <f t="shared" si="3"/>
        <v>4.9999999999883471E-4</v>
      </c>
      <c r="M15" s="46">
        <f t="shared" si="4"/>
        <v>7.2463768115773146E-3</v>
      </c>
      <c r="N15" s="51">
        <v>1000</v>
      </c>
      <c r="O15" s="37">
        <v>6900.5</v>
      </c>
      <c r="P15" s="52">
        <f t="shared" si="5"/>
        <v>0</v>
      </c>
      <c r="Q15" s="49">
        <f t="shared" si="6"/>
        <v>0.28024118738404447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80301068.77612263</v>
      </c>
      <c r="E16" s="39">
        <f t="shared" si="1"/>
        <v>67064692.292578444</v>
      </c>
      <c r="F16" s="40" t="s">
        <v>34</v>
      </c>
      <c r="G16" s="41">
        <v>1.9</v>
      </c>
      <c r="H16" s="42">
        <v>6</v>
      </c>
      <c r="I16" s="43">
        <v>5.9945950000000003</v>
      </c>
      <c r="J16" s="44">
        <f t="shared" si="7"/>
        <v>0.22430412380777764</v>
      </c>
      <c r="K16" s="45">
        <f t="shared" si="2"/>
        <v>0.18733109375000001</v>
      </c>
      <c r="L16" s="46">
        <f t="shared" si="3"/>
        <v>-5.4049999999996601E-3</v>
      </c>
      <c r="M16" s="46">
        <f t="shared" si="4"/>
        <v>-9.0083333333327659E-2</v>
      </c>
      <c r="N16" s="51">
        <v>11100</v>
      </c>
      <c r="O16" s="37">
        <v>66540</v>
      </c>
      <c r="P16" s="52">
        <f t="shared" si="5"/>
        <v>0.22291163956864476</v>
      </c>
      <c r="Q16" s="49">
        <f t="shared" si="6"/>
        <v>2.1550500000000001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1347631876.4049981</v>
      </c>
      <c r="E17" s="39">
        <f t="shared" si="1"/>
        <v>1125495818.327703</v>
      </c>
      <c r="F17" s="40" t="s">
        <v>34</v>
      </c>
      <c r="G17" s="41">
        <v>20.701700000000002</v>
      </c>
      <c r="H17" s="42">
        <v>27.907878999999998</v>
      </c>
      <c r="I17" s="43">
        <v>26.7227</v>
      </c>
      <c r="J17" s="44">
        <f t="shared" si="7"/>
        <v>0.99990271390779517</v>
      </c>
      <c r="K17" s="45">
        <f t="shared" si="2"/>
        <v>0.83508437499999999</v>
      </c>
      <c r="L17" s="46">
        <f t="shared" si="3"/>
        <v>-1.185178999999998</v>
      </c>
      <c r="M17" s="46">
        <f t="shared" si="4"/>
        <v>-4.2467541155671418</v>
      </c>
      <c r="N17" s="51">
        <v>234600</v>
      </c>
      <c r="O17" s="37">
        <v>6269137.8499999996</v>
      </c>
      <c r="P17" s="48">
        <f t="shared" si="5"/>
        <v>0</v>
      </c>
      <c r="Q17" s="49">
        <f t="shared" si="6"/>
        <v>0.29084567934034378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338296904.72267848</v>
      </c>
      <c r="E19" s="39">
        <f t="shared" si="1"/>
        <v>282533945.86828125</v>
      </c>
      <c r="F19" s="40" t="s">
        <v>47</v>
      </c>
      <c r="G19" s="41">
        <v>12.45</v>
      </c>
      <c r="H19" s="42">
        <v>13.434000000000001</v>
      </c>
      <c r="I19" s="43">
        <v>13.455</v>
      </c>
      <c r="J19" s="44">
        <f t="shared" ref="J19:J45" si="8">I19/$J$5</f>
        <v>0.50345552715965769</v>
      </c>
      <c r="K19" s="45">
        <f t="shared" ref="K19:K45" si="9">I19/$K$4</f>
        <v>0.42046875</v>
      </c>
      <c r="L19" s="46">
        <f t="shared" ref="L19:L29" si="10">I19-H19</f>
        <v>2.0999999999999019E-2</v>
      </c>
      <c r="M19" s="46">
        <f>((I19-H19)/H19)*100</f>
        <v>0.15631978561857243</v>
      </c>
      <c r="N19" s="51">
        <v>1000</v>
      </c>
      <c r="O19" s="37">
        <v>13455</v>
      </c>
      <c r="P19" s="52">
        <f>(R19)/J19</f>
        <v>0</v>
      </c>
      <c r="Q19" s="49">
        <f t="shared" ref="Q19:Q29" si="11">I19/G19-1</f>
        <v>8.072289156626522E-2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3790365.7070266753</v>
      </c>
      <c r="E20" s="39">
        <f t="shared" si="1"/>
        <v>3165583.1446875003</v>
      </c>
      <c r="F20" s="40" t="s">
        <v>47</v>
      </c>
      <c r="G20" s="41">
        <v>0.35</v>
      </c>
      <c r="H20" s="42">
        <v>0.92</v>
      </c>
      <c r="I20" s="43">
        <v>0.93</v>
      </c>
      <c r="J20" s="44">
        <f t="shared" si="8"/>
        <v>3.4798486827088942E-2</v>
      </c>
      <c r="K20" s="45">
        <f t="shared" si="9"/>
        <v>2.9062500000000002E-2</v>
      </c>
      <c r="L20" s="46">
        <f t="shared" si="10"/>
        <v>1.0000000000000009E-2</v>
      </c>
      <c r="M20" s="46">
        <f>((I20-H20)/H20)*100</f>
        <v>1.0869565217391313</v>
      </c>
      <c r="N20" s="51">
        <v>600</v>
      </c>
      <c r="O20" s="37">
        <v>558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77083401.649373442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0.11169191739662417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1726701.7237598829</v>
      </c>
      <c r="E23" s="39">
        <f t="shared" si="1"/>
        <v>1442081.9243124998</v>
      </c>
      <c r="F23" s="40" t="s">
        <v>44</v>
      </c>
      <c r="G23" s="41">
        <v>0.1</v>
      </c>
      <c r="H23" s="42">
        <v>8.5999999999999993E-2</v>
      </c>
      <c r="I23" s="43">
        <v>8.5999999999999993E-2</v>
      </c>
      <c r="J23" s="44">
        <f t="shared" si="8"/>
        <v>3.2179245883114499E-3</v>
      </c>
      <c r="K23" s="45">
        <f t="shared" si="9"/>
        <v>2.6874999999999998E-3</v>
      </c>
      <c r="L23" s="46">
        <f t="shared" si="10"/>
        <v>0</v>
      </c>
      <c r="M23" s="46">
        <f t="shared" ref="M23:M29" si="12">((I23-H23)/H23)*100</f>
        <v>0</v>
      </c>
      <c r="N23" s="51">
        <v>0</v>
      </c>
      <c r="O23" s="37">
        <v>0</v>
      </c>
      <c r="P23" s="52">
        <f t="shared" ref="P23:P29" si="13">(R23)/J23</f>
        <v>0</v>
      </c>
      <c r="Q23" s="49">
        <f t="shared" si="11"/>
        <v>-0.14000000000000012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77279582.822269529</v>
      </c>
      <c r="E24" s="39">
        <f t="shared" si="1"/>
        <v>64541251.087499999</v>
      </c>
      <c r="F24" s="40" t="s">
        <v>34</v>
      </c>
      <c r="G24" s="41">
        <v>8.1687659999999997</v>
      </c>
      <c r="H24" s="42">
        <v>10.69975</v>
      </c>
      <c r="I24" s="43">
        <v>10.7</v>
      </c>
      <c r="J24" s="44">
        <f t="shared" si="8"/>
        <v>0.40036968715037807</v>
      </c>
      <c r="K24" s="45">
        <f t="shared" si="9"/>
        <v>0.33437499999999998</v>
      </c>
      <c r="L24" s="46">
        <f t="shared" si="10"/>
        <v>2.4999999999941735E-4</v>
      </c>
      <c r="M24" s="46">
        <f t="shared" si="12"/>
        <v>2.3365031893214081E-3</v>
      </c>
      <c r="N24" s="51">
        <v>400</v>
      </c>
      <c r="O24" s="37">
        <v>4280</v>
      </c>
      <c r="P24" s="48">
        <f t="shared" si="13"/>
        <v>3.74653738317757E-2</v>
      </c>
      <c r="Q24" s="49">
        <f t="shared" si="11"/>
        <v>0.30986736552375227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105453083.59606813</v>
      </c>
      <c r="E25" s="39">
        <f t="shared" si="1"/>
        <v>88070790.469687492</v>
      </c>
      <c r="F25" s="40" t="s">
        <v>66</v>
      </c>
      <c r="G25" s="41">
        <v>1.6675</v>
      </c>
      <c r="H25" s="42">
        <v>1.67</v>
      </c>
      <c r="I25" s="43">
        <v>1.67</v>
      </c>
      <c r="J25" s="44">
        <f t="shared" si="8"/>
        <v>6.248760537767583E-2</v>
      </c>
      <c r="K25" s="45">
        <f t="shared" si="9"/>
        <v>5.2187499999999998E-2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1.4992503748125774E-3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20601925.744519237</v>
      </c>
      <c r="E26" s="39">
        <f t="shared" si="1"/>
        <v>17206020.190624997</v>
      </c>
      <c r="F26" s="40" t="s">
        <v>44</v>
      </c>
      <c r="G26" s="41">
        <v>1.7994999999999999</v>
      </c>
      <c r="H26" s="42">
        <v>2.3242210000000001</v>
      </c>
      <c r="I26" s="43">
        <v>2.2999999999999998</v>
      </c>
      <c r="J26" s="44">
        <f t="shared" si="8"/>
        <v>8.6060773873445753E-2</v>
      </c>
      <c r="K26" s="45">
        <f t="shared" si="9"/>
        <v>7.1874999999999994E-2</v>
      </c>
      <c r="L26" s="46">
        <f t="shared" si="10"/>
        <v>-2.422100000000027E-2</v>
      </c>
      <c r="M26" s="46">
        <f t="shared" si="12"/>
        <v>-1.0421126046103304</v>
      </c>
      <c r="N26" s="51">
        <v>40000</v>
      </c>
      <c r="O26" s="37">
        <v>92000</v>
      </c>
      <c r="P26" s="52">
        <f t="shared" si="13"/>
        <v>0</v>
      </c>
      <c r="Q26" s="49">
        <f t="shared" si="11"/>
        <v>0.2781328146707418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23002988.868225988</v>
      </c>
      <c r="E27" s="39">
        <f t="shared" si="1"/>
        <v>19211305.574999999</v>
      </c>
      <c r="F27" s="40" t="s">
        <v>34</v>
      </c>
      <c r="G27" s="41">
        <v>3.1361369999999997</v>
      </c>
      <c r="H27" s="42">
        <v>2.5</v>
      </c>
      <c r="I27" s="43">
        <v>2.4</v>
      </c>
      <c r="J27" s="44">
        <f t="shared" si="8"/>
        <v>8.9802546650552095E-2</v>
      </c>
      <c r="K27" s="45">
        <f t="shared" si="9"/>
        <v>7.4999999999999997E-2</v>
      </c>
      <c r="L27" s="46">
        <f t="shared" si="10"/>
        <v>-0.10000000000000009</v>
      </c>
      <c r="M27" s="46">
        <f t="shared" si="12"/>
        <v>-4.0000000000000036</v>
      </c>
      <c r="N27" s="51">
        <v>18500</v>
      </c>
      <c r="O27" s="37">
        <v>44400</v>
      </c>
      <c r="P27" s="52">
        <f t="shared" si="13"/>
        <v>0</v>
      </c>
      <c r="Q27" s="49">
        <f t="shared" si="11"/>
        <v>-0.23472730942557674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24881678.741866324</v>
      </c>
      <c r="E28" s="39">
        <f t="shared" si="1"/>
        <v>20780322.7775</v>
      </c>
      <c r="F28" s="40" t="s">
        <v>44</v>
      </c>
      <c r="G28" s="41">
        <v>0.8</v>
      </c>
      <c r="H28" s="42">
        <v>0.88</v>
      </c>
      <c r="I28" s="43">
        <v>0.88</v>
      </c>
      <c r="J28" s="44">
        <f t="shared" si="8"/>
        <v>3.2927600438535772E-2</v>
      </c>
      <c r="K28" s="45">
        <f t="shared" si="9"/>
        <v>2.75E-2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9.9999999999999867E-2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114444840.60347311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0.25481472612094158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15022970.262260852</v>
      </c>
      <c r="E31" s="39">
        <f t="shared" si="1"/>
        <v>12546668.348437499</v>
      </c>
      <c r="F31" s="40" t="s">
        <v>39</v>
      </c>
      <c r="G31" s="41">
        <v>1.4</v>
      </c>
      <c r="H31" s="42">
        <v>1.5449999999999999</v>
      </c>
      <c r="I31" s="43">
        <v>1.5449999999999999</v>
      </c>
      <c r="J31" s="44">
        <f t="shared" si="8"/>
        <v>5.7810389406292906E-2</v>
      </c>
      <c r="K31" s="45">
        <f t="shared" si="9"/>
        <v>4.8281249999999998E-2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4000</v>
      </c>
      <c r="O31" s="37">
        <v>6180</v>
      </c>
      <c r="P31" s="52">
        <f t="shared" ref="P31:P36" si="16">(R31)/J31</f>
        <v>0</v>
      </c>
      <c r="Q31" s="49">
        <f t="shared" ref="Q31:Q45" si="17">I31/G31-1</f>
        <v>0.10357142857142865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4474744.1787370024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3.6669373215642107E-2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132620302.96330811</v>
      </c>
      <c r="E33" s="39">
        <f t="shared" si="1"/>
        <v>110759918.21204057</v>
      </c>
      <c r="F33" s="40" t="s">
        <v>92</v>
      </c>
      <c r="G33" s="41">
        <v>1.44</v>
      </c>
      <c r="H33" s="42">
        <v>1.4202860000000002</v>
      </c>
      <c r="I33" s="43">
        <v>1.4202860000000002</v>
      </c>
      <c r="J33" s="44">
        <f t="shared" si="8"/>
        <v>5.314387490505252E-2</v>
      </c>
      <c r="K33" s="45">
        <f t="shared" si="9"/>
        <v>4.4383937500000005E-2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-1.3690277777777649E-2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42683091.433959581</v>
      </c>
      <c r="E34" s="39">
        <f t="shared" si="1"/>
        <v>35647450.734375</v>
      </c>
      <c r="F34" s="40" t="s">
        <v>34</v>
      </c>
      <c r="G34" s="41">
        <v>3.6056249999999999</v>
      </c>
      <c r="H34" s="42">
        <v>4.5</v>
      </c>
      <c r="I34" s="43">
        <v>4.5</v>
      </c>
      <c r="J34" s="44">
        <f t="shared" si="8"/>
        <v>0.16837977496978518</v>
      </c>
      <c r="K34" s="45">
        <f t="shared" si="9"/>
        <v>0.140625</v>
      </c>
      <c r="L34" s="46">
        <f t="shared" si="14"/>
        <v>0</v>
      </c>
      <c r="M34" s="46">
        <f t="shared" si="15"/>
        <v>0</v>
      </c>
      <c r="N34" s="51">
        <v>0</v>
      </c>
      <c r="O34" s="37">
        <v>0</v>
      </c>
      <c r="P34" s="52">
        <f t="shared" si="16"/>
        <v>0</v>
      </c>
      <c r="Q34" s="49">
        <f t="shared" si="17"/>
        <v>0.24804992199687992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8856672.1275794841</v>
      </c>
      <c r="E35" s="39">
        <f t="shared" si="1"/>
        <v>7396788.1128499992</v>
      </c>
      <c r="F35" s="40" t="s">
        <v>34</v>
      </c>
      <c r="G35" s="41">
        <v>2.5099999999999997E-2</v>
      </c>
      <c r="H35" s="42">
        <v>5.0199999999999995E-2</v>
      </c>
      <c r="I35" s="43">
        <v>5.0199999999999995E-2</v>
      </c>
      <c r="J35" s="44">
        <f t="shared" si="8"/>
        <v>1.8783699341073812E-3</v>
      </c>
      <c r="K35" s="45">
        <f t="shared" si="9"/>
        <v>1.5687499999999998E-3</v>
      </c>
      <c r="L35" s="46">
        <f t="shared" si="14"/>
        <v>0</v>
      </c>
      <c r="M35" s="46">
        <f t="shared" si="15"/>
        <v>0</v>
      </c>
      <c r="N35" s="51">
        <v>4000</v>
      </c>
      <c r="O35" s="37">
        <v>200.8</v>
      </c>
      <c r="P35" s="52">
        <f t="shared" si="16"/>
        <v>0</v>
      </c>
      <c r="Q35" s="49">
        <f t="shared" si="17"/>
        <v>1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69031685.382678419</v>
      </c>
      <c r="E36" s="39">
        <f t="shared" si="1"/>
        <v>57652890.667427994</v>
      </c>
      <c r="F36" s="40" t="s">
        <v>92</v>
      </c>
      <c r="G36" s="41">
        <v>0.61</v>
      </c>
      <c r="H36" s="42">
        <v>3.52</v>
      </c>
      <c r="I36" s="43">
        <v>3.5134719999999997</v>
      </c>
      <c r="J36" s="44">
        <f t="shared" si="8"/>
        <v>0.13146613882725355</v>
      </c>
      <c r="K36" s="45">
        <f t="shared" si="9"/>
        <v>0.10979599999999999</v>
      </c>
      <c r="L36" s="46">
        <f t="shared" si="14"/>
        <v>-6.5280000000003113E-3</v>
      </c>
      <c r="M36" s="46">
        <f t="shared" si="15"/>
        <v>-0.18545454545455428</v>
      </c>
      <c r="N36" s="51">
        <v>7200</v>
      </c>
      <c r="O36" s="37">
        <v>25297</v>
      </c>
      <c r="P36" s="52">
        <f t="shared" si="16"/>
        <v>0</v>
      </c>
      <c r="Q36" s="49">
        <f t="shared" si="17"/>
        <v>4.7597901639344258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58565627.972674765</v>
      </c>
      <c r="E37" s="39">
        <f t="shared" si="1"/>
        <v>48911999.289316401</v>
      </c>
      <c r="F37" s="40" t="s">
        <v>56</v>
      </c>
      <c r="G37" s="41">
        <v>0.11650199999999999</v>
      </c>
      <c r="H37" s="42">
        <v>0.35047099999999998</v>
      </c>
      <c r="I37" s="43">
        <v>0.37312499999999998</v>
      </c>
      <c r="J37" s="44">
        <f t="shared" si="8"/>
        <v>1.3961489674578021E-2</v>
      </c>
      <c r="K37" s="45">
        <f t="shared" si="9"/>
        <v>1.166015625E-2</v>
      </c>
      <c r="L37" s="46">
        <f t="shared" si="14"/>
        <v>2.2654000000000007E-2</v>
      </c>
      <c r="M37" s="46">
        <f t="shared" si="15"/>
        <v>6.4638729024655426</v>
      </c>
      <c r="N37" s="51">
        <v>40000</v>
      </c>
      <c r="O37" s="37">
        <v>14925</v>
      </c>
      <c r="P37" s="52">
        <v>0</v>
      </c>
      <c r="Q37" s="49">
        <f t="shared" si="17"/>
        <v>2.2027347170005664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22481735.563839544</v>
      </c>
      <c r="E38" s="39">
        <f t="shared" si="1"/>
        <v>18775972.733258784</v>
      </c>
      <c r="F38" s="40" t="s">
        <v>39</v>
      </c>
      <c r="G38" s="41">
        <v>0.1</v>
      </c>
      <c r="H38" s="42">
        <v>0.13921900000000001</v>
      </c>
      <c r="I38" s="43">
        <v>0.13921900000000001</v>
      </c>
      <c r="J38" s="44">
        <f t="shared" si="8"/>
        <v>5.2092586425596717E-3</v>
      </c>
      <c r="K38" s="45">
        <f t="shared" si="9"/>
        <v>4.3505937500000003E-3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0.39219000000000004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7968048.0293953661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7.4835455542126741E-2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4683625.6480264021</v>
      </c>
      <c r="E40" s="39">
        <f t="shared" si="1"/>
        <v>3911603.1416000002</v>
      </c>
      <c r="F40" s="40" t="s">
        <v>39</v>
      </c>
      <c r="G40" s="41">
        <v>0.03</v>
      </c>
      <c r="H40" s="42">
        <v>7.0199999999999999E-2</v>
      </c>
      <c r="I40" s="43">
        <v>7.0400000000000004E-2</v>
      </c>
      <c r="J40" s="44">
        <f t="shared" si="8"/>
        <v>2.6342080350828618E-3</v>
      </c>
      <c r="K40" s="45">
        <f t="shared" si="9"/>
        <v>2.2000000000000001E-3</v>
      </c>
      <c r="L40" s="46">
        <f t="shared" si="14"/>
        <v>2.0000000000000573E-4</v>
      </c>
      <c r="M40" s="46">
        <f t="shared" si="15"/>
        <v>0.28490028490029307</v>
      </c>
      <c r="N40" s="51">
        <v>1500</v>
      </c>
      <c r="O40" s="37">
        <v>105.6</v>
      </c>
      <c r="P40" s="52">
        <f t="shared" si="18"/>
        <v>0</v>
      </c>
      <c r="Q40" s="49">
        <f t="shared" si="17"/>
        <v>1.3466666666666667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45886650.252756752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0.26192409439744363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312.06676437682643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6.7351909987914071E-7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1551788.0061215404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2.6940763995165632E-3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51032355.201720089</v>
      </c>
      <c r="E44" s="39">
        <f t="shared" si="1"/>
        <v>42620468.827266559</v>
      </c>
      <c r="F44" s="40" t="s">
        <v>47</v>
      </c>
      <c r="G44" s="41">
        <v>0.9998999999999999</v>
      </c>
      <c r="H44" s="42">
        <v>0.7</v>
      </c>
      <c r="I44" s="43">
        <v>0.75010499999999991</v>
      </c>
      <c r="J44" s="44">
        <f t="shared" si="8"/>
        <v>2.8067224689713489E-2</v>
      </c>
      <c r="K44" s="45">
        <f t="shared" si="9"/>
        <v>2.3440781249999997E-2</v>
      </c>
      <c r="L44" s="46">
        <f t="shared" si="14"/>
        <v>5.0104999999999955E-2</v>
      </c>
      <c r="M44" s="46">
        <f t="shared" si="15"/>
        <v>7.1578571428571367</v>
      </c>
      <c r="N44" s="51">
        <v>100200</v>
      </c>
      <c r="O44" s="37">
        <v>75160.5</v>
      </c>
      <c r="P44" s="52">
        <f t="shared" si="18"/>
        <v>0</v>
      </c>
      <c r="Q44" s="49">
        <f t="shared" si="17"/>
        <v>-0.24981998199819988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13636856.567180913</v>
      </c>
      <c r="E45" s="39">
        <f t="shared" si="1"/>
        <v>11389033.837965</v>
      </c>
      <c r="F45" s="40" t="s">
        <v>47</v>
      </c>
      <c r="G45" s="41">
        <v>1.4503460000000001</v>
      </c>
      <c r="H45" s="42">
        <v>3.5482440000000004</v>
      </c>
      <c r="I45" s="43">
        <v>3.5482440000000004</v>
      </c>
      <c r="J45" s="44">
        <f t="shared" si="8"/>
        <v>0.13276722805730901</v>
      </c>
      <c r="K45" s="45">
        <f t="shared" si="9"/>
        <v>0.11088262500000001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1.4464810465916411</v>
      </c>
      <c r="R45" s="50"/>
    </row>
    <row r="46" spans="1:18" ht="14.25" customHeight="1" thickBot="1" x14ac:dyDescent="0.4">
      <c r="A46" s="58"/>
      <c r="B46" s="59" t="s">
        <v>117</v>
      </c>
      <c r="C46" s="60"/>
      <c r="D46" s="61"/>
      <c r="E46" s="61"/>
      <c r="F46" s="62"/>
      <c r="G46" s="62"/>
      <c r="H46" s="46"/>
      <c r="I46" s="46"/>
      <c r="J46" s="46"/>
      <c r="K46" s="46"/>
      <c r="L46" s="46"/>
      <c r="M46" s="46"/>
      <c r="N46" s="62">
        <f>SUM(N9:N45)</f>
        <v>467600</v>
      </c>
      <c r="O46" s="62">
        <f>SUM(O9:O45)</f>
        <v>6650730.2499999991</v>
      </c>
      <c r="P46" s="63"/>
      <c r="Q46" s="64"/>
    </row>
    <row r="47" spans="1:18" ht="13.5" customHeight="1" x14ac:dyDescent="0.35">
      <c r="A47" s="65"/>
      <c r="B47" s="66" t="s">
        <v>117</v>
      </c>
      <c r="C47" s="67"/>
      <c r="D47" s="67"/>
      <c r="E47" s="67"/>
      <c r="F47" s="68"/>
      <c r="G47" s="68"/>
      <c r="H47" s="69"/>
      <c r="I47" s="69"/>
      <c r="J47" s="69"/>
      <c r="K47" s="69"/>
      <c r="L47" s="69"/>
      <c r="M47" s="69"/>
      <c r="N47" s="68"/>
      <c r="O47" s="68"/>
      <c r="P47" s="68"/>
      <c r="Q47" s="70"/>
    </row>
    <row r="48" spans="1:18" ht="12.75" customHeight="1" x14ac:dyDescent="0.3">
      <c r="A48" s="133" t="s">
        <v>118</v>
      </c>
      <c r="B48" s="134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6"/>
    </row>
    <row r="49" spans="1:20" ht="11.4" customHeight="1" x14ac:dyDescent="0.25">
      <c r="A49" s="35" t="s">
        <v>119</v>
      </c>
      <c r="B49" s="36" t="s">
        <v>120</v>
      </c>
      <c r="C49" s="40">
        <v>554920308</v>
      </c>
      <c r="D49" s="38">
        <f t="shared" ref="D49:D64" si="19">C49*J49</f>
        <v>77744335.150800005</v>
      </c>
      <c r="E49" s="39">
        <v>0</v>
      </c>
      <c r="F49" s="40" t="s">
        <v>92</v>
      </c>
      <c r="G49" s="71">
        <v>0.1</v>
      </c>
      <c r="H49" s="42">
        <v>0.14050000000000001</v>
      </c>
      <c r="I49" s="42">
        <v>0.1401</v>
      </c>
      <c r="J49" s="44">
        <f t="shared" ref="J49:J64" si="20">I49</f>
        <v>0.1401</v>
      </c>
      <c r="K49" s="39">
        <v>0</v>
      </c>
      <c r="L49" s="46">
        <f t="shared" ref="L49:L64" si="21">I49-H49</f>
        <v>-4.0000000000001146E-4</v>
      </c>
      <c r="M49" s="46">
        <f t="shared" ref="M49:M64" si="22">((I49-H49)/H49)*100</f>
        <v>-0.28469750889680528</v>
      </c>
      <c r="N49" s="51">
        <v>28125</v>
      </c>
      <c r="O49" s="37">
        <v>3940.65</v>
      </c>
      <c r="P49" s="72">
        <f>(R49)/J49</f>
        <v>0</v>
      </c>
      <c r="Q49" s="49">
        <f t="shared" ref="Q49:Q64" si="23">J49/G49-1</f>
        <v>0.40100000000000002</v>
      </c>
      <c r="T49" s="53"/>
    </row>
    <row r="50" spans="1:20" ht="12" customHeight="1" x14ac:dyDescent="0.25">
      <c r="A50" s="35" t="s">
        <v>121</v>
      </c>
      <c r="B50" s="36" t="s">
        <v>122</v>
      </c>
      <c r="C50" s="40">
        <v>1057685</v>
      </c>
      <c r="D50" s="38">
        <f t="shared" si="19"/>
        <v>41982796.473499998</v>
      </c>
      <c r="E50" s="39">
        <v>0</v>
      </c>
      <c r="F50" s="40" t="s">
        <v>39</v>
      </c>
      <c r="G50" s="71">
        <v>39.9</v>
      </c>
      <c r="H50" s="42">
        <v>36.4</v>
      </c>
      <c r="I50" s="42">
        <v>39.693100000000001</v>
      </c>
      <c r="J50" s="44">
        <f t="shared" si="20"/>
        <v>39.693100000000001</v>
      </c>
      <c r="K50" s="39">
        <v>0</v>
      </c>
      <c r="L50" s="46">
        <f t="shared" si="21"/>
        <v>3.2931000000000026</v>
      </c>
      <c r="M50" s="46">
        <f t="shared" si="22"/>
        <v>9.0469780219780294</v>
      </c>
      <c r="N50" s="51">
        <v>27415</v>
      </c>
      <c r="O50" s="37">
        <v>1088186.3999999999</v>
      </c>
      <c r="P50" s="73">
        <f>(R50)/J50</f>
        <v>1.4108245513703894E-2</v>
      </c>
      <c r="Q50" s="49">
        <f t="shared" si="23"/>
        <v>-5.1854636591478487E-3</v>
      </c>
      <c r="R50" s="53">
        <v>0.56000000000000005</v>
      </c>
      <c r="T50" s="53"/>
    </row>
    <row r="51" spans="1:20" ht="12" customHeight="1" x14ac:dyDescent="0.25">
      <c r="A51" s="35" t="s">
        <v>123</v>
      </c>
      <c r="B51" s="36" t="s">
        <v>124</v>
      </c>
      <c r="C51" s="40">
        <v>2992163203</v>
      </c>
      <c r="D51" s="38">
        <f t="shared" si="19"/>
        <v>671740639.07350004</v>
      </c>
      <c r="E51" s="39"/>
      <c r="F51" s="40" t="s">
        <v>56</v>
      </c>
      <c r="G51" s="71">
        <v>0.33</v>
      </c>
      <c r="H51" s="42">
        <v>0.22889999999999999</v>
      </c>
      <c r="I51" s="42">
        <v>0.22450000000000001</v>
      </c>
      <c r="J51" s="44">
        <f t="shared" si="20"/>
        <v>0.22450000000000001</v>
      </c>
      <c r="K51" s="39">
        <v>0</v>
      </c>
      <c r="L51" s="46">
        <f t="shared" si="21"/>
        <v>-4.3999999999999873E-3</v>
      </c>
      <c r="M51" s="46">
        <f t="shared" si="22"/>
        <v>-1.9222367846221005</v>
      </c>
      <c r="N51" s="51">
        <v>56803</v>
      </c>
      <c r="O51" s="37">
        <v>12752.6</v>
      </c>
      <c r="P51" s="72">
        <v>0</v>
      </c>
      <c r="Q51" s="49">
        <f t="shared" si="23"/>
        <v>-0.3196969696969697</v>
      </c>
      <c r="R51" s="53"/>
      <c r="T51" s="53"/>
    </row>
    <row r="52" spans="1:20" ht="12" customHeight="1" x14ac:dyDescent="0.25">
      <c r="A52" s="35" t="s">
        <v>125</v>
      </c>
      <c r="B52" s="36" t="s">
        <v>126</v>
      </c>
      <c r="C52" s="40">
        <v>609740943</v>
      </c>
      <c r="D52" s="38">
        <f t="shared" si="19"/>
        <v>13109430.274499999</v>
      </c>
      <c r="E52" s="39">
        <v>0</v>
      </c>
      <c r="F52" s="40" t="s">
        <v>34</v>
      </c>
      <c r="G52" s="71">
        <v>2.3E-2</v>
      </c>
      <c r="H52" s="42">
        <v>2.1399999999999999E-2</v>
      </c>
      <c r="I52" s="42">
        <v>2.1499999999999998E-2</v>
      </c>
      <c r="J52" s="44">
        <f t="shared" si="20"/>
        <v>2.1499999999999998E-2</v>
      </c>
      <c r="K52" s="39">
        <v>0</v>
      </c>
      <c r="L52" s="46">
        <f t="shared" si="21"/>
        <v>9.9999999999999395E-5</v>
      </c>
      <c r="M52" s="46">
        <f t="shared" si="22"/>
        <v>0.46728971962616539</v>
      </c>
      <c r="N52" s="51">
        <v>42619</v>
      </c>
      <c r="O52" s="37">
        <v>916.33</v>
      </c>
      <c r="P52" s="72">
        <f t="shared" ref="P52:P64" si="24">(R52)/J52</f>
        <v>0</v>
      </c>
      <c r="Q52" s="49">
        <f t="shared" si="23"/>
        <v>-6.5217391304347894E-2</v>
      </c>
      <c r="T52" s="53"/>
    </row>
    <row r="53" spans="1:20" ht="12" customHeight="1" x14ac:dyDescent="0.25">
      <c r="A53" s="35" t="s">
        <v>127</v>
      </c>
      <c r="B53" s="36" t="s">
        <v>128</v>
      </c>
      <c r="C53" s="40">
        <v>2162695929</v>
      </c>
      <c r="D53" s="38">
        <f t="shared" si="19"/>
        <v>325485737.31449997</v>
      </c>
      <c r="E53" s="39">
        <v>0</v>
      </c>
      <c r="F53" s="40" t="s">
        <v>47</v>
      </c>
      <c r="G53" s="71">
        <v>9.0200000000000002E-2</v>
      </c>
      <c r="H53" s="42">
        <v>0.15129999999999999</v>
      </c>
      <c r="I53" s="42">
        <v>0.15049999999999999</v>
      </c>
      <c r="J53" s="44">
        <f t="shared" si="20"/>
        <v>0.15049999999999999</v>
      </c>
      <c r="K53" s="39">
        <v>0</v>
      </c>
      <c r="L53" s="46">
        <f t="shared" si="21"/>
        <v>-7.9999999999999516E-4</v>
      </c>
      <c r="M53" s="74">
        <f t="shared" si="22"/>
        <v>-0.52875082617316271</v>
      </c>
      <c r="N53" s="51">
        <v>71014</v>
      </c>
      <c r="O53" s="37">
        <v>10689.92</v>
      </c>
      <c r="P53" s="72">
        <f t="shared" si="24"/>
        <v>0</v>
      </c>
      <c r="Q53" s="49">
        <f t="shared" si="23"/>
        <v>0.66851441241685139</v>
      </c>
      <c r="R53" s="53"/>
      <c r="T53" s="53"/>
    </row>
    <row r="54" spans="1:20" ht="12" customHeight="1" x14ac:dyDescent="0.25">
      <c r="A54" s="35" t="s">
        <v>129</v>
      </c>
      <c r="B54" s="36" t="s">
        <v>130</v>
      </c>
      <c r="C54" s="40">
        <v>575926450</v>
      </c>
      <c r="D54" s="38">
        <f t="shared" si="19"/>
        <v>863716897.06500006</v>
      </c>
      <c r="E54" s="39">
        <v>0</v>
      </c>
      <c r="F54" s="40" t="s">
        <v>34</v>
      </c>
      <c r="G54" s="71">
        <v>0.95750000000000002</v>
      </c>
      <c r="H54" s="42">
        <v>1.5017</v>
      </c>
      <c r="I54" s="42">
        <v>1.4997</v>
      </c>
      <c r="J54" s="44">
        <f t="shared" si="20"/>
        <v>1.4997</v>
      </c>
      <c r="K54" s="39">
        <v>0</v>
      </c>
      <c r="L54" s="46">
        <f t="shared" si="21"/>
        <v>-2.0000000000000018E-3</v>
      </c>
      <c r="M54" s="46">
        <f t="shared" si="22"/>
        <v>-0.1331823932876075</v>
      </c>
      <c r="N54" s="51">
        <v>12436</v>
      </c>
      <c r="O54" s="37">
        <v>18650.7</v>
      </c>
      <c r="P54" s="73">
        <f t="shared" si="24"/>
        <v>3.1339601253584051E-2</v>
      </c>
      <c r="Q54" s="49">
        <f t="shared" si="23"/>
        <v>0.56626631853785891</v>
      </c>
      <c r="R54" s="53">
        <v>4.7E-2</v>
      </c>
      <c r="T54" s="53"/>
    </row>
    <row r="55" spans="1:20" ht="12" customHeight="1" x14ac:dyDescent="0.25">
      <c r="A55" s="35" t="s">
        <v>131</v>
      </c>
      <c r="B55" s="36" t="s">
        <v>132</v>
      </c>
      <c r="C55" s="40">
        <v>164208222</v>
      </c>
      <c r="D55" s="38">
        <f t="shared" si="19"/>
        <v>21379910.5044</v>
      </c>
      <c r="E55" s="39">
        <v>0</v>
      </c>
      <c r="F55" s="40" t="s">
        <v>34</v>
      </c>
      <c r="G55" s="71">
        <v>0.1595</v>
      </c>
      <c r="H55" s="42">
        <v>0.13009999999999999</v>
      </c>
      <c r="I55" s="42">
        <v>0.13020000000000001</v>
      </c>
      <c r="J55" s="44">
        <f t="shared" si="20"/>
        <v>0.13020000000000001</v>
      </c>
      <c r="K55" s="39">
        <v>0</v>
      </c>
      <c r="L55" s="46">
        <f t="shared" si="21"/>
        <v>1.0000000000001674E-4</v>
      </c>
      <c r="M55" s="46">
        <f t="shared" si="22"/>
        <v>7.6863950807084358E-2</v>
      </c>
      <c r="N55" s="51">
        <v>9934</v>
      </c>
      <c r="O55" s="37">
        <v>1293.5999999999999</v>
      </c>
      <c r="P55" s="72">
        <f t="shared" si="24"/>
        <v>0</v>
      </c>
      <c r="Q55" s="49">
        <f t="shared" si="23"/>
        <v>-0.18369905956112853</v>
      </c>
      <c r="T55" s="53"/>
    </row>
    <row r="56" spans="1:20" ht="12" customHeight="1" x14ac:dyDescent="0.25">
      <c r="A56" s="35" t="s">
        <v>133</v>
      </c>
      <c r="B56" s="36" t="s">
        <v>134</v>
      </c>
      <c r="C56" s="40">
        <v>953802800</v>
      </c>
      <c r="D56" s="38">
        <f t="shared" si="19"/>
        <v>23940450.280000001</v>
      </c>
      <c r="E56" s="39">
        <v>0</v>
      </c>
      <c r="F56" s="40" t="s">
        <v>92</v>
      </c>
      <c r="G56" s="71">
        <v>1.6799999999999999E-2</v>
      </c>
      <c r="H56" s="42">
        <v>2.5000000000000001E-2</v>
      </c>
      <c r="I56" s="42">
        <v>2.5100000000000001E-2</v>
      </c>
      <c r="J56" s="44">
        <f t="shared" si="20"/>
        <v>2.5100000000000001E-2</v>
      </c>
      <c r="K56" s="39">
        <v>0</v>
      </c>
      <c r="L56" s="46">
        <f t="shared" si="21"/>
        <v>9.9999999999999395E-5</v>
      </c>
      <c r="M56" s="74">
        <f t="shared" si="22"/>
        <v>0.39999999999999758</v>
      </c>
      <c r="N56" s="51">
        <v>97192</v>
      </c>
      <c r="O56" s="37">
        <v>2439.9699999999998</v>
      </c>
      <c r="P56" s="72">
        <f t="shared" si="24"/>
        <v>0</v>
      </c>
      <c r="Q56" s="49">
        <f t="shared" si="23"/>
        <v>0.49404761904761929</v>
      </c>
      <c r="R56" s="53"/>
      <c r="T56" s="53"/>
    </row>
    <row r="57" spans="1:20" ht="12" customHeight="1" x14ac:dyDescent="0.25">
      <c r="A57" s="35" t="s">
        <v>135</v>
      </c>
      <c r="B57" s="36" t="s">
        <v>136</v>
      </c>
      <c r="C57" s="40">
        <v>161273</v>
      </c>
      <c r="D57" s="38">
        <f t="shared" si="19"/>
        <v>2354295.5085999998</v>
      </c>
      <c r="E57" s="39">
        <v>0</v>
      </c>
      <c r="F57" s="40" t="s">
        <v>137</v>
      </c>
      <c r="G57" s="71">
        <v>19.5</v>
      </c>
      <c r="H57" s="42">
        <v>14.5982</v>
      </c>
      <c r="I57" s="42">
        <v>14.5982</v>
      </c>
      <c r="J57" s="44">
        <f t="shared" si="20"/>
        <v>14.5982</v>
      </c>
      <c r="K57" s="39">
        <v>0</v>
      </c>
      <c r="L57" s="46">
        <f t="shared" si="21"/>
        <v>0</v>
      </c>
      <c r="M57" s="46">
        <f t="shared" si="22"/>
        <v>0</v>
      </c>
      <c r="N57" s="51">
        <v>0</v>
      </c>
      <c r="O57" s="37">
        <v>0</v>
      </c>
      <c r="P57" s="72">
        <f t="shared" si="24"/>
        <v>0</v>
      </c>
      <c r="Q57" s="49">
        <f t="shared" si="23"/>
        <v>-0.251374358974359</v>
      </c>
      <c r="T57" s="53"/>
    </row>
    <row r="58" spans="1:20" ht="12" customHeight="1" x14ac:dyDescent="0.25">
      <c r="A58" s="35" t="s">
        <v>138</v>
      </c>
      <c r="B58" s="36" t="s">
        <v>139</v>
      </c>
      <c r="C58" s="40">
        <v>4498037281</v>
      </c>
      <c r="D58" s="38">
        <f t="shared" si="19"/>
        <v>4070273935.5769</v>
      </c>
      <c r="E58" s="39">
        <v>0</v>
      </c>
      <c r="F58" s="40" t="s">
        <v>47</v>
      </c>
      <c r="G58" s="71">
        <v>0.78169999999999995</v>
      </c>
      <c r="H58" s="52">
        <v>0.89659999999999995</v>
      </c>
      <c r="I58" s="42">
        <v>0.90490000000000004</v>
      </c>
      <c r="J58" s="44">
        <f t="shared" si="20"/>
        <v>0.90490000000000004</v>
      </c>
      <c r="K58" s="39">
        <v>0</v>
      </c>
      <c r="L58" s="46">
        <f t="shared" si="21"/>
        <v>8.3000000000000851E-3</v>
      </c>
      <c r="M58" s="46">
        <f t="shared" si="22"/>
        <v>0.92571938434085277</v>
      </c>
      <c r="N58" s="75">
        <v>8549</v>
      </c>
      <c r="O58" s="76">
        <v>7735.73</v>
      </c>
      <c r="P58" s="72">
        <f t="shared" si="24"/>
        <v>0</v>
      </c>
      <c r="Q58" s="49">
        <f t="shared" si="23"/>
        <v>0.15760521939362948</v>
      </c>
      <c r="R58" s="53"/>
      <c r="S58" s="53"/>
      <c r="T58" s="53"/>
    </row>
    <row r="59" spans="1:20" ht="12" customHeight="1" x14ac:dyDescent="0.25">
      <c r="A59" s="35" t="s">
        <v>140</v>
      </c>
      <c r="B59" s="36" t="s">
        <v>141</v>
      </c>
      <c r="C59" s="40">
        <v>805090451</v>
      </c>
      <c r="D59" s="38">
        <f t="shared" si="19"/>
        <v>1116740964.5820999</v>
      </c>
      <c r="E59" s="39">
        <v>0</v>
      </c>
      <c r="F59" s="40" t="s">
        <v>92</v>
      </c>
      <c r="G59" s="71">
        <v>0.59499999999999997</v>
      </c>
      <c r="H59" s="42">
        <v>1.3836999999999999</v>
      </c>
      <c r="I59" s="42">
        <v>1.3871</v>
      </c>
      <c r="J59" s="44">
        <f t="shared" si="20"/>
        <v>1.3871</v>
      </c>
      <c r="K59" s="39">
        <v>0</v>
      </c>
      <c r="L59" s="46">
        <f t="shared" si="21"/>
        <v>3.4000000000000696E-3</v>
      </c>
      <c r="M59" s="46">
        <f t="shared" si="22"/>
        <v>0.24571800245718509</v>
      </c>
      <c r="N59" s="51">
        <v>25477</v>
      </c>
      <c r="O59" s="37">
        <v>35339.71</v>
      </c>
      <c r="P59" s="72">
        <f t="shared" si="24"/>
        <v>0</v>
      </c>
      <c r="Q59" s="49">
        <f t="shared" si="23"/>
        <v>1.3312605042016807</v>
      </c>
      <c r="T59" s="53"/>
    </row>
    <row r="60" spans="1:20" ht="12" customHeight="1" x14ac:dyDescent="0.25">
      <c r="A60" s="35" t="s">
        <v>142</v>
      </c>
      <c r="B60" s="36" t="s">
        <v>143</v>
      </c>
      <c r="C60" s="40">
        <v>260714518</v>
      </c>
      <c r="D60" s="38">
        <f t="shared" si="19"/>
        <v>117321533.10000001</v>
      </c>
      <c r="E60" s="39">
        <v>0</v>
      </c>
      <c r="F60" s="40" t="s">
        <v>34</v>
      </c>
      <c r="G60" s="71">
        <v>0.22600000000000001</v>
      </c>
      <c r="H60" s="42">
        <v>0.47260000000000002</v>
      </c>
      <c r="I60" s="42">
        <v>0.45</v>
      </c>
      <c r="J60" s="44">
        <f t="shared" si="20"/>
        <v>0.45</v>
      </c>
      <c r="K60" s="39">
        <v>0</v>
      </c>
      <c r="L60" s="46">
        <f t="shared" si="21"/>
        <v>-2.2600000000000009E-2</v>
      </c>
      <c r="M60" s="46">
        <f t="shared" si="22"/>
        <v>-4.7820567075751175</v>
      </c>
      <c r="N60" s="51">
        <v>89</v>
      </c>
      <c r="O60" s="37">
        <v>40.049999999999997</v>
      </c>
      <c r="P60" s="72">
        <f t="shared" si="24"/>
        <v>0</v>
      </c>
      <c r="Q60" s="49">
        <f t="shared" si="23"/>
        <v>0.99115044247787609</v>
      </c>
      <c r="T60" s="53"/>
    </row>
    <row r="61" spans="1:20" ht="12" customHeight="1" x14ac:dyDescent="0.25">
      <c r="A61" s="35" t="s">
        <v>144</v>
      </c>
      <c r="B61" s="36" t="s">
        <v>145</v>
      </c>
      <c r="C61" s="40">
        <v>562184788</v>
      </c>
      <c r="D61" s="38">
        <f t="shared" si="19"/>
        <v>406853131.07560003</v>
      </c>
      <c r="E61" s="39">
        <v>0</v>
      </c>
      <c r="F61" s="40" t="s">
        <v>34</v>
      </c>
      <c r="G61" s="71">
        <v>0.49440000000000001</v>
      </c>
      <c r="H61" s="42">
        <v>0.71760000000000002</v>
      </c>
      <c r="I61" s="42">
        <v>0.72370000000000001</v>
      </c>
      <c r="J61" s="44">
        <f t="shared" si="20"/>
        <v>0.72370000000000001</v>
      </c>
      <c r="K61" s="39">
        <v>0</v>
      </c>
      <c r="L61" s="46">
        <f t="shared" si="21"/>
        <v>6.0999999999999943E-3</v>
      </c>
      <c r="M61" s="46">
        <f t="shared" si="22"/>
        <v>0.85005574136008832</v>
      </c>
      <c r="N61" s="51">
        <v>3326</v>
      </c>
      <c r="O61" s="37">
        <v>2406.87</v>
      </c>
      <c r="P61" s="72">
        <f t="shared" si="24"/>
        <v>0</v>
      </c>
      <c r="Q61" s="49">
        <f t="shared" si="23"/>
        <v>0.46379449838187692</v>
      </c>
      <c r="R61" s="53"/>
      <c r="T61" s="53"/>
    </row>
    <row r="62" spans="1:20" ht="12" customHeight="1" x14ac:dyDescent="0.25">
      <c r="A62" s="35" t="s">
        <v>146</v>
      </c>
      <c r="B62" s="36" t="s">
        <v>147</v>
      </c>
      <c r="C62" s="40">
        <v>364526035</v>
      </c>
      <c r="D62" s="38">
        <f t="shared" si="19"/>
        <v>88288205.677000001</v>
      </c>
      <c r="E62" s="39">
        <v>0</v>
      </c>
      <c r="F62" s="40" t="s">
        <v>34</v>
      </c>
      <c r="G62" s="71">
        <v>0.25950000000000001</v>
      </c>
      <c r="H62" s="42">
        <v>0.24979999999999999</v>
      </c>
      <c r="I62" s="42">
        <v>0.2422</v>
      </c>
      <c r="J62" s="44">
        <f t="shared" si="20"/>
        <v>0.2422</v>
      </c>
      <c r="K62" s="39">
        <v>0</v>
      </c>
      <c r="L62" s="46">
        <f t="shared" si="21"/>
        <v>-7.5999999999999956E-3</v>
      </c>
      <c r="M62" s="46">
        <f t="shared" si="22"/>
        <v>-3.0424339471577246</v>
      </c>
      <c r="N62" s="51">
        <v>1931</v>
      </c>
      <c r="O62" s="37">
        <v>467.75</v>
      </c>
      <c r="P62" s="72">
        <f t="shared" si="24"/>
        <v>0</v>
      </c>
      <c r="Q62" s="49">
        <f t="shared" si="23"/>
        <v>-6.6666666666666652E-2</v>
      </c>
      <c r="R62" s="53"/>
      <c r="T62" s="53"/>
    </row>
    <row r="63" spans="1:20" x14ac:dyDescent="0.25">
      <c r="A63" s="35" t="s">
        <v>148</v>
      </c>
      <c r="B63" s="36" t="s">
        <v>149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1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51">
        <v>0</v>
      </c>
      <c r="O63" s="37">
        <v>0</v>
      </c>
      <c r="P63" s="72">
        <f t="shared" si="24"/>
        <v>0</v>
      </c>
      <c r="Q63" s="49">
        <f t="shared" si="23"/>
        <v>0</v>
      </c>
      <c r="T63" s="53"/>
    </row>
    <row r="64" spans="1:20" x14ac:dyDescent="0.25">
      <c r="A64" s="35" t="s">
        <v>150</v>
      </c>
      <c r="B64" s="36" t="s">
        <v>151</v>
      </c>
      <c r="C64" s="40">
        <v>344580486</v>
      </c>
      <c r="D64" s="38">
        <f t="shared" si="19"/>
        <v>38937594.917999998</v>
      </c>
      <c r="E64" s="39">
        <v>0</v>
      </c>
      <c r="F64" s="40" t="s">
        <v>44</v>
      </c>
      <c r="G64" s="71">
        <v>4.2999999999999997E-2</v>
      </c>
      <c r="H64" s="42">
        <v>0.113</v>
      </c>
      <c r="I64" s="42">
        <v>0.113</v>
      </c>
      <c r="J64" s="44">
        <f t="shared" si="20"/>
        <v>0.113</v>
      </c>
      <c r="K64" s="39">
        <v>0</v>
      </c>
      <c r="L64" s="46">
        <f t="shared" si="21"/>
        <v>0</v>
      </c>
      <c r="M64" s="46">
        <f t="shared" si="22"/>
        <v>0</v>
      </c>
      <c r="N64" s="51">
        <v>1655</v>
      </c>
      <c r="O64" s="37">
        <v>187.02</v>
      </c>
      <c r="P64" s="72">
        <f t="shared" si="24"/>
        <v>0</v>
      </c>
      <c r="Q64" s="49">
        <f t="shared" si="23"/>
        <v>1.6279069767441863</v>
      </c>
      <c r="T64" s="53"/>
    </row>
    <row r="65" spans="1:20" ht="13.2" x14ac:dyDescent="0.35">
      <c r="A65" s="77"/>
      <c r="B65" s="36" t="s">
        <v>117</v>
      </c>
      <c r="C65" s="40"/>
      <c r="D65" s="78"/>
      <c r="E65" s="78"/>
      <c r="F65" s="40"/>
      <c r="G65" s="40"/>
      <c r="H65" s="42"/>
      <c r="I65" s="42"/>
      <c r="J65" s="42"/>
      <c r="K65" s="42"/>
      <c r="L65" s="46"/>
      <c r="M65" s="79"/>
      <c r="N65" s="62">
        <f>SUM(N49:N64)</f>
        <v>386565</v>
      </c>
      <c r="O65" s="63">
        <f>SUM(O49:O64)</f>
        <v>1185047.3</v>
      </c>
      <c r="P65" s="80"/>
      <c r="Q65" s="64"/>
    </row>
    <row r="66" spans="1:20" ht="12.6" hidden="1" x14ac:dyDescent="0.3">
      <c r="A66" s="137" t="s">
        <v>152</v>
      </c>
      <c r="B66" s="138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40"/>
    </row>
    <row r="67" spans="1:20" ht="12.6" hidden="1" thickBot="1" x14ac:dyDescent="0.3">
      <c r="A67" s="81" t="s">
        <v>153</v>
      </c>
      <c r="B67" s="82" t="s">
        <v>154</v>
      </c>
      <c r="C67" s="83">
        <v>20000</v>
      </c>
      <c r="D67" s="84">
        <f>C67*J67</f>
        <v>0</v>
      </c>
      <c r="E67" s="84"/>
      <c r="F67" s="83" t="s">
        <v>155</v>
      </c>
      <c r="G67" s="83"/>
      <c r="H67" s="85">
        <v>100</v>
      </c>
      <c r="I67" s="85"/>
      <c r="J67" s="85"/>
      <c r="K67" s="85"/>
      <c r="L67" s="86">
        <f>I67-H67</f>
        <v>-100</v>
      </c>
      <c r="M67" s="87">
        <f>((I67-H67)/H67)*100</f>
        <v>-100</v>
      </c>
      <c r="N67" s="88" t="s">
        <v>57</v>
      </c>
      <c r="O67" s="88" t="s">
        <v>57</v>
      </c>
      <c r="P67" s="88"/>
      <c r="Q67" s="89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9"/>
      <c r="N68" s="90"/>
      <c r="O68" s="90"/>
      <c r="P68" s="90"/>
      <c r="Q68" s="64"/>
    </row>
    <row r="69" spans="1:20" ht="12.6" x14ac:dyDescent="0.3">
      <c r="A69" s="137" t="s">
        <v>156</v>
      </c>
      <c r="B69" s="138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20" x14ac:dyDescent="0.25">
      <c r="A70" s="35" t="s">
        <v>157</v>
      </c>
      <c r="B70" s="91" t="s">
        <v>158</v>
      </c>
      <c r="C70" s="92">
        <v>139300587</v>
      </c>
      <c r="D70" s="38">
        <f>C70*J70</f>
        <v>45829893.123000003</v>
      </c>
      <c r="E70" s="39">
        <f>C70*K70</f>
        <v>45829893.123000003</v>
      </c>
      <c r="F70" s="92" t="s">
        <v>159</v>
      </c>
      <c r="G70" s="92">
        <v>0.24</v>
      </c>
      <c r="H70" s="93">
        <v>0.3014</v>
      </c>
      <c r="I70" s="93">
        <v>0.32900000000000001</v>
      </c>
      <c r="J70" s="94">
        <f>I70</f>
        <v>0.32900000000000001</v>
      </c>
      <c r="K70" s="94">
        <f>J70</f>
        <v>0.32900000000000001</v>
      </c>
      <c r="L70" s="46">
        <f>I70-H70</f>
        <v>2.7600000000000013E-2</v>
      </c>
      <c r="M70" s="46">
        <f>((I70-H70)/H70)*100</f>
        <v>9.157266091572664</v>
      </c>
      <c r="N70" s="95">
        <v>450000</v>
      </c>
      <c r="O70" s="96">
        <v>148050</v>
      </c>
      <c r="P70" s="72">
        <f>(R70)/J70</f>
        <v>0</v>
      </c>
      <c r="Q70" s="49">
        <f>J70/G70-1</f>
        <v>0.37083333333333335</v>
      </c>
      <c r="T70" s="53"/>
    </row>
    <row r="71" spans="1:20" x14ac:dyDescent="0.25">
      <c r="A71" s="35" t="s">
        <v>160</v>
      </c>
      <c r="B71" s="91" t="s">
        <v>161</v>
      </c>
      <c r="C71" s="92">
        <v>471351750</v>
      </c>
      <c r="D71" s="38">
        <f>C71*J71</f>
        <v>70419951.450000003</v>
      </c>
      <c r="E71" s="39">
        <f>C71*K71</f>
        <v>70419951.450000003</v>
      </c>
      <c r="F71" s="92" t="s">
        <v>159</v>
      </c>
      <c r="G71" s="92">
        <v>0.1</v>
      </c>
      <c r="H71" s="93">
        <v>0.1396</v>
      </c>
      <c r="I71" s="93">
        <v>0.14940000000000001</v>
      </c>
      <c r="J71" s="94">
        <f>I71</f>
        <v>0.14940000000000001</v>
      </c>
      <c r="K71" s="94">
        <f>J71</f>
        <v>0.14940000000000001</v>
      </c>
      <c r="L71" s="46">
        <f>I71-H71</f>
        <v>9.8000000000000032E-3</v>
      </c>
      <c r="M71" s="46">
        <f>((I71-H71)/H71)*100</f>
        <v>7.0200573065902603</v>
      </c>
      <c r="N71" s="51">
        <v>172421</v>
      </c>
      <c r="O71" s="96">
        <v>25765.56</v>
      </c>
      <c r="P71" s="97">
        <f>(R71)/J71</f>
        <v>2.5381526104417667E-2</v>
      </c>
      <c r="Q71" s="49">
        <f>J71/G71-1</f>
        <v>0.49399999999999999</v>
      </c>
      <c r="R71" s="5">
        <v>3.7919999999999998E-3</v>
      </c>
      <c r="T71" s="53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9"/>
      <c r="N72" s="62">
        <f>SUM(N70:N71)</f>
        <v>622421</v>
      </c>
      <c r="O72" s="63">
        <f>SUM(O70:O71)</f>
        <v>173815.56</v>
      </c>
      <c r="P72" s="90"/>
      <c r="Q72" s="64"/>
    </row>
    <row r="73" spans="1:20" ht="12.6" x14ac:dyDescent="0.3">
      <c r="A73" s="137" t="s">
        <v>162</v>
      </c>
      <c r="B73" s="138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40"/>
    </row>
    <row r="74" spans="1:20" x14ac:dyDescent="0.25">
      <c r="A74" s="35" t="s">
        <v>163</v>
      </c>
      <c r="B74" s="91" t="s">
        <v>164</v>
      </c>
      <c r="C74" s="92">
        <v>20819695</v>
      </c>
      <c r="D74" s="38">
        <f>C74*J74</f>
        <v>2440068.2540000002</v>
      </c>
      <c r="E74" s="39">
        <f>C74*K74</f>
        <v>2440068.2540000002</v>
      </c>
      <c r="F74" s="92" t="s">
        <v>137</v>
      </c>
      <c r="G74" s="92">
        <v>0.1394</v>
      </c>
      <c r="H74" s="93">
        <v>0.1091</v>
      </c>
      <c r="I74" s="93">
        <v>0.1172</v>
      </c>
      <c r="J74" s="94">
        <f>I74</f>
        <v>0.1172</v>
      </c>
      <c r="K74" s="94">
        <f>J74</f>
        <v>0.1172</v>
      </c>
      <c r="L74" s="46">
        <f>I74-H74</f>
        <v>8.0999999999999961E-3</v>
      </c>
      <c r="M74" s="46">
        <f>((I74-H74)/H74)*100</f>
        <v>7.4243813015582001</v>
      </c>
      <c r="N74" s="95">
        <v>644023</v>
      </c>
      <c r="O74" s="96">
        <v>75492.88</v>
      </c>
      <c r="P74" s="72">
        <f>(R74)/J74</f>
        <v>0</v>
      </c>
      <c r="Q74" s="49">
        <f>J74/G74-1</f>
        <v>-0.15925394548063121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9"/>
      <c r="N75" s="62"/>
      <c r="O75" s="63"/>
      <c r="P75" s="90"/>
      <c r="Q75" s="64"/>
    </row>
    <row r="76" spans="1:20" ht="12.6" x14ac:dyDescent="0.3">
      <c r="A76" s="133" t="s">
        <v>165</v>
      </c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6"/>
    </row>
    <row r="77" spans="1:20" x14ac:dyDescent="0.25">
      <c r="A77" s="35" t="s">
        <v>166</v>
      </c>
      <c r="B77" s="36" t="s">
        <v>167</v>
      </c>
      <c r="C77" s="40">
        <v>31703227</v>
      </c>
      <c r="D77" s="38">
        <f>C77*J77</f>
        <v>160145.46684228056</v>
      </c>
      <c r="E77" s="39">
        <f>C77*K77</f>
        <v>133747.98890625002</v>
      </c>
      <c r="F77" s="40" t="s">
        <v>137</v>
      </c>
      <c r="G77" s="71">
        <v>0.105</v>
      </c>
      <c r="H77" s="42">
        <v>0.13500000000000001</v>
      </c>
      <c r="I77" s="42">
        <v>0.13500000000000001</v>
      </c>
      <c r="J77" s="44">
        <f>I77/$J$5</f>
        <v>5.0513932490935561E-3</v>
      </c>
      <c r="K77" s="45">
        <f>I77/$K$4</f>
        <v>4.2187500000000003E-3</v>
      </c>
      <c r="L77" s="46">
        <f>I77-H77</f>
        <v>0</v>
      </c>
      <c r="M77" s="98">
        <f>((I77-H77)/H77)*100</f>
        <v>0</v>
      </c>
      <c r="N77" s="37">
        <v>1500</v>
      </c>
      <c r="O77" s="37">
        <v>202.5</v>
      </c>
      <c r="P77" s="40">
        <v>0</v>
      </c>
      <c r="Q77" s="49">
        <f>I77/G77-1</f>
        <v>0.28571428571428581</v>
      </c>
    </row>
    <row r="78" spans="1:20" x14ac:dyDescent="0.25">
      <c r="A78" s="35" t="s">
        <v>168</v>
      </c>
      <c r="B78" s="36" t="s">
        <v>169</v>
      </c>
      <c r="C78" s="40">
        <v>136162052</v>
      </c>
      <c r="D78" s="38">
        <f>C78*J78</f>
        <v>433064.34053125692</v>
      </c>
      <c r="E78" s="39">
        <f>C78*K78</f>
        <v>361680.450625</v>
      </c>
      <c r="F78" s="40" t="s">
        <v>137</v>
      </c>
      <c r="G78" s="71">
        <v>4.2500000000000003E-2</v>
      </c>
      <c r="H78" s="42">
        <v>8.5000000000000006E-2</v>
      </c>
      <c r="I78" s="42">
        <v>8.5000000000000006E-2</v>
      </c>
      <c r="J78" s="44">
        <f>I78/$J$5</f>
        <v>3.1805068605403868E-3</v>
      </c>
      <c r="K78" s="45">
        <f>I78/$K$4</f>
        <v>2.6562500000000002E-3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1</v>
      </c>
    </row>
    <row r="79" spans="1:20" x14ac:dyDescent="0.25">
      <c r="A79" s="35" t="s">
        <v>170</v>
      </c>
      <c r="B79" s="36" t="s">
        <v>171</v>
      </c>
      <c r="C79" s="40">
        <v>6677853</v>
      </c>
      <c r="D79" s="38">
        <f>C79*J79</f>
        <v>29984.410277901461</v>
      </c>
      <c r="E79" s="39">
        <f>C79*K79</f>
        <v>25041.94875</v>
      </c>
      <c r="F79" s="40" t="s">
        <v>137</v>
      </c>
      <c r="G79" s="71">
        <v>6.0499999999999998E-2</v>
      </c>
      <c r="H79" s="42">
        <v>0.12</v>
      </c>
      <c r="I79" s="42">
        <v>0.12</v>
      </c>
      <c r="J79" s="44">
        <f>I79/$J$5</f>
        <v>4.4901273325276044E-3</v>
      </c>
      <c r="K79" s="45">
        <f>I79/$K$4</f>
        <v>3.7499999999999999E-3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0.98347107438016534</v>
      </c>
    </row>
    <row r="80" spans="1:20" x14ac:dyDescent="0.25">
      <c r="A80" s="35" t="s">
        <v>172</v>
      </c>
      <c r="B80" s="36" t="s">
        <v>173</v>
      </c>
      <c r="C80" s="37">
        <v>494417400</v>
      </c>
      <c r="D80" s="38">
        <f>C80*J80</f>
        <v>31449958.653410811</v>
      </c>
      <c r="E80" s="39">
        <f>C80*K80</f>
        <v>26265924.375</v>
      </c>
      <c r="F80" s="40" t="s">
        <v>137</v>
      </c>
      <c r="G80" s="71">
        <v>1.85</v>
      </c>
      <c r="H80" s="42">
        <v>1.7</v>
      </c>
      <c r="I80" s="42">
        <v>1.7</v>
      </c>
      <c r="J80" s="44">
        <f>I80/$J$5</f>
        <v>6.361013721080773E-2</v>
      </c>
      <c r="K80" s="45">
        <f>I80/$K$4</f>
        <v>5.3124999999999999E-2</v>
      </c>
      <c r="L80" s="46">
        <f>I80-H80</f>
        <v>0</v>
      </c>
      <c r="M80" s="98">
        <f>((I80-H80)/H80)*100</f>
        <v>0</v>
      </c>
      <c r="N80" s="37">
        <v>34</v>
      </c>
      <c r="O80" s="37">
        <v>57.46</v>
      </c>
      <c r="P80" s="40">
        <v>0</v>
      </c>
      <c r="Q80" s="49">
        <f>I80/G80-1</f>
        <v>-8.1081081081081141E-2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2">
        <f>SUM(N77:N80)</f>
        <v>1534</v>
      </c>
      <c r="O81" s="63">
        <f>SUM(O77:O80)</f>
        <v>259.95999999999998</v>
      </c>
      <c r="P81" s="80"/>
      <c r="Q81" s="64"/>
      <c r="V81" s="99"/>
      <c r="W81" s="99"/>
      <c r="DU81" s="100"/>
      <c r="DV81" s="100"/>
      <c r="DW81" s="101"/>
      <c r="DX81" s="102"/>
      <c r="DY81" s="102"/>
      <c r="DZ81" s="103"/>
      <c r="EA81" s="103"/>
      <c r="EB81" s="104"/>
      <c r="EC81" s="104"/>
      <c r="ED81" s="105"/>
      <c r="EE81" s="105"/>
      <c r="EF81" s="103"/>
      <c r="EG81" s="106"/>
      <c r="EH81" s="107"/>
      <c r="EI81" s="101"/>
      <c r="EJ81" s="100"/>
      <c r="EK81" s="100"/>
      <c r="EL81" s="101"/>
      <c r="EM81" s="102"/>
      <c r="EN81" s="102"/>
      <c r="EO81" s="103"/>
      <c r="EP81" s="103"/>
      <c r="EQ81" s="104"/>
      <c r="ER81" s="104"/>
      <c r="ES81" s="105"/>
      <c r="ET81" s="105"/>
      <c r="EU81" s="103"/>
      <c r="EV81" s="106"/>
      <c r="EW81" s="107"/>
      <c r="EX81" s="101"/>
      <c r="EY81" s="100"/>
      <c r="EZ81" s="100"/>
      <c r="FA81" s="101"/>
      <c r="FB81" s="102"/>
      <c r="FC81" s="102"/>
      <c r="FD81" s="103"/>
      <c r="FE81" s="103"/>
      <c r="FF81" s="104"/>
      <c r="FG81" s="104"/>
      <c r="FH81" s="105"/>
      <c r="FI81" s="105"/>
      <c r="FJ81" s="103"/>
      <c r="FK81" s="106"/>
      <c r="FL81" s="107"/>
      <c r="FM81" s="101"/>
      <c r="FN81" s="100"/>
      <c r="FO81" s="100"/>
      <c r="FP81" s="101"/>
      <c r="FQ81" s="102"/>
      <c r="FR81" s="102"/>
      <c r="FS81" s="103"/>
      <c r="FT81" s="103"/>
      <c r="FU81" s="104"/>
      <c r="FV81" s="104"/>
      <c r="FW81" s="105"/>
      <c r="FX81" s="105"/>
      <c r="FY81" s="103"/>
      <c r="FZ81" s="106"/>
      <c r="GA81" s="107"/>
      <c r="GB81" s="101"/>
      <c r="GC81" s="100"/>
      <c r="GD81" s="100"/>
      <c r="GE81" s="101"/>
      <c r="GF81" s="102"/>
      <c r="GG81" s="102"/>
      <c r="GH81" s="103"/>
      <c r="GI81" s="103"/>
      <c r="GJ81" s="104"/>
      <c r="GK81" s="104"/>
      <c r="GL81" s="105"/>
      <c r="GM81" s="105"/>
      <c r="GN81" s="103"/>
      <c r="GO81" s="106"/>
      <c r="GP81" s="107"/>
      <c r="GQ81" s="101"/>
      <c r="GR81" s="100"/>
      <c r="GS81" s="100"/>
      <c r="GT81" s="101"/>
      <c r="GU81" s="102"/>
      <c r="GV81" s="102"/>
      <c r="GW81" s="103"/>
      <c r="GX81" s="103"/>
      <c r="GY81" s="104"/>
      <c r="GZ81" s="104"/>
      <c r="HA81" s="105"/>
      <c r="HB81" s="105"/>
      <c r="HC81" s="103"/>
      <c r="HD81" s="106"/>
      <c r="HE81" s="107"/>
      <c r="HF81" s="101"/>
      <c r="HG81" s="100"/>
      <c r="HH81" s="100"/>
      <c r="HI81" s="101"/>
      <c r="HJ81" s="102"/>
      <c r="HK81" s="102"/>
      <c r="HL81" s="103"/>
      <c r="HM81" s="103"/>
      <c r="HN81" s="104"/>
      <c r="HO81" s="104"/>
      <c r="HP81" s="105"/>
      <c r="HQ81" s="105"/>
      <c r="HR81" s="103"/>
      <c r="HS81" s="106"/>
      <c r="HT81" s="107"/>
      <c r="HU81" s="101"/>
      <c r="HV81" s="100"/>
      <c r="HW81" s="100"/>
      <c r="HX81" s="101"/>
      <c r="HY81" s="102"/>
      <c r="HZ81" s="102"/>
      <c r="IA81" s="103"/>
      <c r="IB81" s="103"/>
      <c r="IC81" s="104"/>
      <c r="ID81" s="104"/>
      <c r="IE81" s="105"/>
      <c r="IF81" s="105"/>
      <c r="IG81" s="103"/>
      <c r="IH81" s="106"/>
      <c r="II81" s="107"/>
    </row>
    <row r="82" spans="1:243" ht="13.2" thickTop="1" x14ac:dyDescent="0.3">
      <c r="A82" s="137" t="s">
        <v>174</v>
      </c>
      <c r="B82" s="138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40"/>
    </row>
    <row r="83" spans="1:243" x14ac:dyDescent="0.25">
      <c r="A83" s="35" t="s">
        <v>175</v>
      </c>
      <c r="B83" s="36" t="s">
        <v>176</v>
      </c>
      <c r="C83" s="40">
        <v>368326244</v>
      </c>
      <c r="D83" s="38">
        <f>C83*J83</f>
        <v>29389968.132443789</v>
      </c>
      <c r="E83" s="39">
        <f>C83*K83</f>
        <v>24545491.104062498</v>
      </c>
      <c r="F83" s="40" t="s">
        <v>177</v>
      </c>
      <c r="G83" s="40">
        <v>1.3</v>
      </c>
      <c r="H83" s="42">
        <v>2.1324999999999998</v>
      </c>
      <c r="I83" s="42">
        <v>2.1324999999999998</v>
      </c>
      <c r="J83" s="44">
        <f>I83/$J$5</f>
        <v>7.9793304471792642E-2</v>
      </c>
      <c r="K83" s="45">
        <f>I83/$K$4</f>
        <v>6.6640624999999995E-2</v>
      </c>
      <c r="L83" s="46">
        <f>I83-H83</f>
        <v>0</v>
      </c>
      <c r="M83" s="46">
        <f>((I83-H83)/H83*100)</f>
        <v>0</v>
      </c>
      <c r="N83" s="108">
        <v>0</v>
      </c>
      <c r="O83" s="109">
        <v>0</v>
      </c>
      <c r="P83" s="52">
        <f>(R83)/J83</f>
        <v>0</v>
      </c>
      <c r="Q83" s="49">
        <f>I83/G83-1</f>
        <v>0.64038461538461511</v>
      </c>
      <c r="R83" s="53"/>
    </row>
    <row r="84" spans="1:243" s="110" customFormat="1" ht="12.6" thickBot="1" x14ac:dyDescent="0.3">
      <c r="A84" s="35" t="s">
        <v>178</v>
      </c>
      <c r="B84" s="36" t="s">
        <v>179</v>
      </c>
      <c r="C84" s="40">
        <v>1841105000</v>
      </c>
      <c r="D84" s="38">
        <f>C84*J84</f>
        <v>72174845.921841845</v>
      </c>
      <c r="E84" s="39">
        <f>C84*K84</f>
        <v>60277950.303593747</v>
      </c>
      <c r="F84" s="40" t="s">
        <v>177</v>
      </c>
      <c r="G84" s="40">
        <v>1.44347</v>
      </c>
      <c r="H84" s="42">
        <v>1.0476829999999999</v>
      </c>
      <c r="I84" s="42">
        <v>1.0476829999999999</v>
      </c>
      <c r="J84" s="44">
        <f>I84/$J$5</f>
        <v>3.9201917284370988E-2</v>
      </c>
      <c r="K84" s="45">
        <f>I84/$K$4</f>
        <v>3.2740093749999997E-2</v>
      </c>
      <c r="L84" s="46">
        <f>I84-H84</f>
        <v>0</v>
      </c>
      <c r="M84" s="46">
        <f>((I84-H84)/H84*100)</f>
        <v>0</v>
      </c>
      <c r="N84" s="109">
        <v>39384</v>
      </c>
      <c r="O84" s="109">
        <v>41041.949999999997</v>
      </c>
      <c r="P84" s="48">
        <f>(R84)/J84</f>
        <v>5.5507489192818824E-2</v>
      </c>
      <c r="Q84" s="49">
        <f>I84/G84-1</f>
        <v>-0.27419135832403863</v>
      </c>
      <c r="R84" s="53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81"/>
      <c r="B85" s="82"/>
      <c r="C85" s="83"/>
      <c r="D85" s="111"/>
      <c r="E85" s="84"/>
      <c r="F85" s="83"/>
      <c r="G85" s="83"/>
      <c r="H85" s="85"/>
      <c r="I85" s="85"/>
      <c r="J85" s="85"/>
      <c r="K85" s="85"/>
      <c r="L85" s="86"/>
      <c r="M85" s="86"/>
      <c r="N85" s="86"/>
      <c r="O85" s="86"/>
      <c r="P85" s="86"/>
      <c r="Q85" s="89"/>
    </row>
    <row r="86" spans="1:243" ht="12.6" thickBot="1" x14ac:dyDescent="0.3">
      <c r="A86" s="112"/>
      <c r="B86" s="113"/>
      <c r="C86" s="113"/>
      <c r="D86" s="113"/>
      <c r="E86" s="113"/>
      <c r="F86" s="114"/>
      <c r="G86" s="114"/>
      <c r="H86" s="60"/>
      <c r="M86" s="115"/>
      <c r="N86" s="115"/>
      <c r="O86" s="60"/>
      <c r="P86" s="60"/>
      <c r="Q86" s="116"/>
    </row>
    <row r="87" spans="1:243" ht="15" customHeight="1" thickBot="1" x14ac:dyDescent="0.3">
      <c r="A87" s="141" t="s">
        <v>180</v>
      </c>
      <c r="B87" s="142"/>
      <c r="C87" s="142"/>
      <c r="D87" s="143"/>
      <c r="E87" s="141" t="s">
        <v>181</v>
      </c>
      <c r="F87" s="142"/>
      <c r="G87" s="142"/>
      <c r="H87" s="143"/>
      <c r="I87" s="53"/>
      <c r="J87" s="144" t="s">
        <v>182</v>
      </c>
      <c r="K87" s="145"/>
      <c r="L87" s="146"/>
      <c r="M87" s="144" t="s">
        <v>183</v>
      </c>
      <c r="N87" s="145"/>
      <c r="O87" s="146"/>
      <c r="Q87" s="16"/>
    </row>
    <row r="88" spans="1:243" ht="15" customHeight="1" x14ac:dyDescent="0.25">
      <c r="A88" s="35" t="s">
        <v>113</v>
      </c>
      <c r="B88" s="117">
        <v>0.75010499999999991</v>
      </c>
      <c r="D88" s="117">
        <v>7.1578571428571367</v>
      </c>
      <c r="E88" s="35" t="s">
        <v>52</v>
      </c>
      <c r="F88" s="118">
        <v>26.7227</v>
      </c>
      <c r="H88" s="119">
        <v>-4.2467541155671418</v>
      </c>
      <c r="J88" s="35" t="s">
        <v>121</v>
      </c>
      <c r="K88" s="52">
        <v>39.693100000000001</v>
      </c>
      <c r="L88" s="120">
        <v>9.0469780219780294</v>
      </c>
      <c r="M88" s="60" t="s">
        <v>142</v>
      </c>
      <c r="N88" s="118">
        <v>0.45</v>
      </c>
      <c r="O88" s="119">
        <v>-4.7820567075751175</v>
      </c>
      <c r="Q88" s="16"/>
    </row>
    <row r="89" spans="1:243" ht="15" customHeight="1" x14ac:dyDescent="0.25">
      <c r="A89" s="35" t="s">
        <v>99</v>
      </c>
      <c r="B89" s="117">
        <v>0.37312499999999998</v>
      </c>
      <c r="D89" s="117">
        <v>6.4638729024655426</v>
      </c>
      <c r="E89" s="35" t="s">
        <v>77</v>
      </c>
      <c r="F89" s="118">
        <v>2.4</v>
      </c>
      <c r="H89" s="119">
        <v>-4.0000000000000036</v>
      </c>
      <c r="J89" s="35" t="s">
        <v>138</v>
      </c>
      <c r="K89" s="52">
        <v>0.90490000000000004</v>
      </c>
      <c r="L89" s="120">
        <v>0.92571938434085277</v>
      </c>
      <c r="M89" s="35" t="s">
        <v>146</v>
      </c>
      <c r="N89" s="118">
        <v>0.2422</v>
      </c>
      <c r="O89" s="119">
        <v>-3.0424339471577246</v>
      </c>
      <c r="Q89" s="16"/>
    </row>
    <row r="90" spans="1:243" ht="15" customHeight="1" x14ac:dyDescent="0.25">
      <c r="A90" s="35" t="s">
        <v>60</v>
      </c>
      <c r="B90" s="117">
        <v>0.93</v>
      </c>
      <c r="C90" s="117"/>
      <c r="D90" s="117">
        <v>1.0869565217391313</v>
      </c>
      <c r="E90" s="35" t="s">
        <v>75</v>
      </c>
      <c r="F90" s="118">
        <v>2.2999999999999998</v>
      </c>
      <c r="H90" s="119">
        <v>-1.0421126046103304</v>
      </c>
      <c r="J90" s="35" t="s">
        <v>144</v>
      </c>
      <c r="K90" s="52">
        <v>0.72370000000000001</v>
      </c>
      <c r="L90" s="120">
        <v>0.85005574136008832</v>
      </c>
      <c r="M90" s="35" t="s">
        <v>123</v>
      </c>
      <c r="N90" s="118">
        <v>0.22450000000000001</v>
      </c>
      <c r="O90" s="119">
        <v>-1.9222367846221005</v>
      </c>
      <c r="Q90" s="16"/>
    </row>
    <row r="91" spans="1:243" ht="15" customHeight="1" x14ac:dyDescent="0.25">
      <c r="A91" s="35" t="s">
        <v>105</v>
      </c>
      <c r="B91" s="117">
        <v>7.0400000000000004E-2</v>
      </c>
      <c r="C91" s="117"/>
      <c r="D91" s="117">
        <v>0.28490028490029307</v>
      </c>
      <c r="E91" s="35" t="s">
        <v>45</v>
      </c>
      <c r="F91" s="118">
        <v>39</v>
      </c>
      <c r="H91" s="119">
        <v>-0.95805306896074427</v>
      </c>
      <c r="J91" s="35" t="s">
        <v>125</v>
      </c>
      <c r="K91" s="52">
        <v>2.1499999999999998E-2</v>
      </c>
      <c r="L91" s="120">
        <v>0.46728971962616539</v>
      </c>
      <c r="M91" s="35" t="s">
        <v>127</v>
      </c>
      <c r="N91" s="118">
        <v>0.15049999999999999</v>
      </c>
      <c r="O91" s="119">
        <v>-0.52875082617316271</v>
      </c>
      <c r="Q91" s="16"/>
    </row>
    <row r="92" spans="1:243" ht="15" customHeight="1" x14ac:dyDescent="0.25">
      <c r="A92" s="35" t="s">
        <v>58</v>
      </c>
      <c r="B92" s="117">
        <v>13.455</v>
      </c>
      <c r="C92" s="117"/>
      <c r="D92" s="117">
        <v>0.15631978561857243</v>
      </c>
      <c r="E92" s="35" t="s">
        <v>35</v>
      </c>
      <c r="F92" s="118">
        <v>0.05</v>
      </c>
      <c r="G92" s="118"/>
      <c r="H92" s="119">
        <v>-0.44798407167744353</v>
      </c>
      <c r="J92" s="35" t="s">
        <v>133</v>
      </c>
      <c r="K92" s="52">
        <v>2.5100000000000001E-2</v>
      </c>
      <c r="L92" s="120">
        <v>0.39999999999999758</v>
      </c>
      <c r="M92" s="35" t="s">
        <v>129</v>
      </c>
      <c r="N92" s="118">
        <v>1.4997</v>
      </c>
      <c r="O92" s="119">
        <v>-0.1331823932876075</v>
      </c>
      <c r="Q92" s="16"/>
    </row>
    <row r="93" spans="1:243" ht="15.75" customHeight="1" thickBot="1" x14ac:dyDescent="0.3">
      <c r="A93" s="121"/>
      <c r="B93" s="122"/>
      <c r="C93" s="122"/>
      <c r="D93" s="122"/>
      <c r="E93" s="121"/>
      <c r="F93" s="122"/>
      <c r="G93" s="122"/>
      <c r="H93" s="123"/>
      <c r="J93" s="121"/>
      <c r="K93" s="122"/>
      <c r="L93" s="123"/>
      <c r="M93" s="122"/>
      <c r="N93" s="122"/>
      <c r="O93" s="123"/>
      <c r="Q93" s="16"/>
    </row>
    <row r="94" spans="1:243" x14ac:dyDescent="0.25">
      <c r="A94" s="124"/>
      <c r="B94" s="125"/>
      <c r="C94" s="125"/>
      <c r="D94" s="125"/>
      <c r="E94" s="115"/>
      <c r="F94" s="115"/>
      <c r="G94" s="115"/>
      <c r="H94" s="115"/>
      <c r="I94" s="115"/>
      <c r="J94" s="115"/>
      <c r="K94" s="115"/>
      <c r="L94" s="115"/>
      <c r="M94" s="125"/>
      <c r="Q94" s="16"/>
    </row>
    <row r="95" spans="1:243" x14ac:dyDescent="0.25">
      <c r="A95" s="12" t="s">
        <v>184</v>
      </c>
      <c r="B95" s="126"/>
      <c r="C95" s="126"/>
      <c r="D95" s="126"/>
      <c r="E95" s="126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4"/>
      <c r="B96" s="125"/>
      <c r="C96" s="125"/>
      <c r="D96" s="125"/>
      <c r="E96" s="125"/>
      <c r="F96" s="115"/>
      <c r="G96" s="115"/>
      <c r="H96" s="125"/>
      <c r="I96" s="115"/>
      <c r="J96" s="115"/>
      <c r="K96" s="115"/>
      <c r="L96" s="115"/>
      <c r="M96" s="125"/>
      <c r="Q96" s="16"/>
    </row>
    <row r="97" spans="1:17" ht="12.6" thickBot="1" x14ac:dyDescent="0.3">
      <c r="A97" s="127"/>
      <c r="B97" s="128"/>
      <c r="C97" s="128"/>
      <c r="D97" s="128"/>
      <c r="E97" s="128"/>
      <c r="F97" s="129"/>
      <c r="G97" s="129"/>
      <c r="H97" s="129"/>
      <c r="I97" s="130"/>
      <c r="J97" s="130"/>
      <c r="K97" s="130"/>
      <c r="L97" s="130"/>
      <c r="M97" s="130"/>
      <c r="N97" s="130"/>
      <c r="O97" s="130"/>
      <c r="P97" s="130"/>
      <c r="Q97" s="131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32"/>
      <c r="J101" s="132"/>
      <c r="K101" s="132"/>
      <c r="O101" s="132"/>
      <c r="P101" s="132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32"/>
      <c r="J104" s="132"/>
      <c r="K104" s="132"/>
      <c r="O104" s="132"/>
      <c r="P104" s="132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32"/>
      <c r="J106" s="132"/>
      <c r="K106" s="132"/>
      <c r="O106" s="132"/>
      <c r="P106" s="132"/>
    </row>
  </sheetData>
  <sheetProtection algorithmName="SHA-512" hashValue="r6NPdpqGZVYAwiJK0rexc2zLckyIgk8UK+kGjE/EGQ+PENX1oianPWQlVK/LgIz/WJ0rwTprLw2WbwcwyYquhg==" saltValue="Q2rS1Lb8LhAl5ro/6SHZpQ==" spinCount="100000" sheet="1" objects="1" scenarios="1"/>
  <mergeCells count="12">
    <mergeCell ref="A73:Q73"/>
    <mergeCell ref="L5:M5"/>
    <mergeCell ref="A6:Q6"/>
    <mergeCell ref="A48:Q48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5 L49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5 L49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5 Q49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2026-09-08T13:49:15Z</dcterms:created>
  <dcterms:modified xsi:type="dcterms:W3CDTF">2026-09-08T13:55:40Z</dcterms:modified>
</cp:coreProperties>
</file>