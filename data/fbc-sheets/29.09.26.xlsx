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29.09.26\"/>
    </mc:Choice>
  </mc:AlternateContent>
  <xr:revisionPtr revIDLastSave="0" documentId="8_{2F1E076C-139B-489B-B855-84B567D91AB7}" xr6:coauthVersionLast="47" xr6:coauthVersionMax="47" xr10:uidLastSave="{00000000-0000-0000-0000-000000000000}"/>
  <bookViews>
    <workbookView xWindow="-120" yWindow="-120" windowWidth="29040" windowHeight="15720" xr2:uid="{54979B52-9FE3-48DD-8091-9EF9759A998E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E85" i="1" s="1"/>
  <c r="J85" i="1"/>
  <c r="P85" i="1" s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Q54" i="1"/>
  <c r="P54" i="1"/>
  <c r="M54" i="1"/>
  <c r="L54" i="1"/>
  <c r="J54" i="1"/>
  <c r="D54" i="1"/>
  <c r="L53" i="1"/>
  <c r="J53" i="1"/>
  <c r="D53" i="1" s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E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E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P75" i="1" l="1"/>
  <c r="Q75" i="1"/>
  <c r="K75" i="1"/>
  <c r="E75" i="1" s="1"/>
  <c r="P72" i="1"/>
  <c r="Q72" i="1"/>
  <c r="K72" i="1"/>
  <c r="E72" i="1" s="1"/>
  <c r="K71" i="1"/>
  <c r="E71" i="1" s="1"/>
  <c r="P71" i="1"/>
  <c r="Q71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P57" i="1"/>
  <c r="Q57" i="1"/>
  <c r="P56" i="1"/>
  <c r="Q56" i="1"/>
  <c r="Q55" i="1"/>
  <c r="P55" i="1"/>
  <c r="P53" i="1"/>
  <c r="Q51" i="1"/>
  <c r="P51" i="1"/>
  <c r="Q50" i="1"/>
  <c r="P50" i="1"/>
  <c r="D16" i="1"/>
  <c r="P16" i="1"/>
  <c r="D11" i="1"/>
  <c r="P11" i="1"/>
</calcChain>
</file>

<file path=xl/sharedStrings.xml><?xml version="1.0" encoding="utf-8"?>
<sst xmlns="http://schemas.openxmlformats.org/spreadsheetml/2006/main" count="273" uniqueCount="186">
  <si>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</si>
  <si>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</si>
  <si>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</si>
  <si>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</si>
  <si>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</si>
  <si>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</si>
  <si>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</si>
  <si>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</si>
  <si>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</si>
  <si>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</si>
  <si>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</si>
  <si>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</si>
  <si>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</si>
  <si>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</si>
  <si>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</si>
  <si>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</si>
  <si>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</si>
  <si>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</si>
  <si>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</si>
  <si>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</si>
  <si>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</si>
  <si>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</si>
  <si>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</si>
  <si>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</si>
  <si>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</si>
  <si>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</si>
  <si>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</si>
  <si>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</si>
  <si>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</si>
  <si>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</si>
  <si>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</si>
  <si>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</si>
  <si>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</si>
  <si>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</si>
  <si>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</si>
  <si>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</si>
  <si>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</si>
  <si>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</si>
  <si>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</si>
  <si>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</si>
  <si>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</si>
  <si>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</si>
  <si>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</si>
  <si>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</si>
  <si>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</si>
  <si>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</si>
  <si>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</si>
  <si>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</si>
  <si>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</si>
  <si>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</si>
  <si>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</si>
  <si>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</si>
  <si>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</si>
  <si>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</si>
  <si>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</si>
  <si>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</si>
  <si>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</si>
  <si>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</si>
  <si>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</si>
  <si>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</si>
  <si>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</si>
  <si>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</si>
  <si>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</si>
  <si>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</si>
  <si>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</si>
  <si>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</si>
  <si>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</si>
  <si>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</si>
  <si>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</si>
  <si>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</si>
  <si>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</si>
  <si>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</si>
  <si>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</si>
  <si>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</si>
  <si>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</si>
  <si>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</si>
  <si>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</si>
  <si>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</si>
  <si>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</si>
  <si>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</si>
  <si>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</si>
  <si>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</si>
  <si>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</si>
  <si>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</si>
  <si>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</si>
  <si>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</si>
  <si>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</si>
  <si>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</si>
  <si>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</si>
  <si>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</si>
  <si>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</si>
  <si>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</si>
  <si>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</si>
  <si>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</si>
  <si>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</si>
  <si>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</si>
  <si>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</si>
  <si>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</si>
  <si>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</si>
  <si>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</si>
  <si>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</si>
  <si>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</si>
  <si>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</si>
  <si>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</si>
  <si>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</si>
  <si>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</si>
  <si>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</si>
  <si>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</si>
  <si>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</si>
  <si>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</si>
  <si>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</si>
  <si>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</si>
  <si>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</si>
  <si>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</si>
  <si>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</si>
  <si>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</si>
  <si>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</si>
  <si>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</si>
  <si>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</si>
  <si>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</si>
  <si>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</si>
  <si>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</si>
  <si>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</si>
  <si>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</si>
  <si>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</si>
  <si>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</si>
  <si>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</si>
  <si>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</si>
  <si>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</si>
  <si>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</si>
  <si>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</si>
  <si>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</si>
  <si>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</si>
  <si>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</si>
  <si>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</si>
  <si>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</si>
  <si>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</si>
  <si>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</si>
  <si>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</si>
  <si>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</si>
  <si>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</si>
  <si>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</si>
  <si>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</si>
  <si>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</si>
  <si>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</si>
  <si>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</si>
  <si>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</si>
  <si>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</si>
  <si>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</si>
  <si>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</si>
  <si>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</si>
  <si>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</si>
  <si>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</si>
  <si>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</si>
  <si>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</si>
  <si>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</si>
  <si>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</si>
  <si>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</si>
  <si>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</si>
  <si>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</si>
  <si>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</si>
  <si>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</si>
  <si>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</si>
  <si>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</si>
  <si>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</si>
  <si>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</si>
  <si>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</si>
  <si>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</si>
  <si>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</si>
  <si>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</si>
  <si>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</si>
  <si>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</si>
  <si>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</si>
  <si>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</si>
  <si>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</si>
  <si>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</si>
  <si>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</si>
  <si>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</si>
  <si>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</si>
  <si>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</si>
  <si>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</si>
  <si>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</si>
  <si>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</si>
  <si>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</si>
  <si>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</si>
  <si>
    <t>delisted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</si>
</sst>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5" applyNumberFormat="1" applyFont="1" applyFill="1" applyBorder="1"/>
    <xf numFmtId="43" fontId="15" fillId="5" borderId="0" xfId="5" applyFont="1" applyFill="1" applyBorder="1"/>
    <xf numFmtId="43" fontId="4" fillId="3" borderId="0" xfId="2" applyNumberFormat="1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8" borderId="0" xfId="5" applyFont="1" applyFill="1" applyBorder="1"/>
    <xf numFmtId="43" fontId="15" fillId="6" borderId="0" xfId="5" applyFont="1" applyFill="1" applyBorder="1"/>
    <xf numFmtId="43" fontId="15" fillId="7" borderId="0" xfId="5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5" applyNumberFormat="1" applyFont="1" applyFill="1" applyBorder="1"/>
    <xf numFmtId="165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5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165" fontId="15" fillId="5" borderId="0" xfId="4" applyNumberFormat="1" applyFont="1" applyFill="1" applyBorder="1" applyAlignment="1">
      <alignment horizontal="right"/>
    </xf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5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9DD58EF3-C6F0-42DC-97F1-5E475C76E1CB}"/>
    <cellStyle name="Comma 5 2 2 2 2 2 2 2 2 2 2 2 2 2" xfId="4" xr:uid="{CD100DC1-8D9A-45FC-9286-D4524E4AD18C}"/>
    <cellStyle name="Comma 6 2 2 2 2 2 2 2 2" xfId="5" xr:uid="{5C01F17F-458C-4E02-9220-5D96DCBB8D2E}"/>
    <cellStyle name="Hyperlink 2" xfId="8" xr:uid="{A23672A5-1ECE-4FBA-8D11-C606A1BD1D85}"/>
    <cellStyle name="Normal" xfId="0" builtinId="0"/>
    <cellStyle name="Normal 2" xfId="2" xr:uid="{3311E4A0-E0E9-4C26-8C36-E28A37A13C7A}"/>
    <cellStyle name="Normal 20" xfId="7" xr:uid="{8CE908A1-FB66-4225-BDDB-AD05192F5FEA}"/>
    <cellStyle name="Percent" xfId="1" builtinId="5"/>
    <cellStyle name="Percent 3" xfId="6" xr:uid="{40C6CC79-C62A-42BF-9769-BC1AE897C97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ECCB099-803B-4654-96B4-2406FBA95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3DB70E3-7D8F-4E81-9763-BFAE5FF6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15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0183-92A4-48AD-AAB4-23CDA3B89D73}">
  <dimension ref="A1:II107"/>
  <sheetViews>
    <sheetView tabSelected="1" zoomScale="70" zoomScaleNormal="70" workbookViewId="0">
      <selection activeCell="L89" sqref="L89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26.851199999999999</v>
      </c>
      <c r="K5" s="22"/>
      <c r="L5" s="146" t="s">
        <v>12</v>
      </c>
      <c r="M5" s="147"/>
      <c r="N5" s="23" t="s">
        <v>13</v>
      </c>
      <c r="O5" s="24"/>
      <c r="P5" s="24"/>
      <c r="Q5" s="25"/>
    </row>
    <row r="6" spans="1:19" ht="6.6" customHeight="1" x14ac:dyDescent="0.25">
      <c r="A6" s="136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80968227.593180194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0.64242938863067578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2.3348869565217388E-2</v>
      </c>
      <c r="Q9" s="49">
        <f t="shared" ref="Q9:Q17" si="6">I9/G9-1</f>
        <v>0.91890538962122492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4118914.7835552976</v>
      </c>
      <c r="E10" s="39">
        <f t="shared" si="1"/>
        <v>3456181.3948812503</v>
      </c>
      <c r="F10" s="40" t="s">
        <v>34</v>
      </c>
      <c r="G10" s="41">
        <v>3.1600000000000003E-2</v>
      </c>
      <c r="H10" s="42">
        <v>6.5000000000000002E-2</v>
      </c>
      <c r="I10" s="43">
        <v>6.7960000000000007E-2</v>
      </c>
      <c r="J10" s="44">
        <f t="shared" ref="J10:J17" si="7">I10/$J$5</f>
        <v>2.5309855797878682E-3</v>
      </c>
      <c r="K10" s="45">
        <f t="shared" si="2"/>
        <v>2.1237500000000002E-3</v>
      </c>
      <c r="L10" s="46">
        <f t="shared" si="3"/>
        <v>2.9600000000000043E-3</v>
      </c>
      <c r="M10" s="46">
        <f t="shared" si="4"/>
        <v>4.5538461538461608</v>
      </c>
      <c r="N10" s="51">
        <v>6737000</v>
      </c>
      <c r="O10" s="37">
        <v>457846.04</v>
      </c>
      <c r="P10" s="52">
        <f t="shared" si="5"/>
        <v>0</v>
      </c>
      <c r="Q10" s="49">
        <f t="shared" si="6"/>
        <v>1.150632911392405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3302424.7539191544</v>
      </c>
      <c r="E11" s="39">
        <f t="shared" si="1"/>
        <v>2771064.6110135624</v>
      </c>
      <c r="F11" s="40" t="s">
        <v>39</v>
      </c>
      <c r="G11" s="41">
        <v>7.8E-2</v>
      </c>
      <c r="H11" s="42">
        <v>0.20057700000000001</v>
      </c>
      <c r="I11" s="43">
        <v>0.202926</v>
      </c>
      <c r="J11" s="44">
        <f t="shared" si="7"/>
        <v>7.5574276010010729E-3</v>
      </c>
      <c r="K11" s="45">
        <f t="shared" si="2"/>
        <v>6.3414374999999999E-3</v>
      </c>
      <c r="L11" s="46">
        <f t="shared" si="3"/>
        <v>2.34899999999999E-3</v>
      </c>
      <c r="M11" s="46">
        <f t="shared" si="4"/>
        <v>1.1711213150062021</v>
      </c>
      <c r="N11" s="51">
        <v>3400</v>
      </c>
      <c r="O11" s="37">
        <v>689.95</v>
      </c>
      <c r="P11" s="52">
        <f t="shared" si="5"/>
        <v>0</v>
      </c>
      <c r="Q11" s="49">
        <f t="shared" si="6"/>
        <v>1.6016153846153847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111423696.70629247</v>
      </c>
      <c r="E12" s="39">
        <f t="shared" si="1"/>
        <v>93495623.90625</v>
      </c>
      <c r="F12" s="40" t="s">
        <v>34</v>
      </c>
      <c r="G12" s="41">
        <v>97.381</v>
      </c>
      <c r="H12" s="42">
        <v>156.58500000000001</v>
      </c>
      <c r="I12" s="43">
        <v>145</v>
      </c>
      <c r="J12" s="44">
        <f t="shared" si="7"/>
        <v>5.4001310928375643</v>
      </c>
      <c r="K12" s="45">
        <f t="shared" si="2"/>
        <v>4.53125</v>
      </c>
      <c r="L12" s="46">
        <f t="shared" si="3"/>
        <v>-11.585000000000008</v>
      </c>
      <c r="M12" s="46">
        <f t="shared" si="4"/>
        <v>-7.3985375355238414</v>
      </c>
      <c r="N12" s="51">
        <v>2500</v>
      </c>
      <c r="O12" s="37">
        <v>362500</v>
      </c>
      <c r="P12" s="52">
        <f t="shared" si="5"/>
        <v>0</v>
      </c>
      <c r="Q12" s="49">
        <f t="shared" si="6"/>
        <v>0.4889968268964171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8783514.9267071858</v>
      </c>
      <c r="E13" s="39">
        <f t="shared" si="1"/>
        <v>7370247.375</v>
      </c>
      <c r="F13" s="40" t="s">
        <v>44</v>
      </c>
      <c r="G13" s="41">
        <v>13.6</v>
      </c>
      <c r="H13" s="42">
        <v>25</v>
      </c>
      <c r="I13" s="43">
        <v>27</v>
      </c>
      <c r="J13" s="44">
        <f t="shared" si="7"/>
        <v>1.0055416517697533</v>
      </c>
      <c r="K13" s="45">
        <f t="shared" si="2"/>
        <v>0.84375</v>
      </c>
      <c r="L13" s="46">
        <f t="shared" si="3"/>
        <v>2</v>
      </c>
      <c r="M13" s="46">
        <f t="shared" si="4"/>
        <v>8</v>
      </c>
      <c r="N13" s="51">
        <v>100</v>
      </c>
      <c r="O13" s="37">
        <v>2700</v>
      </c>
      <c r="P13" s="52">
        <f t="shared" si="5"/>
        <v>0</v>
      </c>
      <c r="Q13" s="49">
        <f t="shared" si="6"/>
        <v>0.98529411764705888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720185578.71685445</v>
      </c>
      <c r="E14" s="39">
        <f t="shared" si="1"/>
        <v>604307719.10131252</v>
      </c>
      <c r="F14" s="40" t="s">
        <v>47</v>
      </c>
      <c r="G14" s="41">
        <v>11.5</v>
      </c>
      <c r="H14" s="42">
        <v>37.983000000000004</v>
      </c>
      <c r="I14" s="43">
        <v>36.998800000000003</v>
      </c>
      <c r="J14" s="44">
        <f t="shared" si="7"/>
        <v>1.3779197950184723</v>
      </c>
      <c r="K14" s="45">
        <f t="shared" si="2"/>
        <v>1.1562125000000001</v>
      </c>
      <c r="L14" s="46">
        <f t="shared" si="3"/>
        <v>-0.9842000000000013</v>
      </c>
      <c r="M14" s="46">
        <f t="shared" si="4"/>
        <v>-2.591159202801256</v>
      </c>
      <c r="N14" s="51">
        <v>800</v>
      </c>
      <c r="O14" s="37">
        <v>29599.05</v>
      </c>
      <c r="P14" s="52">
        <f t="shared" si="5"/>
        <v>0</v>
      </c>
      <c r="Q14" s="49">
        <f t="shared" si="6"/>
        <v>2.2172869565217392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31317190.246618398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0.29533130735311641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73330231.758729592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0.20483255869383865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0.24410181818181817</v>
      </c>
      <c r="Q16" s="49">
        <f t="shared" si="6"/>
        <v>1.8947368421052633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1517955015.7345111</v>
      </c>
      <c r="E17" s="39">
        <f t="shared" si="1"/>
        <v>1273716053.7028282</v>
      </c>
      <c r="F17" s="40" t="s">
        <v>34</v>
      </c>
      <c r="G17" s="41">
        <v>20.701700000000002</v>
      </c>
      <c r="H17" s="42">
        <v>28.260100000000001</v>
      </c>
      <c r="I17" s="43">
        <v>30.241900000000001</v>
      </c>
      <c r="J17" s="44">
        <f t="shared" si="7"/>
        <v>1.1262774103205817</v>
      </c>
      <c r="K17" s="45">
        <f t="shared" si="2"/>
        <v>0.94505937500000003</v>
      </c>
      <c r="L17" s="46">
        <f t="shared" si="3"/>
        <v>1.9817999999999998</v>
      </c>
      <c r="M17" s="46">
        <f t="shared" si="4"/>
        <v>7.0127140385207394</v>
      </c>
      <c r="N17" s="51">
        <v>105400</v>
      </c>
      <c r="O17" s="37">
        <v>3187501.25</v>
      </c>
      <c r="P17" s="48">
        <f t="shared" si="5"/>
        <v>0</v>
      </c>
      <c r="Q17" s="49">
        <f t="shared" si="6"/>
        <v>0.46084138017650722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336793279.35228592</v>
      </c>
      <c r="E19" s="39">
        <f t="shared" si="1"/>
        <v>282603240.70450312</v>
      </c>
      <c r="F19" s="40" t="s">
        <v>47</v>
      </c>
      <c r="G19" s="41">
        <v>12.45</v>
      </c>
      <c r="H19" s="42">
        <v>13</v>
      </c>
      <c r="I19" s="43">
        <v>13.458299999999999</v>
      </c>
      <c r="J19" s="44">
        <f t="shared" ref="J19:J45" si="8">I19/$J$5</f>
        <v>0.50121782266714332</v>
      </c>
      <c r="K19" s="45">
        <f t="shared" ref="K19:K45" si="9">I19/$K$4</f>
        <v>0.42057187499999998</v>
      </c>
      <c r="L19" s="46">
        <f t="shared" ref="L19:L29" si="10">I19-H19</f>
        <v>0.45829999999999949</v>
      </c>
      <c r="M19" s="46">
        <f>((I19-H19)/H19)*100</f>
        <v>3.5253846153846116</v>
      </c>
      <c r="N19" s="51">
        <v>1200</v>
      </c>
      <c r="O19" s="37">
        <v>16150</v>
      </c>
      <c r="P19" s="52">
        <f>(R19)/J19</f>
        <v>0</v>
      </c>
      <c r="Q19" s="49">
        <f t="shared" ref="Q19:Q29" si="11">I19/G19-1</f>
        <v>8.0987951807228953E-2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3772593.4271094031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3.4635323560958171E-2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72220436.277395427</v>
      </c>
      <c r="E21" s="39">
        <f t="shared" si="1"/>
        <v>60600168.080362499</v>
      </c>
      <c r="F21" s="40" t="s">
        <v>47</v>
      </c>
      <c r="G21" s="41">
        <v>2.85</v>
      </c>
      <c r="H21" s="42">
        <v>3.2744999999999997</v>
      </c>
      <c r="I21" s="43">
        <v>2.80986</v>
      </c>
      <c r="J21" s="44">
        <f t="shared" si="8"/>
        <v>0.10464560243117627</v>
      </c>
      <c r="K21" s="45">
        <f t="shared" si="9"/>
        <v>8.7808125000000001E-2</v>
      </c>
      <c r="L21" s="46">
        <f t="shared" si="10"/>
        <v>-0.46463999999999972</v>
      </c>
      <c r="M21" s="46">
        <f>((I21-H21)/H21)*100</f>
        <v>-14.18964727439303</v>
      </c>
      <c r="N21" s="51">
        <v>14300</v>
      </c>
      <c r="O21" s="37">
        <v>40181</v>
      </c>
      <c r="P21" s="52">
        <f>(R21)/J21</f>
        <v>0</v>
      </c>
      <c r="Q21" s="49">
        <f t="shared" si="11"/>
        <v>-1.408421052631581E-2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1800918.7714566574</v>
      </c>
      <c r="E23" s="39">
        <f t="shared" si="1"/>
        <v>1511150.9411292814</v>
      </c>
      <c r="F23" s="40" t="s">
        <v>44</v>
      </c>
      <c r="G23" s="41">
        <v>0.1</v>
      </c>
      <c r="H23" s="42">
        <v>9.9000000000000005E-2</v>
      </c>
      <c r="I23" s="43">
        <v>9.0119000000000005E-2</v>
      </c>
      <c r="J23" s="44">
        <f t="shared" si="8"/>
        <v>3.3562373376236445E-3</v>
      </c>
      <c r="K23" s="45">
        <f t="shared" si="9"/>
        <v>2.8162187500000001E-3</v>
      </c>
      <c r="L23" s="46">
        <f t="shared" si="10"/>
        <v>-8.881E-3</v>
      </c>
      <c r="M23" s="46">
        <f t="shared" ref="M23:M29" si="12">((I23-H23)/H23)*100</f>
        <v>-8.9707070707070713</v>
      </c>
      <c r="N23" s="51">
        <v>203700</v>
      </c>
      <c r="O23" s="37">
        <v>18357.3</v>
      </c>
      <c r="P23" s="52">
        <f t="shared" ref="P23:P29" si="13">(R23)/J23</f>
        <v>0</v>
      </c>
      <c r="Q23" s="49">
        <f t="shared" si="11"/>
        <v>-9.8809999999999953E-2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65419185.834599577</v>
      </c>
      <c r="E24" s="39">
        <f t="shared" si="1"/>
        <v>54893238.833812505</v>
      </c>
      <c r="F24" s="40" t="s">
        <v>34</v>
      </c>
      <c r="G24" s="41">
        <v>8.1687659999999997</v>
      </c>
      <c r="H24" s="42">
        <v>9.1005000000000003</v>
      </c>
      <c r="I24" s="43">
        <v>9.1005000000000003</v>
      </c>
      <c r="J24" s="44">
        <f t="shared" si="8"/>
        <v>0.33892340007150523</v>
      </c>
      <c r="K24" s="45">
        <f t="shared" si="9"/>
        <v>0.28439062500000001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4.4257788033624519E-2</v>
      </c>
      <c r="Q24" s="49">
        <f t="shared" si="11"/>
        <v>0.11406055700457096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107878370.34293084</v>
      </c>
      <c r="E25" s="39">
        <f t="shared" si="1"/>
        <v>90520740.554753244</v>
      </c>
      <c r="F25" s="40" t="s">
        <v>66</v>
      </c>
      <c r="G25" s="41">
        <v>1.6675</v>
      </c>
      <c r="H25" s="42">
        <v>1.716456</v>
      </c>
      <c r="I25" s="43">
        <v>1.716456</v>
      </c>
      <c r="J25" s="44">
        <f t="shared" si="8"/>
        <v>6.3924740793707552E-2</v>
      </c>
      <c r="K25" s="45">
        <f t="shared" si="9"/>
        <v>5.3639249999999999E-2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2.9358920539730216E-2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22288399.308038376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9.3105708497199388E-2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0.38927479855515434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23853474.916954141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9.3122802705279464E-2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33153767.753943436</v>
      </c>
      <c r="E28" s="39">
        <f t="shared" si="1"/>
        <v>27819326.522333935</v>
      </c>
      <c r="F28" s="40" t="s">
        <v>44</v>
      </c>
      <c r="G28" s="41">
        <v>0.8</v>
      </c>
      <c r="H28" s="42">
        <v>1.178086</v>
      </c>
      <c r="I28" s="43">
        <v>1.178086</v>
      </c>
      <c r="J28" s="44">
        <f t="shared" si="8"/>
        <v>4.3874612680252653E-2</v>
      </c>
      <c r="K28" s="45">
        <f t="shared" si="9"/>
        <v>3.6815187499999999E-2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0.47260749999999985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100359675.09831963</v>
      </c>
      <c r="E29" s="39">
        <f t="shared" si="1"/>
        <v>84211803.375</v>
      </c>
      <c r="F29" s="40" t="s">
        <v>47</v>
      </c>
      <c r="G29" s="41">
        <v>5.15</v>
      </c>
      <c r="H29" s="42">
        <v>6.6394739999999999</v>
      </c>
      <c r="I29" s="43">
        <v>6</v>
      </c>
      <c r="J29" s="44">
        <f t="shared" si="8"/>
        <v>0.22345370039327853</v>
      </c>
      <c r="K29" s="45">
        <f t="shared" si="9"/>
        <v>0.1875</v>
      </c>
      <c r="L29" s="46">
        <f t="shared" si="10"/>
        <v>-0.63947399999999988</v>
      </c>
      <c r="M29" s="46">
        <f t="shared" si="12"/>
        <v>-9.6313954991012825</v>
      </c>
      <c r="N29" s="51">
        <v>2100</v>
      </c>
      <c r="O29" s="37">
        <v>12600</v>
      </c>
      <c r="P29" s="52">
        <f t="shared" si="13"/>
        <v>0</v>
      </c>
      <c r="Q29" s="49">
        <f t="shared" si="11"/>
        <v>0.16504854368932032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13849236.99387737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5.3293707543796927E-2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2.2142857142857242E-2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4090190.4942795858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3.3518055058991782E-2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1000</v>
      </c>
      <c r="O32" s="37">
        <v>900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114977537.03944884</v>
      </c>
      <c r="E33" s="39">
        <f t="shared" si="1"/>
        <v>96477651.329801515</v>
      </c>
      <c r="F33" s="40" t="s">
        <v>92</v>
      </c>
      <c r="G33" s="41">
        <v>1.44</v>
      </c>
      <c r="H33" s="42">
        <v>1.2333080000000001</v>
      </c>
      <c r="I33" s="43">
        <v>1.2371429999999999</v>
      </c>
      <c r="J33" s="44">
        <f t="shared" si="8"/>
        <v>4.6074030210940288E-2</v>
      </c>
      <c r="K33" s="45">
        <f t="shared" si="9"/>
        <v>3.8660718749999996E-2</v>
      </c>
      <c r="L33" s="46">
        <f t="shared" si="14"/>
        <v>3.8349999999998108E-3</v>
      </c>
      <c r="M33" s="46">
        <f t="shared" si="15"/>
        <v>0.31095233307493425</v>
      </c>
      <c r="N33" s="51">
        <v>2100</v>
      </c>
      <c r="O33" s="37">
        <v>2598</v>
      </c>
      <c r="P33" s="52">
        <f t="shared" si="16"/>
        <v>0</v>
      </c>
      <c r="Q33" s="49">
        <f t="shared" si="17"/>
        <v>-0.14087291666666668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34121236.278272033</v>
      </c>
      <c r="E34" s="39">
        <f t="shared" si="1"/>
        <v>28631129.361098066</v>
      </c>
      <c r="F34" s="40" t="s">
        <v>34</v>
      </c>
      <c r="G34" s="41">
        <v>3.6056249999999999</v>
      </c>
      <c r="H34" s="42">
        <v>4</v>
      </c>
      <c r="I34" s="43">
        <v>3.6142860000000003</v>
      </c>
      <c r="J34" s="44">
        <f t="shared" si="8"/>
        <v>0.13460426349660351</v>
      </c>
      <c r="K34" s="45">
        <f t="shared" si="9"/>
        <v>0.11294643750000001</v>
      </c>
      <c r="L34" s="46">
        <f t="shared" si="14"/>
        <v>-0.38571399999999967</v>
      </c>
      <c r="M34" s="46">
        <f t="shared" si="15"/>
        <v>-9.6428499999999921</v>
      </c>
      <c r="N34" s="51">
        <v>2100</v>
      </c>
      <c r="O34" s="37">
        <v>7590</v>
      </c>
      <c r="P34" s="52">
        <f t="shared" si="16"/>
        <v>0</v>
      </c>
      <c r="Q34" s="49">
        <f t="shared" si="17"/>
        <v>2.4020800832034173E-3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11378736.58327166</v>
      </c>
      <c r="E35" s="39">
        <f t="shared" si="1"/>
        <v>9547897.8670232501</v>
      </c>
      <c r="F35" s="40" t="s">
        <v>34</v>
      </c>
      <c r="G35" s="41">
        <v>2.5099999999999997E-2</v>
      </c>
      <c r="H35" s="42">
        <v>6.3625000000000001E-2</v>
      </c>
      <c r="I35" s="43">
        <v>6.4798999999999995E-2</v>
      </c>
      <c r="J35" s="44">
        <f t="shared" si="8"/>
        <v>2.4132627219640092E-3</v>
      </c>
      <c r="K35" s="45">
        <f t="shared" si="9"/>
        <v>2.0249687499999999E-3</v>
      </c>
      <c r="L35" s="46">
        <f t="shared" si="14"/>
        <v>1.1739999999999945E-3</v>
      </c>
      <c r="M35" s="46">
        <f t="shared" si="15"/>
        <v>1.845186640471504</v>
      </c>
      <c r="N35" s="51">
        <v>13500</v>
      </c>
      <c r="O35" s="37">
        <v>874.78</v>
      </c>
      <c r="P35" s="52">
        <f t="shared" si="16"/>
        <v>0</v>
      </c>
      <c r="Q35" s="49">
        <f t="shared" si="17"/>
        <v>1.5816334661354583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67515666.090621665</v>
      </c>
      <c r="E36" s="39">
        <f t="shared" si="1"/>
        <v>56652395.416640624</v>
      </c>
      <c r="F36" s="40" t="s">
        <v>92</v>
      </c>
      <c r="G36" s="41">
        <v>0.61</v>
      </c>
      <c r="H36" s="42">
        <v>3.4525000000000001</v>
      </c>
      <c r="I36" s="43">
        <v>3.4525000000000001</v>
      </c>
      <c r="J36" s="44">
        <f t="shared" si="8"/>
        <v>0.12857898343463237</v>
      </c>
      <c r="K36" s="45">
        <f t="shared" si="9"/>
        <v>0.107890625</v>
      </c>
      <c r="L36" s="46">
        <f t="shared" si="14"/>
        <v>0</v>
      </c>
      <c r="M36" s="46">
        <f t="shared" si="15"/>
        <v>0</v>
      </c>
      <c r="N36" s="51">
        <v>0</v>
      </c>
      <c r="O36" s="37">
        <v>0</v>
      </c>
      <c r="P36" s="52">
        <f t="shared" si="16"/>
        <v>0</v>
      </c>
      <c r="Q36" s="49">
        <f t="shared" si="17"/>
        <v>4.6598360655737707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114517083.61230515</v>
      </c>
      <c r="E37" s="39">
        <f t="shared" si="1"/>
        <v>96091284.859085247</v>
      </c>
      <c r="F37" s="40" t="s">
        <v>56</v>
      </c>
      <c r="G37" s="41">
        <v>0.11650199999999999</v>
      </c>
      <c r="H37" s="42">
        <v>0.73062499999999997</v>
      </c>
      <c r="I37" s="43">
        <v>0.73303200000000002</v>
      </c>
      <c r="J37" s="44">
        <f t="shared" si="8"/>
        <v>2.7299785484447624E-2</v>
      </c>
      <c r="K37" s="45">
        <f t="shared" si="9"/>
        <v>2.2907250000000001E-2</v>
      </c>
      <c r="L37" s="46">
        <f t="shared" si="14"/>
        <v>2.407000000000048E-3</v>
      </c>
      <c r="M37" s="46">
        <f t="shared" si="15"/>
        <v>0.32944396920445479</v>
      </c>
      <c r="N37" s="51">
        <v>69200</v>
      </c>
      <c r="O37" s="37">
        <v>50725.8</v>
      </c>
      <c r="P37" s="52">
        <v>0</v>
      </c>
      <c r="Q37" s="49">
        <f t="shared" si="17"/>
        <v>5.2920121542977805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22582215.063367747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5.2325408175426056E-3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7930687.4180669775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7.4484566797759513E-2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200</v>
      </c>
      <c r="O39" s="37">
        <v>400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4174971.3247601595</v>
      </c>
      <c r="E40" s="39">
        <f t="shared" si="1"/>
        <v>3503218.4386062496</v>
      </c>
      <c r="F40" s="40" t="s">
        <v>39</v>
      </c>
      <c r="G40" s="41">
        <v>0.03</v>
      </c>
      <c r="H40" s="42">
        <v>6.3049999999999995E-2</v>
      </c>
      <c r="I40" s="43">
        <v>6.3049999999999995E-2</v>
      </c>
      <c r="J40" s="44">
        <f t="shared" si="8"/>
        <v>2.3481259682993682E-3</v>
      </c>
      <c r="K40" s="45">
        <f t="shared" si="9"/>
        <v>1.9703124999999998E-3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1.1016666666666666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46899133.551477619</v>
      </c>
      <c r="E41" s="39">
        <f t="shared" si="1"/>
        <v>39353062.963044874</v>
      </c>
      <c r="F41" s="40" t="s">
        <v>47</v>
      </c>
      <c r="G41" s="41">
        <v>4.5</v>
      </c>
      <c r="H41" s="42">
        <v>7.1881579999999996</v>
      </c>
      <c r="I41" s="43">
        <v>7.1881579999999996</v>
      </c>
      <c r="J41" s="44">
        <f t="shared" si="8"/>
        <v>0.26770341735192466</v>
      </c>
      <c r="K41" s="45">
        <f t="shared" si="9"/>
        <v>0.22462993749999999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0.59736844444444426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310.60354464604933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6.7036110117983558E-7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1544511.9771183413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2.6814444047193425E-3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51881045.305505604</v>
      </c>
      <c r="E44" s="39">
        <f t="shared" si="1"/>
        <v>43533385.115849748</v>
      </c>
      <c r="F44" s="40" t="s">
        <v>47</v>
      </c>
      <c r="G44" s="41">
        <v>0.9998999999999999</v>
      </c>
      <c r="H44" s="42">
        <v>0.75249999999999995</v>
      </c>
      <c r="I44" s="43">
        <v>0.76617199999999996</v>
      </c>
      <c r="J44" s="44">
        <f t="shared" si="8"/>
        <v>2.8533994756286499E-2</v>
      </c>
      <c r="K44" s="45">
        <f t="shared" si="9"/>
        <v>2.3942874999999999E-2</v>
      </c>
      <c r="L44" s="46">
        <f t="shared" si="14"/>
        <v>1.3672000000000017E-2</v>
      </c>
      <c r="M44" s="46">
        <f t="shared" si="15"/>
        <v>1.8168770764119626</v>
      </c>
      <c r="N44" s="51">
        <v>19200</v>
      </c>
      <c r="O44" s="37">
        <v>14710.5</v>
      </c>
      <c r="P44" s="52">
        <f t="shared" si="18"/>
        <v>0</v>
      </c>
      <c r="Q44" s="49">
        <f t="shared" si="17"/>
        <v>-0.23375137513751376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16913337.473930404</v>
      </c>
      <c r="E45" s="39">
        <f t="shared" si="1"/>
        <v>14191981.474375</v>
      </c>
      <c r="F45" s="40" t="s">
        <v>47</v>
      </c>
      <c r="G45" s="41">
        <v>1.4503460000000001</v>
      </c>
      <c r="H45" s="42">
        <v>4.4215</v>
      </c>
      <c r="I45" s="43">
        <v>4.4215</v>
      </c>
      <c r="J45" s="44">
        <f t="shared" si="8"/>
        <v>0.16466675604814685</v>
      </c>
      <c r="K45" s="45">
        <f t="shared" si="9"/>
        <v>0.138171875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2.0485828898759326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7177800</v>
      </c>
      <c r="O47" s="62">
        <f>SUM(O9:O45)</f>
        <v>4205923.67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2" t="s">
        <v>118</v>
      </c>
      <c r="B49" s="133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5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90551269.90259999</v>
      </c>
      <c r="E50" s="39">
        <v>0</v>
      </c>
      <c r="F50" s="40" t="s">
        <v>92</v>
      </c>
      <c r="G50" s="71">
        <v>0.1</v>
      </c>
      <c r="H50" s="42">
        <v>0.1598</v>
      </c>
      <c r="I50" s="42">
        <v>0.15989999999999999</v>
      </c>
      <c r="J50" s="44">
        <f t="shared" ref="J50:J65" si="20">I50</f>
        <v>0.15989999999999999</v>
      </c>
      <c r="K50" s="39">
        <v>0</v>
      </c>
      <c r="L50" s="46">
        <f t="shared" ref="L50:L65" si="21">I50-H50</f>
        <v>9.9999999999988987E-5</v>
      </c>
      <c r="M50" s="46">
        <f t="shared" ref="M50:M65" si="22">((I50-H50)/H50)*100</f>
        <v>6.2578222778466197E-2</v>
      </c>
      <c r="N50" s="51">
        <v>614872</v>
      </c>
      <c r="O50" s="37">
        <v>98315.06</v>
      </c>
      <c r="P50" s="72">
        <f>(R50)/J50</f>
        <v>0</v>
      </c>
      <c r="Q50" s="49">
        <f t="shared" ref="Q50:Q65" si="23">J50/G50-1</f>
        <v>0.59899999999999975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44476240</v>
      </c>
      <c r="E51" s="39">
        <v>0</v>
      </c>
      <c r="F51" s="40" t="s">
        <v>39</v>
      </c>
      <c r="G51" s="71">
        <v>39.9</v>
      </c>
      <c r="H51" s="42">
        <v>39.944600000000001</v>
      </c>
      <c r="I51" s="42">
        <v>40</v>
      </c>
      <c r="J51" s="44">
        <f t="shared" si="20"/>
        <v>40</v>
      </c>
      <c r="K51" s="39">
        <v>0</v>
      </c>
      <c r="L51" s="46">
        <f t="shared" si="21"/>
        <v>5.5399999999998784E-2</v>
      </c>
      <c r="M51" s="46">
        <f t="shared" si="22"/>
        <v>0.13869208854262849</v>
      </c>
      <c r="N51" s="51">
        <v>2</v>
      </c>
      <c r="O51" s="37">
        <v>80</v>
      </c>
      <c r="P51" s="73">
        <f>(R51)/J51</f>
        <v>1.4000000000000002E-2</v>
      </c>
      <c r="Q51" s="49">
        <f t="shared" si="23"/>
        <v>2.5062656641603454E-3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685504589.80729997</v>
      </c>
      <c r="E52" s="39"/>
      <c r="F52" s="40" t="s">
        <v>56</v>
      </c>
      <c r="G52" s="71">
        <v>0.33</v>
      </c>
      <c r="H52" s="42">
        <v>0.2288</v>
      </c>
      <c r="I52" s="42">
        <v>0.2291</v>
      </c>
      <c r="J52" s="44">
        <f t="shared" si="20"/>
        <v>0.2291</v>
      </c>
      <c r="K52" s="39">
        <v>0</v>
      </c>
      <c r="L52" s="46">
        <f t="shared" si="21"/>
        <v>2.9999999999999472E-4</v>
      </c>
      <c r="M52" s="46">
        <f t="shared" si="22"/>
        <v>0.13111888111887882</v>
      </c>
      <c r="N52" s="51">
        <v>27918</v>
      </c>
      <c r="O52" s="37">
        <v>6397.23</v>
      </c>
      <c r="P52" s="72">
        <v>0</v>
      </c>
      <c r="Q52" s="49">
        <f t="shared" si="23"/>
        <v>-0.30575757575757578</v>
      </c>
      <c r="R52" s="53"/>
      <c r="T52" s="53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1">
        <v>2.3E-2</v>
      </c>
      <c r="H53" s="42">
        <v>0</v>
      </c>
      <c r="I53" s="42">
        <v>0</v>
      </c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4" t="s">
        <v>185</v>
      </c>
      <c r="O53" s="113" t="s">
        <v>185</v>
      </c>
      <c r="P53" s="72" t="e">
        <f t="shared" ref="P53:P65" si="24">(R53)/J53</f>
        <v>#DIV/0!</v>
      </c>
      <c r="Q53" s="49">
        <v>0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335434138.58789998</v>
      </c>
      <c r="E54" s="39">
        <v>0</v>
      </c>
      <c r="F54" s="40" t="s">
        <v>47</v>
      </c>
      <c r="G54" s="71">
        <v>9.0200000000000002E-2</v>
      </c>
      <c r="H54" s="42">
        <v>0.15529999999999999</v>
      </c>
      <c r="I54" s="42">
        <v>0.15509999999999999</v>
      </c>
      <c r="J54" s="44">
        <f t="shared" si="20"/>
        <v>0.15509999999999999</v>
      </c>
      <c r="K54" s="39">
        <v>0</v>
      </c>
      <c r="L54" s="46">
        <f t="shared" si="21"/>
        <v>-2.0000000000000573E-4</v>
      </c>
      <c r="M54" s="74">
        <f t="shared" si="22"/>
        <v>-0.1287830006439187</v>
      </c>
      <c r="N54" s="51">
        <v>646198</v>
      </c>
      <c r="O54" s="37">
        <v>100194.29</v>
      </c>
      <c r="P54" s="72">
        <f t="shared" si="24"/>
        <v>0</v>
      </c>
      <c r="Q54" s="49">
        <f t="shared" si="23"/>
        <v>0.71951219512195097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879554874.43999994</v>
      </c>
      <c r="E55" s="39">
        <v>0</v>
      </c>
      <c r="F55" s="40" t="s">
        <v>34</v>
      </c>
      <c r="G55" s="71">
        <v>0.95750000000000002</v>
      </c>
      <c r="H55" s="42">
        <v>1.5069999999999999</v>
      </c>
      <c r="I55" s="42">
        <v>1.5271999999999999</v>
      </c>
      <c r="J55" s="44">
        <f t="shared" si="20"/>
        <v>1.5271999999999999</v>
      </c>
      <c r="K55" s="39">
        <v>0</v>
      </c>
      <c r="L55" s="46">
        <f t="shared" si="21"/>
        <v>2.0199999999999996E-2</v>
      </c>
      <c r="M55" s="46">
        <f t="shared" si="22"/>
        <v>1.3404114134041138</v>
      </c>
      <c r="N55" s="51">
        <v>13411</v>
      </c>
      <c r="O55" s="37">
        <v>20480.97</v>
      </c>
      <c r="P55" s="73">
        <f t="shared" si="24"/>
        <v>3.0775275013095862E-2</v>
      </c>
      <c r="Q55" s="49">
        <f t="shared" si="23"/>
        <v>0.59498694516971273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24549129.188999999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0.14949999999999999</v>
      </c>
      <c r="J56" s="44">
        <f t="shared" si="20"/>
        <v>0.14949999999999999</v>
      </c>
      <c r="K56" s="39">
        <v>0</v>
      </c>
      <c r="L56" s="46">
        <f t="shared" si="21"/>
        <v>-5.0000000000000044E-4</v>
      </c>
      <c r="M56" s="46">
        <f t="shared" si="22"/>
        <v>-0.33333333333333365</v>
      </c>
      <c r="N56" s="51">
        <v>703</v>
      </c>
      <c r="O56" s="37">
        <v>105.1</v>
      </c>
      <c r="P56" s="72">
        <f t="shared" si="24"/>
        <v>0</v>
      </c>
      <c r="Q56" s="49">
        <f t="shared" si="23"/>
        <v>-6.2695924764890387E-2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19209234.057</v>
      </c>
      <c r="E57" s="39">
        <v>0</v>
      </c>
      <c r="F57" s="40" t="s">
        <v>92</v>
      </c>
      <c r="G57" s="71">
        <v>1.6799999999999999E-2</v>
      </c>
      <c r="H57" s="42">
        <v>2.2499999999999999E-2</v>
      </c>
      <c r="I57" s="42">
        <v>1.95E-2</v>
      </c>
      <c r="J57" s="44">
        <f t="shared" si="20"/>
        <v>1.95E-2</v>
      </c>
      <c r="K57" s="39">
        <v>0</v>
      </c>
      <c r="L57" s="46">
        <f t="shared" si="21"/>
        <v>-2.9999999999999992E-3</v>
      </c>
      <c r="M57" s="74">
        <f t="shared" si="22"/>
        <v>-13.33333333333333</v>
      </c>
      <c r="N57" s="51">
        <v>201430</v>
      </c>
      <c r="O57" s="37">
        <v>3930.39</v>
      </c>
      <c r="P57" s="72">
        <f t="shared" si="24"/>
        <v>0</v>
      </c>
      <c r="Q57" s="49">
        <f t="shared" si="23"/>
        <v>0.16071428571428581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4047333945.4438</v>
      </c>
      <c r="E59" s="39">
        <v>0</v>
      </c>
      <c r="F59" s="40" t="s">
        <v>47</v>
      </c>
      <c r="G59" s="71">
        <v>0.78169999999999995</v>
      </c>
      <c r="H59" s="52">
        <v>0.91790000000000005</v>
      </c>
      <c r="I59" s="42">
        <v>0.89980000000000004</v>
      </c>
      <c r="J59" s="44">
        <f t="shared" si="20"/>
        <v>0.89980000000000004</v>
      </c>
      <c r="K59" s="39">
        <v>0</v>
      </c>
      <c r="L59" s="46">
        <f t="shared" si="21"/>
        <v>-1.8100000000000005E-2</v>
      </c>
      <c r="M59" s="46">
        <f t="shared" si="22"/>
        <v>-1.9718923630025063</v>
      </c>
      <c r="N59" s="75">
        <v>141728</v>
      </c>
      <c r="O59" s="76">
        <v>127523.42</v>
      </c>
      <c r="P59" s="72">
        <f t="shared" si="24"/>
        <v>0</v>
      </c>
      <c r="Q59" s="49">
        <f t="shared" si="23"/>
        <v>0.15108097735704251</v>
      </c>
      <c r="R59" s="53"/>
      <c r="S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1207152622.2294002</v>
      </c>
      <c r="E60" s="39">
        <v>0</v>
      </c>
      <c r="F60" s="40" t="s">
        <v>92</v>
      </c>
      <c r="G60" s="71">
        <v>0.59499999999999997</v>
      </c>
      <c r="H60" s="42">
        <v>1.4756</v>
      </c>
      <c r="I60" s="42">
        <v>1.4994000000000001</v>
      </c>
      <c r="J60" s="44">
        <f t="shared" si="20"/>
        <v>1.4994000000000001</v>
      </c>
      <c r="K60" s="39">
        <v>0</v>
      </c>
      <c r="L60" s="46">
        <f t="shared" si="21"/>
        <v>2.3800000000000043E-2</v>
      </c>
      <c r="M60" s="46">
        <f t="shared" si="22"/>
        <v>1.6129032258064546</v>
      </c>
      <c r="N60" s="51">
        <v>428916</v>
      </c>
      <c r="O60" s="37">
        <v>643133.93999999994</v>
      </c>
      <c r="P60" s="72">
        <f t="shared" si="24"/>
        <v>0</v>
      </c>
      <c r="Q60" s="49">
        <f t="shared" si="23"/>
        <v>1.52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117321533.10000001</v>
      </c>
      <c r="E61" s="39">
        <v>0</v>
      </c>
      <c r="F61" s="40" t="s">
        <v>34</v>
      </c>
      <c r="G61" s="71">
        <v>0.22600000000000001</v>
      </c>
      <c r="H61" s="42">
        <v>0.45</v>
      </c>
      <c r="I61" s="42">
        <v>0.45</v>
      </c>
      <c r="J61" s="44">
        <f t="shared" si="20"/>
        <v>0.45</v>
      </c>
      <c r="K61" s="39">
        <v>0</v>
      </c>
      <c r="L61" s="46">
        <f t="shared" si="21"/>
        <v>0</v>
      </c>
      <c r="M61" s="46">
        <f t="shared" si="22"/>
        <v>0</v>
      </c>
      <c r="N61" s="51">
        <v>366</v>
      </c>
      <c r="O61" s="37">
        <v>164.7</v>
      </c>
      <c r="P61" s="72">
        <f t="shared" si="24"/>
        <v>0</v>
      </c>
      <c r="Q61" s="49">
        <f t="shared" si="23"/>
        <v>0.99115044247787609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404773047.36000001</v>
      </c>
      <c r="E62" s="39">
        <v>0</v>
      </c>
      <c r="F62" s="40" t="s">
        <v>34</v>
      </c>
      <c r="G62" s="71">
        <v>0.49440000000000001</v>
      </c>
      <c r="H62" s="42">
        <v>0.72</v>
      </c>
      <c r="I62" s="42">
        <v>0.72</v>
      </c>
      <c r="J62" s="44">
        <f t="shared" si="20"/>
        <v>0.72</v>
      </c>
      <c r="K62" s="39">
        <v>0</v>
      </c>
      <c r="L62" s="46">
        <f t="shared" si="21"/>
        <v>0</v>
      </c>
      <c r="M62" s="46">
        <f t="shared" si="22"/>
        <v>0</v>
      </c>
      <c r="N62" s="51">
        <v>123860</v>
      </c>
      <c r="O62" s="37">
        <v>89174.2</v>
      </c>
      <c r="P62" s="72">
        <f t="shared" si="24"/>
        <v>0</v>
      </c>
      <c r="Q62" s="49">
        <f t="shared" si="23"/>
        <v>0.4563106796116505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76732730.367499992</v>
      </c>
      <c r="E63" s="39">
        <v>0</v>
      </c>
      <c r="F63" s="40" t="s">
        <v>34</v>
      </c>
      <c r="G63" s="71">
        <v>0.25950000000000001</v>
      </c>
      <c r="H63" s="42">
        <v>0.23169999999999999</v>
      </c>
      <c r="I63" s="42">
        <v>0.21049999999999999</v>
      </c>
      <c r="J63" s="44">
        <f t="shared" si="20"/>
        <v>0.21049999999999999</v>
      </c>
      <c r="K63" s="39">
        <v>0</v>
      </c>
      <c r="L63" s="46">
        <f t="shared" si="21"/>
        <v>-2.1199999999999997E-2</v>
      </c>
      <c r="M63" s="46">
        <f t="shared" si="22"/>
        <v>-9.1497626240828644</v>
      </c>
      <c r="N63" s="51">
        <v>100050</v>
      </c>
      <c r="O63" s="37">
        <v>21061.23</v>
      </c>
      <c r="P63" s="72">
        <f t="shared" si="24"/>
        <v>0</v>
      </c>
      <c r="Q63" s="49">
        <f t="shared" si="23"/>
        <v>-0.18882466281310217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1">
        <v>4.2999999999999997E-2</v>
      </c>
      <c r="H65" s="42">
        <v>0.1196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3.9999999999999758E-4</v>
      </c>
      <c r="M65" s="46">
        <f t="shared" si="22"/>
        <v>0.33444816053511506</v>
      </c>
      <c r="N65" s="51">
        <v>8</v>
      </c>
      <c r="O65" s="37">
        <v>0.96</v>
      </c>
      <c r="P65" s="72">
        <f t="shared" si="24"/>
        <v>0</v>
      </c>
      <c r="Q65" s="49">
        <f t="shared" si="23"/>
        <v>1.7906976744186047</v>
      </c>
      <c r="T65" s="53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2299462</v>
      </c>
      <c r="O66" s="63">
        <f>SUM(O50:O65)</f>
        <v>1110561.4899999998</v>
      </c>
      <c r="P66" s="80"/>
      <c r="Q66" s="64"/>
    </row>
    <row r="67" spans="1:20" ht="12.75" hidden="1" x14ac:dyDescent="0.25">
      <c r="A67" s="136" t="s">
        <v>152</v>
      </c>
      <c r="B67" s="137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75" x14ac:dyDescent="0.25">
      <c r="A70" s="136" t="s">
        <v>156</v>
      </c>
      <c r="B70" s="137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9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45969193.710000001</v>
      </c>
      <c r="E71" s="39">
        <f>C71*K71</f>
        <v>45969193.710000001</v>
      </c>
      <c r="F71" s="92" t="s">
        <v>159</v>
      </c>
      <c r="G71" s="92">
        <v>0.24</v>
      </c>
      <c r="H71" s="93">
        <v>0.33</v>
      </c>
      <c r="I71" s="93">
        <v>0.33</v>
      </c>
      <c r="J71" s="94">
        <f>I71</f>
        <v>0.33</v>
      </c>
      <c r="K71" s="94">
        <f>J71</f>
        <v>0.33</v>
      </c>
      <c r="L71" s="46">
        <f>I71-H71</f>
        <v>0</v>
      </c>
      <c r="M71" s="46">
        <f>((I71-H71)/H71)*100</f>
        <v>0</v>
      </c>
      <c r="N71" s="95">
        <v>325</v>
      </c>
      <c r="O71" s="96">
        <v>107.25</v>
      </c>
      <c r="P71" s="72">
        <f>(R71)/J71</f>
        <v>0</v>
      </c>
      <c r="Q71" s="49">
        <f>J71/G71-1</f>
        <v>0.37500000000000022</v>
      </c>
      <c r="T71" s="53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86898806.225000009</v>
      </c>
      <c r="E72" s="39">
        <f>C72*K72</f>
        <v>86898806.225000009</v>
      </c>
      <c r="F72" s="92" t="s">
        <v>159</v>
      </c>
      <c r="G72" s="92">
        <v>0.1</v>
      </c>
      <c r="H72" s="93">
        <v>0.15939999999999999</v>
      </c>
      <c r="I72" s="93">
        <v>0.16070000000000001</v>
      </c>
      <c r="J72" s="94">
        <f>I72</f>
        <v>0.16070000000000001</v>
      </c>
      <c r="K72" s="94">
        <f>J72</f>
        <v>0.16070000000000001</v>
      </c>
      <c r="L72" s="46">
        <f>I72-H72</f>
        <v>1.3000000000000234E-3</v>
      </c>
      <c r="M72" s="46">
        <f>((I72-H72)/H72)*100</f>
        <v>0.8155583437892242</v>
      </c>
      <c r="N72" s="51">
        <v>4914</v>
      </c>
      <c r="O72" s="96">
        <v>789.92</v>
      </c>
      <c r="P72" s="97">
        <f>(R72)/J72</f>
        <v>2.3596764156813936E-2</v>
      </c>
      <c r="Q72" s="49">
        <f>J72/G72-1</f>
        <v>0.60699999999999998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5239</v>
      </c>
      <c r="O73" s="63">
        <f>SUM(O71:O72)</f>
        <v>897.17</v>
      </c>
      <c r="P73" s="90"/>
      <c r="Q73" s="64"/>
    </row>
    <row r="74" spans="1:20" ht="12.75" x14ac:dyDescent="0.25">
      <c r="A74" s="136" t="s">
        <v>162</v>
      </c>
      <c r="B74" s="137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9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7709154.1200000001</v>
      </c>
      <c r="E75" s="39">
        <f>C75*K75</f>
        <v>7709154.1200000001</v>
      </c>
      <c r="F75" s="92" t="s">
        <v>137</v>
      </c>
      <c r="G75" s="92">
        <v>0.1394</v>
      </c>
      <c r="H75" s="93">
        <v>0.115</v>
      </c>
      <c r="I75" s="93">
        <v>0.12</v>
      </c>
      <c r="J75" s="94">
        <f>I75</f>
        <v>0.12</v>
      </c>
      <c r="K75" s="94">
        <f>J75</f>
        <v>0.12</v>
      </c>
      <c r="L75" s="46">
        <f>I75-H75</f>
        <v>4.9999999999999906E-3</v>
      </c>
      <c r="M75" s="46">
        <f>((I75-H75)/H75)*100</f>
        <v>4.3478260869565135</v>
      </c>
      <c r="N75" s="95">
        <v>705</v>
      </c>
      <c r="O75" s="96">
        <v>84.6</v>
      </c>
      <c r="P75" s="72">
        <f>(R75)/J75</f>
        <v>0</v>
      </c>
      <c r="Q75" s="49">
        <f>J75/G75-1</f>
        <v>-0.13916786226685796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75" x14ac:dyDescent="0.25">
      <c r="A77" s="132" t="s">
        <v>165</v>
      </c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5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153491.07339709214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4.8414968418543682E-3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0.23809523809523814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405678.85830056015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2.9793826719103802E-3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1433424.9514360628</v>
      </c>
      <c r="E80" s="39">
        <f>C80*K80</f>
        <v>1202786.8767500001</v>
      </c>
      <c r="F80" s="40" t="s">
        <v>137</v>
      </c>
      <c r="G80" s="71">
        <v>6.0499999999999998E-2</v>
      </c>
      <c r="H80" s="42">
        <v>0.11800000000000001</v>
      </c>
      <c r="I80" s="42">
        <v>0.11800000000000001</v>
      </c>
      <c r="J80" s="44">
        <f>I80/$J$5</f>
        <v>4.3945894410678116E-3</v>
      </c>
      <c r="K80" s="45">
        <f>I80/$K$4</f>
        <v>3.6875000000000002E-3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0.95041322314049603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420300.45472828031</v>
      </c>
      <c r="E81" s="39">
        <f>C81*K81</f>
        <v>352674.11156250001</v>
      </c>
      <c r="F81" s="40" t="s">
        <v>137</v>
      </c>
      <c r="G81" s="71">
        <v>1.85</v>
      </c>
      <c r="H81" s="42">
        <v>1.69</v>
      </c>
      <c r="I81" s="42">
        <v>1.69</v>
      </c>
      <c r="J81" s="44">
        <f>I81/$J$5</f>
        <v>6.2939458944106783E-2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0</v>
      </c>
      <c r="O82" s="63">
        <f>SUM(O78:O81)</f>
        <v>0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6" t="s">
        <v>174</v>
      </c>
      <c r="B83" s="137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9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27434620.724585868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7.4484566797759513E-2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100</v>
      </c>
      <c r="O84" s="76">
        <v>200</v>
      </c>
      <c r="P84" s="52">
        <f>(R84)/J84</f>
        <v>0</v>
      </c>
      <c r="Q84" s="49">
        <f>I84/G84-1</f>
        <v>0.53846153846153832</v>
      </c>
      <c r="R84" s="53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78092275.451376468</v>
      </c>
      <c r="E85" s="39">
        <f>C85*K85</f>
        <v>65527228.331249997</v>
      </c>
      <c r="F85" s="40" t="s">
        <v>177</v>
      </c>
      <c r="G85" s="40">
        <v>1.44347</v>
      </c>
      <c r="H85" s="42">
        <v>1.120878</v>
      </c>
      <c r="I85" s="42">
        <v>1.1389199999999999</v>
      </c>
      <c r="J85" s="44">
        <f>I85/$J$5</f>
        <v>4.2415981408652124E-2</v>
      </c>
      <c r="K85" s="45">
        <f>I85/$K$4</f>
        <v>3.5591249999999998E-2</v>
      </c>
      <c r="L85" s="46">
        <f>I85-H85</f>
        <v>1.8041999999999891E-2</v>
      </c>
      <c r="M85" s="46">
        <f>((I85-H85)/H85*100)</f>
        <v>1.6096310213957175</v>
      </c>
      <c r="N85" s="76">
        <v>26202</v>
      </c>
      <c r="O85" s="76">
        <v>29837.895</v>
      </c>
      <c r="P85" s="48">
        <f>(R85)/J85</f>
        <v>5.1301418185649567E-2</v>
      </c>
      <c r="Q85" s="49">
        <f>I85/G85-1</f>
        <v>-0.21098464117716342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113"/>
      <c r="G87" s="113"/>
      <c r="H87" s="60"/>
      <c r="M87" s="114"/>
      <c r="N87" s="114"/>
      <c r="O87" s="60"/>
      <c r="P87" s="60"/>
      <c r="Q87" s="115"/>
    </row>
    <row r="88" spans="1:243" ht="15" customHeight="1" thickBot="1" x14ac:dyDescent="0.25">
      <c r="A88" s="140" t="s">
        <v>180</v>
      </c>
      <c r="B88" s="141"/>
      <c r="C88" s="141"/>
      <c r="D88" s="142"/>
      <c r="E88" s="140" t="s">
        <v>181</v>
      </c>
      <c r="F88" s="141"/>
      <c r="G88" s="141"/>
      <c r="H88" s="142"/>
      <c r="I88" s="53"/>
      <c r="J88" s="143" t="s">
        <v>182</v>
      </c>
      <c r="K88" s="144"/>
      <c r="L88" s="145"/>
      <c r="M88" s="143" t="s">
        <v>183</v>
      </c>
      <c r="N88" s="144"/>
      <c r="O88" s="145"/>
      <c r="Q88" s="16"/>
    </row>
    <row r="89" spans="1:243" ht="15" customHeight="1" x14ac:dyDescent="0.2">
      <c r="A89" s="35" t="s">
        <v>42</v>
      </c>
      <c r="B89" s="116">
        <v>27</v>
      </c>
      <c r="D89" s="116">
        <v>8</v>
      </c>
      <c r="E89" s="35" t="s">
        <v>62</v>
      </c>
      <c r="F89" s="117">
        <v>2.80986</v>
      </c>
      <c r="H89" s="118">
        <v>-14.18964727439303</v>
      </c>
      <c r="J89" s="35" t="s">
        <v>140</v>
      </c>
      <c r="K89" s="52">
        <v>1.4994000000000001</v>
      </c>
      <c r="L89" s="119">
        <v>1.6129032258064546</v>
      </c>
      <c r="M89" s="35" t="s">
        <v>133</v>
      </c>
      <c r="N89" s="117">
        <v>1.95E-2</v>
      </c>
      <c r="O89" s="118">
        <v>-13.33333333333333</v>
      </c>
      <c r="Q89" s="16"/>
    </row>
    <row r="90" spans="1:243" ht="15" customHeight="1" x14ac:dyDescent="0.2">
      <c r="A90" s="35" t="s">
        <v>52</v>
      </c>
      <c r="B90" s="116">
        <v>30.241900000000001</v>
      </c>
      <c r="D90" s="116">
        <v>7.0127140385207394</v>
      </c>
      <c r="E90" s="35" t="s">
        <v>93</v>
      </c>
      <c r="F90" s="117">
        <v>3.6142860000000003</v>
      </c>
      <c r="H90" s="118">
        <v>-9.6428499999999921</v>
      </c>
      <c r="J90" s="35" t="s">
        <v>129</v>
      </c>
      <c r="K90" s="52">
        <v>1.5271999999999999</v>
      </c>
      <c r="L90" s="119">
        <v>1.3404114134041138</v>
      </c>
      <c r="M90" s="35" t="s">
        <v>146</v>
      </c>
      <c r="N90" s="117">
        <v>0.21049999999999999</v>
      </c>
      <c r="O90" s="118">
        <v>-9.1497626240828644</v>
      </c>
      <c r="Q90" s="16"/>
    </row>
    <row r="91" spans="1:243" ht="15" customHeight="1" x14ac:dyDescent="0.2">
      <c r="A91" s="35" t="s">
        <v>35</v>
      </c>
      <c r="B91" s="116">
        <v>6.7960000000000007E-2</v>
      </c>
      <c r="C91" s="116"/>
      <c r="D91" s="116">
        <v>4.5538461538461608</v>
      </c>
      <c r="E91" s="35" t="s">
        <v>81</v>
      </c>
      <c r="F91" s="117">
        <v>6</v>
      </c>
      <c r="H91" s="118">
        <v>-9.6313954991012825</v>
      </c>
      <c r="J91" s="35" t="s">
        <v>121</v>
      </c>
      <c r="K91" s="52">
        <v>40</v>
      </c>
      <c r="L91" s="119">
        <v>0.13869208854262849</v>
      </c>
      <c r="M91" s="35" t="s">
        <v>138</v>
      </c>
      <c r="N91" s="117">
        <v>0.89980000000000004</v>
      </c>
      <c r="O91" s="118">
        <v>-1.9718923630025063</v>
      </c>
      <c r="Q91" s="16"/>
    </row>
    <row r="92" spans="1:243" ht="15" customHeight="1" x14ac:dyDescent="0.2">
      <c r="A92" s="35" t="s">
        <v>58</v>
      </c>
      <c r="B92" s="116">
        <v>13.458299999999999</v>
      </c>
      <c r="C92" s="116"/>
      <c r="D92" s="116">
        <v>3.5253846153846116</v>
      </c>
      <c r="E92" s="35" t="s">
        <v>68</v>
      </c>
      <c r="F92" s="117">
        <v>9.0119000000000005E-2</v>
      </c>
      <c r="H92" s="118">
        <v>-8.9707070707070713</v>
      </c>
      <c r="J92" s="35" t="s">
        <v>123</v>
      </c>
      <c r="K92" s="52">
        <v>0.2291</v>
      </c>
      <c r="L92" s="119">
        <v>0.13111888111887882</v>
      </c>
      <c r="M92" s="35" t="s">
        <v>131</v>
      </c>
      <c r="N92" s="117">
        <v>0.14949999999999999</v>
      </c>
      <c r="O92" s="118">
        <v>-0.33333333333333365</v>
      </c>
      <c r="Q92" s="16"/>
    </row>
    <row r="93" spans="1:243" ht="15" customHeight="1" x14ac:dyDescent="0.2">
      <c r="A93" s="35" t="s">
        <v>95</v>
      </c>
      <c r="B93" s="116">
        <v>6.4798999999999995E-2</v>
      </c>
      <c r="C93" s="116"/>
      <c r="D93" s="116">
        <v>1.845186640471504</v>
      </c>
      <c r="E93" s="35" t="s">
        <v>40</v>
      </c>
      <c r="F93" s="117">
        <v>145</v>
      </c>
      <c r="G93" s="117"/>
      <c r="H93" s="118">
        <v>-7.3985375355238414</v>
      </c>
      <c r="J93" s="35" t="s">
        <v>119</v>
      </c>
      <c r="K93" s="52">
        <v>0.15989999999999999</v>
      </c>
      <c r="L93" s="119">
        <v>6.2578222778466197E-2</v>
      </c>
      <c r="M93" s="35" t="s">
        <v>127</v>
      </c>
      <c r="N93" s="117">
        <v>0.15509999999999999</v>
      </c>
      <c r="O93" s="118">
        <v>-0.1287830006439187</v>
      </c>
      <c r="Q93" s="16"/>
    </row>
    <row r="94" spans="1:243" ht="15.75" customHeight="1" thickBot="1" x14ac:dyDescent="0.25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  <c r="Q94" s="16"/>
    </row>
    <row r="95" spans="1:243" x14ac:dyDescent="0.2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75" thickBot="1" x14ac:dyDescent="0.25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1"/>
      <c r="J102" s="131"/>
      <c r="K102" s="131"/>
      <c r="O102" s="131"/>
      <c r="P102" s="131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1"/>
      <c r="J105" s="131"/>
      <c r="K105" s="131"/>
      <c r="O105" s="131"/>
      <c r="P105" s="131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1"/>
      <c r="J107" s="131"/>
      <c r="K107" s="131"/>
      <c r="O107" s="131"/>
      <c r="P107" s="131"/>
    </row>
  </sheetData>
  <sheetProtection algorithmName="SHA-512" hashValue="FVvTWNAwusNUcvQ+wJmNt9lOG8Duwhk6iddSKmxGltHGn2QL9OFGczQubRO7Pl+jRvO/91e/6+CeWZNXGMrZ5g==" saltValue="DAWyxpHmNyJx/4YJhRGNlA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2026-09-29T13:12:17Z</dcterms:created>
  <dcterms:modified xsi:type="dcterms:W3CDTF">2026-09-29T13:17:14Z</dcterms:modified>
</cp:coreProperties>
</file>