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06.05.26/"/>
    </mc:Choice>
  </mc:AlternateContent>
  <xr:revisionPtr revIDLastSave="11" documentId="8_{8E441910-71BA-4DB8-8493-496A62ED30CE}" xr6:coauthVersionLast="47" xr6:coauthVersionMax="47" xr10:uidLastSave="{BD574A39-E975-4370-B19F-6B684C2A4BBF}"/>
  <bookViews>
    <workbookView xWindow="-108" yWindow="-108" windowWidth="23256" windowHeight="12456" xr2:uid="{C33EA786-5DEC-4C5D-A060-BCFFD2BCC5EE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Q73" i="1" s="1"/>
  <c r="D73" i="1"/>
  <c r="Q72" i="1"/>
  <c r="P72" i="1"/>
  <c r="M72" i="1"/>
  <c r="L72" i="1"/>
  <c r="J72" i="1"/>
  <c r="K72" i="1" s="1"/>
  <c r="E72" i="1" s="1"/>
  <c r="D72" i="1"/>
  <c r="M69" i="1"/>
  <c r="L69" i="1"/>
  <c r="D69" i="1"/>
  <c r="O67" i="1"/>
  <c r="N67" i="1"/>
  <c r="Q66" i="1"/>
  <c r="M66" i="1"/>
  <c r="L66" i="1"/>
  <c r="J66" i="1"/>
  <c r="P66" i="1" s="1"/>
  <c r="D66" i="1"/>
  <c r="M65" i="1"/>
  <c r="L65" i="1"/>
  <c r="J65" i="1"/>
  <c r="Q65" i="1" s="1"/>
  <c r="D65" i="1"/>
  <c r="Q64" i="1"/>
  <c r="M64" i="1"/>
  <c r="L64" i="1"/>
  <c r="J64" i="1"/>
  <c r="P64" i="1" s="1"/>
  <c r="D64" i="1"/>
  <c r="M63" i="1"/>
  <c r="L63" i="1"/>
  <c r="J63" i="1"/>
  <c r="Q63" i="1" s="1"/>
  <c r="D63" i="1"/>
  <c r="Q62" i="1"/>
  <c r="M62" i="1"/>
  <c r="L62" i="1"/>
  <c r="J62" i="1"/>
  <c r="P62" i="1" s="1"/>
  <c r="D62" i="1"/>
  <c r="M61" i="1"/>
  <c r="L61" i="1"/>
  <c r="J61" i="1"/>
  <c r="Q61" i="1" s="1"/>
  <c r="D61" i="1"/>
  <c r="Q60" i="1"/>
  <c r="M60" i="1"/>
  <c r="L60" i="1"/>
  <c r="J60" i="1"/>
  <c r="P60" i="1" s="1"/>
  <c r="D60" i="1"/>
  <c r="M59" i="1"/>
  <c r="L59" i="1"/>
  <c r="J59" i="1"/>
  <c r="Q59" i="1" s="1"/>
  <c r="D59" i="1"/>
  <c r="Q58" i="1"/>
  <c r="M58" i="1"/>
  <c r="L58" i="1"/>
  <c r="J58" i="1"/>
  <c r="P58" i="1" s="1"/>
  <c r="D58" i="1"/>
  <c r="M57" i="1"/>
  <c r="L57" i="1"/>
  <c r="J57" i="1"/>
  <c r="Q57" i="1" s="1"/>
  <c r="D57" i="1"/>
  <c r="Q56" i="1"/>
  <c r="M56" i="1"/>
  <c r="L56" i="1"/>
  <c r="J56" i="1"/>
  <c r="P56" i="1" s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Q52" i="1"/>
  <c r="M52" i="1"/>
  <c r="L52" i="1"/>
  <c r="J52" i="1"/>
  <c r="E52" i="1"/>
  <c r="D52" i="1"/>
  <c r="O49" i="1"/>
  <c r="N49" i="1"/>
  <c r="Q48" i="1"/>
  <c r="M48" i="1"/>
  <c r="L48" i="1"/>
  <c r="K48" i="1"/>
  <c r="J48" i="1"/>
  <c r="D48" i="1" s="1"/>
  <c r="E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J46" i="1"/>
  <c r="E46" i="1"/>
  <c r="D46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E39" i="1"/>
  <c r="D39" i="1"/>
  <c r="Q38" i="1"/>
  <c r="M38" i="1"/>
  <c r="L38" i="1"/>
  <c r="K38" i="1"/>
  <c r="J38" i="1"/>
  <c r="P38" i="1" s="1"/>
  <c r="E38" i="1"/>
  <c r="D38" i="1"/>
  <c r="Q37" i="1"/>
  <c r="P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P33" i="1" s="1"/>
  <c r="E33" i="1"/>
  <c r="D33" i="1"/>
  <c r="K32" i="1"/>
  <c r="J32" i="1"/>
  <c r="E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E19" i="1"/>
  <c r="D19" i="1"/>
  <c r="Q18" i="1"/>
  <c r="P18" i="1"/>
  <c r="M18" i="1"/>
  <c r="L18" i="1"/>
  <c r="K18" i="1"/>
  <c r="J18" i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E15" i="1"/>
  <c r="D15" i="1"/>
  <c r="Q14" i="1"/>
  <c r="M14" i="1"/>
  <c r="L14" i="1"/>
  <c r="K14" i="1"/>
  <c r="E14" i="1" s="1"/>
  <c r="J14" i="1"/>
  <c r="P14" i="1" s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E12" i="1"/>
  <c r="D12" i="1"/>
  <c r="Q11" i="1"/>
  <c r="M11" i="1"/>
  <c r="L11" i="1"/>
  <c r="K11" i="1"/>
  <c r="E11" i="1" s="1"/>
  <c r="J11" i="1"/>
  <c r="P11" i="1" s="1"/>
  <c r="Q10" i="1"/>
  <c r="M10" i="1"/>
  <c r="L10" i="1"/>
  <c r="K10" i="1"/>
  <c r="J10" i="1"/>
  <c r="P10" i="1" s="1"/>
  <c r="E10" i="1"/>
  <c r="D10" i="1"/>
  <c r="P42" i="1" l="1"/>
  <c r="P45" i="1"/>
  <c r="P57" i="1"/>
  <c r="P59" i="1"/>
  <c r="P61" i="1"/>
  <c r="P63" i="1"/>
  <c r="P65" i="1"/>
  <c r="K73" i="1"/>
  <c r="E73" i="1" s="1"/>
  <c r="D11" i="1"/>
  <c r="D14" i="1"/>
  <c r="D17" i="1"/>
  <c r="P53" i="1"/>
  <c r="P73" i="1"/>
</calcChain>
</file>

<file path=xl/sharedStrings.xml><?xml version="1.0" encoding="utf-8"?>
<sst xmlns="http://schemas.openxmlformats.org/spreadsheetml/2006/main" count="263" uniqueCount="181">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</sst>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0" fontId="15" fillId="5" borderId="0" xfId="6" applyNumberFormat="1" applyFont="1" applyFill="1" applyAlignment="1"/>
    <xf numFmtId="9" fontId="20" fillId="5" borderId="0" xfId="1" applyFont="1" applyFill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6" fillId="5" borderId="0" xfId="3" applyFont="1" applyFill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6D7FAEB4-BA5E-4555-A493-EBE0C744BF3A}"/>
    <cellStyle name="Comma 5 2 2 2 2 2 2 2 2" xfId="4" xr:uid="{D191B2FD-B479-4EFC-B153-6FDED4E36B00}"/>
    <cellStyle name="Comma 6 2 2 2" xfId="5" xr:uid="{A6EAE3A2-C25F-4124-BE97-011DE0C58981}"/>
    <cellStyle name="Hyperlink 2" xfId="8" xr:uid="{DA61CB28-AB8D-4330-8966-16BF1607F5B8}"/>
    <cellStyle name="Normal" xfId="0" builtinId="0"/>
    <cellStyle name="Normal 2" xfId="2" xr:uid="{82ABAB2C-3689-46C2-89C5-9CFCF09CE267}"/>
    <cellStyle name="Normal 20" xfId="7" xr:uid="{5B9B76EA-CE46-48A4-8CAA-7111250CF5CC}"/>
    <cellStyle name="Percent" xfId="1" builtinId="5"/>
    <cellStyle name="Percent 3" xfId="6" xr:uid="{0B0D4497-5AC9-4757-8043-FCCCD796BF11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C258224-5B10-4BDB-83AC-B5DFB7916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D5FA025-DA07-4F84-BFD9-41FB1F6FB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6082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17B3-2744-4D30-975C-EBC3B94AED73}">
  <dimension ref="A1:II105"/>
  <sheetViews>
    <sheetView tabSelected="1" zoomScale="70" zoomScaleNormal="70" workbookViewId="0">
      <selection activeCell="I17" sqref="I17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25.508099999999999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8" ht="6.6" customHeight="1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77270331.079147413</v>
      </c>
      <c r="E10" s="39">
        <f t="shared" ref="E10:E30" si="1">C10*K10</f>
        <v>65700644.406666674</v>
      </c>
      <c r="F10" s="40" t="s">
        <v>34</v>
      </c>
      <c r="G10" s="41">
        <v>8.9894999999999996</v>
      </c>
      <c r="H10" s="42">
        <v>15.8</v>
      </c>
      <c r="I10" s="42">
        <v>15.8</v>
      </c>
      <c r="J10" s="43">
        <f>(I10/$J$5)</f>
        <v>0.61941108902662301</v>
      </c>
      <c r="K10" s="44">
        <f t="shared" ref="K10:K18" si="2">I10/$K$4</f>
        <v>0.52666666666666673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0</v>
      </c>
      <c r="O10" s="37">
        <v>0</v>
      </c>
      <c r="P10" s="47">
        <f t="shared" ref="P10:P18" si="5">(R10)/J10</f>
        <v>0</v>
      </c>
      <c r="Q10" s="48">
        <f t="shared" ref="Q10:Q18" si="6">I10/G10-1</f>
        <v>0.75760609600089013</v>
      </c>
      <c r="R10" s="49"/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3807215.4386890833</v>
      </c>
      <c r="E11" s="39">
        <f t="shared" si="1"/>
        <v>3237161.0710541671</v>
      </c>
      <c r="F11" s="40" t="s">
        <v>34</v>
      </c>
      <c r="G11" s="41">
        <v>3.1600000000000003E-2</v>
      </c>
      <c r="H11" s="42">
        <v>5.9284999999999997E-2</v>
      </c>
      <c r="I11" s="42">
        <v>5.9675000000000006E-2</v>
      </c>
      <c r="J11" s="43">
        <f t="shared" ref="J11:J18" si="7">I11/$J$5</f>
        <v>2.3394529580799826E-3</v>
      </c>
      <c r="K11" s="44">
        <f t="shared" si="2"/>
        <v>1.9891666666666669E-3</v>
      </c>
      <c r="L11" s="45">
        <f t="shared" si="3"/>
        <v>3.900000000000084E-4</v>
      </c>
      <c r="M11" s="45">
        <f t="shared" si="4"/>
        <v>0.65783925107532837</v>
      </c>
      <c r="N11" s="46">
        <v>14200</v>
      </c>
      <c r="O11" s="37">
        <v>847.38</v>
      </c>
      <c r="P11" s="47">
        <f t="shared" si="5"/>
        <v>0</v>
      </c>
      <c r="Q11" s="48">
        <f t="shared" si="6"/>
        <v>0.88844936708860756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3951213.6889314381</v>
      </c>
      <c r="E12" s="39">
        <f t="shared" si="1"/>
        <v>3359598.4632877335</v>
      </c>
      <c r="F12" s="40" t="s">
        <v>39</v>
      </c>
      <c r="G12" s="41">
        <v>7.8E-2</v>
      </c>
      <c r="H12" s="42">
        <v>0.23064800000000002</v>
      </c>
      <c r="I12" s="42">
        <v>0.23064800000000002</v>
      </c>
      <c r="J12" s="43">
        <f t="shared" si="7"/>
        <v>9.0421473963172502E-3</v>
      </c>
      <c r="K12" s="44">
        <f t="shared" si="2"/>
        <v>7.6882666666666672E-3</v>
      </c>
      <c r="L12" s="45">
        <f t="shared" si="3"/>
        <v>0</v>
      </c>
      <c r="M12" s="45">
        <f t="shared" si="4"/>
        <v>0</v>
      </c>
      <c r="N12" s="46">
        <v>0</v>
      </c>
      <c r="O12" s="37">
        <v>0</v>
      </c>
      <c r="P12" s="47">
        <f t="shared" si="5"/>
        <v>0</v>
      </c>
      <c r="Q12" s="48">
        <f t="shared" si="6"/>
        <v>1.9570256410256412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161576435.73686007</v>
      </c>
      <c r="E13" s="39">
        <f t="shared" si="1"/>
        <v>137383596.01398</v>
      </c>
      <c r="F13" s="40" t="s">
        <v>34</v>
      </c>
      <c r="G13" s="41">
        <v>97.381</v>
      </c>
      <c r="H13" s="42">
        <v>199.7482</v>
      </c>
      <c r="I13" s="42">
        <v>199.7482</v>
      </c>
      <c r="J13" s="43">
        <f t="shared" si="7"/>
        <v>7.8307753223485879</v>
      </c>
      <c r="K13" s="44">
        <f t="shared" si="2"/>
        <v>6.6582733333333328</v>
      </c>
      <c r="L13" s="45">
        <f t="shared" si="3"/>
        <v>0</v>
      </c>
      <c r="M13" s="45">
        <f t="shared" si="4"/>
        <v>0</v>
      </c>
      <c r="N13" s="46">
        <v>0</v>
      </c>
      <c r="O13" s="37">
        <v>0</v>
      </c>
      <c r="P13" s="47">
        <f t="shared" si="5"/>
        <v>0</v>
      </c>
      <c r="Q13" s="48">
        <f t="shared" si="6"/>
        <v>1.0512030067466958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4451949.4417067515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0.50966163689181077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313007586.04076743</v>
      </c>
      <c r="E15" s="39">
        <f t="shared" si="1"/>
        <v>266140960.18288335</v>
      </c>
      <c r="F15" s="40" t="s">
        <v>47</v>
      </c>
      <c r="G15" s="41">
        <v>11.5</v>
      </c>
      <c r="H15" s="42">
        <v>15.302100000000001</v>
      </c>
      <c r="I15" s="42">
        <v>15.2761</v>
      </c>
      <c r="J15" s="43">
        <f t="shared" si="7"/>
        <v>0.59887251500503758</v>
      </c>
      <c r="K15" s="44">
        <f t="shared" si="2"/>
        <v>0.50920333333333334</v>
      </c>
      <c r="L15" s="45">
        <f t="shared" si="3"/>
        <v>-2.6000000000001577E-2</v>
      </c>
      <c r="M15" s="45">
        <f t="shared" si="4"/>
        <v>-0.16991131936140513</v>
      </c>
      <c r="N15" s="46">
        <v>11900</v>
      </c>
      <c r="O15" s="37">
        <v>181785</v>
      </c>
      <c r="P15" s="47">
        <f t="shared" si="5"/>
        <v>0</v>
      </c>
      <c r="Q15" s="48">
        <f t="shared" si="6"/>
        <v>0.32835652173913044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24942871.088007338</v>
      </c>
      <c r="E16" s="39">
        <f t="shared" si="1"/>
        <v>21208175</v>
      </c>
      <c r="F16" s="40" t="s">
        <v>34</v>
      </c>
      <c r="G16" s="41">
        <v>5.39</v>
      </c>
      <c r="H16" s="42">
        <v>6.19</v>
      </c>
      <c r="I16" s="42">
        <v>6</v>
      </c>
      <c r="J16" s="43">
        <f t="shared" si="7"/>
        <v>0.23521940089618593</v>
      </c>
      <c r="K16" s="44">
        <f t="shared" si="2"/>
        <v>0.2</v>
      </c>
      <c r="L16" s="45">
        <f t="shared" si="3"/>
        <v>-0.19000000000000039</v>
      </c>
      <c r="M16" s="45">
        <f t="shared" si="4"/>
        <v>-3.0694668820678577</v>
      </c>
      <c r="N16" s="46">
        <v>200</v>
      </c>
      <c r="O16" s="37">
        <v>1200</v>
      </c>
      <c r="P16" s="47">
        <f t="shared" si="5"/>
        <v>0</v>
      </c>
      <c r="Q16" s="48">
        <f t="shared" si="6"/>
        <v>0.1131725417439704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39022122.995061569</v>
      </c>
      <c r="E17" s="39">
        <f t="shared" si="1"/>
        <v>33179340.519010998</v>
      </c>
      <c r="F17" s="40" t="s">
        <v>34</v>
      </c>
      <c r="G17" s="41">
        <v>1.9</v>
      </c>
      <c r="H17" s="42">
        <v>2.7803849999999999</v>
      </c>
      <c r="I17" s="42">
        <v>2.7803849999999999</v>
      </c>
      <c r="J17" s="43">
        <f t="shared" si="7"/>
        <v>0.10900008232679032</v>
      </c>
      <c r="K17" s="44">
        <f t="shared" si="2"/>
        <v>9.2679499999999998E-2</v>
      </c>
      <c r="L17" s="45">
        <f t="shared" si="3"/>
        <v>0</v>
      </c>
      <c r="M17" s="45">
        <f t="shared" si="4"/>
        <v>0</v>
      </c>
      <c r="N17" s="46">
        <v>0</v>
      </c>
      <c r="O17" s="37">
        <v>0</v>
      </c>
      <c r="P17" s="47">
        <f t="shared" si="5"/>
        <v>0</v>
      </c>
      <c r="Q17" s="48">
        <f t="shared" si="6"/>
        <v>0.46336052631578939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1471950970.4506805</v>
      </c>
      <c r="E18" s="39">
        <f t="shared" si="1"/>
        <v>1251555751.6451001</v>
      </c>
      <c r="F18" s="40" t="s">
        <v>34</v>
      </c>
      <c r="G18" s="41">
        <v>20.701700000000002</v>
      </c>
      <c r="H18" s="42">
        <v>26.859200000000001</v>
      </c>
      <c r="I18" s="42">
        <v>27.9862</v>
      </c>
      <c r="J18" s="43">
        <f t="shared" si="7"/>
        <v>1.0971495328934731</v>
      </c>
      <c r="K18" s="44">
        <f t="shared" si="2"/>
        <v>0.93287333333333333</v>
      </c>
      <c r="L18" s="45">
        <f t="shared" si="3"/>
        <v>1.1269999999999989</v>
      </c>
      <c r="M18" s="45">
        <f t="shared" si="4"/>
        <v>4.1959552034312226</v>
      </c>
      <c r="N18" s="46">
        <v>343000</v>
      </c>
      <c r="O18" s="37">
        <v>9599261</v>
      </c>
      <c r="P18" s="47">
        <f t="shared" si="5"/>
        <v>0</v>
      </c>
      <c r="Q18" s="48">
        <f t="shared" si="6"/>
        <v>0.35187931425921537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262191288.93064851</v>
      </c>
      <c r="E20" s="39">
        <f t="shared" si="1"/>
        <v>222933387.23906252</v>
      </c>
      <c r="F20" s="40" t="s">
        <v>47</v>
      </c>
      <c r="G20" s="41">
        <v>12.45</v>
      </c>
      <c r="H20" s="42">
        <v>9.9</v>
      </c>
      <c r="I20" s="42">
        <v>9.953125</v>
      </c>
      <c r="J20" s="43">
        <f t="shared" ref="J20:J30" si="8">I20/$J$5</f>
        <v>0.39019468325747508</v>
      </c>
      <c r="K20" s="44">
        <f t="shared" ref="K20:K30" si="9">I20/$K$4</f>
        <v>0.33177083333333335</v>
      </c>
      <c r="L20" s="45">
        <f t="shared" ref="L20:L30" si="10">I20-H20</f>
        <v>5.3124999999999645E-2</v>
      </c>
      <c r="M20" s="45">
        <f t="shared" ref="M20:M30" si="11">((I20-H20)/H20)*100</f>
        <v>0.53661616161615799</v>
      </c>
      <c r="N20" s="46">
        <v>3200</v>
      </c>
      <c r="O20" s="37">
        <v>31850</v>
      </c>
      <c r="P20" s="47">
        <f t="shared" ref="P20:P30" si="12">(R20)/J20</f>
        <v>0</v>
      </c>
      <c r="Q20" s="48">
        <f t="shared" ref="Q20:Q30" si="13">I20/G20-1</f>
        <v>-0.20055220883534131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2470334.5151651045</v>
      </c>
      <c r="E21" s="39">
        <f t="shared" si="1"/>
        <v>2100451.3282094332</v>
      </c>
      <c r="F21" s="40" t="s">
        <v>47</v>
      </c>
      <c r="G21" s="41">
        <v>0.35</v>
      </c>
      <c r="H21" s="42">
        <v>0.57851300000000005</v>
      </c>
      <c r="I21" s="42">
        <v>0.57851300000000005</v>
      </c>
      <c r="J21" s="43">
        <f t="shared" si="8"/>
        <v>2.2679580211775869E-2</v>
      </c>
      <c r="K21" s="44">
        <f t="shared" si="9"/>
        <v>1.9283766666666667E-2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0.65289428571428587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77920817.81081304</v>
      </c>
      <c r="E22" s="39">
        <f t="shared" si="1"/>
        <v>66253733.759999998</v>
      </c>
      <c r="F22" s="40" t="s">
        <v>47</v>
      </c>
      <c r="G22" s="41">
        <v>2.85</v>
      </c>
      <c r="H22" s="42">
        <v>2.89</v>
      </c>
      <c r="I22" s="42">
        <v>2.88</v>
      </c>
      <c r="J22" s="43">
        <f t="shared" si="8"/>
        <v>0.11290531243016924</v>
      </c>
      <c r="K22" s="44">
        <f t="shared" si="9"/>
        <v>9.6000000000000002E-2</v>
      </c>
      <c r="L22" s="45">
        <f t="shared" si="10"/>
        <v>-1.0000000000000231E-2</v>
      </c>
      <c r="M22" s="45">
        <f t="shared" si="11"/>
        <v>-0.34602076124568271</v>
      </c>
      <c r="N22" s="46">
        <v>17400</v>
      </c>
      <c r="O22" s="37">
        <v>50112</v>
      </c>
      <c r="P22" s="47">
        <f t="shared" si="12"/>
        <v>0</v>
      </c>
      <c r="Q22" s="48">
        <f t="shared" si="13"/>
        <v>1.0526315789473717E-2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54757716.454381153</v>
      </c>
      <c r="E23" s="39">
        <f t="shared" si="1"/>
        <v>46558843.569666661</v>
      </c>
      <c r="F23" s="40" t="s">
        <v>66</v>
      </c>
      <c r="G23" s="41">
        <v>0.88420599999999994</v>
      </c>
      <c r="H23" s="42">
        <v>1.1299999999999999</v>
      </c>
      <c r="I23" s="42">
        <v>1.1299999999999999</v>
      </c>
      <c r="J23" s="43">
        <f t="shared" si="8"/>
        <v>4.4299653835448344E-2</v>
      </c>
      <c r="K23" s="44">
        <f t="shared" si="9"/>
        <v>3.7666666666666661E-2</v>
      </c>
      <c r="L23" s="45">
        <f t="shared" si="10"/>
        <v>0</v>
      </c>
      <c r="M23" s="45">
        <f t="shared" si="11"/>
        <v>0</v>
      </c>
      <c r="N23" s="46">
        <v>0</v>
      </c>
      <c r="O23" s="37">
        <v>0</v>
      </c>
      <c r="P23" s="47">
        <f t="shared" si="12"/>
        <v>0</v>
      </c>
      <c r="Q23" s="48">
        <f t="shared" si="13"/>
        <v>0.27798273253065453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2524321.0885953875</v>
      </c>
      <c r="E24" s="39">
        <f t="shared" si="1"/>
        <v>2146354.4920000001</v>
      </c>
      <c r="F24" s="40" t="s">
        <v>44</v>
      </c>
      <c r="G24" s="41">
        <v>0.1</v>
      </c>
      <c r="H24" s="42">
        <v>0.11800000000000001</v>
      </c>
      <c r="I24" s="42">
        <v>0.12</v>
      </c>
      <c r="J24" s="43">
        <f t="shared" si="8"/>
        <v>4.7043880179237184E-3</v>
      </c>
      <c r="K24" s="44">
        <f t="shared" si="9"/>
        <v>4.0000000000000001E-3</v>
      </c>
      <c r="L24" s="45">
        <f t="shared" si="10"/>
        <v>1.9999999999999879E-3</v>
      </c>
      <c r="M24" s="45">
        <f t="shared" si="11"/>
        <v>1.6949152542372776</v>
      </c>
      <c r="N24" s="46">
        <v>47700</v>
      </c>
      <c r="O24" s="37">
        <v>5724</v>
      </c>
      <c r="P24" s="47">
        <f t="shared" si="12"/>
        <v>0</v>
      </c>
      <c r="Q24" s="48">
        <f t="shared" si="13"/>
        <v>0.19999999999999996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71811116.953438327</v>
      </c>
      <c r="E25" s="39">
        <f t="shared" si="1"/>
        <v>61058838.412000008</v>
      </c>
      <c r="F25" s="40" t="s">
        <v>34</v>
      </c>
      <c r="G25" s="41">
        <v>8.1687659999999997</v>
      </c>
      <c r="H25" s="42">
        <v>9.49</v>
      </c>
      <c r="I25" s="42">
        <v>9.49</v>
      </c>
      <c r="J25" s="43">
        <f t="shared" si="8"/>
        <v>0.37203868575080073</v>
      </c>
      <c r="K25" s="44">
        <f t="shared" si="9"/>
        <v>0.31633333333333336</v>
      </c>
      <c r="L25" s="45">
        <f t="shared" si="10"/>
        <v>0</v>
      </c>
      <c r="M25" s="45">
        <f t="shared" si="11"/>
        <v>0</v>
      </c>
      <c r="N25" s="46">
        <v>0</v>
      </c>
      <c r="O25" s="37">
        <v>0</v>
      </c>
      <c r="P25" s="47">
        <f t="shared" si="12"/>
        <v>0</v>
      </c>
      <c r="Q25" s="48">
        <f t="shared" si="13"/>
        <v>0.16174217745985131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86006374.904442132</v>
      </c>
      <c r="E26" s="39">
        <f t="shared" si="1"/>
        <v>73128640.390000001</v>
      </c>
      <c r="F26" s="40" t="s">
        <v>66</v>
      </c>
      <c r="G26" s="41">
        <v>1.6675</v>
      </c>
      <c r="H26" s="42">
        <v>1.3</v>
      </c>
      <c r="I26" s="42">
        <v>1.3</v>
      </c>
      <c r="J26" s="43">
        <f t="shared" si="8"/>
        <v>5.0964203527506954E-2</v>
      </c>
      <c r="K26" s="44">
        <f t="shared" si="9"/>
        <v>4.3333333333333335E-2</v>
      </c>
      <c r="L26" s="45">
        <f t="shared" si="10"/>
        <v>0</v>
      </c>
      <c r="M26" s="45">
        <f t="shared" si="11"/>
        <v>0</v>
      </c>
      <c r="N26" s="46">
        <v>400</v>
      </c>
      <c r="O26" s="37">
        <v>520</v>
      </c>
      <c r="P26" s="47">
        <f t="shared" si="12"/>
        <v>0</v>
      </c>
      <c r="Q26" s="48">
        <f t="shared" si="13"/>
        <v>-0.22038980509745121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34723395.968510471</v>
      </c>
      <c r="E27" s="39">
        <f t="shared" si="1"/>
        <v>29524261.890145399</v>
      </c>
      <c r="F27" s="40" t="s">
        <v>44</v>
      </c>
      <c r="G27" s="41">
        <v>1.7994999999999999</v>
      </c>
      <c r="H27" s="42">
        <v>3.5</v>
      </c>
      <c r="I27" s="42">
        <v>3.6999659999999999</v>
      </c>
      <c r="J27" s="43">
        <f t="shared" si="8"/>
        <v>0.1450506309760429</v>
      </c>
      <c r="K27" s="44">
        <f t="shared" si="9"/>
        <v>0.12333219999999999</v>
      </c>
      <c r="L27" s="45">
        <f t="shared" si="10"/>
        <v>0.19996599999999987</v>
      </c>
      <c r="M27" s="45">
        <f t="shared" si="11"/>
        <v>5.713314285714282</v>
      </c>
      <c r="N27" s="46">
        <v>1162300</v>
      </c>
      <c r="O27" s="37">
        <v>4300470</v>
      </c>
      <c r="P27" s="47">
        <f t="shared" si="12"/>
        <v>0</v>
      </c>
      <c r="Q27" s="48">
        <f t="shared" si="13"/>
        <v>1.0561078077243677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31632102.514495399</v>
      </c>
      <c r="E28" s="39">
        <f t="shared" si="1"/>
        <v>26895827.805</v>
      </c>
      <c r="F28" s="40" t="s">
        <v>34</v>
      </c>
      <c r="G28" s="41">
        <v>3.1361369999999997</v>
      </c>
      <c r="H28" s="42">
        <v>3.15</v>
      </c>
      <c r="I28" s="42">
        <v>3.15</v>
      </c>
      <c r="J28" s="43">
        <f t="shared" si="8"/>
        <v>0.12349018547049762</v>
      </c>
      <c r="K28" s="44">
        <f t="shared" si="9"/>
        <v>0.105</v>
      </c>
      <c r="L28" s="45">
        <f t="shared" si="10"/>
        <v>0</v>
      </c>
      <c r="M28" s="45">
        <f t="shared" si="11"/>
        <v>0</v>
      </c>
      <c r="N28" s="46">
        <v>0</v>
      </c>
      <c r="O28" s="37">
        <v>0</v>
      </c>
      <c r="P28" s="47">
        <f t="shared" si="12"/>
        <v>0</v>
      </c>
      <c r="Q28" s="48">
        <f t="shared" si="13"/>
        <v>4.420406378930597E-3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25550569.705799337</v>
      </c>
      <c r="E29" s="39">
        <f t="shared" si="1"/>
        <v>21724882.903750002</v>
      </c>
      <c r="F29" s="40" t="s">
        <v>44</v>
      </c>
      <c r="G29" s="41">
        <v>0.8</v>
      </c>
      <c r="H29" s="42">
        <v>0.86250000000000004</v>
      </c>
      <c r="I29" s="42">
        <v>0.86250000000000004</v>
      </c>
      <c r="J29" s="43">
        <f t="shared" si="8"/>
        <v>3.381278887882673E-2</v>
      </c>
      <c r="K29" s="44">
        <f t="shared" si="9"/>
        <v>2.8750000000000001E-2</v>
      </c>
      <c r="L29" s="45">
        <f t="shared" si="10"/>
        <v>0</v>
      </c>
      <c r="M29" s="45">
        <f t="shared" si="11"/>
        <v>0</v>
      </c>
      <c r="N29" s="46">
        <v>0</v>
      </c>
      <c r="O29" s="37">
        <v>0</v>
      </c>
      <c r="P29" s="47">
        <f t="shared" si="12"/>
        <v>0</v>
      </c>
      <c r="Q29" s="48">
        <f t="shared" si="13"/>
        <v>7.8125E-2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82657238.772804052</v>
      </c>
      <c r="E30" s="39">
        <f t="shared" si="1"/>
        <v>70280970.411352098</v>
      </c>
      <c r="F30" s="40" t="s">
        <v>47</v>
      </c>
      <c r="G30" s="41">
        <v>5.15</v>
      </c>
      <c r="H30" s="42">
        <v>5.2004999999999999</v>
      </c>
      <c r="I30" s="42">
        <v>5.2166670000000002</v>
      </c>
      <c r="J30" s="43">
        <f t="shared" si="8"/>
        <v>0.20451021440248393</v>
      </c>
      <c r="K30" s="44">
        <f t="shared" si="9"/>
        <v>0.17388890000000001</v>
      </c>
      <c r="L30" s="45">
        <f t="shared" si="10"/>
        <v>1.6167000000000264E-2</v>
      </c>
      <c r="M30" s="45">
        <f t="shared" si="11"/>
        <v>0.31087395442746396</v>
      </c>
      <c r="N30" s="46">
        <v>600</v>
      </c>
      <c r="O30" s="37">
        <v>3130</v>
      </c>
      <c r="P30" s="47">
        <f t="shared" si="12"/>
        <v>0</v>
      </c>
      <c r="Q30" s="48">
        <f t="shared" si="13"/>
        <v>1.2945048543689275E-2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15281397.085631624</v>
      </c>
      <c r="E33" s="39">
        <f t="shared" si="15"/>
        <v>12993313.5</v>
      </c>
      <c r="F33" s="40" t="s">
        <v>39</v>
      </c>
      <c r="G33" s="41">
        <v>1.4</v>
      </c>
      <c r="H33" s="42">
        <v>1.5</v>
      </c>
      <c r="I33" s="42">
        <v>1.5</v>
      </c>
      <c r="J33" s="43">
        <f t="shared" si="16"/>
        <v>5.8804850224046482E-2</v>
      </c>
      <c r="K33" s="44">
        <f t="shared" si="17"/>
        <v>0.05</v>
      </c>
      <c r="L33" s="45">
        <f t="shared" ref="L33:L48" si="18">I33-H33</f>
        <v>0</v>
      </c>
      <c r="M33" s="45">
        <f t="shared" ref="M33:M48" si="19">((I33-H33)/H33)*100</f>
        <v>0</v>
      </c>
      <c r="N33" s="46">
        <v>0</v>
      </c>
      <c r="O33" s="37">
        <v>0</v>
      </c>
      <c r="P33" s="47">
        <f t="shared" ref="P33:P38" si="20">(R33)/J33</f>
        <v>0</v>
      </c>
      <c r="Q33" s="48">
        <f t="shared" ref="Q33:Q48" si="21">I33/G33-1</f>
        <v>7.1428571428571397E-2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3587962.3531348868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2.9402425112023241E-2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170226800.30343306</v>
      </c>
      <c r="E35" s="39">
        <f t="shared" si="15"/>
        <v>144738741.49400002</v>
      </c>
      <c r="F35" s="40" t="s">
        <v>92</v>
      </c>
      <c r="G35" s="41">
        <v>1.44</v>
      </c>
      <c r="H35" s="42">
        <v>1.74</v>
      </c>
      <c r="I35" s="42">
        <v>1.74</v>
      </c>
      <c r="J35" s="43">
        <f t="shared" si="16"/>
        <v>6.8213626259893925E-2</v>
      </c>
      <c r="K35" s="44">
        <f t="shared" si="17"/>
        <v>5.8000000000000003E-2</v>
      </c>
      <c r="L35" s="45">
        <f t="shared" si="18"/>
        <v>0</v>
      </c>
      <c r="M35" s="45">
        <f t="shared" si="19"/>
        <v>0</v>
      </c>
      <c r="N35" s="46">
        <v>0</v>
      </c>
      <c r="O35" s="37">
        <v>0</v>
      </c>
      <c r="P35" s="47">
        <f t="shared" si="20"/>
        <v>0</v>
      </c>
      <c r="Q35" s="48">
        <f t="shared" si="21"/>
        <v>0.20833333333333348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37768398.347642511</v>
      </c>
      <c r="E36" s="39">
        <f t="shared" si="15"/>
        <v>32113336.063050002</v>
      </c>
      <c r="F36" s="40" t="s">
        <v>34</v>
      </c>
      <c r="G36" s="41">
        <v>3.6056249999999999</v>
      </c>
      <c r="H36" s="42">
        <v>3.8005</v>
      </c>
      <c r="I36" s="42">
        <v>3.8005</v>
      </c>
      <c r="J36" s="43">
        <f t="shared" si="16"/>
        <v>0.14899188885099243</v>
      </c>
      <c r="K36" s="44">
        <f t="shared" si="17"/>
        <v>0.12668333333333334</v>
      </c>
      <c r="L36" s="45">
        <f t="shared" si="18"/>
        <v>0</v>
      </c>
      <c r="M36" s="45">
        <f t="shared" si="19"/>
        <v>0</v>
      </c>
      <c r="N36" s="46">
        <v>0</v>
      </c>
      <c r="O36" s="37">
        <v>0</v>
      </c>
      <c r="P36" s="47">
        <f t="shared" si="20"/>
        <v>0</v>
      </c>
      <c r="Q36" s="48">
        <f t="shared" si="21"/>
        <v>5.4047495233142673E-2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5822666.0458442615</v>
      </c>
      <c r="E37" s="39">
        <f t="shared" si="15"/>
        <v>4950838.2588</v>
      </c>
      <c r="F37" s="40" t="s">
        <v>34</v>
      </c>
      <c r="G37" s="41">
        <v>2.5099999999999997E-2</v>
      </c>
      <c r="H37" s="42">
        <v>3.15E-2</v>
      </c>
      <c r="I37" s="42">
        <v>3.15E-2</v>
      </c>
      <c r="J37" s="43">
        <f t="shared" si="16"/>
        <v>1.2349018547049761E-3</v>
      </c>
      <c r="K37" s="44">
        <f t="shared" si="17"/>
        <v>1.0499999999999999E-3</v>
      </c>
      <c r="L37" s="45">
        <f t="shared" si="18"/>
        <v>0</v>
      </c>
      <c r="M37" s="45">
        <f t="shared" si="19"/>
        <v>0</v>
      </c>
      <c r="N37" s="46">
        <v>0</v>
      </c>
      <c r="O37" s="37">
        <v>0</v>
      </c>
      <c r="P37" s="47">
        <f>(R37)/J37</f>
        <v>0</v>
      </c>
      <c r="Q37" s="48">
        <f t="shared" si="21"/>
        <v>0.25498007968127512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28656813.012337256</v>
      </c>
      <c r="E38" s="39">
        <f t="shared" si="15"/>
        <v>24366028.399999999</v>
      </c>
      <c r="F38" s="40" t="s">
        <v>92</v>
      </c>
      <c r="G38" s="41">
        <v>0.61</v>
      </c>
      <c r="H38" s="42">
        <v>2.7563949999999999</v>
      </c>
      <c r="I38" s="42">
        <v>2.8</v>
      </c>
      <c r="J38" s="43">
        <f t="shared" si="16"/>
        <v>0.10976905375155342</v>
      </c>
      <c r="K38" s="44">
        <f t="shared" si="17"/>
        <v>9.3333333333333324E-2</v>
      </c>
      <c r="L38" s="45">
        <f t="shared" si="18"/>
        <v>4.3604999999999894E-2</v>
      </c>
      <c r="M38" s="45">
        <f t="shared" si="19"/>
        <v>1.581957593160628</v>
      </c>
      <c r="N38" s="46">
        <v>100</v>
      </c>
      <c r="O38" s="37">
        <v>280</v>
      </c>
      <c r="P38" s="47">
        <f t="shared" si="20"/>
        <v>0</v>
      </c>
      <c r="Q38" s="48">
        <f t="shared" si="21"/>
        <v>3.5901639344262293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16609413.90495568</v>
      </c>
      <c r="E39" s="39">
        <f t="shared" si="15"/>
        <v>14122486.360966666</v>
      </c>
      <c r="F39" s="40" t="s">
        <v>56</v>
      </c>
      <c r="G39" s="41">
        <v>0.11650199999999999</v>
      </c>
      <c r="H39" s="42">
        <v>0.10050000000000001</v>
      </c>
      <c r="I39" s="42">
        <v>0.10099999999999999</v>
      </c>
      <c r="J39" s="43">
        <f t="shared" si="16"/>
        <v>3.9595265817524627E-3</v>
      </c>
      <c r="K39" s="44">
        <f t="shared" si="17"/>
        <v>3.3666666666666662E-3</v>
      </c>
      <c r="L39" s="45">
        <f t="shared" si="18"/>
        <v>4.9999999999998657E-4</v>
      </c>
      <c r="M39" s="45">
        <f t="shared" si="19"/>
        <v>0.49751243781093191</v>
      </c>
      <c r="N39" s="46">
        <v>1800</v>
      </c>
      <c r="O39" s="37">
        <v>181.8</v>
      </c>
      <c r="P39" s="47">
        <v>0</v>
      </c>
      <c r="Q39" s="48">
        <f t="shared" si="21"/>
        <v>-0.13306209335462049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85375861.785098076</v>
      </c>
      <c r="E40" s="39">
        <f t="shared" si="15"/>
        <v>72592534.000015348</v>
      </c>
      <c r="F40" s="40" t="s">
        <v>34</v>
      </c>
      <c r="G40" s="41">
        <v>2.6005000000000003</v>
      </c>
      <c r="H40" s="42">
        <v>6.0005800000000002</v>
      </c>
      <c r="I40" s="42">
        <v>6.0005800000000002</v>
      </c>
      <c r="J40" s="43">
        <f t="shared" si="16"/>
        <v>0.23524213877160591</v>
      </c>
      <c r="K40" s="44">
        <f t="shared" si="17"/>
        <v>0.20001933333333335</v>
      </c>
      <c r="L40" s="45">
        <f t="shared" si="18"/>
        <v>0</v>
      </c>
      <c r="M40" s="45">
        <f t="shared" si="19"/>
        <v>0</v>
      </c>
      <c r="N40" s="46">
        <v>0</v>
      </c>
      <c r="O40" s="37">
        <v>0</v>
      </c>
      <c r="P40" s="47">
        <f t="shared" ref="P40:P47" si="22">(R40)/J40</f>
        <v>0</v>
      </c>
      <c r="Q40" s="48">
        <f t="shared" si="21"/>
        <v>1.3074716400692172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16919043.35877623</v>
      </c>
      <c r="E41" s="39">
        <f t="shared" si="15"/>
        <v>14385754.996666668</v>
      </c>
      <c r="F41" s="40" t="s">
        <v>39</v>
      </c>
      <c r="G41" s="41">
        <v>0.1</v>
      </c>
      <c r="H41" s="42">
        <v>0.09</v>
      </c>
      <c r="I41" s="42">
        <v>0.1</v>
      </c>
      <c r="J41" s="43">
        <f t="shared" si="16"/>
        <v>3.9203233482697653E-3</v>
      </c>
      <c r="K41" s="44">
        <f t="shared" si="17"/>
        <v>3.3333333333333335E-3</v>
      </c>
      <c r="L41" s="45">
        <f t="shared" si="18"/>
        <v>1.0000000000000009E-2</v>
      </c>
      <c r="M41" s="45">
        <f t="shared" si="19"/>
        <v>11.111111111111121</v>
      </c>
      <c r="N41" s="46">
        <v>500</v>
      </c>
      <c r="O41" s="37">
        <v>50</v>
      </c>
      <c r="P41" s="47">
        <f t="shared" si="22"/>
        <v>0</v>
      </c>
      <c r="Q41" s="48">
        <f t="shared" si="21"/>
        <v>0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7304735.1527554002</v>
      </c>
      <c r="E42" s="39">
        <f t="shared" si="15"/>
        <v>6210997.1583333332</v>
      </c>
      <c r="F42" s="40" t="s">
        <v>44</v>
      </c>
      <c r="G42" s="41">
        <v>1.7452379999999998</v>
      </c>
      <c r="H42" s="42">
        <v>1.7954169999999998</v>
      </c>
      <c r="I42" s="42">
        <v>1.75</v>
      </c>
      <c r="J42" s="43">
        <f t="shared" si="16"/>
        <v>6.8605658594720897E-2</v>
      </c>
      <c r="K42" s="44">
        <f t="shared" si="17"/>
        <v>5.8333333333333334E-2</v>
      </c>
      <c r="L42" s="45">
        <f t="shared" si="18"/>
        <v>-4.5416999999999819E-2</v>
      </c>
      <c r="M42" s="45">
        <f t="shared" si="19"/>
        <v>-2.5296073279912035</v>
      </c>
      <c r="N42" s="46">
        <v>30000</v>
      </c>
      <c r="O42" s="37">
        <v>52500</v>
      </c>
      <c r="P42" s="47">
        <f t="shared" si="22"/>
        <v>0</v>
      </c>
      <c r="Q42" s="48">
        <f t="shared" si="21"/>
        <v>2.7285676795945069E-3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2948454.036341398</v>
      </c>
      <c r="E43" s="39">
        <f t="shared" si="15"/>
        <v>2506982.0134800002</v>
      </c>
      <c r="F43" s="40" t="s">
        <v>39</v>
      </c>
      <c r="G43" s="41">
        <v>0.03</v>
      </c>
      <c r="H43" s="42">
        <v>4.2300000000000004E-2</v>
      </c>
      <c r="I43" s="42">
        <v>4.2300000000000004E-2</v>
      </c>
      <c r="J43" s="43">
        <f t="shared" si="16"/>
        <v>1.658296776318111E-3</v>
      </c>
      <c r="K43" s="44">
        <f t="shared" si="17"/>
        <v>1.4100000000000002E-3</v>
      </c>
      <c r="L43" s="45">
        <f t="shared" si="18"/>
        <v>0</v>
      </c>
      <c r="M43" s="45">
        <f t="shared" si="19"/>
        <v>0</v>
      </c>
      <c r="N43" s="46">
        <v>0</v>
      </c>
      <c r="O43" s="37">
        <v>0</v>
      </c>
      <c r="P43" s="47">
        <f t="shared" si="22"/>
        <v>0</v>
      </c>
      <c r="Q43" s="48">
        <f t="shared" si="21"/>
        <v>0.41000000000000014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35576445.347164236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0.20307274944037385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326.95802109918031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7.0565820268855782E-7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1415832.6178743222</v>
      </c>
      <c r="E46" s="39">
        <f t="shared" si="15"/>
        <v>1203840</v>
      </c>
      <c r="F46" s="40" t="s">
        <v>56</v>
      </c>
      <c r="G46" s="41">
        <v>7.0000000000000007E-2</v>
      </c>
      <c r="H46" s="42">
        <v>6.2699999999999992E-2</v>
      </c>
      <c r="I46" s="42">
        <v>6.2699999999999992E-2</v>
      </c>
      <c r="J46" s="43">
        <f t="shared" si="16"/>
        <v>2.4580427393651426E-3</v>
      </c>
      <c r="K46" s="44">
        <f t="shared" si="17"/>
        <v>2.0899999999999998E-3</v>
      </c>
      <c r="L46" s="45">
        <f t="shared" si="18"/>
        <v>0</v>
      </c>
      <c r="M46" s="45">
        <f t="shared" si="19"/>
        <v>0</v>
      </c>
      <c r="N46" s="46">
        <v>0</v>
      </c>
      <c r="O46" s="37">
        <v>0</v>
      </c>
      <c r="P46" s="47">
        <f t="shared" si="22"/>
        <v>0</v>
      </c>
      <c r="Q46" s="48">
        <f t="shared" si="21"/>
        <v>-0.10428571428571454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53460041.692638814</v>
      </c>
      <c r="E47" s="39">
        <f t="shared" si="15"/>
        <v>45455469.650000006</v>
      </c>
      <c r="F47" s="40" t="s">
        <v>47</v>
      </c>
      <c r="G47" s="41">
        <v>0.9998999999999999</v>
      </c>
      <c r="H47" s="42">
        <v>0.75</v>
      </c>
      <c r="I47" s="42">
        <v>0.75</v>
      </c>
      <c r="J47" s="43">
        <f t="shared" si="16"/>
        <v>2.9402425112023241E-2</v>
      </c>
      <c r="K47" s="44">
        <f t="shared" si="17"/>
        <v>2.5000000000000001E-2</v>
      </c>
      <c r="L47" s="45">
        <f t="shared" si="18"/>
        <v>0</v>
      </c>
      <c r="M47" s="45">
        <f t="shared" si="19"/>
        <v>0</v>
      </c>
      <c r="N47" s="46">
        <v>0</v>
      </c>
      <c r="O47" s="37">
        <v>0</v>
      </c>
      <c r="P47" s="47">
        <f t="shared" si="22"/>
        <v>0</v>
      </c>
      <c r="Q47" s="48">
        <f t="shared" si="21"/>
        <v>-0.24992499249924982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4025966.2904740064</v>
      </c>
      <c r="E48" s="39">
        <f t="shared" si="15"/>
        <v>3423158.3578013331</v>
      </c>
      <c r="F48" s="40" t="s">
        <v>47</v>
      </c>
      <c r="G48" s="41">
        <v>1.4503460000000001</v>
      </c>
      <c r="H48" s="42">
        <v>0.99982699999999991</v>
      </c>
      <c r="I48" s="42">
        <v>0.99982699999999991</v>
      </c>
      <c r="J48" s="43">
        <f t="shared" si="16"/>
        <v>3.9196451323305147E-2</v>
      </c>
      <c r="K48" s="44">
        <f t="shared" si="17"/>
        <v>3.3327566666666662E-2</v>
      </c>
      <c r="L48" s="45">
        <f t="shared" si="18"/>
        <v>0</v>
      </c>
      <c r="M48" s="45">
        <f t="shared" si="19"/>
        <v>0</v>
      </c>
      <c r="N48" s="46">
        <v>0</v>
      </c>
      <c r="O48" s="37">
        <v>0</v>
      </c>
      <c r="P48" s="47">
        <v>0</v>
      </c>
      <c r="Q48" s="48">
        <f t="shared" si="21"/>
        <v>-0.31062863620129277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1633300</v>
      </c>
      <c r="O49" s="58">
        <f>SUM(O10:O48)</f>
        <v>14227911.180000002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39" t="s">
        <v>119</v>
      </c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72361608.163199991</v>
      </c>
      <c r="E53" s="39">
        <v>0</v>
      </c>
      <c r="F53" s="40" t="s">
        <v>92</v>
      </c>
      <c r="G53" s="66">
        <v>0.1</v>
      </c>
      <c r="H53" s="42">
        <v>0.1295</v>
      </c>
      <c r="I53" s="42">
        <v>0.13039999999999999</v>
      </c>
      <c r="J53" s="43">
        <f t="shared" si="24"/>
        <v>0.13039999999999999</v>
      </c>
      <c r="K53" s="39">
        <v>0</v>
      </c>
      <c r="L53" s="45">
        <f t="shared" si="25"/>
        <v>8.9999999999998415E-4</v>
      </c>
      <c r="M53" s="45">
        <f t="shared" si="26"/>
        <v>0.69498069498068271</v>
      </c>
      <c r="N53" s="46">
        <v>41656</v>
      </c>
      <c r="O53" s="37">
        <v>5432.7</v>
      </c>
      <c r="P53" s="68">
        <f>(R53)/J53</f>
        <v>0</v>
      </c>
      <c r="Q53" s="48">
        <f t="shared" si="27"/>
        <v>0.30399999999999983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62403415</v>
      </c>
      <c r="E54" s="39">
        <v>0</v>
      </c>
      <c r="F54" s="40" t="s">
        <v>39</v>
      </c>
      <c r="G54" s="66">
        <v>39.9</v>
      </c>
      <c r="H54" s="42">
        <v>58.997100000000003</v>
      </c>
      <c r="I54" s="42">
        <v>59</v>
      </c>
      <c r="J54" s="43">
        <f t="shared" si="24"/>
        <v>59</v>
      </c>
      <c r="K54" s="39">
        <v>0</v>
      </c>
      <c r="L54" s="45">
        <f t="shared" si="25"/>
        <v>2.899999999996794E-3</v>
      </c>
      <c r="M54" s="45">
        <f t="shared" si="26"/>
        <v>4.9154958464005753E-3</v>
      </c>
      <c r="N54" s="46">
        <v>36</v>
      </c>
      <c r="O54" s="37">
        <v>2124</v>
      </c>
      <c r="P54" s="69">
        <f>(R54)/J54</f>
        <v>9.4915254237288148E-3</v>
      </c>
      <c r="Q54" s="48">
        <f t="shared" si="27"/>
        <v>0.47869674185463662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767789077.88979995</v>
      </c>
      <c r="E55" s="39"/>
      <c r="F55" s="40" t="s">
        <v>56</v>
      </c>
      <c r="G55" s="66">
        <v>0.33</v>
      </c>
      <c r="H55" s="42">
        <v>0.26700000000000002</v>
      </c>
      <c r="I55" s="42">
        <v>0.25659999999999999</v>
      </c>
      <c r="J55" s="43">
        <f t="shared" si="24"/>
        <v>0.25659999999999999</v>
      </c>
      <c r="K55" s="39">
        <v>0</v>
      </c>
      <c r="L55" s="45">
        <f t="shared" si="25"/>
        <v>-1.040000000000002E-2</v>
      </c>
      <c r="M55" s="45">
        <f t="shared" si="26"/>
        <v>-3.8951310861423298</v>
      </c>
      <c r="N55" s="46">
        <v>177340</v>
      </c>
      <c r="O55" s="37">
        <v>45504.7</v>
      </c>
      <c r="P55" s="68">
        <v>0</v>
      </c>
      <c r="Q55" s="48">
        <f t="shared" si="27"/>
        <v>-0.22242424242424252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17072746.403999999</v>
      </c>
      <c r="E56" s="39">
        <v>0</v>
      </c>
      <c r="F56" s="40" t="s">
        <v>34</v>
      </c>
      <c r="G56" s="66">
        <v>2.3E-2</v>
      </c>
      <c r="H56" s="42">
        <v>2.3400000000000001E-2</v>
      </c>
      <c r="I56" s="42">
        <v>2.8000000000000001E-2</v>
      </c>
      <c r="J56" s="43">
        <f t="shared" si="24"/>
        <v>2.8000000000000001E-2</v>
      </c>
      <c r="K56" s="39">
        <v>0</v>
      </c>
      <c r="L56" s="45">
        <f t="shared" si="25"/>
        <v>4.5999999999999999E-3</v>
      </c>
      <c r="M56" s="45">
        <f t="shared" si="26"/>
        <v>19.658119658119659</v>
      </c>
      <c r="N56" s="46">
        <v>3640</v>
      </c>
      <c r="O56" s="37">
        <v>101.92</v>
      </c>
      <c r="P56" s="68">
        <f t="shared" ref="P56:P66" si="28">(R56)/J56</f>
        <v>0</v>
      </c>
      <c r="Q56" s="48">
        <f t="shared" si="27"/>
        <v>0.21739130434782616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239752040.52610001</v>
      </c>
      <c r="E57" s="39">
        <v>0</v>
      </c>
      <c r="F57" s="40" t="s">
        <v>47</v>
      </c>
      <c r="G57" s="66">
        <v>9.0200000000000002E-2</v>
      </c>
      <c r="H57" s="42">
        <v>0.1066</v>
      </c>
      <c r="I57" s="42">
        <v>0.1109</v>
      </c>
      <c r="J57" s="43">
        <f t="shared" si="24"/>
        <v>0.1109</v>
      </c>
      <c r="K57" s="39">
        <v>0</v>
      </c>
      <c r="L57" s="45">
        <f t="shared" si="25"/>
        <v>4.2999999999999983E-3</v>
      </c>
      <c r="M57" s="70">
        <f t="shared" si="26"/>
        <v>4.0337711069418374</v>
      </c>
      <c r="N57" s="46">
        <v>475135</v>
      </c>
      <c r="O57" s="37">
        <v>52670.45</v>
      </c>
      <c r="P57" s="68">
        <f t="shared" si="28"/>
        <v>0</v>
      </c>
      <c r="Q57" s="48">
        <f t="shared" si="27"/>
        <v>0.229490022172949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683221547.63499999</v>
      </c>
      <c r="E58" s="39">
        <v>0</v>
      </c>
      <c r="F58" s="40" t="s">
        <v>34</v>
      </c>
      <c r="G58" s="66">
        <v>0.95750000000000002</v>
      </c>
      <c r="H58" s="42">
        <v>1.2008000000000001</v>
      </c>
      <c r="I58" s="42">
        <v>1.1862999999999999</v>
      </c>
      <c r="J58" s="43">
        <f t="shared" si="24"/>
        <v>1.1862999999999999</v>
      </c>
      <c r="K58" s="39">
        <v>0</v>
      </c>
      <c r="L58" s="45">
        <f t="shared" si="25"/>
        <v>-1.4500000000000179E-2</v>
      </c>
      <c r="M58" s="45">
        <f t="shared" si="26"/>
        <v>-1.2075283144570435</v>
      </c>
      <c r="N58" s="46">
        <v>113616</v>
      </c>
      <c r="O58" s="37">
        <v>134778.9</v>
      </c>
      <c r="P58" s="69">
        <f t="shared" si="28"/>
        <v>3.9618983393745262E-2</v>
      </c>
      <c r="Q58" s="48">
        <f t="shared" si="27"/>
        <v>0.23895561357702344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24631233.300000001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</v>
      </c>
      <c r="J59" s="43">
        <f t="shared" si="24"/>
        <v>0.15</v>
      </c>
      <c r="K59" s="39">
        <v>0</v>
      </c>
      <c r="L59" s="45">
        <f t="shared" si="25"/>
        <v>0</v>
      </c>
      <c r="M59" s="45">
        <f t="shared" si="26"/>
        <v>0</v>
      </c>
      <c r="N59" s="46">
        <v>2653</v>
      </c>
      <c r="O59" s="37">
        <v>397.95</v>
      </c>
      <c r="P59" s="68">
        <f t="shared" si="28"/>
        <v>0</v>
      </c>
      <c r="Q59" s="48">
        <f t="shared" si="27"/>
        <v>-5.9561128526645857E-2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15414873.6504</v>
      </c>
      <c r="E60" s="39">
        <v>0</v>
      </c>
      <c r="F60" s="40" t="s">
        <v>92</v>
      </c>
      <c r="G60" s="66">
        <v>1.6799999999999999E-2</v>
      </c>
      <c r="H60" s="42">
        <v>1.9699999999999999E-2</v>
      </c>
      <c r="I60" s="42">
        <v>1.9400000000000001E-2</v>
      </c>
      <c r="J60" s="43">
        <f t="shared" si="24"/>
        <v>1.9400000000000001E-2</v>
      </c>
      <c r="K60" s="39">
        <v>0</v>
      </c>
      <c r="L60" s="45">
        <f t="shared" si="25"/>
        <v>-2.9999999999999818E-4</v>
      </c>
      <c r="M60" s="70">
        <f t="shared" si="26"/>
        <v>-1.5228426395938994</v>
      </c>
      <c r="N60" s="46">
        <v>85656</v>
      </c>
      <c r="O60" s="37">
        <v>1665.64</v>
      </c>
      <c r="P60" s="68">
        <f t="shared" si="28"/>
        <v>0</v>
      </c>
      <c r="Q60" s="48">
        <f t="shared" si="27"/>
        <v>0.15476190476190488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2902914</v>
      </c>
      <c r="E61" s="39">
        <v>0</v>
      </c>
      <c r="F61" s="40" t="s">
        <v>140</v>
      </c>
      <c r="G61" s="66">
        <v>19.5</v>
      </c>
      <c r="H61" s="42">
        <v>18</v>
      </c>
      <c r="I61" s="42">
        <v>18</v>
      </c>
      <c r="J61" s="43">
        <f t="shared" si="24"/>
        <v>18</v>
      </c>
      <c r="K61" s="39">
        <v>0</v>
      </c>
      <c r="L61" s="45">
        <f t="shared" si="25"/>
        <v>0</v>
      </c>
      <c r="M61" s="45">
        <f t="shared" si="26"/>
        <v>0</v>
      </c>
      <c r="N61" s="46">
        <v>7</v>
      </c>
      <c r="O61" s="37">
        <v>126</v>
      </c>
      <c r="P61" s="68">
        <f t="shared" si="28"/>
        <v>0</v>
      </c>
      <c r="Q61" s="48">
        <f t="shared" si="27"/>
        <v>-7.6923076923076872E-2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753242625.95560002</v>
      </c>
      <c r="E62" s="39">
        <v>0</v>
      </c>
      <c r="F62" s="40" t="s">
        <v>92</v>
      </c>
      <c r="G62" s="66">
        <v>0.59499999999999997</v>
      </c>
      <c r="H62" s="42">
        <v>0.90980000000000005</v>
      </c>
      <c r="I62" s="42">
        <v>0.93559999999999999</v>
      </c>
      <c r="J62" s="43">
        <f t="shared" si="24"/>
        <v>0.93559999999999999</v>
      </c>
      <c r="K62" s="39">
        <v>0</v>
      </c>
      <c r="L62" s="45">
        <f t="shared" si="25"/>
        <v>2.5799999999999934E-2</v>
      </c>
      <c r="M62" s="45">
        <f t="shared" si="26"/>
        <v>2.8357880852934638</v>
      </c>
      <c r="N62" s="46">
        <v>231593</v>
      </c>
      <c r="O62" s="37">
        <v>216680.8</v>
      </c>
      <c r="P62" s="68">
        <f t="shared" si="28"/>
        <v>0</v>
      </c>
      <c r="Q62" s="48">
        <f t="shared" si="27"/>
        <v>0.57243697478991606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82907216.724000007</v>
      </c>
      <c r="E63" s="39">
        <v>0</v>
      </c>
      <c r="F63" s="40" t="s">
        <v>34</v>
      </c>
      <c r="G63" s="66">
        <v>0.22600000000000001</v>
      </c>
      <c r="H63" s="42">
        <v>0.318</v>
      </c>
      <c r="I63" s="42">
        <v>0.318</v>
      </c>
      <c r="J63" s="43">
        <f t="shared" si="24"/>
        <v>0.318</v>
      </c>
      <c r="K63" s="39">
        <v>0</v>
      </c>
      <c r="L63" s="45">
        <f t="shared" si="25"/>
        <v>0</v>
      </c>
      <c r="M63" s="45">
        <f t="shared" si="26"/>
        <v>0</v>
      </c>
      <c r="N63" s="46">
        <v>1895</v>
      </c>
      <c r="O63" s="37">
        <v>602.66</v>
      </c>
      <c r="P63" s="68">
        <f t="shared" si="28"/>
        <v>0</v>
      </c>
      <c r="Q63" s="48">
        <f t="shared" si="27"/>
        <v>0.40707964601769908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329046756.41640002</v>
      </c>
      <c r="E64" s="39">
        <v>0</v>
      </c>
      <c r="F64" s="40" t="s">
        <v>34</v>
      </c>
      <c r="G64" s="66">
        <v>0.49440000000000001</v>
      </c>
      <c r="H64" s="42">
        <v>0.58330000000000004</v>
      </c>
      <c r="I64" s="42">
        <v>0.58530000000000004</v>
      </c>
      <c r="J64" s="43">
        <f t="shared" si="24"/>
        <v>0.58530000000000004</v>
      </c>
      <c r="K64" s="39">
        <v>0</v>
      </c>
      <c r="L64" s="45">
        <f t="shared" si="25"/>
        <v>2.0000000000000018E-3</v>
      </c>
      <c r="M64" s="45">
        <f t="shared" si="26"/>
        <v>0.34287673581347533</v>
      </c>
      <c r="N64" s="46">
        <v>57481</v>
      </c>
      <c r="O64" s="37">
        <v>33643.68</v>
      </c>
      <c r="P64" s="68">
        <f t="shared" si="28"/>
        <v>0</v>
      </c>
      <c r="Q64" s="48">
        <f t="shared" si="27"/>
        <v>0.18385922330097104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20674829.16</v>
      </c>
      <c r="E66" s="39">
        <v>0</v>
      </c>
      <c r="F66" s="40" t="s">
        <v>44</v>
      </c>
      <c r="G66" s="66">
        <v>4.2999999999999997E-2</v>
      </c>
      <c r="H66" s="42">
        <v>0.06</v>
      </c>
      <c r="I66" s="42">
        <v>0.06</v>
      </c>
      <c r="J66" s="43">
        <f t="shared" si="24"/>
        <v>0.06</v>
      </c>
      <c r="K66" s="39">
        <v>0</v>
      </c>
      <c r="L66" s="45">
        <f t="shared" si="25"/>
        <v>0</v>
      </c>
      <c r="M66" s="45">
        <f t="shared" si="26"/>
        <v>0</v>
      </c>
      <c r="N66" s="46">
        <v>1930</v>
      </c>
      <c r="O66" s="37">
        <v>115.8</v>
      </c>
      <c r="P66" s="68">
        <f t="shared" si="28"/>
        <v>0</v>
      </c>
      <c r="Q66" s="48">
        <f t="shared" si="27"/>
        <v>0.39534883720930236</v>
      </c>
      <c r="T66" s="67"/>
    </row>
    <row r="67" spans="1:243" ht="13.2" x14ac:dyDescent="0.35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1192638</v>
      </c>
      <c r="O67" s="58">
        <f>SUM(O52:O66)</f>
        <v>493845.19999999995</v>
      </c>
      <c r="P67" s="73"/>
      <c r="Q67" s="59"/>
    </row>
    <row r="68" spans="1:243" ht="12.6" hidden="1" x14ac:dyDescent="0.3">
      <c r="A68" s="127" t="s">
        <v>151</v>
      </c>
      <c r="B68" s="128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</row>
    <row r="69" spans="1:243" ht="12.6" hidden="1" thickBot="1" x14ac:dyDescent="0.3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6" x14ac:dyDescent="0.3">
      <c r="A71" s="127" t="s">
        <v>155</v>
      </c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</row>
    <row r="72" spans="1:243" x14ac:dyDescent="0.25">
      <c r="A72" s="84" t="s">
        <v>156</v>
      </c>
      <c r="B72" s="85" t="s">
        <v>157</v>
      </c>
      <c r="C72" s="86">
        <v>139300587</v>
      </c>
      <c r="D72" s="38">
        <f>C72*J72</f>
        <v>44088635.785499997</v>
      </c>
      <c r="E72" s="39">
        <f>C72*K72</f>
        <v>44088635.785499997</v>
      </c>
      <c r="F72" s="86" t="s">
        <v>158</v>
      </c>
      <c r="G72" s="86">
        <v>0.24</v>
      </c>
      <c r="H72" s="87">
        <v>0.35899999999999999</v>
      </c>
      <c r="I72" s="87">
        <v>0.3165</v>
      </c>
      <c r="J72" s="88">
        <f>I72</f>
        <v>0.3165</v>
      </c>
      <c r="K72" s="88">
        <f>J72</f>
        <v>0.3165</v>
      </c>
      <c r="L72" s="45">
        <f>I72-H72</f>
        <v>-4.2499999999999982E-2</v>
      </c>
      <c r="M72" s="45">
        <f>((I72-H72)/H72)*100</f>
        <v>-11.838440111420608</v>
      </c>
      <c r="N72" s="89">
        <v>790</v>
      </c>
      <c r="O72" s="90">
        <v>250</v>
      </c>
      <c r="P72" s="68">
        <f>(R72)/J72</f>
        <v>0</v>
      </c>
      <c r="Q72" s="91">
        <f>J72/G72-1</f>
        <v>0.31875000000000009</v>
      </c>
      <c r="T72" s="67"/>
    </row>
    <row r="73" spans="1:243" x14ac:dyDescent="0.25">
      <c r="A73" s="84" t="s">
        <v>159</v>
      </c>
      <c r="B73" s="85" t="s">
        <v>160</v>
      </c>
      <c r="C73" s="86">
        <v>471351750</v>
      </c>
      <c r="D73" s="38">
        <f>C73*J73</f>
        <v>69760059</v>
      </c>
      <c r="E73" s="39">
        <f>C73*K73</f>
        <v>69760059</v>
      </c>
      <c r="F73" s="86" t="s">
        <v>158</v>
      </c>
      <c r="G73" s="86">
        <v>0.1</v>
      </c>
      <c r="H73" s="87">
        <v>0.14749999999999999</v>
      </c>
      <c r="I73" s="87">
        <v>0.14799999999999999</v>
      </c>
      <c r="J73" s="88">
        <f>I73</f>
        <v>0.14799999999999999</v>
      </c>
      <c r="K73" s="88">
        <f>J73</f>
        <v>0.14799999999999999</v>
      </c>
      <c r="L73" s="45">
        <f>I73-H73</f>
        <v>5.0000000000000044E-4</v>
      </c>
      <c r="M73" s="45">
        <f>((I73-H73)/H73)*100</f>
        <v>0.33898305084745795</v>
      </c>
      <c r="N73" s="46">
        <v>3176</v>
      </c>
      <c r="O73" s="90">
        <v>470.05</v>
      </c>
      <c r="P73" s="92">
        <f>(R73)/J73</f>
        <v>2.5621621621621623E-2</v>
      </c>
      <c r="Q73" s="91">
        <f>J73/G73-1</f>
        <v>0.47999999999999976</v>
      </c>
      <c r="R73" s="5">
        <v>3.7919999999999998E-3</v>
      </c>
      <c r="T73" s="67"/>
    </row>
    <row r="74" spans="1:243" ht="13.2" x14ac:dyDescent="0.35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3966</v>
      </c>
      <c r="O74" s="58">
        <f>SUM(O72:O73)</f>
        <v>720.05</v>
      </c>
      <c r="P74" s="83"/>
      <c r="Q74" s="45"/>
    </row>
    <row r="75" spans="1:243" ht="12.6" x14ac:dyDescent="0.3">
      <c r="A75" s="139" t="s">
        <v>161</v>
      </c>
      <c r="B75" s="140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167030.85052991012</v>
      </c>
      <c r="E76" s="39">
        <f>C76*K76</f>
        <v>142021.32128006668</v>
      </c>
      <c r="F76" s="40" t="s">
        <v>140</v>
      </c>
      <c r="G76" s="66">
        <v>0.105</v>
      </c>
      <c r="H76" s="42">
        <v>9.3854000000000007E-2</v>
      </c>
      <c r="I76" s="42">
        <v>9.3854000000000007E-2</v>
      </c>
      <c r="J76" s="43">
        <f>I76/$J$5</f>
        <v>3.6793802752851058E-3</v>
      </c>
      <c r="K76" s="44">
        <f>I76/$K$4</f>
        <v>3.1284666666666671E-3</v>
      </c>
      <c r="L76" s="45">
        <f>I76-H76</f>
        <v>0</v>
      </c>
      <c r="M76" s="93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-0.10615238095238089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320279.56296235311</v>
      </c>
      <c r="E77" s="39">
        <f>C77*K77</f>
        <v>272324.10399999999</v>
      </c>
      <c r="F77" s="40" t="s">
        <v>140</v>
      </c>
      <c r="G77" s="66">
        <v>4.2500000000000003E-2</v>
      </c>
      <c r="H77" s="42">
        <v>5.5E-2</v>
      </c>
      <c r="I77" s="42">
        <v>0.06</v>
      </c>
      <c r="J77" s="43">
        <f>I77/$J$5</f>
        <v>2.3521940089618592E-3</v>
      </c>
      <c r="K77" s="44">
        <f>I77/$K$4</f>
        <v>2E-3</v>
      </c>
      <c r="L77" s="45">
        <f>I77-H77</f>
        <v>4.9999999999999975E-3</v>
      </c>
      <c r="M77" s="93">
        <f>((I77-H77)/H77)*100</f>
        <v>9.0909090909090864</v>
      </c>
      <c r="N77" s="37">
        <v>4000</v>
      </c>
      <c r="O77" s="37">
        <v>240</v>
      </c>
      <c r="P77" s="40">
        <v>0</v>
      </c>
      <c r="Q77" s="48">
        <f>I77/G77-1</f>
        <v>0.41176470588235281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1550620.8616086654</v>
      </c>
      <c r="E78" s="39">
        <f>C78*K78</f>
        <v>1318446.3999999999</v>
      </c>
      <c r="F78" s="40" t="s">
        <v>140</v>
      </c>
      <c r="G78" s="66">
        <v>6.0499999999999998E-2</v>
      </c>
      <c r="H78" s="42">
        <v>0.08</v>
      </c>
      <c r="I78" s="42">
        <v>0.08</v>
      </c>
      <c r="J78" s="43">
        <f>I78/$J$5</f>
        <v>3.1362586786158123E-3</v>
      </c>
      <c r="K78" s="44">
        <f>I78/$K$4</f>
        <v>2.6666666666666666E-3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0.3223140495867769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2597695.4034208744</v>
      </c>
      <c r="E79" s="39">
        <f>C79*K79</f>
        <v>2208742.4706666665</v>
      </c>
      <c r="F79" s="40" t="s">
        <v>140</v>
      </c>
      <c r="G79" s="66">
        <v>1.85</v>
      </c>
      <c r="H79" s="42">
        <v>1.61</v>
      </c>
      <c r="I79" s="42">
        <v>1.61</v>
      </c>
      <c r="J79" s="43">
        <f>I79/$J$5</f>
        <v>6.3117205907143231E-2</v>
      </c>
      <c r="K79" s="44">
        <f>I79/$K$4</f>
        <v>5.3666666666666668E-2</v>
      </c>
      <c r="L79" s="45">
        <f>I79-H79</f>
        <v>0</v>
      </c>
      <c r="M79" s="93">
        <f>((I79-H79)/H79)*100</f>
        <v>0</v>
      </c>
      <c r="N79" s="37">
        <v>40700</v>
      </c>
      <c r="O79" s="37">
        <v>65527</v>
      </c>
      <c r="P79" s="40">
        <v>0</v>
      </c>
      <c r="Q79" s="48">
        <f>I79/G79-1</f>
        <v>-0.12972972972972974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44700</v>
      </c>
      <c r="O80" s="58">
        <f>SUM(O76:O79)</f>
        <v>65767</v>
      </c>
      <c r="P80" s="73"/>
      <c r="Q80" s="59"/>
      <c r="DU80" s="94"/>
      <c r="DV80" s="94"/>
      <c r="DW80" s="95"/>
      <c r="DX80" s="96"/>
      <c r="DY80" s="96"/>
      <c r="DZ80" s="97"/>
      <c r="EA80" s="97"/>
      <c r="EB80" s="98"/>
      <c r="EC80" s="98"/>
      <c r="ED80" s="99"/>
      <c r="EE80" s="99"/>
      <c r="EF80" s="97"/>
      <c r="EG80" s="100"/>
      <c r="EH80" s="101"/>
      <c r="EI80" s="95"/>
      <c r="EJ80" s="94"/>
      <c r="EK80" s="94"/>
      <c r="EL80" s="95"/>
      <c r="EM80" s="96"/>
      <c r="EN80" s="96"/>
      <c r="EO80" s="97"/>
      <c r="EP80" s="97"/>
      <c r="EQ80" s="98"/>
      <c r="ER80" s="98"/>
      <c r="ES80" s="99"/>
      <c r="ET80" s="99"/>
      <c r="EU80" s="97"/>
      <c r="EV80" s="100"/>
      <c r="EW80" s="101"/>
      <c r="EX80" s="95"/>
      <c r="EY80" s="94"/>
      <c r="EZ80" s="94"/>
      <c r="FA80" s="95"/>
      <c r="FB80" s="96"/>
      <c r="FC80" s="96"/>
      <c r="FD80" s="97"/>
      <c r="FE80" s="97"/>
      <c r="FF80" s="98"/>
      <c r="FG80" s="98"/>
      <c r="FH80" s="99"/>
      <c r="FI80" s="99"/>
      <c r="FJ80" s="97"/>
      <c r="FK80" s="100"/>
      <c r="FL80" s="101"/>
      <c r="FM80" s="95"/>
      <c r="FN80" s="94"/>
      <c r="FO80" s="94"/>
      <c r="FP80" s="95"/>
      <c r="FQ80" s="96"/>
      <c r="FR80" s="96"/>
      <c r="FS80" s="97"/>
      <c r="FT80" s="97"/>
      <c r="FU80" s="98"/>
      <c r="FV80" s="98"/>
      <c r="FW80" s="99"/>
      <c r="FX80" s="99"/>
      <c r="FY80" s="97"/>
      <c r="FZ80" s="100"/>
      <c r="GA80" s="101"/>
      <c r="GB80" s="95"/>
      <c r="GC80" s="94"/>
      <c r="GD80" s="94"/>
      <c r="GE80" s="95"/>
      <c r="GF80" s="96"/>
      <c r="GG80" s="96"/>
      <c r="GH80" s="97"/>
      <c r="GI80" s="97"/>
      <c r="GJ80" s="98"/>
      <c r="GK80" s="98"/>
      <c r="GL80" s="99"/>
      <c r="GM80" s="99"/>
      <c r="GN80" s="97"/>
      <c r="GO80" s="100"/>
      <c r="GP80" s="101"/>
      <c r="GQ80" s="95"/>
      <c r="GR80" s="94"/>
      <c r="GS80" s="94"/>
      <c r="GT80" s="95"/>
      <c r="GU80" s="96"/>
      <c r="GV80" s="96"/>
      <c r="GW80" s="97"/>
      <c r="GX80" s="97"/>
      <c r="GY80" s="98"/>
      <c r="GZ80" s="98"/>
      <c r="HA80" s="99"/>
      <c r="HB80" s="99"/>
      <c r="HC80" s="97"/>
      <c r="HD80" s="100"/>
      <c r="HE80" s="101"/>
      <c r="HF80" s="95"/>
      <c r="HG80" s="94"/>
      <c r="HH80" s="94"/>
      <c r="HI80" s="95"/>
      <c r="HJ80" s="96"/>
      <c r="HK80" s="96"/>
      <c r="HL80" s="97"/>
      <c r="HM80" s="97"/>
      <c r="HN80" s="98"/>
      <c r="HO80" s="98"/>
      <c r="HP80" s="99"/>
      <c r="HQ80" s="99"/>
      <c r="HR80" s="97"/>
      <c r="HS80" s="100"/>
      <c r="HT80" s="101"/>
      <c r="HU80" s="95"/>
      <c r="HV80" s="94"/>
      <c r="HW80" s="94"/>
      <c r="HX80" s="95"/>
      <c r="HY80" s="96"/>
      <c r="HZ80" s="96"/>
      <c r="IA80" s="97"/>
      <c r="IB80" s="97"/>
      <c r="IC80" s="98"/>
      <c r="ID80" s="98"/>
      <c r="IE80" s="99"/>
      <c r="IF80" s="99"/>
      <c r="IG80" s="97"/>
      <c r="IH80" s="100"/>
      <c r="II80" s="101"/>
    </row>
    <row r="81" spans="1:38" ht="13.2" thickTop="1" x14ac:dyDescent="0.3">
      <c r="A81" s="127" t="s">
        <v>170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33933012.39214211</v>
      </c>
      <c r="E82" s="39">
        <f>C82*K82</f>
        <v>28852222.446666669</v>
      </c>
      <c r="F82" s="40" t="s">
        <v>173</v>
      </c>
      <c r="G82" s="40">
        <v>1.3</v>
      </c>
      <c r="H82" s="42">
        <v>2.35</v>
      </c>
      <c r="I82" s="42">
        <v>2.35</v>
      </c>
      <c r="J82" s="43">
        <f>I82/$J$5</f>
        <v>9.2127598684339493E-2</v>
      </c>
      <c r="K82" s="44">
        <f>I82/$K$4</f>
        <v>7.8333333333333338E-2</v>
      </c>
      <c r="L82" s="45">
        <f>I82-H82</f>
        <v>0</v>
      </c>
      <c r="M82" s="45">
        <f>((I82-H82)/H82*100)</f>
        <v>0</v>
      </c>
      <c r="N82" s="47">
        <v>0</v>
      </c>
      <c r="O82" s="37">
        <v>0</v>
      </c>
      <c r="P82" s="47">
        <f>(R82)/J82</f>
        <v>0</v>
      </c>
      <c r="Q82" s="48">
        <f>I82/G82-1</f>
        <v>0.80769230769230771</v>
      </c>
      <c r="R82" s="67"/>
    </row>
    <row r="83" spans="1:38" s="103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85836023.423735991</v>
      </c>
      <c r="E83" s="39">
        <f>C83*K83</f>
        <v>72983795.636500001</v>
      </c>
      <c r="F83" s="40" t="s">
        <v>173</v>
      </c>
      <c r="G83" s="40">
        <v>1.44347</v>
      </c>
      <c r="H83" s="42">
        <v>1.1210560000000001</v>
      </c>
      <c r="I83" s="42">
        <v>1.1892389999999999</v>
      </c>
      <c r="J83" s="43">
        <f>I83/$J$5</f>
        <v>4.6622014183729875E-2</v>
      </c>
      <c r="K83" s="44">
        <f>I83/$K$4</f>
        <v>3.9641299999999997E-2</v>
      </c>
      <c r="L83" s="45">
        <f>I83-H83</f>
        <v>6.8182999999999883E-2</v>
      </c>
      <c r="M83" s="45">
        <f>((I83-H83)/H83*100)</f>
        <v>6.0820333685382248</v>
      </c>
      <c r="N83" s="47">
        <v>2581200</v>
      </c>
      <c r="O83" s="37">
        <v>3069662.85</v>
      </c>
      <c r="P83" s="102">
        <f>(R83)/J83</f>
        <v>4.6673230191744471E-2</v>
      </c>
      <c r="Q83" s="48">
        <f>I83/G83-1</f>
        <v>-0.17612489348583626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4"/>
      <c r="B84" s="75" t="s">
        <v>82</v>
      </c>
      <c r="C84" s="76"/>
      <c r="D84" s="104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2581200</v>
      </c>
      <c r="O84" s="58">
        <f>SUM(O82:O83)</f>
        <v>3069662.85</v>
      </c>
      <c r="P84" s="105"/>
      <c r="Q84" s="82"/>
    </row>
    <row r="85" spans="1:38" ht="12.6" thickBot="1" x14ac:dyDescent="0.3">
      <c r="A85" s="106"/>
      <c r="B85" s="107"/>
      <c r="C85" s="107"/>
      <c r="D85" s="107"/>
      <c r="E85" s="107"/>
      <c r="F85" s="108"/>
      <c r="G85" s="108"/>
      <c r="H85" s="55"/>
      <c r="M85" s="84"/>
      <c r="N85" s="84"/>
      <c r="O85" s="55"/>
      <c r="P85" s="55"/>
      <c r="Q85" s="109"/>
    </row>
    <row r="86" spans="1:38" ht="12.6" thickBot="1" x14ac:dyDescent="0.3">
      <c r="A86" s="131" t="s">
        <v>176</v>
      </c>
      <c r="B86" s="132"/>
      <c r="C86" s="132"/>
      <c r="D86" s="132"/>
      <c r="E86" s="131" t="s">
        <v>177</v>
      </c>
      <c r="F86" s="132"/>
      <c r="G86" s="132"/>
      <c r="H86" s="133"/>
      <c r="L86" s="134" t="s">
        <v>178</v>
      </c>
      <c r="M86" s="135"/>
      <c r="N86" s="136"/>
      <c r="O86" s="134" t="s">
        <v>179</v>
      </c>
      <c r="P86" s="135"/>
      <c r="Q86" s="136"/>
    </row>
    <row r="87" spans="1:38" x14ac:dyDescent="0.25">
      <c r="A87" s="35" t="s">
        <v>103</v>
      </c>
      <c r="B87" s="110">
        <v>0.1</v>
      </c>
      <c r="C87" s="110"/>
      <c r="D87" s="110">
        <v>11.111111111111121</v>
      </c>
      <c r="E87" s="35" t="s">
        <v>48</v>
      </c>
      <c r="F87" s="111">
        <v>6</v>
      </c>
      <c r="G87" s="111"/>
      <c r="H87" s="112">
        <v>-3.0694668820678577</v>
      </c>
      <c r="L87" s="35" t="s">
        <v>128</v>
      </c>
      <c r="M87" s="47">
        <v>2.8000000000000001E-2</v>
      </c>
      <c r="N87" s="113">
        <v>19.658119658119659</v>
      </c>
      <c r="O87" s="35" t="s">
        <v>126</v>
      </c>
      <c r="P87" s="111">
        <v>0.25659999999999999</v>
      </c>
      <c r="Q87" s="114">
        <v>-3.8951310861423298</v>
      </c>
    </row>
    <row r="88" spans="1:38" x14ac:dyDescent="0.25">
      <c r="A88" s="35" t="s">
        <v>74</v>
      </c>
      <c r="B88" s="110">
        <v>3.6999659999999999</v>
      </c>
      <c r="C88" s="110"/>
      <c r="D88" s="110">
        <v>5.713314285714282</v>
      </c>
      <c r="E88" s="35" t="s">
        <v>105</v>
      </c>
      <c r="F88" s="111">
        <v>1.75</v>
      </c>
      <c r="G88" s="111"/>
      <c r="H88" s="112">
        <v>-2.5296073279912035</v>
      </c>
      <c r="L88" s="35" t="s">
        <v>130</v>
      </c>
      <c r="M88" s="47">
        <v>0.1109</v>
      </c>
      <c r="N88" s="113">
        <v>4.0337711069418374</v>
      </c>
      <c r="O88" s="35" t="s">
        <v>136</v>
      </c>
      <c r="P88" s="111">
        <v>1.9400000000000001E-2</v>
      </c>
      <c r="Q88" s="114">
        <v>-1.5228426395938994</v>
      </c>
    </row>
    <row r="89" spans="1:38" x14ac:dyDescent="0.25">
      <c r="A89" s="35" t="s">
        <v>52</v>
      </c>
      <c r="B89" s="110">
        <v>27.9862</v>
      </c>
      <c r="C89" s="110"/>
      <c r="D89" s="110">
        <v>4.1959552034312226</v>
      </c>
      <c r="E89" s="35" t="s">
        <v>62</v>
      </c>
      <c r="F89" s="111">
        <v>2.88</v>
      </c>
      <c r="G89" s="111"/>
      <c r="H89" s="112">
        <v>-0.34602076124568271</v>
      </c>
      <c r="L89" s="35" t="s">
        <v>141</v>
      </c>
      <c r="M89" s="47">
        <v>0.93559999999999999</v>
      </c>
      <c r="N89" s="113">
        <v>2.8357880852934638</v>
      </c>
      <c r="O89" s="35" t="s">
        <v>132</v>
      </c>
      <c r="P89" s="111">
        <v>1.1862999999999999</v>
      </c>
      <c r="Q89" s="114">
        <v>-1.2075283144570435</v>
      </c>
    </row>
    <row r="90" spans="1:38" x14ac:dyDescent="0.25">
      <c r="A90" s="35" t="s">
        <v>67</v>
      </c>
      <c r="B90" s="110">
        <v>0.12</v>
      </c>
      <c r="C90" s="110"/>
      <c r="D90" s="110">
        <v>1.6949152542372776</v>
      </c>
      <c r="E90" s="35" t="s">
        <v>45</v>
      </c>
      <c r="F90" s="111">
        <v>15.2761</v>
      </c>
      <c r="G90" s="111"/>
      <c r="H90" s="112">
        <v>-0.16991131936140513</v>
      </c>
      <c r="L90" s="35" t="s">
        <v>122</v>
      </c>
      <c r="M90" s="47">
        <v>0.13039999999999999</v>
      </c>
      <c r="N90" s="113">
        <v>0.69498069498068271</v>
      </c>
      <c r="O90" s="35"/>
      <c r="P90" s="111"/>
      <c r="Q90" s="114"/>
    </row>
    <row r="91" spans="1:38" x14ac:dyDescent="0.25">
      <c r="A91" s="35" t="s">
        <v>97</v>
      </c>
      <c r="B91" s="110">
        <v>2.8</v>
      </c>
      <c r="C91" s="110"/>
      <c r="D91" s="110">
        <v>1.581957593160628</v>
      </c>
      <c r="E91" s="35"/>
      <c r="F91" s="111"/>
      <c r="G91" s="111"/>
      <c r="H91" s="112"/>
      <c r="L91" s="35" t="s">
        <v>145</v>
      </c>
      <c r="M91" s="47">
        <v>0.58530000000000004</v>
      </c>
      <c r="N91" s="113">
        <v>0.34287673581347533</v>
      </c>
      <c r="O91" s="35"/>
      <c r="P91" s="111"/>
      <c r="Q91" s="114"/>
    </row>
    <row r="92" spans="1:38" ht="12.6" thickBot="1" x14ac:dyDescent="0.3">
      <c r="A92" s="115"/>
      <c r="B92" s="116"/>
      <c r="C92" s="116"/>
      <c r="D92" s="116"/>
      <c r="E92" s="115"/>
      <c r="F92" s="116"/>
      <c r="G92" s="116"/>
      <c r="H92" s="117"/>
      <c r="L92" s="115"/>
      <c r="M92" s="116"/>
      <c r="N92" s="117"/>
      <c r="O92" s="116"/>
      <c r="P92" s="116"/>
      <c r="Q92" s="117"/>
    </row>
    <row r="93" spans="1:38" x14ac:dyDescent="0.25">
      <c r="A93" s="118"/>
      <c r="B93" s="119"/>
      <c r="C93" s="119"/>
      <c r="D93" s="119"/>
      <c r="E93" s="84"/>
      <c r="F93" s="84"/>
      <c r="G93" s="84"/>
      <c r="H93" s="84"/>
      <c r="I93" s="84"/>
      <c r="J93" s="84"/>
      <c r="K93" s="84"/>
      <c r="L93" s="84"/>
      <c r="M93" s="119"/>
      <c r="Q93" s="16"/>
    </row>
    <row r="94" spans="1:38" x14ac:dyDescent="0.25">
      <c r="A94" s="12" t="s">
        <v>180</v>
      </c>
      <c r="B94" s="120"/>
      <c r="C94" s="120"/>
      <c r="D94" s="120"/>
      <c r="E94" s="120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8"/>
      <c r="B95" s="119"/>
      <c r="C95" s="119"/>
      <c r="D95" s="119"/>
      <c r="E95" s="119"/>
      <c r="F95" s="84"/>
      <c r="G95" s="84"/>
      <c r="H95" s="119"/>
      <c r="I95" s="84"/>
      <c r="J95" s="84"/>
      <c r="K95" s="84"/>
      <c r="L95" s="84"/>
      <c r="M95" s="119"/>
      <c r="Q95" s="16"/>
    </row>
    <row r="96" spans="1:38" ht="12.6" thickBot="1" x14ac:dyDescent="0.3">
      <c r="A96" s="121"/>
      <c r="B96" s="122"/>
      <c r="C96" s="122"/>
      <c r="D96" s="122"/>
      <c r="E96" s="122"/>
      <c r="F96" s="123"/>
      <c r="G96" s="123"/>
      <c r="H96" s="123"/>
      <c r="I96" s="124"/>
      <c r="J96" s="124"/>
      <c r="K96" s="124"/>
      <c r="L96" s="124"/>
      <c r="M96" s="124"/>
      <c r="N96" s="124"/>
      <c r="O96" s="124"/>
      <c r="P96" s="124"/>
      <c r="Q96" s="125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6"/>
      <c r="J100" s="126"/>
      <c r="K100" s="126"/>
      <c r="O100" s="126"/>
      <c r="P100" s="126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6"/>
      <c r="J103" s="126"/>
      <c r="K103" s="126"/>
      <c r="O103" s="126"/>
      <c r="P103" s="126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6"/>
      <c r="J105" s="126"/>
      <c r="K105" s="126"/>
      <c r="O105" s="126"/>
      <c r="P105" s="126"/>
    </row>
  </sheetData>
  <sheetProtection algorithmName="SHA-512" hashValue="HxstLHbMyulb85/TQMZTNOaPO0uClNcTf6jsFQf8VyUMRVBQMDlLBR9UDtNPWan8jHI4hmcLmInWUPIGR3v8WA==" saltValue="OVFAJuvfSUZfil2EGSTLRA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2026-05-06T14:03:57Z</dcterms:created>
  <dcterms:modified xsi:type="dcterms:W3CDTF">2026-05-06T14:09:42Z</dcterms:modified>
</cp:coreProperties>
</file>