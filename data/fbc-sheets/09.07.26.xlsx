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9.07.26/"/>
    </mc:Choice>
  </mc:AlternateContent>
  <xr:revisionPtr revIDLastSave="0" documentId="8_{96B3DA92-8C70-4C15-9B4A-1B5318E7BD63}" xr6:coauthVersionLast="47" xr6:coauthVersionMax="47" xr10:uidLastSave="{00000000-0000-0000-0000-000000000000}"/>
  <bookViews>
    <workbookView xWindow="-108" yWindow="-108" windowWidth="23256" windowHeight="12456" xr2:uid="{2740B614-94E4-4685-932E-28F773BA3001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6" i="1" l="1"/>
  <c r="N86" i="1"/>
  <c r="Q85" i="1"/>
  <c r="M85" i="1"/>
  <c r="L85" i="1"/>
  <c r="K85" i="1"/>
  <c r="J85" i="1"/>
  <c r="P85" i="1" s="1"/>
  <c r="E85" i="1"/>
  <c r="Q84" i="1"/>
  <c r="P84" i="1"/>
  <c r="M84" i="1"/>
  <c r="L84" i="1"/>
  <c r="K84" i="1"/>
  <c r="E84" i="1" s="1"/>
  <c r="J84" i="1"/>
  <c r="D84" i="1" s="1"/>
  <c r="O82" i="1"/>
  <c r="N82" i="1"/>
  <c r="Q81" i="1"/>
  <c r="M81" i="1"/>
  <c r="L81" i="1"/>
  <c r="K81" i="1"/>
  <c r="E81" i="1" s="1"/>
  <c r="J81" i="1"/>
  <c r="D81" i="1" s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M75" i="1"/>
  <c r="L75" i="1"/>
  <c r="J75" i="1"/>
  <c r="K75" i="1" s="1"/>
  <c r="E75" i="1" s="1"/>
  <c r="D75" i="1"/>
  <c r="O73" i="1"/>
  <c r="N73" i="1"/>
  <c r="M72" i="1"/>
  <c r="L72" i="1"/>
  <c r="J72" i="1"/>
  <c r="D72" i="1" s="1"/>
  <c r="M71" i="1"/>
  <c r="L71" i="1"/>
  <c r="J71" i="1"/>
  <c r="D71" i="1" s="1"/>
  <c r="M68" i="1"/>
  <c r="L68" i="1"/>
  <c r="D68" i="1"/>
  <c r="O66" i="1"/>
  <c r="N66" i="1"/>
  <c r="M65" i="1"/>
  <c r="L65" i="1"/>
  <c r="J65" i="1"/>
  <c r="Q65" i="1" s="1"/>
  <c r="M64" i="1"/>
  <c r="L64" i="1"/>
  <c r="J64" i="1"/>
  <c r="Q64" i="1" s="1"/>
  <c r="D64" i="1"/>
  <c r="M63" i="1"/>
  <c r="L63" i="1"/>
  <c r="J63" i="1"/>
  <c r="Q63" i="1" s="1"/>
  <c r="D63" i="1"/>
  <c r="M62" i="1"/>
  <c r="L62" i="1"/>
  <c r="J62" i="1"/>
  <c r="Q62" i="1" s="1"/>
  <c r="M61" i="1"/>
  <c r="L61" i="1"/>
  <c r="J61" i="1"/>
  <c r="Q61" i="1" s="1"/>
  <c r="M60" i="1"/>
  <c r="L60" i="1"/>
  <c r="J60" i="1"/>
  <c r="P60" i="1" s="1"/>
  <c r="D60" i="1"/>
  <c r="M59" i="1"/>
  <c r="L59" i="1"/>
  <c r="J59" i="1"/>
  <c r="Q59" i="1" s="1"/>
  <c r="M58" i="1"/>
  <c r="L58" i="1"/>
  <c r="J58" i="1"/>
  <c r="Q58" i="1" s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D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P44" i="1" s="1"/>
  <c r="Q43" i="1"/>
  <c r="M43" i="1"/>
  <c r="L43" i="1"/>
  <c r="K43" i="1"/>
  <c r="E43" i="1" s="1"/>
  <c r="J43" i="1"/>
  <c r="D43" i="1" s="1"/>
  <c r="Q42" i="1"/>
  <c r="M42" i="1"/>
  <c r="L42" i="1"/>
  <c r="K42" i="1"/>
  <c r="E42" i="1" s="1"/>
  <c r="J42" i="1"/>
  <c r="P42" i="1" s="1"/>
  <c r="D42" i="1"/>
  <c r="Q41" i="1"/>
  <c r="M41" i="1"/>
  <c r="L41" i="1"/>
  <c r="K41" i="1"/>
  <c r="J41" i="1"/>
  <c r="P41" i="1" s="1"/>
  <c r="E41" i="1"/>
  <c r="Q40" i="1"/>
  <c r="M40" i="1"/>
  <c r="L40" i="1"/>
  <c r="K40" i="1"/>
  <c r="E40" i="1" s="1"/>
  <c r="J40" i="1"/>
  <c r="D40" i="1" s="1"/>
  <c r="Q39" i="1"/>
  <c r="M39" i="1"/>
  <c r="L39" i="1"/>
  <c r="K39" i="1"/>
  <c r="J39" i="1"/>
  <c r="D39" i="1" s="1"/>
  <c r="E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J36" i="1"/>
  <c r="P36" i="1" s="1"/>
  <c r="E36" i="1"/>
  <c r="Q35" i="1"/>
  <c r="M35" i="1"/>
  <c r="L35" i="1"/>
  <c r="K35" i="1"/>
  <c r="E35" i="1" s="1"/>
  <c r="J35" i="1"/>
  <c r="P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J31" i="1"/>
  <c r="E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P26" i="1" s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Q22" i="1"/>
  <c r="M22" i="1"/>
  <c r="L22" i="1"/>
  <c r="K22" i="1"/>
  <c r="J22" i="1"/>
  <c r="D22" i="1" s="1"/>
  <c r="E22" i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D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D12" i="1"/>
  <c r="Q11" i="1"/>
  <c r="M11" i="1"/>
  <c r="L11" i="1"/>
  <c r="K11" i="1"/>
  <c r="J11" i="1"/>
  <c r="P11" i="1" s="1"/>
  <c r="E11" i="1"/>
  <c r="Q10" i="1"/>
  <c r="M10" i="1"/>
  <c r="L10" i="1"/>
  <c r="K10" i="1"/>
  <c r="J10" i="1"/>
  <c r="P10" i="1" s="1"/>
  <c r="E10" i="1"/>
  <c r="Q9" i="1"/>
  <c r="M9" i="1"/>
  <c r="L9" i="1"/>
  <c r="K9" i="1"/>
  <c r="E9" i="1" s="1"/>
  <c r="J9" i="1"/>
  <c r="D9" i="1" s="1"/>
  <c r="D11" i="1" l="1"/>
  <c r="D33" i="1"/>
  <c r="D35" i="1"/>
  <c r="P29" i="1"/>
  <c r="P56" i="1"/>
  <c r="D55" i="1"/>
  <c r="D58" i="1"/>
  <c r="P9" i="1"/>
  <c r="D10" i="1"/>
  <c r="D23" i="1"/>
  <c r="P32" i="1"/>
  <c r="D41" i="1"/>
  <c r="P54" i="1"/>
  <c r="P21" i="1"/>
  <c r="Q54" i="1"/>
  <c r="P43" i="1"/>
  <c r="D16" i="1"/>
  <c r="D44" i="1"/>
  <c r="D62" i="1"/>
  <c r="D65" i="1"/>
  <c r="D59" i="1"/>
  <c r="P20" i="1"/>
  <c r="P40" i="1"/>
  <c r="Q52" i="1"/>
  <c r="Q75" i="1"/>
  <c r="D17" i="1"/>
  <c r="Q60" i="1"/>
  <c r="P52" i="1"/>
  <c r="P64" i="1"/>
  <c r="P62" i="1"/>
  <c r="P75" i="1"/>
  <c r="K72" i="1"/>
  <c r="E72" i="1" s="1"/>
  <c r="D27" i="1"/>
  <c r="P46" i="1"/>
  <c r="P58" i="1"/>
  <c r="D61" i="1"/>
  <c r="P72" i="1"/>
  <c r="D14" i="1"/>
  <c r="D36" i="1"/>
  <c r="D45" i="1"/>
  <c r="Q72" i="1"/>
  <c r="D85" i="1"/>
  <c r="K71" i="1"/>
  <c r="E71" i="1" s="1"/>
  <c r="P34" i="1"/>
  <c r="P37" i="1"/>
  <c r="P55" i="1"/>
  <c r="P59" i="1"/>
  <c r="P63" i="1"/>
  <c r="P51" i="1"/>
  <c r="P71" i="1"/>
  <c r="P25" i="1"/>
  <c r="P28" i="1"/>
  <c r="P57" i="1"/>
  <c r="P61" i="1"/>
  <c r="P65" i="1"/>
  <c r="P19" i="1"/>
  <c r="Q71" i="1"/>
</calcChain>
</file>

<file path=xl/sharedStrings.xml><?xml version="1.0" encoding="utf-8"?>
<sst xmlns="http://schemas.openxmlformats.org/spreadsheetml/2006/main" count="275" uniqueCount="184">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</sst>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8FA95C34-3FA2-497B-8BAB-EB0472C1C71B}"/>
    <cellStyle name="Comma 5 2 2 2 2 2 2 2 2" xfId="4" xr:uid="{EF719503-FEA1-4A01-89AD-5DBC3B047316}"/>
    <cellStyle name="Comma 6 2 2 2" xfId="5" xr:uid="{84C3596A-4D4A-4F2D-82C5-7E5C0F383002}"/>
    <cellStyle name="Hyperlink 2" xfId="8" xr:uid="{E00DD127-5C81-443D-8D40-8B29BFD4AB17}"/>
    <cellStyle name="Normal" xfId="0" builtinId="0"/>
    <cellStyle name="Normal 2" xfId="2" xr:uid="{934E20F8-46B4-4C48-8779-34E045F19DE5}"/>
    <cellStyle name="Normal 20" xfId="7" xr:uid="{38F54DF5-05DF-42B8-B14A-80F9368D3AFF}"/>
    <cellStyle name="Percent" xfId="1" builtinId="5"/>
    <cellStyle name="Percent 3" xfId="6" xr:uid="{76DDF76F-DCAF-4FD6-96E6-973D174AAB9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7D5601A-A5D1-4BE7-8C7F-D799D0AE8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971384E-7302-4146-BB7C-0AF30DD98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E343-99E6-4805-AEE0-0405488CA5D4}">
  <dimension ref="A1:II107"/>
  <sheetViews>
    <sheetView tabSelected="1" zoomScale="70" zoomScaleNormal="60" workbookViewId="0">
      <selection activeCell="T26" sqref="T2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26.757300000000001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74422461.765574247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0.59049306170652494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2.5402499999999998E-2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4227033.1405821964</v>
      </c>
      <c r="E10" s="39">
        <f>C10*K10</f>
        <v>3590602.9794444451</v>
      </c>
      <c r="F10" s="40" t="s">
        <v>34</v>
      </c>
      <c r="G10" s="41">
        <v>3.1600000000000003E-2</v>
      </c>
      <c r="H10" s="42">
        <v>6.54E-2</v>
      </c>
      <c r="I10" s="43">
        <v>6.9500000000000006E-2</v>
      </c>
      <c r="J10" s="44">
        <f>I10/$J$5</f>
        <v>2.5974220119369296E-3</v>
      </c>
      <c r="K10" s="45">
        <f>I10/$K$4</f>
        <v>2.2063492063492066E-3</v>
      </c>
      <c r="L10" s="46">
        <f>I10-H10</f>
        <v>4.1000000000000064E-3</v>
      </c>
      <c r="M10" s="46">
        <f>((I10-H10)/H10)*100</f>
        <v>6.2691131498471053</v>
      </c>
      <c r="N10" s="47">
        <v>400</v>
      </c>
      <c r="O10" s="37">
        <v>27.8</v>
      </c>
      <c r="P10" s="51">
        <f>(R10)/J10</f>
        <v>0</v>
      </c>
      <c r="Q10" s="49">
        <f>I10/G10-1</f>
        <v>1.1993670886075951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3592852.0059946254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8.2220552895845237E-3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0</v>
      </c>
      <c r="O11" s="37">
        <v>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146438724.32196075</v>
      </c>
      <c r="E12" s="39">
        <f>C12*K12</f>
        <v>124390631.05714285</v>
      </c>
      <c r="F12" s="40" t="s">
        <v>34</v>
      </c>
      <c r="G12" s="41">
        <v>97.381</v>
      </c>
      <c r="H12" s="42">
        <v>189.9</v>
      </c>
      <c r="I12" s="43">
        <v>189.9</v>
      </c>
      <c r="J12" s="44">
        <f>I12/$J$5</f>
        <v>7.0971286340550055</v>
      </c>
      <c r="K12" s="45">
        <f>I12/$K$4</f>
        <v>6.0285714285714285</v>
      </c>
      <c r="L12" s="46">
        <f>I12-H12</f>
        <v>0</v>
      </c>
      <c r="M12" s="46">
        <f>((I12-H12)/H12)*100</f>
        <v>0</v>
      </c>
      <c r="N12" s="47">
        <v>0</v>
      </c>
      <c r="O12" s="37">
        <v>0</v>
      </c>
      <c r="P12" s="51">
        <f>(R12)/J12</f>
        <v>0</v>
      </c>
      <c r="Q12" s="49">
        <f>I12/G12-1</f>
        <v>0.95007239605261806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6202683.0808788631</v>
      </c>
      <c r="E13" s="39">
        <f>C13*K13</f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>I13/$J$5</f>
        <v>0.71008659319139078</v>
      </c>
      <c r="K13" s="45">
        <f>I13/$K$4</f>
        <v>0.60317460317460314</v>
      </c>
      <c r="L13" s="46">
        <f>I13-H13</f>
        <v>0</v>
      </c>
      <c r="M13" s="46">
        <f>((I13-H13)/H13)*100</f>
        <v>0</v>
      </c>
      <c r="N13" s="47">
        <v>0</v>
      </c>
      <c r="O13" s="37">
        <v>0</v>
      </c>
      <c r="P13" s="51">
        <f>(R13)/J13</f>
        <v>0</v>
      </c>
      <c r="Q13" s="49">
        <f>I13/G13-1</f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789782878.59634566</v>
      </c>
      <c r="E14" s="39">
        <f>C14*K14</f>
        <v>670871664.04653966</v>
      </c>
      <c r="F14" s="40" t="s">
        <v>47</v>
      </c>
      <c r="G14" s="41">
        <v>11.5</v>
      </c>
      <c r="H14" s="42">
        <v>40.553699999999999</v>
      </c>
      <c r="I14" s="43">
        <v>40.432400000000001</v>
      </c>
      <c r="J14" s="44">
        <f>I14/$J$5</f>
        <v>1.5110792195027152</v>
      </c>
      <c r="K14" s="45">
        <f>I14/$K$4</f>
        <v>1.283568253968254</v>
      </c>
      <c r="L14" s="46">
        <f>I14-H14</f>
        <v>-0.12129999999999797</v>
      </c>
      <c r="M14" s="46">
        <f>((I14-H14)/H14)*100</f>
        <v>-0.29910957569838997</v>
      </c>
      <c r="N14" s="47">
        <v>48700</v>
      </c>
      <c r="O14" s="37">
        <v>1969060</v>
      </c>
      <c r="P14" s="51">
        <f>(R14)/J14</f>
        <v>0</v>
      </c>
      <c r="Q14" s="49">
        <f>I14/G14-1</f>
        <v>2.5158608695652176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23778380.105616037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0.22423787153412339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67149327.702361599</v>
      </c>
      <c r="E16" s="39">
        <f>C16*K16</f>
        <v>57039197.020012699</v>
      </c>
      <c r="F16" s="40" t="s">
        <v>34</v>
      </c>
      <c r="G16" s="41">
        <v>1.9</v>
      </c>
      <c r="H16" s="42">
        <v>4.3641950000000005</v>
      </c>
      <c r="I16" s="43">
        <v>5.0187999999999997</v>
      </c>
      <c r="J16" s="44">
        <f>I16/$J$5</f>
        <v>0.1875675049425764</v>
      </c>
      <c r="K16" s="45">
        <f>I16/$K$4</f>
        <v>0.15932698412698412</v>
      </c>
      <c r="L16" s="46">
        <f>I16-H16</f>
        <v>0.65460499999999922</v>
      </c>
      <c r="M16" s="46">
        <f>((I16-H16)/H16)*100</f>
        <v>14.999444341969118</v>
      </c>
      <c r="N16" s="47">
        <v>100</v>
      </c>
      <c r="O16" s="37">
        <v>501.88</v>
      </c>
      <c r="P16" s="51">
        <f>(R16)/J16</f>
        <v>0</v>
      </c>
      <c r="Q16" s="49">
        <f>I16/G16-1</f>
        <v>1.6414736842105264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>C17*J17</f>
        <v>1520612404.0824561</v>
      </c>
      <c r="E17" s="39">
        <f>C17*K17</f>
        <v>1291666104.1192222</v>
      </c>
      <c r="F17" s="40" t="s">
        <v>34</v>
      </c>
      <c r="G17" s="41">
        <v>20.701700000000002</v>
      </c>
      <c r="H17" s="42">
        <v>30.100200000000001</v>
      </c>
      <c r="I17" s="43">
        <v>30.1889</v>
      </c>
      <c r="J17" s="44">
        <f>I17/$J$5</f>
        <v>1.128249113326083</v>
      </c>
      <c r="K17" s="45">
        <f>I17/$K$4</f>
        <v>0.95837777777777777</v>
      </c>
      <c r="L17" s="46">
        <f>I17-H17</f>
        <v>8.8699999999999335E-2</v>
      </c>
      <c r="M17" s="46">
        <f>((I17-H17)/H17)*100</f>
        <v>0.29468242735928446</v>
      </c>
      <c r="N17" s="47">
        <v>2200</v>
      </c>
      <c r="O17" s="37">
        <v>66415.649999999994</v>
      </c>
      <c r="P17" s="48">
        <f>(R17)/J17</f>
        <v>4.4316454060929683E-2</v>
      </c>
      <c r="Q17" s="49">
        <f>I17/G17-1</f>
        <v>0.45828120395909488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218704981.38822693</v>
      </c>
      <c r="E19" s="39">
        <f>C19*K19</f>
        <v>185776342.80949855</v>
      </c>
      <c r="F19" s="40" t="s">
        <v>47</v>
      </c>
      <c r="G19" s="41">
        <v>12.45</v>
      </c>
      <c r="H19" s="42">
        <v>8.999899000000001</v>
      </c>
      <c r="I19" s="43">
        <v>8.7089149999999993</v>
      </c>
      <c r="J19" s="44">
        <f>I19/$J$5</f>
        <v>0.32547809382859999</v>
      </c>
      <c r="K19" s="45">
        <f>I19/$K$4</f>
        <v>0.27647349206349203</v>
      </c>
      <c r="L19" s="46">
        <f>I19-H19</f>
        <v>-0.29098400000000169</v>
      </c>
      <c r="M19" s="46">
        <f>((I19-H19)/H19)*100</f>
        <v>-3.2331918391528798</v>
      </c>
      <c r="N19" s="47">
        <v>103200</v>
      </c>
      <c r="O19" s="37">
        <v>898760</v>
      </c>
      <c r="P19" s="51">
        <f>(R19)/J19</f>
        <v>0</v>
      </c>
      <c r="Q19" s="49">
        <f>I19/G19-1</f>
        <v>-0.30048875502008032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2849551.4756720592</v>
      </c>
      <c r="E20" s="39">
        <f>C20*K20</f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2.6161085012314393E-2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85477013.780912101</v>
      </c>
      <c r="E21" s="39">
        <f>C21*K21</f>
        <v>72607431.772698402</v>
      </c>
      <c r="F21" s="40" t="s">
        <v>47</v>
      </c>
      <c r="G21" s="41">
        <v>2.85</v>
      </c>
      <c r="H21" s="42">
        <v>3.3139999999999996</v>
      </c>
      <c r="I21" s="43">
        <v>3.3139999999999996</v>
      </c>
      <c r="J21" s="44">
        <f>I21/$J$5</f>
        <v>0.12385405104401413</v>
      </c>
      <c r="K21" s="45">
        <f>I21/$K$4</f>
        <v>0.10520634920634919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0.1628070175438594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>C22*J22</f>
        <v>0</v>
      </c>
      <c r="E22" s="39">
        <f>C22*K22</f>
        <v>0</v>
      </c>
      <c r="F22" s="40" t="s">
        <v>66</v>
      </c>
      <c r="G22" s="41">
        <v>0.88420599999999994</v>
      </c>
      <c r="H22" s="42">
        <v>0.99</v>
      </c>
      <c r="I22" s="43"/>
      <c r="J22" s="44">
        <f>I22/$J$5</f>
        <v>0</v>
      </c>
      <c r="K22" s="45">
        <f>I22/$K$4</f>
        <v>0</v>
      </c>
      <c r="L22" s="46">
        <f>I22-H22</f>
        <v>-0.99</v>
      </c>
      <c r="M22" s="46">
        <f>((I22-H22)/H22)*100</f>
        <v>-100</v>
      </c>
      <c r="N22" s="53" t="s">
        <v>57</v>
      </c>
      <c r="O22" s="53" t="s">
        <v>57</v>
      </c>
      <c r="P22" s="53" t="s">
        <v>67</v>
      </c>
      <c r="Q22" s="49">
        <f>I22/G22-1</f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>C23*J23</f>
        <v>2466631.5595743968</v>
      </c>
      <c r="E23" s="39">
        <f>C23*K23</f>
        <v>2095250.8136190479</v>
      </c>
      <c r="F23" s="40" t="s">
        <v>44</v>
      </c>
      <c r="G23" s="41">
        <v>0.1</v>
      </c>
      <c r="H23" s="42">
        <v>0.123333</v>
      </c>
      <c r="I23" s="43">
        <v>0.12300000000000001</v>
      </c>
      <c r="J23" s="44">
        <f>I23/$J$5</f>
        <v>4.5968763664495302E-3</v>
      </c>
      <c r="K23" s="45">
        <f>I23/$K$4</f>
        <v>3.9047619047619052E-3</v>
      </c>
      <c r="L23" s="46">
        <f>I23-H23</f>
        <v>-3.3299999999998608E-4</v>
      </c>
      <c r="M23" s="46">
        <f>((I23-H23)/H23)*100</f>
        <v>-0.2700007297316907</v>
      </c>
      <c r="N23" s="47">
        <v>9200</v>
      </c>
      <c r="O23" s="37">
        <v>1131.5999999999999</v>
      </c>
      <c r="P23" s="51">
        <f>(R23)/J23</f>
        <v>0</v>
      </c>
      <c r="Q23" s="49">
        <f>I23/G23-1</f>
        <v>0.22999999999999998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>C24*J24</f>
        <v>79351287.461739406</v>
      </c>
      <c r="E24" s="39">
        <f>C24*K24</f>
        <v>67404006.476190478</v>
      </c>
      <c r="F24" s="40" t="s">
        <v>34</v>
      </c>
      <c r="G24" s="41">
        <v>8.1687659999999997</v>
      </c>
      <c r="H24" s="42">
        <v>9.6999999999999993</v>
      </c>
      <c r="I24" s="43">
        <v>11</v>
      </c>
      <c r="J24" s="44">
        <f>I24/$J$5</f>
        <v>0.41110276447922622</v>
      </c>
      <c r="K24" s="45">
        <f>I24/$K$4</f>
        <v>0.34920634920634919</v>
      </c>
      <c r="L24" s="46">
        <f>I24-H24</f>
        <v>1.3000000000000007</v>
      </c>
      <c r="M24" s="46">
        <f>((I24-H24)/H24)*100</f>
        <v>13.402061855670111</v>
      </c>
      <c r="N24" s="47">
        <v>2600</v>
      </c>
      <c r="O24" s="37">
        <v>28600</v>
      </c>
      <c r="P24" s="51">
        <f>(R24)/J24</f>
        <v>0</v>
      </c>
      <c r="Q24" s="49">
        <f>I24/G24-1</f>
        <v>0.34659261876273595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>C25*J25</f>
        <v>110372571.81217834</v>
      </c>
      <c r="E25" s="39">
        <f>C25*K25</f>
        <v>93754667.166666657</v>
      </c>
      <c r="F25" s="40" t="s">
        <v>66</v>
      </c>
      <c r="G25" s="41">
        <v>1.6675</v>
      </c>
      <c r="H25" s="42">
        <v>1.7480000000000002</v>
      </c>
      <c r="I25" s="43">
        <v>1.75</v>
      </c>
      <c r="J25" s="44">
        <f>I25/$J$5</f>
        <v>6.5402712530785986E-2</v>
      </c>
      <c r="K25" s="45">
        <f>I25/$K$4</f>
        <v>5.5555555555555552E-2</v>
      </c>
      <c r="L25" s="46">
        <f>I25-H25</f>
        <v>1.9999999999997797E-3</v>
      </c>
      <c r="M25" s="46">
        <f>((I25-H25)/H25)*100</f>
        <v>0.11441647597252742</v>
      </c>
      <c r="N25" s="47">
        <v>300</v>
      </c>
      <c r="O25" s="37">
        <v>525</v>
      </c>
      <c r="P25" s="51">
        <f>(R25)/J25</f>
        <v>0</v>
      </c>
      <c r="Q25" s="49">
        <f>I25/G25-1</f>
        <v>4.9475262368815498E-2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>C26*J26</f>
        <v>26022198.399838023</v>
      </c>
      <c r="E26" s="39">
        <f>C26*K26</f>
        <v>22104246.642666221</v>
      </c>
      <c r="F26" s="40" t="s">
        <v>44</v>
      </c>
      <c r="G26" s="41">
        <v>1.7994999999999999</v>
      </c>
      <c r="H26" s="42">
        <v>2.908598</v>
      </c>
      <c r="I26" s="43">
        <v>2.908598</v>
      </c>
      <c r="J26" s="44">
        <f>I26/$J$5</f>
        <v>0.10870297077806804</v>
      </c>
      <c r="K26" s="45">
        <f>I26/$K$4</f>
        <v>9.2336444444444443E-2</v>
      </c>
      <c r="L26" s="46">
        <f>I26-H26</f>
        <v>0</v>
      </c>
      <c r="M26" s="46">
        <f>((I26-H26)/H26)*100</f>
        <v>0</v>
      </c>
      <c r="N26" s="47">
        <v>0</v>
      </c>
      <c r="O26" s="37">
        <v>0</v>
      </c>
      <c r="P26" s="51">
        <f>(R26)/J26</f>
        <v>0</v>
      </c>
      <c r="Q26" s="49">
        <f>I26/G26-1</f>
        <v>0.61633676021116979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>C27*J27</f>
        <v>23932790.397386882</v>
      </c>
      <c r="E27" s="39">
        <f>C27*K27</f>
        <v>20329423.888888888</v>
      </c>
      <c r="F27" s="40" t="s">
        <v>34</v>
      </c>
      <c r="G27" s="41">
        <v>3.1361369999999997</v>
      </c>
      <c r="H27" s="42">
        <v>2.7</v>
      </c>
      <c r="I27" s="43">
        <v>2.5</v>
      </c>
      <c r="J27" s="44">
        <f>I27/$J$5</f>
        <v>9.3432446472551417E-2</v>
      </c>
      <c r="K27" s="45">
        <f>I27/$K$4</f>
        <v>7.9365079365079361E-2</v>
      </c>
      <c r="L27" s="46">
        <f>I27-H27</f>
        <v>-0.20000000000000018</v>
      </c>
      <c r="M27" s="46">
        <f>((I27-H27)/H27)*100</f>
        <v>-7.4074074074074137</v>
      </c>
      <c r="N27" s="47">
        <v>2000</v>
      </c>
      <c r="O27" s="37">
        <v>5000</v>
      </c>
      <c r="P27" s="51">
        <f>(R27)/J27</f>
        <v>0</v>
      </c>
      <c r="Q27" s="49">
        <f>I27/G27-1</f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>C28*J28</f>
        <v>21180615.224630289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2.8029733941765424E-2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>C29*J29</f>
        <v>93997744.944370314</v>
      </c>
      <c r="E29" s="39">
        <f>C29*K29</f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>I29/$J$5</f>
        <v>0.20928868009851515</v>
      </c>
      <c r="K29" s="45">
        <f>I29/$K$4</f>
        <v>0.17777777777777776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>I31/$J$5</f>
        <v>0</v>
      </c>
      <c r="K31" s="56">
        <f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>C32*J32</f>
        <v>11623633.447898328</v>
      </c>
      <c r="E32" s="39">
        <f>C32*K32</f>
        <v>9873557.0557285696</v>
      </c>
      <c r="F32" s="40" t="s">
        <v>39</v>
      </c>
      <c r="G32" s="41">
        <v>1.4</v>
      </c>
      <c r="H32" s="42">
        <v>1.1968349999999999</v>
      </c>
      <c r="I32" s="43">
        <v>1.1968349999999999</v>
      </c>
      <c r="J32" s="44">
        <f>I32/$J$5</f>
        <v>4.4729288829590423E-2</v>
      </c>
      <c r="K32" s="45">
        <f>I32/$K$4</f>
        <v>3.7994761904761899E-2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-0.14511785714285719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>C33*J33</f>
        <v>3876514.0541085978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3.1767031800667478E-2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>C34*J34</f>
        <v>116580126.87191907</v>
      </c>
      <c r="E34" s="39">
        <f>C34*K34</f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>I34/$J$5</f>
        <v>4.6716223236275708E-2</v>
      </c>
      <c r="K34" s="45">
        <f>I34/$K$4</f>
        <v>3.968253968253968E-2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>C35*J35</f>
        <v>43579424.000179388</v>
      </c>
      <c r="E35" s="39">
        <f>C35*K35</f>
        <v>37018022.914285712</v>
      </c>
      <c r="F35" s="40" t="s">
        <v>34</v>
      </c>
      <c r="G35" s="41">
        <v>3.6056249999999999</v>
      </c>
      <c r="H35" s="42">
        <v>4.0026479999999998</v>
      </c>
      <c r="I35" s="43">
        <v>4.5999999999999996</v>
      </c>
      <c r="J35" s="44">
        <f>I35/$J$5</f>
        <v>0.17191570150949459</v>
      </c>
      <c r="K35" s="45">
        <f>I35/$K$4</f>
        <v>0.14603174603174601</v>
      </c>
      <c r="L35" s="46">
        <f>I35-H35</f>
        <v>0.59735199999999988</v>
      </c>
      <c r="M35" s="46">
        <f>((I35-H35)/H35)*100</f>
        <v>14.923920364718555</v>
      </c>
      <c r="N35" s="47">
        <v>200</v>
      </c>
      <c r="O35" s="37">
        <v>920</v>
      </c>
      <c r="P35" s="51">
        <f>(R35)/J35</f>
        <v>0</v>
      </c>
      <c r="Q35" s="49">
        <f>I35/G35-1</f>
        <v>0.27578436470792167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>C36*J36</f>
        <v>7401102.8897534506</v>
      </c>
      <c r="E36" s="39">
        <f>C36*K36</f>
        <v>6286778.7413333338</v>
      </c>
      <c r="F36" s="40" t="s">
        <v>34</v>
      </c>
      <c r="G36" s="41">
        <v>2.5099999999999997E-2</v>
      </c>
      <c r="H36" s="42">
        <v>4.0986000000000002E-2</v>
      </c>
      <c r="I36" s="43">
        <v>4.2000000000000003E-2</v>
      </c>
      <c r="J36" s="44">
        <f>I36/$J$5</f>
        <v>1.5696651007388639E-3</v>
      </c>
      <c r="K36" s="45">
        <f>I36/$K$4</f>
        <v>1.3333333333333335E-3</v>
      </c>
      <c r="L36" s="46">
        <f>I36-H36</f>
        <v>1.014000000000001E-3</v>
      </c>
      <c r="M36" s="46">
        <f>((I36-H36)/H36)*100</f>
        <v>2.4740155174937808</v>
      </c>
      <c r="N36" s="47">
        <v>2900</v>
      </c>
      <c r="O36" s="37">
        <v>121.8</v>
      </c>
      <c r="P36" s="51">
        <f>(R36)/J36</f>
        <v>0</v>
      </c>
      <c r="Q36" s="49">
        <f>I36/G36-1</f>
        <v>0.67330677290836682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>C37*J37</f>
        <v>70102050.550558016</v>
      </c>
      <c r="E37" s="39">
        <f>C37*K37</f>
        <v>59547352.291950665</v>
      </c>
      <c r="F37" s="40" t="s">
        <v>93</v>
      </c>
      <c r="G37" s="41">
        <v>0.61</v>
      </c>
      <c r="H37" s="42">
        <v>3.6</v>
      </c>
      <c r="I37" s="43">
        <v>3.572222</v>
      </c>
      <c r="J37" s="44">
        <f>I37/$J$5</f>
        <v>0.13350457632122822</v>
      </c>
      <c r="K37" s="45">
        <f>I37/$K$4</f>
        <v>0.11340387301587301</v>
      </c>
      <c r="L37" s="46">
        <f>I37-H37</f>
        <v>-2.777800000000008E-2</v>
      </c>
      <c r="M37" s="46">
        <f>((I37-H37)/H37)*100</f>
        <v>-0.77161111111111336</v>
      </c>
      <c r="N37" s="47">
        <v>1800</v>
      </c>
      <c r="O37" s="37">
        <v>6430</v>
      </c>
      <c r="P37" s="51">
        <f>(R37)/J37</f>
        <v>0</v>
      </c>
      <c r="Q37" s="49">
        <f>I37/G37-1</f>
        <v>4.8561016393442626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>C38*J38</f>
        <v>31741802.479419034</v>
      </c>
      <c r="E38" s="39">
        <f>C38*K38</f>
        <v>26962696.237541556</v>
      </c>
      <c r="F38" s="40" t="s">
        <v>56</v>
      </c>
      <c r="G38" s="41">
        <v>0.11650199999999999</v>
      </c>
      <c r="H38" s="42">
        <v>0.22642900000000002</v>
      </c>
      <c r="I38" s="43">
        <v>0.20247099999999998</v>
      </c>
      <c r="J38" s="44">
        <f>I38/$J$5</f>
        <v>7.5669443478975822E-3</v>
      </c>
      <c r="K38" s="45">
        <f>I38/$K$4</f>
        <v>6.4276507936507936E-3</v>
      </c>
      <c r="L38" s="46">
        <f>I38-H38</f>
        <v>-2.3958000000000035E-2</v>
      </c>
      <c r="M38" s="46">
        <f>((I38-H38)/H38)*100</f>
        <v>-10.580800162523365</v>
      </c>
      <c r="N38" s="47">
        <v>103100</v>
      </c>
      <c r="O38" s="37">
        <v>20874.8</v>
      </c>
      <c r="P38" s="51">
        <v>0</v>
      </c>
      <c r="Q38" s="49">
        <f>I38/G38-1</f>
        <v>0.73791866234056069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>C39*J39</f>
        <v>0</v>
      </c>
      <c r="E39" s="39">
        <f>C39*K39</f>
        <v>0</v>
      </c>
      <c r="F39" s="40" t="s">
        <v>34</v>
      </c>
      <c r="G39" s="41">
        <v>2.6005000000000003</v>
      </c>
      <c r="H39" s="42">
        <v>6.9635580000000008</v>
      </c>
      <c r="I39" s="43"/>
      <c r="J39" s="44">
        <f>I39/$J$5</f>
        <v>0</v>
      </c>
      <c r="K39" s="45">
        <f>I39/$K$4</f>
        <v>0</v>
      </c>
      <c r="L39" s="46">
        <f>I39-H39</f>
        <v>-6.9635580000000008</v>
      </c>
      <c r="M39" s="46">
        <f>((I39-H39)/H39)*100</f>
        <v>-100</v>
      </c>
      <c r="N39" s="53" t="s">
        <v>57</v>
      </c>
      <c r="O39" s="53" t="s">
        <v>57</v>
      </c>
      <c r="P39" s="53" t="s">
        <v>86</v>
      </c>
      <c r="Q39" s="49">
        <f>I39/G39-1</f>
        <v>-1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>C40*J40</f>
        <v>18930467.114941791</v>
      </c>
      <c r="E40" s="39">
        <f>C40*K40</f>
        <v>16080259.928083556</v>
      </c>
      <c r="F40" s="40" t="s">
        <v>39</v>
      </c>
      <c r="G40" s="41">
        <v>0.1</v>
      </c>
      <c r="H40" s="42">
        <v>0.11</v>
      </c>
      <c r="I40" s="43">
        <v>0.117368</v>
      </c>
      <c r="J40" s="44">
        <f>I40/$J$5</f>
        <v>4.3863917510361655E-3</v>
      </c>
      <c r="K40" s="45">
        <f>I40/$K$4</f>
        <v>3.7259682539682541E-3</v>
      </c>
      <c r="L40" s="46">
        <f>I40-H40</f>
        <v>7.3679999999999995E-3</v>
      </c>
      <c r="M40" s="46">
        <f>((I40-H40)/H40)*100</f>
        <v>6.6981818181818182</v>
      </c>
      <c r="N40" s="47">
        <v>1900</v>
      </c>
      <c r="O40" s="37">
        <v>223</v>
      </c>
      <c r="P40" s="51">
        <f>(R40)/J40</f>
        <v>0</v>
      </c>
      <c r="Q40" s="49">
        <f>I40/G40-1</f>
        <v>0.17367999999999983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>C41*J41</f>
        <v>6844326.133055279</v>
      </c>
      <c r="E41" s="39">
        <f>C41*K41</f>
        <v>5813831.3536507934</v>
      </c>
      <c r="F41" s="40" t="s">
        <v>44</v>
      </c>
      <c r="G41" s="41">
        <v>1.7452379999999998</v>
      </c>
      <c r="H41" s="42">
        <v>1.72</v>
      </c>
      <c r="I41" s="43">
        <v>1.72</v>
      </c>
      <c r="J41" s="44">
        <f>I41/$J$5</f>
        <v>6.4281523173115376E-2</v>
      </c>
      <c r="K41" s="45">
        <f>I41/$K$4</f>
        <v>5.4603174603174605E-2</v>
      </c>
      <c r="L41" s="46">
        <f>I41-H41</f>
        <v>0</v>
      </c>
      <c r="M41" s="46">
        <f>((I41-H41)/H41)*100</f>
        <v>0</v>
      </c>
      <c r="N41" s="47">
        <v>0</v>
      </c>
      <c r="O41" s="37">
        <v>0</v>
      </c>
      <c r="P41" s="51">
        <f>(R41)/J41</f>
        <v>0</v>
      </c>
      <c r="Q41" s="49">
        <f>I41/G41-1</f>
        <v>-1.4461064909198518E-2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>C42*J42</f>
        <v>3986952.5579935196</v>
      </c>
      <c r="E42" s="39">
        <f>C42*K42</f>
        <v>3386669.3866666667</v>
      </c>
      <c r="F42" s="40" t="s">
        <v>39</v>
      </c>
      <c r="G42" s="41">
        <v>0.03</v>
      </c>
      <c r="H42" s="42">
        <v>6.3039999999999999E-2</v>
      </c>
      <c r="I42" s="43">
        <v>0.06</v>
      </c>
      <c r="J42" s="44">
        <f>I42/$J$5</f>
        <v>2.2423787153412339E-3</v>
      </c>
      <c r="K42" s="45">
        <f>I42/$K$4</f>
        <v>1.9047619047619048E-3</v>
      </c>
      <c r="L42" s="46">
        <f>I42-H42</f>
        <v>-3.040000000000001E-3</v>
      </c>
      <c r="M42" s="46">
        <f>((I42-H42)/H42)*100</f>
        <v>-4.8223350253807125</v>
      </c>
      <c r="N42" s="47">
        <v>700</v>
      </c>
      <c r="O42" s="37">
        <v>42</v>
      </c>
      <c r="P42" s="51">
        <f>(R42)/J42</f>
        <v>0</v>
      </c>
      <c r="Q42" s="49">
        <f>I42/G42-1</f>
        <v>1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>C43*J43</f>
        <v>36010678.618545219</v>
      </c>
      <c r="E43" s="39">
        <f>C43*K43</f>
        <v>30588842.253968254</v>
      </c>
      <c r="F43" s="40" t="s">
        <v>47</v>
      </c>
      <c r="G43" s="41">
        <v>4.5</v>
      </c>
      <c r="H43" s="42">
        <v>5.5</v>
      </c>
      <c r="I43" s="43">
        <v>5.5</v>
      </c>
      <c r="J43" s="44">
        <f>I43/$J$5</f>
        <v>0.20555138223961311</v>
      </c>
      <c r="K43" s="45">
        <f>I43/$K$4</f>
        <v>0.17460317460317459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0.22222222222222232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>C44*J44</f>
        <v>311.69355271271763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6.7271361460237021E-7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>C45*J45</f>
        <v>1511183.8638427642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2.6235830969492434E-3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>C46*J46</f>
        <v>47566576.231533073</v>
      </c>
      <c r="E46" s="39">
        <f>C46*K46</f>
        <v>40404861.911111109</v>
      </c>
      <c r="F46" s="40" t="s">
        <v>47</v>
      </c>
      <c r="G46" s="41">
        <v>0.9998999999999999</v>
      </c>
      <c r="H46" s="42">
        <v>0.67045500000000002</v>
      </c>
      <c r="I46" s="43">
        <v>0.7</v>
      </c>
      <c r="J46" s="44">
        <f>I46/$J$5</f>
        <v>2.6161085012314393E-2</v>
      </c>
      <c r="K46" s="45">
        <f>I46/$K$4</f>
        <v>2.222222222222222E-2</v>
      </c>
      <c r="L46" s="46">
        <f>I46-H46</f>
        <v>2.9544999999999932E-2</v>
      </c>
      <c r="M46" s="46">
        <f>((I46-H46)/H46)*100</f>
        <v>4.4067088768075307</v>
      </c>
      <c r="N46" s="47">
        <v>12500</v>
      </c>
      <c r="O46" s="37">
        <v>8750</v>
      </c>
      <c r="P46" s="51">
        <f>(R46)/J46</f>
        <v>0</v>
      </c>
      <c r="Q46" s="49">
        <f>I46/G46-1</f>
        <v>-0.2999299929992999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>C47*J47</f>
        <v>5182208.2945588687</v>
      </c>
      <c r="E47" s="39">
        <f>C47*K47</f>
        <v>4401965.1428571427</v>
      </c>
      <c r="F47" s="40" t="s">
        <v>47</v>
      </c>
      <c r="G47" s="41">
        <v>1.4503460000000001</v>
      </c>
      <c r="H47" s="42">
        <v>1.3678569999999999</v>
      </c>
      <c r="I47" s="43">
        <v>1.35</v>
      </c>
      <c r="J47" s="44">
        <f>I47/$J$5</f>
        <v>5.045352109517777E-2</v>
      </c>
      <c r="K47" s="45">
        <f>I47/$K$4</f>
        <v>4.2857142857142858E-2</v>
      </c>
      <c r="L47" s="46">
        <f>I47-H47</f>
        <v>-1.785699999999979E-2</v>
      </c>
      <c r="M47" s="46">
        <f>((I47-H47)/H47)*100</f>
        <v>-1.3054727211981803</v>
      </c>
      <c r="N47" s="47">
        <v>200</v>
      </c>
      <c r="O47" s="37">
        <v>270</v>
      </c>
      <c r="P47" s="51">
        <v>0</v>
      </c>
      <c r="Q47" s="49">
        <f>I47/G47-1</f>
        <v>-6.9187628331446427E-2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292000</v>
      </c>
      <c r="O48" s="61">
        <f>SUM(O9:O47)</f>
        <v>3007653.53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120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>C51*J51</f>
        <v>78132779.366400003</v>
      </c>
      <c r="E51" s="39">
        <v>0</v>
      </c>
      <c r="F51" s="40" t="s">
        <v>93</v>
      </c>
      <c r="G51" s="70">
        <v>0.1</v>
      </c>
      <c r="H51" s="42">
        <v>0.1419</v>
      </c>
      <c r="I51" s="42">
        <v>0.14080000000000001</v>
      </c>
      <c r="J51" s="44">
        <f>I51</f>
        <v>0.14080000000000001</v>
      </c>
      <c r="K51" s="39">
        <v>0</v>
      </c>
      <c r="L51" s="46">
        <f>I51-H51</f>
        <v>-1.0999999999999899E-3</v>
      </c>
      <c r="M51" s="46">
        <f>((I51-H51)/H51)*100</f>
        <v>-0.77519379844960523</v>
      </c>
      <c r="N51" s="47">
        <v>23755</v>
      </c>
      <c r="O51" s="37">
        <v>3343.7</v>
      </c>
      <c r="P51" s="71">
        <f>(R51)/J51</f>
        <v>0</v>
      </c>
      <c r="Q51" s="49">
        <f>J51/G51-1</f>
        <v>0.40799999999999992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>C52*J52</f>
        <v>56396716.116500005</v>
      </c>
      <c r="E52" s="39">
        <v>0</v>
      </c>
      <c r="F52" s="40" t="s">
        <v>39</v>
      </c>
      <c r="G52" s="70">
        <v>39.9</v>
      </c>
      <c r="H52" s="42">
        <v>49.933300000000003</v>
      </c>
      <c r="I52" s="42">
        <v>53.320900000000002</v>
      </c>
      <c r="J52" s="44">
        <f>I52</f>
        <v>53.320900000000002</v>
      </c>
      <c r="K52" s="39">
        <v>0</v>
      </c>
      <c r="L52" s="46">
        <f>I52-H52</f>
        <v>3.3875999999999991</v>
      </c>
      <c r="M52" s="46">
        <f>((I52-H52)/H52)*100</f>
        <v>6.7842501897531289</v>
      </c>
      <c r="N52" s="47">
        <v>827</v>
      </c>
      <c r="O52" s="37">
        <v>44096.35</v>
      </c>
      <c r="P52" s="72">
        <f>(R52)/J52</f>
        <v>1.0502448383279352E-2</v>
      </c>
      <c r="Q52" s="49">
        <f>J52/G52-1</f>
        <v>0.33636340852130342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>C53*J53</f>
        <v>711536409.67340004</v>
      </c>
      <c r="E53" s="39"/>
      <c r="F53" s="40" t="s">
        <v>56</v>
      </c>
      <c r="G53" s="70">
        <v>0.33</v>
      </c>
      <c r="H53" s="42">
        <v>0.2477</v>
      </c>
      <c r="I53" s="42">
        <v>0.23780000000000001</v>
      </c>
      <c r="J53" s="44">
        <f>I53</f>
        <v>0.23780000000000001</v>
      </c>
      <c r="K53" s="39">
        <v>0</v>
      </c>
      <c r="L53" s="46">
        <f>I53-H53</f>
        <v>-9.8999999999999921E-3</v>
      </c>
      <c r="M53" s="46">
        <f>((I53-H53)/H53)*100</f>
        <v>-3.9967702866370578</v>
      </c>
      <c r="N53" s="47">
        <v>791967</v>
      </c>
      <c r="O53" s="37">
        <v>188328.4</v>
      </c>
      <c r="P53" s="71">
        <v>0</v>
      </c>
      <c r="Q53" s="49">
        <f>J53/G53-1</f>
        <v>-0.27939393939393942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>C54*J54</f>
        <v>20731192.062000003</v>
      </c>
      <c r="E54" s="39">
        <v>0</v>
      </c>
      <c r="F54" s="40" t="s">
        <v>34</v>
      </c>
      <c r="G54" s="70">
        <v>2.3E-2</v>
      </c>
      <c r="H54" s="42">
        <v>3.9E-2</v>
      </c>
      <c r="I54" s="42">
        <v>3.4000000000000002E-2</v>
      </c>
      <c r="J54" s="44">
        <f>I54</f>
        <v>3.4000000000000002E-2</v>
      </c>
      <c r="K54" s="39">
        <v>0</v>
      </c>
      <c r="L54" s="46">
        <f>I54-H54</f>
        <v>-4.9999999999999975E-3</v>
      </c>
      <c r="M54" s="46">
        <f>((I54-H54)/H54)*100</f>
        <v>-12.820512820512814</v>
      </c>
      <c r="N54" s="47">
        <v>18147</v>
      </c>
      <c r="O54" s="37">
        <v>617.38</v>
      </c>
      <c r="P54" s="71">
        <f>(R54)/J54</f>
        <v>0</v>
      </c>
      <c r="Q54" s="49">
        <f>J54/G54-1</f>
        <v>0.47826086956521752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>C55*J55</f>
        <v>305372665.17479998</v>
      </c>
      <c r="E55" s="39">
        <v>0</v>
      </c>
      <c r="F55" s="40" t="s">
        <v>47</v>
      </c>
      <c r="G55" s="70">
        <v>9.0200000000000002E-2</v>
      </c>
      <c r="H55" s="42">
        <v>0.14130000000000001</v>
      </c>
      <c r="I55" s="42">
        <v>0.14119999999999999</v>
      </c>
      <c r="J55" s="44">
        <f>I55</f>
        <v>0.14119999999999999</v>
      </c>
      <c r="K55" s="39">
        <v>0</v>
      </c>
      <c r="L55" s="46">
        <f>I55-H55</f>
        <v>-1.0000000000001674E-4</v>
      </c>
      <c r="M55" s="73">
        <f>((I55-H55)/H55)*100</f>
        <v>-7.0771408351038026E-2</v>
      </c>
      <c r="N55" s="47">
        <v>18294</v>
      </c>
      <c r="O55" s="37">
        <v>2583.83</v>
      </c>
      <c r="P55" s="71">
        <f>(R55)/J55</f>
        <v>0</v>
      </c>
      <c r="Q55" s="49">
        <f>J55/G55-1</f>
        <v>0.56541019955654082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>C56*J56</f>
        <v>839700764.10000002</v>
      </c>
      <c r="E56" s="39">
        <v>0</v>
      </c>
      <c r="F56" s="40" t="s">
        <v>34</v>
      </c>
      <c r="G56" s="70">
        <v>0.95750000000000002</v>
      </c>
      <c r="H56" s="42">
        <v>1.393</v>
      </c>
      <c r="I56" s="42">
        <v>1.458</v>
      </c>
      <c r="J56" s="44">
        <f>I56</f>
        <v>1.458</v>
      </c>
      <c r="K56" s="39">
        <v>0</v>
      </c>
      <c r="L56" s="46">
        <f>I56-H56</f>
        <v>6.4999999999999947E-2</v>
      </c>
      <c r="M56" s="46">
        <f>((I56-H56)/H56)*100</f>
        <v>4.6661880832735063</v>
      </c>
      <c r="N56" s="47">
        <v>205</v>
      </c>
      <c r="O56" s="37">
        <v>298.91000000000003</v>
      </c>
      <c r="P56" s="72">
        <f>(R56)/J56</f>
        <v>3.2235939643347054E-2</v>
      </c>
      <c r="Q56" s="49">
        <f>J56/G56-1</f>
        <v>0.52271540469973887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>C57*J57</f>
        <v>21347068.859999999</v>
      </c>
      <c r="E57" s="39">
        <v>0</v>
      </c>
      <c r="F57" s="40" t="s">
        <v>34</v>
      </c>
      <c r="G57" s="70">
        <v>0.1595</v>
      </c>
      <c r="H57" s="42">
        <v>0.13</v>
      </c>
      <c r="I57" s="42">
        <v>0.13</v>
      </c>
      <c r="J57" s="44">
        <f>I57</f>
        <v>0.13</v>
      </c>
      <c r="K57" s="39">
        <v>0</v>
      </c>
      <c r="L57" s="46">
        <f>I57-H57</f>
        <v>0</v>
      </c>
      <c r="M57" s="46">
        <f>((I57-H57)/H57)*100</f>
        <v>0</v>
      </c>
      <c r="N57" s="47">
        <v>140</v>
      </c>
      <c r="O57" s="37">
        <v>18.2</v>
      </c>
      <c r="P57" s="71">
        <f>(R57)/J57</f>
        <v>0</v>
      </c>
      <c r="Q57" s="49">
        <f>J57/G57-1</f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>C58*J58</f>
        <v>19076056</v>
      </c>
      <c r="E58" s="39">
        <v>0</v>
      </c>
      <c r="F58" s="40" t="s">
        <v>93</v>
      </c>
      <c r="G58" s="70">
        <v>1.6799999999999999E-2</v>
      </c>
      <c r="H58" s="42">
        <v>1.95E-2</v>
      </c>
      <c r="I58" s="42">
        <v>0.02</v>
      </c>
      <c r="J58" s="44">
        <f>I58</f>
        <v>0.02</v>
      </c>
      <c r="K58" s="39">
        <v>0</v>
      </c>
      <c r="L58" s="46">
        <f>I58-H58</f>
        <v>5.0000000000000044E-4</v>
      </c>
      <c r="M58" s="73">
        <f>((I58-H58)/H58)*100</f>
        <v>2.5641025641025665</v>
      </c>
      <c r="N58" s="47">
        <v>181510</v>
      </c>
      <c r="O58" s="37">
        <v>3630.2</v>
      </c>
      <c r="P58" s="71">
        <f>(R58)/J58</f>
        <v>0</v>
      </c>
      <c r="Q58" s="49">
        <f>J58/G58-1</f>
        <v>0.19047619047619047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>C59*J59</f>
        <v>2016847.8834000002</v>
      </c>
      <c r="E59" s="39">
        <v>0</v>
      </c>
      <c r="F59" s="40" t="s">
        <v>139</v>
      </c>
      <c r="G59" s="70">
        <v>19.5</v>
      </c>
      <c r="H59" s="42">
        <v>12.505800000000001</v>
      </c>
      <c r="I59" s="42">
        <v>12.505800000000001</v>
      </c>
      <c r="J59" s="44">
        <f>I59</f>
        <v>12.505800000000001</v>
      </c>
      <c r="K59" s="39">
        <v>0</v>
      </c>
      <c r="L59" s="46">
        <f>I59-H59</f>
        <v>0</v>
      </c>
      <c r="M59" s="46">
        <f>((I59-H59)/H59)*100</f>
        <v>0</v>
      </c>
      <c r="N59" s="47">
        <v>0</v>
      </c>
      <c r="O59" s="37">
        <v>0</v>
      </c>
      <c r="P59" s="71">
        <f>(R59)/J59</f>
        <v>0</v>
      </c>
      <c r="Q59" s="49">
        <f>J59/G59-1</f>
        <v>-0.358676923076923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>C60*J60</f>
        <v>1045490459.6686</v>
      </c>
      <c r="E60" s="39">
        <v>0</v>
      </c>
      <c r="F60" s="40" t="s">
        <v>93</v>
      </c>
      <c r="G60" s="70">
        <v>0.59499999999999997</v>
      </c>
      <c r="H60" s="42">
        <v>1.2416</v>
      </c>
      <c r="I60" s="42">
        <v>1.2986</v>
      </c>
      <c r="J60" s="44">
        <f>I60</f>
        <v>1.2986</v>
      </c>
      <c r="K60" s="39">
        <v>0</v>
      </c>
      <c r="L60" s="46">
        <f>I60-H60</f>
        <v>5.699999999999994E-2</v>
      </c>
      <c r="M60" s="46">
        <f>((I60-H60)/H60)*100</f>
        <v>4.5908505154639121</v>
      </c>
      <c r="N60" s="47">
        <v>695970</v>
      </c>
      <c r="O60" s="37">
        <v>903775.54</v>
      </c>
      <c r="P60" s="71">
        <f>(R60)/J60</f>
        <v>0</v>
      </c>
      <c r="Q60" s="49">
        <f>J60/G60-1</f>
        <v>1.1825210084033615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>C61*J61</f>
        <v>98524016.352200001</v>
      </c>
      <c r="E61" s="39">
        <v>0</v>
      </c>
      <c r="F61" s="40" t="s">
        <v>34</v>
      </c>
      <c r="G61" s="70">
        <v>0.22600000000000001</v>
      </c>
      <c r="H61" s="42">
        <v>0.37630000000000002</v>
      </c>
      <c r="I61" s="42">
        <v>0.37790000000000001</v>
      </c>
      <c r="J61" s="44">
        <f>I61</f>
        <v>0.37790000000000001</v>
      </c>
      <c r="K61" s="39">
        <v>0</v>
      </c>
      <c r="L61" s="46">
        <f>I61-H61</f>
        <v>1.5999999999999903E-3</v>
      </c>
      <c r="M61" s="46">
        <f>((I61-H61)/H61)*100</f>
        <v>0.42519266542651879</v>
      </c>
      <c r="N61" s="47">
        <v>6684</v>
      </c>
      <c r="O61" s="37">
        <v>2525.7199999999998</v>
      </c>
      <c r="P61" s="71">
        <f>(R61)/J61</f>
        <v>0</v>
      </c>
      <c r="Q61" s="49">
        <f>J61/G61-1</f>
        <v>0.67212389380530979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>C62*J62</f>
        <v>385658764.56800002</v>
      </c>
      <c r="E62" s="39">
        <v>0</v>
      </c>
      <c r="F62" s="40" t="s">
        <v>34</v>
      </c>
      <c r="G62" s="70">
        <v>0.49440000000000001</v>
      </c>
      <c r="H62" s="42">
        <v>0.70120000000000005</v>
      </c>
      <c r="I62" s="42">
        <v>0.68600000000000005</v>
      </c>
      <c r="J62" s="44">
        <f>I62</f>
        <v>0.68600000000000005</v>
      </c>
      <c r="K62" s="39">
        <v>0</v>
      </c>
      <c r="L62" s="46">
        <f>I62-H62</f>
        <v>-1.5199999999999991E-2</v>
      </c>
      <c r="M62" s="46">
        <f>((I62-H62)/H62)*100</f>
        <v>-2.1677124928693656</v>
      </c>
      <c r="N62" s="47">
        <v>49922</v>
      </c>
      <c r="O62" s="37">
        <v>34245.26</v>
      </c>
      <c r="P62" s="71">
        <f>(R62)/J62</f>
        <v>0</v>
      </c>
      <c r="Q62" s="49">
        <f>J62/G62-1</f>
        <v>0.38754045307443374</v>
      </c>
      <c r="R62" s="52"/>
      <c r="T62" s="52"/>
    </row>
    <row r="63" spans="1:20" x14ac:dyDescent="0.25">
      <c r="A63" s="35" t="s">
        <v>102</v>
      </c>
      <c r="B63" s="36" t="s">
        <v>146</v>
      </c>
      <c r="C63" s="40">
        <v>364526035</v>
      </c>
      <c r="D63" s="38">
        <f>C63*J63</f>
        <v>110232672.984</v>
      </c>
      <c r="E63" s="39">
        <v>0</v>
      </c>
      <c r="F63" s="40" t="s">
        <v>34</v>
      </c>
      <c r="G63" s="70">
        <v>0.25950000000000001</v>
      </c>
      <c r="H63" s="42">
        <v>0.25950000000000001</v>
      </c>
      <c r="I63" s="42">
        <v>0.3024</v>
      </c>
      <c r="J63" s="44">
        <f>I63</f>
        <v>0.3024</v>
      </c>
      <c r="K63" s="39">
        <v>0</v>
      </c>
      <c r="L63" s="46">
        <f>I63-H63</f>
        <v>4.2899999999999994E-2</v>
      </c>
      <c r="M63" s="46">
        <f>((I63-H63)/H63)*100</f>
        <v>16.531791907514449</v>
      </c>
      <c r="N63" s="47">
        <v>297</v>
      </c>
      <c r="O63" s="37">
        <v>89.82</v>
      </c>
      <c r="P63" s="71">
        <f>(R63)/J63</f>
        <v>0</v>
      </c>
      <c r="Q63" s="49">
        <f>J63/G63-1</f>
        <v>0.16531791907514437</v>
      </c>
      <c r="R63" s="52"/>
      <c r="T63" s="52"/>
    </row>
    <row r="64" spans="1:20" x14ac:dyDescent="0.25">
      <c r="A64" s="35" t="s">
        <v>147</v>
      </c>
      <c r="B64" s="36" t="s">
        <v>148</v>
      </c>
      <c r="C64" s="40">
        <v>30000000</v>
      </c>
      <c r="D64" s="38">
        <f>C64*J64</f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>I64</f>
        <v>10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0</v>
      </c>
      <c r="T64" s="52"/>
    </row>
    <row r="65" spans="1:20" x14ac:dyDescent="0.25">
      <c r="A65" s="35" t="s">
        <v>149</v>
      </c>
      <c r="B65" s="36" t="s">
        <v>150</v>
      </c>
      <c r="C65" s="40">
        <v>344580486</v>
      </c>
      <c r="D65" s="38">
        <f>C65*J65</f>
        <v>52858646.5524</v>
      </c>
      <c r="E65" s="39">
        <v>0</v>
      </c>
      <c r="F65" s="40" t="s">
        <v>44</v>
      </c>
      <c r="G65" s="70">
        <v>4.2999999999999997E-2</v>
      </c>
      <c r="H65" s="42">
        <v>0.15429999999999999</v>
      </c>
      <c r="I65" s="42">
        <v>0.15340000000000001</v>
      </c>
      <c r="J65" s="44">
        <f>I65</f>
        <v>0.15340000000000001</v>
      </c>
      <c r="K65" s="39">
        <v>0</v>
      </c>
      <c r="L65" s="46">
        <f>I65-H65</f>
        <v>-8.9999999999998415E-4</v>
      </c>
      <c r="M65" s="46">
        <f>((I65-H65)/H65)*100</f>
        <v>-0.58327932598832422</v>
      </c>
      <c r="N65" s="47">
        <v>1848</v>
      </c>
      <c r="O65" s="37">
        <v>283.43</v>
      </c>
      <c r="P65" s="71">
        <f>(R65)/J65</f>
        <v>0</v>
      </c>
      <c r="Q65" s="49">
        <f>J65/G65-1</f>
        <v>2.5674418604651166</v>
      </c>
      <c r="T65" s="52"/>
    </row>
    <row r="66" spans="1:20" ht="13.2" x14ac:dyDescent="0.35">
      <c r="A66" s="74"/>
      <c r="B66" s="36" t="s">
        <v>83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SUM(N51:N65)</f>
        <v>1789566</v>
      </c>
      <c r="O66" s="62">
        <f>SUM(O51:O65)</f>
        <v>1183836.74</v>
      </c>
      <c r="P66" s="77"/>
      <c r="Q66" s="63"/>
    </row>
    <row r="67" spans="1:20" ht="12.6" hidden="1" x14ac:dyDescent="0.3">
      <c r="A67" s="133" t="s">
        <v>151</v>
      </c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6"/>
    </row>
    <row r="68" spans="1:20" ht="12.6" hidden="1" thickBot="1" x14ac:dyDescent="0.3">
      <c r="A68" s="78" t="s">
        <v>152</v>
      </c>
      <c r="B68" s="79" t="s">
        <v>153</v>
      </c>
      <c r="C68" s="80">
        <v>20000</v>
      </c>
      <c r="D68" s="81">
        <f>C68*J68</f>
        <v>0</v>
      </c>
      <c r="E68" s="81"/>
      <c r="F68" s="80" t="s">
        <v>154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83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33" t="s">
        <v>155</v>
      </c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6"/>
    </row>
    <row r="71" spans="1:20" x14ac:dyDescent="0.25">
      <c r="A71" s="35" t="s">
        <v>156</v>
      </c>
      <c r="B71" s="88" t="s">
        <v>157</v>
      </c>
      <c r="C71" s="89">
        <v>139300587</v>
      </c>
      <c r="D71" s="38">
        <f>C71*J71</f>
        <v>53045663.529600002</v>
      </c>
      <c r="E71" s="39">
        <f>C71*K71</f>
        <v>53045663.529600002</v>
      </c>
      <c r="F71" s="89" t="s">
        <v>158</v>
      </c>
      <c r="G71" s="89">
        <v>0.24</v>
      </c>
      <c r="H71" s="90">
        <v>0.39</v>
      </c>
      <c r="I71" s="90">
        <v>0.38080000000000003</v>
      </c>
      <c r="J71" s="91">
        <f>I71</f>
        <v>0.38080000000000003</v>
      </c>
      <c r="K71" s="91">
        <f>J71</f>
        <v>0.38080000000000003</v>
      </c>
      <c r="L71" s="46">
        <f>I71-H71</f>
        <v>-9.199999999999986E-3</v>
      </c>
      <c r="M71" s="46">
        <f>((I71-H71)/H71)*100</f>
        <v>-2.358974358974355</v>
      </c>
      <c r="N71" s="92">
        <v>1086</v>
      </c>
      <c r="O71" s="93">
        <v>413.5</v>
      </c>
      <c r="P71" s="71">
        <f>(R71)/J71</f>
        <v>0</v>
      </c>
      <c r="Q71" s="49">
        <f>J71/G71-1</f>
        <v>0.58666666666666689</v>
      </c>
      <c r="T71" s="52"/>
    </row>
    <row r="72" spans="1:20" x14ac:dyDescent="0.25">
      <c r="A72" s="35" t="s">
        <v>159</v>
      </c>
      <c r="B72" s="88" t="s">
        <v>160</v>
      </c>
      <c r="C72" s="89">
        <v>471351750</v>
      </c>
      <c r="D72" s="38">
        <f>C72*J72</f>
        <v>70749897.675000012</v>
      </c>
      <c r="E72" s="39">
        <f>C72*K72</f>
        <v>70749897.675000012</v>
      </c>
      <c r="F72" s="89" t="s">
        <v>158</v>
      </c>
      <c r="G72" s="89">
        <v>0.1</v>
      </c>
      <c r="H72" s="90">
        <v>0.1502</v>
      </c>
      <c r="I72" s="90">
        <v>0.15010000000000001</v>
      </c>
      <c r="J72" s="91">
        <f>I72</f>
        <v>0.15010000000000001</v>
      </c>
      <c r="K72" s="91">
        <f>J72</f>
        <v>0.15010000000000001</v>
      </c>
      <c r="L72" s="46">
        <f>I72-H72</f>
        <v>-9.9999999999988987E-5</v>
      </c>
      <c r="M72" s="46">
        <f>((I72-H72)/H72)*100</f>
        <v>-6.6577896138474688E-2</v>
      </c>
      <c r="N72" s="47">
        <v>13677</v>
      </c>
      <c r="O72" s="93">
        <v>2052.37</v>
      </c>
      <c r="P72" s="94">
        <f>(R72)/J72</f>
        <v>2.5263157894736838E-2</v>
      </c>
      <c r="Q72" s="49">
        <f>J72/G72-1</f>
        <v>0.50100000000000011</v>
      </c>
      <c r="R72" s="5">
        <v>3.7919999999999998E-3</v>
      </c>
      <c r="T72" s="52"/>
    </row>
    <row r="73" spans="1:20" ht="13.8" thickBot="1" x14ac:dyDescent="0.4">
      <c r="A73" s="35"/>
      <c r="B73" s="36" t="s">
        <v>83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14763</v>
      </c>
      <c r="O73" s="62">
        <f>SUM(O71:O72)</f>
        <v>2465.87</v>
      </c>
      <c r="P73" s="87"/>
      <c r="Q73" s="63"/>
    </row>
    <row r="74" spans="1:20" ht="12.6" x14ac:dyDescent="0.3">
      <c r="A74" s="133" t="s">
        <v>161</v>
      </c>
      <c r="B74" s="134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6"/>
    </row>
    <row r="75" spans="1:20" x14ac:dyDescent="0.25">
      <c r="A75" s="35" t="s">
        <v>162</v>
      </c>
      <c r="B75" s="88" t="s">
        <v>163</v>
      </c>
      <c r="C75" s="89">
        <v>20819695</v>
      </c>
      <c r="D75" s="38">
        <f>C75*J75</f>
        <v>2775265.3435</v>
      </c>
      <c r="E75" s="39">
        <f>C75*K75</f>
        <v>2775265.3435</v>
      </c>
      <c r="F75" s="89" t="s">
        <v>139</v>
      </c>
      <c r="G75" s="89">
        <v>0.1394</v>
      </c>
      <c r="H75" s="90">
        <v>0.13020000000000001</v>
      </c>
      <c r="I75" s="90">
        <v>0.1333</v>
      </c>
      <c r="J75" s="91">
        <f>I75</f>
        <v>0.1333</v>
      </c>
      <c r="K75" s="91">
        <f>J75</f>
        <v>0.1333</v>
      </c>
      <c r="L75" s="46">
        <f>I75-H75</f>
        <v>3.0999999999999917E-3</v>
      </c>
      <c r="M75" s="46">
        <f>((I75-H75)/H75)*100</f>
        <v>2.3809523809523743</v>
      </c>
      <c r="N75" s="92">
        <v>28418</v>
      </c>
      <c r="O75" s="93">
        <v>3787.3</v>
      </c>
      <c r="P75" s="71">
        <f>(R75)/J75</f>
        <v>0</v>
      </c>
      <c r="Q75" s="49">
        <f>J75/G75-1</f>
        <v>-4.3758967001434668E-2</v>
      </c>
    </row>
    <row r="76" spans="1:20" ht="13.2" x14ac:dyDescent="0.35">
      <c r="A76" s="35"/>
      <c r="B76" s="36" t="s">
        <v>83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29" t="s">
        <v>164</v>
      </c>
      <c r="B77" s="130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2"/>
    </row>
    <row r="78" spans="1:20" x14ac:dyDescent="0.25">
      <c r="A78" s="35" t="s">
        <v>165</v>
      </c>
      <c r="B78" s="36" t="s">
        <v>166</v>
      </c>
      <c r="C78" s="40">
        <v>31703227</v>
      </c>
      <c r="D78" s="38">
        <f>C78*J78</f>
        <v>100711.742029278</v>
      </c>
      <c r="E78" s="39">
        <f>C78*K78</f>
        <v>85548.390317460318</v>
      </c>
      <c r="F78" s="40" t="s">
        <v>139</v>
      </c>
      <c r="G78" s="70">
        <v>0.105</v>
      </c>
      <c r="H78" s="42">
        <v>8.6699999999999999E-2</v>
      </c>
      <c r="I78" s="42">
        <v>8.5000000000000006E-2</v>
      </c>
      <c r="J78" s="44">
        <f>I78/$J$5</f>
        <v>3.1767031800667483E-3</v>
      </c>
      <c r="K78" s="45">
        <f>I78/$K$4</f>
        <v>2.6984126984126986E-3</v>
      </c>
      <c r="L78" s="46">
        <f>I78-H78</f>
        <v>-1.6999999999999932E-3</v>
      </c>
      <c r="M78" s="95">
        <f>((I78-H78)/H78)*100</f>
        <v>-1.9607843137254821</v>
      </c>
      <c r="N78" s="37">
        <v>74200</v>
      </c>
      <c r="O78" s="37">
        <v>6307</v>
      </c>
      <c r="P78" s="40">
        <v>0</v>
      </c>
      <c r="Q78" s="49">
        <f>I78/G78-1</f>
        <v>-0.19047619047619035</v>
      </c>
    </row>
    <row r="79" spans="1:20" x14ac:dyDescent="0.25">
      <c r="A79" s="35" t="s">
        <v>167</v>
      </c>
      <c r="B79" s="36" t="s">
        <v>168</v>
      </c>
      <c r="C79" s="40">
        <v>136162052</v>
      </c>
      <c r="D79" s="38">
        <f>C79*J79</f>
        <v>407102.51632264839</v>
      </c>
      <c r="E79" s="39">
        <f>C79*K79</f>
        <v>345808.38603174605</v>
      </c>
      <c r="F79" s="40" t="s">
        <v>139</v>
      </c>
      <c r="G79" s="70">
        <v>4.2500000000000003E-2</v>
      </c>
      <c r="H79" s="42">
        <v>0.08</v>
      </c>
      <c r="I79" s="42">
        <v>0.08</v>
      </c>
      <c r="J79" s="44">
        <f>I79/$J$5</f>
        <v>2.9898382871216453E-3</v>
      </c>
      <c r="K79" s="45">
        <f>I79/$K$4</f>
        <v>2.5396825396825397E-3</v>
      </c>
      <c r="L79" s="46">
        <f>I79-H79</f>
        <v>0</v>
      </c>
      <c r="M79" s="95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169</v>
      </c>
      <c r="B80" s="36" t="s">
        <v>170</v>
      </c>
      <c r="C80" s="40">
        <v>6677853</v>
      </c>
      <c r="D80" s="38">
        <f>C80*J80</f>
        <v>25705.839490531558</v>
      </c>
      <c r="E80" s="39">
        <f>C80*K80</f>
        <v>21835.519333333337</v>
      </c>
      <c r="F80" s="40" t="s">
        <v>139</v>
      </c>
      <c r="G80" s="70">
        <v>6.0499999999999998E-2</v>
      </c>
      <c r="H80" s="42">
        <v>0.10300000000000001</v>
      </c>
      <c r="I80" s="42">
        <v>0.10300000000000001</v>
      </c>
      <c r="J80" s="44">
        <f>I80/$J$5</f>
        <v>3.8494167946691187E-3</v>
      </c>
      <c r="K80" s="45">
        <f>I80/$K$4</f>
        <v>3.2698412698412703E-3</v>
      </c>
      <c r="L80" s="46">
        <f>I80-H80</f>
        <v>0</v>
      </c>
      <c r="M80" s="95">
        <f>((I80-H80)/H80)*100</f>
        <v>0</v>
      </c>
      <c r="N80" s="37">
        <v>14500</v>
      </c>
      <c r="O80" s="37">
        <v>1493.5</v>
      </c>
      <c r="P80" s="40">
        <v>0</v>
      </c>
      <c r="Q80" s="49">
        <f>I80/G80-1</f>
        <v>0.70247933884297531</v>
      </c>
    </row>
    <row r="81" spans="1:243" x14ac:dyDescent="0.25">
      <c r="A81" s="35" t="s">
        <v>171</v>
      </c>
      <c r="B81" s="36" t="s">
        <v>172</v>
      </c>
      <c r="C81" s="37">
        <v>494417400</v>
      </c>
      <c r="D81" s="38">
        <f>C81*J81</f>
        <v>28640668.901570786</v>
      </c>
      <c r="E81" s="39">
        <f>C81*K81</f>
        <v>24328475.238095239</v>
      </c>
      <c r="F81" s="40" t="s">
        <v>139</v>
      </c>
      <c r="G81" s="70">
        <v>1.85</v>
      </c>
      <c r="H81" s="42">
        <v>1.55</v>
      </c>
      <c r="I81" s="42">
        <v>1.55</v>
      </c>
      <c r="J81" s="44">
        <f>I81/$J$5</f>
        <v>5.7928116812981878E-2</v>
      </c>
      <c r="K81" s="45">
        <f>I81/$K$4</f>
        <v>4.9206349206349205E-2</v>
      </c>
      <c r="L81" s="46">
        <f>I81-H81</f>
        <v>0</v>
      </c>
      <c r="M81" s="95">
        <f>((I81-H81)/H81)*100</f>
        <v>0</v>
      </c>
      <c r="N81" s="37">
        <v>100</v>
      </c>
      <c r="O81" s="37">
        <v>155</v>
      </c>
      <c r="P81" s="40">
        <v>0</v>
      </c>
      <c r="Q81" s="49">
        <f>I81/G81-1</f>
        <v>-0.16216216216216217</v>
      </c>
    </row>
    <row r="82" spans="1:243" ht="13.8" thickBot="1" x14ac:dyDescent="0.4">
      <c r="A82" s="35"/>
      <c r="B82" s="36" t="s">
        <v>83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88800</v>
      </c>
      <c r="O82" s="62">
        <f>SUM(O78:O81)</f>
        <v>7955.5</v>
      </c>
      <c r="P82" s="77"/>
      <c r="Q82" s="63"/>
      <c r="DU82" s="96"/>
      <c r="DV82" s="96"/>
      <c r="DW82" s="97"/>
      <c r="DX82" s="98"/>
      <c r="DY82" s="98"/>
      <c r="DZ82" s="99"/>
      <c r="EA82" s="99"/>
      <c r="EB82" s="100"/>
      <c r="EC82" s="100"/>
      <c r="ED82" s="101"/>
      <c r="EE82" s="101"/>
      <c r="EF82" s="99"/>
      <c r="EG82" s="102"/>
      <c r="EH82" s="103"/>
      <c r="EI82" s="97"/>
      <c r="EJ82" s="96"/>
      <c r="EK82" s="96"/>
      <c r="EL82" s="97"/>
      <c r="EM82" s="98"/>
      <c r="EN82" s="98"/>
      <c r="EO82" s="99"/>
      <c r="EP82" s="99"/>
      <c r="EQ82" s="100"/>
      <c r="ER82" s="100"/>
      <c r="ES82" s="101"/>
      <c r="ET82" s="101"/>
      <c r="EU82" s="99"/>
      <c r="EV82" s="102"/>
      <c r="EW82" s="103"/>
      <c r="EX82" s="97"/>
      <c r="EY82" s="96"/>
      <c r="EZ82" s="96"/>
      <c r="FA82" s="97"/>
      <c r="FB82" s="98"/>
      <c r="FC82" s="98"/>
      <c r="FD82" s="99"/>
      <c r="FE82" s="99"/>
      <c r="FF82" s="100"/>
      <c r="FG82" s="100"/>
      <c r="FH82" s="101"/>
      <c r="FI82" s="101"/>
      <c r="FJ82" s="99"/>
      <c r="FK82" s="102"/>
      <c r="FL82" s="103"/>
      <c r="FM82" s="97"/>
      <c r="FN82" s="96"/>
      <c r="FO82" s="96"/>
      <c r="FP82" s="97"/>
      <c r="FQ82" s="98"/>
      <c r="FR82" s="98"/>
      <c r="FS82" s="99"/>
      <c r="FT82" s="99"/>
      <c r="FU82" s="100"/>
      <c r="FV82" s="100"/>
      <c r="FW82" s="101"/>
      <c r="FX82" s="101"/>
      <c r="FY82" s="99"/>
      <c r="FZ82" s="102"/>
      <c r="GA82" s="103"/>
      <c r="GB82" s="97"/>
      <c r="GC82" s="96"/>
      <c r="GD82" s="96"/>
      <c r="GE82" s="97"/>
      <c r="GF82" s="98"/>
      <c r="GG82" s="98"/>
      <c r="GH82" s="99"/>
      <c r="GI82" s="99"/>
      <c r="GJ82" s="100"/>
      <c r="GK82" s="100"/>
      <c r="GL82" s="101"/>
      <c r="GM82" s="101"/>
      <c r="GN82" s="99"/>
      <c r="GO82" s="102"/>
      <c r="GP82" s="103"/>
      <c r="GQ82" s="97"/>
      <c r="GR82" s="96"/>
      <c r="GS82" s="96"/>
      <c r="GT82" s="97"/>
      <c r="GU82" s="98"/>
      <c r="GV82" s="98"/>
      <c r="GW82" s="99"/>
      <c r="GX82" s="99"/>
      <c r="GY82" s="100"/>
      <c r="GZ82" s="100"/>
      <c r="HA82" s="101"/>
      <c r="HB82" s="101"/>
      <c r="HC82" s="99"/>
      <c r="HD82" s="102"/>
      <c r="HE82" s="103"/>
      <c r="HF82" s="97"/>
      <c r="HG82" s="96"/>
      <c r="HH82" s="96"/>
      <c r="HI82" s="97"/>
      <c r="HJ82" s="98"/>
      <c r="HK82" s="98"/>
      <c r="HL82" s="99"/>
      <c r="HM82" s="99"/>
      <c r="HN82" s="100"/>
      <c r="HO82" s="100"/>
      <c r="HP82" s="101"/>
      <c r="HQ82" s="101"/>
      <c r="HR82" s="99"/>
      <c r="HS82" s="102"/>
      <c r="HT82" s="103"/>
      <c r="HU82" s="97"/>
      <c r="HV82" s="96"/>
      <c r="HW82" s="96"/>
      <c r="HX82" s="97"/>
      <c r="HY82" s="98"/>
      <c r="HZ82" s="98"/>
      <c r="IA82" s="99"/>
      <c r="IB82" s="99"/>
      <c r="IC82" s="100"/>
      <c r="ID82" s="100"/>
      <c r="IE82" s="101"/>
      <c r="IF82" s="101"/>
      <c r="IG82" s="99"/>
      <c r="IH82" s="102"/>
      <c r="II82" s="103"/>
    </row>
    <row r="83" spans="1:243" ht="13.2" thickTop="1" x14ac:dyDescent="0.3">
      <c r="A83" s="133" t="s">
        <v>173</v>
      </c>
      <c r="B83" s="134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6"/>
    </row>
    <row r="84" spans="1:243" x14ac:dyDescent="0.25">
      <c r="A84" s="35" t="s">
        <v>174</v>
      </c>
      <c r="B84" s="36" t="s">
        <v>175</v>
      </c>
      <c r="C84" s="40">
        <v>368326244</v>
      </c>
      <c r="D84" s="38">
        <f>C84*J84</f>
        <v>26154352.77849409</v>
      </c>
      <c r="E84" s="39">
        <f>C84*K84</f>
        <v>22216503.606349204</v>
      </c>
      <c r="F84" s="40" t="s">
        <v>176</v>
      </c>
      <c r="G84" s="40">
        <v>1.3</v>
      </c>
      <c r="H84" s="42">
        <v>1.9</v>
      </c>
      <c r="I84" s="42">
        <v>1.9</v>
      </c>
      <c r="J84" s="44">
        <f>I84/$J$5</f>
        <v>7.1008659319139064E-2</v>
      </c>
      <c r="K84" s="45">
        <f>I84/$K$4</f>
        <v>6.0317460317460311E-2</v>
      </c>
      <c r="L84" s="46">
        <f>I84-H84</f>
        <v>0</v>
      </c>
      <c r="M84" s="46">
        <f>((I84-H84)/H84*100)</f>
        <v>0</v>
      </c>
      <c r="N84" s="51">
        <v>0</v>
      </c>
      <c r="O84" s="37">
        <v>0</v>
      </c>
      <c r="P84" s="51">
        <f>(R84)/J84</f>
        <v>0</v>
      </c>
      <c r="Q84" s="49">
        <f>I84/G84-1</f>
        <v>0.46153846153846145</v>
      </c>
      <c r="R84" s="52"/>
    </row>
    <row r="85" spans="1:243" s="104" customFormat="1" ht="12.6" thickBot="1" x14ac:dyDescent="0.3">
      <c r="A85" s="35" t="s">
        <v>177</v>
      </c>
      <c r="B85" s="36" t="s">
        <v>178</v>
      </c>
      <c r="C85" s="40">
        <v>1841105000</v>
      </c>
      <c r="D85" s="38">
        <f>C85*J85</f>
        <v>91125590.817085415</v>
      </c>
      <c r="E85" s="39">
        <f>C85*K85</f>
        <v>77405548.291111097</v>
      </c>
      <c r="F85" s="40" t="s">
        <v>176</v>
      </c>
      <c r="G85" s="40">
        <v>1.44347</v>
      </c>
      <c r="H85" s="42">
        <v>1.2901759999999998</v>
      </c>
      <c r="I85" s="42">
        <v>1.3243539999999998</v>
      </c>
      <c r="J85" s="44">
        <f>I85/$J$5</f>
        <v>4.9495053686283735E-2</v>
      </c>
      <c r="K85" s="45">
        <f>I85/$K$4</f>
        <v>4.2042984126984123E-2</v>
      </c>
      <c r="L85" s="46">
        <f>I85-H85</f>
        <v>3.4178000000000042E-2</v>
      </c>
      <c r="M85" s="46">
        <f>((I85-H85)/H85*100)</f>
        <v>2.6490959372984806</v>
      </c>
      <c r="N85" s="51">
        <v>1761101</v>
      </c>
      <c r="O85" s="37">
        <v>2332335.85</v>
      </c>
      <c r="P85" s="48">
        <f>(R85)/J85</f>
        <v>4.3963989084489501E-2</v>
      </c>
      <c r="Q85" s="49">
        <f>I85/G85-1</f>
        <v>-8.2520592738332121E-2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78"/>
      <c r="B86" s="79" t="s">
        <v>83</v>
      </c>
      <c r="C86" s="80"/>
      <c r="D86" s="105"/>
      <c r="E86" s="81"/>
      <c r="F86" s="80"/>
      <c r="G86" s="80"/>
      <c r="H86" s="82"/>
      <c r="I86" s="82"/>
      <c r="J86" s="82"/>
      <c r="K86" s="82"/>
      <c r="L86" s="83"/>
      <c r="M86" s="83"/>
      <c r="N86" s="61">
        <f>SUM(N84:N85)</f>
        <v>1761101</v>
      </c>
      <c r="O86" s="62">
        <f>SUM(O84:O85)</f>
        <v>2332335.85</v>
      </c>
      <c r="P86" s="106"/>
      <c r="Q86" s="86"/>
    </row>
    <row r="87" spans="1:243" ht="12.6" thickBot="1" x14ac:dyDescent="0.3">
      <c r="A87" s="107"/>
      <c r="B87" s="108"/>
      <c r="C87" s="108"/>
      <c r="D87" s="108"/>
      <c r="E87" s="108"/>
      <c r="F87" s="109"/>
      <c r="G87" s="109"/>
      <c r="H87" s="59"/>
      <c r="M87" s="110"/>
      <c r="N87" s="110"/>
      <c r="O87" s="59"/>
      <c r="P87" s="59"/>
      <c r="Q87" s="111"/>
    </row>
    <row r="88" spans="1:243" ht="12.6" thickBot="1" x14ac:dyDescent="0.3">
      <c r="A88" s="137" t="s">
        <v>179</v>
      </c>
      <c r="B88" s="138"/>
      <c r="C88" s="138"/>
      <c r="D88" s="139"/>
      <c r="E88" s="137" t="s">
        <v>180</v>
      </c>
      <c r="F88" s="138"/>
      <c r="G88" s="138"/>
      <c r="H88" s="139"/>
      <c r="I88" s="52"/>
      <c r="J88" s="52"/>
      <c r="K88" s="52"/>
      <c r="L88" s="140" t="s">
        <v>181</v>
      </c>
      <c r="M88" s="141"/>
      <c r="N88" s="142"/>
      <c r="O88" s="140" t="s">
        <v>182</v>
      </c>
      <c r="P88" s="141"/>
      <c r="Q88" s="142"/>
    </row>
    <row r="89" spans="1:243" x14ac:dyDescent="0.25">
      <c r="A89" s="35" t="s">
        <v>50</v>
      </c>
      <c r="B89" s="112">
        <v>5.0187999999999997</v>
      </c>
      <c r="D89" s="112">
        <v>14.999444341969118</v>
      </c>
      <c r="E89" s="35" t="s">
        <v>100</v>
      </c>
      <c r="F89" s="113">
        <v>0.20247099999999998</v>
      </c>
      <c r="H89" s="114">
        <v>-10.580800162523365</v>
      </c>
      <c r="L89" s="35" t="s">
        <v>102</v>
      </c>
      <c r="M89" s="51">
        <v>0.3024</v>
      </c>
      <c r="N89" s="115">
        <v>16.531791907514449</v>
      </c>
      <c r="O89" s="35" t="s">
        <v>127</v>
      </c>
      <c r="P89" s="113">
        <v>3.4000000000000002E-2</v>
      </c>
      <c r="Q89" s="116">
        <v>-12.820512820512814</v>
      </c>
    </row>
    <row r="90" spans="1:243" x14ac:dyDescent="0.25">
      <c r="A90" s="35" t="s">
        <v>94</v>
      </c>
      <c r="B90" s="112">
        <v>4.5999999999999996</v>
      </c>
      <c r="D90" s="112">
        <v>14.923920364718555</v>
      </c>
      <c r="E90" s="35" t="s">
        <v>77</v>
      </c>
      <c r="F90" s="113">
        <v>2.5</v>
      </c>
      <c r="H90" s="114">
        <v>-7.4074074074074137</v>
      </c>
      <c r="L90" s="35" t="s">
        <v>123</v>
      </c>
      <c r="M90" s="51">
        <v>53.320900000000002</v>
      </c>
      <c r="N90" s="115">
        <v>6.7842501897531289</v>
      </c>
      <c r="O90" s="35" t="s">
        <v>125</v>
      </c>
      <c r="P90" s="113">
        <v>0.23780000000000001</v>
      </c>
      <c r="Q90" s="116">
        <v>-3.9967702866370578</v>
      </c>
    </row>
    <row r="91" spans="1:243" x14ac:dyDescent="0.25">
      <c r="A91" s="35" t="s">
        <v>70</v>
      </c>
      <c r="B91" s="112">
        <v>11</v>
      </c>
      <c r="C91" s="112"/>
      <c r="D91" s="112">
        <v>13.402061855670111</v>
      </c>
      <c r="E91" s="35" t="s">
        <v>108</v>
      </c>
      <c r="F91" s="113">
        <v>0.06</v>
      </c>
      <c r="H91" s="114">
        <v>-4.8223350253807125</v>
      </c>
      <c r="L91" s="35" t="s">
        <v>131</v>
      </c>
      <c r="M91" s="51">
        <v>1.458</v>
      </c>
      <c r="N91" s="115">
        <v>4.6661880832735063</v>
      </c>
      <c r="O91" s="35" t="s">
        <v>144</v>
      </c>
      <c r="P91" s="113">
        <v>0.68600000000000005</v>
      </c>
      <c r="Q91" s="116">
        <v>-2.1677124928693656</v>
      </c>
    </row>
    <row r="92" spans="1:243" x14ac:dyDescent="0.25">
      <c r="A92" s="35" t="s">
        <v>104</v>
      </c>
      <c r="B92" s="112">
        <v>0.117368</v>
      </c>
      <c r="C92" s="112"/>
      <c r="D92" s="112">
        <v>6.6981818181818182</v>
      </c>
      <c r="E92" s="35" t="s">
        <v>58</v>
      </c>
      <c r="F92" s="113">
        <v>8.7089149999999993</v>
      </c>
      <c r="G92" s="113"/>
      <c r="H92" s="114">
        <v>-3.2331918391528798</v>
      </c>
      <c r="L92" s="35" t="s">
        <v>140</v>
      </c>
      <c r="M92" s="51">
        <v>1.2986</v>
      </c>
      <c r="N92" s="115">
        <v>4.5908505154639121</v>
      </c>
      <c r="O92" s="35" t="s">
        <v>121</v>
      </c>
      <c r="P92" s="113">
        <v>0.14080000000000001</v>
      </c>
      <c r="Q92" s="116">
        <v>-0.77519379844960523</v>
      </c>
    </row>
    <row r="93" spans="1:243" x14ac:dyDescent="0.25">
      <c r="A93" s="35" t="s">
        <v>35</v>
      </c>
      <c r="B93" s="112">
        <v>6.9500000000000006E-2</v>
      </c>
      <c r="C93" s="112"/>
      <c r="D93" s="112">
        <v>6.2691131498471053</v>
      </c>
      <c r="E93" s="35" t="s">
        <v>118</v>
      </c>
      <c r="F93" s="113">
        <v>1.35</v>
      </c>
      <c r="G93" s="113"/>
      <c r="H93" s="114">
        <v>-1.3054727211981803</v>
      </c>
      <c r="L93" s="35" t="s">
        <v>135</v>
      </c>
      <c r="M93" s="51">
        <v>0.02</v>
      </c>
      <c r="N93" s="115">
        <v>2.5641025641025665</v>
      </c>
      <c r="O93" s="35" t="s">
        <v>149</v>
      </c>
      <c r="P93" s="113">
        <v>0.15340000000000001</v>
      </c>
      <c r="Q93" s="116">
        <v>-0.58327932598832422</v>
      </c>
    </row>
    <row r="94" spans="1:243" ht="12.6" thickBot="1" x14ac:dyDescent="0.3">
      <c r="A94" s="117"/>
      <c r="B94" s="118"/>
      <c r="C94" s="118"/>
      <c r="D94" s="118"/>
      <c r="E94" s="117"/>
      <c r="F94" s="118"/>
      <c r="G94" s="118"/>
      <c r="H94" s="119"/>
      <c r="L94" s="117"/>
      <c r="M94" s="118"/>
      <c r="N94" s="119"/>
      <c r="O94" s="118"/>
      <c r="P94" s="118"/>
      <c r="Q94" s="119"/>
    </row>
    <row r="95" spans="1:243" x14ac:dyDescent="0.25">
      <c r="A95" s="120"/>
      <c r="B95" s="121"/>
      <c r="C95" s="121"/>
      <c r="D95" s="121"/>
      <c r="E95" s="110"/>
      <c r="F95" s="110"/>
      <c r="G95" s="110"/>
      <c r="H95" s="110"/>
      <c r="I95" s="110"/>
      <c r="J95" s="110"/>
      <c r="K95" s="110"/>
      <c r="L95" s="110"/>
      <c r="M95" s="121"/>
      <c r="Q95" s="16"/>
    </row>
    <row r="96" spans="1:243" x14ac:dyDescent="0.25">
      <c r="A96" s="12" t="s">
        <v>183</v>
      </c>
      <c r="B96" s="122"/>
      <c r="C96" s="122"/>
      <c r="D96" s="122"/>
      <c r="E96" s="122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0"/>
      <c r="B97" s="121"/>
      <c r="C97" s="121"/>
      <c r="D97" s="121"/>
      <c r="E97" s="121"/>
      <c r="F97" s="110"/>
      <c r="G97" s="110"/>
      <c r="H97" s="121"/>
      <c r="I97" s="110"/>
      <c r="J97" s="110"/>
      <c r="K97" s="110"/>
      <c r="L97" s="110"/>
      <c r="M97" s="121"/>
      <c r="Q97" s="16"/>
    </row>
    <row r="98" spans="1:17" ht="12.6" thickBot="1" x14ac:dyDescent="0.3">
      <c r="A98" s="123"/>
      <c r="B98" s="124"/>
      <c r="C98" s="124"/>
      <c r="D98" s="124"/>
      <c r="E98" s="124"/>
      <c r="F98" s="125"/>
      <c r="G98" s="125"/>
      <c r="H98" s="125"/>
      <c r="I98" s="126"/>
      <c r="J98" s="126"/>
      <c r="K98" s="126"/>
      <c r="L98" s="126"/>
      <c r="M98" s="126"/>
      <c r="N98" s="126"/>
      <c r="O98" s="126"/>
      <c r="P98" s="126"/>
      <c r="Q98" s="127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28"/>
      <c r="J102" s="128"/>
      <c r="K102" s="128"/>
      <c r="O102" s="128"/>
      <c r="P102" s="128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28"/>
      <c r="J105" s="128"/>
      <c r="K105" s="128"/>
      <c r="O105" s="128"/>
      <c r="P105" s="128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28"/>
      <c r="J107" s="128"/>
      <c r="K107" s="128"/>
      <c r="O107" s="128"/>
      <c r="P107" s="128"/>
    </row>
  </sheetData>
  <sheetProtection algorithmName="SHA-512" hashValue="HQykKTMwv9usFF4tDnzxvg96f0zpsmDmUNZba6mdUmBfGzpamW4al4IJ3Z4BLrcflMW7/ZC7xlWmWtR6ni2n6w==" saltValue="jGtoq7+6k9pSL4fKAySC0A==" spinCount="100000" sheet="1"/>
  <sortState xmlns:xlrd2="http://schemas.microsoft.com/office/spreadsheetml/2017/richdata2" ref="A9:II47">
    <sortCondition ref="A9:A47"/>
  </sortState>
  <mergeCells count="12">
    <mergeCell ref="A74:Q74"/>
    <mergeCell ref="L5:M5"/>
    <mergeCell ref="A6:Q6"/>
    <mergeCell ref="A50:Q50"/>
    <mergeCell ref="A67:Q67"/>
    <mergeCell ref="A70:Q70"/>
    <mergeCell ref="A77:Q77"/>
    <mergeCell ref="A83:Q83"/>
    <mergeCell ref="A88:D88"/>
    <mergeCell ref="E88:H88"/>
    <mergeCell ref="L88:N88"/>
    <mergeCell ref="O88:Q88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2:A93">
    <cfRule type="duplicateValues" dxfId="39" priority="48" stopIfTrue="1"/>
  </conditionalFormatting>
  <conditionalFormatting sqref="E92:E93">
    <cfRule type="duplicateValues" dxfId="38" priority="1" stopIfTrue="1"/>
  </conditionalFormatting>
  <conditionalFormatting sqref="L9:M26 L28:M47 L51:M65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5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1:M72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5:M75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8:M81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4:M85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5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1:Q72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5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8:Q81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4:Q85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2026-07-09T13:59:33Z</dcterms:created>
  <dcterms:modified xsi:type="dcterms:W3CDTF">2026-07-09T14:06:46Z</dcterms:modified>
</cp:coreProperties>
</file>