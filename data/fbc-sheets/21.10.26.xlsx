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"/>
    </mc:Choice>
  </mc:AlternateContent>
  <xr:revisionPtr revIDLastSave="0" documentId="8_{E4FF8CC0-DF8D-48B5-AB17-B58052C3E340}" xr6:coauthVersionLast="47" xr6:coauthVersionMax="47" xr10:uidLastSave="{00000000-0000-0000-0000-000000000000}"/>
  <bookViews>
    <workbookView xWindow="-108" yWindow="-108" windowWidth="23256" windowHeight="12456" xr2:uid="{B506C21F-AD36-4A6B-B115-D381C125F917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M64" i="1"/>
  <c r="L64" i="1"/>
  <c r="J64" i="1"/>
  <c r="D64" i="1"/>
  <c r="M63" i="1"/>
  <c r="L63" i="1"/>
  <c r="J63" i="1"/>
  <c r="M62" i="1"/>
  <c r="L62" i="1"/>
  <c r="J62" i="1"/>
  <c r="M61" i="1"/>
  <c r="L61" i="1"/>
  <c r="J61" i="1"/>
  <c r="M60" i="1"/>
  <c r="L60" i="1"/>
  <c r="J60" i="1"/>
  <c r="D60" i="1"/>
  <c r="M59" i="1"/>
  <c r="L59" i="1"/>
  <c r="J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Q54" i="1"/>
  <c r="M54" i="1"/>
  <c r="L54" i="1"/>
  <c r="J54" i="1"/>
  <c r="P54" i="1" s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E42" i="1" s="1"/>
  <c r="J42" i="1"/>
  <c r="P42" i="1" s="1"/>
  <c r="D42" i="1"/>
  <c r="Q41" i="1"/>
  <c r="M41" i="1"/>
  <c r="L41" i="1"/>
  <c r="K41" i="1"/>
  <c r="E41" i="1" s="1"/>
  <c r="J41" i="1"/>
  <c r="P41" i="1" s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E39" i="1" s="1"/>
  <c r="J39" i="1"/>
  <c r="P39" i="1" s="1"/>
  <c r="D39" i="1"/>
  <c r="Q38" i="1"/>
  <c r="M38" i="1"/>
  <c r="L38" i="1"/>
  <c r="K38" i="1"/>
  <c r="E38" i="1" s="1"/>
  <c r="J38" i="1"/>
  <c r="P38" i="1" s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E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E23" i="1" s="1"/>
  <c r="J23" i="1"/>
  <c r="P23" i="1" s="1"/>
  <c r="D23" i="1"/>
  <c r="Q22" i="1"/>
  <c r="L22" i="1"/>
  <c r="K22" i="1"/>
  <c r="J22" i="1"/>
  <c r="D22" i="1" s="1"/>
  <c r="E22" i="1"/>
  <c r="Q21" i="1"/>
  <c r="P21" i="1"/>
  <c r="M21" i="1"/>
  <c r="L21" i="1"/>
  <c r="K21" i="1"/>
  <c r="J21" i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P75" i="1"/>
  <c r="Q75" i="1"/>
  <c r="K72" i="1"/>
  <c r="E72" i="1" s="1"/>
  <c r="P72" i="1"/>
  <c r="Q72" i="1"/>
  <c r="Q71" i="1"/>
  <c r="P71" i="1"/>
  <c r="K71" i="1"/>
  <c r="E71" i="1" s="1"/>
  <c r="P65" i="1"/>
  <c r="Q65" i="1"/>
  <c r="D65" i="1"/>
  <c r="P64" i="1"/>
  <c r="Q64" i="1"/>
  <c r="P63" i="1"/>
  <c r="D63" i="1"/>
  <c r="Q63" i="1"/>
  <c r="P62" i="1"/>
  <c r="D62" i="1"/>
  <c r="Q62" i="1"/>
  <c r="P61" i="1"/>
  <c r="D61" i="1"/>
  <c r="Q61" i="1"/>
  <c r="P60" i="1"/>
  <c r="Q60" i="1"/>
  <c r="P59" i="1"/>
  <c r="D59" i="1"/>
  <c r="Q59" i="1"/>
  <c r="Q58" i="1"/>
  <c r="P58" i="1"/>
  <c r="P57" i="1"/>
  <c r="Q57" i="1"/>
  <c r="P56" i="1"/>
  <c r="Q56" i="1"/>
  <c r="P55" i="1"/>
  <c r="Q55" i="1"/>
  <c r="D55" i="1"/>
  <c r="Q51" i="1"/>
  <c r="P51" i="1"/>
  <c r="Q50" i="1"/>
  <c r="P50" i="1"/>
  <c r="P26" i="1"/>
  <c r="D26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<sst xmlns="http://schemas.openxmlformats.org/spreadsheetml/2006/main" count="271" uniqueCount="185">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</sst>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984B0FA9-FEB9-40BD-9922-863D64B8DDFD}"/>
    <cellStyle name="Comma 5 2 2 2 2 2 2 2 2 2 2 2 2 2" xfId="4" xr:uid="{59E25A11-BF43-4C35-868E-E66648E98856}"/>
    <cellStyle name="Comma 6 2 2 2 2 2 2 2 2" xfId="6" xr:uid="{2BFD2D5A-4377-472A-B8A9-8D6AAFA2B831}"/>
    <cellStyle name="Hyperlink 2" xfId="8" xr:uid="{D1716637-5CEC-4101-BB8F-A81F51F90F60}"/>
    <cellStyle name="Normal" xfId="0" builtinId="0"/>
    <cellStyle name="Normal 2" xfId="2" xr:uid="{7ACF30D2-A6FD-4CCD-A54F-5B0BAC76F20D}"/>
    <cellStyle name="Normal 20" xfId="7" xr:uid="{0F7A7EA7-FA95-46C6-A707-69618BB14810}"/>
    <cellStyle name="Percent" xfId="1" builtinId="5"/>
    <cellStyle name="Percent 3" xfId="5" xr:uid="{146CBA9F-982F-4979-BE3A-466BB1057B55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B1A23A3-0FB5-4BF5-BEB4-8F5076C1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B451C66-6F5F-4E2B-90F1-FCC7AC5A2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446C-FA68-4E92-B0EB-1E4CFCC39707}">
  <dimension ref="A1:II107"/>
  <sheetViews>
    <sheetView tabSelected="1" topLeftCell="A33" zoomScale="70" zoomScaleNormal="70" workbookViewId="0">
      <selection activeCell="E92" sqref="E92:H93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26.5975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85294478.879593939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0.6767553341479462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2.2164583333333335E-2</v>
      </c>
      <c r="Q9" s="48">
        <f t="shared" ref="Q9:Q17" si="6">I9/G9-1</f>
        <v>1.002336058735191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8323197.675850925</v>
      </c>
      <c r="E10" s="39">
        <f t="shared" si="1"/>
        <v>6918007.8182326555</v>
      </c>
      <c r="F10" s="40" t="s">
        <v>34</v>
      </c>
      <c r="G10" s="41">
        <v>3.1600000000000003E-2</v>
      </c>
      <c r="H10" s="42">
        <v>0.13486200000000001</v>
      </c>
      <c r="I10" s="43">
        <v>0.13603099999999999</v>
      </c>
      <c r="J10" s="44">
        <f t="shared" ref="J10:J17" si="7">I10/$J$5</f>
        <v>5.1144280477488481E-3</v>
      </c>
      <c r="K10" s="45">
        <f t="shared" si="2"/>
        <v>4.2509687499999995E-3</v>
      </c>
      <c r="L10" s="46">
        <f t="shared" si="3"/>
        <v>1.1689999999999756E-3</v>
      </c>
      <c r="M10" s="46">
        <f t="shared" si="4"/>
        <v>0.86681200041522111</v>
      </c>
      <c r="N10" s="50">
        <v>67400</v>
      </c>
      <c r="O10" s="37">
        <v>9168.5</v>
      </c>
      <c r="P10" s="51">
        <f t="shared" si="5"/>
        <v>0</v>
      </c>
      <c r="Q10" s="48">
        <f t="shared" si="6"/>
        <v>3.304778481012657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2957267.5860513202</v>
      </c>
      <c r="E11" s="39">
        <f t="shared" si="1"/>
        <v>2457997.6443749997</v>
      </c>
      <c r="F11" s="40" t="s">
        <v>39</v>
      </c>
      <c r="G11" s="41">
        <v>7.8E-2</v>
      </c>
      <c r="H11" s="42">
        <v>0.17899999999999999</v>
      </c>
      <c r="I11" s="43">
        <v>0.18</v>
      </c>
      <c r="J11" s="44">
        <f t="shared" si="7"/>
        <v>6.7675533414794618E-3</v>
      </c>
      <c r="K11" s="45">
        <f t="shared" si="2"/>
        <v>5.6249999999999998E-3</v>
      </c>
      <c r="L11" s="46">
        <f t="shared" si="3"/>
        <v>1.0000000000000009E-3</v>
      </c>
      <c r="M11" s="46">
        <f t="shared" si="4"/>
        <v>0.55865921787709549</v>
      </c>
      <c r="N11" s="50">
        <v>200</v>
      </c>
      <c r="O11" s="37">
        <v>36</v>
      </c>
      <c r="P11" s="51">
        <f t="shared" si="5"/>
        <v>0</v>
      </c>
      <c r="Q11" s="48">
        <f t="shared" si="6"/>
        <v>1.3076923076923075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147396117.30425793</v>
      </c>
      <c r="E12" s="39">
        <f t="shared" si="1"/>
        <v>122511507.1875</v>
      </c>
      <c r="F12" s="40" t="s">
        <v>34</v>
      </c>
      <c r="G12" s="41">
        <v>97.381</v>
      </c>
      <c r="H12" s="42">
        <v>190</v>
      </c>
      <c r="I12" s="43">
        <v>190</v>
      </c>
      <c r="J12" s="44">
        <f t="shared" si="7"/>
        <v>7.1435285271172102</v>
      </c>
      <c r="K12" s="45">
        <f t="shared" si="2"/>
        <v>5.9375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0.95109929041599495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9852551.5555973314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1.1279255569132438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633332659.83912015</v>
      </c>
      <c r="E14" s="39">
        <f t="shared" si="1"/>
        <v>526408294.37721872</v>
      </c>
      <c r="F14" s="40" t="s">
        <v>47</v>
      </c>
      <c r="G14" s="41">
        <v>11.5</v>
      </c>
      <c r="H14" s="42">
        <v>32.239699999999999</v>
      </c>
      <c r="I14" s="43">
        <v>32.229399999999998</v>
      </c>
      <c r="J14" s="44">
        <f t="shared" si="7"/>
        <v>1.2117454647993231</v>
      </c>
      <c r="K14" s="45">
        <f t="shared" si="2"/>
        <v>1.0071687499999999</v>
      </c>
      <c r="L14" s="46">
        <f t="shared" si="3"/>
        <v>-1.0300000000000864E-2</v>
      </c>
      <c r="M14" s="46">
        <f t="shared" si="4"/>
        <v>-3.1948188103489997E-2</v>
      </c>
      <c r="N14" s="50">
        <v>5400</v>
      </c>
      <c r="O14" s="37">
        <v>174039</v>
      </c>
      <c r="P14" s="51">
        <f t="shared" si="5"/>
        <v>0</v>
      </c>
      <c r="Q14" s="48">
        <f t="shared" si="6"/>
        <v>1.8025565217391302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31615908.967008173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0.29814832221073406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74029691.474762663</v>
      </c>
      <c r="E16" s="39">
        <f t="shared" si="1"/>
        <v>61531397.46875</v>
      </c>
      <c r="F16" s="40" t="s">
        <v>34</v>
      </c>
      <c r="G16" s="41">
        <v>1.9</v>
      </c>
      <c r="H16" s="42">
        <v>5.9448819999999998</v>
      </c>
      <c r="I16" s="43">
        <v>5.5</v>
      </c>
      <c r="J16" s="44">
        <f t="shared" si="7"/>
        <v>0.20678635210076135</v>
      </c>
      <c r="K16" s="45">
        <f t="shared" si="2"/>
        <v>0.171875</v>
      </c>
      <c r="L16" s="46">
        <f t="shared" si="3"/>
        <v>-0.44488199999999978</v>
      </c>
      <c r="M16" s="46">
        <f t="shared" si="4"/>
        <v>-7.4834454241480293</v>
      </c>
      <c r="N16" s="50">
        <v>500</v>
      </c>
      <c r="O16" s="37">
        <v>2750</v>
      </c>
      <c r="P16" s="51">
        <f t="shared" si="5"/>
        <v>0.24179545454545456</v>
      </c>
      <c r="Q16" s="48">
        <f t="shared" si="6"/>
        <v>1.8947368421052633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1696273552.4099634</v>
      </c>
      <c r="E17" s="39">
        <f t="shared" si="1"/>
        <v>1409894869.0695</v>
      </c>
      <c r="F17" s="40" t="s">
        <v>34</v>
      </c>
      <c r="G17" s="41">
        <v>20.701700000000002</v>
      </c>
      <c r="H17" s="42">
        <v>33.433515999999997</v>
      </c>
      <c r="I17" s="43">
        <v>33.475200000000001</v>
      </c>
      <c r="J17" s="44">
        <f t="shared" si="7"/>
        <v>1.2585844534260739</v>
      </c>
      <c r="K17" s="45">
        <f t="shared" si="2"/>
        <v>1.0461</v>
      </c>
      <c r="L17" s="46">
        <f t="shared" si="3"/>
        <v>4.1684000000003607E-2</v>
      </c>
      <c r="M17" s="46">
        <f t="shared" si="4"/>
        <v>0.12467728491374824</v>
      </c>
      <c r="N17" s="50">
        <v>123000</v>
      </c>
      <c r="O17" s="37">
        <v>4117453.85</v>
      </c>
      <c r="P17" s="47">
        <f t="shared" si="5"/>
        <v>0</v>
      </c>
      <c r="Q17" s="48">
        <f t="shared" si="6"/>
        <v>0.61702662100213979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338532908.04774886</v>
      </c>
      <c r="E19" s="39">
        <f t="shared" si="1"/>
        <v>281379031.93125004</v>
      </c>
      <c r="F19" s="40" t="s">
        <v>47</v>
      </c>
      <c r="G19" s="41">
        <v>12.45</v>
      </c>
      <c r="H19" s="42">
        <v>13.4</v>
      </c>
      <c r="I19" s="43">
        <v>13.4</v>
      </c>
      <c r="J19" s="44">
        <f t="shared" ref="J19:J45" si="8">I19/$J$5</f>
        <v>0.5038067487545822</v>
      </c>
      <c r="K19" s="45">
        <f t="shared" ref="K19:K45" si="9">I19/$K$4</f>
        <v>0.41875000000000001</v>
      </c>
      <c r="L19" s="46">
        <f t="shared" ref="L19:L29" si="10">I19-H19</f>
        <v>0</v>
      </c>
      <c r="M19" s="46">
        <f>((I19-H19)/H19)*100</f>
        <v>0</v>
      </c>
      <c r="N19" s="50">
        <v>100</v>
      </c>
      <c r="O19" s="37">
        <v>1340</v>
      </c>
      <c r="P19" s="51">
        <f>(R19)/J19</f>
        <v>0</v>
      </c>
      <c r="Q19" s="48">
        <f t="shared" ref="Q19:Q29" si="11">I19/G19-1</f>
        <v>7.6305220883534197E-2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3808578.2735219481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3.4965692264310559E-2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90946571.117586225</v>
      </c>
      <c r="E21" s="39">
        <f t="shared" si="1"/>
        <v>75592232.040624991</v>
      </c>
      <c r="F21" s="40" t="s">
        <v>47</v>
      </c>
      <c r="G21" s="41">
        <v>2.85</v>
      </c>
      <c r="H21" s="42">
        <v>3.5075779999999996</v>
      </c>
      <c r="I21" s="43">
        <v>3.5049999999999999</v>
      </c>
      <c r="J21" s="44">
        <f t="shared" si="8"/>
        <v>0.13177930256603063</v>
      </c>
      <c r="K21" s="45">
        <f t="shared" si="9"/>
        <v>0.10953125</v>
      </c>
      <c r="L21" s="46">
        <f t="shared" si="10"/>
        <v>-2.5779999999997472E-3</v>
      </c>
      <c r="M21" s="46">
        <f>((I21-H21)/H21)*100</f>
        <v>-7.3498009167572251E-2</v>
      </c>
      <c r="N21" s="50">
        <v>400</v>
      </c>
      <c r="O21" s="37">
        <v>1402</v>
      </c>
      <c r="P21" s="51">
        <f>(R21)/J21</f>
        <v>0</v>
      </c>
      <c r="Q21" s="48">
        <f t="shared" si="11"/>
        <v>0.2298245614035086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2214705.3616202273</v>
      </c>
      <c r="E23" s="39">
        <f t="shared" si="1"/>
        <v>1840800.8079904376</v>
      </c>
      <c r="F23" s="40" t="s">
        <v>44</v>
      </c>
      <c r="G23" s="41">
        <v>0.1</v>
      </c>
      <c r="H23" s="42">
        <v>0.101618</v>
      </c>
      <c r="I23" s="43">
        <v>0.109778</v>
      </c>
      <c r="J23" s="44">
        <f t="shared" si="8"/>
        <v>4.1273803928940688E-3</v>
      </c>
      <c r="K23" s="45">
        <f t="shared" si="9"/>
        <v>3.4305625E-3</v>
      </c>
      <c r="L23" s="46">
        <f t="shared" si="10"/>
        <v>8.1600000000000006E-3</v>
      </c>
      <c r="M23" s="46">
        <f t="shared" ref="M23:M29" si="12">((I23-H23)/H23)*100</f>
        <v>8.0300734121907542</v>
      </c>
      <c r="N23" s="50">
        <v>6300</v>
      </c>
      <c r="O23" s="37">
        <v>691.6</v>
      </c>
      <c r="P23" s="51">
        <f t="shared" ref="P23:P29" si="13">(R23)/J23</f>
        <v>0</v>
      </c>
      <c r="Q23" s="48">
        <f t="shared" si="11"/>
        <v>9.7779999999999978E-2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78376617.772347033</v>
      </c>
      <c r="E24" s="39">
        <f t="shared" si="1"/>
        <v>65144440.350000001</v>
      </c>
      <c r="F24" s="40" t="s">
        <v>34</v>
      </c>
      <c r="G24" s="41">
        <v>8.1687659999999997</v>
      </c>
      <c r="H24" s="42">
        <v>10</v>
      </c>
      <c r="I24" s="43">
        <v>10.8</v>
      </c>
      <c r="J24" s="44">
        <f t="shared" si="8"/>
        <v>0.40605320048876775</v>
      </c>
      <c r="K24" s="45">
        <f t="shared" si="9"/>
        <v>0.33750000000000002</v>
      </c>
      <c r="L24" s="46">
        <f t="shared" si="10"/>
        <v>0.80000000000000071</v>
      </c>
      <c r="M24" s="46">
        <f t="shared" si="12"/>
        <v>8.0000000000000071</v>
      </c>
      <c r="N24" s="50">
        <v>23300</v>
      </c>
      <c r="O24" s="37">
        <v>251640</v>
      </c>
      <c r="P24" s="47">
        <f t="shared" si="13"/>
        <v>3.6940972222222222E-2</v>
      </c>
      <c r="Q24" s="48">
        <f t="shared" si="11"/>
        <v>0.32210911660341357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95807946.370523542</v>
      </c>
      <c r="E25" s="39">
        <f t="shared" si="1"/>
        <v>79632870.424687505</v>
      </c>
      <c r="F25" s="40" t="s">
        <v>66</v>
      </c>
      <c r="G25" s="41">
        <v>1.6675</v>
      </c>
      <c r="H25" s="42">
        <v>1.51</v>
      </c>
      <c r="I25" s="43">
        <v>1.51</v>
      </c>
      <c r="J25" s="44">
        <f t="shared" si="8"/>
        <v>5.6772253031299937E-2</v>
      </c>
      <c r="K25" s="45">
        <f t="shared" si="9"/>
        <v>4.71875E-2</v>
      </c>
      <c r="L25" s="46">
        <f t="shared" si="10"/>
        <v>0</v>
      </c>
      <c r="M25" s="46">
        <f t="shared" si="12"/>
        <v>0</v>
      </c>
      <c r="N25" s="50">
        <v>0</v>
      </c>
      <c r="O25" s="37">
        <v>0</v>
      </c>
      <c r="P25" s="51">
        <f t="shared" si="13"/>
        <v>0</v>
      </c>
      <c r="Q25" s="48">
        <f t="shared" si="11"/>
        <v>-9.4452773613193375E-2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25651136.571106311</v>
      </c>
      <c r="E26" s="39">
        <f t="shared" si="1"/>
        <v>21320503.279687501</v>
      </c>
      <c r="F26" s="40" t="s">
        <v>44</v>
      </c>
      <c r="G26" s="41">
        <v>1.7994999999999999</v>
      </c>
      <c r="H26" s="42">
        <v>2.85</v>
      </c>
      <c r="I26" s="43">
        <v>2.85</v>
      </c>
      <c r="J26" s="44">
        <f t="shared" si="8"/>
        <v>0.10715292790675816</v>
      </c>
      <c r="K26" s="45">
        <f t="shared" si="9"/>
        <v>8.9062500000000003E-2</v>
      </c>
      <c r="L26" s="46">
        <f t="shared" si="10"/>
        <v>0</v>
      </c>
      <c r="M26" s="46">
        <f t="shared" si="12"/>
        <v>0</v>
      </c>
      <c r="N26" s="50">
        <v>1100</v>
      </c>
      <c r="O26" s="37">
        <v>3135</v>
      </c>
      <c r="P26" s="51">
        <f t="shared" si="13"/>
        <v>0</v>
      </c>
      <c r="Q26" s="48">
        <f t="shared" si="11"/>
        <v>0.58377327035287596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26002707.047654856</v>
      </c>
      <c r="E27" s="39">
        <f t="shared" si="1"/>
        <v>21612718.771875001</v>
      </c>
      <c r="F27" s="40" t="s">
        <v>34</v>
      </c>
      <c r="G27" s="41">
        <v>3.1361369999999997</v>
      </c>
      <c r="H27" s="42">
        <v>2.7</v>
      </c>
      <c r="I27" s="43">
        <v>2.7</v>
      </c>
      <c r="J27" s="44">
        <f t="shared" si="8"/>
        <v>0.10151330012219194</v>
      </c>
      <c r="K27" s="45">
        <f t="shared" si="9"/>
        <v>8.4375000000000006E-2</v>
      </c>
      <c r="L27" s="46">
        <f t="shared" si="10"/>
        <v>0</v>
      </c>
      <c r="M27" s="46">
        <f t="shared" si="12"/>
        <v>0</v>
      </c>
      <c r="N27" s="50">
        <v>0</v>
      </c>
      <c r="O27" s="37">
        <v>0</v>
      </c>
      <c r="P27" s="51">
        <f t="shared" si="13"/>
        <v>0</v>
      </c>
      <c r="Q27" s="48">
        <f t="shared" si="11"/>
        <v>-0.13906822310377376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32672067.530782964</v>
      </c>
      <c r="E28" s="39">
        <f t="shared" si="1"/>
        <v>27156103.629687499</v>
      </c>
      <c r="F28" s="40" t="s">
        <v>44</v>
      </c>
      <c r="G28" s="41">
        <v>0.8</v>
      </c>
      <c r="H28" s="42">
        <v>1.1499999999999999</v>
      </c>
      <c r="I28" s="43">
        <v>1.1499999999999999</v>
      </c>
      <c r="J28" s="44">
        <f t="shared" si="8"/>
        <v>4.3237146348341006E-2</v>
      </c>
      <c r="K28" s="45">
        <f t="shared" si="9"/>
        <v>3.5937499999999997E-2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124957949.2076923</v>
      </c>
      <c r="E29" s="39">
        <f t="shared" si="1"/>
        <v>103861532.93911238</v>
      </c>
      <c r="F29" s="40" t="s">
        <v>47</v>
      </c>
      <c r="G29" s="41">
        <v>5.15</v>
      </c>
      <c r="H29" s="42">
        <v>7.4</v>
      </c>
      <c r="I29" s="43">
        <v>7.4000219999999999</v>
      </c>
      <c r="J29" s="44">
        <f t="shared" si="8"/>
        <v>0.27822246451734184</v>
      </c>
      <c r="K29" s="45">
        <f t="shared" si="9"/>
        <v>0.2312506875</v>
      </c>
      <c r="L29" s="46">
        <f t="shared" si="10"/>
        <v>2.1999999999522402E-5</v>
      </c>
      <c r="M29" s="46">
        <f t="shared" si="12"/>
        <v>2.9729729729084328E-4</v>
      </c>
      <c r="N29" s="50">
        <v>44500</v>
      </c>
      <c r="O29" s="37">
        <v>329301</v>
      </c>
      <c r="P29" s="51">
        <f t="shared" si="13"/>
        <v>0</v>
      </c>
      <c r="Q29" s="48">
        <f t="shared" si="11"/>
        <v>0.43689747572815518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12921257.339035625</v>
      </c>
      <c r="E31" s="39">
        <f t="shared" si="1"/>
        <v>10739785.68984375</v>
      </c>
      <c r="F31" s="40" t="s">
        <v>39</v>
      </c>
      <c r="G31" s="41">
        <v>1.4</v>
      </c>
      <c r="H31" s="42">
        <v>1.3225</v>
      </c>
      <c r="I31" s="43">
        <v>1.3225</v>
      </c>
      <c r="J31" s="44">
        <f t="shared" si="8"/>
        <v>4.9722718300592161E-2</v>
      </c>
      <c r="K31" s="45">
        <f t="shared" si="9"/>
        <v>4.1328125E-2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-5.5357142857142771E-2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4358605.0004699687</v>
      </c>
      <c r="E32" s="39">
        <f t="shared" si="1"/>
        <v>3622749.890625</v>
      </c>
      <c r="F32" s="40" t="s">
        <v>39</v>
      </c>
      <c r="G32" s="41">
        <v>0.65</v>
      </c>
      <c r="H32" s="42">
        <v>0.95</v>
      </c>
      <c r="I32" s="43">
        <v>0.95</v>
      </c>
      <c r="J32" s="44">
        <f t="shared" si="8"/>
        <v>3.571764263558605E-2</v>
      </c>
      <c r="K32" s="45">
        <f t="shared" si="9"/>
        <v>2.9687499999999999E-2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88297336.067578271</v>
      </c>
      <c r="E33" s="39">
        <f t="shared" si="1"/>
        <v>73390262.376794159</v>
      </c>
      <c r="F33" s="40" t="s">
        <v>92</v>
      </c>
      <c r="G33" s="41">
        <v>1.44</v>
      </c>
      <c r="H33" s="42">
        <v>0.94109100000000001</v>
      </c>
      <c r="I33" s="43">
        <v>0.94109100000000001</v>
      </c>
      <c r="J33" s="44">
        <f t="shared" si="8"/>
        <v>3.5382686342701385E-2</v>
      </c>
      <c r="K33" s="45">
        <f t="shared" si="9"/>
        <v>2.940909375E-2</v>
      </c>
      <c r="L33" s="46">
        <f t="shared" si="14"/>
        <v>0</v>
      </c>
      <c r="M33" s="46">
        <f t="shared" si="15"/>
        <v>0</v>
      </c>
      <c r="N33" s="50">
        <v>0</v>
      </c>
      <c r="O33" s="37">
        <v>0</v>
      </c>
      <c r="P33" s="51">
        <f t="shared" si="16"/>
        <v>0</v>
      </c>
      <c r="Q33" s="48">
        <f t="shared" si="17"/>
        <v>-0.3464645833333333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35744917.106551364</v>
      </c>
      <c r="E34" s="39">
        <f t="shared" si="1"/>
        <v>29710169.773171876</v>
      </c>
      <c r="F34" s="40" t="s">
        <v>34</v>
      </c>
      <c r="G34" s="41">
        <v>3.6056249999999999</v>
      </c>
      <c r="H34" s="42">
        <v>3.7201930000000001</v>
      </c>
      <c r="I34" s="43">
        <v>3.7505000000000002</v>
      </c>
      <c r="J34" s="44">
        <f t="shared" si="8"/>
        <v>0.14100949337343735</v>
      </c>
      <c r="K34" s="45">
        <f t="shared" si="9"/>
        <v>0.11720312500000001</v>
      </c>
      <c r="L34" s="46">
        <f t="shared" si="14"/>
        <v>3.0307000000000084E-2</v>
      </c>
      <c r="M34" s="46">
        <f t="shared" si="15"/>
        <v>0.8146620350073257</v>
      </c>
      <c r="N34" s="50">
        <v>80000</v>
      </c>
      <c r="O34" s="37">
        <v>300040</v>
      </c>
      <c r="P34" s="51">
        <f t="shared" si="16"/>
        <v>0</v>
      </c>
      <c r="Q34" s="48">
        <f t="shared" si="17"/>
        <v>4.0180273877621797E-2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10636527.619513111</v>
      </c>
      <c r="E35" s="39">
        <f t="shared" si="1"/>
        <v>8840782.6050000004</v>
      </c>
      <c r="F35" s="40" t="s">
        <v>34</v>
      </c>
      <c r="G35" s="41">
        <v>2.5099999999999997E-2</v>
      </c>
      <c r="H35" s="42">
        <v>0.06</v>
      </c>
      <c r="I35" s="43">
        <v>0.06</v>
      </c>
      <c r="J35" s="44">
        <f t="shared" si="8"/>
        <v>2.2558511138264874E-3</v>
      </c>
      <c r="K35" s="45">
        <f t="shared" si="9"/>
        <v>1.8749999999999999E-3</v>
      </c>
      <c r="L35" s="46">
        <f t="shared" si="14"/>
        <v>0</v>
      </c>
      <c r="M35" s="46">
        <f t="shared" si="15"/>
        <v>0</v>
      </c>
      <c r="N35" s="50">
        <v>36600</v>
      </c>
      <c r="O35" s="37">
        <v>2196</v>
      </c>
      <c r="P35" s="51">
        <f t="shared" si="16"/>
        <v>0</v>
      </c>
      <c r="Q35" s="48">
        <f t="shared" si="17"/>
        <v>1.3904382470119523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69235155.009236246</v>
      </c>
      <c r="E36" s="39">
        <f t="shared" si="1"/>
        <v>57546313.60494253</v>
      </c>
      <c r="F36" s="40" t="s">
        <v>92</v>
      </c>
      <c r="G36" s="41">
        <v>0.61</v>
      </c>
      <c r="H36" s="42">
        <v>3.5</v>
      </c>
      <c r="I36" s="43">
        <v>3.506977</v>
      </c>
      <c r="J36" s="44">
        <f t="shared" si="8"/>
        <v>0.13185363286023122</v>
      </c>
      <c r="K36" s="45">
        <f t="shared" si="9"/>
        <v>0.10959303125</v>
      </c>
      <c r="L36" s="46">
        <f t="shared" si="14"/>
        <v>6.977000000000011E-3</v>
      </c>
      <c r="M36" s="46">
        <f t="shared" si="15"/>
        <v>0.19934285714285743</v>
      </c>
      <c r="N36" s="50">
        <v>4300</v>
      </c>
      <c r="O36" s="37">
        <v>15080</v>
      </c>
      <c r="P36" s="51">
        <f t="shared" si="16"/>
        <v>0</v>
      </c>
      <c r="Q36" s="48">
        <f t="shared" si="17"/>
        <v>4.7491426229508198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139454024.61052012</v>
      </c>
      <c r="E37" s="39">
        <f t="shared" si="1"/>
        <v>115910263.11182216</v>
      </c>
      <c r="F37" s="40" t="s">
        <v>56</v>
      </c>
      <c r="G37" s="41">
        <v>0.11650199999999999</v>
      </c>
      <c r="H37" s="42">
        <v>0.88325799999999999</v>
      </c>
      <c r="I37" s="43">
        <v>0.88422100000000003</v>
      </c>
      <c r="J37" s="44">
        <f t="shared" si="8"/>
        <v>3.3244515461979512E-2</v>
      </c>
      <c r="K37" s="45">
        <f t="shared" si="9"/>
        <v>2.7631906250000001E-2</v>
      </c>
      <c r="L37" s="46">
        <f t="shared" si="14"/>
        <v>9.6300000000004715E-4</v>
      </c>
      <c r="M37" s="46">
        <f t="shared" si="15"/>
        <v>0.10902816617568674</v>
      </c>
      <c r="N37" s="50">
        <v>1809500</v>
      </c>
      <c r="O37" s="37">
        <v>1599997.62</v>
      </c>
      <c r="P37" s="51">
        <v>0</v>
      </c>
      <c r="Q37" s="48">
        <f t="shared" si="17"/>
        <v>6.5897495321968727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22797777.566914149</v>
      </c>
      <c r="E38" s="39">
        <f t="shared" si="1"/>
        <v>18948871.526124969</v>
      </c>
      <c r="F38" s="40" t="s">
        <v>39</v>
      </c>
      <c r="G38" s="41">
        <v>0.1</v>
      </c>
      <c r="H38" s="42">
        <v>0.14050000000000001</v>
      </c>
      <c r="I38" s="43">
        <v>0.14050100000000001</v>
      </c>
      <c r="J38" s="44">
        <f t="shared" si="8"/>
        <v>5.2824889557289223E-3</v>
      </c>
      <c r="K38" s="45">
        <f t="shared" si="9"/>
        <v>4.3906562500000005E-3</v>
      </c>
      <c r="L38" s="46">
        <f t="shared" si="14"/>
        <v>1.0000000000010001E-6</v>
      </c>
      <c r="M38" s="46">
        <f t="shared" si="15"/>
        <v>7.117437722427046E-4</v>
      </c>
      <c r="N38" s="50">
        <v>66500</v>
      </c>
      <c r="O38" s="37">
        <v>9343.2999999999993</v>
      </c>
      <c r="P38" s="51">
        <f t="shared" ref="P38:P44" si="18">(R38)/J38</f>
        <v>0</v>
      </c>
      <c r="Q38" s="48">
        <f t="shared" si="17"/>
        <v>0.40501000000000009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9007125.9798853267</v>
      </c>
      <c r="E39" s="39">
        <f t="shared" si="1"/>
        <v>7486469.7890625</v>
      </c>
      <c r="F39" s="40" t="s">
        <v>44</v>
      </c>
      <c r="G39" s="41">
        <v>1.7452379999999998</v>
      </c>
      <c r="H39" s="42">
        <v>2.25</v>
      </c>
      <c r="I39" s="43">
        <v>2.25</v>
      </c>
      <c r="J39" s="44">
        <f t="shared" si="8"/>
        <v>8.4594416768493275E-2</v>
      </c>
      <c r="K39" s="45">
        <f t="shared" si="9"/>
        <v>7.03125E-2</v>
      </c>
      <c r="L39" s="46">
        <f t="shared" si="14"/>
        <v>0</v>
      </c>
      <c r="M39" s="46">
        <f t="shared" si="15"/>
        <v>0</v>
      </c>
      <c r="N39" s="50">
        <v>0</v>
      </c>
      <c r="O39" s="37">
        <v>0</v>
      </c>
      <c r="P39" s="51">
        <f t="shared" si="18"/>
        <v>0</v>
      </c>
      <c r="Q39" s="48">
        <f t="shared" si="17"/>
        <v>0.28922244415947862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3589627.6221729107</v>
      </c>
      <c r="E40" s="39">
        <f t="shared" si="1"/>
        <v>2983597.5212732498</v>
      </c>
      <c r="F40" s="40" t="s">
        <v>39</v>
      </c>
      <c r="G40" s="41">
        <v>0.03</v>
      </c>
      <c r="H40" s="42">
        <v>5.3274000000000002E-2</v>
      </c>
      <c r="I40" s="43">
        <v>5.3697999999999996E-2</v>
      </c>
      <c r="J40" s="44">
        <f t="shared" si="8"/>
        <v>2.0189115518375786E-3</v>
      </c>
      <c r="K40" s="45">
        <f t="shared" si="9"/>
        <v>1.6780624999999999E-3</v>
      </c>
      <c r="L40" s="46">
        <f t="shared" si="14"/>
        <v>4.2399999999999383E-4</v>
      </c>
      <c r="M40" s="46">
        <f t="shared" si="15"/>
        <v>0.79588542253255579</v>
      </c>
      <c r="N40" s="50">
        <v>16900</v>
      </c>
      <c r="O40" s="37">
        <v>907.5</v>
      </c>
      <c r="P40" s="51">
        <f t="shared" si="18"/>
        <v>0</v>
      </c>
      <c r="Q40" s="48">
        <f t="shared" si="17"/>
        <v>0.78993333333333315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46502337.908450045</v>
      </c>
      <c r="E41" s="39">
        <f t="shared" si="1"/>
        <v>38651435.391249999</v>
      </c>
      <c r="F41" s="40" t="s">
        <v>47</v>
      </c>
      <c r="G41" s="41">
        <v>4.5</v>
      </c>
      <c r="H41" s="42">
        <v>7.02</v>
      </c>
      <c r="I41" s="43">
        <v>7.06</v>
      </c>
      <c r="J41" s="44">
        <f t="shared" si="8"/>
        <v>0.26543848106025003</v>
      </c>
      <c r="K41" s="45">
        <f t="shared" si="9"/>
        <v>0.22062499999999999</v>
      </c>
      <c r="L41" s="46">
        <f t="shared" si="14"/>
        <v>4.0000000000000036E-2</v>
      </c>
      <c r="M41" s="46">
        <f t="shared" si="15"/>
        <v>0.56980056980057037</v>
      </c>
      <c r="N41" s="50">
        <v>200</v>
      </c>
      <c r="O41" s="37">
        <v>1412</v>
      </c>
      <c r="P41" s="51">
        <f t="shared" si="18"/>
        <v>0</v>
      </c>
      <c r="Q41" s="48">
        <f t="shared" si="17"/>
        <v>0.56888888888888878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313.56623359338283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6.7675533414794626E-7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1559244.2898768682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2.7070213365917853E-3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54539795.889058597</v>
      </c>
      <c r="E44" s="39">
        <f t="shared" si="1"/>
        <v>45331944.411226124</v>
      </c>
      <c r="F44" s="40" t="s">
        <v>47</v>
      </c>
      <c r="G44" s="41">
        <v>0.9998999999999999</v>
      </c>
      <c r="H44" s="42">
        <v>0.75</v>
      </c>
      <c r="I44" s="43">
        <v>0.79782600000000004</v>
      </c>
      <c r="J44" s="44">
        <f t="shared" si="8"/>
        <v>2.9996277845662188E-2</v>
      </c>
      <c r="K44" s="45">
        <f t="shared" si="9"/>
        <v>2.4932062500000001E-2</v>
      </c>
      <c r="L44" s="46">
        <f t="shared" si="14"/>
        <v>4.7826000000000035E-2</v>
      </c>
      <c r="M44" s="46">
        <f t="shared" si="15"/>
        <v>6.3768000000000047</v>
      </c>
      <c r="N44" s="50">
        <v>2300</v>
      </c>
      <c r="O44" s="37">
        <v>1835</v>
      </c>
      <c r="P44" s="51">
        <f t="shared" si="18"/>
        <v>0</v>
      </c>
      <c r="Q44" s="48">
        <f t="shared" si="17"/>
        <v>-0.20209420942094203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17377811.4484444</v>
      </c>
      <c r="E45" s="39">
        <f t="shared" si="1"/>
        <v>14443948.125</v>
      </c>
      <c r="F45" s="40" t="s">
        <v>47</v>
      </c>
      <c r="G45" s="41">
        <v>1.4503460000000001</v>
      </c>
      <c r="H45" s="42">
        <v>4.5</v>
      </c>
      <c r="I45" s="43">
        <v>4.5</v>
      </c>
      <c r="J45" s="44">
        <f t="shared" si="8"/>
        <v>0.16918883353698655</v>
      </c>
      <c r="K45" s="45">
        <f t="shared" si="9"/>
        <v>0.140625</v>
      </c>
      <c r="L45" s="46">
        <f t="shared" si="14"/>
        <v>0</v>
      </c>
      <c r="M45" s="46">
        <f t="shared" si="15"/>
        <v>0</v>
      </c>
      <c r="N45" s="50">
        <v>0</v>
      </c>
      <c r="O45" s="37">
        <v>0</v>
      </c>
      <c r="P45" s="51">
        <v>0</v>
      </c>
      <c r="Q45" s="48">
        <f t="shared" si="17"/>
        <v>2.1027079055618452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2288500</v>
      </c>
      <c r="O47" s="61">
        <f>SUM(O9:O45)</f>
        <v>6821768.3699999992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90664529.777400002</v>
      </c>
      <c r="E50" s="39">
        <v>0</v>
      </c>
      <c r="F50" s="40" t="s">
        <v>92</v>
      </c>
      <c r="G50" s="70">
        <v>0.1</v>
      </c>
      <c r="H50" s="42">
        <v>0.16209999999999999</v>
      </c>
      <c r="I50" s="42">
        <v>0.16009999999999999</v>
      </c>
      <c r="J50" s="44">
        <f t="shared" ref="J50:J65" si="20">I50</f>
        <v>0.16009999999999999</v>
      </c>
      <c r="K50" s="39">
        <v>0</v>
      </c>
      <c r="L50" s="46">
        <f t="shared" ref="L50:L65" si="21">I50-H50</f>
        <v>-2.0000000000000018E-3</v>
      </c>
      <c r="M50" s="46">
        <f t="shared" ref="M50:M65" si="22">((I50-H50)/H50)*100</f>
        <v>-1.2338062924120925</v>
      </c>
      <c r="N50" s="50">
        <v>40120</v>
      </c>
      <c r="O50" s="37">
        <v>6421.91</v>
      </c>
      <c r="P50" s="71">
        <f>(R50)/J50</f>
        <v>0</v>
      </c>
      <c r="Q50" s="48">
        <f t="shared" ref="Q50:Q65" si="23">J50/G50-1</f>
        <v>0.60099999999999976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36422371.270199999</v>
      </c>
      <c r="E51" s="39">
        <v>0</v>
      </c>
      <c r="F51" s="40" t="s">
        <v>39</v>
      </c>
      <c r="G51" s="70">
        <v>39.9</v>
      </c>
      <c r="H51" s="42">
        <v>33.662500000000001</v>
      </c>
      <c r="I51" s="42">
        <v>32.756700000000002</v>
      </c>
      <c r="J51" s="44">
        <f t="shared" si="20"/>
        <v>32.756700000000002</v>
      </c>
      <c r="K51" s="39">
        <v>0</v>
      </c>
      <c r="L51" s="46">
        <f t="shared" si="21"/>
        <v>-0.90579999999999927</v>
      </c>
      <c r="M51" s="46">
        <f t="shared" si="22"/>
        <v>-2.6908280727812826</v>
      </c>
      <c r="N51" s="50">
        <v>2108</v>
      </c>
      <c r="O51" s="37">
        <v>69051.199999999997</v>
      </c>
      <c r="P51" s="72">
        <f>(R51)/J51</f>
        <v>1.7095739192287379E-2</v>
      </c>
      <c r="Q51" s="48">
        <f t="shared" si="23"/>
        <v>-0.17903007518796987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637929194.87960005</v>
      </c>
      <c r="E52" s="39"/>
      <c r="F52" s="40" t="s">
        <v>56</v>
      </c>
      <c r="G52" s="70">
        <v>0.33</v>
      </c>
      <c r="H52" s="42">
        <v>0.2268</v>
      </c>
      <c r="I52" s="42">
        <v>0.2132</v>
      </c>
      <c r="J52" s="44">
        <f t="shared" si="20"/>
        <v>0.2132</v>
      </c>
      <c r="K52" s="39">
        <v>0</v>
      </c>
      <c r="L52" s="46">
        <f t="shared" si="21"/>
        <v>-1.3600000000000001E-2</v>
      </c>
      <c r="M52" s="46">
        <f t="shared" si="22"/>
        <v>-5.9964726631393299</v>
      </c>
      <c r="N52" s="50">
        <v>72680</v>
      </c>
      <c r="O52" s="37">
        <v>15492.07</v>
      </c>
      <c r="P52" s="71">
        <v>0</v>
      </c>
      <c r="Q52" s="48">
        <f t="shared" si="23"/>
        <v>-0.353939393939394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354898401.94889998</v>
      </c>
      <c r="E54" s="39">
        <v>0</v>
      </c>
      <c r="F54" s="40" t="s">
        <v>47</v>
      </c>
      <c r="G54" s="70">
        <v>9.0200000000000002E-2</v>
      </c>
      <c r="H54" s="42">
        <v>0.15859999999999999</v>
      </c>
      <c r="I54" s="42">
        <v>0.1641</v>
      </c>
      <c r="J54" s="44">
        <f t="shared" si="20"/>
        <v>0.1641</v>
      </c>
      <c r="K54" s="39">
        <v>0</v>
      </c>
      <c r="L54" s="46">
        <f t="shared" si="21"/>
        <v>5.5000000000000049E-3</v>
      </c>
      <c r="M54" s="74">
        <f t="shared" si="22"/>
        <v>3.4678436317780612</v>
      </c>
      <c r="N54" s="50">
        <v>1271</v>
      </c>
      <c r="O54" s="37">
        <v>208.6</v>
      </c>
      <c r="P54" s="71">
        <f t="shared" si="24"/>
        <v>0</v>
      </c>
      <c r="Q54" s="48">
        <f t="shared" si="23"/>
        <v>0.81929046563192887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810098144.57000005</v>
      </c>
      <c r="E55" s="39">
        <v>0</v>
      </c>
      <c r="F55" s="40" t="s">
        <v>34</v>
      </c>
      <c r="G55" s="70">
        <v>0.95750000000000002</v>
      </c>
      <c r="H55" s="42">
        <v>1.4004000000000001</v>
      </c>
      <c r="I55" s="42">
        <v>1.4066000000000001</v>
      </c>
      <c r="J55" s="44">
        <f t="shared" si="20"/>
        <v>1.4066000000000001</v>
      </c>
      <c r="K55" s="39">
        <v>0</v>
      </c>
      <c r="L55" s="46">
        <f t="shared" si="21"/>
        <v>6.1999999999999833E-3</v>
      </c>
      <c r="M55" s="46">
        <f t="shared" si="22"/>
        <v>0.44273064838617415</v>
      </c>
      <c r="N55" s="50">
        <v>90469</v>
      </c>
      <c r="O55" s="37">
        <v>127255.84</v>
      </c>
      <c r="P55" s="72">
        <f t="shared" si="24"/>
        <v>3.341390587231622E-2</v>
      </c>
      <c r="Q55" s="48">
        <f t="shared" si="23"/>
        <v>0.46903394255874686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22217372.4366</v>
      </c>
      <c r="E56" s="39">
        <v>0</v>
      </c>
      <c r="F56" s="40" t="s">
        <v>34</v>
      </c>
      <c r="G56" s="70">
        <v>0.1595</v>
      </c>
      <c r="H56" s="42">
        <v>0.14499999999999999</v>
      </c>
      <c r="I56" s="42">
        <v>0.1353</v>
      </c>
      <c r="J56" s="44">
        <f t="shared" si="20"/>
        <v>0.1353</v>
      </c>
      <c r="K56" s="39">
        <v>0</v>
      </c>
      <c r="L56" s="46">
        <f t="shared" si="21"/>
        <v>-9.6999999999999864E-3</v>
      </c>
      <c r="M56" s="46">
        <f t="shared" si="22"/>
        <v>-6.6896551724137847</v>
      </c>
      <c r="N56" s="50">
        <v>1048</v>
      </c>
      <c r="O56" s="37">
        <v>141.77000000000001</v>
      </c>
      <c r="P56" s="71">
        <f t="shared" si="24"/>
        <v>0</v>
      </c>
      <c r="Q56" s="48">
        <f t="shared" si="23"/>
        <v>-0.15172413793103445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22065991.942400001</v>
      </c>
      <c r="E57" s="39">
        <v>0</v>
      </c>
      <c r="F57" s="40" t="s">
        <v>92</v>
      </c>
      <c r="G57" s="70">
        <v>1.6799999999999999E-2</v>
      </c>
      <c r="H57" s="42">
        <v>2.3E-2</v>
      </c>
      <c r="I57" s="42">
        <v>2.24E-2</v>
      </c>
      <c r="J57" s="44">
        <f t="shared" si="20"/>
        <v>2.24E-2</v>
      </c>
      <c r="K57" s="39">
        <v>0</v>
      </c>
      <c r="L57" s="46">
        <f t="shared" si="21"/>
        <v>-5.9999999999999984E-4</v>
      </c>
      <c r="M57" s="74">
        <f t="shared" si="22"/>
        <v>-2.6086956521739126</v>
      </c>
      <c r="N57" s="50">
        <v>735260</v>
      </c>
      <c r="O57" s="37">
        <v>16454.169999999998</v>
      </c>
      <c r="P57" s="71">
        <f t="shared" si="24"/>
        <v>0</v>
      </c>
      <c r="Q57" s="48">
        <f t="shared" si="23"/>
        <v>0.33333333333333348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2580368</v>
      </c>
      <c r="E58" s="39">
        <v>0</v>
      </c>
      <c r="F58" s="40" t="s">
        <v>137</v>
      </c>
      <c r="G58" s="70">
        <v>19.5</v>
      </c>
      <c r="H58" s="42">
        <v>16.666699999999999</v>
      </c>
      <c r="I58" s="42">
        <v>16</v>
      </c>
      <c r="J58" s="44">
        <f t="shared" si="20"/>
        <v>16</v>
      </c>
      <c r="K58" s="39">
        <v>0</v>
      </c>
      <c r="L58" s="46">
        <f t="shared" si="21"/>
        <v>-0.66669999999999874</v>
      </c>
      <c r="M58" s="46">
        <f t="shared" si="22"/>
        <v>-4.0001919996159936</v>
      </c>
      <c r="N58" s="50">
        <v>429</v>
      </c>
      <c r="O58" s="37">
        <v>6864</v>
      </c>
      <c r="P58" s="71">
        <f t="shared" si="24"/>
        <v>0</v>
      </c>
      <c r="Q58" s="48">
        <f t="shared" si="23"/>
        <v>-0.17948717948717952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3969967704.2106004</v>
      </c>
      <c r="E59" s="39">
        <v>0</v>
      </c>
      <c r="F59" s="40" t="s">
        <v>47</v>
      </c>
      <c r="G59" s="70">
        <v>0.78169999999999995</v>
      </c>
      <c r="H59" s="51">
        <v>0.88800000000000001</v>
      </c>
      <c r="I59" s="42">
        <v>0.88260000000000005</v>
      </c>
      <c r="J59" s="44">
        <f t="shared" si="20"/>
        <v>0.88260000000000005</v>
      </c>
      <c r="K59" s="39">
        <v>0</v>
      </c>
      <c r="L59" s="46">
        <f t="shared" si="21"/>
        <v>-5.3999999999999604E-3</v>
      </c>
      <c r="M59" s="46">
        <f t="shared" si="22"/>
        <v>-0.60810810810810367</v>
      </c>
      <c r="N59" s="75">
        <v>166158</v>
      </c>
      <c r="O59" s="76">
        <v>146645.49</v>
      </c>
      <c r="P59" s="71">
        <f t="shared" si="24"/>
        <v>0</v>
      </c>
      <c r="Q59" s="48">
        <f t="shared" si="23"/>
        <v>0.12907765127286686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1192499976.0211999</v>
      </c>
      <c r="E60" s="39">
        <v>0</v>
      </c>
      <c r="F60" s="40" t="s">
        <v>92</v>
      </c>
      <c r="G60" s="70">
        <v>0.59499999999999997</v>
      </c>
      <c r="H60" s="42">
        <v>1.4722999999999999</v>
      </c>
      <c r="I60" s="42">
        <v>1.4812000000000001</v>
      </c>
      <c r="J60" s="44">
        <f t="shared" si="20"/>
        <v>1.4812000000000001</v>
      </c>
      <c r="K60" s="39">
        <v>0</v>
      </c>
      <c r="L60" s="46">
        <f t="shared" si="21"/>
        <v>8.90000000000013E-3</v>
      </c>
      <c r="M60" s="46">
        <f t="shared" si="22"/>
        <v>0.60449636622971747</v>
      </c>
      <c r="N60" s="50">
        <v>691069</v>
      </c>
      <c r="O60" s="37">
        <v>1023618.25</v>
      </c>
      <c r="P60" s="71">
        <f t="shared" si="24"/>
        <v>0</v>
      </c>
      <c r="Q60" s="48">
        <f t="shared" si="23"/>
        <v>1.4894117647058827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93075082.925999999</v>
      </c>
      <c r="E61" s="39">
        <v>0</v>
      </c>
      <c r="F61" s="40" t="s">
        <v>34</v>
      </c>
      <c r="G61" s="70">
        <v>0.22600000000000001</v>
      </c>
      <c r="H61" s="42">
        <v>0.4128</v>
      </c>
      <c r="I61" s="42">
        <v>0.35699999999999998</v>
      </c>
      <c r="J61" s="44">
        <f t="shared" si="20"/>
        <v>0.35699999999999998</v>
      </c>
      <c r="K61" s="39">
        <v>0</v>
      </c>
      <c r="L61" s="46">
        <f t="shared" si="21"/>
        <v>-5.5800000000000016E-2</v>
      </c>
      <c r="M61" s="46">
        <f t="shared" si="22"/>
        <v>-13.517441860465121</v>
      </c>
      <c r="N61" s="50">
        <v>16643</v>
      </c>
      <c r="O61" s="37">
        <v>5942.29</v>
      </c>
      <c r="P61" s="71">
        <f t="shared" si="24"/>
        <v>0</v>
      </c>
      <c r="Q61" s="48">
        <f t="shared" si="23"/>
        <v>0.57964601769911495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392798511.37559998</v>
      </c>
      <c r="E62" s="39">
        <v>0</v>
      </c>
      <c r="F62" s="40" t="s">
        <v>34</v>
      </c>
      <c r="G62" s="70">
        <v>0.49440000000000001</v>
      </c>
      <c r="H62" s="42">
        <v>0.69440000000000002</v>
      </c>
      <c r="I62" s="42">
        <v>0.69869999999999999</v>
      </c>
      <c r="J62" s="44">
        <f t="shared" si="20"/>
        <v>0.69869999999999999</v>
      </c>
      <c r="K62" s="39">
        <v>0</v>
      </c>
      <c r="L62" s="46">
        <f t="shared" si="21"/>
        <v>4.2999999999999705E-3</v>
      </c>
      <c r="M62" s="46">
        <f t="shared" si="22"/>
        <v>0.61923963133640125</v>
      </c>
      <c r="N62" s="50">
        <v>15405</v>
      </c>
      <c r="O62" s="37">
        <v>10764.06</v>
      </c>
      <c r="P62" s="71">
        <f t="shared" si="24"/>
        <v>0</v>
      </c>
      <c r="Q62" s="48">
        <f t="shared" si="23"/>
        <v>0.41322815533980584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91897013.423500001</v>
      </c>
      <c r="E63" s="39">
        <v>0</v>
      </c>
      <c r="F63" s="40" t="s">
        <v>34</v>
      </c>
      <c r="G63" s="70">
        <v>0.25950000000000001</v>
      </c>
      <c r="H63" s="42">
        <v>0.24</v>
      </c>
      <c r="I63" s="42">
        <v>0.25209999999999999</v>
      </c>
      <c r="J63" s="44">
        <f t="shared" si="20"/>
        <v>0.25209999999999999</v>
      </c>
      <c r="K63" s="39">
        <v>0</v>
      </c>
      <c r="L63" s="46">
        <f t="shared" si="21"/>
        <v>1.21E-2</v>
      </c>
      <c r="M63" s="46">
        <f t="shared" si="22"/>
        <v>5.0416666666666661</v>
      </c>
      <c r="N63" s="50">
        <v>1267591</v>
      </c>
      <c r="O63" s="37">
        <v>319528.36</v>
      </c>
      <c r="P63" s="71">
        <f t="shared" si="24"/>
        <v>0</v>
      </c>
      <c r="Q63" s="48">
        <f t="shared" si="23"/>
        <v>-2.8516377649325686E-2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420000000</v>
      </c>
      <c r="E64" s="39">
        <v>0</v>
      </c>
      <c r="F64" s="40" t="s">
        <v>66</v>
      </c>
      <c r="G64" s="70">
        <v>10</v>
      </c>
      <c r="H64" s="42">
        <v>14</v>
      </c>
      <c r="I64" s="42">
        <v>14</v>
      </c>
      <c r="J64" s="44">
        <f t="shared" si="20"/>
        <v>14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0.39999999999999991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41177368.077</v>
      </c>
      <c r="E65" s="39">
        <v>0</v>
      </c>
      <c r="F65" s="40" t="s">
        <v>44</v>
      </c>
      <c r="G65" s="70">
        <v>4.2999999999999997E-2</v>
      </c>
      <c r="H65" s="42">
        <v>0.1195</v>
      </c>
      <c r="I65" s="42">
        <v>0.1195</v>
      </c>
      <c r="J65" s="44">
        <f t="shared" si="20"/>
        <v>0.1195</v>
      </c>
      <c r="K65" s="39">
        <v>0</v>
      </c>
      <c r="L65" s="46">
        <f t="shared" si="21"/>
        <v>0</v>
      </c>
      <c r="M65" s="46">
        <f t="shared" si="22"/>
        <v>0</v>
      </c>
      <c r="N65" s="50">
        <v>568</v>
      </c>
      <c r="O65" s="37">
        <v>67.88</v>
      </c>
      <c r="P65" s="71">
        <f t="shared" si="24"/>
        <v>0</v>
      </c>
      <c r="Q65" s="48">
        <f t="shared" si="23"/>
        <v>1.7790697674418605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3100819</v>
      </c>
      <c r="O66" s="62">
        <f>SUM(O50:O65)</f>
        <v>1748455.8900000001</v>
      </c>
      <c r="P66" s="80"/>
      <c r="Q66" s="63"/>
    </row>
    <row r="67" spans="1:20" ht="12.6" hidden="1" x14ac:dyDescent="0.3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0</v>
      </c>
      <c r="M71" s="46">
        <f>((I71-H71)/H71)*100</f>
        <v>0</v>
      </c>
      <c r="N71" s="95">
        <v>0</v>
      </c>
      <c r="O71" s="96">
        <v>0</v>
      </c>
      <c r="P71" s="71">
        <f>(R71)/J71</f>
        <v>0</v>
      </c>
      <c r="Q71" s="48">
        <f>J71/G71-1</f>
        <v>0.45833333333333326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81437213.550000012</v>
      </c>
      <c r="E72" s="39">
        <f>C72*K72</f>
        <v>81437213.550000012</v>
      </c>
      <c r="F72" s="92" t="s">
        <v>159</v>
      </c>
      <c r="G72" s="92">
        <v>0.1</v>
      </c>
      <c r="H72" s="93">
        <v>0.15670000000000001</v>
      </c>
      <c r="I72" s="93">
        <v>0.15060000000000001</v>
      </c>
      <c r="J72" s="94">
        <f>I72</f>
        <v>0.15060000000000001</v>
      </c>
      <c r="K72" s="94">
        <f>J72</f>
        <v>0.15060000000000001</v>
      </c>
      <c r="L72" s="46">
        <f>I72-H72</f>
        <v>-6.0999999999999943E-3</v>
      </c>
      <c r="M72" s="46">
        <f>((I72-H72)/H72)*100</f>
        <v>-3.8927887683471565</v>
      </c>
      <c r="N72" s="50">
        <v>15017</v>
      </c>
      <c r="O72" s="96">
        <v>2261.02</v>
      </c>
      <c r="P72" s="97">
        <f>(R72)/J72</f>
        <v>2.5179282868525894E-2</v>
      </c>
      <c r="Q72" s="48">
        <f>J72/G72-1</f>
        <v>0.50600000000000001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15017</v>
      </c>
      <c r="O73" s="62">
        <f>SUM(O71:O72)</f>
        <v>2261.02</v>
      </c>
      <c r="P73" s="90"/>
      <c r="Q73" s="63"/>
    </row>
    <row r="74" spans="1:20" ht="12.6" x14ac:dyDescent="0.3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7561395.3327000001</v>
      </c>
      <c r="E75" s="39">
        <f>C75*K75</f>
        <v>7561395.3327000001</v>
      </c>
      <c r="F75" s="92" t="s">
        <v>137</v>
      </c>
      <c r="G75" s="92">
        <v>0.1394</v>
      </c>
      <c r="H75" s="93">
        <v>0.1192</v>
      </c>
      <c r="I75" s="93">
        <v>0.1177</v>
      </c>
      <c r="J75" s="94">
        <f>I75</f>
        <v>0.1177</v>
      </c>
      <c r="K75" s="94">
        <f>J75</f>
        <v>0.1177</v>
      </c>
      <c r="L75" s="46">
        <f>I75-H75</f>
        <v>-1.5000000000000013E-3</v>
      </c>
      <c r="M75" s="46">
        <f>((I75-H75)/H75)*100</f>
        <v>-1.2583892617449677</v>
      </c>
      <c r="N75" s="95">
        <v>4376</v>
      </c>
      <c r="O75" s="96">
        <v>515.07000000000005</v>
      </c>
      <c r="P75" s="71">
        <f>(R75)/J75</f>
        <v>0</v>
      </c>
      <c r="Q75" s="48">
        <f>J75/G75-1</f>
        <v>-0.15566714490674316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131115.89322304729</v>
      </c>
      <c r="E78" s="39">
        <f>C78*K78</f>
        <v>108979.84281250001</v>
      </c>
      <c r="F78" s="40" t="s">
        <v>137</v>
      </c>
      <c r="G78" s="70">
        <v>0.105</v>
      </c>
      <c r="H78" s="42">
        <v>0.11</v>
      </c>
      <c r="I78" s="42">
        <v>0.11</v>
      </c>
      <c r="J78" s="44">
        <f>I78/$J$5</f>
        <v>4.1357270420152269E-3</v>
      </c>
      <c r="K78" s="45">
        <f>I78/$K$4</f>
        <v>3.4375E-3</v>
      </c>
      <c r="L78" s="46">
        <f>I78-H78</f>
        <v>0</v>
      </c>
      <c r="M78" s="98">
        <f>((I78-H78)/H78)*100</f>
        <v>0</v>
      </c>
      <c r="N78" s="37">
        <v>100</v>
      </c>
      <c r="O78" s="37">
        <v>11</v>
      </c>
      <c r="P78" s="40">
        <v>0</v>
      </c>
      <c r="Q78" s="48">
        <f>I78/G78-1</f>
        <v>4.7619047619047672E-2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409548.42222013348</v>
      </c>
      <c r="E79" s="39">
        <f>C79*K79</f>
        <v>340405.13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3.0078014851019834E-3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1587012.3838792366</v>
      </c>
      <c r="E80" s="39">
        <f>C80*K80</f>
        <v>1319080.0587571249</v>
      </c>
      <c r="F80" s="40" t="s">
        <v>137</v>
      </c>
      <c r="G80" s="70">
        <v>6.0499999999999998E-2</v>
      </c>
      <c r="H80" s="42">
        <v>0.12</v>
      </c>
      <c r="I80" s="42">
        <v>0.129409</v>
      </c>
      <c r="J80" s="44">
        <f>I80/$J$5</f>
        <v>4.8654572798195314E-3</v>
      </c>
      <c r="K80" s="45">
        <f>I80/$K$4</f>
        <v>4.0440312499999999E-3</v>
      </c>
      <c r="L80" s="46">
        <f>I80-H80</f>
        <v>9.4090000000000007E-3</v>
      </c>
      <c r="M80" s="98">
        <f>((I80-H80)/H80)*100</f>
        <v>7.8408333333333342</v>
      </c>
      <c r="N80" s="37">
        <v>22000</v>
      </c>
      <c r="O80" s="37">
        <v>2847</v>
      </c>
      <c r="P80" s="40">
        <v>0</v>
      </c>
      <c r="Q80" s="48">
        <f>I80/G80-1</f>
        <v>1.1389917355371901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424309.48660588398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6.3539806372779395E-2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22100</v>
      </c>
      <c r="O82" s="62">
        <f>SUM(O78:O81)</f>
        <v>2858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26311490.312999342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7.14352852711721E-2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3400</v>
      </c>
      <c r="O84" s="76">
        <v>6460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72782329.585299373</v>
      </c>
      <c r="E85" s="39">
        <f>C85*K85</f>
        <v>60494625.348281257</v>
      </c>
      <c r="F85" s="40" t="s">
        <v>177</v>
      </c>
      <c r="G85" s="40">
        <v>1.44347</v>
      </c>
      <c r="H85" s="42">
        <v>1.0553700000000001</v>
      </c>
      <c r="I85" s="42">
        <v>1.0514490000000001</v>
      </c>
      <c r="J85" s="44">
        <f>I85/$J$5</f>
        <v>3.9531873296362444E-2</v>
      </c>
      <c r="K85" s="45">
        <f>I85/$K$4</f>
        <v>3.2857781250000002E-2</v>
      </c>
      <c r="L85" s="46">
        <f>I85-H85</f>
        <v>-3.9210000000000633E-3</v>
      </c>
      <c r="M85" s="46">
        <f>((I85-H85)/H85*100)</f>
        <v>-0.37152846868871225</v>
      </c>
      <c r="N85" s="76">
        <v>94475</v>
      </c>
      <c r="O85" s="76">
        <v>99346.8</v>
      </c>
      <c r="P85" s="47">
        <f>(R85)/J85</f>
        <v>5.504419139682476E-2</v>
      </c>
      <c r="Q85" s="48">
        <f>I85/G85-1</f>
        <v>-0.27158236748945241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5">
      <c r="A89" s="35" t="s">
        <v>68</v>
      </c>
      <c r="B89" s="116">
        <v>0.109778</v>
      </c>
      <c r="D89" s="116">
        <v>8.0300734121907542</v>
      </c>
      <c r="E89" s="35" t="s">
        <v>50</v>
      </c>
      <c r="F89" s="117">
        <v>5.5</v>
      </c>
      <c r="H89" s="118">
        <v>-7.4834454241480293</v>
      </c>
      <c r="J89" s="35" t="s">
        <v>146</v>
      </c>
      <c r="K89" s="51">
        <v>0.25209999999999999</v>
      </c>
      <c r="L89" s="119">
        <v>5.0416666666666661</v>
      </c>
      <c r="M89" s="35" t="s">
        <v>142</v>
      </c>
      <c r="N89" s="117">
        <v>0.35699999999999998</v>
      </c>
      <c r="O89" s="118">
        <v>-13.517441860465121</v>
      </c>
      <c r="P89" s="118">
        <v>-1.3931214627775275</v>
      </c>
      <c r="Q89" s="16"/>
    </row>
    <row r="90" spans="1:243" ht="15" customHeight="1" x14ac:dyDescent="0.25">
      <c r="A90" s="35" t="s">
        <v>70</v>
      </c>
      <c r="B90" s="116">
        <v>10.8</v>
      </c>
      <c r="D90" s="116">
        <v>8.0000000000000071</v>
      </c>
      <c r="E90" s="35" t="s">
        <v>62</v>
      </c>
      <c r="F90" s="117">
        <v>3.5049999999999999</v>
      </c>
      <c r="H90" s="118">
        <v>-7.3498009167572251E-2</v>
      </c>
      <c r="J90" s="35" t="s">
        <v>127</v>
      </c>
      <c r="K90" s="51">
        <v>0.1641</v>
      </c>
      <c r="L90" s="119">
        <v>3.4678436317780612</v>
      </c>
      <c r="M90" s="35" t="s">
        <v>131</v>
      </c>
      <c r="N90" s="117">
        <v>0.1353</v>
      </c>
      <c r="O90" s="118">
        <v>-6.6896551724137847</v>
      </c>
      <c r="P90" s="118">
        <v>-0.80321285140561771</v>
      </c>
      <c r="Q90" s="16"/>
    </row>
    <row r="91" spans="1:243" ht="15" customHeight="1" x14ac:dyDescent="0.25">
      <c r="A91" s="35" t="s">
        <v>113</v>
      </c>
      <c r="B91" s="116">
        <v>0.79782600000000004</v>
      </c>
      <c r="C91" s="116"/>
      <c r="D91" s="116">
        <v>6.3768000000000047</v>
      </c>
      <c r="E91" s="120" t="s">
        <v>45</v>
      </c>
      <c r="F91" s="117">
        <v>32.229399999999998</v>
      </c>
      <c r="G91" s="121"/>
      <c r="H91" s="118">
        <v>-3.1948188103489997E-2</v>
      </c>
      <c r="J91" s="35" t="s">
        <v>144</v>
      </c>
      <c r="K91" s="51">
        <v>0.69869999999999999</v>
      </c>
      <c r="L91" s="119">
        <v>0.61923963133640125</v>
      </c>
      <c r="M91" s="35" t="s">
        <v>123</v>
      </c>
      <c r="N91" s="117">
        <v>0.2132</v>
      </c>
      <c r="O91" s="118">
        <v>-5.9964726631393299</v>
      </c>
      <c r="P91" s="118">
        <v>-0.77994428969359408</v>
      </c>
      <c r="Q91" s="16"/>
    </row>
    <row r="92" spans="1:243" ht="15" customHeight="1" x14ac:dyDescent="0.25">
      <c r="A92" s="35" t="s">
        <v>35</v>
      </c>
      <c r="B92" s="116">
        <v>0.13603099999999999</v>
      </c>
      <c r="C92" s="116"/>
      <c r="D92" s="116">
        <v>0.86681200041522111</v>
      </c>
      <c r="E92" s="120"/>
      <c r="F92" s="117"/>
      <c r="G92" s="121"/>
      <c r="H92" s="118"/>
      <c r="J92" s="35" t="s">
        <v>140</v>
      </c>
      <c r="K92" s="51">
        <v>1.4812000000000001</v>
      </c>
      <c r="L92" s="119">
        <v>0.60449636622971747</v>
      </c>
      <c r="M92" s="35" t="s">
        <v>135</v>
      </c>
      <c r="N92" s="117">
        <v>16</v>
      </c>
      <c r="O92" s="118">
        <v>-4.0001919996159936</v>
      </c>
      <c r="P92" s="118">
        <v>-0.56417489421721045</v>
      </c>
      <c r="Q92" s="16"/>
    </row>
    <row r="93" spans="1:243" ht="15" customHeight="1" x14ac:dyDescent="0.25">
      <c r="A93" s="35" t="s">
        <v>93</v>
      </c>
      <c r="B93" s="116">
        <v>3.7505000000000002</v>
      </c>
      <c r="C93" s="116"/>
      <c r="D93" s="116">
        <v>0.8146620350073257</v>
      </c>
      <c r="E93" s="120"/>
      <c r="F93" s="117"/>
      <c r="G93" s="121"/>
      <c r="H93" s="118"/>
      <c r="J93" s="120" t="s">
        <v>129</v>
      </c>
      <c r="K93" s="121">
        <v>1.4066000000000001</v>
      </c>
      <c r="L93" s="119">
        <v>0.44273064838617415</v>
      </c>
      <c r="M93" s="35" t="s">
        <v>121</v>
      </c>
      <c r="N93" s="117">
        <v>32.756700000000002</v>
      </c>
      <c r="O93" s="118">
        <v>-2.6908280727812826</v>
      </c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9+DuwKVTcr2+yAmpos9jogVKK5hg0Zr2X8MVRE0GSBdCbWhSIn2b8VaceNg4FB5Bt3l70Y+LyuErDNNMilXFUw==" saltValue="z2g84JUOnf4Kz/2+jCyF/A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2026-10-21T13:50:35Z</dcterms:created>
  <dcterms:modified xsi:type="dcterms:W3CDTF">2026-10-21T13:57:20Z</dcterms:modified>
</cp:coreProperties>
</file>