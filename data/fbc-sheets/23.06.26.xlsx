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23.06.26/"/>
    </mc:Choice>
  </mc:AlternateContent>
  <xr:revisionPtr revIDLastSave="0" documentId="8_{7E252ECD-BC00-4046-BF2C-19587B1813FB}" xr6:coauthVersionLast="47" xr6:coauthVersionMax="47" xr10:uidLastSave="{00000000-0000-0000-0000-000000000000}"/>
  <bookViews>
    <workbookView xWindow="-108" yWindow="-108" windowWidth="23256" windowHeight="12456" xr2:uid="{76108303-E36C-49B9-A5CF-6355643B32CD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K74" i="1" s="1"/>
  <c r="E74" i="1" s="1"/>
  <c r="O72" i="1"/>
  <c r="N72" i="1"/>
  <c r="M71" i="1"/>
  <c r="L71" i="1"/>
  <c r="J71" i="1"/>
  <c r="D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M63" i="1"/>
  <c r="L63" i="1"/>
  <c r="J63" i="1"/>
  <c r="D63" i="1" s="1"/>
  <c r="M62" i="1"/>
  <c r="L62" i="1"/>
  <c r="J62" i="1"/>
  <c r="Q62" i="1" s="1"/>
  <c r="M61" i="1"/>
  <c r="L61" i="1"/>
  <c r="J61" i="1"/>
  <c r="Q61" i="1" s="1"/>
  <c r="M60" i="1"/>
  <c r="L60" i="1"/>
  <c r="J60" i="1"/>
  <c r="Q60" i="1" s="1"/>
  <c r="M59" i="1"/>
  <c r="L59" i="1"/>
  <c r="J59" i="1"/>
  <c r="Q59" i="1" s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D56" i="1"/>
  <c r="M55" i="1"/>
  <c r="L55" i="1"/>
  <c r="J55" i="1"/>
  <c r="P55" i="1" s="1"/>
  <c r="D55" i="1"/>
  <c r="M54" i="1"/>
  <c r="L54" i="1"/>
  <c r="J54" i="1"/>
  <c r="Q54" i="1" s="1"/>
  <c r="D54" i="1"/>
  <c r="M53" i="1"/>
  <c r="L53" i="1"/>
  <c r="J53" i="1"/>
  <c r="D53" i="1" s="1"/>
  <c r="M52" i="1"/>
  <c r="L52" i="1"/>
  <c r="J52" i="1"/>
  <c r="Q52" i="1" s="1"/>
  <c r="D52" i="1"/>
  <c r="M51" i="1"/>
  <c r="L51" i="1"/>
  <c r="J51" i="1"/>
  <c r="D51" i="1" s="1"/>
  <c r="O48" i="1"/>
  <c r="N48" i="1"/>
  <c r="Q47" i="1"/>
  <c r="M47" i="1"/>
  <c r="L47" i="1"/>
  <c r="K47" i="1"/>
  <c r="J47" i="1"/>
  <c r="E47" i="1"/>
  <c r="D47" i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P44" i="1" s="1"/>
  <c r="D44" i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D42" i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D39" i="1"/>
  <c r="Q38" i="1"/>
  <c r="M38" i="1"/>
  <c r="L38" i="1"/>
  <c r="K38" i="1"/>
  <c r="J38" i="1"/>
  <c r="D38" i="1" s="1"/>
  <c r="E38" i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D26" i="1"/>
  <c r="Q25" i="1"/>
  <c r="M25" i="1"/>
  <c r="L25" i="1"/>
  <c r="K25" i="1"/>
  <c r="J25" i="1"/>
  <c r="P25" i="1" s="1"/>
  <c r="E25" i="1"/>
  <c r="D25" i="1"/>
  <c r="Q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P13" i="1" s="1"/>
  <c r="Q12" i="1"/>
  <c r="M12" i="1"/>
  <c r="L12" i="1"/>
  <c r="K12" i="1"/>
  <c r="J12" i="1"/>
  <c r="P12" i="1" s="1"/>
  <c r="E12" i="1"/>
  <c r="Q11" i="1"/>
  <c r="M11" i="1"/>
  <c r="L11" i="1"/>
  <c r="K11" i="1"/>
  <c r="E11" i="1" s="1"/>
  <c r="J11" i="1"/>
  <c r="D11" i="1" s="1"/>
  <c r="Q10" i="1"/>
  <c r="M10" i="1"/>
  <c r="L10" i="1"/>
  <c r="K10" i="1"/>
  <c r="J10" i="1"/>
  <c r="P10" i="1" s="1"/>
  <c r="E10" i="1"/>
  <c r="Q9" i="1"/>
  <c r="M9" i="1"/>
  <c r="L9" i="1"/>
  <c r="K9" i="1"/>
  <c r="E9" i="1" s="1"/>
  <c r="J9" i="1"/>
  <c r="P9" i="1" s="1"/>
  <c r="D64" i="1" l="1"/>
  <c r="Q53" i="1"/>
  <c r="D9" i="1"/>
  <c r="D15" i="1"/>
  <c r="D17" i="1"/>
  <c r="D28" i="1"/>
  <c r="D57" i="1"/>
  <c r="D60" i="1"/>
  <c r="D61" i="1"/>
  <c r="D40" i="1"/>
  <c r="D10" i="1"/>
  <c r="D12" i="1"/>
  <c r="P74" i="1"/>
  <c r="P11" i="1"/>
  <c r="P63" i="1"/>
  <c r="Q74" i="1"/>
  <c r="Q63" i="1"/>
  <c r="D32" i="1"/>
  <c r="Q55" i="1"/>
  <c r="D59" i="1"/>
  <c r="D62" i="1"/>
  <c r="P51" i="1"/>
  <c r="P22" i="1"/>
  <c r="Q51" i="1"/>
  <c r="P61" i="1"/>
  <c r="P59" i="1"/>
  <c r="D41" i="1"/>
  <c r="P57" i="1"/>
  <c r="D16" i="1"/>
  <c r="D20" i="1"/>
  <c r="D29" i="1"/>
  <c r="D43" i="1"/>
  <c r="D58" i="1"/>
  <c r="D74" i="1"/>
  <c r="D13" i="1"/>
  <c r="K71" i="1"/>
  <c r="E71" i="1" s="1"/>
  <c r="P21" i="1"/>
  <c r="P24" i="1"/>
  <c r="P27" i="1"/>
  <c r="P33" i="1"/>
  <c r="P36" i="1"/>
  <c r="P71" i="1"/>
  <c r="P83" i="1"/>
  <c r="K70" i="1"/>
  <c r="E70" i="1" s="1"/>
  <c r="Q71" i="1"/>
  <c r="P54" i="1"/>
  <c r="P56" i="1"/>
  <c r="P58" i="1"/>
  <c r="P60" i="1"/>
  <c r="P62" i="1"/>
  <c r="P64" i="1"/>
  <c r="P52" i="1"/>
  <c r="P70" i="1"/>
</calcChain>
</file>

<file path=xl/sharedStrings.xml><?xml version="1.0" encoding="utf-8"?>
<sst xmlns="http://schemas.openxmlformats.org/spreadsheetml/2006/main" count="263" uniqueCount="182">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</sst>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03212322-0246-4F0D-A761-CD73D7B54F5A}"/>
    <cellStyle name="Comma 5 2 2 2 2 2 2 2 2" xfId="4" xr:uid="{C2E249E7-8E2C-4ABF-A937-97453F90E60E}"/>
    <cellStyle name="Comma 6 2 2 2" xfId="5" xr:uid="{25EE2A1B-8A3E-403F-9DBB-1A6F86107B03}"/>
    <cellStyle name="Hyperlink 2" xfId="8" xr:uid="{A98C7E15-609B-47E3-868B-47CB2AEC3C8F}"/>
    <cellStyle name="Normal" xfId="0" builtinId="0"/>
    <cellStyle name="Normal 2" xfId="2" xr:uid="{3C590CAC-10FD-4AF1-A9FE-1EF7D5D47C2D}"/>
    <cellStyle name="Normal 20" xfId="7" xr:uid="{0593A8B5-F577-4F87-B0EF-22556AD5D705}"/>
    <cellStyle name="Percent" xfId="1" builtinId="5"/>
    <cellStyle name="Percent 3" xfId="6" xr:uid="{DF400281-D33B-42DE-93BB-6073DA2D0174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F800964-059B-4523-A295-486B1DF9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FD24BD9-A560-45D8-A88A-CBB81F7D5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E52F-7B05-4147-B1A4-9760351AFF41}">
  <dimension ref="A1:II106"/>
  <sheetViews>
    <sheetView tabSelected="1" topLeftCell="A29" zoomScale="73" zoomScaleNormal="60" workbookViewId="0">
      <selection activeCell="A53" sqref="A53:XFD5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26.805099999999999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74289748.45085451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0.58944006924055503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2.544787974683544E-2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4189139.2330190903</v>
      </c>
      <c r="E10" s="39">
        <f>C10*K10</f>
        <v>3564771.3033333337</v>
      </c>
      <c r="F10" s="40" t="s">
        <v>34</v>
      </c>
      <c r="G10" s="41">
        <v>3.1600000000000003E-2</v>
      </c>
      <c r="H10" s="42">
        <v>6.8995000000000001E-2</v>
      </c>
      <c r="I10" s="42">
        <v>6.9000000000000006E-2</v>
      </c>
      <c r="J10" s="43">
        <f>I10/$J$5</f>
        <v>2.5741370112403986E-3</v>
      </c>
      <c r="K10" s="44">
        <f>I10/$K$4</f>
        <v>2.1904761904761906E-3</v>
      </c>
      <c r="L10" s="45">
        <f>I10-H10</f>
        <v>5.0000000000050004E-6</v>
      </c>
      <c r="M10" s="45">
        <f>((I10-H10)/H10)*100</f>
        <v>7.2469019494238712E-3</v>
      </c>
      <c r="N10" s="46">
        <v>41400</v>
      </c>
      <c r="O10" s="37">
        <v>2856.6</v>
      </c>
      <c r="P10" s="50">
        <f>(R10)/J10</f>
        <v>0</v>
      </c>
      <c r="Q10" s="48">
        <f>I10/G10-1</f>
        <v>1.1835443037974684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3268555.6285744132</v>
      </c>
      <c r="E11" s="39">
        <f>C11*K11</f>
        <v>2781395.570777778</v>
      </c>
      <c r="F11" s="40" t="s">
        <v>39</v>
      </c>
      <c r="G11" s="41">
        <v>7.8E-2</v>
      </c>
      <c r="H11" s="42">
        <v>0.20050000000000001</v>
      </c>
      <c r="I11" s="42">
        <v>0.20050000000000001</v>
      </c>
      <c r="J11" s="43">
        <f>I11/$J$5</f>
        <v>7.4799198659956509E-3</v>
      </c>
      <c r="K11" s="44">
        <f>I11/$K$4</f>
        <v>6.3650793650793652E-3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153951788.40002465</v>
      </c>
      <c r="E12" s="39">
        <f>C12*K12</f>
        <v>131006129.62671429</v>
      </c>
      <c r="F12" s="40" t="s">
        <v>34</v>
      </c>
      <c r="G12" s="41">
        <v>97.381</v>
      </c>
      <c r="H12" s="42">
        <v>208.9</v>
      </c>
      <c r="I12" s="42">
        <v>199.99950000000001</v>
      </c>
      <c r="J12" s="43">
        <f>I12/$J$5</f>
        <v>7.461248046080784</v>
      </c>
      <c r="K12" s="44">
        <f>I12/$K$4</f>
        <v>6.3491904761904765</v>
      </c>
      <c r="L12" s="45">
        <f>I12-H12</f>
        <v>-8.9004999999999939</v>
      </c>
      <c r="M12" s="45">
        <f>((I12-H12)/H12)*100</f>
        <v>-4.260651029200571</v>
      </c>
      <c r="N12" s="46">
        <v>600</v>
      </c>
      <c r="O12" s="37">
        <v>119999.7</v>
      </c>
      <c r="P12" s="50">
        <f>(R12)/J12</f>
        <v>0</v>
      </c>
      <c r="Q12" s="48">
        <f>I12/G12-1</f>
        <v>1.0537835922818619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5246585.1199958222</v>
      </c>
      <c r="E13" s="39">
        <f>C13*K13</f>
        <v>4464610.7555555562</v>
      </c>
      <c r="F13" s="40" t="s">
        <v>44</v>
      </c>
      <c r="G13" s="41">
        <v>13.6</v>
      </c>
      <c r="H13" s="42">
        <v>16.100000000000001</v>
      </c>
      <c r="I13" s="42">
        <v>16.100000000000001</v>
      </c>
      <c r="J13" s="43">
        <f>I13/$J$5</f>
        <v>0.6006319692894263</v>
      </c>
      <c r="K13" s="44">
        <f>I13/$K$4</f>
        <v>0.51111111111111118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0.18382352941176494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428968824.2162872</v>
      </c>
      <c r="E14" s="39">
        <f>C14*K14</f>
        <v>365033404.12698412</v>
      </c>
      <c r="F14" s="40" t="s">
        <v>47</v>
      </c>
      <c r="G14" s="41">
        <v>11.5</v>
      </c>
      <c r="H14" s="42">
        <v>22.134399999999999</v>
      </c>
      <c r="I14" s="42">
        <v>22</v>
      </c>
      <c r="J14" s="43">
        <f>I14/$J$5</f>
        <v>0.82073933691722845</v>
      </c>
      <c r="K14" s="44">
        <f>I14/$K$4</f>
        <v>0.69841269841269837</v>
      </c>
      <c r="L14" s="45">
        <f>I14-H14</f>
        <v>-0.13439999999999941</v>
      </c>
      <c r="M14" s="45">
        <f>((I14-H14)/H14)*100</f>
        <v>-0.60719965302876699</v>
      </c>
      <c r="N14" s="46">
        <v>44900</v>
      </c>
      <c r="O14" s="37">
        <v>987800</v>
      </c>
      <c r="P14" s="50">
        <f>(R14)/J14</f>
        <v>0</v>
      </c>
      <c r="Q14" s="48">
        <f>I14/G14-1</f>
        <v>0.91304347826086962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23735977.481897105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0.22383800097742595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37395958.321364217</v>
      </c>
      <c r="E16" s="39">
        <f>C16*K16</f>
        <v>31822298.488888886</v>
      </c>
      <c r="F16" s="40" t="s">
        <v>34</v>
      </c>
      <c r="G16" s="41">
        <v>1.9</v>
      </c>
      <c r="H16" s="42">
        <v>2.8</v>
      </c>
      <c r="I16" s="42">
        <v>2.8</v>
      </c>
      <c r="J16" s="43">
        <f>I16/$J$5</f>
        <v>0.10445773378946543</v>
      </c>
      <c r="K16" s="44">
        <f>I16/$K$4</f>
        <v>8.8888888888888878E-2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0.47368421052631571</v>
      </c>
      <c r="R16" s="49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1514510930.5508094</v>
      </c>
      <c r="E17" s="39">
        <f>C17*K17</f>
        <v>1288781490.3018255</v>
      </c>
      <c r="F17" s="40" t="s">
        <v>34</v>
      </c>
      <c r="G17" s="41">
        <v>20.701700000000002</v>
      </c>
      <c r="H17" s="42">
        <v>30.098600000000001</v>
      </c>
      <c r="I17" s="42">
        <v>30.2591</v>
      </c>
      <c r="J17" s="43">
        <f>I17/$J$5</f>
        <v>1.1288560758960049</v>
      </c>
      <c r="K17" s="44">
        <f>I17/$K$4</f>
        <v>0.96060634920634924</v>
      </c>
      <c r="L17" s="45">
        <f>I17-H17</f>
        <v>0.16049999999999898</v>
      </c>
      <c r="M17" s="45">
        <f>((I17-H17)/H17)*100</f>
        <v>0.53324739356647477</v>
      </c>
      <c r="N17" s="46">
        <v>43000</v>
      </c>
      <c r="O17" s="37">
        <v>1301141.45</v>
      </c>
      <c r="P17" s="47">
        <f>(R17)/J17</f>
        <v>4.4292626019941113E-2</v>
      </c>
      <c r="Q17" s="48">
        <f>I17/G17-1</f>
        <v>0.46167222981687472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38941956.930368699</v>
      </c>
      <c r="E19" s="39">
        <f>C19*K19</f>
        <v>33137874.594102416</v>
      </c>
      <c r="F19" s="40" t="s">
        <v>47</v>
      </c>
      <c r="G19" s="41">
        <v>12.45</v>
      </c>
      <c r="H19" s="42">
        <v>9.5892409999999995</v>
      </c>
      <c r="I19" s="42">
        <v>9.5832860000000011</v>
      </c>
      <c r="J19" s="43">
        <f>I19/$J$5</f>
        <v>0.35751726350582541</v>
      </c>
      <c r="K19" s="44">
        <f>I19/$K$4</f>
        <v>0.30423130158730161</v>
      </c>
      <c r="L19" s="45">
        <f>I19-H19</f>
        <v>-5.9549999999983783E-3</v>
      </c>
      <c r="M19" s="45">
        <f>((I19-H19)/H19)*100</f>
        <v>-6.2100848231871314E-2</v>
      </c>
      <c r="N19" s="46">
        <v>14000</v>
      </c>
      <c r="O19" s="37">
        <v>134166</v>
      </c>
      <c r="P19" s="50">
        <f>(R19)/J19</f>
        <v>0</v>
      </c>
      <c r="Q19" s="48">
        <f>I19/G19-1</f>
        <v>-0.23025815261044169</v>
      </c>
      <c r="R19" s="49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17482014.159245815</v>
      </c>
      <c r="E20" s="39">
        <f>C20*K20</f>
        <v>14876417.071111113</v>
      </c>
      <c r="F20" s="40" t="s">
        <v>47</v>
      </c>
      <c r="G20" s="41">
        <v>0.35</v>
      </c>
      <c r="H20" s="42">
        <v>0.67900000000000005</v>
      </c>
      <c r="I20" s="42">
        <v>0.67900000000000005</v>
      </c>
      <c r="J20" s="43">
        <f>I20/$J$5</f>
        <v>2.5331000443945369E-2</v>
      </c>
      <c r="K20" s="44">
        <f>I20/$K$4</f>
        <v>2.1555555555555557E-2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0.94000000000000017</v>
      </c>
      <c r="R20" s="49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115472676.54369129</v>
      </c>
      <c r="E21" s="39">
        <f>C21*K21</f>
        <v>98262115.619723812</v>
      </c>
      <c r="F21" s="40" t="s">
        <v>47</v>
      </c>
      <c r="G21" s="41">
        <v>2.85</v>
      </c>
      <c r="H21" s="42">
        <v>2.1775000000000002</v>
      </c>
      <c r="I21" s="42">
        <v>2.5040999999999998</v>
      </c>
      <c r="J21" s="43">
        <f>I21/$J$5</f>
        <v>9.3418789707928704E-2</v>
      </c>
      <c r="K21" s="44">
        <f>I21/$K$4</f>
        <v>7.9495238095238091E-2</v>
      </c>
      <c r="L21" s="45">
        <f>I21-H21</f>
        <v>0.32659999999999956</v>
      </c>
      <c r="M21" s="45">
        <f>((I21-H21)/H21)*100</f>
        <v>14.99885189437426</v>
      </c>
      <c r="N21" s="46">
        <v>7800</v>
      </c>
      <c r="O21" s="37">
        <v>19531.98</v>
      </c>
      <c r="P21" s="50">
        <f>(R21)/J21</f>
        <v>0</v>
      </c>
      <c r="Q21" s="48">
        <f>I21/G21-1</f>
        <v>-0.12136842105263168</v>
      </c>
      <c r="R21" s="49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18016338.707932446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3.3575700146613895E-2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1400</v>
      </c>
      <c r="O22" s="37">
        <v>1260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2252042.3384915558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4.1969625183267368E-3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64465963.537162714</v>
      </c>
      <c r="E24" s="39">
        <f>C24*K24</f>
        <v>54857669.816190481</v>
      </c>
      <c r="F24" s="40" t="s">
        <v>34</v>
      </c>
      <c r="G24" s="41">
        <v>8.1687659999999997</v>
      </c>
      <c r="H24" s="42">
        <v>8.901942</v>
      </c>
      <c r="I24" s="42">
        <v>8.9525000000000006</v>
      </c>
      <c r="J24" s="43">
        <f>I24/$J$5</f>
        <v>0.33398495062506767</v>
      </c>
      <c r="K24" s="44">
        <f>I24/$K$4</f>
        <v>0.28420634920634924</v>
      </c>
      <c r="L24" s="45">
        <f>I24-H24</f>
        <v>5.0558000000000547E-2</v>
      </c>
      <c r="M24" s="45">
        <f>((I24-H24)/H24)*100</f>
        <v>0.56794348918472559</v>
      </c>
      <c r="N24" s="46">
        <v>1200</v>
      </c>
      <c r="O24" s="37">
        <v>10743</v>
      </c>
      <c r="P24" s="50">
        <f>(R24)/J24</f>
        <v>0</v>
      </c>
      <c r="Q24" s="48">
        <f>I24/G24-1</f>
        <v>9.5942765406672237E-2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81886332.435317561</v>
      </c>
      <c r="E25" s="39">
        <f>C25*K25</f>
        <v>69681629.509902582</v>
      </c>
      <c r="F25" s="40" t="s">
        <v>66</v>
      </c>
      <c r="G25" s="41">
        <v>1.6675</v>
      </c>
      <c r="H25" s="42">
        <v>1.4</v>
      </c>
      <c r="I25" s="42">
        <v>1.300659</v>
      </c>
      <c r="J25" s="43">
        <f>I25/$J$5</f>
        <v>4.8522818418882972E-2</v>
      </c>
      <c r="K25" s="44">
        <f>I25/$K$4</f>
        <v>4.1290761904761906E-2</v>
      </c>
      <c r="L25" s="45">
        <f>I25-H25</f>
        <v>-9.9340999999999902E-2</v>
      </c>
      <c r="M25" s="45">
        <f>((I25-H25)/H25)*100</f>
        <v>-7.0957857142857073</v>
      </c>
      <c r="N25" s="46">
        <v>203800</v>
      </c>
      <c r="O25" s="37">
        <v>265074.25</v>
      </c>
      <c r="P25" s="50">
        <f>(R25)/J25</f>
        <v>0</v>
      </c>
      <c r="Q25" s="48">
        <f>I25/G25-1</f>
        <v>-0.21999460269865068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26478869.345736559</v>
      </c>
      <c r="E26" s="39">
        <f>C26*K26</f>
        <v>22532340.974584222</v>
      </c>
      <c r="F26" s="40" t="s">
        <v>44</v>
      </c>
      <c r="G26" s="41">
        <v>1.7994999999999999</v>
      </c>
      <c r="H26" s="42">
        <v>2.6081300000000001</v>
      </c>
      <c r="I26" s="42">
        <v>2.9649290000000001</v>
      </c>
      <c r="J26" s="43">
        <f>I26/$J$5</f>
        <v>0.11061063006666642</v>
      </c>
      <c r="K26" s="44">
        <f>I26/$K$4</f>
        <v>9.4124730158730158E-2</v>
      </c>
      <c r="L26" s="45">
        <f>I26-H26</f>
        <v>0.35679900000000009</v>
      </c>
      <c r="M26" s="45">
        <f>((I26-H26)/H26)*100</f>
        <v>13.680261336666504</v>
      </c>
      <c r="N26" s="46">
        <v>39400</v>
      </c>
      <c r="O26" s="37">
        <v>116818.2</v>
      </c>
      <c r="P26" s="50">
        <f>(R26)/J26</f>
        <v>0</v>
      </c>
      <c r="Q26" s="48">
        <f>I26/G26-1</f>
        <v>0.64764045568213402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26665713.464122687</v>
      </c>
      <c r="E27" s="39">
        <f>C27*K27</f>
        <v>22691337.015147779</v>
      </c>
      <c r="F27" s="40" t="s">
        <v>34</v>
      </c>
      <c r="G27" s="41">
        <v>3.1361369999999997</v>
      </c>
      <c r="H27" s="42">
        <v>2.8</v>
      </c>
      <c r="I27" s="42">
        <v>2.7904550000000001</v>
      </c>
      <c r="J27" s="43">
        <f>I27/$J$5</f>
        <v>0.10410164483624386</v>
      </c>
      <c r="K27" s="44">
        <f>I27/$K$4</f>
        <v>8.8585873015873021E-2</v>
      </c>
      <c r="L27" s="45">
        <f>I27-H27</f>
        <v>-9.5449999999996926E-3</v>
      </c>
      <c r="M27" s="45">
        <f>((I27-H27)/H27)*100</f>
        <v>-0.34089285714284617</v>
      </c>
      <c r="N27" s="46">
        <v>4400</v>
      </c>
      <c r="O27" s="37">
        <v>12278</v>
      </c>
      <c r="P27" s="50">
        <f>(R27)/J27</f>
        <v>0</v>
      </c>
      <c r="Q27" s="48">
        <f>I27/G27-1</f>
        <v>-0.11022541425964483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20944496.969284356</v>
      </c>
      <c r="E28" s="39">
        <f>C28*K28</f>
        <v>17822836.054329015</v>
      </c>
      <c r="F28" s="40" t="s">
        <v>44</v>
      </c>
      <c r="G28" s="41">
        <v>0.8</v>
      </c>
      <c r="H28" s="42">
        <v>0.74296400000000007</v>
      </c>
      <c r="I28" s="42">
        <v>0.74296400000000007</v>
      </c>
      <c r="J28" s="43">
        <f>I28/$J$5</f>
        <v>2.7717262759698717E-2</v>
      </c>
      <c r="K28" s="44">
        <f>I28/$K$4</f>
        <v>2.3586158730158732E-2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-7.1294999999999997E-2</v>
      </c>
      <c r="R28" s="49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91987032.423680574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2">
        <v>5.49</v>
      </c>
      <c r="J29" s="43">
        <f>I29/$J$5</f>
        <v>0.20481177089434474</v>
      </c>
      <c r="K29" s="44">
        <f>I29/$K$4</f>
        <v>0.17428571428571429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6.6019417475728037E-2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11633589.279652007</v>
      </c>
      <c r="E32" s="39">
        <f>C32*K32</f>
        <v>9899667.4285714272</v>
      </c>
      <c r="F32" s="40" t="s">
        <v>39</v>
      </c>
      <c r="G32" s="41">
        <v>1.4</v>
      </c>
      <c r="H32" s="42">
        <v>1.1815</v>
      </c>
      <c r="I32" s="42">
        <v>1.2</v>
      </c>
      <c r="J32" s="43">
        <f>I32/$J$5</f>
        <v>4.4767600195485188E-2</v>
      </c>
      <c r="K32" s="44">
        <f>I32/$K$4</f>
        <v>3.8095238095238092E-2</v>
      </c>
      <c r="L32" s="45">
        <f>I32-H32</f>
        <v>1.8499999999999961E-2</v>
      </c>
      <c r="M32" s="45">
        <f>((I32-H32)/H32)*100</f>
        <v>1.5658061785865391</v>
      </c>
      <c r="N32" s="46">
        <v>70000</v>
      </c>
      <c r="O32" s="37">
        <v>84000</v>
      </c>
      <c r="P32" s="50">
        <f>(R32)/J32</f>
        <v>0</v>
      </c>
      <c r="Q32" s="48">
        <f>I32/G32-1</f>
        <v>-0.14285714285714279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3869601.2885607593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3.1710383471802009E-2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102555314.05317424</v>
      </c>
      <c r="E34" s="39">
        <f>C34*K34</f>
        <v>87270014.245293349</v>
      </c>
      <c r="F34" s="40" t="s">
        <v>92</v>
      </c>
      <c r="G34" s="41">
        <v>1.44</v>
      </c>
      <c r="H34" s="42">
        <v>1.1007640000000001</v>
      </c>
      <c r="I34" s="42">
        <v>1.1015869999999999</v>
      </c>
      <c r="J34" s="43">
        <f>I34/$J$5</f>
        <v>4.109617199711995E-2</v>
      </c>
      <c r="K34" s="44">
        <f>I34/$K$4</f>
        <v>3.4971015873015869E-2</v>
      </c>
      <c r="L34" s="45">
        <f>I34-H34</f>
        <v>8.2299999999979612E-4</v>
      </c>
      <c r="M34" s="45">
        <f>((I34-H34)/H34)*100</f>
        <v>7.4766253256810355E-2</v>
      </c>
      <c r="N34" s="46">
        <v>42700</v>
      </c>
      <c r="O34" s="37">
        <v>47037.75</v>
      </c>
      <c r="P34" s="50">
        <f>(R34)/J34</f>
        <v>0</v>
      </c>
      <c r="Q34" s="48">
        <f>I34/G34-1</f>
        <v>-0.23500902777777788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37832303.497897781</v>
      </c>
      <c r="E35" s="39">
        <f>C35*K35</f>
        <v>32193608.841000002</v>
      </c>
      <c r="F35" s="40" t="s">
        <v>34</v>
      </c>
      <c r="G35" s="41">
        <v>3.6056249999999999</v>
      </c>
      <c r="H35" s="42">
        <v>3.5838160000000001</v>
      </c>
      <c r="I35" s="42">
        <v>4.0004999999999997</v>
      </c>
      <c r="J35" s="43">
        <f>I35/$J$5</f>
        <v>0.14924398715169873</v>
      </c>
      <c r="K35" s="44">
        <f>I35/$K$4</f>
        <v>0.127</v>
      </c>
      <c r="L35" s="45">
        <f>I35-H35</f>
        <v>0.41668399999999961</v>
      </c>
      <c r="M35" s="45">
        <f>((I35-H35)/H35)*100</f>
        <v>11.626824591441068</v>
      </c>
      <c r="N35" s="46">
        <v>1300</v>
      </c>
      <c r="O35" s="37">
        <v>5200.6499999999996</v>
      </c>
      <c r="P35" s="50">
        <f>(R35)/J35</f>
        <v>0</v>
      </c>
      <c r="Q35" s="48">
        <f>I35/G35-1</f>
        <v>0.10951638065522618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7036979.4427284356</v>
      </c>
      <c r="E36" s="39">
        <f>C36*K36</f>
        <v>5988156.7511199992</v>
      </c>
      <c r="F36" s="40" t="s">
        <v>34</v>
      </c>
      <c r="G36" s="41">
        <v>2.5099999999999997E-2</v>
      </c>
      <c r="H36" s="42">
        <v>4.0022000000000002E-2</v>
      </c>
      <c r="I36" s="42">
        <v>4.0004999999999999E-2</v>
      </c>
      <c r="J36" s="43">
        <f>I36/$J$5</f>
        <v>1.4924398715169874E-3</v>
      </c>
      <c r="K36" s="44">
        <f>I36/$K$4</f>
        <v>1.2699999999999999E-3</v>
      </c>
      <c r="L36" s="45">
        <f>I36-H36</f>
        <v>-1.7000000000003124E-5</v>
      </c>
      <c r="M36" s="45">
        <f>((I36-H36)/H36)*100</f>
        <v>-4.247663784919075E-2</v>
      </c>
      <c r="N36" s="46">
        <v>21300</v>
      </c>
      <c r="O36" s="37">
        <v>852.1</v>
      </c>
      <c r="P36" s="50">
        <f>(R36)/J36</f>
        <v>0</v>
      </c>
      <c r="Q36" s="48">
        <f>I36/G36-1</f>
        <v>0.59382470119521935</v>
      </c>
      <c r="R36" s="49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68571358.350491211</v>
      </c>
      <c r="E37" s="39">
        <f>C37*K37</f>
        <v>58351178.340341337</v>
      </c>
      <c r="F37" s="40" t="s">
        <v>92</v>
      </c>
      <c r="G37" s="41">
        <v>0.61</v>
      </c>
      <c r="H37" s="42">
        <v>3.2544959999999996</v>
      </c>
      <c r="I37" s="42">
        <v>3.500464</v>
      </c>
      <c r="J37" s="43">
        <f>I37/$J$5</f>
        <v>0.13058947737557405</v>
      </c>
      <c r="K37" s="44">
        <f>I37/$K$4</f>
        <v>0.11112584126984128</v>
      </c>
      <c r="L37" s="45">
        <f>I37-H37</f>
        <v>0.24596800000000041</v>
      </c>
      <c r="M37" s="45">
        <f>((I37-H37)/H37)*100</f>
        <v>7.5577908222963082</v>
      </c>
      <c r="N37" s="46">
        <v>2800</v>
      </c>
      <c r="O37" s="37">
        <v>9801.2999999999993</v>
      </c>
      <c r="P37" s="50">
        <f>(R37)/J37</f>
        <v>0</v>
      </c>
      <c r="Q37" s="48">
        <f>I37/G37-1</f>
        <v>4.7384655737704922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23943357.164755959</v>
      </c>
      <c r="E38" s="39">
        <f>C38*K38</f>
        <v>20374732.797999997</v>
      </c>
      <c r="F38" s="40" t="s">
        <v>56</v>
      </c>
      <c r="G38" s="41">
        <v>0.11650199999999999</v>
      </c>
      <c r="H38" s="42">
        <v>0.14941499999999999</v>
      </c>
      <c r="I38" s="42">
        <v>0.153</v>
      </c>
      <c r="J38" s="43">
        <f>I38/$J$5</f>
        <v>5.7078690249243611E-3</v>
      </c>
      <c r="K38" s="44">
        <f>I38/$K$4</f>
        <v>4.8571428571428567E-3</v>
      </c>
      <c r="L38" s="45">
        <f>I38-H38</f>
        <v>3.5850000000000048E-3</v>
      </c>
      <c r="M38" s="45">
        <f>((I38-H38)/H38)*100</f>
        <v>2.3993574942274902</v>
      </c>
      <c r="N38" s="46">
        <v>3000</v>
      </c>
      <c r="O38" s="37">
        <v>459</v>
      </c>
      <c r="P38" s="50">
        <v>0</v>
      </c>
      <c r="Q38" s="48">
        <f>I38/G38-1</f>
        <v>0.31328217541329773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100869257.08727071</v>
      </c>
      <c r="E39" s="39">
        <f>C39*K39</f>
        <v>85835254.703174606</v>
      </c>
      <c r="F39" s="40" t="s">
        <v>34</v>
      </c>
      <c r="G39" s="41">
        <v>2.6005000000000003</v>
      </c>
      <c r="H39" s="42">
        <v>7.45</v>
      </c>
      <c r="I39" s="42">
        <v>7.45</v>
      </c>
      <c r="J39" s="43">
        <f>I39/$J$5</f>
        <v>0.27793218454697055</v>
      </c>
      <c r="K39" s="44">
        <f>I39/$K$4</f>
        <v>0.2365079365079365</v>
      </c>
      <c r="L39" s="45">
        <f>I39-H39</f>
        <v>0</v>
      </c>
      <c r="M39" s="45">
        <f>((I39-H39)/H39)*100</f>
        <v>0</v>
      </c>
      <c r="N39" s="46">
        <v>1100</v>
      </c>
      <c r="O39" s="37">
        <v>8195</v>
      </c>
      <c r="P39" s="50">
        <f>(R39)/J39</f>
        <v>0</v>
      </c>
      <c r="Q39" s="48">
        <f>I39/G39-1</f>
        <v>1.8648336858296481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17710432.525526859</v>
      </c>
      <c r="E40" s="39">
        <f>C40*K40</f>
        <v>15070790.948888889</v>
      </c>
      <c r="F40" s="40" t="s">
        <v>39</v>
      </c>
      <c r="G40" s="41">
        <v>0.1</v>
      </c>
      <c r="H40" s="42">
        <v>0.11877800000000001</v>
      </c>
      <c r="I40" s="42">
        <v>0.11</v>
      </c>
      <c r="J40" s="43">
        <f>I40/$J$5</f>
        <v>4.1036966845861425E-3</v>
      </c>
      <c r="K40" s="44">
        <f>I40/$K$4</f>
        <v>3.4920634920634921E-3</v>
      </c>
      <c r="L40" s="45">
        <f>I40-H40</f>
        <v>-8.778000000000008E-3</v>
      </c>
      <c r="M40" s="45">
        <f>((I40-H40)/H40)*100</f>
        <v>-7.3902574550842814</v>
      </c>
      <c r="N40" s="46">
        <v>30500</v>
      </c>
      <c r="O40" s="37">
        <v>3355</v>
      </c>
      <c r="P40" s="50">
        <f>(R40)/J40</f>
        <v>0</v>
      </c>
      <c r="Q40" s="48">
        <f>I40/G40-1</f>
        <v>9.9999999999999867E-2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5958245.0914191706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5.5959500244356489E-2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3780850.7110960227</v>
      </c>
      <c r="E42" s="39">
        <f>C42*K42</f>
        <v>3217335.9173333338</v>
      </c>
      <c r="F42" s="40" t="s">
        <v>39</v>
      </c>
      <c r="G42" s="41">
        <v>0.03</v>
      </c>
      <c r="H42" s="42">
        <v>5.04E-2</v>
      </c>
      <c r="I42" s="42">
        <v>5.7000000000000002E-2</v>
      </c>
      <c r="J42" s="43">
        <f>I42/$J$5</f>
        <v>2.1264610092855464E-3</v>
      </c>
      <c r="K42" s="44">
        <f>I42/$K$4</f>
        <v>1.8095238095238097E-3</v>
      </c>
      <c r="L42" s="45">
        <f>I42-H42</f>
        <v>6.6000000000000017E-3</v>
      </c>
      <c r="M42" s="45">
        <f>((I42-H42)/H42)*100</f>
        <v>13.095238095238098</v>
      </c>
      <c r="N42" s="46">
        <v>11300</v>
      </c>
      <c r="O42" s="37">
        <v>644.1</v>
      </c>
      <c r="P42" s="50">
        <f>(R42)/J42</f>
        <v>0</v>
      </c>
      <c r="Q42" s="48">
        <f>I42/G42-1</f>
        <v>0.90000000000000013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33985746.682534292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0.19399293418043581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311.13772744738873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6.7151400293227783E-7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1508489.0561870688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2.6189046114358833E-3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44821825.649812758</v>
      </c>
      <c r="E46" s="39">
        <f>C46*K46</f>
        <v>38141381.546850666</v>
      </c>
      <c r="F46" s="40" t="s">
        <v>47</v>
      </c>
      <c r="G46" s="41">
        <v>0.9998999999999999</v>
      </c>
      <c r="H46" s="42">
        <v>0.75</v>
      </c>
      <c r="I46" s="42">
        <v>0.66078599999999998</v>
      </c>
      <c r="J46" s="43">
        <f>I46/$J$5</f>
        <v>2.4651502885644896E-2</v>
      </c>
      <c r="K46" s="44">
        <f>I46/$K$4</f>
        <v>2.0977333333333334E-2</v>
      </c>
      <c r="L46" s="45">
        <f>I46-H46</f>
        <v>-8.9214000000000016E-2</v>
      </c>
      <c r="M46" s="45">
        <f>((I46-H46)/H46)*100</f>
        <v>-11.895200000000001</v>
      </c>
      <c r="N46" s="46">
        <v>183100</v>
      </c>
      <c r="O46" s="37">
        <v>120990</v>
      </c>
      <c r="P46" s="50">
        <f>(R46)/J46</f>
        <v>0</v>
      </c>
      <c r="Q46" s="48">
        <f>I46/G46-1</f>
        <v>-0.3391479147914791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5172967.1592346234</v>
      </c>
      <c r="E47" s="39">
        <f>C47*K47</f>
        <v>4401965.1428571427</v>
      </c>
      <c r="F47" s="40" t="s">
        <v>47</v>
      </c>
      <c r="G47" s="41">
        <v>1.4503460000000001</v>
      </c>
      <c r="H47" s="42">
        <v>1.35</v>
      </c>
      <c r="I47" s="42">
        <v>1.35</v>
      </c>
      <c r="J47" s="43">
        <f>I47/$J$5</f>
        <v>5.0363550219920838E-2</v>
      </c>
      <c r="K47" s="44">
        <f>I47/$K$4</f>
        <v>4.2857142857142858E-2</v>
      </c>
      <c r="L47" s="45">
        <f>I47-H47</f>
        <v>0</v>
      </c>
      <c r="M47" s="45">
        <f>((I47-H47)/H47)*100</f>
        <v>0</v>
      </c>
      <c r="N47" s="46">
        <v>100</v>
      </c>
      <c r="O47" s="37">
        <v>135</v>
      </c>
      <c r="P47" s="50">
        <v>0</v>
      </c>
      <c r="Q47" s="48">
        <f>I47/G47-1</f>
        <v>-6.9187628331446427E-2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769100</v>
      </c>
      <c r="O48" s="59">
        <f>SUM(O9:O47)</f>
        <v>3252339.08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72750052.37879999</v>
      </c>
      <c r="E51" s="39">
        <v>0</v>
      </c>
      <c r="F51" s="40" t="s">
        <v>92</v>
      </c>
      <c r="G51" s="68">
        <v>0.1</v>
      </c>
      <c r="H51" s="42">
        <v>0.12920000000000001</v>
      </c>
      <c r="I51" s="42">
        <v>0.13109999999999999</v>
      </c>
      <c r="J51" s="43">
        <f>I51</f>
        <v>0.13109999999999999</v>
      </c>
      <c r="K51" s="39">
        <v>0</v>
      </c>
      <c r="L51" s="45">
        <f>I51-H51</f>
        <v>1.899999999999985E-3</v>
      </c>
      <c r="M51" s="45">
        <f>((I51-H51)/H51)*100</f>
        <v>1.470588235294106</v>
      </c>
      <c r="N51" s="46">
        <v>7442</v>
      </c>
      <c r="O51" s="37">
        <v>975.93</v>
      </c>
      <c r="P51" s="69">
        <f>(R51)/J51</f>
        <v>0</v>
      </c>
      <c r="Q51" s="48">
        <f>J51/G51-1</f>
        <v>0.31099999999999994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65576470</v>
      </c>
      <c r="E52" s="39">
        <v>0</v>
      </c>
      <c r="F52" s="40" t="s">
        <v>39</v>
      </c>
      <c r="G52" s="68">
        <v>39.9</v>
      </c>
      <c r="H52" s="42">
        <v>53.724899999999998</v>
      </c>
      <c r="I52" s="42">
        <v>62</v>
      </c>
      <c r="J52" s="43">
        <f>I52</f>
        <v>62</v>
      </c>
      <c r="K52" s="39">
        <v>0</v>
      </c>
      <c r="L52" s="45">
        <f>I52-H52</f>
        <v>8.2751000000000019</v>
      </c>
      <c r="M52" s="45">
        <f>((I52-H52)/H52)*100</f>
        <v>15.402727599306843</v>
      </c>
      <c r="N52" s="46">
        <v>5</v>
      </c>
      <c r="O52" s="37">
        <v>310</v>
      </c>
      <c r="P52" s="70">
        <f>(R52)/J52</f>
        <v>9.0322580645161299E-3</v>
      </c>
      <c r="Q52" s="48">
        <f>J52/G52-1</f>
        <v>0.55388471177944876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716323870.79820001</v>
      </c>
      <c r="E53" s="39"/>
      <c r="F53" s="40" t="s">
        <v>56</v>
      </c>
      <c r="G53" s="68">
        <v>0.33</v>
      </c>
      <c r="H53" s="42">
        <v>0.247</v>
      </c>
      <c r="I53" s="42">
        <v>0.2394</v>
      </c>
      <c r="J53" s="43">
        <f>I53</f>
        <v>0.2394</v>
      </c>
      <c r="K53" s="39">
        <v>0</v>
      </c>
      <c r="L53" s="45">
        <f>I53-H53</f>
        <v>-7.5999999999999956E-3</v>
      </c>
      <c r="M53" s="45">
        <f>((I53-H53)/H53)*100</f>
        <v>-3.0769230769230753</v>
      </c>
      <c r="N53" s="46">
        <v>439306</v>
      </c>
      <c r="O53" s="37">
        <v>105191.77</v>
      </c>
      <c r="P53" s="69">
        <v>0</v>
      </c>
      <c r="Q53" s="48">
        <f>J53/G53-1</f>
        <v>-0.27454545454545454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15975212.706600001</v>
      </c>
      <c r="E54" s="39">
        <v>0</v>
      </c>
      <c r="F54" s="40" t="s">
        <v>34</v>
      </c>
      <c r="G54" s="68">
        <v>2.3E-2</v>
      </c>
      <c r="H54" s="42">
        <v>2.5999999999999999E-2</v>
      </c>
      <c r="I54" s="42">
        <v>2.6200000000000001E-2</v>
      </c>
      <c r="J54" s="43">
        <f>I54</f>
        <v>2.6200000000000001E-2</v>
      </c>
      <c r="K54" s="39">
        <v>0</v>
      </c>
      <c r="L54" s="45">
        <f>I54-H54</f>
        <v>2.0000000000000226E-4</v>
      </c>
      <c r="M54" s="45">
        <f>((I54-H54)/H54)*100</f>
        <v>0.76923076923077793</v>
      </c>
      <c r="N54" s="46">
        <v>61400</v>
      </c>
      <c r="O54" s="37">
        <v>1609.44</v>
      </c>
      <c r="P54" s="69">
        <f>(R54)/J54</f>
        <v>0</v>
      </c>
      <c r="Q54" s="48">
        <f>J54/G54-1</f>
        <v>0.13913043478260878</v>
      </c>
      <c r="T54" s="51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301696082.09550005</v>
      </c>
      <c r="E55" s="39">
        <v>0</v>
      </c>
      <c r="F55" s="40" t="s">
        <v>47</v>
      </c>
      <c r="G55" s="68">
        <v>9.0200000000000002E-2</v>
      </c>
      <c r="H55" s="42">
        <v>0.12790000000000001</v>
      </c>
      <c r="I55" s="42">
        <v>0.13950000000000001</v>
      </c>
      <c r="J55" s="43">
        <f>I55</f>
        <v>0.13950000000000001</v>
      </c>
      <c r="K55" s="39">
        <v>0</v>
      </c>
      <c r="L55" s="45">
        <f>I55-H55</f>
        <v>1.1599999999999999E-2</v>
      </c>
      <c r="M55" s="71">
        <f>((I55-H55)/H55)*100</f>
        <v>9.0695856137607489</v>
      </c>
      <c r="N55" s="46">
        <v>618185</v>
      </c>
      <c r="O55" s="37">
        <v>86205.93</v>
      </c>
      <c r="P55" s="69">
        <f>(R55)/J55</f>
        <v>0</v>
      </c>
      <c r="Q55" s="48">
        <f>J55/G55-1</f>
        <v>0.54656319290465638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830946682.06000006</v>
      </c>
      <c r="E56" s="39">
        <v>0</v>
      </c>
      <c r="F56" s="40" t="s">
        <v>34</v>
      </c>
      <c r="G56" s="68">
        <v>0.95750000000000002</v>
      </c>
      <c r="H56" s="42">
        <v>1.3988</v>
      </c>
      <c r="I56" s="42">
        <v>1.4428000000000001</v>
      </c>
      <c r="J56" s="43">
        <f>I56</f>
        <v>1.4428000000000001</v>
      </c>
      <c r="K56" s="39">
        <v>0</v>
      </c>
      <c r="L56" s="45">
        <f>I56-H56</f>
        <v>4.4000000000000039E-2</v>
      </c>
      <c r="M56" s="45">
        <f>((I56-H56)/H56)*100</f>
        <v>3.1455533314269402</v>
      </c>
      <c r="N56" s="46">
        <v>83472</v>
      </c>
      <c r="O56" s="37">
        <v>120431.4</v>
      </c>
      <c r="P56" s="70">
        <f>(R56)/J56</f>
        <v>3.2575547546437482E-2</v>
      </c>
      <c r="Q56" s="48">
        <f>J56/G56-1</f>
        <v>0.5068407310704961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24417762.611400001</v>
      </c>
      <c r="E57" s="39">
        <v>0</v>
      </c>
      <c r="F57" s="40" t="s">
        <v>34</v>
      </c>
      <c r="G57" s="68">
        <v>0.1595</v>
      </c>
      <c r="H57" s="42">
        <v>0.15</v>
      </c>
      <c r="I57" s="42">
        <v>0.1487</v>
      </c>
      <c r="J57" s="43">
        <f>I57</f>
        <v>0.1487</v>
      </c>
      <c r="K57" s="39">
        <v>0</v>
      </c>
      <c r="L57" s="45">
        <f>I57-H57</f>
        <v>-1.2999999999999956E-3</v>
      </c>
      <c r="M57" s="45">
        <f>((I57-H57)/H57)*100</f>
        <v>-0.86666666666666381</v>
      </c>
      <c r="N57" s="46">
        <v>508</v>
      </c>
      <c r="O57" s="37">
        <v>75.540000000000006</v>
      </c>
      <c r="P57" s="69">
        <f>(R57)/J57</f>
        <v>0</v>
      </c>
      <c r="Q57" s="48">
        <f>J57/G57-1</f>
        <v>-6.7711598746081569E-2</v>
      </c>
      <c r="T57" s="51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116189</v>
      </c>
      <c r="O58" s="37">
        <v>2323.7800000000002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2116401.7063000002</v>
      </c>
      <c r="E59" s="39">
        <v>0</v>
      </c>
      <c r="F59" s="40" t="s">
        <v>138</v>
      </c>
      <c r="G59" s="68">
        <v>19.5</v>
      </c>
      <c r="H59" s="42">
        <v>13</v>
      </c>
      <c r="I59" s="42">
        <v>13.123100000000001</v>
      </c>
      <c r="J59" s="43">
        <f>I59</f>
        <v>13.123100000000001</v>
      </c>
      <c r="K59" s="39">
        <v>0</v>
      </c>
      <c r="L59" s="45">
        <f>I59-H59</f>
        <v>0.12310000000000088</v>
      </c>
      <c r="M59" s="45">
        <f>((I59-H59)/H59)*100</f>
        <v>0.94692307692308375</v>
      </c>
      <c r="N59" s="46">
        <v>143</v>
      </c>
      <c r="O59" s="37">
        <v>1876.6</v>
      </c>
      <c r="P59" s="69">
        <f>(R59)/J59</f>
        <v>0</v>
      </c>
      <c r="Q59" s="48">
        <f>J59/G59-1</f>
        <v>-0.32702051282051281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890913093.07660007</v>
      </c>
      <c r="E60" s="39">
        <v>0</v>
      </c>
      <c r="F60" s="40" t="s">
        <v>92</v>
      </c>
      <c r="G60" s="68">
        <v>0.59499999999999997</v>
      </c>
      <c r="H60" s="42">
        <v>1.0992</v>
      </c>
      <c r="I60" s="42">
        <v>1.1066</v>
      </c>
      <c r="J60" s="43">
        <f>I60</f>
        <v>1.1066</v>
      </c>
      <c r="K60" s="39">
        <v>0</v>
      </c>
      <c r="L60" s="45">
        <f>I60-H60</f>
        <v>7.4000000000000732E-3</v>
      </c>
      <c r="M60" s="45">
        <f>((I60-H60)/H60)*100</f>
        <v>0.67321688500728472</v>
      </c>
      <c r="N60" s="46">
        <v>166043</v>
      </c>
      <c r="O60" s="37">
        <v>183749.52</v>
      </c>
      <c r="P60" s="69">
        <f>(R60)/J60</f>
        <v>0</v>
      </c>
      <c r="Q60" s="48">
        <f>J60/G60-1</f>
        <v>0.85983193277310943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0.3</v>
      </c>
      <c r="J61" s="43">
        <f>I61</f>
        <v>0.3</v>
      </c>
      <c r="K61" s="39">
        <v>0</v>
      </c>
      <c r="L61" s="45">
        <f>I61-H61</f>
        <v>0</v>
      </c>
      <c r="M61" s="45">
        <f>((I61-H61)/H61)*100</f>
        <v>0</v>
      </c>
      <c r="N61" s="46">
        <v>1100</v>
      </c>
      <c r="O61" s="37">
        <v>330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407246660.42720002</v>
      </c>
      <c r="E62" s="39">
        <v>0</v>
      </c>
      <c r="F62" s="40" t="s">
        <v>34</v>
      </c>
      <c r="G62" s="68">
        <v>0.49440000000000001</v>
      </c>
      <c r="H62" s="42">
        <v>0.68210000000000004</v>
      </c>
      <c r="I62" s="42">
        <v>0.72440000000000004</v>
      </c>
      <c r="J62" s="43">
        <f>I62</f>
        <v>0.72440000000000004</v>
      </c>
      <c r="K62" s="39">
        <v>0</v>
      </c>
      <c r="L62" s="45">
        <f>I62-H62</f>
        <v>4.2300000000000004E-2</v>
      </c>
      <c r="M62" s="45">
        <f>((I62-H62)/H62)*100</f>
        <v>6.2014367394810153</v>
      </c>
      <c r="N62" s="46">
        <v>171109</v>
      </c>
      <c r="O62" s="37">
        <v>123943.44</v>
      </c>
      <c r="P62" s="69">
        <f>(R62)/J62</f>
        <v>0</v>
      </c>
      <c r="Q62" s="48">
        <f>J62/G62-1</f>
        <v>0.46521035598705507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4</v>
      </c>
      <c r="O63" s="37">
        <v>40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37628189.071199998</v>
      </c>
      <c r="E64" s="39">
        <v>0</v>
      </c>
      <c r="F64" s="40" t="s">
        <v>44</v>
      </c>
      <c r="G64" s="68">
        <v>4.2999999999999997E-2</v>
      </c>
      <c r="H64" s="42">
        <v>0.1004</v>
      </c>
      <c r="I64" s="42">
        <v>0.10920000000000001</v>
      </c>
      <c r="J64" s="43">
        <f>I64</f>
        <v>0.10920000000000001</v>
      </c>
      <c r="K64" s="39">
        <v>0</v>
      </c>
      <c r="L64" s="45">
        <f>I64-H64</f>
        <v>8.8000000000000023E-3</v>
      </c>
      <c r="M64" s="45">
        <f>((I64-H64)/H64)*100</f>
        <v>8.7649402390438258</v>
      </c>
      <c r="N64" s="46">
        <v>5884</v>
      </c>
      <c r="O64" s="37">
        <v>642.59</v>
      </c>
      <c r="P64" s="69">
        <f>(R64)/J64</f>
        <v>0</v>
      </c>
      <c r="Q64" s="48">
        <f>J64/G64-1</f>
        <v>1.5395348837209304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1670790</v>
      </c>
      <c r="O65" s="60">
        <f>SUM(O51:O64)</f>
        <v>627705.93999999983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179</v>
      </c>
      <c r="O70" s="91">
        <v>64.44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70655627.325000003</v>
      </c>
      <c r="E71" s="39">
        <f>C71*K71</f>
        <v>70655627.325000003</v>
      </c>
      <c r="F71" s="87" t="s">
        <v>156</v>
      </c>
      <c r="G71" s="87">
        <v>0.1</v>
      </c>
      <c r="H71" s="88">
        <v>0.1497</v>
      </c>
      <c r="I71" s="88">
        <v>0.14990000000000001</v>
      </c>
      <c r="J71" s="89">
        <f>I71</f>
        <v>0.14990000000000001</v>
      </c>
      <c r="K71" s="89">
        <f>J71</f>
        <v>0.14990000000000001</v>
      </c>
      <c r="L71" s="45">
        <f>I71-H71</f>
        <v>2.0000000000000573E-4</v>
      </c>
      <c r="M71" s="45">
        <f>((I71-H71)/H71)*100</f>
        <v>0.13360053440214142</v>
      </c>
      <c r="N71" s="46">
        <v>3651</v>
      </c>
      <c r="O71" s="91">
        <v>547.45000000000005</v>
      </c>
      <c r="P71" s="92">
        <f>(R71)/J71</f>
        <v>2.5296864576384255E-2</v>
      </c>
      <c r="Q71" s="48">
        <f>J71/G71-1</f>
        <v>0.49899999999999989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3830</v>
      </c>
      <c r="O72" s="60">
        <f>SUM(O70:O71)</f>
        <v>611.8900000000001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2727380.0449999999</v>
      </c>
      <c r="E74" s="39">
        <f>C74*K74</f>
        <v>2727380.0449999999</v>
      </c>
      <c r="F74" s="87" t="s">
        <v>138</v>
      </c>
      <c r="G74" s="87">
        <v>0.1394</v>
      </c>
      <c r="H74" s="88">
        <v>0.1386</v>
      </c>
      <c r="I74" s="88">
        <v>0.13100000000000001</v>
      </c>
      <c r="J74" s="89">
        <f>I74</f>
        <v>0.13100000000000001</v>
      </c>
      <c r="K74" s="89">
        <f>J74</f>
        <v>0.13100000000000001</v>
      </c>
      <c r="L74" s="45">
        <f>I74-H74</f>
        <v>-7.5999999999999956E-3</v>
      </c>
      <c r="M74" s="45">
        <f>((I74-H74)/H74)*100</f>
        <v>-5.4834054834054804</v>
      </c>
      <c r="N74" s="90">
        <v>6841</v>
      </c>
      <c r="O74" s="91">
        <v>896.26</v>
      </c>
      <c r="P74" s="69">
        <f>(R74)/J74</f>
        <v>0</v>
      </c>
      <c r="Q74" s="48">
        <f>J74/G74-1</f>
        <v>-6.0258249641319872E-2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89177.929416417013</v>
      </c>
      <c r="E77" s="39">
        <f>C77*K77</f>
        <v>75886.454469841265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2.812897545616319E-3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5000</v>
      </c>
      <c r="O77" s="37">
        <v>377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304782.4152866432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2.2383800097742594E-3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27403.883216253627</v>
      </c>
      <c r="E79" s="39">
        <f>C79*K79</f>
        <v>23319.486666666668</v>
      </c>
      <c r="F79" s="40" t="s">
        <v>138</v>
      </c>
      <c r="G79" s="68">
        <v>6.0499999999999998E-2</v>
      </c>
      <c r="H79" s="42">
        <v>0.11</v>
      </c>
      <c r="I79" s="42">
        <v>0.11</v>
      </c>
      <c r="J79" s="43">
        <f>I79/$J$5</f>
        <v>4.1036966845861425E-3</v>
      </c>
      <c r="K79" s="44">
        <f>I79/$K$4</f>
        <v>3.4920634920634921E-3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0.81818181818181834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28589595.636651233</v>
      </c>
      <c r="E80" s="39">
        <f>C80*K80</f>
        <v>24328475.238095239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5.7824816919168368E-2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5000</v>
      </c>
      <c r="O81" s="60">
        <f>SUM(O77:O80)</f>
        <v>377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26107713.218753148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3">
        <f>I83/$J$5</f>
        <v>7.0882033642851547E-2</v>
      </c>
      <c r="K83" s="44">
        <f>I83/$K$4</f>
        <v>6.0317460317460311E-2</v>
      </c>
      <c r="L83" s="45">
        <f>I83-H83</f>
        <v>0</v>
      </c>
      <c r="M83" s="45">
        <f>((I83-H83)/H83*100)</f>
        <v>0</v>
      </c>
      <c r="N83" s="50">
        <v>361</v>
      </c>
      <c r="O83" s="37">
        <v>685.9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72061700.430888146</v>
      </c>
      <c r="E84" s="39">
        <f>C84*K84</f>
        <v>61321304.324444443</v>
      </c>
      <c r="F84" s="40" t="s">
        <v>174</v>
      </c>
      <c r="G84" s="40">
        <v>1.44347</v>
      </c>
      <c r="H84" s="42">
        <v>1.061072</v>
      </c>
      <c r="I84" s="42">
        <v>1.049164</v>
      </c>
      <c r="J84" s="43">
        <f>I84/$J$5</f>
        <v>3.9140462076246683E-2</v>
      </c>
      <c r="K84" s="44">
        <f>I84/$K$4</f>
        <v>3.3306793650793649E-2</v>
      </c>
      <c r="L84" s="45">
        <f>I84-H84</f>
        <v>-1.190800000000003E-2</v>
      </c>
      <c r="M84" s="45">
        <f>((I84-H84)/H84*100)</f>
        <v>-1.1222612603103306</v>
      </c>
      <c r="N84" s="50">
        <v>801415</v>
      </c>
      <c r="O84" s="37">
        <v>840843.07250000001</v>
      </c>
      <c r="P84" s="47">
        <f>(R84)/J84</f>
        <v>5.5594642591625332E-2</v>
      </c>
      <c r="Q84" s="48">
        <f>I84/G84-1</f>
        <v>-0.27316535847644918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801776</v>
      </c>
      <c r="O85" s="60">
        <f>SUM(O83:O84)</f>
        <v>841528.97250000003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62</v>
      </c>
      <c r="B88" s="110">
        <v>2.5040999999999998</v>
      </c>
      <c r="D88" s="110">
        <v>14.99885189437426</v>
      </c>
      <c r="E88" s="35" t="s">
        <v>115</v>
      </c>
      <c r="F88" s="111">
        <v>0.66078599999999998</v>
      </c>
      <c r="H88" s="112">
        <v>-11.895200000000001</v>
      </c>
      <c r="L88" s="35" t="s">
        <v>122</v>
      </c>
      <c r="M88" s="50">
        <v>62</v>
      </c>
      <c r="N88" s="113">
        <v>15.402727599306843</v>
      </c>
      <c r="O88" s="35" t="s">
        <v>124</v>
      </c>
      <c r="P88" s="111">
        <v>0.2394</v>
      </c>
      <c r="Q88" s="114">
        <v>-3.0769230769230753</v>
      </c>
    </row>
    <row r="89" spans="1:243" x14ac:dyDescent="0.25">
      <c r="A89" s="35" t="s">
        <v>74</v>
      </c>
      <c r="B89" s="110">
        <v>2.9649290000000001</v>
      </c>
      <c r="D89" s="110">
        <v>13.680261336666504</v>
      </c>
      <c r="E89" s="35" t="s">
        <v>103</v>
      </c>
      <c r="F89" s="111">
        <v>0.11</v>
      </c>
      <c r="H89" s="112">
        <v>-7.3902574550842814</v>
      </c>
      <c r="L89" s="35" t="s">
        <v>128</v>
      </c>
      <c r="M89" s="50">
        <v>0.13950000000000001</v>
      </c>
      <c r="N89" s="113">
        <v>9.0695856137607489</v>
      </c>
      <c r="O89" s="35" t="s">
        <v>132</v>
      </c>
      <c r="P89" s="111">
        <v>0.1487</v>
      </c>
      <c r="Q89" s="114">
        <v>-0.86666666666666381</v>
      </c>
    </row>
    <row r="90" spans="1:243" x14ac:dyDescent="0.25">
      <c r="A90" s="35" t="s">
        <v>107</v>
      </c>
      <c r="B90" s="110">
        <v>5.7000000000000002E-2</v>
      </c>
      <c r="C90" s="110"/>
      <c r="D90" s="110">
        <v>13.095238095238098</v>
      </c>
      <c r="E90" s="35" t="s">
        <v>72</v>
      </c>
      <c r="F90" s="111">
        <v>1.300659</v>
      </c>
      <c r="H90" s="112">
        <v>-7.0957857142857073</v>
      </c>
      <c r="L90" s="35" t="s">
        <v>147</v>
      </c>
      <c r="M90" s="50">
        <v>0.10920000000000001</v>
      </c>
      <c r="N90" s="113">
        <v>8.7649402390438258</v>
      </c>
      <c r="O90" s="35"/>
      <c r="P90" s="111"/>
      <c r="Q90" s="114"/>
    </row>
    <row r="91" spans="1:243" x14ac:dyDescent="0.25">
      <c r="A91" s="35" t="s">
        <v>93</v>
      </c>
      <c r="B91" s="110">
        <v>4.0004999999999997</v>
      </c>
      <c r="C91" s="110"/>
      <c r="D91" s="110">
        <v>11.626824591441068</v>
      </c>
      <c r="E91" s="35" t="s">
        <v>40</v>
      </c>
      <c r="F91" s="111">
        <v>199.99950000000001</v>
      </c>
      <c r="G91" s="111"/>
      <c r="H91" s="112">
        <v>-4.260651029200571</v>
      </c>
      <c r="L91" s="35" t="s">
        <v>143</v>
      </c>
      <c r="M91" s="50">
        <v>0.72440000000000004</v>
      </c>
      <c r="N91" s="113">
        <v>6.2014367394810153</v>
      </c>
      <c r="O91" s="35"/>
      <c r="P91" s="111"/>
      <c r="Q91" s="114"/>
    </row>
    <row r="92" spans="1:243" x14ac:dyDescent="0.25">
      <c r="A92" s="35" t="s">
        <v>97</v>
      </c>
      <c r="B92" s="110">
        <v>3.500464</v>
      </c>
      <c r="C92" s="110"/>
      <c r="D92" s="110">
        <v>7.5577908222963082</v>
      </c>
      <c r="E92" s="35" t="s">
        <v>45</v>
      </c>
      <c r="F92" s="111">
        <v>22</v>
      </c>
      <c r="G92" s="111"/>
      <c r="H92" s="112">
        <v>-0.60719965302876699</v>
      </c>
      <c r="L92" s="35" t="s">
        <v>130</v>
      </c>
      <c r="M92" s="50">
        <v>1.4428000000000001</v>
      </c>
      <c r="N92" s="113">
        <v>3.1455533314269402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Qny80ms4tKekAXhwBPCpG0P2mU6CdK0Y4vHqWtC2qt4a8toWbNecs9K4IF26VoSUnFsdhcq60+RlFCCTTiEobg==" saltValue="2Dh8YgQWtj/HXbgiSuqXQg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2026-06-23T12:43:47Z</dcterms:created>
  <dcterms:modified xsi:type="dcterms:W3CDTF">2026-06-23T12:50:21Z</dcterms:modified>
</cp:coreProperties>
</file>