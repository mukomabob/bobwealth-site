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"/>
    </mc:Choice>
  </mc:AlternateContent>
  <xr:revisionPtr revIDLastSave="0" documentId="8_{56773CFB-B368-4E6C-942F-DA9188C3F42E}" xr6:coauthVersionLast="47" xr6:coauthVersionMax="47" xr10:uidLastSave="{00000000-0000-0000-0000-000000000000}"/>
  <bookViews>
    <workbookView xWindow="-108" yWindow="-108" windowWidth="23256" windowHeight="12456" xr2:uid="{DE0B5E54-7769-4088-92D5-DF695DB4567F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M74" i="1"/>
  <c r="L74" i="1"/>
  <c r="J74" i="1"/>
  <c r="P74" i="1" s="1"/>
  <c r="D74" i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P64" i="1" s="1"/>
  <c r="D64" i="1"/>
  <c r="M63" i="1"/>
  <c r="L63" i="1"/>
  <c r="J63" i="1"/>
  <c r="Q63" i="1" s="1"/>
  <c r="M62" i="1"/>
  <c r="L62" i="1"/>
  <c r="J62" i="1"/>
  <c r="Q62" i="1" s="1"/>
  <c r="M61" i="1"/>
  <c r="L61" i="1"/>
  <c r="J61" i="1"/>
  <c r="Q61" i="1" s="1"/>
  <c r="M60" i="1"/>
  <c r="L60" i="1"/>
  <c r="J60" i="1"/>
  <c r="Q60" i="1" s="1"/>
  <c r="M59" i="1"/>
  <c r="L59" i="1"/>
  <c r="J59" i="1"/>
  <c r="Q59" i="1" s="1"/>
  <c r="M58" i="1"/>
  <c r="L58" i="1"/>
  <c r="J58" i="1"/>
  <c r="Q58" i="1" s="1"/>
  <c r="M57" i="1"/>
  <c r="L57" i="1"/>
  <c r="J57" i="1"/>
  <c r="Q57" i="1" s="1"/>
  <c r="M56" i="1"/>
  <c r="L56" i="1"/>
  <c r="J56" i="1"/>
  <c r="Q56" i="1" s="1"/>
  <c r="M55" i="1"/>
  <c r="L55" i="1"/>
  <c r="J55" i="1"/>
  <c r="Q55" i="1" s="1"/>
  <c r="M54" i="1"/>
  <c r="L54" i="1"/>
  <c r="J54" i="1"/>
  <c r="Q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P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J42" i="1"/>
  <c r="P42" i="1" s="1"/>
  <c r="E42" i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J33" i="1"/>
  <c r="P33" i="1" s="1"/>
  <c r="E33" i="1"/>
  <c r="Q32" i="1"/>
  <c r="M32" i="1"/>
  <c r="L32" i="1"/>
  <c r="K32" i="1"/>
  <c r="E32" i="1" s="1"/>
  <c r="J32" i="1"/>
  <c r="D32" i="1" s="1"/>
  <c r="K31" i="1"/>
  <c r="J31" i="1"/>
  <c r="E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J20" i="1"/>
  <c r="D20" i="1" s="1"/>
  <c r="E20" i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D13" i="1"/>
  <c r="Q12" i="1"/>
  <c r="M12" i="1"/>
  <c r="L12" i="1"/>
  <c r="K12" i="1"/>
  <c r="J12" i="1"/>
  <c r="P12" i="1" s="1"/>
  <c r="E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9" i="1"/>
  <c r="D24" i="1" l="1"/>
  <c r="D11" i="1"/>
  <c r="D22" i="1"/>
  <c r="D39" i="1"/>
  <c r="D43" i="1"/>
  <c r="D45" i="1"/>
  <c r="D10" i="1"/>
  <c r="D12" i="1"/>
  <c r="D33" i="1"/>
  <c r="D84" i="1"/>
  <c r="D14" i="1"/>
  <c r="Q51" i="1"/>
  <c r="D16" i="1"/>
  <c r="D25" i="1"/>
  <c r="D27" i="1"/>
  <c r="D34" i="1"/>
  <c r="D36" i="1"/>
  <c r="D61" i="1"/>
  <c r="P21" i="1"/>
  <c r="D42" i="1"/>
  <c r="Q74" i="1"/>
  <c r="D58" i="1"/>
  <c r="P71" i="1"/>
  <c r="D15" i="1"/>
  <c r="Q71" i="1"/>
  <c r="D55" i="1"/>
  <c r="D53" i="1"/>
  <c r="D56" i="1"/>
  <c r="D59" i="1"/>
  <c r="D62" i="1"/>
  <c r="D54" i="1"/>
  <c r="D57" i="1"/>
  <c r="D60" i="1"/>
  <c r="D63" i="1"/>
  <c r="P41" i="1"/>
  <c r="P44" i="1"/>
  <c r="P56" i="1"/>
  <c r="P60" i="1"/>
  <c r="P20" i="1"/>
  <c r="P23" i="1"/>
  <c r="P26" i="1"/>
  <c r="P29" i="1"/>
  <c r="P52" i="1"/>
  <c r="Q64" i="1"/>
  <c r="Q70" i="1"/>
  <c r="K74" i="1"/>
  <c r="E74" i="1" s="1"/>
  <c r="P55" i="1"/>
  <c r="P57" i="1"/>
  <c r="P59" i="1"/>
  <c r="P61" i="1"/>
  <c r="P63" i="1"/>
  <c r="K70" i="1"/>
  <c r="E70" i="1" s="1"/>
  <c r="P54" i="1"/>
  <c r="P58" i="1"/>
  <c r="P62" i="1"/>
  <c r="P32" i="1"/>
  <c r="P35" i="1"/>
  <c r="P70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<sst xmlns="http://schemas.openxmlformats.org/spreadsheetml/2006/main" count="265" uniqueCount="182">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</sst>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A85C400F-13B2-46D9-84C6-DDAEAC58A4B9}"/>
    <cellStyle name="Comma 5 2 2 2 2 2 2 2 2" xfId="4" xr:uid="{4D791868-0D53-47B1-8555-5DEC18F13D3A}"/>
    <cellStyle name="Comma 6 2 2 2" xfId="5" xr:uid="{C82C35FB-85FC-473D-B1CE-DFAF424CD88F}"/>
    <cellStyle name="Hyperlink 2" xfId="8" xr:uid="{C2AA84B2-C8F5-4160-9FE5-AFB26C727D46}"/>
    <cellStyle name="Normal" xfId="0" builtinId="0"/>
    <cellStyle name="Normal 2" xfId="2" xr:uid="{A7FB5F5A-8BEA-4BE6-92ED-32F4DEBC69E8}"/>
    <cellStyle name="Normal 20" xfId="7" xr:uid="{9C0D015A-DC63-4BCF-A1C8-4F30FF6329C6}"/>
    <cellStyle name="Percent" xfId="1" builtinId="5"/>
    <cellStyle name="Percent 3" xfId="6" xr:uid="{F1F9FEAD-EB91-4B02-8F3B-6828E5643D5B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BBD4242-C9B9-4B30-927E-A6122DA5A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B656E6B-8683-4232-ACD6-F2D5C1B0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2107-2834-41A3-A143-8BBDB873810E}">
  <dimension ref="A1:II106"/>
  <sheetViews>
    <sheetView tabSelected="1" zoomScale="73" zoomScaleNormal="60" workbookViewId="0">
      <selection activeCell="S69" sqref="S6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26.889299999999999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73301251.137069404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0.58759432190499572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2.5527816455696198E-2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3632351.9550570301</v>
      </c>
      <c r="E10" s="39">
        <f>C10*K10</f>
        <v>3100679.4103211109</v>
      </c>
      <c r="F10" s="40" t="s">
        <v>34</v>
      </c>
      <c r="G10" s="41">
        <v>3.1600000000000003E-2</v>
      </c>
      <c r="H10" s="42">
        <v>6.8499999999999991E-2</v>
      </c>
      <c r="I10" s="42">
        <v>6.0016999999999994E-2</v>
      </c>
      <c r="J10" s="43">
        <f>I10/$J$5</f>
        <v>2.2320030644159571E-3</v>
      </c>
      <c r="K10" s="44">
        <f>I10/$K$4</f>
        <v>1.905301587301587E-3</v>
      </c>
      <c r="L10" s="45">
        <f>I10-H10</f>
        <v>-8.4829999999999975E-3</v>
      </c>
      <c r="M10" s="45">
        <f>((I10-H10)/H10)*100</f>
        <v>-12.383941605839414</v>
      </c>
      <c r="N10" s="46">
        <v>100200</v>
      </c>
      <c r="O10" s="37">
        <v>6013.7</v>
      </c>
      <c r="P10" s="50">
        <f>(R10)/J10</f>
        <v>0</v>
      </c>
      <c r="Q10" s="48">
        <f>I10/G10-1</f>
        <v>0.89927215189873388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3575214.6385365184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8.1816930898163959E-3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820700</v>
      </c>
      <c r="O11" s="37">
        <v>180554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130449579.94443887</v>
      </c>
      <c r="E12" s="39">
        <f>C12*K12</f>
        <v>111355488.57142858</v>
      </c>
      <c r="F12" s="40" t="s">
        <v>34</v>
      </c>
      <c r="G12" s="41">
        <v>97.381</v>
      </c>
      <c r="H12" s="42">
        <v>170</v>
      </c>
      <c r="I12" s="42">
        <v>170</v>
      </c>
      <c r="J12" s="43">
        <f>I12/$J$5</f>
        <v>6.3222173875853969</v>
      </c>
      <c r="K12" s="44">
        <f>I12/$K$4</f>
        <v>5.3968253968253972</v>
      </c>
      <c r="L12" s="45">
        <f>I12-H12</f>
        <v>0</v>
      </c>
      <c r="M12" s="45">
        <f>((I12-H12)/H12)*100</f>
        <v>0</v>
      </c>
      <c r="N12" s="46">
        <v>0</v>
      </c>
      <c r="O12" s="37">
        <v>0</v>
      </c>
      <c r="P12" s="50">
        <f>(R12)/J12</f>
        <v>0</v>
      </c>
      <c r="Q12" s="48">
        <f>I12/G12-1</f>
        <v>0.74572041774062692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4710551.5410962729</v>
      </c>
      <c r="E13" s="39">
        <f>C13*K13</f>
        <v>4021061.3826666665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0.539266548404012</v>
      </c>
      <c r="K13" s="44">
        <f>I13/$K$4</f>
        <v>0.46033333333333332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340063403.00669783</v>
      </c>
      <c r="E14" s="39">
        <f>C14*K14</f>
        <v>290287836.90374601</v>
      </c>
      <c r="F14" s="40" t="s">
        <v>47</v>
      </c>
      <c r="G14" s="41">
        <v>11.5</v>
      </c>
      <c r="H14" s="42">
        <v>17.559999999999999</v>
      </c>
      <c r="I14" s="42">
        <v>17.495200000000001</v>
      </c>
      <c r="J14" s="43">
        <f>I14/$J$5</f>
        <v>0.65063798611343548</v>
      </c>
      <c r="K14" s="44">
        <f>I14/$K$4</f>
        <v>0.55540317460317457</v>
      </c>
      <c r="L14" s="45">
        <f>I14-H14</f>
        <v>-6.4799999999998192E-2</v>
      </c>
      <c r="M14" s="45">
        <f>((I14-H14)/H14)*100</f>
        <v>-0.36902050113894191</v>
      </c>
      <c r="N14" s="46">
        <v>26800</v>
      </c>
      <c r="O14" s="37">
        <v>468872</v>
      </c>
      <c r="P14" s="50">
        <f>(R14)/J14</f>
        <v>0</v>
      </c>
      <c r="Q14" s="48">
        <f>I14/G14-1</f>
        <v>0.52132173913043478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23661651.660697751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0.22313708426771989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31467243.992076255</v>
      </c>
      <c r="E16" s="39">
        <f>C16*K16</f>
        <v>26861338.535750348</v>
      </c>
      <c r="F16" s="40" t="s">
        <v>34</v>
      </c>
      <c r="G16" s="41">
        <v>1.9</v>
      </c>
      <c r="H16" s="42">
        <v>2.3634919999999999</v>
      </c>
      <c r="I16" s="42">
        <v>2.3634919999999999</v>
      </c>
      <c r="J16" s="43">
        <f>I16/$J$5</f>
        <v>8.7897118928346965E-2</v>
      </c>
      <c r="K16" s="44">
        <f>I16/$K$4</f>
        <v>7.5031492063492064E-2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0.24394315789473686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1458779814.9243007</v>
      </c>
      <c r="E17" s="39">
        <f>C17*K17</f>
        <v>1245256129.4426668</v>
      </c>
      <c r="F17" s="40" t="s">
        <v>34</v>
      </c>
      <c r="G17" s="41">
        <v>20.701700000000002</v>
      </c>
      <c r="H17" s="42">
        <v>29.1829</v>
      </c>
      <c r="I17" s="42">
        <v>29.2376</v>
      </c>
      <c r="J17" s="43">
        <f>I17/$J$5</f>
        <v>1.0873321358309811</v>
      </c>
      <c r="K17" s="44">
        <f>I17/$K$4</f>
        <v>0.92817777777777777</v>
      </c>
      <c r="L17" s="45">
        <f>I17-H17</f>
        <v>5.4700000000000415E-2</v>
      </c>
      <c r="M17" s="45">
        <f>((I17-H17)/H17)*100</f>
        <v>0.18743853421010392</v>
      </c>
      <c r="N17" s="46">
        <v>206900</v>
      </c>
      <c r="O17" s="37">
        <v>6049250</v>
      </c>
      <c r="P17" s="47">
        <f>(R17)/J17</f>
        <v>4.5984109502831973E-2</v>
      </c>
      <c r="Q17" s="48">
        <f>I17/G17-1</f>
        <v>0.41232845611713032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251144387.03685111</v>
      </c>
      <c r="E19" s="39">
        <f>C19*K19</f>
        <v>214384024.32857144</v>
      </c>
      <c r="F19" s="40" t="s">
        <v>47</v>
      </c>
      <c r="G19" s="41">
        <v>12.45</v>
      </c>
      <c r="H19" s="42">
        <v>10.050000000000001</v>
      </c>
      <c r="I19" s="42">
        <v>10.050000000000001</v>
      </c>
      <c r="J19" s="43">
        <f>I19/$J$5</f>
        <v>0.37375461614843081</v>
      </c>
      <c r="K19" s="44">
        <f>I19/$K$4</f>
        <v>0.31904761904761908</v>
      </c>
      <c r="L19" s="45">
        <f>I19-H19</f>
        <v>0</v>
      </c>
      <c r="M19" s="45">
        <f>((I19-H19)/H19)*100</f>
        <v>0</v>
      </c>
      <c r="N19" s="46">
        <v>200</v>
      </c>
      <c r="O19" s="37">
        <v>2010</v>
      </c>
      <c r="P19" s="50">
        <f>(R19)/J19</f>
        <v>0</v>
      </c>
      <c r="Q19" s="48">
        <f>I19/G19-1</f>
        <v>-0.19277108433734924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2391999.9157843459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2.19604080433481E-2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48868225.883157991</v>
      </c>
      <c r="E21" s="39">
        <f>C21*K21</f>
        <v>41715313.848888889</v>
      </c>
      <c r="F21" s="40" t="s">
        <v>47</v>
      </c>
      <c r="G21" s="41">
        <v>2.85</v>
      </c>
      <c r="H21" s="42">
        <v>1.655667</v>
      </c>
      <c r="I21" s="42">
        <v>1.9040000000000001</v>
      </c>
      <c r="J21" s="43">
        <f>I21/$J$5</f>
        <v>7.080883474095645E-2</v>
      </c>
      <c r="K21" s="44">
        <f>I21/$K$4</f>
        <v>6.0444444444444446E-2</v>
      </c>
      <c r="L21" s="45">
        <f>I21-H21</f>
        <v>0.24833300000000014</v>
      </c>
      <c r="M21" s="45">
        <f>((I21-H21)/H21)*100</f>
        <v>14.998970203549394</v>
      </c>
      <c r="N21" s="46">
        <v>25800</v>
      </c>
      <c r="O21" s="37">
        <v>49123.199999999997</v>
      </c>
      <c r="P21" s="50">
        <f>(R21)/J21</f>
        <v>0</v>
      </c>
      <c r="Q21" s="48">
        <f>I21/G21-1</f>
        <v>-0.33192982456140352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45946062.3836805</v>
      </c>
      <c r="E22" s="39">
        <f>C22*K22</f>
        <v>39220871.595349208</v>
      </c>
      <c r="F22" s="40" t="s">
        <v>66</v>
      </c>
      <c r="G22" s="41">
        <v>0.88420599999999994</v>
      </c>
      <c r="H22" s="42">
        <v>0.99950000000000006</v>
      </c>
      <c r="I22" s="42">
        <v>0.99950000000000006</v>
      </c>
      <c r="J22" s="43">
        <f>I22/$J$5</f>
        <v>3.7170919287597672E-2</v>
      </c>
      <c r="K22" s="44">
        <f>I22/$K$4</f>
        <v>3.1730158730158733E-2</v>
      </c>
      <c r="L22" s="45">
        <f>I22-H22</f>
        <v>0</v>
      </c>
      <c r="M22" s="45">
        <f>((I22-H22)/H22)*100</f>
        <v>0</v>
      </c>
      <c r="N22" s="46">
        <v>2500</v>
      </c>
      <c r="O22" s="37">
        <v>2498.75</v>
      </c>
      <c r="P22" s="50">
        <f>(R22)/J22</f>
        <v>0</v>
      </c>
      <c r="Q22" s="48">
        <f>I22/G22-1</f>
        <v>0.1303926912959199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2095324.3637803884</v>
      </c>
      <c r="E23" s="39">
        <f>C23*K23</f>
        <v>1788628.7433333332</v>
      </c>
      <c r="F23" s="40" t="s">
        <v>44</v>
      </c>
      <c r="G23" s="41">
        <v>0.1</v>
      </c>
      <c r="H23" s="42">
        <v>0.11</v>
      </c>
      <c r="I23" s="42">
        <v>0.105</v>
      </c>
      <c r="J23" s="43">
        <f>I23/$J$5</f>
        <v>3.9048989746850978E-3</v>
      </c>
      <c r="K23" s="44">
        <f>I23/$K$4</f>
        <v>3.3333333333333331E-3</v>
      </c>
      <c r="L23" s="45">
        <f>I23-H23</f>
        <v>-5.0000000000000044E-3</v>
      </c>
      <c r="M23" s="45">
        <f>((I23-H23)/H23)*100</f>
        <v>-4.5454545454545494</v>
      </c>
      <c r="N23" s="46">
        <v>49500</v>
      </c>
      <c r="O23" s="37">
        <v>5197.5</v>
      </c>
      <c r="P23" s="50">
        <f>(R23)/J23</f>
        <v>0</v>
      </c>
      <c r="Q23" s="48">
        <f>I23/G23-1</f>
        <v>4.9999999999999822E-2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79248884.372594297</v>
      </c>
      <c r="E24" s="39">
        <f>C24*K24</f>
        <v>67649111.954285711</v>
      </c>
      <c r="F24" s="40" t="s">
        <v>34</v>
      </c>
      <c r="G24" s="41">
        <v>8.1687659999999997</v>
      </c>
      <c r="H24" s="42">
        <v>11.04</v>
      </c>
      <c r="I24" s="42">
        <v>11.04</v>
      </c>
      <c r="J24" s="43">
        <f>I24/$J$5</f>
        <v>0.41057223505260454</v>
      </c>
      <c r="K24" s="44">
        <f>I24/$K$4</f>
        <v>0.35047619047619044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0.35148931919460047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79763924.007182896</v>
      </c>
      <c r="E25" s="39">
        <f>C25*K25</f>
        <v>68088764.501788661</v>
      </c>
      <c r="F25" s="40" t="s">
        <v>66</v>
      </c>
      <c r="G25" s="41">
        <v>1.6675</v>
      </c>
      <c r="H25" s="42">
        <v>1.300335</v>
      </c>
      <c r="I25" s="42">
        <v>1.2709269999999999</v>
      </c>
      <c r="J25" s="43">
        <f>I25/$J$5</f>
        <v>4.7265157516186734E-2</v>
      </c>
      <c r="K25" s="44">
        <f>I25/$K$4</f>
        <v>4.0346888888888884E-2</v>
      </c>
      <c r="L25" s="45">
        <f>I25-H25</f>
        <v>-2.9408000000000101E-2</v>
      </c>
      <c r="M25" s="45">
        <f>((I25-H25)/H25)*100</f>
        <v>-2.2615710566892453</v>
      </c>
      <c r="N25" s="46">
        <v>51200</v>
      </c>
      <c r="O25" s="37">
        <v>65071.45</v>
      </c>
      <c r="P25" s="50">
        <f>(R25)/J25</f>
        <v>0</v>
      </c>
      <c r="Q25" s="48">
        <f>I25/G25-1</f>
        <v>-0.23782488755622189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26708182.102174472</v>
      </c>
      <c r="E26" s="39">
        <f>C26*K26</f>
        <v>22798867.333333332</v>
      </c>
      <c r="F26" s="40" t="s">
        <v>44</v>
      </c>
      <c r="G26" s="41">
        <v>1.7994999999999999</v>
      </c>
      <c r="H26" s="42">
        <v>3</v>
      </c>
      <c r="I26" s="42">
        <v>3</v>
      </c>
      <c r="J26" s="43">
        <f>I26/$J$5</f>
        <v>0.11156854213385994</v>
      </c>
      <c r="K26" s="44">
        <f>I26/$K$4</f>
        <v>9.5238095238095233E-2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0.66712975826618526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28578364.739877947</v>
      </c>
      <c r="E27" s="39">
        <f>C27*K27</f>
        <v>24395308.666666664</v>
      </c>
      <c r="F27" s="40" t="s">
        <v>34</v>
      </c>
      <c r="G27" s="41">
        <v>3.1361369999999997</v>
      </c>
      <c r="H27" s="42">
        <v>3</v>
      </c>
      <c r="I27" s="42">
        <v>3</v>
      </c>
      <c r="J27" s="43">
        <f>I27/$J$5</f>
        <v>0.11156854213385994</v>
      </c>
      <c r="K27" s="44">
        <f>I27/$K$4</f>
        <v>9.5238095238095233E-2</v>
      </c>
      <c r="L27" s="45">
        <f>I27-H27</f>
        <v>0</v>
      </c>
      <c r="M27" s="45">
        <f>((I27-H27)/H27)*100</f>
        <v>0</v>
      </c>
      <c r="N27" s="46">
        <v>2300</v>
      </c>
      <c r="O27" s="37">
        <v>6900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24167879.671839729</v>
      </c>
      <c r="E28" s="39">
        <f>C28*K28</f>
        <v>20630392.598730158</v>
      </c>
      <c r="F28" s="40" t="s">
        <v>44</v>
      </c>
      <c r="G28" s="41">
        <v>0.8</v>
      </c>
      <c r="H28" s="42">
        <v>0.86</v>
      </c>
      <c r="I28" s="42">
        <v>0.86</v>
      </c>
      <c r="J28" s="43">
        <f>I28/$J$5</f>
        <v>3.1982982078373183E-2</v>
      </c>
      <c r="K28" s="44">
        <f>I28/$K$4</f>
        <v>2.7301587301587302E-2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7.4999999999999956E-2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78912480.698642224</v>
      </c>
      <c r="E29" s="39">
        <f>C29*K29</f>
        <v>67361948.166666657</v>
      </c>
      <c r="F29" s="40" t="s">
        <v>47</v>
      </c>
      <c r="G29" s="41">
        <v>5.15</v>
      </c>
      <c r="H29" s="42">
        <v>5.2500099999999996</v>
      </c>
      <c r="I29" s="42">
        <v>5.25</v>
      </c>
      <c r="J29" s="43">
        <f>I29/$J$5</f>
        <v>0.19524494873425491</v>
      </c>
      <c r="K29" s="44">
        <f>I29/$K$4</f>
        <v>0.16666666666666666</v>
      </c>
      <c r="L29" s="45">
        <f>I29-H29</f>
        <v>-9.9999999996214228E-6</v>
      </c>
      <c r="M29" s="45">
        <f>((I29-H29)/H29)*100</f>
        <v>-1.904758276578792E-4</v>
      </c>
      <c r="N29" s="46">
        <v>400</v>
      </c>
      <c r="O29" s="37">
        <v>2100</v>
      </c>
      <c r="P29" s="50">
        <f>(R29)/J29</f>
        <v>0</v>
      </c>
      <c r="Q29" s="48">
        <f>I29/G29-1</f>
        <v>1.9417475728155331E-2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11603925.367674131</v>
      </c>
      <c r="E32" s="39">
        <f>C32*K32</f>
        <v>9905442.2345714271</v>
      </c>
      <c r="F32" s="40" t="s">
        <v>39</v>
      </c>
      <c r="G32" s="41">
        <v>1.4</v>
      </c>
      <c r="H32" s="42">
        <v>1.2324999999999999</v>
      </c>
      <c r="I32" s="42">
        <v>1.2006999999999999</v>
      </c>
      <c r="J32" s="43">
        <f>I32/$J$5</f>
        <v>4.4653449513375208E-2</v>
      </c>
      <c r="K32" s="44">
        <f>I32/$K$4</f>
        <v>3.8117460317460314E-2</v>
      </c>
      <c r="L32" s="45">
        <f>I32-H32</f>
        <v>-3.180000000000005E-2</v>
      </c>
      <c r="M32" s="45">
        <f>((I32-H32)/H32)*100</f>
        <v>-2.5801217038539597</v>
      </c>
      <c r="N32" s="46">
        <v>2500</v>
      </c>
      <c r="O32" s="37">
        <v>3001.75</v>
      </c>
      <c r="P32" s="50">
        <f>(R32)/J32</f>
        <v>0</v>
      </c>
      <c r="Q32" s="48">
        <f>I32/G32-1</f>
        <v>-0.14235714285714285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3403662.5163168996</v>
      </c>
      <c r="E33" s="39">
        <f>C33*K33</f>
        <v>2905463.5714285714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2.7892135533464986E-2</v>
      </c>
      <c r="K33" s="44">
        <f>I33/$K$4</f>
        <v>2.3809523809523808E-2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157770653.12596461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6.3222173875853965E-2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800</v>
      </c>
      <c r="O34" s="37">
        <v>1360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37897669.022994272</v>
      </c>
      <c r="E35" s="39">
        <f>C35*K35</f>
        <v>32350533.068571426</v>
      </c>
      <c r="F35" s="40" t="s">
        <v>34</v>
      </c>
      <c r="G35" s="41">
        <v>3.6056249999999999</v>
      </c>
      <c r="H35" s="42">
        <v>4.0179099999999996</v>
      </c>
      <c r="I35" s="42">
        <v>4.0199999999999996</v>
      </c>
      <c r="J35" s="43">
        <f>I35/$J$5</f>
        <v>0.14950184645937231</v>
      </c>
      <c r="K35" s="44">
        <f>I35/$K$4</f>
        <v>0.1276190476190476</v>
      </c>
      <c r="L35" s="45">
        <f>I35-H35</f>
        <v>2.0899999999999253E-3</v>
      </c>
      <c r="M35" s="45">
        <f>((I35-H35)/H35)*100</f>
        <v>5.2017093464013016E-2</v>
      </c>
      <c r="N35" s="46">
        <v>1400</v>
      </c>
      <c r="O35" s="37">
        <v>5628</v>
      </c>
      <c r="P35" s="50">
        <f>(R35)/J35</f>
        <v>0</v>
      </c>
      <c r="Q35" s="48">
        <f>I35/G35-1</f>
        <v>0.11492459698387925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6498007.3807496671</v>
      </c>
      <c r="E36" s="39">
        <f>C36*K36</f>
        <v>5546884.7575616511</v>
      </c>
      <c r="F36" s="40" t="s">
        <v>34</v>
      </c>
      <c r="G36" s="41">
        <v>2.5099999999999997E-2</v>
      </c>
      <c r="H36" s="42">
        <v>3.5200000000000002E-2</v>
      </c>
      <c r="I36" s="42">
        <v>3.7057E-2</v>
      </c>
      <c r="J36" s="43">
        <f>I36/$J$5</f>
        <v>1.3781318219514827E-3</v>
      </c>
      <c r="K36" s="44">
        <f>I36/$K$4</f>
        <v>1.1764126984126985E-3</v>
      </c>
      <c r="L36" s="45">
        <f>I36-H36</f>
        <v>1.8569999999999975E-3</v>
      </c>
      <c r="M36" s="45">
        <f>((I36-H36)/H36)*100</f>
        <v>5.2755681818181746</v>
      </c>
      <c r="N36" s="46">
        <v>7000</v>
      </c>
      <c r="O36" s="37">
        <v>259.39999999999998</v>
      </c>
      <c r="P36" s="50">
        <f>(R36)/J36</f>
        <v>0</v>
      </c>
      <c r="Q36" s="48">
        <f>I36/G36-1</f>
        <v>0.47637450199203202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54997721.524609797</v>
      </c>
      <c r="E37" s="39">
        <f>C37*K37</f>
        <v>46947626.45687905</v>
      </c>
      <c r="F37" s="40" t="s">
        <v>92</v>
      </c>
      <c r="G37" s="41">
        <v>0.61</v>
      </c>
      <c r="H37" s="42">
        <v>5.9589750000000006</v>
      </c>
      <c r="I37" s="42">
        <v>5.6646910000000004</v>
      </c>
      <c r="J37" s="43">
        <f>I37/$J$5</f>
        <v>0.21066710550293241</v>
      </c>
      <c r="K37" s="44">
        <f>I37/$K$4</f>
        <v>0.17983146031746033</v>
      </c>
      <c r="L37" s="45">
        <f>I37-H37</f>
        <v>-0.29428400000000021</v>
      </c>
      <c r="M37" s="45">
        <f>((I37-H37)/H37)*100</f>
        <v>-4.9385003293351657</v>
      </c>
      <c r="N37" s="46">
        <v>3400</v>
      </c>
      <c r="O37" s="37">
        <v>19259.95</v>
      </c>
      <c r="P37" s="50">
        <f>(R37)/J37</f>
        <v>0</v>
      </c>
      <c r="Q37" s="48">
        <f>I37/G37-1</f>
        <v>8.2863786885245911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22565137.107999615</v>
      </c>
      <c r="E38" s="39">
        <f>C38*K38</f>
        <v>19262245.753591552</v>
      </c>
      <c r="F38" s="40" t="s">
        <v>56</v>
      </c>
      <c r="G38" s="41">
        <v>0.11650199999999999</v>
      </c>
      <c r="H38" s="42">
        <v>0.14463800000000002</v>
      </c>
      <c r="I38" s="42">
        <v>0.144646</v>
      </c>
      <c r="J38" s="43">
        <f>I38/$J$5</f>
        <v>5.379314448498102E-3</v>
      </c>
      <c r="K38" s="44">
        <f>I38/$K$4</f>
        <v>4.5919365079365075E-3</v>
      </c>
      <c r="L38" s="45">
        <f>I38-H38</f>
        <v>7.9999999999802451E-6</v>
      </c>
      <c r="M38" s="45">
        <f>((I38-H38)/H38)*100</f>
        <v>5.5310499315395986E-3</v>
      </c>
      <c r="N38" s="46">
        <v>850200</v>
      </c>
      <c r="O38" s="37">
        <v>122978.1</v>
      </c>
      <c r="P38" s="50">
        <v>0</v>
      </c>
      <c r="Q38" s="48">
        <f>I38/G38-1</f>
        <v>0.24157525192700557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87731153.86045751</v>
      </c>
      <c r="E39" s="39">
        <f>C39*K39</f>
        <v>74889819.539682537</v>
      </c>
      <c r="F39" s="40" t="s">
        <v>34</v>
      </c>
      <c r="G39" s="41">
        <v>2.6005000000000003</v>
      </c>
      <c r="H39" s="42">
        <v>6.5</v>
      </c>
      <c r="I39" s="42">
        <v>6.5</v>
      </c>
      <c r="J39" s="43">
        <f>I39/$J$5</f>
        <v>0.24173184129002986</v>
      </c>
      <c r="K39" s="44">
        <f>I39/$K$4</f>
        <v>0.20634920634920634</v>
      </c>
      <c r="L39" s="45">
        <f>I39-H39</f>
        <v>0</v>
      </c>
      <c r="M39" s="45">
        <f>((I39-H39)/H39)*100</f>
        <v>0</v>
      </c>
      <c r="N39" s="46">
        <v>0</v>
      </c>
      <c r="O39" s="37">
        <v>0</v>
      </c>
      <c r="P39" s="50">
        <f>(R39)/J39</f>
        <v>0</v>
      </c>
      <c r="Q39" s="48">
        <f>I39/G39-1</f>
        <v>1.4995193232070751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14477079.366506381</v>
      </c>
      <c r="E40" s="39">
        <f>C40*K40</f>
        <v>12358048.578088889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3.3544941668247224E-3</v>
      </c>
      <c r="K40" s="44">
        <f>I40/$K$4</f>
        <v>2.8634920634920636E-3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5939587.6984525444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5.5784271066929972E-2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2479546.7174144359</v>
      </c>
      <c r="E42" s="39">
        <f>C42*K42</f>
        <v>2116611.9221768887</v>
      </c>
      <c r="F42" s="40" t="s">
        <v>39</v>
      </c>
      <c r="G42" s="41">
        <v>0.03</v>
      </c>
      <c r="H42" s="42">
        <v>3.7499999999999999E-2</v>
      </c>
      <c r="I42" s="42">
        <v>3.7498999999999998E-2</v>
      </c>
      <c r="J42" s="43">
        <f>I42/$J$5</f>
        <v>1.3945695871592045E-3</v>
      </c>
      <c r="K42" s="44">
        <f>I42/$K$4</f>
        <v>1.1904444444444443E-3</v>
      </c>
      <c r="L42" s="45">
        <f>I42-H42</f>
        <v>-1.0000000000010001E-6</v>
      </c>
      <c r="M42" s="45">
        <f>((I42-H42)/H42)*100</f>
        <v>-2.6666666666693337E-3</v>
      </c>
      <c r="N42" s="46">
        <v>1002700</v>
      </c>
      <c r="O42" s="37">
        <v>37600.17</v>
      </c>
      <c r="P42" s="50">
        <f>(R42)/J42</f>
        <v>0</v>
      </c>
      <c r="Q42" s="48">
        <f>I42/G42-1</f>
        <v>0.24996666666666667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33880576.102883451</v>
      </c>
      <c r="E43" s="39">
        <f>C43*K43</f>
        <v>28921427.777881395</v>
      </c>
      <c r="F43" s="40" t="s">
        <v>47</v>
      </c>
      <c r="G43" s="41">
        <v>4.5</v>
      </c>
      <c r="H43" s="42">
        <v>5.2001919999999995</v>
      </c>
      <c r="I43" s="42">
        <v>5.2001919999999995</v>
      </c>
      <c r="J43" s="43">
        <f>I43/$J$5</f>
        <v>0.19339261341872044</v>
      </c>
      <c r="K43" s="44">
        <f>I43/$K$4</f>
        <v>0.1650854603174603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310.16344412089569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6.6941125280315966E-7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1503765.4382970177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2.6107038859323225E-3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46656884.423915826</v>
      </c>
      <c r="E46" s="39">
        <f>C46*K46</f>
        <v>39827649.598095231</v>
      </c>
      <c r="F46" s="40" t="s">
        <v>47</v>
      </c>
      <c r="G46" s="41">
        <v>0.9998999999999999</v>
      </c>
      <c r="H46" s="42">
        <v>0.69</v>
      </c>
      <c r="I46" s="42">
        <v>0.69</v>
      </c>
      <c r="J46" s="43">
        <f>I46/$J$5</f>
        <v>2.5660764690787784E-2</v>
      </c>
      <c r="K46" s="44">
        <f>I46/$K$4</f>
        <v>2.1904761904761903E-2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-0.30993099309930994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4576147.1490503661</v>
      </c>
      <c r="E47" s="39">
        <f>C47*K47</f>
        <v>3906329.9534907942</v>
      </c>
      <c r="F47" s="40" t="s">
        <v>47</v>
      </c>
      <c r="G47" s="41">
        <v>1.4503460000000001</v>
      </c>
      <c r="H47" s="42">
        <v>1.101961</v>
      </c>
      <c r="I47" s="42">
        <v>1.1979980000000001</v>
      </c>
      <c r="J47" s="43">
        <f>I47/$J$5</f>
        <v>4.4552963446426654E-2</v>
      </c>
      <c r="K47" s="44">
        <f>I47/$K$4</f>
        <v>3.8031682539682546E-2</v>
      </c>
      <c r="L47" s="45">
        <f>I47-H47</f>
        <v>9.603700000000015E-2</v>
      </c>
      <c r="M47" s="45">
        <f>((I47-H47)/H47)*100</f>
        <v>8.7150997176851224</v>
      </c>
      <c r="N47" s="46">
        <v>249700</v>
      </c>
      <c r="O47" s="37">
        <v>299140</v>
      </c>
      <c r="P47" s="50">
        <v>0</v>
      </c>
      <c r="Q47" s="48">
        <f>I47/G47-1</f>
        <v>-0.17399158545616011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3404200</v>
      </c>
      <c r="O48" s="60">
        <f>SUM(O9:O47)</f>
        <v>7326817.9700000007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76856462.658000007</v>
      </c>
      <c r="E51" s="39">
        <v>0</v>
      </c>
      <c r="F51" s="40" t="s">
        <v>92</v>
      </c>
      <c r="G51" s="68">
        <v>0.1</v>
      </c>
      <c r="H51" s="42">
        <v>0.14099999999999999</v>
      </c>
      <c r="I51" s="42">
        <v>0.13850000000000001</v>
      </c>
      <c r="J51" s="43">
        <f>I51</f>
        <v>0.13850000000000001</v>
      </c>
      <c r="K51" s="39">
        <v>0</v>
      </c>
      <c r="L51" s="45">
        <f>I51-H51</f>
        <v>-2.4999999999999745E-3</v>
      </c>
      <c r="M51" s="45">
        <f>((I51-H51)/H51)*100</f>
        <v>-1.7730496453900531</v>
      </c>
      <c r="N51" s="46">
        <v>7625</v>
      </c>
      <c r="O51" s="37">
        <v>1056.3499999999999</v>
      </c>
      <c r="P51" s="69">
        <f>(R51)/J51</f>
        <v>0</v>
      </c>
      <c r="Q51" s="48">
        <f>J51/G51-1</f>
        <v>0.38500000000000001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58928179.395500004</v>
      </c>
      <c r="E52" s="39">
        <v>0</v>
      </c>
      <c r="F52" s="40" t="s">
        <v>39</v>
      </c>
      <c r="G52" s="68">
        <v>39.9</v>
      </c>
      <c r="H52" s="42">
        <v>46.663499999999999</v>
      </c>
      <c r="I52" s="42">
        <v>55.714300000000001</v>
      </c>
      <c r="J52" s="43">
        <f>I52</f>
        <v>55.714300000000001</v>
      </c>
      <c r="K52" s="39">
        <v>0</v>
      </c>
      <c r="L52" s="45">
        <f>I52-H52</f>
        <v>9.0508000000000024</v>
      </c>
      <c r="M52" s="45">
        <f>((I52-H52)/H52)*100</f>
        <v>19.395887578085659</v>
      </c>
      <c r="N52" s="46">
        <v>133</v>
      </c>
      <c r="O52" s="37">
        <v>7410</v>
      </c>
      <c r="P52" s="70">
        <f>(R52)/J52</f>
        <v>1.0051279474030905E-2</v>
      </c>
      <c r="Q52" s="48">
        <f>J52/G52-1</f>
        <v>0.39634837092731834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762403184.12440002</v>
      </c>
      <c r="E53" s="39"/>
      <c r="F53" s="40" t="s">
        <v>56</v>
      </c>
      <c r="G53" s="68">
        <v>0.33</v>
      </c>
      <c r="H53" s="42">
        <v>0.2331</v>
      </c>
      <c r="I53" s="42">
        <v>0.25480000000000003</v>
      </c>
      <c r="J53" s="43">
        <f>I53</f>
        <v>0.25480000000000003</v>
      </c>
      <c r="K53" s="39">
        <v>0</v>
      </c>
      <c r="L53" s="45">
        <f>I53-H53</f>
        <v>2.1700000000000025E-2</v>
      </c>
      <c r="M53" s="45">
        <f>((I53-H53)/H53)*100</f>
        <v>9.3093093093093202</v>
      </c>
      <c r="N53" s="46">
        <v>65331</v>
      </c>
      <c r="O53" s="37">
        <v>16649.41</v>
      </c>
      <c r="P53" s="69">
        <v>0</v>
      </c>
      <c r="Q53" s="48">
        <f>J53/G53-1</f>
        <v>-0.22787878787878779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18780021.044399999</v>
      </c>
      <c r="E54" s="39">
        <v>0</v>
      </c>
      <c r="F54" s="40" t="s">
        <v>34</v>
      </c>
      <c r="G54" s="68">
        <v>2.3E-2</v>
      </c>
      <c r="H54" s="42">
        <v>3.7900000000000003E-2</v>
      </c>
      <c r="I54" s="42">
        <v>3.0800000000000001E-2</v>
      </c>
      <c r="J54" s="43">
        <f>I54</f>
        <v>3.0800000000000001E-2</v>
      </c>
      <c r="K54" s="39">
        <v>0</v>
      </c>
      <c r="L54" s="45">
        <f>I54-H54</f>
        <v>-7.1000000000000021E-3</v>
      </c>
      <c r="M54" s="45">
        <f>((I54-H54)/H54)*100</f>
        <v>-18.7335092348285</v>
      </c>
      <c r="N54" s="46">
        <v>19432</v>
      </c>
      <c r="O54" s="37">
        <v>598.88</v>
      </c>
      <c r="P54" s="69">
        <f>(R54)/J54</f>
        <v>0</v>
      </c>
      <c r="Q54" s="48">
        <f>J54/G54-1</f>
        <v>0.33913043478260874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264181238.52380002</v>
      </c>
      <c r="E55" s="39">
        <v>0</v>
      </c>
      <c r="F55" s="40" t="s">
        <v>47</v>
      </c>
      <c r="G55" s="68">
        <v>9.0200000000000002E-2</v>
      </c>
      <c r="H55" s="42">
        <v>0.1323</v>
      </c>
      <c r="I55" s="42">
        <v>0.1222</v>
      </c>
      <c r="J55" s="43">
        <f>I55</f>
        <v>0.1222</v>
      </c>
      <c r="K55" s="39">
        <v>0</v>
      </c>
      <c r="L55" s="45">
        <f>I55-H55</f>
        <v>-1.0099999999999998E-2</v>
      </c>
      <c r="M55" s="71">
        <f>((I55-H55)/H55)*100</f>
        <v>-7.6341647770219181</v>
      </c>
      <c r="N55" s="46">
        <v>554359</v>
      </c>
      <c r="O55" s="37">
        <v>67762</v>
      </c>
      <c r="P55" s="69">
        <f>(R55)/J55</f>
        <v>0</v>
      </c>
      <c r="Q55" s="48">
        <f>J55/G55-1</f>
        <v>0.35476718403547669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748128458.54999995</v>
      </c>
      <c r="E56" s="39">
        <v>0</v>
      </c>
      <c r="F56" s="40" t="s">
        <v>34</v>
      </c>
      <c r="G56" s="68">
        <v>0.95750000000000002</v>
      </c>
      <c r="H56" s="42">
        <v>1.2726</v>
      </c>
      <c r="I56" s="42">
        <v>1.2989999999999999</v>
      </c>
      <c r="J56" s="43">
        <f>I56</f>
        <v>1.2989999999999999</v>
      </c>
      <c r="K56" s="39">
        <v>0</v>
      </c>
      <c r="L56" s="45">
        <f>I56-H56</f>
        <v>2.6399999999999979E-2</v>
      </c>
      <c r="M56" s="45">
        <f>((I56-H56)/H56)*100</f>
        <v>2.0744931636020731</v>
      </c>
      <c r="N56" s="46">
        <v>46895</v>
      </c>
      <c r="O56" s="37">
        <v>60917.93</v>
      </c>
      <c r="P56" s="70">
        <f>(R56)/J56</f>
        <v>3.6181678214010776E-2</v>
      </c>
      <c r="Q56" s="48">
        <f>J56/G56-1</f>
        <v>0.35665796344647505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25304487.010199998</v>
      </c>
      <c r="E57" s="39">
        <v>0</v>
      </c>
      <c r="F57" s="40" t="s">
        <v>34</v>
      </c>
      <c r="G57" s="68">
        <v>0.1595</v>
      </c>
      <c r="H57" s="42">
        <v>0.15409999999999999</v>
      </c>
      <c r="I57" s="42">
        <v>0.15409999999999999</v>
      </c>
      <c r="J57" s="43">
        <f>I57</f>
        <v>0.15409999999999999</v>
      </c>
      <c r="K57" s="39">
        <v>0</v>
      </c>
      <c r="L57" s="45">
        <f>I57-H57</f>
        <v>0</v>
      </c>
      <c r="M57" s="45">
        <f>((I57-H57)/H57)*100</f>
        <v>0</v>
      </c>
      <c r="N57" s="46">
        <v>2719</v>
      </c>
      <c r="O57" s="37">
        <v>419</v>
      </c>
      <c r="P57" s="69">
        <f>(R57)/J57</f>
        <v>0</v>
      </c>
      <c r="Q57" s="48">
        <f>J57/G57-1</f>
        <v>-3.385579937304084E-2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30508</v>
      </c>
      <c r="O58" s="37">
        <v>610.16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8">
        <v>19.5</v>
      </c>
      <c r="H59" s="42">
        <v>18</v>
      </c>
      <c r="I59" s="42">
        <v>18</v>
      </c>
      <c r="J59" s="43">
        <f>I59</f>
        <v>18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9">
        <f>(R59)/J59</f>
        <v>0</v>
      </c>
      <c r="Q59" s="48">
        <f>J59/G59-1</f>
        <v>-7.6923076923076872E-2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782950463.59749997</v>
      </c>
      <c r="E60" s="39">
        <v>0</v>
      </c>
      <c r="F60" s="40" t="s">
        <v>92</v>
      </c>
      <c r="G60" s="68">
        <v>0.59499999999999997</v>
      </c>
      <c r="H60" s="42">
        <v>1.0297000000000001</v>
      </c>
      <c r="I60" s="42">
        <v>0.97250000000000003</v>
      </c>
      <c r="J60" s="43">
        <f>I60</f>
        <v>0.97250000000000003</v>
      </c>
      <c r="K60" s="39">
        <v>0</v>
      </c>
      <c r="L60" s="45">
        <f>I60-H60</f>
        <v>-5.7200000000000029E-2</v>
      </c>
      <c r="M60" s="45">
        <f>((I60-H60)/H60)*100</f>
        <v>-5.5550160240846873</v>
      </c>
      <c r="N60" s="46">
        <v>969459</v>
      </c>
      <c r="O60" s="37">
        <v>942842.15</v>
      </c>
      <c r="P60" s="69">
        <f>(R60)/J60</f>
        <v>0</v>
      </c>
      <c r="Q60" s="48">
        <f>J60/G60-1</f>
        <v>0.63445378151260523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0.30270000000000002</v>
      </c>
      <c r="I61" s="42">
        <v>0.3</v>
      </c>
      <c r="J61" s="43">
        <f>I61</f>
        <v>0.3</v>
      </c>
      <c r="K61" s="39">
        <v>0</v>
      </c>
      <c r="L61" s="45">
        <f>I61-H61</f>
        <v>-2.7000000000000357E-3</v>
      </c>
      <c r="M61" s="45">
        <f>((I61-H61)/H61)*100</f>
        <v>-0.89197224975224176</v>
      </c>
      <c r="N61" s="46">
        <v>33701</v>
      </c>
      <c r="O61" s="37">
        <v>10110.450000000001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357999272.99840003</v>
      </c>
      <c r="E62" s="39">
        <v>0</v>
      </c>
      <c r="F62" s="40" t="s">
        <v>34</v>
      </c>
      <c r="G62" s="68">
        <v>0.49440000000000001</v>
      </c>
      <c r="H62" s="42">
        <v>0.63649999999999995</v>
      </c>
      <c r="I62" s="42">
        <v>0.63680000000000003</v>
      </c>
      <c r="J62" s="43">
        <f>I62</f>
        <v>0.63680000000000003</v>
      </c>
      <c r="K62" s="39">
        <v>0</v>
      </c>
      <c r="L62" s="45">
        <f>I62-H62</f>
        <v>3.0000000000007798E-4</v>
      </c>
      <c r="M62" s="45">
        <f>((I62-H62)/H62)*100</f>
        <v>4.7132757266312331E-2</v>
      </c>
      <c r="N62" s="46">
        <v>21893</v>
      </c>
      <c r="O62" s="37">
        <v>13941.95</v>
      </c>
      <c r="P62" s="69">
        <f>(R62)/J62</f>
        <v>0</v>
      </c>
      <c r="Q62" s="48">
        <f>J62/G62-1</f>
        <v>0.28802588996763756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36422157.370200001</v>
      </c>
      <c r="E64" s="39">
        <v>0</v>
      </c>
      <c r="F64" s="40" t="s">
        <v>44</v>
      </c>
      <c r="G64" s="68">
        <v>4.2999999999999997E-2</v>
      </c>
      <c r="H64" s="42">
        <v>0.1179</v>
      </c>
      <c r="I64" s="42">
        <v>0.1057</v>
      </c>
      <c r="J64" s="43">
        <f>I64</f>
        <v>0.1057</v>
      </c>
      <c r="K64" s="39">
        <v>0</v>
      </c>
      <c r="L64" s="45">
        <f>I64-H64</f>
        <v>-1.2200000000000003E-2</v>
      </c>
      <c r="M64" s="45">
        <f>((I64-H64)/H64)*100</f>
        <v>-10.347752332485159</v>
      </c>
      <c r="N64" s="46">
        <v>1400</v>
      </c>
      <c r="O64" s="37">
        <v>147.94999999999999</v>
      </c>
      <c r="P64" s="69">
        <f>(R64)/J64</f>
        <v>0</v>
      </c>
      <c r="Q64" s="48">
        <f>J64/G64-1</f>
        <v>1.4581395348837214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1753455</v>
      </c>
      <c r="O65" s="60">
        <f>SUM(O51:O64)</f>
        <v>1122466.23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0.41089999999999999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-5.0900000000000001E-2</v>
      </c>
      <c r="M70" s="45">
        <f>((I70-H70)/H70)*100</f>
        <v>-12.387442200048675</v>
      </c>
      <c r="N70" s="90">
        <v>1626</v>
      </c>
      <c r="O70" s="91">
        <v>585.36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69760059</v>
      </c>
      <c r="E71" s="39">
        <f>C71*K71</f>
        <v>69760059</v>
      </c>
      <c r="F71" s="87" t="s">
        <v>156</v>
      </c>
      <c r="G71" s="87">
        <v>0.1</v>
      </c>
      <c r="H71" s="88">
        <v>0.14499999999999999</v>
      </c>
      <c r="I71" s="88">
        <v>0.14799999999999999</v>
      </c>
      <c r="J71" s="89">
        <f>I71</f>
        <v>0.14799999999999999</v>
      </c>
      <c r="K71" s="89">
        <f>J71</f>
        <v>0.14799999999999999</v>
      </c>
      <c r="L71" s="45">
        <f>I71-H71</f>
        <v>3.0000000000000027E-3</v>
      </c>
      <c r="M71" s="45">
        <f>((I71-H71)/H71)*100</f>
        <v>2.0689655172413812</v>
      </c>
      <c r="N71" s="46">
        <v>19949</v>
      </c>
      <c r="O71" s="91">
        <v>2952.86</v>
      </c>
      <c r="P71" s="92">
        <f>(R71)/J71</f>
        <v>2.5621621621621623E-2</v>
      </c>
      <c r="Q71" s="48">
        <f>J71/G71-1</f>
        <v>0.47999999999999976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21575</v>
      </c>
      <c r="O72" s="60">
        <f>SUM(O70:O71)</f>
        <v>3538.2200000000003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2995954.1105</v>
      </c>
      <c r="E74" s="39">
        <f>C74*K74</f>
        <v>2995954.1105</v>
      </c>
      <c r="F74" s="87" t="s">
        <v>138</v>
      </c>
      <c r="G74" s="87">
        <v>0.1394</v>
      </c>
      <c r="H74" s="88">
        <v>0.14910000000000001</v>
      </c>
      <c r="I74" s="88">
        <v>0.1439</v>
      </c>
      <c r="J74" s="89">
        <f>I74</f>
        <v>0.1439</v>
      </c>
      <c r="K74" s="89">
        <f>J74</f>
        <v>0.1439</v>
      </c>
      <c r="L74" s="45">
        <f>I74-H74</f>
        <v>-5.2000000000000102E-3</v>
      </c>
      <c r="M74" s="45">
        <f>((I74-H74)/H74)*100</f>
        <v>-3.4875922199865927</v>
      </c>
      <c r="N74" s="90">
        <v>4359</v>
      </c>
      <c r="O74" s="91">
        <v>627.23</v>
      </c>
      <c r="P74" s="69">
        <f>(R74)/J74</f>
        <v>0</v>
      </c>
      <c r="Q74" s="48">
        <f>J74/G74-1</f>
        <v>3.2281205164992777E-2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110750.66932943587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2.4396321213270705E-3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303828.03271189658</v>
      </c>
      <c r="E78" s="39">
        <f>C78*K78</f>
        <v>259356.28952380954</v>
      </c>
      <c r="F78" s="40" t="s">
        <v>138</v>
      </c>
      <c r="G78" s="68">
        <v>4.2500000000000003E-2</v>
      </c>
      <c r="H78" s="42">
        <v>5.5E-2</v>
      </c>
      <c r="I78" s="42">
        <v>0.06</v>
      </c>
      <c r="J78" s="43">
        <f>I78/$J$5</f>
        <v>2.2313708426771987E-3</v>
      </c>
      <c r="K78" s="44">
        <f>I78/$K$4</f>
        <v>1.9047619047619048E-3</v>
      </c>
      <c r="L78" s="45">
        <f>I78-H78</f>
        <v>4.9999999999999975E-3</v>
      </c>
      <c r="M78" s="93">
        <f>((I78-H78)/H78)*100</f>
        <v>9.0909090909090864</v>
      </c>
      <c r="N78" s="37">
        <v>1000</v>
      </c>
      <c r="O78" s="37">
        <v>60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1838714.2841204498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3.7189514044619985E-3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2372425.9315043534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5.7643746769160974E-2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100</v>
      </c>
      <c r="O80" s="37">
        <v>155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1100</v>
      </c>
      <c r="O81" s="60">
        <f>SUM(O77:O80)</f>
        <v>215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27813533.206219576</v>
      </c>
      <c r="E83" s="39">
        <f>C83*K83</f>
        <v>23742426.617206346</v>
      </c>
      <c r="F83" s="40" t="s">
        <v>174</v>
      </c>
      <c r="G83" s="40">
        <v>1.3</v>
      </c>
      <c r="H83" s="42">
        <v>2.0305</v>
      </c>
      <c r="I83" s="42">
        <v>2.0305</v>
      </c>
      <c r="J83" s="43">
        <f>I83/$J$5</f>
        <v>7.5513308267600873E-2</v>
      </c>
      <c r="K83" s="44">
        <f>I83/$K$4</f>
        <v>6.4460317460317454E-2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0.56192307692307675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71576891.320897147</v>
      </c>
      <c r="E84" s="39">
        <f>C84*K84</f>
        <v>61100079.485555544</v>
      </c>
      <c r="F84" s="40" t="s">
        <v>174</v>
      </c>
      <c r="G84" s="40">
        <v>1.44347</v>
      </c>
      <c r="H84" s="42">
        <v>1.0284959999999999</v>
      </c>
      <c r="I84" s="42">
        <v>1.0453789999999998</v>
      </c>
      <c r="J84" s="43">
        <f>I84/$J$5</f>
        <v>3.8877137002450782E-2</v>
      </c>
      <c r="K84" s="44">
        <f>I84/$K$4</f>
        <v>3.3186634920634915E-2</v>
      </c>
      <c r="L84" s="45">
        <f>I84-H84</f>
        <v>1.6882999999999981E-2</v>
      </c>
      <c r="M84" s="45">
        <f>((I84-H84)/H84*100)</f>
        <v>1.6415231561425598</v>
      </c>
      <c r="N84" s="50">
        <v>58000</v>
      </c>
      <c r="O84" s="37">
        <v>60632</v>
      </c>
      <c r="P84" s="47">
        <f>(R84)/J84</f>
        <v>5.5971199727562933E-2</v>
      </c>
      <c r="Q84" s="48">
        <f>I84/G84-1</f>
        <v>-0.27578751203696661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58000</v>
      </c>
      <c r="O85" s="60">
        <f>SUM(O83:O84)</f>
        <v>60632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62</v>
      </c>
      <c r="B88" s="110">
        <v>1.9040000000000001</v>
      </c>
      <c r="D88" s="110">
        <v>14.998970203549394</v>
      </c>
      <c r="E88" s="35" t="s">
        <v>35</v>
      </c>
      <c r="F88" s="111">
        <v>6.0016999999999994E-2</v>
      </c>
      <c r="H88" s="112">
        <v>-12.383941605839414</v>
      </c>
      <c r="L88" s="35" t="s">
        <v>122</v>
      </c>
      <c r="M88" s="50">
        <v>55.714300000000001</v>
      </c>
      <c r="N88" s="113">
        <v>19.395887578085659</v>
      </c>
      <c r="O88" s="35" t="s">
        <v>126</v>
      </c>
      <c r="P88" s="111">
        <v>3.0800000000000001E-2</v>
      </c>
      <c r="Q88" s="114">
        <v>-18.7335092348285</v>
      </c>
    </row>
    <row r="89" spans="1:243" x14ac:dyDescent="0.25">
      <c r="A89" s="35" t="s">
        <v>117</v>
      </c>
      <c r="B89" s="110">
        <v>1.1979980000000001</v>
      </c>
      <c r="D89" s="110">
        <v>8.7150997176851224</v>
      </c>
      <c r="E89" s="35" t="s">
        <v>97</v>
      </c>
      <c r="F89" s="111">
        <v>5.6646910000000004</v>
      </c>
      <c r="H89" s="112">
        <v>-4.9385003293351657</v>
      </c>
      <c r="L89" s="35" t="s">
        <v>124</v>
      </c>
      <c r="M89" s="50">
        <v>0.25480000000000003</v>
      </c>
      <c r="N89" s="113">
        <v>9.3093093093093202</v>
      </c>
      <c r="O89" s="35" t="s">
        <v>147</v>
      </c>
      <c r="P89" s="111">
        <v>0.1057</v>
      </c>
      <c r="Q89" s="114">
        <v>-10.347752332485159</v>
      </c>
    </row>
    <row r="90" spans="1:243" x14ac:dyDescent="0.25">
      <c r="A90" s="35" t="s">
        <v>95</v>
      </c>
      <c r="B90" s="110">
        <v>3.7057E-2</v>
      </c>
      <c r="C90" s="110"/>
      <c r="D90" s="110">
        <v>5.2755681818181746</v>
      </c>
      <c r="E90" s="35" t="s">
        <v>67</v>
      </c>
      <c r="F90" s="111">
        <v>0.105</v>
      </c>
      <c r="H90" s="112">
        <v>-4.5454545454545494</v>
      </c>
      <c r="L90" s="35" t="s">
        <v>130</v>
      </c>
      <c r="M90" s="50">
        <v>1.2989999999999999</v>
      </c>
      <c r="N90" s="113">
        <v>2.0744931636020731</v>
      </c>
      <c r="O90" s="35" t="s">
        <v>128</v>
      </c>
      <c r="P90" s="111">
        <v>0.1222</v>
      </c>
      <c r="Q90" s="114">
        <v>-7.6341647770219181</v>
      </c>
    </row>
    <row r="91" spans="1:243" x14ac:dyDescent="0.25">
      <c r="A91" s="35" t="s">
        <v>52</v>
      </c>
      <c r="B91" s="110">
        <v>29.2376</v>
      </c>
      <c r="C91" s="110"/>
      <c r="D91" s="110">
        <v>0.18743853421010392</v>
      </c>
      <c r="E91" s="35" t="s">
        <v>86</v>
      </c>
      <c r="F91" s="111">
        <v>1.2006999999999999</v>
      </c>
      <c r="G91" s="111"/>
      <c r="H91" s="112">
        <v>-2.5801217038539597</v>
      </c>
      <c r="L91" s="35" t="s">
        <v>143</v>
      </c>
      <c r="M91" s="50">
        <v>0.63680000000000003</v>
      </c>
      <c r="N91" s="113">
        <v>4.7132757266312331E-2</v>
      </c>
      <c r="O91" s="35" t="s">
        <v>139</v>
      </c>
      <c r="P91" s="111">
        <v>0.97250000000000003</v>
      </c>
      <c r="Q91" s="114">
        <v>-5.5550160240846873</v>
      </c>
    </row>
    <row r="92" spans="1:243" x14ac:dyDescent="0.25">
      <c r="A92" s="35" t="s">
        <v>93</v>
      </c>
      <c r="B92" s="110">
        <v>4.0199999999999996</v>
      </c>
      <c r="C92" s="110"/>
      <c r="D92" s="110">
        <v>5.2017093464013016E-2</v>
      </c>
      <c r="E92" s="35" t="s">
        <v>72</v>
      </c>
      <c r="F92" s="111">
        <v>1.2709269999999999</v>
      </c>
      <c r="G92" s="111"/>
      <c r="H92" s="112">
        <v>-2.2615710566892453</v>
      </c>
      <c r="L92" s="35"/>
      <c r="M92" s="50"/>
      <c r="N92" s="113"/>
      <c r="O92" s="35" t="s">
        <v>120</v>
      </c>
      <c r="P92" s="111">
        <v>0.13850000000000001</v>
      </c>
      <c r="Q92" s="114">
        <v>-1.7730496453900531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brK5wZUDQpGMu2x/m74PqvO5zYJkGZ3MweEljjJsTddWcbru2y1Kii+WDa8KTripyMwGsMtIGuJNjqGHksRH4g==" saltValue="wjzk2ugM29noNycUp49V1Q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2026-06-02T14:07:32Z</dcterms:created>
  <dcterms:modified xsi:type="dcterms:W3CDTF">2026-06-02T14:14:15Z</dcterms:modified>
</cp:coreProperties>
</file>