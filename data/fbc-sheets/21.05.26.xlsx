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21.05.26/"/>
    </mc:Choice>
  </mc:AlternateContent>
  <xr:revisionPtr revIDLastSave="0" documentId="8_{4D55E473-2B88-4224-BD7D-2ABF58C797E6}" xr6:coauthVersionLast="47" xr6:coauthVersionMax="47" xr10:uidLastSave="{00000000-0000-0000-0000-000000000000}"/>
  <bookViews>
    <workbookView xWindow="-108" yWindow="-108" windowWidth="23256" windowHeight="12456" xr2:uid="{E7354528-8BD8-4CE0-9A51-97024D04BD73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P83" i="1"/>
  <c r="M83" i="1"/>
  <c r="L83" i="1"/>
  <c r="K83" i="1"/>
  <c r="J83" i="1"/>
  <c r="D83" i="1" s="1"/>
  <c r="E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J78" i="1"/>
  <c r="D78" i="1" s="1"/>
  <c r="E78" i="1"/>
  <c r="Q77" i="1"/>
  <c r="M77" i="1"/>
  <c r="L77" i="1"/>
  <c r="K77" i="1"/>
  <c r="E77" i="1" s="1"/>
  <c r="J77" i="1"/>
  <c r="D77" i="1"/>
  <c r="M74" i="1"/>
  <c r="L74" i="1"/>
  <c r="J74" i="1"/>
  <c r="P74" i="1" s="1"/>
  <c r="O72" i="1"/>
  <c r="N72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M51" i="1"/>
  <c r="L51" i="1"/>
  <c r="J51" i="1"/>
  <c r="Q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D43" i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D40" i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D28" i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D25" i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P16" i="1" s="1"/>
  <c r="D16" i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D14" i="1"/>
  <c r="Q13" i="1"/>
  <c r="M13" i="1"/>
  <c r="L13" i="1"/>
  <c r="K13" i="1"/>
  <c r="E13" i="1" s="1"/>
  <c r="J13" i="1"/>
  <c r="D13" i="1" s="1"/>
  <c r="Q12" i="1"/>
  <c r="M12" i="1"/>
  <c r="L12" i="1"/>
  <c r="K12" i="1"/>
  <c r="J12" i="1"/>
  <c r="P12" i="1" s="1"/>
  <c r="E12" i="1"/>
  <c r="D12" i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D10" i="1"/>
  <c r="Q9" i="1"/>
  <c r="M9" i="1"/>
  <c r="L9" i="1"/>
  <c r="K9" i="1"/>
  <c r="E9" i="1" s="1"/>
  <c r="J9" i="1"/>
  <c r="P9" i="1" s="1"/>
  <c r="P21" i="1" l="1"/>
  <c r="D9" i="1"/>
  <c r="D11" i="1"/>
  <c r="D55" i="1"/>
  <c r="D59" i="1"/>
  <c r="D52" i="1"/>
  <c r="P13" i="1"/>
  <c r="D19" i="1"/>
  <c r="D34" i="1"/>
  <c r="K74" i="1"/>
  <c r="E74" i="1" s="1"/>
  <c r="Q74" i="1"/>
  <c r="P59" i="1"/>
  <c r="D37" i="1"/>
  <c r="D46" i="1"/>
  <c r="D22" i="1"/>
  <c r="P36" i="1"/>
  <c r="P44" i="1"/>
  <c r="P71" i="1"/>
  <c r="D15" i="1"/>
  <c r="P24" i="1"/>
  <c r="P33" i="1"/>
  <c r="D74" i="1"/>
  <c r="P57" i="1"/>
  <c r="P63" i="1"/>
  <c r="P27" i="1"/>
  <c r="P55" i="1"/>
  <c r="P61" i="1"/>
  <c r="Q71" i="1"/>
  <c r="P41" i="1"/>
  <c r="D57" i="1"/>
  <c r="D63" i="1"/>
  <c r="P29" i="1"/>
  <c r="P35" i="1"/>
  <c r="P52" i="1"/>
  <c r="Q54" i="1"/>
  <c r="Q56" i="1"/>
  <c r="Q58" i="1"/>
  <c r="Q60" i="1"/>
  <c r="Q62" i="1"/>
  <c r="Q64" i="1"/>
  <c r="P70" i="1"/>
  <c r="D39" i="1"/>
  <c r="D42" i="1"/>
  <c r="D45" i="1"/>
  <c r="Q70" i="1"/>
  <c r="D51" i="1"/>
  <c r="D53" i="1"/>
  <c r="D71" i="1"/>
  <c r="K70" i="1"/>
  <c r="E70" i="1" s="1"/>
  <c r="P54" i="1"/>
  <c r="P56" i="1"/>
  <c r="P58" i="1"/>
  <c r="P60" i="1"/>
  <c r="P62" i="1"/>
  <c r="P64" i="1"/>
  <c r="P20" i="1"/>
  <c r="P23" i="1"/>
  <c r="P26" i="1"/>
  <c r="P32" i="1"/>
  <c r="P51" i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<sst xmlns="http://schemas.openxmlformats.org/spreadsheetml/2006/main" count="265" uniqueCount="182">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</sst>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C5E40416-775B-4697-B8CE-4A1461309F06}"/>
    <cellStyle name="Comma 5 2 2 2 2 2 2 2 2" xfId="4" xr:uid="{EB0B52B2-6CC2-4F09-9D6C-E70367ADD271}"/>
    <cellStyle name="Comma 6 2 2 2" xfId="5" xr:uid="{1D84991F-BF04-45D4-B6EB-D836C027D284}"/>
    <cellStyle name="Hyperlink 2" xfId="8" xr:uid="{07FAAAE3-AE9C-4F8C-8FE4-E71F6A79FD2D}"/>
    <cellStyle name="Normal" xfId="0" builtinId="0"/>
    <cellStyle name="Normal 2" xfId="2" xr:uid="{4A7C0A70-8DAF-472D-AF43-63771DD1EC58}"/>
    <cellStyle name="Normal 20" xfId="7" xr:uid="{3393CB79-D17A-4047-91A3-AFF34C0CDF3E}"/>
    <cellStyle name="Percent" xfId="1" builtinId="5"/>
    <cellStyle name="Percent 3" xfId="6" xr:uid="{C848E913-4A5C-40A1-9C6C-071A7816D1A0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040E5328-91AE-4AB0-8CFE-4D0A0B113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AC147988-FD0B-49F3-82F2-C30A5C8BA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CC2E-7E03-42ED-A212-8B16481E6547}">
  <dimension ref="A1:II106"/>
  <sheetViews>
    <sheetView tabSelected="1" zoomScale="60" zoomScaleNormal="60" workbookViewId="0">
      <selection activeCell="W95" sqref="W9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26.344100000000001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74818245.155461758</v>
      </c>
      <c r="E9" s="39">
        <f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0.59975478380358416</v>
      </c>
      <c r="K9" s="44">
        <f>I9/$K$4</f>
        <v>0.52666666666666673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2.5010221518987338E-2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3706474.5312992278</v>
      </c>
      <c r="E10" s="39">
        <f>C10*K10</f>
        <v>3254791.19</v>
      </c>
      <c r="F10" s="40" t="s">
        <v>34</v>
      </c>
      <c r="G10" s="41">
        <v>3.1600000000000003E-2</v>
      </c>
      <c r="H10" s="42">
        <v>6.2645000000000006E-2</v>
      </c>
      <c r="I10" s="42">
        <v>0.06</v>
      </c>
      <c r="J10" s="43">
        <f>I10/$J$5</f>
        <v>2.2775498119123445E-3</v>
      </c>
      <c r="K10" s="44">
        <f>I10/$K$4</f>
        <v>2E-3</v>
      </c>
      <c r="L10" s="45">
        <f>I10-H10</f>
        <v>-2.6450000000000085E-3</v>
      </c>
      <c r="M10" s="45">
        <f>((I10-H10)/H10)*100</f>
        <v>-4.2222044855934362</v>
      </c>
      <c r="N10" s="46">
        <v>200</v>
      </c>
      <c r="O10" s="37">
        <v>12</v>
      </c>
      <c r="P10" s="50">
        <f>(R10)/J10</f>
        <v>0</v>
      </c>
      <c r="Q10" s="48">
        <f>I10/G10-1</f>
        <v>0.89873417721518956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3151586.0557012763</v>
      </c>
      <c r="E11" s="39">
        <f>C11*K11</f>
        <v>2767523.2736666668</v>
      </c>
      <c r="F11" s="40" t="s">
        <v>39</v>
      </c>
      <c r="G11" s="41">
        <v>7.8E-2</v>
      </c>
      <c r="H11" s="42">
        <v>0.19</v>
      </c>
      <c r="I11" s="42">
        <v>0.19</v>
      </c>
      <c r="J11" s="43">
        <f>I11/$J$5</f>
        <v>7.2122410710557579E-3</v>
      </c>
      <c r="K11" s="44">
        <f>I11/$K$4</f>
        <v>6.3333333333333332E-3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1.4358974358974361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127656478.50103059</v>
      </c>
      <c r="E12" s="39">
        <f>C12*K12</f>
        <v>112099834.50930001</v>
      </c>
      <c r="F12" s="40" t="s">
        <v>34</v>
      </c>
      <c r="G12" s="41">
        <v>97.381</v>
      </c>
      <c r="H12" s="42">
        <v>191.74900000000002</v>
      </c>
      <c r="I12" s="42">
        <v>162.98699999999999</v>
      </c>
      <c r="J12" s="43">
        <f>I12/$J$5</f>
        <v>6.1868501865692886</v>
      </c>
      <c r="K12" s="44">
        <f>I12/$K$4</f>
        <v>5.4329000000000001</v>
      </c>
      <c r="L12" s="45">
        <f>I12-H12</f>
        <v>-28.762000000000029</v>
      </c>
      <c r="M12" s="45">
        <f>((I12-H12)/H12)*100</f>
        <v>-14.999817469713022</v>
      </c>
      <c r="N12" s="46">
        <v>700</v>
      </c>
      <c r="O12" s="37">
        <v>114090.9</v>
      </c>
      <c r="P12" s="50">
        <f>(R12)/J12</f>
        <v>0</v>
      </c>
      <c r="Q12" s="48">
        <f>I12/G12-1</f>
        <v>0.67370431603700931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4310837.686920411</v>
      </c>
      <c r="E13" s="39">
        <f>C13*K13</f>
        <v>3785504.6369333328</v>
      </c>
      <c r="F13" s="40" t="s">
        <v>44</v>
      </c>
      <c r="G13" s="41">
        <v>13.6</v>
      </c>
      <c r="H13" s="42">
        <v>13.000999999999999</v>
      </c>
      <c r="I13" s="42">
        <v>13.000999999999999</v>
      </c>
      <c r="J13" s="43">
        <f>I13/$J$5</f>
        <v>0.49350708507787316</v>
      </c>
      <c r="K13" s="44">
        <f>I13/$K$4</f>
        <v>0.43336666666666662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-4.4044117647058845E-2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315938768.05024654</v>
      </c>
      <c r="E14" s="39">
        <f>C14*K14</f>
        <v>277437416.64641666</v>
      </c>
      <c r="F14" s="40" t="s">
        <v>47</v>
      </c>
      <c r="G14" s="41">
        <v>11.5</v>
      </c>
      <c r="H14" s="42">
        <v>15.042200000000001</v>
      </c>
      <c r="I14" s="42">
        <v>15.9245</v>
      </c>
      <c r="J14" s="43">
        <f>I14/$J$5</f>
        <v>0.6044806996633022</v>
      </c>
      <c r="K14" s="44">
        <f>I14/$K$4</f>
        <v>0.53081666666666671</v>
      </c>
      <c r="L14" s="45">
        <f>I14-H14</f>
        <v>0.88229999999999897</v>
      </c>
      <c r="M14" s="45">
        <f>((I14-H14)/H14)*100</f>
        <v>5.8654983978407342</v>
      </c>
      <c r="N14" s="46">
        <v>38000</v>
      </c>
      <c r="O14" s="37">
        <v>605130</v>
      </c>
      <c r="P14" s="50">
        <f>(R14)/J14</f>
        <v>0</v>
      </c>
      <c r="Q14" s="48">
        <f>I14/G14-1</f>
        <v>0.38473913043478269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24151337.491127044</v>
      </c>
      <c r="E15" s="39">
        <f>C15*K15</f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0.22775498119123447</v>
      </c>
      <c r="K15" s="44">
        <f>I15/$K$4</f>
        <v>0.2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40129536.923789389</v>
      </c>
      <c r="E16" s="39">
        <f>C16*K16</f>
        <v>35239217.78913334</v>
      </c>
      <c r="F16" s="40" t="s">
        <v>34</v>
      </c>
      <c r="G16" s="41">
        <v>1.9</v>
      </c>
      <c r="H16" s="42">
        <v>2.81</v>
      </c>
      <c r="I16" s="42">
        <v>2.9530000000000003</v>
      </c>
      <c r="J16" s="43">
        <f>I16/$J$5</f>
        <v>0.11209340990961923</v>
      </c>
      <c r="K16" s="44">
        <f>I16/$K$4</f>
        <v>9.8433333333333345E-2</v>
      </c>
      <c r="L16" s="45">
        <f>I16-H16</f>
        <v>0.14300000000000024</v>
      </c>
      <c r="M16" s="45">
        <f>((I16-H16)/H16)*100</f>
        <v>5.0889679715302574</v>
      </c>
      <c r="N16" s="46">
        <v>700</v>
      </c>
      <c r="O16" s="37">
        <v>2067.1</v>
      </c>
      <c r="P16" s="50">
        <f>(R16)/J16</f>
        <v>0</v>
      </c>
      <c r="Q16" s="48">
        <f>I16/G16-1</f>
        <v>0.55421052631578971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1550382065.697917</v>
      </c>
      <c r="E17" s="39">
        <f>C17*K17</f>
        <v>1361447339.23175</v>
      </c>
      <c r="F17" s="40" t="s">
        <v>34</v>
      </c>
      <c r="G17" s="41">
        <v>20.701700000000002</v>
      </c>
      <c r="H17" s="42">
        <v>30.673299999999998</v>
      </c>
      <c r="I17" s="42">
        <v>30.4435</v>
      </c>
      <c r="J17" s="43">
        <f>I17/$J$5</f>
        <v>1.1556097949825577</v>
      </c>
      <c r="K17" s="44">
        <f>I17/$K$4</f>
        <v>1.0147833333333334</v>
      </c>
      <c r="L17" s="45">
        <f>I17-H17</f>
        <v>-0.22979999999999734</v>
      </c>
      <c r="M17" s="45">
        <f>((I17-H17)/H17)*100</f>
        <v>-0.74918577394671382</v>
      </c>
      <c r="N17" s="46">
        <v>43900</v>
      </c>
      <c r="O17" s="37">
        <v>1336470</v>
      </c>
      <c r="P17" s="47">
        <f>(R17)/J17</f>
        <v>4.3267199894887254E-2</v>
      </c>
      <c r="Q17" s="48">
        <f>I17/G17-1</f>
        <v>0.47057971084500294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281705724.38454151</v>
      </c>
      <c r="E19" s="39">
        <f>C19*K19</f>
        <v>247376125.79196003</v>
      </c>
      <c r="F19" s="40" t="s">
        <v>47</v>
      </c>
      <c r="G19" s="41">
        <v>12.45</v>
      </c>
      <c r="H19" s="42">
        <v>10.9999</v>
      </c>
      <c r="I19" s="42">
        <v>11.044400000000001</v>
      </c>
      <c r="J19" s="43">
        <f>I19/$J$5</f>
        <v>0.41923618571141169</v>
      </c>
      <c r="K19" s="44">
        <f>I19/$K$4</f>
        <v>0.36814666666666673</v>
      </c>
      <c r="L19" s="45">
        <f>I19-H19</f>
        <v>4.4500000000001094E-2</v>
      </c>
      <c r="M19" s="45">
        <f>((I19-H19)/H19)*100</f>
        <v>0.40454913226484868</v>
      </c>
      <c r="N19" s="46">
        <v>3600</v>
      </c>
      <c r="O19" s="37">
        <v>39760</v>
      </c>
      <c r="P19" s="50">
        <f>(R19)/J19</f>
        <v>0</v>
      </c>
      <c r="Q19" s="48">
        <f>I19/G19-1</f>
        <v>-0.11289959839357411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2391941.2637472148</v>
      </c>
      <c r="E20" s="39">
        <f>C20*K20</f>
        <v>2100451.3282094332</v>
      </c>
      <c r="F20" s="40" t="s">
        <v>47</v>
      </c>
      <c r="G20" s="41">
        <v>0.35</v>
      </c>
      <c r="H20" s="42">
        <v>0.57851300000000005</v>
      </c>
      <c r="I20" s="42">
        <v>0.57851300000000005</v>
      </c>
      <c r="J20" s="43">
        <f>I20/$J$5</f>
        <v>2.1959869572314106E-2</v>
      </c>
      <c r="K20" s="44">
        <f>I20/$K$4</f>
        <v>1.9283766666666667E-2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0.65289428571428587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48609003.451626748</v>
      </c>
      <c r="E21" s="39">
        <f>C21*K21</f>
        <v>42685348.261</v>
      </c>
      <c r="F21" s="40" t="s">
        <v>47</v>
      </c>
      <c r="G21" s="41">
        <v>2.85</v>
      </c>
      <c r="H21" s="42">
        <v>1.8530000000000002</v>
      </c>
      <c r="I21" s="42">
        <v>1.8555000000000001</v>
      </c>
      <c r="J21" s="43">
        <f>I21/$J$5</f>
        <v>7.043322793338927E-2</v>
      </c>
      <c r="K21" s="44">
        <f>I21/$K$4</f>
        <v>6.1850000000000002E-2</v>
      </c>
      <c r="L21" s="45">
        <f>I21-H21</f>
        <v>2.4999999999999467E-3</v>
      </c>
      <c r="M21" s="45">
        <f>((I21-H21)/H21)*100</f>
        <v>0.13491635186184278</v>
      </c>
      <c r="N21" s="46">
        <v>1300</v>
      </c>
      <c r="O21" s="37">
        <v>2412.15</v>
      </c>
      <c r="P21" s="50">
        <f>(R21)/J21</f>
        <v>0</v>
      </c>
      <c r="Q21" s="48">
        <f>I21/G21-1</f>
        <v>-0.34894736842105256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56890975.02903875</v>
      </c>
      <c r="E22" s="39">
        <f>C22*K22</f>
        <v>49958051.175416663</v>
      </c>
      <c r="F22" s="40" t="s">
        <v>66</v>
      </c>
      <c r="G22" s="41">
        <v>0.88420599999999994</v>
      </c>
      <c r="H22" s="42">
        <v>1.2124999999999999</v>
      </c>
      <c r="I22" s="42">
        <v>1.2124999999999999</v>
      </c>
      <c r="J22" s="43">
        <f>I22/$J$5</f>
        <v>4.6025485782395292E-2</v>
      </c>
      <c r="K22" s="44">
        <f>I22/$K$4</f>
        <v>4.0416666666666663E-2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0.37128678158709616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2444214.6347759077</v>
      </c>
      <c r="E23" s="39">
        <f>C23*K23</f>
        <v>2146354.4920000001</v>
      </c>
      <c r="F23" s="40" t="s">
        <v>44</v>
      </c>
      <c r="G23" s="41">
        <v>0.1</v>
      </c>
      <c r="H23" s="42">
        <v>0.12</v>
      </c>
      <c r="I23" s="42">
        <v>0.12</v>
      </c>
      <c r="J23" s="43">
        <f>I23/$J$5</f>
        <v>4.5550996238246889E-3</v>
      </c>
      <c r="K23" s="44">
        <f>I23/$K$4</f>
        <v>4.0000000000000001E-3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0.19999999999999996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70338231.877346352</v>
      </c>
      <c r="E24" s="39">
        <f>C24*K24</f>
        <v>61766580.480000004</v>
      </c>
      <c r="F24" s="40" t="s">
        <v>34</v>
      </c>
      <c r="G24" s="41">
        <v>8.1687659999999997</v>
      </c>
      <c r="H24" s="42">
        <v>9.6</v>
      </c>
      <c r="I24" s="42">
        <v>9.6</v>
      </c>
      <c r="J24" s="43">
        <f>I24/$J$5</f>
        <v>0.36440796990597513</v>
      </c>
      <c r="K24" s="44">
        <f>I24/$K$4</f>
        <v>0.32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0.17520810364747863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83277060.582825005</v>
      </c>
      <c r="E25" s="39">
        <f>C25*K25</f>
        <v>73128640.390000001</v>
      </c>
      <c r="F25" s="40" t="s">
        <v>66</v>
      </c>
      <c r="G25" s="41">
        <v>1.6675</v>
      </c>
      <c r="H25" s="42">
        <v>1.3</v>
      </c>
      <c r="I25" s="42">
        <v>1.3</v>
      </c>
      <c r="J25" s="43">
        <f>I25/$J$5</f>
        <v>4.9346912591434137E-2</v>
      </c>
      <c r="K25" s="44">
        <f>I25/$K$4</f>
        <v>4.3333333333333335E-2</v>
      </c>
      <c r="L25" s="45">
        <f>I25-H25</f>
        <v>0</v>
      </c>
      <c r="M25" s="45">
        <f>((I25-H25)/H25)*100</f>
        <v>0</v>
      </c>
      <c r="N25" s="46">
        <v>0</v>
      </c>
      <c r="O25" s="37">
        <v>0</v>
      </c>
      <c r="P25" s="50">
        <f>(R25)/J25</f>
        <v>0</v>
      </c>
      <c r="Q25" s="48">
        <f>I25/G25-1</f>
        <v>-0.22038980509745121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31350054.439134378</v>
      </c>
      <c r="E26" s="39">
        <f>C26*K26</f>
        <v>27529632.305</v>
      </c>
      <c r="F26" s="40" t="s">
        <v>44</v>
      </c>
      <c r="G26" s="41">
        <v>1.7994999999999999</v>
      </c>
      <c r="H26" s="42">
        <v>3.45</v>
      </c>
      <c r="I26" s="42">
        <v>3.45</v>
      </c>
      <c r="J26" s="43">
        <f>I26/$J$5</f>
        <v>0.13095911418495981</v>
      </c>
      <c r="K26" s="44">
        <f>I26/$K$4</f>
        <v>0.115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0.91719922200611315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29655966.992609348</v>
      </c>
      <c r="E27" s="39">
        <f>C27*K27</f>
        <v>26041992.001666665</v>
      </c>
      <c r="F27" s="40" t="s">
        <v>34</v>
      </c>
      <c r="G27" s="41">
        <v>3.1361369999999997</v>
      </c>
      <c r="H27" s="42">
        <v>3.069</v>
      </c>
      <c r="I27" s="42">
        <v>3.05</v>
      </c>
      <c r="J27" s="43">
        <f>I27/$J$5</f>
        <v>0.11577544877221084</v>
      </c>
      <c r="K27" s="44">
        <f>I27/$K$4</f>
        <v>0.10166666666666666</v>
      </c>
      <c r="L27" s="45">
        <f>I27-H27</f>
        <v>-1.9000000000000128E-2</v>
      </c>
      <c r="M27" s="45">
        <f>((I27-H27)/H27)*100</f>
        <v>-0.61909416748126844</v>
      </c>
      <c r="N27" s="46">
        <v>400</v>
      </c>
      <c r="O27" s="37">
        <v>1220</v>
      </c>
      <c r="P27" s="50">
        <f>(R27)/J27</f>
        <v>0</v>
      </c>
      <c r="Q27" s="48">
        <f>I27/G27-1</f>
        <v>-2.7465955728337099E-2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27894966.167851623</v>
      </c>
      <c r="E28" s="39">
        <f>C28*K28</f>
        <v>24495592.607416671</v>
      </c>
      <c r="F28" s="40" t="s">
        <v>44</v>
      </c>
      <c r="G28" s="41">
        <v>0.8</v>
      </c>
      <c r="H28" s="42">
        <v>0.97250000000000003</v>
      </c>
      <c r="I28" s="42">
        <v>0.97250000000000003</v>
      </c>
      <c r="J28" s="43">
        <f>I28/$J$5</f>
        <v>3.691528653474592E-2</v>
      </c>
      <c r="K28" s="44">
        <f>I28/$K$4</f>
        <v>3.241666666666667E-2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0.21562499999999996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80545600.997946411</v>
      </c>
      <c r="E29" s="39">
        <f>C29*K29</f>
        <v>70730045.574999988</v>
      </c>
      <c r="F29" s="40" t="s">
        <v>47</v>
      </c>
      <c r="G29" s="41">
        <v>5.15</v>
      </c>
      <c r="H29" s="42">
        <v>5.2507460000000004</v>
      </c>
      <c r="I29" s="42">
        <v>5.25</v>
      </c>
      <c r="J29" s="43">
        <f>I29/$J$5</f>
        <v>0.19928560854233016</v>
      </c>
      <c r="K29" s="44">
        <f>I29/$K$4</f>
        <v>0.17499999999999999</v>
      </c>
      <c r="L29" s="45">
        <f>I29-H29</f>
        <v>-7.4600000000035749E-4</v>
      </c>
      <c r="M29" s="45">
        <f>((I29-H29)/H29)*100</f>
        <v>-1.4207504990726221E-2</v>
      </c>
      <c r="N29" s="46">
        <v>1000</v>
      </c>
      <c r="O29" s="37">
        <v>5250</v>
      </c>
      <c r="P29" s="50">
        <f>(R29)/J29</f>
        <v>0</v>
      </c>
      <c r="Q29" s="48">
        <f>I29/G29-1</f>
        <v>1.9417475728155331E-2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>I31/$J$5</f>
        <v>0</v>
      </c>
      <c r="K31" s="52">
        <f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14303244.047054177</v>
      </c>
      <c r="E32" s="39">
        <f>C32*K32</f>
        <v>12560203.049999999</v>
      </c>
      <c r="F32" s="40" t="s">
        <v>39</v>
      </c>
      <c r="G32" s="41">
        <v>1.4</v>
      </c>
      <c r="H32" s="42">
        <v>1.45</v>
      </c>
      <c r="I32" s="42">
        <v>1.45</v>
      </c>
      <c r="J32" s="43">
        <f>I32/$J$5</f>
        <v>5.504078712121499E-2</v>
      </c>
      <c r="K32" s="44">
        <f>I32/$K$4</f>
        <v>4.8333333333333332E-2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3.5714285714285809E-2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3474102.455578289</v>
      </c>
      <c r="E33" s="39">
        <f>C33*K33</f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2.8469372648904308E-2</v>
      </c>
      <c r="K33" s="44">
        <f>I33/$K$4</f>
        <v>2.5000000000000001E-2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162219856.33927521</v>
      </c>
      <c r="E34" s="39">
        <f>C34*K34</f>
        <v>142451203.91291666</v>
      </c>
      <c r="F34" s="40" t="s">
        <v>92</v>
      </c>
      <c r="G34" s="41">
        <v>1.44</v>
      </c>
      <c r="H34" s="42">
        <v>1.7124999999999999</v>
      </c>
      <c r="I34" s="42">
        <v>1.7124999999999999</v>
      </c>
      <c r="J34" s="43">
        <f>I34/$J$5</f>
        <v>6.5005067548331505E-2</v>
      </c>
      <c r="K34" s="44">
        <f>I34/$K$4</f>
        <v>5.7083333333333333E-2</v>
      </c>
      <c r="L34" s="45">
        <f>I34-H34</f>
        <v>0</v>
      </c>
      <c r="M34" s="45">
        <f>((I34-H34)/H34)*100</f>
        <v>0</v>
      </c>
      <c r="N34" s="46">
        <v>0</v>
      </c>
      <c r="O34" s="37">
        <v>0</v>
      </c>
      <c r="P34" s="50">
        <f>(R34)/J34</f>
        <v>0</v>
      </c>
      <c r="Q34" s="48">
        <f>I34/G34-1</f>
        <v>0.18923611111111116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38489526.38351661</v>
      </c>
      <c r="E35" s="39">
        <f>C35*K35</f>
        <v>33799064.399999999</v>
      </c>
      <c r="F35" s="40" t="s">
        <v>34</v>
      </c>
      <c r="G35" s="41">
        <v>3.6056249999999999</v>
      </c>
      <c r="H35" s="42">
        <v>4.0013579999999997</v>
      </c>
      <c r="I35" s="42">
        <v>4</v>
      </c>
      <c r="J35" s="43">
        <f>I35/$J$5</f>
        <v>0.15183665412748965</v>
      </c>
      <c r="K35" s="44">
        <f>I35/$K$4</f>
        <v>0.13333333333333333</v>
      </c>
      <c r="L35" s="45">
        <f>I35-H35</f>
        <v>-1.3579999999997483E-3</v>
      </c>
      <c r="M35" s="45">
        <f>((I35-H35)/H35)*100</f>
        <v>-3.393847788675116E-2</v>
      </c>
      <c r="N35" s="46">
        <v>20500</v>
      </c>
      <c r="O35" s="37">
        <v>82000</v>
      </c>
      <c r="P35" s="50">
        <f>(R35)/J35</f>
        <v>0</v>
      </c>
      <c r="Q35" s="48">
        <f>I35/G35-1</f>
        <v>0.10937770844167094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7182314.3733596513</v>
      </c>
      <c r="E36" s="39">
        <f>C36*K36</f>
        <v>6307053.602774133</v>
      </c>
      <c r="F36" s="40" t="s">
        <v>34</v>
      </c>
      <c r="G36" s="41">
        <v>2.5099999999999997E-2</v>
      </c>
      <c r="H36" s="42">
        <v>4.0106999999999997E-2</v>
      </c>
      <c r="I36" s="42">
        <v>4.0128999999999998E-2</v>
      </c>
      <c r="J36" s="43">
        <f>I36/$J$5</f>
        <v>1.5232632733705078E-3</v>
      </c>
      <c r="K36" s="44">
        <f>I36/$K$4</f>
        <v>1.3376333333333333E-3</v>
      </c>
      <c r="L36" s="45">
        <f>I36-H36</f>
        <v>2.2000000000001185E-5</v>
      </c>
      <c r="M36" s="45">
        <f>((I36-H36)/H36)*100</f>
        <v>5.4853267509415278E-2</v>
      </c>
      <c r="N36" s="46">
        <v>4800</v>
      </c>
      <c r="O36" s="37">
        <v>192.62</v>
      </c>
      <c r="P36" s="50">
        <f>(R36)/J36</f>
        <v>0</v>
      </c>
      <c r="Q36" s="48">
        <f>I36/G36-1</f>
        <v>0.59876494023904381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45317426.052985676</v>
      </c>
      <c r="E37" s="39">
        <f>C37*K37</f>
        <v>39794893.456082001</v>
      </c>
      <c r="F37" s="40" t="s">
        <v>92</v>
      </c>
      <c r="G37" s="41">
        <v>0.61</v>
      </c>
      <c r="H37" s="42">
        <v>4.3910799999999997</v>
      </c>
      <c r="I37" s="42">
        <v>4.5729939999999996</v>
      </c>
      <c r="J37" s="43">
        <f>I37/$J$5</f>
        <v>0.17358702707627133</v>
      </c>
      <c r="K37" s="44">
        <f>I37/$K$4</f>
        <v>0.15243313333333333</v>
      </c>
      <c r="L37" s="45">
        <f>I37-H37</f>
        <v>0.18191399999999991</v>
      </c>
      <c r="M37" s="45">
        <f>((I37-H37)/H37)*100</f>
        <v>4.14280769195733</v>
      </c>
      <c r="N37" s="46">
        <v>51100</v>
      </c>
      <c r="O37" s="37">
        <v>233680</v>
      </c>
      <c r="P37" s="50">
        <f>(R37)/J37</f>
        <v>0</v>
      </c>
      <c r="Q37" s="48">
        <f>I37/G37-1</f>
        <v>6.4967114754098354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22374506.086424056</v>
      </c>
      <c r="E38" s="39">
        <f>C38*K38</f>
        <v>19647874.193045467</v>
      </c>
      <c r="F38" s="40" t="s">
        <v>56</v>
      </c>
      <c r="G38" s="41">
        <v>0.11650199999999999</v>
      </c>
      <c r="H38" s="42">
        <v>0.150648</v>
      </c>
      <c r="I38" s="42">
        <v>0.140516</v>
      </c>
      <c r="J38" s="43">
        <f>I38/$J$5</f>
        <v>5.3338698228445839E-3</v>
      </c>
      <c r="K38" s="44">
        <f>I38/$K$4</f>
        <v>4.6838666666666664E-3</v>
      </c>
      <c r="L38" s="45">
        <f>I38-H38</f>
        <v>-1.0132000000000002E-2</v>
      </c>
      <c r="M38" s="45">
        <f>((I38-H38)/H38)*100</f>
        <v>-6.7256120227284804</v>
      </c>
      <c r="N38" s="46">
        <v>2231600</v>
      </c>
      <c r="O38" s="37">
        <v>313574.55</v>
      </c>
      <c r="P38" s="50">
        <v>0</v>
      </c>
      <c r="Q38" s="48">
        <f>I38/G38-1</f>
        <v>0.2061252167344767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89546779.56354554</v>
      </c>
      <c r="E39" s="39">
        <f>C39*K39</f>
        <v>78634310.516666666</v>
      </c>
      <c r="F39" s="40" t="s">
        <v>34</v>
      </c>
      <c r="G39" s="41">
        <v>2.6005000000000003</v>
      </c>
      <c r="H39" s="42">
        <v>6</v>
      </c>
      <c r="I39" s="42">
        <v>6.5</v>
      </c>
      <c r="J39" s="43">
        <f>I39/$J$5</f>
        <v>0.24673456295717067</v>
      </c>
      <c r="K39" s="44">
        <f>I39/$K$4</f>
        <v>0.21666666666666667</v>
      </c>
      <c r="L39" s="45">
        <f>I39-H39</f>
        <v>0.5</v>
      </c>
      <c r="M39" s="45">
        <f>((I39-H39)/H39)*100</f>
        <v>8.3333333333333321</v>
      </c>
      <c r="N39" s="46">
        <v>10300</v>
      </c>
      <c r="O39" s="37">
        <v>66950</v>
      </c>
      <c r="P39" s="50">
        <f>(R39)/J39</f>
        <v>0</v>
      </c>
      <c r="Q39" s="48">
        <f>I39/G39-1</f>
        <v>1.4995193232070751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14772755.674850306</v>
      </c>
      <c r="E40" s="39">
        <f>C40*K40</f>
        <v>12972498.425794132</v>
      </c>
      <c r="F40" s="40" t="s">
        <v>39</v>
      </c>
      <c r="G40" s="41">
        <v>0.1</v>
      </c>
      <c r="H40" s="42">
        <v>9.0200000000000002E-2</v>
      </c>
      <c r="I40" s="42">
        <v>9.0175999999999992E-2</v>
      </c>
      <c r="J40" s="43">
        <f>I40/$J$5</f>
        <v>3.4230055306501261E-3</v>
      </c>
      <c r="K40" s="44">
        <f>I40/$K$4</f>
        <v>3.0058666666666666E-3</v>
      </c>
      <c r="L40" s="45">
        <f>I40-H40</f>
        <v>-2.4000000000010124E-5</v>
      </c>
      <c r="M40" s="45">
        <f>((I40-H40)/H40)*100</f>
        <v>-2.6607538802671974E-2</v>
      </c>
      <c r="N40" s="46">
        <v>11200</v>
      </c>
      <c r="O40" s="37">
        <v>1009.97</v>
      </c>
      <c r="P40" s="50">
        <f>(R40)/J40</f>
        <v>0</v>
      </c>
      <c r="Q40" s="48">
        <f>I40/G40-1</f>
        <v>-9.8240000000000105E-2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6062509.4613215104</v>
      </c>
      <c r="E41" s="39">
        <f>C41*K41</f>
        <v>5323711.8500000006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5.6938745297808617E-2</v>
      </c>
      <c r="K41" s="44">
        <f>I41/$K$4</f>
        <v>0.05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2699657.8786141868</v>
      </c>
      <c r="E42" s="39">
        <f>C42*K42</f>
        <v>2370668.5706666666</v>
      </c>
      <c r="F42" s="40" t="s">
        <v>39</v>
      </c>
      <c r="G42" s="41">
        <v>0.03</v>
      </c>
      <c r="H42" s="42">
        <v>0.04</v>
      </c>
      <c r="I42" s="42">
        <v>0.04</v>
      </c>
      <c r="J42" s="43">
        <f>I42/$J$5</f>
        <v>1.5183665412748964E-3</v>
      </c>
      <c r="K42" s="44">
        <f>I42/$K$4</f>
        <v>1.3333333333333333E-3</v>
      </c>
      <c r="L42" s="45">
        <f>I42-H42</f>
        <v>0</v>
      </c>
      <c r="M42" s="45">
        <f>((I42-H42)/H42)*100</f>
        <v>0</v>
      </c>
      <c r="N42" s="46">
        <v>237200</v>
      </c>
      <c r="O42" s="37">
        <v>9488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34580469.190444924</v>
      </c>
      <c r="E43" s="39">
        <f>C43*K43</f>
        <v>30366377.946666669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0.19738765036573655</v>
      </c>
      <c r="K43" s="44">
        <f>I43/$K$4</f>
        <v>0.17333333333333334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316.58238079873672</v>
      </c>
      <c r="E44" s="39">
        <f>C44*K44</f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6.8326494357370344E-7</v>
      </c>
      <c r="K44" s="44">
        <f>I44/$K$4</f>
        <v>5.9999999999999997E-7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1534886.3692439673</v>
      </c>
      <c r="E45" s="39">
        <f>C45*K45</f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2.6647332799374433E-3</v>
      </c>
      <c r="K45" s="44">
        <f>I45/$K$4</f>
        <v>2.3400000000000001E-3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44746688.639343828</v>
      </c>
      <c r="E46" s="39">
        <f>C46*K46</f>
        <v>39293708.006124593</v>
      </c>
      <c r="F46" s="40" t="s">
        <v>47</v>
      </c>
      <c r="G46" s="41">
        <v>0.9998999999999999</v>
      </c>
      <c r="H46" s="42">
        <v>0.65</v>
      </c>
      <c r="I46" s="42">
        <v>0.64833299999999994</v>
      </c>
      <c r="J46" s="43">
        <f>I46/$J$5</f>
        <v>2.4610178370109433E-2</v>
      </c>
      <c r="K46" s="44">
        <f>I46/$K$4</f>
        <v>2.1611099999999998E-2</v>
      </c>
      <c r="L46" s="45">
        <f>I46-H46</f>
        <v>-1.6670000000000851E-3</v>
      </c>
      <c r="M46" s="45">
        <f>((I46-H46)/H46)*100</f>
        <v>-0.25646153846155151</v>
      </c>
      <c r="N46" s="46">
        <v>600</v>
      </c>
      <c r="O46" s="37">
        <v>389</v>
      </c>
      <c r="P46" s="50">
        <f>(R46)/J46</f>
        <v>0</v>
      </c>
      <c r="Q46" s="48">
        <f>I46/G46-1</f>
        <v>-0.35160216021602164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4264592.5145850489</v>
      </c>
      <c r="E47" s="39">
        <f>C47*K47</f>
        <v>3744895.055449333</v>
      </c>
      <c r="F47" s="40" t="s">
        <v>47</v>
      </c>
      <c r="G47" s="41">
        <v>1.4503460000000001</v>
      </c>
      <c r="H47" s="42">
        <v>1</v>
      </c>
      <c r="I47" s="42">
        <v>1.093799</v>
      </c>
      <c r="J47" s="43">
        <f>I47/$J$5</f>
        <v>4.151969511199851E-2</v>
      </c>
      <c r="K47" s="44">
        <f>I47/$K$4</f>
        <v>3.6459966666666663E-2</v>
      </c>
      <c r="L47" s="45">
        <f>I47-H47</f>
        <v>9.3798999999999966E-2</v>
      </c>
      <c r="M47" s="45">
        <f>((I47-H47)/H47)*100</f>
        <v>9.3798999999999957</v>
      </c>
      <c r="N47" s="46">
        <v>113700</v>
      </c>
      <c r="O47" s="37">
        <v>124365</v>
      </c>
      <c r="P47" s="50">
        <v>0</v>
      </c>
      <c r="Q47" s="48">
        <f>I47/G47-1</f>
        <v>-0.24583582124541326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2770800</v>
      </c>
      <c r="O48" s="59">
        <f>SUM(O9:O47)</f>
        <v>2938061.29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70474879.115999997</v>
      </c>
      <c r="E51" s="39">
        <v>0</v>
      </c>
      <c r="F51" s="40" t="s">
        <v>92</v>
      </c>
      <c r="G51" s="67">
        <v>0.1</v>
      </c>
      <c r="H51" s="42">
        <v>0.12330000000000001</v>
      </c>
      <c r="I51" s="42">
        <v>0.127</v>
      </c>
      <c r="J51" s="43">
        <f>I51</f>
        <v>0.127</v>
      </c>
      <c r="K51" s="39">
        <v>0</v>
      </c>
      <c r="L51" s="45">
        <f>I51-H51</f>
        <v>3.699999999999995E-3</v>
      </c>
      <c r="M51" s="45">
        <f>((I51-H51)/H51)*100</f>
        <v>3.0008110300081063</v>
      </c>
      <c r="N51" s="46">
        <v>760</v>
      </c>
      <c r="O51" s="37">
        <v>96.52</v>
      </c>
      <c r="P51" s="68">
        <f>(R51)/J51</f>
        <v>0</v>
      </c>
      <c r="Q51" s="48">
        <f>J51/G51-1</f>
        <v>0.27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52933961.195</v>
      </c>
      <c r="E52" s="39">
        <v>0</v>
      </c>
      <c r="F52" s="40" t="s">
        <v>39</v>
      </c>
      <c r="G52" s="67">
        <v>39.9</v>
      </c>
      <c r="H52" s="42">
        <v>54.1845</v>
      </c>
      <c r="I52" s="42">
        <v>50.046999999999997</v>
      </c>
      <c r="J52" s="43">
        <f>I52</f>
        <v>50.046999999999997</v>
      </c>
      <c r="K52" s="39">
        <v>0</v>
      </c>
      <c r="L52" s="45">
        <f>I52-H52</f>
        <v>-4.1375000000000028</v>
      </c>
      <c r="M52" s="45">
        <f>((I52-H52)/H52)*100</f>
        <v>-7.6359475495759916</v>
      </c>
      <c r="N52" s="46">
        <v>2001</v>
      </c>
      <c r="O52" s="37">
        <v>100144</v>
      </c>
      <c r="P52" s="70">
        <f>(R52)/J52</f>
        <v>1.1189481887026197E-2</v>
      </c>
      <c r="Q52" s="48">
        <f>J52/G52-1</f>
        <v>0.25431077694235582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774671053.25670004</v>
      </c>
      <c r="E53" s="39"/>
      <c r="F53" s="40" t="s">
        <v>56</v>
      </c>
      <c r="G53" s="67">
        <v>0.33</v>
      </c>
      <c r="H53" s="42">
        <v>0.24759999999999999</v>
      </c>
      <c r="I53" s="42">
        <v>0.25890000000000002</v>
      </c>
      <c r="J53" s="43">
        <f>I53</f>
        <v>0.25890000000000002</v>
      </c>
      <c r="K53" s="39">
        <v>0</v>
      </c>
      <c r="L53" s="45">
        <f>I53-H53</f>
        <v>1.1300000000000032E-2</v>
      </c>
      <c r="M53" s="45">
        <f>((I53-H53)/H53)*100</f>
        <v>4.5638126009693183</v>
      </c>
      <c r="N53" s="46">
        <v>303380</v>
      </c>
      <c r="O53" s="37">
        <v>78553.289999999994</v>
      </c>
      <c r="P53" s="68">
        <v>0</v>
      </c>
      <c r="Q53" s="48">
        <f>J53/G53-1</f>
        <v>-0.21545454545454545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23231129.928300001</v>
      </c>
      <c r="E54" s="39">
        <v>0</v>
      </c>
      <c r="F54" s="40" t="s">
        <v>34</v>
      </c>
      <c r="G54" s="67">
        <v>2.3E-2</v>
      </c>
      <c r="H54" s="42">
        <v>3.5999999999999997E-2</v>
      </c>
      <c r="I54" s="42">
        <v>3.8100000000000002E-2</v>
      </c>
      <c r="J54" s="43">
        <f>I54</f>
        <v>3.8100000000000002E-2</v>
      </c>
      <c r="K54" s="39">
        <v>0</v>
      </c>
      <c r="L54" s="45">
        <f>I54-H54</f>
        <v>2.1000000000000046E-3</v>
      </c>
      <c r="M54" s="45">
        <f>((I54-H54)/H54)*100</f>
        <v>5.8333333333333464</v>
      </c>
      <c r="N54" s="46">
        <v>83190</v>
      </c>
      <c r="O54" s="37">
        <v>3166.51</v>
      </c>
      <c r="P54" s="68">
        <f>(R54)/J54</f>
        <v>0</v>
      </c>
      <c r="Q54" s="48">
        <f>J54/G54-1</f>
        <v>0.65652173913043499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237806352.19</v>
      </c>
      <c r="E55" s="39">
        <v>0</v>
      </c>
      <c r="F55" s="40" t="s">
        <v>47</v>
      </c>
      <c r="G55" s="67">
        <v>9.0200000000000002E-2</v>
      </c>
      <c r="H55" s="42">
        <v>0.11</v>
      </c>
      <c r="I55" s="42">
        <v>0.11</v>
      </c>
      <c r="J55" s="43">
        <f>I55</f>
        <v>0.11</v>
      </c>
      <c r="K55" s="39">
        <v>0</v>
      </c>
      <c r="L55" s="45">
        <f>I55-H55</f>
        <v>0</v>
      </c>
      <c r="M55" s="71">
        <f>((I55-H55)/H55)*100</f>
        <v>0</v>
      </c>
      <c r="N55" s="46">
        <v>829155</v>
      </c>
      <c r="O55" s="37">
        <v>91217.03</v>
      </c>
      <c r="P55" s="68">
        <f>(R55)/J55</f>
        <v>0</v>
      </c>
      <c r="Q55" s="48">
        <f>J55/G55-1</f>
        <v>0.21951219512195119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771453479.77499998</v>
      </c>
      <c r="E56" s="39">
        <v>0</v>
      </c>
      <c r="F56" s="40" t="s">
        <v>34</v>
      </c>
      <c r="G56" s="67">
        <v>0.95750000000000002</v>
      </c>
      <c r="H56" s="42">
        <v>1.3003</v>
      </c>
      <c r="I56" s="42">
        <v>1.3394999999999999</v>
      </c>
      <c r="J56" s="43">
        <f>I56</f>
        <v>1.3394999999999999</v>
      </c>
      <c r="K56" s="39">
        <v>0</v>
      </c>
      <c r="L56" s="45">
        <f>I56-H56</f>
        <v>3.9199999999999902E-2</v>
      </c>
      <c r="M56" s="45">
        <f>((I56-H56)/H56)*100</f>
        <v>3.014688917942006</v>
      </c>
      <c r="N56" s="46">
        <v>63753</v>
      </c>
      <c r="O56" s="37">
        <v>85394.53</v>
      </c>
      <c r="P56" s="70">
        <f>(R56)/J56</f>
        <v>3.5087719298245619E-2</v>
      </c>
      <c r="Q56" s="48">
        <f>J56/G56-1</f>
        <v>0.39895561357702336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67">
        <v>0.1595</v>
      </c>
      <c r="H57" s="42">
        <v>0.15</v>
      </c>
      <c r="I57" s="42">
        <v>0.15</v>
      </c>
      <c r="J57" s="43">
        <f>I57</f>
        <v>0.15</v>
      </c>
      <c r="K57" s="39">
        <v>0</v>
      </c>
      <c r="L57" s="45">
        <f>I57-H57</f>
        <v>0</v>
      </c>
      <c r="M57" s="45">
        <f>((I57-H57)/H57)*100</f>
        <v>0</v>
      </c>
      <c r="N57" s="46">
        <v>1184</v>
      </c>
      <c r="O57" s="37">
        <v>177.62</v>
      </c>
      <c r="P57" s="68">
        <f>(R57)/J57</f>
        <v>0</v>
      </c>
      <c r="Q57" s="48">
        <f>J57/G57-1</f>
        <v>-5.9561128526645857E-2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14620292.534399999</v>
      </c>
      <c r="E58" s="39">
        <v>0</v>
      </c>
      <c r="F58" s="40" t="s">
        <v>92</v>
      </c>
      <c r="G58" s="67">
        <v>1.6799999999999999E-2</v>
      </c>
      <c r="H58" s="42">
        <v>1.8800000000000001E-2</v>
      </c>
      <c r="I58" s="42">
        <v>1.84E-2</v>
      </c>
      <c r="J58" s="43">
        <f>I58</f>
        <v>1.84E-2</v>
      </c>
      <c r="K58" s="39">
        <v>0</v>
      </c>
      <c r="L58" s="45">
        <f>I58-H58</f>
        <v>-4.0000000000000105E-4</v>
      </c>
      <c r="M58" s="71">
        <f>((I58-H58)/H58)*100</f>
        <v>-2.1276595744680904</v>
      </c>
      <c r="N58" s="46">
        <v>422646</v>
      </c>
      <c r="O58" s="37">
        <v>7773.63</v>
      </c>
      <c r="P58" s="68">
        <f>(R58)/J58</f>
        <v>0</v>
      </c>
      <c r="Q58" s="48">
        <f>J58/G58-1</f>
        <v>9.5238095238095344E-2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3144823.5</v>
      </c>
      <c r="E59" s="39">
        <v>0</v>
      </c>
      <c r="F59" s="40" t="s">
        <v>138</v>
      </c>
      <c r="G59" s="67">
        <v>19.5</v>
      </c>
      <c r="H59" s="42">
        <v>19.5</v>
      </c>
      <c r="I59" s="42">
        <v>19.5</v>
      </c>
      <c r="J59" s="43">
        <f>I59</f>
        <v>19.5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8">
        <f>(R59)/J59</f>
        <v>0</v>
      </c>
      <c r="Q59" s="48">
        <f>J59/G59-1</f>
        <v>0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799052272.61750007</v>
      </c>
      <c r="E60" s="39">
        <v>0</v>
      </c>
      <c r="F60" s="40" t="s">
        <v>92</v>
      </c>
      <c r="G60" s="67">
        <v>0.59499999999999997</v>
      </c>
      <c r="H60" s="42">
        <v>0.99929999999999997</v>
      </c>
      <c r="I60" s="42">
        <v>0.99250000000000005</v>
      </c>
      <c r="J60" s="43">
        <f>I60</f>
        <v>0.99250000000000005</v>
      </c>
      <c r="K60" s="39">
        <v>0</v>
      </c>
      <c r="L60" s="45">
        <f>I60-H60</f>
        <v>-6.7999999999999172E-3</v>
      </c>
      <c r="M60" s="45">
        <f>((I60-H60)/H60)*100</f>
        <v>-0.68047633343339509</v>
      </c>
      <c r="N60" s="46">
        <v>412119</v>
      </c>
      <c r="O60" s="37">
        <v>409047.84</v>
      </c>
      <c r="P60" s="68">
        <f>(R60)/J60</f>
        <v>0</v>
      </c>
      <c r="Q60" s="48">
        <f>J60/G60-1</f>
        <v>0.66806722689075637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77249711.683400005</v>
      </c>
      <c r="E61" s="39">
        <v>0</v>
      </c>
      <c r="F61" s="40" t="s">
        <v>34</v>
      </c>
      <c r="G61" s="67">
        <v>0.22600000000000001</v>
      </c>
      <c r="H61" s="42">
        <v>0.28470000000000001</v>
      </c>
      <c r="I61" s="42">
        <v>0.29630000000000001</v>
      </c>
      <c r="J61" s="43">
        <f>I61</f>
        <v>0.29630000000000001</v>
      </c>
      <c r="K61" s="39">
        <v>0</v>
      </c>
      <c r="L61" s="45">
        <f>I61-H61</f>
        <v>1.1599999999999999E-2</v>
      </c>
      <c r="M61" s="45">
        <f>((I61-H61)/H61)*100</f>
        <v>4.0744643484369503</v>
      </c>
      <c r="N61" s="46">
        <v>344</v>
      </c>
      <c r="O61" s="37">
        <v>101.94</v>
      </c>
      <c r="P61" s="68">
        <f>(R61)/J61</f>
        <v>0</v>
      </c>
      <c r="Q61" s="48">
        <f>J61/G61-1</f>
        <v>0.31106194690265476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366769355.69120002</v>
      </c>
      <c r="E62" s="39">
        <v>0</v>
      </c>
      <c r="F62" s="40" t="s">
        <v>34</v>
      </c>
      <c r="G62" s="67">
        <v>0.49440000000000001</v>
      </c>
      <c r="H62" s="42">
        <v>0.71040000000000003</v>
      </c>
      <c r="I62" s="42">
        <v>0.65239999999999998</v>
      </c>
      <c r="J62" s="43">
        <f>I62</f>
        <v>0.65239999999999998</v>
      </c>
      <c r="K62" s="39">
        <v>0</v>
      </c>
      <c r="L62" s="45">
        <f>I62-H62</f>
        <v>-5.8000000000000052E-2</v>
      </c>
      <c r="M62" s="45">
        <f>((I62-H62)/H62)*100</f>
        <v>-8.1644144144144217</v>
      </c>
      <c r="N62" s="46">
        <v>40827</v>
      </c>
      <c r="O62" s="37">
        <v>26634.12</v>
      </c>
      <c r="P62" s="68">
        <f>(R62)/J62</f>
        <v>0</v>
      </c>
      <c r="Q62" s="48">
        <f>J62/G62-1</f>
        <v>0.31957928802588986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8">
        <f>(R63)/J63</f>
        <v>0</v>
      </c>
      <c r="Q63" s="48">
        <f>J63/G63-1</f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23086892.562000003</v>
      </c>
      <c r="E64" s="39">
        <v>0</v>
      </c>
      <c r="F64" s="40" t="s">
        <v>44</v>
      </c>
      <c r="G64" s="67">
        <v>4.2999999999999997E-2</v>
      </c>
      <c r="H64" s="42">
        <v>6.5600000000000006E-2</v>
      </c>
      <c r="I64" s="42">
        <v>6.7000000000000004E-2</v>
      </c>
      <c r="J64" s="43">
        <f>I64</f>
        <v>6.7000000000000004E-2</v>
      </c>
      <c r="K64" s="39">
        <v>0</v>
      </c>
      <c r="L64" s="45">
        <f>I64-H64</f>
        <v>1.3999999999999985E-3</v>
      </c>
      <c r="M64" s="45">
        <f>((I64-H64)/H64)*100</f>
        <v>2.1341463414634121</v>
      </c>
      <c r="N64" s="46">
        <v>4066688</v>
      </c>
      <c r="O64" s="37">
        <v>272458.45</v>
      </c>
      <c r="P64" s="68">
        <f>(R64)/J64</f>
        <v>0</v>
      </c>
      <c r="Q64" s="48">
        <f>J64/G64-1</f>
        <v>0.55813953488372126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6226047</v>
      </c>
      <c r="O65" s="59">
        <f>SUM(O51:O64)</f>
        <v>1074765.48</v>
      </c>
      <c r="P65" s="75"/>
      <c r="Q65" s="60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48894506.037</v>
      </c>
      <c r="E70" s="39">
        <f>C70*K70</f>
        <v>48894506.037</v>
      </c>
      <c r="F70" s="87" t="s">
        <v>156</v>
      </c>
      <c r="G70" s="87">
        <v>0.24</v>
      </c>
      <c r="H70" s="88">
        <v>0.30249999999999999</v>
      </c>
      <c r="I70" s="88">
        <v>0.35099999999999998</v>
      </c>
      <c r="J70" s="89">
        <f>I70</f>
        <v>0.35099999999999998</v>
      </c>
      <c r="K70" s="89">
        <f>J70</f>
        <v>0.35099999999999998</v>
      </c>
      <c r="L70" s="45">
        <f>I70-H70</f>
        <v>4.8499999999999988E-2</v>
      </c>
      <c r="M70" s="45">
        <f>((I70-H70)/H70)*100</f>
        <v>16.033057851239665</v>
      </c>
      <c r="N70" s="90">
        <v>121</v>
      </c>
      <c r="O70" s="91">
        <v>42.47</v>
      </c>
      <c r="P70" s="68">
        <f>(R70)/J70</f>
        <v>0</v>
      </c>
      <c r="Q70" s="48">
        <f>J70/G70-1</f>
        <v>0.46249999999999991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68487409.275000006</v>
      </c>
      <c r="E71" s="39">
        <f>C71*K71</f>
        <v>68487409.275000006</v>
      </c>
      <c r="F71" s="87" t="s">
        <v>156</v>
      </c>
      <c r="G71" s="87">
        <v>0.1</v>
      </c>
      <c r="H71" s="88">
        <v>0.14499999999999999</v>
      </c>
      <c r="I71" s="88">
        <v>0.14530000000000001</v>
      </c>
      <c r="J71" s="89">
        <f>I71</f>
        <v>0.14530000000000001</v>
      </c>
      <c r="K71" s="89">
        <f>J71</f>
        <v>0.14530000000000001</v>
      </c>
      <c r="L71" s="45">
        <f>I71-H71</f>
        <v>3.0000000000002247E-4</v>
      </c>
      <c r="M71" s="45">
        <f>((I71-H71)/H71)*100</f>
        <v>0.20689655172415347</v>
      </c>
      <c r="N71" s="46">
        <v>10314</v>
      </c>
      <c r="O71" s="91">
        <v>1498.22</v>
      </c>
      <c r="P71" s="92">
        <f>(R71)/J71</f>
        <v>2.609772883688919E-2</v>
      </c>
      <c r="Q71" s="48">
        <f>J71/G71-1</f>
        <v>0.45300000000000007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10435</v>
      </c>
      <c r="O72" s="59">
        <f>SUM(O70:O71)</f>
        <v>1540.69</v>
      </c>
      <c r="P72" s="85"/>
      <c r="Q72" s="60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3122954.25</v>
      </c>
      <c r="E74" s="39">
        <f>C74*K74</f>
        <v>3122954.25</v>
      </c>
      <c r="F74" s="87" t="s">
        <v>138</v>
      </c>
      <c r="G74" s="87">
        <v>0.1394</v>
      </c>
      <c r="H74" s="88">
        <v>0.15010000000000001</v>
      </c>
      <c r="I74" s="88">
        <v>0.15</v>
      </c>
      <c r="J74" s="89">
        <f>I74</f>
        <v>0.15</v>
      </c>
      <c r="K74" s="89">
        <f>J74</f>
        <v>0.15</v>
      </c>
      <c r="L74" s="45">
        <f>I74-H74</f>
        <v>-1.0000000000001674E-4</v>
      </c>
      <c r="M74" s="45">
        <f>((I74-H74)/H74)*100</f>
        <v>-6.6622251832123072E-2</v>
      </c>
      <c r="N74" s="90">
        <v>3037</v>
      </c>
      <c r="O74" s="91">
        <v>455.55</v>
      </c>
      <c r="P74" s="68">
        <f>(R74)/J74</f>
        <v>0</v>
      </c>
      <c r="Q74" s="48">
        <f>J74/G74-1</f>
        <v>7.6040172166427444E-2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146472.99983677562</v>
      </c>
      <c r="E77" s="39">
        <f>C77*K77</f>
        <v>128623.31183333334</v>
      </c>
      <c r="F77" s="40" t="s">
        <v>138</v>
      </c>
      <c r="G77" s="67">
        <v>0.105</v>
      </c>
      <c r="H77" s="42">
        <v>9.9900000000000003E-2</v>
      </c>
      <c r="I77" s="42">
        <v>8.5000000000000006E-2</v>
      </c>
      <c r="J77" s="43">
        <f>I77/$J$5</f>
        <v>3.2265289002091553E-3</v>
      </c>
      <c r="K77" s="44">
        <f>I77/$K$4</f>
        <v>2.8333333333333335E-3</v>
      </c>
      <c r="L77" s="45">
        <f>I77-H77</f>
        <v>-1.4899999999999997E-2</v>
      </c>
      <c r="M77" s="93">
        <f>((I77-H77)/H77)*100</f>
        <v>-14.914914914914911</v>
      </c>
      <c r="N77" s="37">
        <v>62000</v>
      </c>
      <c r="O77" s="37">
        <v>5270</v>
      </c>
      <c r="P77" s="40">
        <v>0</v>
      </c>
      <c r="Q77" s="48">
        <f>I77/G77-1</f>
        <v>-0.19047619047619035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284272.8679286823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2.0877539942529824E-3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1876767.0939603173</v>
      </c>
      <c r="E79" s="39">
        <f>C79*K79</f>
        <v>1648058</v>
      </c>
      <c r="F79" s="40" t="s">
        <v>138</v>
      </c>
      <c r="G79" s="67">
        <v>6.0499999999999998E-2</v>
      </c>
      <c r="H79" s="42">
        <v>9.5000000000000001E-2</v>
      </c>
      <c r="I79" s="42">
        <v>0.1</v>
      </c>
      <c r="J79" s="43">
        <f>I79/$J$5</f>
        <v>3.795916353187241E-3</v>
      </c>
      <c r="K79" s="44">
        <f>I79/$K$4</f>
        <v>3.3333333333333335E-3</v>
      </c>
      <c r="L79" s="45">
        <f>I79-H79</f>
        <v>5.0000000000000044E-3</v>
      </c>
      <c r="M79" s="93">
        <f>((I79-H79)/H79)*100</f>
        <v>5.2631578947368469</v>
      </c>
      <c r="N79" s="37">
        <v>705900</v>
      </c>
      <c r="O79" s="37">
        <v>70590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2421524.0831913026</v>
      </c>
      <c r="E80" s="39">
        <f>C80*K80</f>
        <v>2126429.0866666664</v>
      </c>
      <c r="F80" s="40" t="s">
        <v>138</v>
      </c>
      <c r="G80" s="67">
        <v>1.85</v>
      </c>
      <c r="H80" s="42">
        <v>1.55</v>
      </c>
      <c r="I80" s="42">
        <v>1.55</v>
      </c>
      <c r="J80" s="43">
        <f>I80/$J$5</f>
        <v>5.8836703474402237E-2</v>
      </c>
      <c r="K80" s="44">
        <f>I80/$K$4</f>
        <v>5.1666666666666666E-2</v>
      </c>
      <c r="L80" s="45">
        <f>I80-H80</f>
        <v>0</v>
      </c>
      <c r="M80" s="93">
        <f>((I80-H80)/H80)*100</f>
        <v>0</v>
      </c>
      <c r="N80" s="37">
        <v>100</v>
      </c>
      <c r="O80" s="37">
        <v>155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768000</v>
      </c>
      <c r="O81" s="59">
        <f>SUM(O77:O80)</f>
        <v>76015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27962712.258152679</v>
      </c>
      <c r="E83" s="39">
        <f>C83*K83</f>
        <v>24555082.933333334</v>
      </c>
      <c r="F83" s="40" t="s">
        <v>174</v>
      </c>
      <c r="G83" s="40">
        <v>1.3</v>
      </c>
      <c r="H83" s="42">
        <v>2</v>
      </c>
      <c r="I83" s="42">
        <v>2</v>
      </c>
      <c r="J83" s="43">
        <f>I83/$J$5</f>
        <v>7.5918327063744823E-2</v>
      </c>
      <c r="K83" s="44">
        <f>I83/$K$4</f>
        <v>6.6666666666666666E-2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0.53846153846153832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81595291.779753327</v>
      </c>
      <c r="E84" s="39">
        <f>C84*K84</f>
        <v>71651817.539166659</v>
      </c>
      <c r="F84" s="40" t="s">
        <v>174</v>
      </c>
      <c r="G84" s="40">
        <v>1.44347</v>
      </c>
      <c r="H84" s="42">
        <v>1.1558410000000001</v>
      </c>
      <c r="I84" s="42">
        <v>1.167535</v>
      </c>
      <c r="J84" s="43">
        <f>I84/$J$5</f>
        <v>4.4318651994184652E-2</v>
      </c>
      <c r="K84" s="44">
        <f>I84/$K$4</f>
        <v>3.8917833333333332E-2</v>
      </c>
      <c r="L84" s="45">
        <f>I84-H84</f>
        <v>1.1693999999999871E-2</v>
      </c>
      <c r="M84" s="45">
        <f>((I84-H84)/H84*100)</f>
        <v>1.0117308522538888</v>
      </c>
      <c r="N84" s="50">
        <v>50355</v>
      </c>
      <c r="O84" s="37">
        <v>58802.095000000001</v>
      </c>
      <c r="P84" s="47">
        <f>(R84)/J84</f>
        <v>4.9098966283666022E-2</v>
      </c>
      <c r="Q84" s="48">
        <f>I84/G84-1</f>
        <v>-0.19116088314963253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50355</v>
      </c>
      <c r="O85" s="59">
        <f>SUM(O83:O84)</f>
        <v>58802.095000000001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117</v>
      </c>
      <c r="B88" s="110">
        <v>1.093799</v>
      </c>
      <c r="D88" s="110">
        <v>9.3798999999999957</v>
      </c>
      <c r="E88" s="35" t="s">
        <v>40</v>
      </c>
      <c r="F88" s="111">
        <v>162.98699999999999</v>
      </c>
      <c r="H88" s="112">
        <v>-14.999817469713022</v>
      </c>
      <c r="L88" s="35" t="s">
        <v>126</v>
      </c>
      <c r="M88" s="50">
        <v>3.8100000000000002E-2</v>
      </c>
      <c r="N88" s="113">
        <v>5.8333333333333464</v>
      </c>
      <c r="O88" s="35" t="s">
        <v>143</v>
      </c>
      <c r="P88" s="111">
        <v>0.65239999999999998</v>
      </c>
      <c r="Q88" s="114">
        <v>-8.1644144144144217</v>
      </c>
    </row>
    <row r="89" spans="1:243" x14ac:dyDescent="0.25">
      <c r="A89" s="35" t="s">
        <v>101</v>
      </c>
      <c r="B89" s="110">
        <v>6.5</v>
      </c>
      <c r="D89" s="110">
        <v>8.3333333333333321</v>
      </c>
      <c r="E89" s="35" t="s">
        <v>99</v>
      </c>
      <c r="F89" s="111">
        <v>0.140516</v>
      </c>
      <c r="H89" s="112">
        <v>-6.7256120227284804</v>
      </c>
      <c r="L89" s="35" t="s">
        <v>124</v>
      </c>
      <c r="M89" s="50">
        <v>0.25890000000000002</v>
      </c>
      <c r="N89" s="113">
        <v>4.5638126009693183</v>
      </c>
      <c r="O89" s="35" t="s">
        <v>122</v>
      </c>
      <c r="P89" s="111">
        <v>50.046999999999997</v>
      </c>
      <c r="Q89" s="114">
        <v>-7.6359475495759916</v>
      </c>
    </row>
    <row r="90" spans="1:243" x14ac:dyDescent="0.25">
      <c r="A90" s="35" t="s">
        <v>45</v>
      </c>
      <c r="B90" s="110">
        <v>15.9245</v>
      </c>
      <c r="C90" s="110"/>
      <c r="D90" s="110">
        <v>5.8654983978407342</v>
      </c>
      <c r="E90" s="35" t="s">
        <v>35</v>
      </c>
      <c r="F90" s="111">
        <v>0.06</v>
      </c>
      <c r="H90" s="112">
        <v>-4.2222044855934362</v>
      </c>
      <c r="L90" s="35" t="s">
        <v>141</v>
      </c>
      <c r="M90" s="50">
        <v>0.29630000000000001</v>
      </c>
      <c r="N90" s="113">
        <v>4.0744643484369503</v>
      </c>
      <c r="O90" s="35" t="s">
        <v>134</v>
      </c>
      <c r="P90" s="111">
        <v>1.84E-2</v>
      </c>
      <c r="Q90" s="114">
        <v>-2.1276595744680904</v>
      </c>
    </row>
    <row r="91" spans="1:243" x14ac:dyDescent="0.25">
      <c r="A91" s="35" t="s">
        <v>50</v>
      </c>
      <c r="B91" s="110">
        <v>2.9530000000000003</v>
      </c>
      <c r="C91" s="110"/>
      <c r="D91" s="110">
        <v>5.0889679715302574</v>
      </c>
      <c r="E91" s="35" t="s">
        <v>52</v>
      </c>
      <c r="F91" s="111">
        <v>30.4435</v>
      </c>
      <c r="G91" s="111"/>
      <c r="H91" s="112">
        <v>-0.74918577394671382</v>
      </c>
      <c r="L91" s="35" t="s">
        <v>130</v>
      </c>
      <c r="M91" s="50">
        <v>1.3394999999999999</v>
      </c>
      <c r="N91" s="113">
        <v>3.014688917942006</v>
      </c>
      <c r="O91" s="35" t="s">
        <v>139</v>
      </c>
      <c r="P91" s="111">
        <v>0.99250000000000005</v>
      </c>
      <c r="Q91" s="114">
        <v>-0.68047633343339509</v>
      </c>
    </row>
    <row r="92" spans="1:243" x14ac:dyDescent="0.25">
      <c r="A92" s="35" t="s">
        <v>97</v>
      </c>
      <c r="B92" s="110">
        <v>4.5729939999999996</v>
      </c>
      <c r="C92" s="110"/>
      <c r="D92" s="110">
        <v>4.14280769195733</v>
      </c>
      <c r="E92" s="35" t="s">
        <v>76</v>
      </c>
      <c r="F92" s="111">
        <v>3.05</v>
      </c>
      <c r="G92" s="111"/>
      <c r="H92" s="112">
        <v>-0.61909416748126844</v>
      </c>
      <c r="L92" s="35" t="s">
        <v>120</v>
      </c>
      <c r="M92" s="50">
        <v>0.127</v>
      </c>
      <c r="N92" s="113">
        <v>3.0008110300081063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HsjDBzjR2nvrpgbAGnuR55ochPERhgoBRqy2+FjvjAu2N+4f4BpmBuArK6Du/w4ttkPGUVUVjViEx/DTxIppaw==" saltValue="5f6Gwmp9Wt35V06Mu3LFNA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2026-05-21T14:07:44Z</dcterms:created>
  <dcterms:modified xsi:type="dcterms:W3CDTF">2026-05-21T14:14:09Z</dcterms:modified>
</cp:coreProperties>
</file>