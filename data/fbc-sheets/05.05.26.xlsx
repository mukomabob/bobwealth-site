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May/05.05.26/"/>
    </mc:Choice>
  </mc:AlternateContent>
  <xr:revisionPtr revIDLastSave="0" documentId="8_{69003343-A279-4E90-BF6D-2C9AF5B51BE9}" xr6:coauthVersionLast="47" xr6:coauthVersionMax="47" xr10:uidLastSave="{00000000-0000-0000-0000-000000000000}"/>
  <bookViews>
    <workbookView xWindow="-108" yWindow="-108" windowWidth="23256" windowHeight="12456" xr2:uid="{8CA1C863-5D57-4E52-9D2B-6B91470EC81B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4" i="1" l="1"/>
  <c r="N84" i="1"/>
  <c r="Q83" i="1"/>
  <c r="P83" i="1"/>
  <c r="M83" i="1"/>
  <c r="L83" i="1"/>
  <c r="K83" i="1"/>
  <c r="J83" i="1"/>
  <c r="E83" i="1"/>
  <c r="D83" i="1"/>
  <c r="Q82" i="1"/>
  <c r="P82" i="1"/>
  <c r="M82" i="1"/>
  <c r="L82" i="1"/>
  <c r="K82" i="1"/>
  <c r="J82" i="1"/>
  <c r="D82" i="1" s="1"/>
  <c r="E82" i="1"/>
  <c r="O80" i="1"/>
  <c r="N80" i="1"/>
  <c r="Q79" i="1"/>
  <c r="M79" i="1"/>
  <c r="L79" i="1"/>
  <c r="K79" i="1"/>
  <c r="E79" i="1" s="1"/>
  <c r="J79" i="1"/>
  <c r="D79" i="1" s="1"/>
  <c r="Q78" i="1"/>
  <c r="M78" i="1"/>
  <c r="L78" i="1"/>
  <c r="K78" i="1"/>
  <c r="J78" i="1"/>
  <c r="E78" i="1"/>
  <c r="D78" i="1"/>
  <c r="Q77" i="1"/>
  <c r="M77" i="1"/>
  <c r="L77" i="1"/>
  <c r="K77" i="1"/>
  <c r="J77" i="1"/>
  <c r="E77" i="1"/>
  <c r="D77" i="1"/>
  <c r="Q76" i="1"/>
  <c r="M76" i="1"/>
  <c r="L76" i="1"/>
  <c r="K76" i="1"/>
  <c r="J76" i="1"/>
  <c r="E76" i="1"/>
  <c r="D76" i="1"/>
  <c r="O74" i="1"/>
  <c r="N74" i="1"/>
  <c r="P73" i="1"/>
  <c r="M73" i="1"/>
  <c r="L73" i="1"/>
  <c r="J73" i="1"/>
  <c r="Q73" i="1" s="1"/>
  <c r="D73" i="1"/>
  <c r="Q72" i="1"/>
  <c r="P72" i="1"/>
  <c r="M72" i="1"/>
  <c r="L72" i="1"/>
  <c r="J72" i="1"/>
  <c r="K72" i="1" s="1"/>
  <c r="E72" i="1" s="1"/>
  <c r="M69" i="1"/>
  <c r="L69" i="1"/>
  <c r="D69" i="1"/>
  <c r="O67" i="1"/>
  <c r="N67" i="1"/>
  <c r="Q66" i="1"/>
  <c r="M66" i="1"/>
  <c r="L66" i="1"/>
  <c r="J66" i="1"/>
  <c r="P66" i="1" s="1"/>
  <c r="D66" i="1"/>
  <c r="M65" i="1"/>
  <c r="L65" i="1"/>
  <c r="J65" i="1"/>
  <c r="Q65" i="1" s="1"/>
  <c r="D65" i="1"/>
  <c r="M64" i="1"/>
  <c r="L64" i="1"/>
  <c r="J64" i="1"/>
  <c r="P64" i="1" s="1"/>
  <c r="M63" i="1"/>
  <c r="L63" i="1"/>
  <c r="J63" i="1"/>
  <c r="Q63" i="1" s="1"/>
  <c r="D63" i="1"/>
  <c r="M62" i="1"/>
  <c r="L62" i="1"/>
  <c r="J62" i="1"/>
  <c r="P62" i="1" s="1"/>
  <c r="D62" i="1"/>
  <c r="M61" i="1"/>
  <c r="L61" i="1"/>
  <c r="J61" i="1"/>
  <c r="Q61" i="1" s="1"/>
  <c r="D61" i="1"/>
  <c r="M60" i="1"/>
  <c r="L60" i="1"/>
  <c r="J60" i="1"/>
  <c r="P60" i="1" s="1"/>
  <c r="D60" i="1"/>
  <c r="M59" i="1"/>
  <c r="L59" i="1"/>
  <c r="J59" i="1"/>
  <c r="Q59" i="1" s="1"/>
  <c r="D59" i="1"/>
  <c r="M58" i="1"/>
  <c r="L58" i="1"/>
  <c r="J58" i="1"/>
  <c r="P58" i="1" s="1"/>
  <c r="D58" i="1"/>
  <c r="M57" i="1"/>
  <c r="L57" i="1"/>
  <c r="J57" i="1"/>
  <c r="Q57" i="1" s="1"/>
  <c r="D57" i="1"/>
  <c r="M56" i="1"/>
  <c r="L56" i="1"/>
  <c r="J56" i="1"/>
  <c r="P56" i="1" s="1"/>
  <c r="D56" i="1"/>
  <c r="M55" i="1"/>
  <c r="L55" i="1"/>
  <c r="J55" i="1"/>
  <c r="Q55" i="1" s="1"/>
  <c r="D55" i="1"/>
  <c r="Q54" i="1"/>
  <c r="P54" i="1"/>
  <c r="M54" i="1"/>
  <c r="L54" i="1"/>
  <c r="J54" i="1"/>
  <c r="D54" i="1"/>
  <c r="Q53" i="1"/>
  <c r="M53" i="1"/>
  <c r="L53" i="1"/>
  <c r="J53" i="1"/>
  <c r="P53" i="1" s="1"/>
  <c r="D53" i="1"/>
  <c r="Q52" i="1"/>
  <c r="M52" i="1"/>
  <c r="L52" i="1"/>
  <c r="J52" i="1"/>
  <c r="E52" i="1"/>
  <c r="D52" i="1"/>
  <c r="O49" i="1"/>
  <c r="N49" i="1"/>
  <c r="Q48" i="1"/>
  <c r="M48" i="1"/>
  <c r="L48" i="1"/>
  <c r="K48" i="1"/>
  <c r="J48" i="1"/>
  <c r="D48" i="1" s="1"/>
  <c r="E48" i="1"/>
  <c r="Q47" i="1"/>
  <c r="P47" i="1"/>
  <c r="M47" i="1"/>
  <c r="L47" i="1"/>
  <c r="K47" i="1"/>
  <c r="J47" i="1"/>
  <c r="E47" i="1"/>
  <c r="D47" i="1"/>
  <c r="Q46" i="1"/>
  <c r="P46" i="1"/>
  <c r="M46" i="1"/>
  <c r="L46" i="1"/>
  <c r="K46" i="1"/>
  <c r="J46" i="1"/>
  <c r="E46" i="1"/>
  <c r="D46" i="1"/>
  <c r="Q45" i="1"/>
  <c r="M45" i="1"/>
  <c r="L45" i="1"/>
  <c r="K45" i="1"/>
  <c r="J45" i="1"/>
  <c r="D45" i="1" s="1"/>
  <c r="E45" i="1"/>
  <c r="Q44" i="1"/>
  <c r="P44" i="1"/>
  <c r="M44" i="1"/>
  <c r="L44" i="1"/>
  <c r="K44" i="1"/>
  <c r="J44" i="1"/>
  <c r="E44" i="1"/>
  <c r="D44" i="1"/>
  <c r="Q43" i="1"/>
  <c r="P43" i="1"/>
  <c r="M43" i="1"/>
  <c r="L43" i="1"/>
  <c r="K43" i="1"/>
  <c r="J43" i="1"/>
  <c r="E43" i="1"/>
  <c r="D43" i="1"/>
  <c r="Q42" i="1"/>
  <c r="M42" i="1"/>
  <c r="L42" i="1"/>
  <c r="K42" i="1"/>
  <c r="J42" i="1"/>
  <c r="D42" i="1" s="1"/>
  <c r="E42" i="1"/>
  <c r="Q41" i="1"/>
  <c r="P41" i="1"/>
  <c r="M41" i="1"/>
  <c r="L41" i="1"/>
  <c r="K41" i="1"/>
  <c r="J41" i="1"/>
  <c r="E41" i="1"/>
  <c r="D41" i="1"/>
  <c r="Q40" i="1"/>
  <c r="P40" i="1"/>
  <c r="M40" i="1"/>
  <c r="L40" i="1"/>
  <c r="K40" i="1"/>
  <c r="J40" i="1"/>
  <c r="E40" i="1"/>
  <c r="D40" i="1"/>
  <c r="Q39" i="1"/>
  <c r="M39" i="1"/>
  <c r="L39" i="1"/>
  <c r="K39" i="1"/>
  <c r="J39" i="1"/>
  <c r="E39" i="1"/>
  <c r="D39" i="1"/>
  <c r="Q38" i="1"/>
  <c r="P38" i="1"/>
  <c r="M38" i="1"/>
  <c r="L38" i="1"/>
  <c r="K38" i="1"/>
  <c r="E38" i="1" s="1"/>
  <c r="J38" i="1"/>
  <c r="D38" i="1"/>
  <c r="Q37" i="1"/>
  <c r="P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P35" i="1"/>
  <c r="M35" i="1"/>
  <c r="L35" i="1"/>
  <c r="K35" i="1"/>
  <c r="E35" i="1" s="1"/>
  <c r="J35" i="1"/>
  <c r="D35" i="1"/>
  <c r="Q34" i="1"/>
  <c r="P34" i="1"/>
  <c r="M34" i="1"/>
  <c r="L34" i="1"/>
  <c r="K34" i="1"/>
  <c r="J34" i="1"/>
  <c r="E34" i="1"/>
  <c r="D34" i="1"/>
  <c r="Q33" i="1"/>
  <c r="M33" i="1"/>
  <c r="L33" i="1"/>
  <c r="K33" i="1"/>
  <c r="J33" i="1"/>
  <c r="P33" i="1" s="1"/>
  <c r="E33" i="1"/>
  <c r="D33" i="1"/>
  <c r="K32" i="1"/>
  <c r="J32" i="1"/>
  <c r="E32" i="1"/>
  <c r="D32" i="1"/>
  <c r="Q30" i="1"/>
  <c r="M30" i="1"/>
  <c r="L30" i="1"/>
  <c r="K30" i="1"/>
  <c r="J30" i="1"/>
  <c r="P30" i="1" s="1"/>
  <c r="E30" i="1"/>
  <c r="D30" i="1"/>
  <c r="Q29" i="1"/>
  <c r="P29" i="1"/>
  <c r="M29" i="1"/>
  <c r="L29" i="1"/>
  <c r="K29" i="1"/>
  <c r="E29" i="1" s="1"/>
  <c r="J29" i="1"/>
  <c r="D29" i="1"/>
  <c r="Q28" i="1"/>
  <c r="P28" i="1"/>
  <c r="M28" i="1"/>
  <c r="L28" i="1"/>
  <c r="K28" i="1"/>
  <c r="J28" i="1"/>
  <c r="E28" i="1"/>
  <c r="D28" i="1"/>
  <c r="Q27" i="1"/>
  <c r="M27" i="1"/>
  <c r="L27" i="1"/>
  <c r="K27" i="1"/>
  <c r="J27" i="1"/>
  <c r="P27" i="1" s="1"/>
  <c r="E27" i="1"/>
  <c r="D27" i="1"/>
  <c r="Q26" i="1"/>
  <c r="P26" i="1"/>
  <c r="M26" i="1"/>
  <c r="L26" i="1"/>
  <c r="K26" i="1"/>
  <c r="E26" i="1" s="1"/>
  <c r="J26" i="1"/>
  <c r="D26" i="1"/>
  <c r="Q25" i="1"/>
  <c r="P25" i="1"/>
  <c r="M25" i="1"/>
  <c r="L25" i="1"/>
  <c r="K25" i="1"/>
  <c r="J25" i="1"/>
  <c r="E25" i="1"/>
  <c r="D25" i="1"/>
  <c r="Q24" i="1"/>
  <c r="M24" i="1"/>
  <c r="L24" i="1"/>
  <c r="K24" i="1"/>
  <c r="J24" i="1"/>
  <c r="P24" i="1" s="1"/>
  <c r="E24" i="1"/>
  <c r="D24" i="1"/>
  <c r="Q23" i="1"/>
  <c r="P23" i="1"/>
  <c r="M23" i="1"/>
  <c r="L23" i="1"/>
  <c r="K23" i="1"/>
  <c r="E23" i="1" s="1"/>
  <c r="J23" i="1"/>
  <c r="D23" i="1"/>
  <c r="Q22" i="1"/>
  <c r="P22" i="1"/>
  <c r="M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P20" i="1"/>
  <c r="M20" i="1"/>
  <c r="L20" i="1"/>
  <c r="K20" i="1"/>
  <c r="E20" i="1" s="1"/>
  <c r="J20" i="1"/>
  <c r="D20" i="1"/>
  <c r="E19" i="1"/>
  <c r="D19" i="1"/>
  <c r="Q18" i="1"/>
  <c r="M18" i="1"/>
  <c r="L18" i="1"/>
  <c r="K18" i="1"/>
  <c r="J18" i="1"/>
  <c r="D18" i="1" s="1"/>
  <c r="E18" i="1"/>
  <c r="Q17" i="1"/>
  <c r="M17" i="1"/>
  <c r="L17" i="1"/>
  <c r="K17" i="1"/>
  <c r="E17" i="1" s="1"/>
  <c r="J17" i="1"/>
  <c r="D17" i="1" s="1"/>
  <c r="Q16" i="1"/>
  <c r="P16" i="1"/>
  <c r="M16" i="1"/>
  <c r="L16" i="1"/>
  <c r="K16" i="1"/>
  <c r="J16" i="1"/>
  <c r="E16" i="1"/>
  <c r="D16" i="1"/>
  <c r="Q15" i="1"/>
  <c r="M15" i="1"/>
  <c r="L15" i="1"/>
  <c r="K15" i="1"/>
  <c r="J15" i="1"/>
  <c r="D15" i="1" s="1"/>
  <c r="E15" i="1"/>
  <c r="Q14" i="1"/>
  <c r="M14" i="1"/>
  <c r="L14" i="1"/>
  <c r="K14" i="1"/>
  <c r="E14" i="1" s="1"/>
  <c r="J14" i="1"/>
  <c r="D14" i="1" s="1"/>
  <c r="Q13" i="1"/>
  <c r="P13" i="1"/>
  <c r="M13" i="1"/>
  <c r="L13" i="1"/>
  <c r="K13" i="1"/>
  <c r="J13" i="1"/>
  <c r="E13" i="1"/>
  <c r="D13" i="1"/>
  <c r="Q12" i="1"/>
  <c r="M12" i="1"/>
  <c r="L12" i="1"/>
  <c r="K12" i="1"/>
  <c r="J12" i="1"/>
  <c r="D12" i="1" s="1"/>
  <c r="E12" i="1"/>
  <c r="Q11" i="1"/>
  <c r="M11" i="1"/>
  <c r="L11" i="1"/>
  <c r="K11" i="1"/>
  <c r="E11" i="1" s="1"/>
  <c r="J11" i="1"/>
  <c r="D11" i="1" s="1"/>
  <c r="Q10" i="1"/>
  <c r="P10" i="1"/>
  <c r="M10" i="1"/>
  <c r="L10" i="1"/>
  <c r="K10" i="1"/>
  <c r="J10" i="1"/>
  <c r="E10" i="1"/>
  <c r="D10" i="1"/>
  <c r="P12" i="1" l="1"/>
  <c r="Q56" i="1"/>
  <c r="Q62" i="1"/>
  <c r="P18" i="1"/>
  <c r="Q60" i="1"/>
  <c r="P11" i="1"/>
  <c r="P14" i="1"/>
  <c r="P17" i="1"/>
  <c r="P42" i="1"/>
  <c r="P45" i="1"/>
  <c r="P57" i="1"/>
  <c r="P59" i="1"/>
  <c r="P61" i="1"/>
  <c r="P63" i="1"/>
  <c r="P65" i="1"/>
  <c r="K73" i="1"/>
  <c r="E73" i="1" s="1"/>
  <c r="P15" i="1"/>
  <c r="Q58" i="1"/>
  <c r="Q64" i="1"/>
  <c r="D72" i="1"/>
  <c r="D64" i="1"/>
</calcChain>
</file>

<file path=xl/sharedStrings.xml><?xml version="1.0" encoding="utf-8"?>
<sst xmlns="http://schemas.openxmlformats.org/spreadsheetml/2006/main" count="265" uniqueCount="181">
  <si>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</si>
  <si>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</si>
  <si>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</si>
  <si>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</si>
  <si>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</si>
  <si>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</si>
  <si>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</si>
  <si>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</si>
  <si>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</si>
  <si>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</si>
  <si>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</si>
  <si>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</si>
  <si>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</si>
  <si>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</si>
  <si>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</si>
  <si>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</si>
  <si>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</si>
  <si>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</si>
  <si>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</si>
  <si>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</si>
  <si>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</si>
  <si>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</si>
  <si>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</si>
  <si>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</si>
  <si>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</si>
  <si>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</si>
  <si>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</si>
  <si>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</si>
  <si>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</si>
  <si>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</si>
  <si>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</si>
  <si>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</si>
  <si>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</si>
  <si>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</si>
  <si>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</si>
  <si>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</si>
  <si>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</si>
  <si>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</si>
  <si>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</si>
  <si>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</si>
  <si>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</si>
  <si>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</si>
  <si>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</si>
  <si>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</si>
  <si>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</si>
  <si>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</si>
  <si>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</si>
  <si>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</si>
  <si>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</si>
  <si>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</si>
  <si>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</si>
  <si>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</si>
  <si>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</si>
  <si>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</si>
  <si>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</si>
  <si>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</si>
  <si>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</si>
  <si>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</si>
  <si>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</si>
  <si>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</si>
  <si>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</si>
  <si>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</si>
  <si>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</si>
  <si>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</si>
  <si>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</si>
  <si>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</si>
  <si>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</si>
  <si>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</si>
  <si>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</si>
  <si>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</si>
  <si>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</si>
  <si>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</si>
  <si>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</si>
  <si>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</si>
  <si>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</si>
  <si>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</si>
  <si>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</si>
  <si>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</si>
  <si>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</si>
  <si>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</si>
  <si>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</si>
  <si>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</si>
  <si>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</si>
  <si>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</si>
  <si>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</si>
  <si>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</si>
  <si>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</si>
  <si>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</si>
  <si>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</si>
  <si>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</si>
  <si>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</si>
  <si>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</si>
  <si>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</si>
  <si>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</si>
  <si>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</si>
  <si>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</si>
  <si>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</si>
  <si>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</si>
  <si>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</si>
  <si>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</si>
  <si>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</si>
  <si>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</si>
  <si>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</si>
  <si>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</si>
  <si>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</si>
  <si>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</si>
  <si>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</si>
  <si>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</si>
  <si>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</si>
  <si>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</si>
  <si>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</si>
  <si>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</si>
  <si>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</si>
  <si>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</si>
  <si>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</si>
  <si>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</si>
  <si>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</si>
  <si>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</si>
  <si>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</si>
  <si>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</si>
  <si>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African Sun</t>
  </si>
  <si>
    <t>ZWVX09010070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</si>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</sst>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Alignment="1"/>
    <xf numFmtId="166" fontId="15" fillId="5" borderId="0" xfId="4" applyNumberFormat="1" applyFont="1" applyFill="1" applyAlignment="1"/>
    <xf numFmtId="164" fontId="15" fillId="6" borderId="0" xfId="4" applyFont="1" applyFill="1" applyAlignment="1"/>
    <xf numFmtId="164" fontId="15" fillId="7" borderId="0" xfId="4" applyFont="1" applyFill="1" applyAlignment="1"/>
    <xf numFmtId="164" fontId="15" fillId="5" borderId="0" xfId="4" applyFont="1" applyFill="1" applyAlignment="1"/>
    <xf numFmtId="167" fontId="15" fillId="5" borderId="0" xfId="4" applyNumberFormat="1" applyFont="1" applyFill="1" applyAlignment="1"/>
    <xf numFmtId="168" fontId="15" fillId="5" borderId="0" xfId="3" applyNumberFormat="1" applyFont="1" applyFill="1"/>
    <xf numFmtId="168" fontId="15" fillId="6" borderId="0" xfId="3" applyNumberFormat="1" applyFont="1" applyFill="1"/>
    <xf numFmtId="168" fontId="15" fillId="7" borderId="0" xfId="3" applyNumberFormat="1" applyFont="1" applyFill="1"/>
    <xf numFmtId="167" fontId="15" fillId="5" borderId="0" xfId="3" applyNumberFormat="1" applyFont="1" applyFill="1"/>
    <xf numFmtId="166" fontId="15" fillId="5" borderId="0" xfId="5" applyNumberFormat="1" applyFont="1" applyFill="1"/>
    <xf numFmtId="164" fontId="15" fillId="5" borderId="0" xfId="5" applyFont="1" applyFill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6" borderId="0" xfId="5" applyFont="1" applyFill="1"/>
    <xf numFmtId="164" fontId="15" fillId="7" borderId="0" xfId="5" applyFont="1" applyFill="1"/>
    <xf numFmtId="166" fontId="15" fillId="5" borderId="0" xfId="5" applyNumberFormat="1" applyFont="1" applyFill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/>
    <xf numFmtId="164" fontId="15" fillId="5" borderId="0" xfId="3" applyFont="1" applyFill="1"/>
    <xf numFmtId="164" fontId="17" fillId="5" borderId="0" xfId="3" applyFont="1" applyFill="1"/>
    <xf numFmtId="166" fontId="18" fillId="5" borderId="0" xfId="3" applyNumberFormat="1" applyFont="1" applyFill="1"/>
    <xf numFmtId="164" fontId="18" fillId="5" borderId="0" xfId="3" applyFont="1" applyFill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Alignment="1"/>
    <xf numFmtId="164" fontId="4" fillId="3" borderId="0" xfId="2" applyNumberFormat="1" applyFont="1" applyFill="1" applyAlignment="1"/>
    <xf numFmtId="164" fontId="15" fillId="5" borderId="0" xfId="4" applyFont="1" applyFill="1" applyAlignment="1">
      <alignment horizontal="right"/>
    </xf>
    <xf numFmtId="9" fontId="15" fillId="5" borderId="0" xfId="1" applyFont="1" applyFill="1" applyAlignment="1">
      <alignment horizontal="right"/>
    </xf>
    <xf numFmtId="167" fontId="15" fillId="8" borderId="0" xfId="3" applyNumberFormat="1" applyFont="1" applyFill="1"/>
    <xf numFmtId="166" fontId="17" fillId="5" borderId="0" xfId="4" applyNumberFormat="1" applyFont="1" applyFill="1" applyAlignment="1"/>
    <xf numFmtId="167" fontId="15" fillId="5" borderId="0" xfId="3" applyNumberFormat="1" applyFont="1" applyFill="1" applyAlignment="1">
      <alignment horizontal="center"/>
    </xf>
    <xf numFmtId="164" fontId="19" fillId="5" borderId="0" xfId="3" applyFont="1" applyFill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/>
    <xf numFmtId="164" fontId="15" fillId="5" borderId="0" xfId="3" applyFont="1" applyFill="1" applyAlignment="1">
      <alignment horizontal="left"/>
    </xf>
    <xf numFmtId="49" fontId="6" fillId="5" borderId="0" xfId="4" applyNumberFormat="1" applyFont="1" applyFill="1" applyAlignment="1"/>
    <xf numFmtId="164" fontId="6" fillId="5" borderId="0" xfId="4" applyFont="1" applyFill="1" applyAlignment="1"/>
    <xf numFmtId="168" fontId="6" fillId="5" borderId="0" xfId="3" applyNumberFormat="1" applyFont="1" applyFill="1"/>
    <xf numFmtId="168" fontId="6" fillId="6" borderId="0" xfId="3" applyNumberFormat="1" applyFont="1" applyFill="1"/>
    <xf numFmtId="164" fontId="6" fillId="5" borderId="0" xfId="5" applyFont="1" applyFill="1"/>
    <xf numFmtId="166" fontId="6" fillId="5" borderId="0" xfId="3" applyNumberFormat="1" applyFont="1" applyFill="1"/>
    <xf numFmtId="10" fontId="15" fillId="5" borderId="0" xfId="6" applyNumberFormat="1" applyFont="1" applyFill="1" applyAlignment="1"/>
    <xf numFmtId="9" fontId="20" fillId="5" borderId="0" xfId="1" applyFont="1" applyFill="1"/>
    <xf numFmtId="171" fontId="15" fillId="5" borderId="0" xfId="3" applyNumberFormat="1" applyFont="1" applyFill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9" fontId="15" fillId="5" borderId="0" xfId="1" applyFont="1" applyFill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Alignment="1">
      <alignment horizontal="right"/>
    </xf>
    <xf numFmtId="164" fontId="15" fillId="5" borderId="6" xfId="3" applyFont="1" applyFill="1" applyBorder="1"/>
    <xf numFmtId="164" fontId="25" fillId="5" borderId="0" xfId="3" applyFont="1" applyFill="1" applyAlignment="1">
      <alignment horizontal="left"/>
    </xf>
    <xf numFmtId="164" fontId="26" fillId="5" borderId="0" xfId="3" applyFont="1" applyFill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</cellXfs>
  <cellStyles count="9">
    <cellStyle name="Comma 2 2 2 2 2 2 2 2 2 2" xfId="3" xr:uid="{EC190EB8-1F43-47EE-BD6E-65925331E043}"/>
    <cellStyle name="Comma 5 2 2 2 2 2 2 2 2" xfId="4" xr:uid="{1F83F662-3576-4353-A8FB-62EE53C8B096}"/>
    <cellStyle name="Comma 6 2 2 2" xfId="5" xr:uid="{3E8B836C-ED4A-48B4-A29F-70D217B89915}"/>
    <cellStyle name="Hyperlink 2" xfId="8" xr:uid="{A972AA44-8442-4F92-A100-106DAC02FA1A}"/>
    <cellStyle name="Normal" xfId="0" builtinId="0"/>
    <cellStyle name="Normal 2" xfId="2" xr:uid="{2D546FFD-DE8E-4974-AC93-00F6A73EF378}"/>
    <cellStyle name="Normal 20" xfId="7" xr:uid="{C5EB64CB-C5FB-4893-9B4F-E02CB1B690BF}"/>
    <cellStyle name="Percent" xfId="1" builtinId="5"/>
    <cellStyle name="Percent 3" xfId="6" xr:uid="{558BDC15-A900-4C70-A9C1-0E520FEB73CC}"/>
  </cellStyles>
  <dxfs count="3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9D18E679-8CA6-4500-8FC1-F3605585D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116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4</xdr:row>
      <xdr:rowOff>159895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A359DBBC-793C-4449-9B1E-17A3838C5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560821" cy="617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8A569-BE83-47CE-B1B1-7BEC2834ADAA}">
  <dimension ref="A1:II105"/>
  <sheetViews>
    <sheetView tabSelected="1" zoomScale="70" zoomScaleNormal="70" workbookViewId="0">
      <selection activeCell="S17" sqref="S17"/>
    </sheetView>
  </sheetViews>
  <sheetFormatPr defaultRowHeight="12" x14ac:dyDescent="0.25"/>
  <cols>
    <col min="1" max="1" width="19.44140625" style="5" customWidth="1"/>
    <col min="2" max="2" width="15.33203125" style="5" bestFit="1" customWidth="1"/>
    <col min="3" max="3" width="0" style="5" hidden="1" customWidth="1"/>
    <col min="4" max="4" width="23" style="5" bestFit="1" customWidth="1"/>
    <col min="5" max="5" width="20.6640625" style="5" customWidth="1"/>
    <col min="6" max="6" width="17.33203125" style="5" customWidth="1"/>
    <col min="7" max="7" width="0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25.497599999999998</v>
      </c>
      <c r="K5" s="22"/>
      <c r="L5" s="137" t="s">
        <v>12</v>
      </c>
      <c r="M5" s="138"/>
      <c r="N5" s="23" t="s">
        <v>13</v>
      </c>
      <c r="O5" s="24"/>
      <c r="P5" s="24"/>
      <c r="Q5" s="25"/>
    </row>
    <row r="6" spans="1:18" ht="12.6" x14ac:dyDescent="0.3">
      <c r="A6" s="127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30"/>
    </row>
    <row r="7" spans="1:18" s="32" customFormat="1" ht="34.799999999999997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s="32" customFormat="1" hidden="1" x14ac:dyDescent="0.25">
      <c r="A9" s="33"/>
      <c r="B9" s="27"/>
      <c r="C9" s="27"/>
      <c r="D9" s="27"/>
      <c r="E9" s="27"/>
      <c r="F9" s="34"/>
      <c r="G9" s="29"/>
      <c r="H9" s="29"/>
      <c r="I9" s="29"/>
      <c r="J9" s="29"/>
      <c r="K9" s="29"/>
      <c r="L9" s="30"/>
      <c r="M9" s="30"/>
      <c r="N9" s="29"/>
      <c r="O9" s="29"/>
      <c r="P9" s="30"/>
      <c r="Q9" s="31"/>
      <c r="R9" s="30"/>
    </row>
    <row r="10" spans="1:18" x14ac:dyDescent="0.25">
      <c r="A10" s="35" t="s">
        <v>32</v>
      </c>
      <c r="B10" s="36" t="s">
        <v>33</v>
      </c>
      <c r="C10" s="37">
        <v>124748059</v>
      </c>
      <c r="D10" s="38">
        <f t="shared" ref="D10:D30" si="0">C10*J10</f>
        <v>77302151.269139051</v>
      </c>
      <c r="E10" s="39">
        <f t="shared" ref="E10:E30" si="1">C10*K10</f>
        <v>65700644.406666674</v>
      </c>
      <c r="F10" s="40" t="s">
        <v>34</v>
      </c>
      <c r="G10" s="41">
        <v>8.9894999999999996</v>
      </c>
      <c r="H10" s="42">
        <v>15.8</v>
      </c>
      <c r="I10" s="42">
        <v>15.8</v>
      </c>
      <c r="J10" s="43">
        <f>(I10/$J$5)</f>
        <v>0.61966616465863456</v>
      </c>
      <c r="K10" s="44">
        <f t="shared" ref="K10:K18" si="2">I10/$K$4</f>
        <v>0.52666666666666673</v>
      </c>
      <c r="L10" s="45">
        <f t="shared" ref="L10:L18" si="3">I10-H10</f>
        <v>0</v>
      </c>
      <c r="M10" s="45">
        <f t="shared" ref="M10:M18" si="4">((I10-H10)/H10)*100</f>
        <v>0</v>
      </c>
      <c r="N10" s="46">
        <v>0</v>
      </c>
      <c r="O10" s="37">
        <v>0</v>
      </c>
      <c r="P10" s="47">
        <f t="shared" ref="P10:P18" si="5">(R10)/J10</f>
        <v>0</v>
      </c>
      <c r="Q10" s="48">
        <f t="shared" ref="Q10:Q18" si="6">I10/G10-1</f>
        <v>0.75760609600089013</v>
      </c>
      <c r="R10" s="49"/>
    </row>
    <row r="11" spans="1:18" x14ac:dyDescent="0.25">
      <c r="A11" s="35" t="s">
        <v>35</v>
      </c>
      <c r="B11" s="36" t="s">
        <v>36</v>
      </c>
      <c r="C11" s="37">
        <v>1627395595</v>
      </c>
      <c r="D11" s="38">
        <f t="shared" si="0"/>
        <v>3783891.3407369717</v>
      </c>
      <c r="E11" s="39">
        <f t="shared" si="1"/>
        <v>3216004.9283191664</v>
      </c>
      <c r="F11" s="40" t="s">
        <v>34</v>
      </c>
      <c r="G11" s="41">
        <v>3.1600000000000003E-2</v>
      </c>
      <c r="H11" s="42">
        <v>5.2000000000000005E-2</v>
      </c>
      <c r="I11" s="42">
        <v>5.9284999999999997E-2</v>
      </c>
      <c r="J11" s="43">
        <f t="shared" ref="J11:J18" si="7">I11/$J$5</f>
        <v>2.325120795682731E-3</v>
      </c>
      <c r="K11" s="44">
        <f t="shared" si="2"/>
        <v>1.9761666666666664E-3</v>
      </c>
      <c r="L11" s="45">
        <f t="shared" si="3"/>
        <v>7.2849999999999929E-3</v>
      </c>
      <c r="M11" s="45">
        <f t="shared" si="4"/>
        <v>14.009615384615371</v>
      </c>
      <c r="N11" s="46">
        <v>81400</v>
      </c>
      <c r="O11" s="37">
        <v>4825.78</v>
      </c>
      <c r="P11" s="47">
        <f t="shared" si="5"/>
        <v>0</v>
      </c>
      <c r="Q11" s="48">
        <f t="shared" si="6"/>
        <v>0.87610759493670853</v>
      </c>
      <c r="R11" s="49"/>
    </row>
    <row r="12" spans="1:18" x14ac:dyDescent="0.25">
      <c r="A12" s="35" t="s">
        <v>37</v>
      </c>
      <c r="B12" s="36" t="s">
        <v>38</v>
      </c>
      <c r="C12" s="37">
        <v>436977359</v>
      </c>
      <c r="D12" s="38">
        <f t="shared" si="0"/>
        <v>3952840.812414973</v>
      </c>
      <c r="E12" s="39">
        <f t="shared" si="1"/>
        <v>3359598.4632877335</v>
      </c>
      <c r="F12" s="40" t="s">
        <v>39</v>
      </c>
      <c r="G12" s="41">
        <v>7.8E-2</v>
      </c>
      <c r="H12" s="42">
        <v>0.247</v>
      </c>
      <c r="I12" s="42">
        <v>0.23064800000000002</v>
      </c>
      <c r="J12" s="43">
        <f t="shared" si="7"/>
        <v>9.0458709839357446E-3</v>
      </c>
      <c r="K12" s="44">
        <f t="shared" si="2"/>
        <v>7.6882666666666672E-3</v>
      </c>
      <c r="L12" s="45">
        <f t="shared" si="3"/>
        <v>-1.6351999999999978E-2</v>
      </c>
      <c r="M12" s="45">
        <f t="shared" si="4"/>
        <v>-6.620242914979749</v>
      </c>
      <c r="N12" s="46">
        <v>157300</v>
      </c>
      <c r="O12" s="37">
        <v>36281</v>
      </c>
      <c r="P12" s="47">
        <f t="shared" si="5"/>
        <v>0</v>
      </c>
      <c r="Q12" s="48">
        <f t="shared" si="6"/>
        <v>1.9570256410256412</v>
      </c>
      <c r="R12" s="49"/>
    </row>
    <row r="13" spans="1:18" x14ac:dyDescent="0.25">
      <c r="A13" s="35" t="s">
        <v>40</v>
      </c>
      <c r="B13" s="36" t="s">
        <v>41</v>
      </c>
      <c r="C13" s="37">
        <v>20633517</v>
      </c>
      <c r="D13" s="38">
        <f t="shared" si="0"/>
        <v>161642973.47277391</v>
      </c>
      <c r="E13" s="39">
        <f t="shared" si="1"/>
        <v>137383596.01398</v>
      </c>
      <c r="F13" s="40" t="s">
        <v>34</v>
      </c>
      <c r="G13" s="41">
        <v>97.381</v>
      </c>
      <c r="H13" s="42">
        <v>199.7482</v>
      </c>
      <c r="I13" s="42">
        <v>199.7482</v>
      </c>
      <c r="J13" s="43">
        <f t="shared" si="7"/>
        <v>7.834000062751004</v>
      </c>
      <c r="K13" s="44">
        <f t="shared" si="2"/>
        <v>6.6582733333333328</v>
      </c>
      <c r="L13" s="45">
        <f t="shared" si="3"/>
        <v>0</v>
      </c>
      <c r="M13" s="45">
        <f t="shared" si="4"/>
        <v>0</v>
      </c>
      <c r="N13" s="46">
        <v>0</v>
      </c>
      <c r="O13" s="37">
        <v>0</v>
      </c>
      <c r="P13" s="47">
        <f t="shared" si="5"/>
        <v>0</v>
      </c>
      <c r="Q13" s="48">
        <f t="shared" si="6"/>
        <v>1.0512030067466958</v>
      </c>
      <c r="R13" s="49"/>
    </row>
    <row r="14" spans="1:18" x14ac:dyDescent="0.25">
      <c r="A14" s="35" t="s">
        <v>42</v>
      </c>
      <c r="B14" s="36" t="s">
        <v>43</v>
      </c>
      <c r="C14" s="37">
        <v>8735108</v>
      </c>
      <c r="D14" s="38">
        <f t="shared" si="0"/>
        <v>4453782.7699077558</v>
      </c>
      <c r="E14" s="39">
        <f t="shared" si="1"/>
        <v>3785359.0517999995</v>
      </c>
      <c r="F14" s="40" t="s">
        <v>44</v>
      </c>
      <c r="G14" s="41">
        <v>13.6</v>
      </c>
      <c r="H14" s="42">
        <v>13.000499999999999</v>
      </c>
      <c r="I14" s="42">
        <v>13.000499999999999</v>
      </c>
      <c r="J14" s="43">
        <f t="shared" si="7"/>
        <v>0.50987151731927705</v>
      </c>
      <c r="K14" s="44">
        <f t="shared" si="2"/>
        <v>0.43334999999999996</v>
      </c>
      <c r="L14" s="45">
        <f t="shared" si="3"/>
        <v>0</v>
      </c>
      <c r="M14" s="45">
        <f t="shared" si="4"/>
        <v>0</v>
      </c>
      <c r="N14" s="46">
        <v>0</v>
      </c>
      <c r="O14" s="37">
        <v>0</v>
      </c>
      <c r="P14" s="47">
        <f t="shared" si="5"/>
        <v>0</v>
      </c>
      <c r="Q14" s="48">
        <f t="shared" si="6"/>
        <v>-4.4080882352941275E-2</v>
      </c>
      <c r="R14" s="49"/>
    </row>
    <row r="15" spans="1:18" x14ac:dyDescent="0.25">
      <c r="A15" s="35" t="s">
        <v>45</v>
      </c>
      <c r="B15" s="36" t="s">
        <v>46</v>
      </c>
      <c r="C15" s="37">
        <v>522661465</v>
      </c>
      <c r="D15" s="38">
        <f t="shared" si="0"/>
        <v>313669443.53886253</v>
      </c>
      <c r="E15" s="39">
        <f t="shared" si="1"/>
        <v>266593933.45255002</v>
      </c>
      <c r="F15" s="40" t="s">
        <v>47</v>
      </c>
      <c r="G15" s="41">
        <v>11.5</v>
      </c>
      <c r="H15" s="42">
        <v>15.164300000000001</v>
      </c>
      <c r="I15" s="42">
        <v>15.302100000000001</v>
      </c>
      <c r="J15" s="43">
        <f t="shared" si="7"/>
        <v>0.60013883659638567</v>
      </c>
      <c r="K15" s="44">
        <f t="shared" si="2"/>
        <v>0.51007000000000002</v>
      </c>
      <c r="L15" s="45">
        <f t="shared" si="3"/>
        <v>0.13780000000000037</v>
      </c>
      <c r="M15" s="45">
        <f t="shared" si="4"/>
        <v>0.90871322777840291</v>
      </c>
      <c r="N15" s="46">
        <v>9400</v>
      </c>
      <c r="O15" s="37">
        <v>143840</v>
      </c>
      <c r="P15" s="47">
        <f t="shared" si="5"/>
        <v>0</v>
      </c>
      <c r="Q15" s="48">
        <f t="shared" si="6"/>
        <v>0.33061739130434797</v>
      </c>
      <c r="R15" s="49"/>
    </row>
    <row r="16" spans="1:18" x14ac:dyDescent="0.25">
      <c r="A16" s="35" t="s">
        <v>48</v>
      </c>
      <c r="B16" s="36" t="s">
        <v>49</v>
      </c>
      <c r="C16" s="37">
        <v>106040875</v>
      </c>
      <c r="D16" s="38">
        <f t="shared" si="0"/>
        <v>25743325.499262679</v>
      </c>
      <c r="E16" s="39">
        <f t="shared" si="1"/>
        <v>21879767.208333336</v>
      </c>
      <c r="F16" s="40" t="s">
        <v>34</v>
      </c>
      <c r="G16" s="41">
        <v>5.39</v>
      </c>
      <c r="H16" s="42">
        <v>6.19</v>
      </c>
      <c r="I16" s="42">
        <v>6.19</v>
      </c>
      <c r="J16" s="43">
        <f t="shared" si="7"/>
        <v>0.24276794678714864</v>
      </c>
      <c r="K16" s="44">
        <f t="shared" si="2"/>
        <v>0.20633333333333334</v>
      </c>
      <c r="L16" s="45">
        <f t="shared" si="3"/>
        <v>0</v>
      </c>
      <c r="M16" s="45">
        <f t="shared" si="4"/>
        <v>0</v>
      </c>
      <c r="N16" s="46">
        <v>0</v>
      </c>
      <c r="O16" s="37">
        <v>0</v>
      </c>
      <c r="P16" s="47">
        <f t="shared" si="5"/>
        <v>0</v>
      </c>
      <c r="Q16" s="48">
        <f t="shared" si="6"/>
        <v>0.14842300556586285</v>
      </c>
      <c r="R16" s="49"/>
    </row>
    <row r="17" spans="1:19" x14ac:dyDescent="0.25">
      <c r="A17" s="35" t="s">
        <v>50</v>
      </c>
      <c r="B17" s="36" t="s">
        <v>51</v>
      </c>
      <c r="C17" s="37">
        <v>358000858</v>
      </c>
      <c r="D17" s="38">
        <f t="shared" si="0"/>
        <v>39038192.440477923</v>
      </c>
      <c r="E17" s="39">
        <f t="shared" si="1"/>
        <v>33179340.519010998</v>
      </c>
      <c r="F17" s="40" t="s">
        <v>34</v>
      </c>
      <c r="G17" s="41">
        <v>1.9</v>
      </c>
      <c r="H17" s="42">
        <v>2.9797289999999998</v>
      </c>
      <c r="I17" s="42">
        <v>2.7803849999999999</v>
      </c>
      <c r="J17" s="43">
        <f t="shared" si="7"/>
        <v>0.10904496893825301</v>
      </c>
      <c r="K17" s="44">
        <f t="shared" si="2"/>
        <v>9.2679499999999998E-2</v>
      </c>
      <c r="L17" s="45">
        <f t="shared" si="3"/>
        <v>-0.19934399999999997</v>
      </c>
      <c r="M17" s="45">
        <f t="shared" si="4"/>
        <v>-6.6900043594568501</v>
      </c>
      <c r="N17" s="46">
        <v>2600</v>
      </c>
      <c r="O17" s="37">
        <v>7229</v>
      </c>
      <c r="P17" s="47">
        <f t="shared" si="5"/>
        <v>0</v>
      </c>
      <c r="Q17" s="48">
        <f t="shared" si="6"/>
        <v>0.46336052631578939</v>
      </c>
      <c r="R17" s="49"/>
    </row>
    <row r="18" spans="1:19" x14ac:dyDescent="0.25">
      <c r="A18" s="35" t="s">
        <v>52</v>
      </c>
      <c r="B18" s="36" t="s">
        <v>53</v>
      </c>
      <c r="C18" s="37">
        <v>1341613815</v>
      </c>
      <c r="D18" s="38">
        <f t="shared" si="0"/>
        <v>1413257474.4230046</v>
      </c>
      <c r="E18" s="39">
        <f t="shared" si="1"/>
        <v>1201155792.6616001</v>
      </c>
      <c r="F18" s="40" t="s">
        <v>34</v>
      </c>
      <c r="G18" s="41">
        <v>20.701700000000002</v>
      </c>
      <c r="H18" s="42">
        <v>26.801599999999997</v>
      </c>
      <c r="I18" s="42">
        <v>26.859200000000001</v>
      </c>
      <c r="J18" s="43">
        <f t="shared" si="7"/>
        <v>1.0534011044176708</v>
      </c>
      <c r="K18" s="44">
        <f t="shared" si="2"/>
        <v>0.8953066666666667</v>
      </c>
      <c r="L18" s="45">
        <f t="shared" si="3"/>
        <v>5.7600000000004314E-2</v>
      </c>
      <c r="M18" s="45">
        <f t="shared" si="4"/>
        <v>0.2149125425347902</v>
      </c>
      <c r="N18" s="46">
        <v>332900</v>
      </c>
      <c r="O18" s="37">
        <v>8941413.9499999993</v>
      </c>
      <c r="P18" s="47">
        <f t="shared" si="5"/>
        <v>0</v>
      </c>
      <c r="Q18" s="48">
        <f t="shared" si="6"/>
        <v>0.2974393407304714</v>
      </c>
      <c r="R18" s="49"/>
    </row>
    <row r="19" spans="1:19" hidden="1" x14ac:dyDescent="0.25">
      <c r="A19" s="35" t="s">
        <v>54</v>
      </c>
      <c r="B19" s="36" t="s">
        <v>55</v>
      </c>
      <c r="C19" s="37">
        <v>2992163203</v>
      </c>
      <c r="D19" s="38">
        <f t="shared" si="0"/>
        <v>0</v>
      </c>
      <c r="E19" s="39">
        <f t="shared" si="1"/>
        <v>0</v>
      </c>
      <c r="F19" s="40" t="s">
        <v>56</v>
      </c>
      <c r="G19" s="41">
        <v>6.1399460000000001</v>
      </c>
      <c r="H19" s="42"/>
      <c r="I19" s="42"/>
      <c r="J19" s="43"/>
      <c r="K19" s="44"/>
      <c r="L19" s="45"/>
      <c r="M19" s="45"/>
      <c r="N19" s="46" t="s">
        <v>57</v>
      </c>
      <c r="O19" s="37" t="s">
        <v>57</v>
      </c>
      <c r="P19" s="47"/>
      <c r="Q19" s="48"/>
      <c r="R19" s="49"/>
    </row>
    <row r="20" spans="1:19" x14ac:dyDescent="0.25">
      <c r="A20" s="35" t="s">
        <v>58</v>
      </c>
      <c r="B20" s="36" t="s">
        <v>59</v>
      </c>
      <c r="C20" s="37">
        <v>671949927</v>
      </c>
      <c r="D20" s="38">
        <f t="shared" si="0"/>
        <v>260899232.76308361</v>
      </c>
      <c r="E20" s="39">
        <f t="shared" si="1"/>
        <v>221743475.91</v>
      </c>
      <c r="F20" s="40" t="s">
        <v>47</v>
      </c>
      <c r="G20" s="41">
        <v>12.45</v>
      </c>
      <c r="H20" s="42">
        <v>9.9</v>
      </c>
      <c r="I20" s="42">
        <v>9.9</v>
      </c>
      <c r="J20" s="43">
        <f t="shared" ref="J20:J30" si="8">I20/$J$5</f>
        <v>0.38827183734939763</v>
      </c>
      <c r="K20" s="44">
        <f t="shared" ref="K20:K30" si="9">I20/$K$4</f>
        <v>0.33</v>
      </c>
      <c r="L20" s="45">
        <f t="shared" ref="L20:L30" si="10">I20-H20</f>
        <v>0</v>
      </c>
      <c r="M20" s="45">
        <f t="shared" ref="M20:M30" si="11">((I20-H20)/H20)*100</f>
        <v>0</v>
      </c>
      <c r="N20" s="46">
        <v>0</v>
      </c>
      <c r="O20" s="37">
        <v>0</v>
      </c>
      <c r="P20" s="47">
        <f t="shared" ref="P20:P30" si="12">(R20)/J20</f>
        <v>0</v>
      </c>
      <c r="Q20" s="48">
        <f t="shared" ref="Q20:Q30" si="13">I20/G20-1</f>
        <v>-0.20481927710843362</v>
      </c>
      <c r="R20" s="49"/>
    </row>
    <row r="21" spans="1:19" x14ac:dyDescent="0.25">
      <c r="A21" s="35" t="s">
        <v>60</v>
      </c>
      <c r="B21" s="36" t="s">
        <v>61</v>
      </c>
      <c r="C21" s="37">
        <v>108923291</v>
      </c>
      <c r="D21" s="38">
        <f t="shared" si="0"/>
        <v>2471351.8074753312</v>
      </c>
      <c r="E21" s="39">
        <f t="shared" si="1"/>
        <v>2100451.3282094332</v>
      </c>
      <c r="F21" s="40" t="s">
        <v>47</v>
      </c>
      <c r="G21" s="41">
        <v>0.35</v>
      </c>
      <c r="H21" s="42">
        <v>0.57799999999999996</v>
      </c>
      <c r="I21" s="42">
        <v>0.57851300000000005</v>
      </c>
      <c r="J21" s="43">
        <f t="shared" si="8"/>
        <v>2.2688919741465866E-2</v>
      </c>
      <c r="K21" s="44">
        <f t="shared" si="9"/>
        <v>1.9283766666666667E-2</v>
      </c>
      <c r="L21" s="45">
        <f t="shared" si="10"/>
        <v>5.1300000000009671E-4</v>
      </c>
      <c r="M21" s="45">
        <f t="shared" si="11"/>
        <v>8.8754325259532307E-2</v>
      </c>
      <c r="N21" s="46">
        <v>1378500</v>
      </c>
      <c r="O21" s="37">
        <v>797479.49</v>
      </c>
      <c r="P21" s="47">
        <f t="shared" si="12"/>
        <v>0</v>
      </c>
      <c r="Q21" s="48">
        <f t="shared" si="13"/>
        <v>0.65289428571428587</v>
      </c>
      <c r="R21" s="49"/>
    </row>
    <row r="22" spans="1:19" x14ac:dyDescent="0.25">
      <c r="A22" s="35" t="s">
        <v>62</v>
      </c>
      <c r="B22" s="36" t="s">
        <v>63</v>
      </c>
      <c r="C22" s="37">
        <v>690143060</v>
      </c>
      <c r="D22" s="38">
        <f t="shared" si="0"/>
        <v>78223575.685554728</v>
      </c>
      <c r="E22" s="39">
        <f t="shared" si="1"/>
        <v>66483781.446666673</v>
      </c>
      <c r="F22" s="40" t="s">
        <v>47</v>
      </c>
      <c r="G22" s="41">
        <v>2.85</v>
      </c>
      <c r="H22" s="42">
        <v>2.89</v>
      </c>
      <c r="I22" s="42">
        <v>2.89</v>
      </c>
      <c r="J22" s="43">
        <f t="shared" si="8"/>
        <v>0.11334400100401608</v>
      </c>
      <c r="K22" s="44">
        <f t="shared" si="9"/>
        <v>9.633333333333334E-2</v>
      </c>
      <c r="L22" s="45">
        <f t="shared" si="10"/>
        <v>0</v>
      </c>
      <c r="M22" s="45">
        <f t="shared" si="11"/>
        <v>0</v>
      </c>
      <c r="N22" s="46">
        <v>0</v>
      </c>
      <c r="O22" s="37">
        <v>0</v>
      </c>
      <c r="P22" s="47">
        <f t="shared" si="12"/>
        <v>0</v>
      </c>
      <c r="Q22" s="48">
        <f t="shared" si="13"/>
        <v>1.4035087719298289E-2</v>
      </c>
      <c r="R22" s="49"/>
    </row>
    <row r="23" spans="1:19" x14ac:dyDescent="0.25">
      <c r="A23" s="35" t="s">
        <v>64</v>
      </c>
      <c r="B23" s="36" t="s">
        <v>65</v>
      </c>
      <c r="C23" s="37">
        <v>1236075493</v>
      </c>
      <c r="D23" s="38">
        <f t="shared" si="0"/>
        <v>54780265.871689878</v>
      </c>
      <c r="E23" s="39">
        <f t="shared" si="1"/>
        <v>46558843.569666661</v>
      </c>
      <c r="F23" s="40" t="s">
        <v>66</v>
      </c>
      <c r="G23" s="41">
        <v>0.88420599999999994</v>
      </c>
      <c r="H23" s="42">
        <v>1.1299999999999999</v>
      </c>
      <c r="I23" s="42">
        <v>1.1299999999999999</v>
      </c>
      <c r="J23" s="43">
        <f t="shared" si="8"/>
        <v>4.4317896586345377E-2</v>
      </c>
      <c r="K23" s="44">
        <f t="shared" si="9"/>
        <v>3.7666666666666661E-2</v>
      </c>
      <c r="L23" s="45">
        <f t="shared" si="10"/>
        <v>0</v>
      </c>
      <c r="M23" s="45">
        <f t="shared" si="11"/>
        <v>0</v>
      </c>
      <c r="N23" s="46">
        <v>65400</v>
      </c>
      <c r="O23" s="37">
        <v>73902</v>
      </c>
      <c r="P23" s="47">
        <f t="shared" si="12"/>
        <v>0</v>
      </c>
      <c r="Q23" s="48">
        <f t="shared" si="13"/>
        <v>0.27798273253065453</v>
      </c>
      <c r="R23" s="49"/>
    </row>
    <row r="24" spans="1:19" x14ac:dyDescent="0.25">
      <c r="A24" s="35" t="s">
        <v>67</v>
      </c>
      <c r="B24" s="36" t="s">
        <v>68</v>
      </c>
      <c r="C24" s="37">
        <v>536588623</v>
      </c>
      <c r="D24" s="38">
        <f t="shared" si="0"/>
        <v>2483271.2692174953</v>
      </c>
      <c r="E24" s="39">
        <f t="shared" si="1"/>
        <v>2110581.9171333336</v>
      </c>
      <c r="F24" s="40" t="s">
        <v>44</v>
      </c>
      <c r="G24" s="41">
        <v>0.1</v>
      </c>
      <c r="H24" s="42">
        <v>0.11699999999999999</v>
      </c>
      <c r="I24" s="42">
        <v>0.11800000000000001</v>
      </c>
      <c r="J24" s="43">
        <f t="shared" si="8"/>
        <v>4.6278865461847393E-3</v>
      </c>
      <c r="K24" s="44">
        <f t="shared" si="9"/>
        <v>3.9333333333333338E-3</v>
      </c>
      <c r="L24" s="45">
        <f t="shared" si="10"/>
        <v>1.0000000000000148E-3</v>
      </c>
      <c r="M24" s="45">
        <f t="shared" si="11"/>
        <v>0.85470085470086743</v>
      </c>
      <c r="N24" s="46">
        <v>1500</v>
      </c>
      <c r="O24" s="37">
        <v>177</v>
      </c>
      <c r="P24" s="47">
        <f t="shared" si="12"/>
        <v>0</v>
      </c>
      <c r="Q24" s="48">
        <f t="shared" si="13"/>
        <v>0.17999999999999994</v>
      </c>
      <c r="R24" s="49"/>
    </row>
    <row r="25" spans="1:19" x14ac:dyDescent="0.25">
      <c r="A25" s="35" t="s">
        <v>69</v>
      </c>
      <c r="B25" s="36" t="s">
        <v>70</v>
      </c>
      <c r="C25" s="37">
        <v>193020564</v>
      </c>
      <c r="D25" s="38">
        <f t="shared" si="0"/>
        <v>71840689.020143077</v>
      </c>
      <c r="E25" s="39">
        <f t="shared" si="1"/>
        <v>61058838.412000008</v>
      </c>
      <c r="F25" s="40" t="s">
        <v>34</v>
      </c>
      <c r="G25" s="41">
        <v>8.1687659999999997</v>
      </c>
      <c r="H25" s="42">
        <v>9.49</v>
      </c>
      <c r="I25" s="42">
        <v>9.49</v>
      </c>
      <c r="J25" s="43">
        <f t="shared" si="8"/>
        <v>0.37219189257028118</v>
      </c>
      <c r="K25" s="44">
        <f t="shared" si="9"/>
        <v>0.31633333333333336</v>
      </c>
      <c r="L25" s="45">
        <f t="shared" si="10"/>
        <v>0</v>
      </c>
      <c r="M25" s="45">
        <f t="shared" si="11"/>
        <v>0</v>
      </c>
      <c r="N25" s="46">
        <v>100</v>
      </c>
      <c r="O25" s="37">
        <v>949</v>
      </c>
      <c r="P25" s="47">
        <f t="shared" si="12"/>
        <v>0</v>
      </c>
      <c r="Q25" s="48">
        <f t="shared" si="13"/>
        <v>0.16174217745985131</v>
      </c>
      <c r="R25" s="49"/>
      <c r="S25" s="5" t="s">
        <v>71</v>
      </c>
    </row>
    <row r="26" spans="1:19" x14ac:dyDescent="0.25">
      <c r="A26" s="35" t="s">
        <v>72</v>
      </c>
      <c r="B26" s="36" t="s">
        <v>73</v>
      </c>
      <c r="C26" s="37">
        <v>1687584009</v>
      </c>
      <c r="D26" s="38">
        <f t="shared" si="0"/>
        <v>86041792.627541423</v>
      </c>
      <c r="E26" s="39">
        <f t="shared" si="1"/>
        <v>73128640.390000001</v>
      </c>
      <c r="F26" s="40" t="s">
        <v>66</v>
      </c>
      <c r="G26" s="41">
        <v>1.6675</v>
      </c>
      <c r="H26" s="42">
        <v>1.2</v>
      </c>
      <c r="I26" s="42">
        <v>1.3</v>
      </c>
      <c r="J26" s="43">
        <f t="shared" si="8"/>
        <v>5.0985190763052211E-2</v>
      </c>
      <c r="K26" s="44">
        <f t="shared" si="9"/>
        <v>4.3333333333333335E-2</v>
      </c>
      <c r="L26" s="45">
        <f t="shared" si="10"/>
        <v>0.10000000000000009</v>
      </c>
      <c r="M26" s="45">
        <f t="shared" si="11"/>
        <v>8.333333333333341</v>
      </c>
      <c r="N26" s="46">
        <v>200</v>
      </c>
      <c r="O26" s="37">
        <v>260</v>
      </c>
      <c r="P26" s="47">
        <f t="shared" si="12"/>
        <v>0</v>
      </c>
      <c r="Q26" s="48">
        <f t="shared" si="13"/>
        <v>-0.22038980509745121</v>
      </c>
      <c r="R26" s="49"/>
    </row>
    <row r="27" spans="1:19" x14ac:dyDescent="0.25">
      <c r="A27" s="35" t="s">
        <v>74</v>
      </c>
      <c r="B27" s="36" t="s">
        <v>75</v>
      </c>
      <c r="C27" s="37">
        <v>239388107</v>
      </c>
      <c r="D27" s="38">
        <f t="shared" si="0"/>
        <v>32860283.889464106</v>
      </c>
      <c r="E27" s="39">
        <f t="shared" si="1"/>
        <v>27928612.483333334</v>
      </c>
      <c r="F27" s="40" t="s">
        <v>44</v>
      </c>
      <c r="G27" s="41">
        <v>1.7994999999999999</v>
      </c>
      <c r="H27" s="42">
        <v>3.5</v>
      </c>
      <c r="I27" s="42">
        <v>3.5</v>
      </c>
      <c r="J27" s="43">
        <f t="shared" si="8"/>
        <v>0.13726782128514056</v>
      </c>
      <c r="K27" s="44">
        <f t="shared" si="9"/>
        <v>0.11666666666666667</v>
      </c>
      <c r="L27" s="45">
        <f t="shared" si="10"/>
        <v>0</v>
      </c>
      <c r="M27" s="45">
        <f t="shared" si="11"/>
        <v>0</v>
      </c>
      <c r="N27" s="46">
        <v>200</v>
      </c>
      <c r="O27" s="37">
        <v>700</v>
      </c>
      <c r="P27" s="47">
        <f t="shared" si="12"/>
        <v>0</v>
      </c>
      <c r="Q27" s="48">
        <f t="shared" si="13"/>
        <v>0.94498471797721595</v>
      </c>
      <c r="R27" s="49"/>
    </row>
    <row r="28" spans="1:19" x14ac:dyDescent="0.25">
      <c r="A28" s="35" t="s">
        <v>76</v>
      </c>
      <c r="B28" s="36" t="s">
        <v>77</v>
      </c>
      <c r="C28" s="37">
        <v>256150741</v>
      </c>
      <c r="D28" s="38">
        <f t="shared" si="0"/>
        <v>31645128.723879896</v>
      </c>
      <c r="E28" s="39">
        <f t="shared" si="1"/>
        <v>26895827.805</v>
      </c>
      <c r="F28" s="40" t="s">
        <v>34</v>
      </c>
      <c r="G28" s="41">
        <v>3.1361369999999997</v>
      </c>
      <c r="H28" s="42">
        <v>3.15</v>
      </c>
      <c r="I28" s="42">
        <v>3.15</v>
      </c>
      <c r="J28" s="43">
        <f t="shared" si="8"/>
        <v>0.12354103915662651</v>
      </c>
      <c r="K28" s="44">
        <f t="shared" si="9"/>
        <v>0.105</v>
      </c>
      <c r="L28" s="45">
        <f t="shared" si="10"/>
        <v>0</v>
      </c>
      <c r="M28" s="45">
        <f t="shared" si="11"/>
        <v>0</v>
      </c>
      <c r="N28" s="46">
        <v>4800</v>
      </c>
      <c r="O28" s="37">
        <v>15120</v>
      </c>
      <c r="P28" s="47">
        <f t="shared" si="12"/>
        <v>0</v>
      </c>
      <c r="Q28" s="48">
        <f t="shared" si="13"/>
        <v>4.420406378930597E-3</v>
      </c>
      <c r="R28" s="49"/>
    </row>
    <row r="29" spans="1:19" x14ac:dyDescent="0.25">
      <c r="A29" s="35" t="s">
        <v>78</v>
      </c>
      <c r="B29" s="36" t="s">
        <v>79</v>
      </c>
      <c r="C29" s="37">
        <v>755648101</v>
      </c>
      <c r="D29" s="38">
        <f t="shared" si="0"/>
        <v>25561091.518907666</v>
      </c>
      <c r="E29" s="39">
        <f t="shared" si="1"/>
        <v>21724882.903750002</v>
      </c>
      <c r="F29" s="40" t="s">
        <v>44</v>
      </c>
      <c r="G29" s="41">
        <v>0.8</v>
      </c>
      <c r="H29" s="42">
        <v>0.85</v>
      </c>
      <c r="I29" s="42">
        <v>0.86250000000000004</v>
      </c>
      <c r="J29" s="43">
        <f t="shared" si="8"/>
        <v>3.3826713102409645E-2</v>
      </c>
      <c r="K29" s="44">
        <f t="shared" si="9"/>
        <v>2.8750000000000001E-2</v>
      </c>
      <c r="L29" s="45">
        <f t="shared" si="10"/>
        <v>1.2500000000000067E-2</v>
      </c>
      <c r="M29" s="45">
        <f t="shared" si="11"/>
        <v>1.4705882352941255</v>
      </c>
      <c r="N29" s="46">
        <v>200</v>
      </c>
      <c r="O29" s="37">
        <v>172.5</v>
      </c>
      <c r="P29" s="47">
        <f t="shared" si="12"/>
        <v>0</v>
      </c>
      <c r="Q29" s="48">
        <f t="shared" si="13"/>
        <v>7.8125E-2</v>
      </c>
      <c r="R29" s="49"/>
    </row>
    <row r="30" spans="1:19" x14ac:dyDescent="0.25">
      <c r="A30" s="35" t="s">
        <v>80</v>
      </c>
      <c r="B30" s="36" t="s">
        <v>81</v>
      </c>
      <c r="C30" s="37">
        <v>404171689</v>
      </c>
      <c r="D30" s="38">
        <f t="shared" si="0"/>
        <v>82435008.339784935</v>
      </c>
      <c r="E30" s="39">
        <f t="shared" si="1"/>
        <v>70063162.288149998</v>
      </c>
      <c r="F30" s="40" t="s">
        <v>47</v>
      </c>
      <c r="G30" s="41">
        <v>5.15</v>
      </c>
      <c r="H30" s="42">
        <v>5.2</v>
      </c>
      <c r="I30" s="42">
        <v>5.2004999999999999</v>
      </c>
      <c r="J30" s="43">
        <f t="shared" si="8"/>
        <v>0.20396037274096387</v>
      </c>
      <c r="K30" s="44">
        <f t="shared" si="9"/>
        <v>0.17335</v>
      </c>
      <c r="L30" s="45">
        <f t="shared" si="10"/>
        <v>4.9999999999972289E-4</v>
      </c>
      <c r="M30" s="45">
        <f t="shared" si="11"/>
        <v>9.6153846153792868E-3</v>
      </c>
      <c r="N30" s="46">
        <v>264100</v>
      </c>
      <c r="O30" s="37">
        <v>1373452.05</v>
      </c>
      <c r="P30" s="47">
        <f t="shared" si="12"/>
        <v>0</v>
      </c>
      <c r="Q30" s="48">
        <f t="shared" si="13"/>
        <v>9.8058252427184467E-3</v>
      </c>
      <c r="R30" s="49"/>
    </row>
    <row r="31" spans="1:19" hidden="1" x14ac:dyDescent="0.25">
      <c r="A31" s="35"/>
      <c r="B31" s="36" t="s">
        <v>82</v>
      </c>
      <c r="C31" s="37"/>
      <c r="D31" s="38"/>
      <c r="E31" s="39"/>
      <c r="F31" s="40"/>
      <c r="G31" s="41"/>
      <c r="H31" s="42"/>
      <c r="I31" s="42"/>
      <c r="J31" s="43"/>
      <c r="K31" s="44"/>
      <c r="L31" s="45"/>
      <c r="M31" s="45"/>
      <c r="N31" s="46"/>
      <c r="O31" s="37"/>
      <c r="P31" s="47"/>
      <c r="Q31" s="48"/>
      <c r="R31" s="49"/>
    </row>
    <row r="32" spans="1:19" x14ac:dyDescent="0.25">
      <c r="A32" s="35" t="s">
        <v>83</v>
      </c>
      <c r="B32" s="36" t="s">
        <v>84</v>
      </c>
      <c r="C32" s="37">
        <v>3171161098</v>
      </c>
      <c r="D32" s="38">
        <f t="shared" ref="D32:D48" si="14">C32*J32</f>
        <v>0</v>
      </c>
      <c r="E32" s="39">
        <f t="shared" ref="E32:E48" si="15">C32*K32</f>
        <v>0</v>
      </c>
      <c r="F32" s="40" t="s">
        <v>34</v>
      </c>
      <c r="G32" s="41">
        <v>0.13000100000000001</v>
      </c>
      <c r="H32" s="47">
        <v>0</v>
      </c>
      <c r="I32" s="47"/>
      <c r="J32" s="50">
        <f t="shared" ref="J32:J48" si="16">I32/$J$5</f>
        <v>0</v>
      </c>
      <c r="K32" s="51">
        <f t="shared" ref="K32:K48" si="17">I32/$K$4</f>
        <v>0</v>
      </c>
      <c r="L32" s="45">
        <v>0</v>
      </c>
      <c r="M32" s="45">
        <v>0</v>
      </c>
      <c r="N32" s="52" t="s">
        <v>85</v>
      </c>
      <c r="O32" s="52" t="s">
        <v>85</v>
      </c>
      <c r="P32" s="52" t="s">
        <v>85</v>
      </c>
      <c r="Q32" s="48">
        <v>0</v>
      </c>
      <c r="R32" s="49"/>
    </row>
    <row r="33" spans="1:18" x14ac:dyDescent="0.25">
      <c r="A33" s="35" t="s">
        <v>86</v>
      </c>
      <c r="B33" s="36" t="s">
        <v>87</v>
      </c>
      <c r="C33" s="37">
        <v>259866270</v>
      </c>
      <c r="D33" s="38">
        <f t="shared" si="14"/>
        <v>15287690.017884037</v>
      </c>
      <c r="E33" s="39">
        <f t="shared" si="15"/>
        <v>12993313.5</v>
      </c>
      <c r="F33" s="40" t="s">
        <v>39</v>
      </c>
      <c r="G33" s="41">
        <v>1.4</v>
      </c>
      <c r="H33" s="42">
        <v>1.5</v>
      </c>
      <c r="I33" s="42">
        <v>1.5</v>
      </c>
      <c r="J33" s="43">
        <f t="shared" si="16"/>
        <v>5.8829066265060244E-2</v>
      </c>
      <c r="K33" s="44">
        <f t="shared" si="17"/>
        <v>0.05</v>
      </c>
      <c r="L33" s="45">
        <f t="shared" ref="L33:L48" si="18">I33-H33</f>
        <v>0</v>
      </c>
      <c r="M33" s="45">
        <f t="shared" ref="M33:M48" si="19">((I33-H33)/H33)*100</f>
        <v>0</v>
      </c>
      <c r="N33" s="46">
        <v>0</v>
      </c>
      <c r="O33" s="37">
        <v>0</v>
      </c>
      <c r="P33" s="47">
        <f t="shared" ref="P33:P38" si="20">(R33)/J33</f>
        <v>0</v>
      </c>
      <c r="Q33" s="48">
        <f t="shared" ref="Q33:Q48" si="21">I33/G33-1</f>
        <v>7.1428571428571397E-2</v>
      </c>
      <c r="R33" s="49"/>
    </row>
    <row r="34" spans="1:18" x14ac:dyDescent="0.25">
      <c r="A34" s="35" t="s">
        <v>88</v>
      </c>
      <c r="B34" s="36" t="s">
        <v>89</v>
      </c>
      <c r="C34" s="37">
        <v>122029470</v>
      </c>
      <c r="D34" s="38">
        <f t="shared" si="14"/>
        <v>3589439.8884600904</v>
      </c>
      <c r="E34" s="39">
        <f t="shared" si="15"/>
        <v>3050736.75</v>
      </c>
      <c r="F34" s="40" t="s">
        <v>39</v>
      </c>
      <c r="G34" s="41">
        <v>0.65</v>
      </c>
      <c r="H34" s="42">
        <v>0.75</v>
      </c>
      <c r="I34" s="42">
        <v>0.75</v>
      </c>
      <c r="J34" s="43">
        <f t="shared" si="16"/>
        <v>2.9414533132530122E-2</v>
      </c>
      <c r="K34" s="44">
        <f t="shared" si="17"/>
        <v>2.5000000000000001E-2</v>
      </c>
      <c r="L34" s="45">
        <f t="shared" si="18"/>
        <v>0</v>
      </c>
      <c r="M34" s="45">
        <f t="shared" si="19"/>
        <v>0</v>
      </c>
      <c r="N34" s="46">
        <v>0</v>
      </c>
      <c r="O34" s="37">
        <v>0</v>
      </c>
      <c r="P34" s="47">
        <f t="shared" si="20"/>
        <v>0</v>
      </c>
      <c r="Q34" s="48">
        <f t="shared" si="21"/>
        <v>0.15384615384615374</v>
      </c>
      <c r="R34" s="49"/>
    </row>
    <row r="35" spans="1:18" x14ac:dyDescent="0.25">
      <c r="A35" s="35" t="s">
        <v>90</v>
      </c>
      <c r="B35" s="36" t="s">
        <v>91</v>
      </c>
      <c r="C35" s="37">
        <v>2495495543</v>
      </c>
      <c r="D35" s="38">
        <f t="shared" si="14"/>
        <v>170296900.28943902</v>
      </c>
      <c r="E35" s="39">
        <f t="shared" si="15"/>
        <v>144738741.49400002</v>
      </c>
      <c r="F35" s="40" t="s">
        <v>92</v>
      </c>
      <c r="G35" s="41">
        <v>1.44</v>
      </c>
      <c r="H35" s="42">
        <v>1.74</v>
      </c>
      <c r="I35" s="42">
        <v>1.74</v>
      </c>
      <c r="J35" s="43">
        <f t="shared" si="16"/>
        <v>6.8241716867469882E-2</v>
      </c>
      <c r="K35" s="44">
        <f t="shared" si="17"/>
        <v>5.8000000000000003E-2</v>
      </c>
      <c r="L35" s="45">
        <f t="shared" si="18"/>
        <v>0</v>
      </c>
      <c r="M35" s="45">
        <f t="shared" si="19"/>
        <v>0</v>
      </c>
      <c r="N35" s="46">
        <v>0</v>
      </c>
      <c r="O35" s="37">
        <v>0</v>
      </c>
      <c r="P35" s="47">
        <f t="shared" si="20"/>
        <v>0</v>
      </c>
      <c r="Q35" s="48">
        <f t="shared" si="21"/>
        <v>0.20833333333333348</v>
      </c>
      <c r="R35" s="49"/>
    </row>
    <row r="36" spans="1:18" x14ac:dyDescent="0.25">
      <c r="A36" s="35" t="s">
        <v>93</v>
      </c>
      <c r="B36" s="36" t="s">
        <v>94</v>
      </c>
      <c r="C36" s="37">
        <v>253492983</v>
      </c>
      <c r="D36" s="38">
        <f t="shared" si="14"/>
        <v>37783951.504906341</v>
      </c>
      <c r="E36" s="39">
        <f t="shared" si="15"/>
        <v>32113336.063050002</v>
      </c>
      <c r="F36" s="40" t="s">
        <v>34</v>
      </c>
      <c r="G36" s="41">
        <v>3.6056249999999999</v>
      </c>
      <c r="H36" s="42">
        <v>3.8005</v>
      </c>
      <c r="I36" s="42">
        <v>3.8005</v>
      </c>
      <c r="J36" s="43">
        <f t="shared" si="16"/>
        <v>0.14905324422690763</v>
      </c>
      <c r="K36" s="44">
        <f t="shared" si="17"/>
        <v>0.12668333333333334</v>
      </c>
      <c r="L36" s="45">
        <f t="shared" si="18"/>
        <v>0</v>
      </c>
      <c r="M36" s="45">
        <f t="shared" si="19"/>
        <v>0</v>
      </c>
      <c r="N36" s="46">
        <v>0</v>
      </c>
      <c r="O36" s="37">
        <v>0</v>
      </c>
      <c r="P36" s="47">
        <f t="shared" si="20"/>
        <v>0</v>
      </c>
      <c r="Q36" s="48">
        <f t="shared" si="21"/>
        <v>5.4047495233142673E-2</v>
      </c>
      <c r="R36" s="49"/>
    </row>
    <row r="37" spans="1:18" x14ac:dyDescent="0.25">
      <c r="A37" s="35" t="s">
        <v>95</v>
      </c>
      <c r="B37" s="36" t="s">
        <v>96</v>
      </c>
      <c r="C37" s="37">
        <v>4715084056</v>
      </c>
      <c r="D37" s="38">
        <f t="shared" si="14"/>
        <v>5825063.8398908144</v>
      </c>
      <c r="E37" s="39">
        <f t="shared" si="15"/>
        <v>4950838.2588</v>
      </c>
      <c r="F37" s="40" t="s">
        <v>34</v>
      </c>
      <c r="G37" s="41">
        <v>2.5099999999999997E-2</v>
      </c>
      <c r="H37" s="42">
        <v>3.4027000000000002E-2</v>
      </c>
      <c r="I37" s="42">
        <v>3.15E-2</v>
      </c>
      <c r="J37" s="43">
        <f t="shared" si="16"/>
        <v>1.2354103915662652E-3</v>
      </c>
      <c r="K37" s="44">
        <f t="shared" si="17"/>
        <v>1.0499999999999999E-3</v>
      </c>
      <c r="L37" s="45">
        <f t="shared" si="18"/>
        <v>-2.5270000000000015E-3</v>
      </c>
      <c r="M37" s="45">
        <f t="shared" si="19"/>
        <v>-7.4264554618391321</v>
      </c>
      <c r="N37" s="46">
        <v>2500</v>
      </c>
      <c r="O37" s="37">
        <v>78.75</v>
      </c>
      <c r="P37" s="47">
        <f>(R37)/J37</f>
        <v>0</v>
      </c>
      <c r="Q37" s="48">
        <f t="shared" si="21"/>
        <v>0.25498007968127512</v>
      </c>
      <c r="R37" s="49"/>
    </row>
    <row r="38" spans="1:18" x14ac:dyDescent="0.25">
      <c r="A38" s="35" t="s">
        <v>97</v>
      </c>
      <c r="B38" s="36" t="s">
        <v>98</v>
      </c>
      <c r="C38" s="37">
        <v>261064590</v>
      </c>
      <c r="D38" s="38">
        <f t="shared" si="14"/>
        <v>28222151.518301725</v>
      </c>
      <c r="E38" s="39">
        <f t="shared" si="15"/>
        <v>23986571.018434998</v>
      </c>
      <c r="F38" s="40" t="s">
        <v>92</v>
      </c>
      <c r="G38" s="41">
        <v>0.61</v>
      </c>
      <c r="H38" s="42">
        <v>2.5</v>
      </c>
      <c r="I38" s="42">
        <v>2.7563949999999999</v>
      </c>
      <c r="J38" s="43">
        <f t="shared" si="16"/>
        <v>0.10810409607178716</v>
      </c>
      <c r="K38" s="44">
        <f t="shared" si="17"/>
        <v>9.1879833333333327E-2</v>
      </c>
      <c r="L38" s="45">
        <f t="shared" si="18"/>
        <v>0.25639499999999993</v>
      </c>
      <c r="M38" s="45">
        <f t="shared" si="19"/>
        <v>10.255799999999997</v>
      </c>
      <c r="N38" s="46">
        <v>17200</v>
      </c>
      <c r="O38" s="37">
        <v>47410</v>
      </c>
      <c r="P38" s="47">
        <f t="shared" si="20"/>
        <v>0</v>
      </c>
      <c r="Q38" s="48">
        <f t="shared" si="21"/>
        <v>3.5186803278688528</v>
      </c>
      <c r="R38" s="49"/>
    </row>
    <row r="39" spans="1:18" x14ac:dyDescent="0.25">
      <c r="A39" s="35" t="s">
        <v>99</v>
      </c>
      <c r="B39" s="36" t="s">
        <v>100</v>
      </c>
      <c r="C39" s="37">
        <v>4194797929</v>
      </c>
      <c r="D39" s="38">
        <f t="shared" si="14"/>
        <v>16533995.037356459</v>
      </c>
      <c r="E39" s="39">
        <f t="shared" si="15"/>
        <v>14052573.06215</v>
      </c>
      <c r="F39" s="40" t="s">
        <v>56</v>
      </c>
      <c r="G39" s="41">
        <v>0.11650199999999999</v>
      </c>
      <c r="H39" s="42">
        <v>0.100533</v>
      </c>
      <c r="I39" s="42">
        <v>0.10050000000000001</v>
      </c>
      <c r="J39" s="43">
        <f t="shared" si="16"/>
        <v>3.9415474397590366E-3</v>
      </c>
      <c r="K39" s="44">
        <f t="shared" si="17"/>
        <v>3.3500000000000001E-3</v>
      </c>
      <c r="L39" s="45">
        <f t="shared" si="18"/>
        <v>-3.299999999999137E-5</v>
      </c>
      <c r="M39" s="45">
        <f t="shared" si="19"/>
        <v>-3.2825042523341959E-2</v>
      </c>
      <c r="N39" s="46">
        <v>36000</v>
      </c>
      <c r="O39" s="37">
        <v>3618</v>
      </c>
      <c r="P39" s="47">
        <v>0</v>
      </c>
      <c r="Q39" s="48">
        <f t="shared" si="21"/>
        <v>-0.13735386516969661</v>
      </c>
      <c r="R39" s="49"/>
    </row>
    <row r="40" spans="1:18" x14ac:dyDescent="0.25">
      <c r="A40" s="35" t="s">
        <v>101</v>
      </c>
      <c r="B40" s="36" t="s">
        <v>102</v>
      </c>
      <c r="C40" s="37">
        <v>362927587</v>
      </c>
      <c r="D40" s="38">
        <f t="shared" si="14"/>
        <v>85411019.860710829</v>
      </c>
      <c r="E40" s="39">
        <f t="shared" si="15"/>
        <v>72592534.000015348</v>
      </c>
      <c r="F40" s="40" t="s">
        <v>34</v>
      </c>
      <c r="G40" s="41">
        <v>2.6005000000000003</v>
      </c>
      <c r="H40" s="42">
        <v>6.0005800000000002</v>
      </c>
      <c r="I40" s="42">
        <v>6.0005800000000002</v>
      </c>
      <c r="J40" s="43">
        <f t="shared" si="16"/>
        <v>0.23533901229919682</v>
      </c>
      <c r="K40" s="44">
        <f t="shared" si="17"/>
        <v>0.20001933333333335</v>
      </c>
      <c r="L40" s="45">
        <f t="shared" si="18"/>
        <v>0</v>
      </c>
      <c r="M40" s="45">
        <f t="shared" si="19"/>
        <v>0</v>
      </c>
      <c r="N40" s="46">
        <v>0</v>
      </c>
      <c r="O40" s="37">
        <v>0</v>
      </c>
      <c r="P40" s="47">
        <f t="shared" ref="P40:P47" si="22">(R40)/J40</f>
        <v>0</v>
      </c>
      <c r="Q40" s="48">
        <f t="shared" si="21"/>
        <v>1.3074716400692172</v>
      </c>
      <c r="R40" s="49"/>
    </row>
    <row r="41" spans="1:18" x14ac:dyDescent="0.25">
      <c r="A41" s="35" t="s">
        <v>103</v>
      </c>
      <c r="B41" s="36" t="s">
        <v>104</v>
      </c>
      <c r="C41" s="37">
        <v>4315726499</v>
      </c>
      <c r="D41" s="38">
        <f t="shared" si="14"/>
        <v>15233409.611492846</v>
      </c>
      <c r="E41" s="39">
        <f t="shared" si="15"/>
        <v>12947179.497</v>
      </c>
      <c r="F41" s="40" t="s">
        <v>39</v>
      </c>
      <c r="G41" s="41">
        <v>0.1</v>
      </c>
      <c r="H41" s="42">
        <v>9.0200000000000002E-2</v>
      </c>
      <c r="I41" s="42">
        <v>0.09</v>
      </c>
      <c r="J41" s="43">
        <f t="shared" si="16"/>
        <v>3.5297439759036145E-3</v>
      </c>
      <c r="K41" s="44">
        <f t="shared" si="17"/>
        <v>3.0000000000000001E-3</v>
      </c>
      <c r="L41" s="45">
        <f t="shared" si="18"/>
        <v>-2.0000000000000573E-4</v>
      </c>
      <c r="M41" s="45">
        <f t="shared" si="19"/>
        <v>-0.22172949002217929</v>
      </c>
      <c r="N41" s="46">
        <v>1000</v>
      </c>
      <c r="O41" s="37">
        <v>90</v>
      </c>
      <c r="P41" s="47">
        <f t="shared" si="22"/>
        <v>0</v>
      </c>
      <c r="Q41" s="48">
        <f t="shared" si="21"/>
        <v>-0.10000000000000009</v>
      </c>
      <c r="R41" s="49"/>
    </row>
    <row r="42" spans="1:18" x14ac:dyDescent="0.25">
      <c r="A42" s="35" t="s">
        <v>105</v>
      </c>
      <c r="B42" s="36" t="s">
        <v>106</v>
      </c>
      <c r="C42" s="37">
        <v>106474237</v>
      </c>
      <c r="D42" s="38">
        <f t="shared" si="14"/>
        <v>7497397.9971381221</v>
      </c>
      <c r="E42" s="39">
        <f t="shared" si="15"/>
        <v>6372188.5057276329</v>
      </c>
      <c r="F42" s="40" t="s">
        <v>44</v>
      </c>
      <c r="G42" s="41">
        <v>1.7452379999999998</v>
      </c>
      <c r="H42" s="42">
        <v>1.7954169999999998</v>
      </c>
      <c r="I42" s="42">
        <v>1.7954169999999998</v>
      </c>
      <c r="J42" s="43">
        <f t="shared" si="16"/>
        <v>7.0415137110943771E-2</v>
      </c>
      <c r="K42" s="44">
        <f t="shared" si="17"/>
        <v>5.9847233333333326E-2</v>
      </c>
      <c r="L42" s="45">
        <f t="shared" si="18"/>
        <v>0</v>
      </c>
      <c r="M42" s="45">
        <f t="shared" si="19"/>
        <v>0</v>
      </c>
      <c r="N42" s="46">
        <v>0</v>
      </c>
      <c r="O42" s="37">
        <v>0</v>
      </c>
      <c r="P42" s="47">
        <f t="shared" si="22"/>
        <v>0</v>
      </c>
      <c r="Q42" s="48">
        <f t="shared" si="21"/>
        <v>2.8751952455768226E-2</v>
      </c>
      <c r="R42" s="49">
        <v>0</v>
      </c>
    </row>
    <row r="43" spans="1:18" x14ac:dyDescent="0.25">
      <c r="A43" s="35" t="s">
        <v>107</v>
      </c>
      <c r="B43" s="36" t="s">
        <v>108</v>
      </c>
      <c r="C43" s="37">
        <v>1778001428</v>
      </c>
      <c r="D43" s="38">
        <f t="shared" si="14"/>
        <v>2949668.2199265817</v>
      </c>
      <c r="E43" s="39">
        <f t="shared" si="15"/>
        <v>2506982.0134800002</v>
      </c>
      <c r="F43" s="40" t="s">
        <v>39</v>
      </c>
      <c r="G43" s="41">
        <v>0.03</v>
      </c>
      <c r="H43" s="42">
        <v>4.2300000000000004E-2</v>
      </c>
      <c r="I43" s="42">
        <v>4.2300000000000004E-2</v>
      </c>
      <c r="J43" s="43">
        <f t="shared" si="16"/>
        <v>1.658979668674699E-3</v>
      </c>
      <c r="K43" s="44">
        <f t="shared" si="17"/>
        <v>1.4100000000000002E-3</v>
      </c>
      <c r="L43" s="45">
        <f t="shared" si="18"/>
        <v>0</v>
      </c>
      <c r="M43" s="45">
        <f t="shared" si="19"/>
        <v>0</v>
      </c>
      <c r="N43" s="46">
        <v>900</v>
      </c>
      <c r="O43" s="37">
        <v>38.07</v>
      </c>
      <c r="P43" s="47">
        <f t="shared" si="22"/>
        <v>0</v>
      </c>
      <c r="Q43" s="48">
        <f t="shared" si="21"/>
        <v>0.41000000000000014</v>
      </c>
      <c r="R43" s="49">
        <v>0</v>
      </c>
    </row>
    <row r="44" spans="1:18" x14ac:dyDescent="0.25">
      <c r="A44" s="35" t="s">
        <v>109</v>
      </c>
      <c r="B44" s="36" t="s">
        <v>110</v>
      </c>
      <c r="C44" s="37">
        <v>175190642</v>
      </c>
      <c r="D44" s="38">
        <f t="shared" si="14"/>
        <v>35591095.850589864</v>
      </c>
      <c r="E44" s="39">
        <f t="shared" si="15"/>
        <v>30249584.185333334</v>
      </c>
      <c r="F44" s="40" t="s">
        <v>47</v>
      </c>
      <c r="G44" s="41">
        <v>4.5</v>
      </c>
      <c r="H44" s="42">
        <v>5.18</v>
      </c>
      <c r="I44" s="42">
        <v>5.18</v>
      </c>
      <c r="J44" s="43">
        <f t="shared" si="16"/>
        <v>0.20315637550200805</v>
      </c>
      <c r="K44" s="44">
        <f t="shared" si="17"/>
        <v>0.17266666666666666</v>
      </c>
      <c r="L44" s="45">
        <f t="shared" si="18"/>
        <v>0</v>
      </c>
      <c r="M44" s="45">
        <f t="shared" si="19"/>
        <v>0</v>
      </c>
      <c r="N44" s="46">
        <v>9300</v>
      </c>
      <c r="O44" s="37">
        <v>48174</v>
      </c>
      <c r="P44" s="47">
        <f t="shared" si="22"/>
        <v>0</v>
      </c>
      <c r="Q44" s="48">
        <f t="shared" si="21"/>
        <v>0.15111111111111097</v>
      </c>
      <c r="R44" s="49">
        <v>0</v>
      </c>
    </row>
    <row r="45" spans="1:18" x14ac:dyDescent="0.25">
      <c r="A45" s="35" t="s">
        <v>111</v>
      </c>
      <c r="B45" s="36" t="s">
        <v>112</v>
      </c>
      <c r="C45" s="37">
        <v>463337661</v>
      </c>
      <c r="D45" s="38">
        <f t="shared" si="14"/>
        <v>327.09266354480422</v>
      </c>
      <c r="E45" s="39">
        <f t="shared" si="15"/>
        <v>278.0025966</v>
      </c>
      <c r="F45" s="40" t="s">
        <v>44</v>
      </c>
      <c r="G45" s="41">
        <v>1.8E-5</v>
      </c>
      <c r="H45" s="42">
        <v>1.8E-5</v>
      </c>
      <c r="I45" s="42">
        <v>1.8E-5</v>
      </c>
      <c r="J45" s="43">
        <f t="shared" si="16"/>
        <v>7.0594879518072291E-7</v>
      </c>
      <c r="K45" s="44">
        <f t="shared" si="17"/>
        <v>5.9999999999999997E-7</v>
      </c>
      <c r="L45" s="45">
        <f t="shared" si="18"/>
        <v>0</v>
      </c>
      <c r="M45" s="45">
        <f t="shared" si="19"/>
        <v>0</v>
      </c>
      <c r="N45" s="46">
        <v>0</v>
      </c>
      <c r="O45" s="37">
        <v>0</v>
      </c>
      <c r="P45" s="47">
        <f t="shared" si="22"/>
        <v>0</v>
      </c>
      <c r="Q45" s="48">
        <f t="shared" si="21"/>
        <v>0</v>
      </c>
      <c r="R45" s="49">
        <v>0</v>
      </c>
    </row>
    <row r="46" spans="1:18" x14ac:dyDescent="0.25">
      <c r="A46" s="35" t="s">
        <v>113</v>
      </c>
      <c r="B46" s="36" t="s">
        <v>114</v>
      </c>
      <c r="C46" s="37">
        <v>576000000</v>
      </c>
      <c r="D46" s="38">
        <f t="shared" si="14"/>
        <v>1416415.6626506022</v>
      </c>
      <c r="E46" s="39">
        <f t="shared" si="15"/>
        <v>1203840</v>
      </c>
      <c r="F46" s="40" t="s">
        <v>56</v>
      </c>
      <c r="G46" s="41">
        <v>7.0000000000000007E-2</v>
      </c>
      <c r="H46" s="42">
        <v>7.2000000000000008E-2</v>
      </c>
      <c r="I46" s="42">
        <v>6.2699999999999992E-2</v>
      </c>
      <c r="J46" s="43">
        <f t="shared" si="16"/>
        <v>2.4590549698795179E-3</v>
      </c>
      <c r="K46" s="44">
        <f t="shared" si="17"/>
        <v>2.0899999999999998E-3</v>
      </c>
      <c r="L46" s="45">
        <f t="shared" si="18"/>
        <v>-9.3000000000000166E-3</v>
      </c>
      <c r="M46" s="45">
        <f t="shared" si="19"/>
        <v>-12.916666666666687</v>
      </c>
      <c r="N46" s="46">
        <v>2700</v>
      </c>
      <c r="O46" s="37">
        <v>169.29</v>
      </c>
      <c r="P46" s="47">
        <f t="shared" si="22"/>
        <v>0</v>
      </c>
      <c r="Q46" s="48">
        <f t="shared" si="21"/>
        <v>-0.10428571428571454</v>
      </c>
      <c r="R46" s="49"/>
    </row>
    <row r="47" spans="1:18" x14ac:dyDescent="0.25">
      <c r="A47" s="35" t="s">
        <v>115</v>
      </c>
      <c r="B47" s="36" t="s">
        <v>116</v>
      </c>
      <c r="C47" s="37">
        <v>1818218786</v>
      </c>
      <c r="D47" s="38">
        <f t="shared" si="14"/>
        <v>53482056.722985692</v>
      </c>
      <c r="E47" s="39">
        <f t="shared" si="15"/>
        <v>45455469.650000006</v>
      </c>
      <c r="F47" s="40" t="s">
        <v>47</v>
      </c>
      <c r="G47" s="41">
        <v>0.9998999999999999</v>
      </c>
      <c r="H47" s="42">
        <v>0.78518500000000002</v>
      </c>
      <c r="I47" s="42">
        <v>0.75</v>
      </c>
      <c r="J47" s="43">
        <f t="shared" si="16"/>
        <v>2.9414533132530122E-2</v>
      </c>
      <c r="K47" s="44">
        <f t="shared" si="17"/>
        <v>2.5000000000000001E-2</v>
      </c>
      <c r="L47" s="45">
        <f t="shared" si="18"/>
        <v>-3.5185000000000022E-2</v>
      </c>
      <c r="M47" s="45">
        <f t="shared" si="19"/>
        <v>-4.4811095474315001</v>
      </c>
      <c r="N47" s="46">
        <v>5100</v>
      </c>
      <c r="O47" s="37">
        <v>3825</v>
      </c>
      <c r="P47" s="47">
        <f t="shared" si="22"/>
        <v>0</v>
      </c>
      <c r="Q47" s="48">
        <f t="shared" si="21"/>
        <v>-0.24992499249924982</v>
      </c>
      <c r="R47" s="49">
        <v>0</v>
      </c>
    </row>
    <row r="48" spans="1:18" x14ac:dyDescent="0.25">
      <c r="A48" s="35" t="s">
        <v>117</v>
      </c>
      <c r="B48" s="36" t="s">
        <v>118</v>
      </c>
      <c r="C48" s="37">
        <v>102712520</v>
      </c>
      <c r="D48" s="38">
        <f t="shared" si="14"/>
        <v>4027624.1973377885</v>
      </c>
      <c r="E48" s="39">
        <f t="shared" si="15"/>
        <v>3423158.3578013331</v>
      </c>
      <c r="F48" s="40" t="s">
        <v>47</v>
      </c>
      <c r="G48" s="41">
        <v>1.4503460000000001</v>
      </c>
      <c r="H48" s="42">
        <v>0.97911900000000007</v>
      </c>
      <c r="I48" s="42">
        <v>0.99982699999999991</v>
      </c>
      <c r="J48" s="43">
        <f t="shared" si="16"/>
        <v>3.9212592557730921E-2</v>
      </c>
      <c r="K48" s="44">
        <f t="shared" si="17"/>
        <v>3.3327566666666662E-2</v>
      </c>
      <c r="L48" s="45">
        <f t="shared" si="18"/>
        <v>2.0707999999999838E-2</v>
      </c>
      <c r="M48" s="45">
        <f t="shared" si="19"/>
        <v>2.1149625326441255</v>
      </c>
      <c r="N48" s="46">
        <v>101000</v>
      </c>
      <c r="O48" s="37">
        <v>100982.5</v>
      </c>
      <c r="P48" s="47">
        <v>0</v>
      </c>
      <c r="Q48" s="48">
        <f t="shared" si="21"/>
        <v>-0.31062863620129277</v>
      </c>
      <c r="R48" s="49"/>
    </row>
    <row r="49" spans="1:20" ht="13.8" thickBot="1" x14ac:dyDescent="0.4">
      <c r="A49" s="53"/>
      <c r="B49" s="54" t="s">
        <v>82</v>
      </c>
      <c r="C49" s="55"/>
      <c r="D49" s="56"/>
      <c r="E49" s="56"/>
      <c r="F49" s="57"/>
      <c r="G49" s="57"/>
      <c r="H49" s="45"/>
      <c r="I49" s="45"/>
      <c r="J49" s="45"/>
      <c r="K49" s="45"/>
      <c r="L49" s="45"/>
      <c r="M49" s="45"/>
      <c r="N49" s="57">
        <f>SUM(N10:N48)</f>
        <v>2474300</v>
      </c>
      <c r="O49" s="58">
        <f>SUM(O10:O48)</f>
        <v>11600187.379999999</v>
      </c>
      <c r="P49" s="58"/>
      <c r="Q49" s="59"/>
    </row>
    <row r="50" spans="1:20" ht="13.2" x14ac:dyDescent="0.35">
      <c r="A50" s="60"/>
      <c r="B50" s="61" t="s">
        <v>82</v>
      </c>
      <c r="C50" s="62"/>
      <c r="D50" s="62"/>
      <c r="E50" s="62"/>
      <c r="F50" s="63"/>
      <c r="G50" s="63"/>
      <c r="H50" s="64"/>
      <c r="I50" s="64"/>
      <c r="J50" s="64"/>
      <c r="K50" s="64"/>
      <c r="L50" s="64"/>
      <c r="M50" s="64"/>
      <c r="N50" s="63"/>
      <c r="O50" s="63"/>
      <c r="P50" s="63"/>
      <c r="Q50" s="65"/>
    </row>
    <row r="51" spans="1:20" ht="12.6" x14ac:dyDescent="0.3">
      <c r="A51" s="139" t="s">
        <v>119</v>
      </c>
      <c r="B51" s="140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2"/>
    </row>
    <row r="52" spans="1:20" hidden="1" x14ac:dyDescent="0.25">
      <c r="A52" s="35" t="s">
        <v>120</v>
      </c>
      <c r="B52" s="36" t="s">
        <v>121</v>
      </c>
      <c r="C52" s="40">
        <v>14786476</v>
      </c>
      <c r="D52" s="38">
        <f t="shared" ref="D52:D66" si="23">C52*J52</f>
        <v>0</v>
      </c>
      <c r="E52" s="39">
        <f>C52*K52</f>
        <v>0</v>
      </c>
      <c r="F52" s="40" t="s">
        <v>92</v>
      </c>
      <c r="G52" s="66">
        <v>4</v>
      </c>
      <c r="H52" s="42">
        <v>5.17</v>
      </c>
      <c r="I52" s="42"/>
      <c r="J52" s="43">
        <f t="shared" ref="J52:J66" si="24">I52</f>
        <v>0</v>
      </c>
      <c r="K52" s="39">
        <v>0</v>
      </c>
      <c r="L52" s="45">
        <f t="shared" ref="L52:L66" si="25">I52-H52</f>
        <v>-5.17</v>
      </c>
      <c r="M52" s="45">
        <f t="shared" ref="M52:M66" si="26">((I52-H52)/H52)*100</f>
        <v>-100</v>
      </c>
      <c r="N52" s="46" t="s">
        <v>57</v>
      </c>
      <c r="O52" s="37" t="s">
        <v>57</v>
      </c>
      <c r="P52" s="47">
        <v>0</v>
      </c>
      <c r="Q52" s="48">
        <f t="shared" ref="Q52:Q66" si="27">J52/G52-1</f>
        <v>-1</v>
      </c>
      <c r="R52" s="67"/>
      <c r="T52" s="67"/>
    </row>
    <row r="53" spans="1:20" x14ac:dyDescent="0.25">
      <c r="A53" s="35" t="s">
        <v>122</v>
      </c>
      <c r="B53" s="36" t="s">
        <v>123</v>
      </c>
      <c r="C53" s="40">
        <v>554920308</v>
      </c>
      <c r="D53" s="38">
        <f t="shared" si="23"/>
        <v>71862179.886000007</v>
      </c>
      <c r="E53" s="39">
        <v>0</v>
      </c>
      <c r="F53" s="40" t="s">
        <v>92</v>
      </c>
      <c r="G53" s="66">
        <v>0.1</v>
      </c>
      <c r="H53" s="42">
        <v>0.12889999999999999</v>
      </c>
      <c r="I53" s="42">
        <v>0.1295</v>
      </c>
      <c r="J53" s="43">
        <f t="shared" si="24"/>
        <v>0.1295</v>
      </c>
      <c r="K53" s="39">
        <v>0</v>
      </c>
      <c r="L53" s="45">
        <f t="shared" si="25"/>
        <v>6.0000000000001719E-4</v>
      </c>
      <c r="M53" s="45">
        <f t="shared" si="26"/>
        <v>0.46547711404190628</v>
      </c>
      <c r="N53" s="46">
        <v>8129</v>
      </c>
      <c r="O53" s="37">
        <v>1052.73</v>
      </c>
      <c r="P53" s="68">
        <f>(R53)/J53</f>
        <v>0</v>
      </c>
      <c r="Q53" s="48">
        <f t="shared" si="27"/>
        <v>0.29499999999999993</v>
      </c>
      <c r="T53" s="67"/>
    </row>
    <row r="54" spans="1:20" x14ac:dyDescent="0.25">
      <c r="A54" s="35" t="s">
        <v>124</v>
      </c>
      <c r="B54" s="36" t="s">
        <v>125</v>
      </c>
      <c r="C54" s="40">
        <v>1057685</v>
      </c>
      <c r="D54" s="38">
        <f t="shared" si="23"/>
        <v>62400347.713500001</v>
      </c>
      <c r="E54" s="39">
        <v>0</v>
      </c>
      <c r="F54" s="40" t="s">
        <v>39</v>
      </c>
      <c r="G54" s="66">
        <v>39.9</v>
      </c>
      <c r="H54" s="42">
        <v>58.428600000000003</v>
      </c>
      <c r="I54" s="42">
        <v>58.997100000000003</v>
      </c>
      <c r="J54" s="43">
        <f t="shared" si="24"/>
        <v>58.997100000000003</v>
      </c>
      <c r="K54" s="39">
        <v>0</v>
      </c>
      <c r="L54" s="45">
        <f t="shared" si="25"/>
        <v>0.56850000000000023</v>
      </c>
      <c r="M54" s="45">
        <f t="shared" si="26"/>
        <v>0.97298240929955571</v>
      </c>
      <c r="N54" s="46">
        <v>17</v>
      </c>
      <c r="O54" s="37">
        <v>1002.95</v>
      </c>
      <c r="P54" s="69">
        <f>(R54)/J54</f>
        <v>9.4919919792667787E-3</v>
      </c>
      <c r="Q54" s="48">
        <f t="shared" si="27"/>
        <v>0.47862406015037617</v>
      </c>
      <c r="R54" s="67">
        <v>0.56000000000000005</v>
      </c>
      <c r="T54" s="67"/>
    </row>
    <row r="55" spans="1:20" x14ac:dyDescent="0.25">
      <c r="A55" s="35" t="s">
        <v>126</v>
      </c>
      <c r="B55" s="36" t="s">
        <v>127</v>
      </c>
      <c r="C55" s="40">
        <v>2992163203</v>
      </c>
      <c r="D55" s="38">
        <f t="shared" si="23"/>
        <v>798907575.20100009</v>
      </c>
      <c r="E55" s="39"/>
      <c r="F55" s="40" t="s">
        <v>56</v>
      </c>
      <c r="G55" s="66">
        <v>0.33</v>
      </c>
      <c r="H55" s="42">
        <v>0.2467</v>
      </c>
      <c r="I55" s="42">
        <v>0.26700000000000002</v>
      </c>
      <c r="J55" s="43">
        <f t="shared" si="24"/>
        <v>0.26700000000000002</v>
      </c>
      <c r="K55" s="39">
        <v>0</v>
      </c>
      <c r="L55" s="45">
        <f t="shared" si="25"/>
        <v>2.0300000000000012E-2</v>
      </c>
      <c r="M55" s="45">
        <f t="shared" si="26"/>
        <v>8.2286177543575239</v>
      </c>
      <c r="N55" s="46">
        <v>614434</v>
      </c>
      <c r="O55" s="37">
        <v>164047.9</v>
      </c>
      <c r="P55" s="68">
        <v>0</v>
      </c>
      <c r="Q55" s="48">
        <f t="shared" si="27"/>
        <v>-0.19090909090909092</v>
      </c>
      <c r="R55" s="67"/>
      <c r="T55" s="67"/>
    </row>
    <row r="56" spans="1:20" x14ac:dyDescent="0.25">
      <c r="A56" s="35" t="s">
        <v>128</v>
      </c>
      <c r="B56" s="36" t="s">
        <v>129</v>
      </c>
      <c r="C56" s="40">
        <v>609740943</v>
      </c>
      <c r="D56" s="38">
        <f t="shared" si="23"/>
        <v>14267938.066200001</v>
      </c>
      <c r="E56" s="39">
        <v>0</v>
      </c>
      <c r="F56" s="40" t="s">
        <v>34</v>
      </c>
      <c r="G56" s="66">
        <v>2.3E-2</v>
      </c>
      <c r="H56" s="42">
        <v>0.02</v>
      </c>
      <c r="I56" s="42">
        <v>2.3400000000000001E-2</v>
      </c>
      <c r="J56" s="43">
        <f t="shared" si="24"/>
        <v>2.3400000000000001E-2</v>
      </c>
      <c r="K56" s="39">
        <v>0</v>
      </c>
      <c r="L56" s="45">
        <f t="shared" si="25"/>
        <v>3.4000000000000002E-3</v>
      </c>
      <c r="M56" s="45">
        <f t="shared" si="26"/>
        <v>17</v>
      </c>
      <c r="N56" s="46">
        <v>440</v>
      </c>
      <c r="O56" s="37">
        <v>10.29</v>
      </c>
      <c r="P56" s="68">
        <f t="shared" ref="P56:P66" si="28">(R56)/J56</f>
        <v>0</v>
      </c>
      <c r="Q56" s="48">
        <f t="shared" si="27"/>
        <v>1.7391304347826209E-2</v>
      </c>
      <c r="T56" s="67"/>
    </row>
    <row r="57" spans="1:20" x14ac:dyDescent="0.25">
      <c r="A57" s="35" t="s">
        <v>130</v>
      </c>
      <c r="B57" s="36" t="s">
        <v>131</v>
      </c>
      <c r="C57" s="40">
        <v>2161875929</v>
      </c>
      <c r="D57" s="38">
        <f t="shared" si="23"/>
        <v>230455974.0314</v>
      </c>
      <c r="E57" s="39">
        <v>0</v>
      </c>
      <c r="F57" s="40" t="s">
        <v>47</v>
      </c>
      <c r="G57" s="66">
        <v>9.0200000000000002E-2</v>
      </c>
      <c r="H57" s="42">
        <v>0.1114</v>
      </c>
      <c r="I57" s="42">
        <v>0.1066</v>
      </c>
      <c r="J57" s="43">
        <f t="shared" si="24"/>
        <v>0.1066</v>
      </c>
      <c r="K57" s="39">
        <v>0</v>
      </c>
      <c r="L57" s="45">
        <f t="shared" si="25"/>
        <v>-4.7999999999999987E-3</v>
      </c>
      <c r="M57" s="70">
        <f t="shared" si="26"/>
        <v>-4.3087971274685808</v>
      </c>
      <c r="N57" s="46">
        <v>333169</v>
      </c>
      <c r="O57" s="37">
        <v>35505.269999999997</v>
      </c>
      <c r="P57" s="68">
        <f t="shared" si="28"/>
        <v>0</v>
      </c>
      <c r="Q57" s="48">
        <f t="shared" si="27"/>
        <v>0.18181818181818188</v>
      </c>
      <c r="R57" s="67"/>
      <c r="T57" s="67"/>
    </row>
    <row r="58" spans="1:20" x14ac:dyDescent="0.25">
      <c r="A58" s="35" t="s">
        <v>132</v>
      </c>
      <c r="B58" s="36" t="s">
        <v>133</v>
      </c>
      <c r="C58" s="40">
        <v>575926450</v>
      </c>
      <c r="D58" s="38">
        <f t="shared" si="23"/>
        <v>691572481.16000009</v>
      </c>
      <c r="E58" s="39">
        <v>0</v>
      </c>
      <c r="F58" s="40" t="s">
        <v>34</v>
      </c>
      <c r="G58" s="66">
        <v>0.95750000000000002</v>
      </c>
      <c r="H58" s="42">
        <v>1.2689999999999999</v>
      </c>
      <c r="I58" s="42">
        <v>1.2008000000000001</v>
      </c>
      <c r="J58" s="43">
        <f t="shared" si="24"/>
        <v>1.2008000000000001</v>
      </c>
      <c r="K58" s="39">
        <v>0</v>
      </c>
      <c r="L58" s="45">
        <f t="shared" si="25"/>
        <v>-6.8199999999999816E-2</v>
      </c>
      <c r="M58" s="45">
        <f t="shared" si="26"/>
        <v>-5.3743104806934454</v>
      </c>
      <c r="N58" s="46">
        <v>323742</v>
      </c>
      <c r="O58" s="37">
        <v>388765.44</v>
      </c>
      <c r="P58" s="69">
        <f t="shared" si="28"/>
        <v>3.9140572951365755E-2</v>
      </c>
      <c r="Q58" s="48">
        <f t="shared" si="27"/>
        <v>0.25409921671018276</v>
      </c>
      <c r="R58" s="67">
        <v>4.7E-2</v>
      </c>
      <c r="T58" s="67"/>
    </row>
    <row r="59" spans="1:20" x14ac:dyDescent="0.25">
      <c r="A59" s="35" t="s">
        <v>134</v>
      </c>
      <c r="B59" s="36" t="s">
        <v>135</v>
      </c>
      <c r="C59" s="40">
        <v>164208222</v>
      </c>
      <c r="D59" s="38">
        <f t="shared" si="23"/>
        <v>24631233.300000001</v>
      </c>
      <c r="E59" s="39">
        <v>0</v>
      </c>
      <c r="F59" s="40" t="s">
        <v>34</v>
      </c>
      <c r="G59" s="66">
        <v>0.1595</v>
      </c>
      <c r="H59" s="42">
        <v>0.15</v>
      </c>
      <c r="I59" s="42">
        <v>0.15</v>
      </c>
      <c r="J59" s="43">
        <f t="shared" si="24"/>
        <v>0.15</v>
      </c>
      <c r="K59" s="39">
        <v>0</v>
      </c>
      <c r="L59" s="45">
        <f t="shared" si="25"/>
        <v>0</v>
      </c>
      <c r="M59" s="45">
        <f t="shared" si="26"/>
        <v>0</v>
      </c>
      <c r="N59" s="46">
        <v>305</v>
      </c>
      <c r="O59" s="37">
        <v>45.75</v>
      </c>
      <c r="P59" s="68">
        <f t="shared" si="28"/>
        <v>0</v>
      </c>
      <c r="Q59" s="48">
        <f t="shared" si="27"/>
        <v>-5.9561128526645857E-2</v>
      </c>
      <c r="T59" s="67"/>
    </row>
    <row r="60" spans="1:20" x14ac:dyDescent="0.25">
      <c r="A60" s="35" t="s">
        <v>136</v>
      </c>
      <c r="B60" s="36" t="s">
        <v>137</v>
      </c>
      <c r="C60" s="40">
        <v>794581116</v>
      </c>
      <c r="D60" s="38">
        <f t="shared" si="23"/>
        <v>15653247.985199999</v>
      </c>
      <c r="E60" s="39">
        <v>0</v>
      </c>
      <c r="F60" s="40" t="s">
        <v>92</v>
      </c>
      <c r="G60" s="66">
        <v>1.6799999999999999E-2</v>
      </c>
      <c r="H60" s="42">
        <v>0.02</v>
      </c>
      <c r="I60" s="42">
        <v>1.9699999999999999E-2</v>
      </c>
      <c r="J60" s="43">
        <f t="shared" si="24"/>
        <v>1.9699999999999999E-2</v>
      </c>
      <c r="K60" s="39">
        <v>0</v>
      </c>
      <c r="L60" s="45">
        <f t="shared" si="25"/>
        <v>-3.0000000000000165E-4</v>
      </c>
      <c r="M60" s="70">
        <f t="shared" si="26"/>
        <v>-1.5000000000000082</v>
      </c>
      <c r="N60" s="46">
        <v>83889</v>
      </c>
      <c r="O60" s="37">
        <v>1649.31</v>
      </c>
      <c r="P60" s="68">
        <f t="shared" si="28"/>
        <v>0</v>
      </c>
      <c r="Q60" s="48">
        <f t="shared" si="27"/>
        <v>0.17261904761904767</v>
      </c>
      <c r="T60" s="67"/>
    </row>
    <row r="61" spans="1:20" x14ac:dyDescent="0.25">
      <c r="A61" s="35" t="s">
        <v>138</v>
      </c>
      <c r="B61" s="36" t="s">
        <v>139</v>
      </c>
      <c r="C61" s="40">
        <v>161273</v>
      </c>
      <c r="D61" s="38">
        <f t="shared" si="23"/>
        <v>2902914</v>
      </c>
      <c r="E61" s="39">
        <v>0</v>
      </c>
      <c r="F61" s="40" t="s">
        <v>140</v>
      </c>
      <c r="G61" s="66">
        <v>19.5</v>
      </c>
      <c r="H61" s="42">
        <v>18</v>
      </c>
      <c r="I61" s="42">
        <v>18</v>
      </c>
      <c r="J61" s="43">
        <f t="shared" si="24"/>
        <v>18</v>
      </c>
      <c r="K61" s="39">
        <v>0</v>
      </c>
      <c r="L61" s="45">
        <f t="shared" si="25"/>
        <v>0</v>
      </c>
      <c r="M61" s="45">
        <f t="shared" si="26"/>
        <v>0</v>
      </c>
      <c r="N61" s="46">
        <v>5</v>
      </c>
      <c r="O61" s="37">
        <v>90</v>
      </c>
      <c r="P61" s="68">
        <f t="shared" si="28"/>
        <v>0</v>
      </c>
      <c r="Q61" s="48">
        <f t="shared" si="27"/>
        <v>-7.6923076923076872E-2</v>
      </c>
      <c r="T61" s="67"/>
    </row>
    <row r="62" spans="1:20" x14ac:dyDescent="0.25">
      <c r="A62" s="35" t="s">
        <v>141</v>
      </c>
      <c r="B62" s="36" t="s">
        <v>142</v>
      </c>
      <c r="C62" s="40">
        <v>805090451</v>
      </c>
      <c r="D62" s="38">
        <f t="shared" si="23"/>
        <v>732471292.31980002</v>
      </c>
      <c r="E62" s="39">
        <v>0</v>
      </c>
      <c r="F62" s="40" t="s">
        <v>92</v>
      </c>
      <c r="G62" s="66">
        <v>0.59499999999999997</v>
      </c>
      <c r="H62" s="42">
        <v>0.90029999999999999</v>
      </c>
      <c r="I62" s="42">
        <v>0.90980000000000005</v>
      </c>
      <c r="J62" s="43">
        <f t="shared" si="24"/>
        <v>0.90980000000000005</v>
      </c>
      <c r="K62" s="39">
        <v>0</v>
      </c>
      <c r="L62" s="45">
        <f t="shared" si="25"/>
        <v>9.5000000000000639E-3</v>
      </c>
      <c r="M62" s="45">
        <f t="shared" si="26"/>
        <v>1.0552038209485799</v>
      </c>
      <c r="N62" s="46">
        <v>1876579</v>
      </c>
      <c r="O62" s="37">
        <v>1707310.05</v>
      </c>
      <c r="P62" s="68">
        <f t="shared" si="28"/>
        <v>0</v>
      </c>
      <c r="Q62" s="48">
        <f t="shared" si="27"/>
        <v>0.52907563025210091</v>
      </c>
      <c r="R62" s="67"/>
      <c r="T62" s="67"/>
    </row>
    <row r="63" spans="1:20" x14ac:dyDescent="0.25">
      <c r="A63" s="35" t="s">
        <v>143</v>
      </c>
      <c r="B63" s="36" t="s">
        <v>144</v>
      </c>
      <c r="C63" s="40">
        <v>260714518</v>
      </c>
      <c r="D63" s="38">
        <f t="shared" si="23"/>
        <v>82907216.724000007</v>
      </c>
      <c r="E63" s="39">
        <v>0</v>
      </c>
      <c r="F63" s="40" t="s">
        <v>34</v>
      </c>
      <c r="G63" s="66">
        <v>0.22600000000000001</v>
      </c>
      <c r="H63" s="42">
        <v>0.32</v>
      </c>
      <c r="I63" s="42">
        <v>0.318</v>
      </c>
      <c r="J63" s="43">
        <f t="shared" si="24"/>
        <v>0.318</v>
      </c>
      <c r="K63" s="39">
        <v>0</v>
      </c>
      <c r="L63" s="45">
        <f t="shared" si="25"/>
        <v>-2.0000000000000018E-3</v>
      </c>
      <c r="M63" s="45">
        <f t="shared" si="26"/>
        <v>-0.62500000000000056</v>
      </c>
      <c r="N63" s="46">
        <v>53</v>
      </c>
      <c r="O63" s="37">
        <v>16.850000000000001</v>
      </c>
      <c r="P63" s="68">
        <f t="shared" si="28"/>
        <v>0</v>
      </c>
      <c r="Q63" s="48">
        <f t="shared" si="27"/>
        <v>0.40707964601769908</v>
      </c>
      <c r="T63" s="67"/>
    </row>
    <row r="64" spans="1:20" x14ac:dyDescent="0.25">
      <c r="A64" s="35" t="s">
        <v>145</v>
      </c>
      <c r="B64" s="36" t="s">
        <v>146</v>
      </c>
      <c r="C64" s="40">
        <v>562184788</v>
      </c>
      <c r="D64" s="38">
        <f t="shared" si="23"/>
        <v>327922386.84040004</v>
      </c>
      <c r="E64" s="39">
        <v>0</v>
      </c>
      <c r="F64" s="40" t="s">
        <v>34</v>
      </c>
      <c r="G64" s="66">
        <v>0.49440000000000001</v>
      </c>
      <c r="H64" s="42">
        <v>0.68910000000000005</v>
      </c>
      <c r="I64" s="42">
        <v>0.58330000000000004</v>
      </c>
      <c r="J64" s="43">
        <f t="shared" si="24"/>
        <v>0.58330000000000004</v>
      </c>
      <c r="K64" s="39">
        <v>0</v>
      </c>
      <c r="L64" s="45">
        <f t="shared" si="25"/>
        <v>-0.10580000000000001</v>
      </c>
      <c r="M64" s="45">
        <f t="shared" si="26"/>
        <v>-15.35335945436076</v>
      </c>
      <c r="N64" s="46">
        <v>51431</v>
      </c>
      <c r="O64" s="37">
        <v>29999.200000000001</v>
      </c>
      <c r="P64" s="68">
        <f t="shared" si="28"/>
        <v>0</v>
      </c>
      <c r="Q64" s="48">
        <f t="shared" si="27"/>
        <v>0.17981391585760531</v>
      </c>
      <c r="R64" s="67"/>
      <c r="T64" s="67"/>
    </row>
    <row r="65" spans="1:243" x14ac:dyDescent="0.25">
      <c r="A65" s="35" t="s">
        <v>147</v>
      </c>
      <c r="B65" s="36" t="s">
        <v>148</v>
      </c>
      <c r="C65" s="40">
        <v>30000000</v>
      </c>
      <c r="D65" s="38">
        <f t="shared" si="23"/>
        <v>300000000</v>
      </c>
      <c r="E65" s="39">
        <v>0</v>
      </c>
      <c r="F65" s="40" t="s">
        <v>66</v>
      </c>
      <c r="G65" s="66">
        <v>10</v>
      </c>
      <c r="H65" s="42">
        <v>10</v>
      </c>
      <c r="I65" s="42">
        <v>10</v>
      </c>
      <c r="J65" s="43">
        <f t="shared" si="24"/>
        <v>10</v>
      </c>
      <c r="K65" s="39">
        <v>0</v>
      </c>
      <c r="L65" s="45">
        <f t="shared" si="25"/>
        <v>0</v>
      </c>
      <c r="M65" s="45">
        <f t="shared" si="26"/>
        <v>0</v>
      </c>
      <c r="N65" s="46">
        <v>0</v>
      </c>
      <c r="O65" s="37">
        <v>0</v>
      </c>
      <c r="P65" s="68">
        <f t="shared" si="28"/>
        <v>0</v>
      </c>
      <c r="Q65" s="48">
        <f t="shared" si="27"/>
        <v>0</v>
      </c>
      <c r="T65" s="67"/>
    </row>
    <row r="66" spans="1:243" x14ac:dyDescent="0.25">
      <c r="A66" s="35" t="s">
        <v>149</v>
      </c>
      <c r="B66" s="36" t="s">
        <v>150</v>
      </c>
      <c r="C66" s="40">
        <v>344580486</v>
      </c>
      <c r="D66" s="38">
        <f t="shared" si="23"/>
        <v>20674829.16</v>
      </c>
      <c r="E66" s="39">
        <v>0</v>
      </c>
      <c r="F66" s="40" t="s">
        <v>44</v>
      </c>
      <c r="G66" s="66">
        <v>4.2999999999999997E-2</v>
      </c>
      <c r="H66" s="42">
        <v>0.06</v>
      </c>
      <c r="I66" s="42">
        <v>0.06</v>
      </c>
      <c r="J66" s="43">
        <f t="shared" si="24"/>
        <v>0.06</v>
      </c>
      <c r="K66" s="39">
        <v>0</v>
      </c>
      <c r="L66" s="45">
        <f t="shared" si="25"/>
        <v>0</v>
      </c>
      <c r="M66" s="45">
        <f t="shared" si="26"/>
        <v>0</v>
      </c>
      <c r="N66" s="46">
        <v>29912</v>
      </c>
      <c r="O66" s="37">
        <v>1794.72</v>
      </c>
      <c r="P66" s="68">
        <f t="shared" si="28"/>
        <v>0</v>
      </c>
      <c r="Q66" s="48">
        <f t="shared" si="27"/>
        <v>0.39534883720930236</v>
      </c>
      <c r="T66" s="67"/>
    </row>
    <row r="67" spans="1:243" ht="13.2" x14ac:dyDescent="0.35">
      <c r="B67" s="36" t="s">
        <v>82</v>
      </c>
      <c r="C67" s="40"/>
      <c r="D67" s="71"/>
      <c r="E67" s="71"/>
      <c r="F67" s="40"/>
      <c r="G67" s="40"/>
      <c r="H67" s="42"/>
      <c r="I67" s="42"/>
      <c r="J67" s="42"/>
      <c r="K67" s="42"/>
      <c r="L67" s="45"/>
      <c r="M67" s="72"/>
      <c r="N67" s="57">
        <f>SUM(N52:N66)</f>
        <v>3322105</v>
      </c>
      <c r="O67" s="58">
        <f>SUM(O52:O66)</f>
        <v>2331290.4600000004</v>
      </c>
      <c r="P67" s="73"/>
      <c r="Q67" s="59"/>
    </row>
    <row r="68" spans="1:243" ht="12.6" hidden="1" x14ac:dyDescent="0.3">
      <c r="A68" s="127" t="s">
        <v>151</v>
      </c>
      <c r="B68" s="128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30"/>
    </row>
    <row r="69" spans="1:243" ht="12.6" hidden="1" thickBot="1" x14ac:dyDescent="0.3">
      <c r="A69" s="74" t="s">
        <v>152</v>
      </c>
      <c r="B69" s="75" t="s">
        <v>153</v>
      </c>
      <c r="C69" s="76">
        <v>20000</v>
      </c>
      <c r="D69" s="77">
        <f>C69*J69</f>
        <v>0</v>
      </c>
      <c r="E69" s="77"/>
      <c r="F69" s="76" t="s">
        <v>154</v>
      </c>
      <c r="G69" s="76"/>
      <c r="H69" s="78">
        <v>100</v>
      </c>
      <c r="I69" s="78"/>
      <c r="J69" s="78"/>
      <c r="K69" s="78"/>
      <c r="L69" s="79">
        <f>I69-H69</f>
        <v>-100</v>
      </c>
      <c r="M69" s="80">
        <f>((I69-H69)/H69)*100</f>
        <v>-100</v>
      </c>
      <c r="N69" s="81" t="s">
        <v>57</v>
      </c>
      <c r="O69" s="81" t="s">
        <v>57</v>
      </c>
      <c r="P69" s="81"/>
      <c r="Q69" s="82">
        <v>100</v>
      </c>
    </row>
    <row r="70" spans="1:243" ht="12.6" thickBot="1" x14ac:dyDescent="0.3">
      <c r="A70" s="35"/>
      <c r="B70" s="36" t="s">
        <v>82</v>
      </c>
      <c r="C70" s="40"/>
      <c r="D70" s="37"/>
      <c r="E70" s="37"/>
      <c r="F70" s="40"/>
      <c r="G70" s="40"/>
      <c r="H70" s="42"/>
      <c r="I70" s="42"/>
      <c r="J70" s="42"/>
      <c r="K70" s="42"/>
      <c r="L70" s="45"/>
      <c r="M70" s="72"/>
      <c r="N70" s="83"/>
      <c r="O70" s="83"/>
      <c r="P70" s="83"/>
      <c r="Q70" s="59"/>
    </row>
    <row r="71" spans="1:243" ht="12.6" x14ac:dyDescent="0.3">
      <c r="A71" s="127" t="s">
        <v>155</v>
      </c>
      <c r="B71" s="128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30"/>
    </row>
    <row r="72" spans="1:243" x14ac:dyDescent="0.25">
      <c r="A72" s="84" t="s">
        <v>156</v>
      </c>
      <c r="B72" s="85" t="s">
        <v>157</v>
      </c>
      <c r="C72" s="86">
        <v>139300587</v>
      </c>
      <c r="D72" s="38">
        <f>C72*J72</f>
        <v>50008910.732999995</v>
      </c>
      <c r="E72" s="39">
        <f>C72*K72</f>
        <v>50008910.732999995</v>
      </c>
      <c r="F72" s="86" t="s">
        <v>158</v>
      </c>
      <c r="G72" s="86">
        <v>0.24</v>
      </c>
      <c r="H72" s="87">
        <v>0.35899999999999999</v>
      </c>
      <c r="I72" s="87">
        <v>0.35899999999999999</v>
      </c>
      <c r="J72" s="88">
        <f>I72</f>
        <v>0.35899999999999999</v>
      </c>
      <c r="K72" s="88">
        <f>J72</f>
        <v>0.35899999999999999</v>
      </c>
      <c r="L72" s="45">
        <f>I72-H72</f>
        <v>0</v>
      </c>
      <c r="M72" s="45">
        <f>((I72-H72)/H72)*100</f>
        <v>0</v>
      </c>
      <c r="N72" s="89">
        <v>16</v>
      </c>
      <c r="O72" s="90">
        <v>5.75</v>
      </c>
      <c r="P72" s="68">
        <f>(R72)/J72</f>
        <v>0</v>
      </c>
      <c r="Q72" s="91">
        <f>J72/G72-1</f>
        <v>0.49583333333333335</v>
      </c>
      <c r="T72" s="67"/>
    </row>
    <row r="73" spans="1:243" x14ac:dyDescent="0.25">
      <c r="A73" s="84" t="s">
        <v>159</v>
      </c>
      <c r="B73" s="85" t="s">
        <v>160</v>
      </c>
      <c r="C73" s="86">
        <v>471351750</v>
      </c>
      <c r="D73" s="38">
        <f>C73*J73</f>
        <v>69524383.125</v>
      </c>
      <c r="E73" s="39">
        <f>C73*K73</f>
        <v>69524383.125</v>
      </c>
      <c r="F73" s="86" t="s">
        <v>158</v>
      </c>
      <c r="G73" s="86">
        <v>0.1</v>
      </c>
      <c r="H73" s="87">
        <v>0.14369999999999999</v>
      </c>
      <c r="I73" s="87">
        <v>0.14749999999999999</v>
      </c>
      <c r="J73" s="88">
        <f>I73</f>
        <v>0.14749999999999999</v>
      </c>
      <c r="K73" s="88">
        <f>J73</f>
        <v>0.14749999999999999</v>
      </c>
      <c r="L73" s="45">
        <f>I73-H73</f>
        <v>3.7999999999999978E-3</v>
      </c>
      <c r="M73" s="45">
        <f>((I73-H73)/H73)*100</f>
        <v>2.6443980514961711</v>
      </c>
      <c r="N73" s="46">
        <v>4589</v>
      </c>
      <c r="O73" s="90">
        <v>676.67</v>
      </c>
      <c r="P73" s="92">
        <f>(R73)/J73</f>
        <v>2.5708474576271186E-2</v>
      </c>
      <c r="Q73" s="91">
        <f>J73/G73-1</f>
        <v>0.47499999999999987</v>
      </c>
      <c r="R73" s="5">
        <v>3.7919999999999998E-3</v>
      </c>
      <c r="T73" s="67"/>
    </row>
    <row r="74" spans="1:243" ht="13.2" x14ac:dyDescent="0.35">
      <c r="A74" s="84"/>
      <c r="B74" s="36" t="s">
        <v>82</v>
      </c>
      <c r="C74" s="40"/>
      <c r="D74" s="37"/>
      <c r="E74" s="37"/>
      <c r="F74" s="40"/>
      <c r="G74" s="40"/>
      <c r="H74" s="42"/>
      <c r="I74" s="42"/>
      <c r="J74" s="42"/>
      <c r="K74" s="42"/>
      <c r="L74" s="45"/>
      <c r="M74" s="72"/>
      <c r="N74" s="57">
        <f>SUM(N72:N73)</f>
        <v>4605</v>
      </c>
      <c r="O74" s="58">
        <f>SUM(O72:O73)</f>
        <v>682.42</v>
      </c>
      <c r="P74" s="83"/>
      <c r="Q74" s="45"/>
    </row>
    <row r="75" spans="1:243" ht="12.6" x14ac:dyDescent="0.3">
      <c r="A75" s="139" t="s">
        <v>161</v>
      </c>
      <c r="B75" s="140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</row>
    <row r="76" spans="1:243" x14ac:dyDescent="0.25">
      <c r="A76" s="35" t="s">
        <v>162</v>
      </c>
      <c r="B76" s="36" t="s">
        <v>163</v>
      </c>
      <c r="C76" s="40">
        <v>45396463</v>
      </c>
      <c r="D76" s="38">
        <f>C76*J76</f>
        <v>167099.63441272906</v>
      </c>
      <c r="E76" s="39">
        <f>C76*K76</f>
        <v>142021.32128006668</v>
      </c>
      <c r="F76" s="40" t="s">
        <v>140</v>
      </c>
      <c r="G76" s="66">
        <v>0.105</v>
      </c>
      <c r="H76" s="42">
        <v>9.3854000000000007E-2</v>
      </c>
      <c r="I76" s="42">
        <v>9.3854000000000007E-2</v>
      </c>
      <c r="J76" s="43">
        <f>I76/$J$5</f>
        <v>3.6808954568273099E-3</v>
      </c>
      <c r="K76" s="44">
        <f>I76/$K$4</f>
        <v>3.1284666666666671E-3</v>
      </c>
      <c r="L76" s="45">
        <f>I76-H76</f>
        <v>0</v>
      </c>
      <c r="M76" s="93">
        <f>((I76-H76)/H76)*100</f>
        <v>0</v>
      </c>
      <c r="N76" s="37">
        <v>0</v>
      </c>
      <c r="O76" s="37">
        <v>0</v>
      </c>
      <c r="P76" s="40">
        <v>0</v>
      </c>
      <c r="Q76" s="48">
        <f>I76/G76-1</f>
        <v>-0.10615238095238089</v>
      </c>
    </row>
    <row r="77" spans="1:243" x14ac:dyDescent="0.25">
      <c r="A77" s="35" t="s">
        <v>164</v>
      </c>
      <c r="B77" s="36" t="s">
        <v>165</v>
      </c>
      <c r="C77" s="40">
        <v>136162052</v>
      </c>
      <c r="D77" s="38">
        <f>C77*J77</f>
        <v>293710.50059613452</v>
      </c>
      <c r="E77" s="39">
        <f>C77*K77</f>
        <v>249630.42866666667</v>
      </c>
      <c r="F77" s="40" t="s">
        <v>140</v>
      </c>
      <c r="G77" s="66">
        <v>4.2500000000000003E-2</v>
      </c>
      <c r="H77" s="42">
        <v>5.5E-2</v>
      </c>
      <c r="I77" s="42">
        <v>5.5E-2</v>
      </c>
      <c r="J77" s="43">
        <f>I77/$J$5</f>
        <v>2.1570657630522088E-3</v>
      </c>
      <c r="K77" s="44">
        <f>I77/$K$4</f>
        <v>1.8333333333333333E-3</v>
      </c>
      <c r="L77" s="45">
        <f>I77-H77</f>
        <v>0</v>
      </c>
      <c r="M77" s="93">
        <f>((I77-H77)/H77)*100</f>
        <v>0</v>
      </c>
      <c r="N77" s="37">
        <v>10100</v>
      </c>
      <c r="O77" s="37">
        <v>555.5</v>
      </c>
      <c r="P77" s="40">
        <v>0</v>
      </c>
      <c r="Q77" s="48">
        <f>I77/G77-1</f>
        <v>0.29411764705882337</v>
      </c>
    </row>
    <row r="78" spans="1:243" x14ac:dyDescent="0.25">
      <c r="A78" s="35" t="s">
        <v>166</v>
      </c>
      <c r="B78" s="36" t="s">
        <v>167</v>
      </c>
      <c r="C78" s="40">
        <v>494417400</v>
      </c>
      <c r="D78" s="38">
        <f>C78*J78</f>
        <v>1551259.4126506026</v>
      </c>
      <c r="E78" s="39">
        <f>C78*K78</f>
        <v>1318446.3999999999</v>
      </c>
      <c r="F78" s="40" t="s">
        <v>140</v>
      </c>
      <c r="G78" s="66">
        <v>6.0499999999999998E-2</v>
      </c>
      <c r="H78" s="42">
        <v>0.08</v>
      </c>
      <c r="I78" s="42">
        <v>0.08</v>
      </c>
      <c r="J78" s="43">
        <f>I78/$J$5</f>
        <v>3.1375502008032133E-3</v>
      </c>
      <c r="K78" s="44">
        <f>I78/$K$4</f>
        <v>2.6666666666666666E-3</v>
      </c>
      <c r="L78" s="45">
        <f>I78-H78</f>
        <v>0</v>
      </c>
      <c r="M78" s="93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0.3223140495867769</v>
      </c>
    </row>
    <row r="79" spans="1:243" x14ac:dyDescent="0.25">
      <c r="A79" s="35" t="s">
        <v>168</v>
      </c>
      <c r="B79" s="36" t="s">
        <v>169</v>
      </c>
      <c r="C79" s="37">
        <v>41156692</v>
      </c>
      <c r="D79" s="38">
        <f>C79*J79</f>
        <v>2598765.1433860441</v>
      </c>
      <c r="E79" s="39">
        <f>C79*K79</f>
        <v>2208742.4706666665</v>
      </c>
      <c r="F79" s="40" t="s">
        <v>140</v>
      </c>
      <c r="G79" s="66">
        <v>1.85</v>
      </c>
      <c r="H79" s="42">
        <v>1.61</v>
      </c>
      <c r="I79" s="42">
        <v>1.61</v>
      </c>
      <c r="J79" s="43">
        <f>I79/$J$5</f>
        <v>6.314319779116466E-2</v>
      </c>
      <c r="K79" s="44">
        <f>I79/$K$4</f>
        <v>5.3666666666666668E-2</v>
      </c>
      <c r="L79" s="45">
        <f>I79-H79</f>
        <v>0</v>
      </c>
      <c r="M79" s="93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-0.12972972972972974</v>
      </c>
    </row>
    <row r="80" spans="1:243" ht="13.8" thickBot="1" x14ac:dyDescent="0.4">
      <c r="A80" s="35"/>
      <c r="B80" s="36" t="s">
        <v>82</v>
      </c>
      <c r="C80" s="37"/>
      <c r="D80" s="37"/>
      <c r="E80" s="37"/>
      <c r="F80" s="40"/>
      <c r="G80" s="40"/>
      <c r="H80" s="42"/>
      <c r="I80" s="42"/>
      <c r="J80" s="42"/>
      <c r="K80" s="42"/>
      <c r="L80" s="45"/>
      <c r="M80" s="45"/>
      <c r="N80" s="57">
        <f>SUM(N76:N79)</f>
        <v>10100</v>
      </c>
      <c r="O80" s="58">
        <f>SUM(O76:O79)</f>
        <v>555.5</v>
      </c>
      <c r="P80" s="73"/>
      <c r="Q80" s="59"/>
      <c r="DU80" s="94"/>
      <c r="DV80" s="94"/>
      <c r="DW80" s="95"/>
      <c r="DX80" s="96"/>
      <c r="DY80" s="96"/>
      <c r="DZ80" s="97"/>
      <c r="EA80" s="97"/>
      <c r="EB80" s="98"/>
      <c r="EC80" s="98"/>
      <c r="ED80" s="99"/>
      <c r="EE80" s="99"/>
      <c r="EF80" s="97"/>
      <c r="EG80" s="100"/>
      <c r="EH80" s="101"/>
      <c r="EI80" s="95"/>
      <c r="EJ80" s="94"/>
      <c r="EK80" s="94"/>
      <c r="EL80" s="95"/>
      <c r="EM80" s="96"/>
      <c r="EN80" s="96"/>
      <c r="EO80" s="97"/>
      <c r="EP80" s="97"/>
      <c r="EQ80" s="98"/>
      <c r="ER80" s="98"/>
      <c r="ES80" s="99"/>
      <c r="ET80" s="99"/>
      <c r="EU80" s="97"/>
      <c r="EV80" s="100"/>
      <c r="EW80" s="101"/>
      <c r="EX80" s="95"/>
      <c r="EY80" s="94"/>
      <c r="EZ80" s="94"/>
      <c r="FA80" s="95"/>
      <c r="FB80" s="96"/>
      <c r="FC80" s="96"/>
      <c r="FD80" s="97"/>
      <c r="FE80" s="97"/>
      <c r="FF80" s="98"/>
      <c r="FG80" s="98"/>
      <c r="FH80" s="99"/>
      <c r="FI80" s="99"/>
      <c r="FJ80" s="97"/>
      <c r="FK80" s="100"/>
      <c r="FL80" s="101"/>
      <c r="FM80" s="95"/>
      <c r="FN80" s="94"/>
      <c r="FO80" s="94"/>
      <c r="FP80" s="95"/>
      <c r="FQ80" s="96"/>
      <c r="FR80" s="96"/>
      <c r="FS80" s="97"/>
      <c r="FT80" s="97"/>
      <c r="FU80" s="98"/>
      <c r="FV80" s="98"/>
      <c r="FW80" s="99"/>
      <c r="FX80" s="99"/>
      <c r="FY80" s="97"/>
      <c r="FZ80" s="100"/>
      <c r="GA80" s="101"/>
      <c r="GB80" s="95"/>
      <c r="GC80" s="94"/>
      <c r="GD80" s="94"/>
      <c r="GE80" s="95"/>
      <c r="GF80" s="96"/>
      <c r="GG80" s="96"/>
      <c r="GH80" s="97"/>
      <c r="GI80" s="97"/>
      <c r="GJ80" s="98"/>
      <c r="GK80" s="98"/>
      <c r="GL80" s="99"/>
      <c r="GM80" s="99"/>
      <c r="GN80" s="97"/>
      <c r="GO80" s="100"/>
      <c r="GP80" s="101"/>
      <c r="GQ80" s="95"/>
      <c r="GR80" s="94"/>
      <c r="GS80" s="94"/>
      <c r="GT80" s="95"/>
      <c r="GU80" s="96"/>
      <c r="GV80" s="96"/>
      <c r="GW80" s="97"/>
      <c r="GX80" s="97"/>
      <c r="GY80" s="98"/>
      <c r="GZ80" s="98"/>
      <c r="HA80" s="99"/>
      <c r="HB80" s="99"/>
      <c r="HC80" s="97"/>
      <c r="HD80" s="100"/>
      <c r="HE80" s="101"/>
      <c r="HF80" s="95"/>
      <c r="HG80" s="94"/>
      <c r="HH80" s="94"/>
      <c r="HI80" s="95"/>
      <c r="HJ80" s="96"/>
      <c r="HK80" s="96"/>
      <c r="HL80" s="97"/>
      <c r="HM80" s="97"/>
      <c r="HN80" s="98"/>
      <c r="HO80" s="98"/>
      <c r="HP80" s="99"/>
      <c r="HQ80" s="99"/>
      <c r="HR80" s="97"/>
      <c r="HS80" s="100"/>
      <c r="HT80" s="101"/>
      <c r="HU80" s="95"/>
      <c r="HV80" s="94"/>
      <c r="HW80" s="94"/>
      <c r="HX80" s="95"/>
      <c r="HY80" s="96"/>
      <c r="HZ80" s="96"/>
      <c r="IA80" s="97"/>
      <c r="IB80" s="97"/>
      <c r="IC80" s="98"/>
      <c r="ID80" s="98"/>
      <c r="IE80" s="99"/>
      <c r="IF80" s="99"/>
      <c r="IG80" s="97"/>
      <c r="IH80" s="100"/>
      <c r="II80" s="101"/>
    </row>
    <row r="81" spans="1:38" ht="13.2" thickTop="1" x14ac:dyDescent="0.3">
      <c r="A81" s="127" t="s">
        <v>170</v>
      </c>
      <c r="B81" s="128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30"/>
    </row>
    <row r="82" spans="1:38" x14ac:dyDescent="0.25">
      <c r="A82" s="35" t="s">
        <v>171</v>
      </c>
      <c r="B82" s="36" t="s">
        <v>172</v>
      </c>
      <c r="C82" s="40">
        <v>368326244</v>
      </c>
      <c r="D82" s="38">
        <f>C82*J82</f>
        <v>33946986.124184243</v>
      </c>
      <c r="E82" s="39">
        <f>C82*K82</f>
        <v>28852222.446666669</v>
      </c>
      <c r="F82" s="40" t="s">
        <v>173</v>
      </c>
      <c r="G82" s="40">
        <v>1.3</v>
      </c>
      <c r="H82" s="42">
        <v>2.35</v>
      </c>
      <c r="I82" s="42">
        <v>2.35</v>
      </c>
      <c r="J82" s="43">
        <f>I82/$J$5</f>
        <v>9.2165537148594393E-2</v>
      </c>
      <c r="K82" s="44">
        <f>I82/$K$4</f>
        <v>7.8333333333333338E-2</v>
      </c>
      <c r="L82" s="45">
        <f>I82-H82</f>
        <v>0</v>
      </c>
      <c r="M82" s="45">
        <f>((I82-H82)/H82*100)</f>
        <v>0</v>
      </c>
      <c r="N82" s="47">
        <v>0</v>
      </c>
      <c r="O82" s="37">
        <v>0</v>
      </c>
      <c r="P82" s="47">
        <f>(R82)/J82</f>
        <v>0</v>
      </c>
      <c r="Q82" s="48">
        <f>I82/G82-1</f>
        <v>0.80769230769230771</v>
      </c>
      <c r="R82" s="67"/>
    </row>
    <row r="83" spans="1:38" s="103" customFormat="1" ht="12.6" thickBot="1" x14ac:dyDescent="0.3">
      <c r="A83" s="35" t="s">
        <v>174</v>
      </c>
      <c r="B83" s="36" t="s">
        <v>175</v>
      </c>
      <c r="C83" s="40">
        <v>1841105000</v>
      </c>
      <c r="D83" s="38">
        <f>C83*J83</f>
        <v>80948081.657881543</v>
      </c>
      <c r="E83" s="39">
        <f>C83*K83</f>
        <v>68799393.562666669</v>
      </c>
      <c r="F83" s="40" t="s">
        <v>173</v>
      </c>
      <c r="G83" s="40">
        <v>1.44347</v>
      </c>
      <c r="H83" s="42">
        <v>1.116527</v>
      </c>
      <c r="I83" s="42">
        <v>1.1210560000000001</v>
      </c>
      <c r="J83" s="43">
        <f>I83/$J$5</f>
        <v>4.3967118473895589E-2</v>
      </c>
      <c r="K83" s="44">
        <f>I83/$K$4</f>
        <v>3.7368533333333336E-2</v>
      </c>
      <c r="L83" s="45">
        <f>I83-H83</f>
        <v>4.5290000000000052E-3</v>
      </c>
      <c r="M83" s="45">
        <f>((I83-H83)/H83*100)</f>
        <v>0.40563282392633632</v>
      </c>
      <c r="N83" s="47">
        <v>299895</v>
      </c>
      <c r="O83" s="37">
        <v>336208.38250000001</v>
      </c>
      <c r="P83" s="102">
        <f>(R83)/J83</f>
        <v>4.9491530842348634E-2</v>
      </c>
      <c r="Q83" s="48">
        <f>I83/G83-1</f>
        <v>-0.2233603746527465</v>
      </c>
      <c r="R83" s="67">
        <v>2.176E-3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spans="1:38" ht="13.8" thickBot="1" x14ac:dyDescent="0.4">
      <c r="A84" s="74"/>
      <c r="B84" s="75" t="s">
        <v>82</v>
      </c>
      <c r="C84" s="76"/>
      <c r="D84" s="104"/>
      <c r="E84" s="77"/>
      <c r="F84" s="76"/>
      <c r="G84" s="76"/>
      <c r="H84" s="78"/>
      <c r="I84" s="78"/>
      <c r="J84" s="78"/>
      <c r="K84" s="78"/>
      <c r="L84" s="79"/>
      <c r="M84" s="79"/>
      <c r="N84" s="57">
        <f>SUM(N82:N83)</f>
        <v>299895</v>
      </c>
      <c r="O84" s="58">
        <f>SUM(O82:O83)</f>
        <v>336208.38250000001</v>
      </c>
      <c r="P84" s="105"/>
      <c r="Q84" s="82"/>
    </row>
    <row r="85" spans="1:38" ht="12.6" thickBot="1" x14ac:dyDescent="0.3">
      <c r="A85" s="106"/>
      <c r="B85" s="107"/>
      <c r="C85" s="107"/>
      <c r="D85" s="107"/>
      <c r="E85" s="107"/>
      <c r="F85" s="108"/>
      <c r="G85" s="108"/>
      <c r="H85" s="55"/>
      <c r="M85" s="84"/>
      <c r="N85" s="84"/>
      <c r="O85" s="55"/>
      <c r="P85" s="55"/>
      <c r="Q85" s="109"/>
    </row>
    <row r="86" spans="1:38" ht="12.6" thickBot="1" x14ac:dyDescent="0.3">
      <c r="A86" s="131" t="s">
        <v>176</v>
      </c>
      <c r="B86" s="132"/>
      <c r="C86" s="132"/>
      <c r="D86" s="132"/>
      <c r="E86" s="131" t="s">
        <v>177</v>
      </c>
      <c r="F86" s="132"/>
      <c r="G86" s="132"/>
      <c r="H86" s="133"/>
      <c r="L86" s="134" t="s">
        <v>178</v>
      </c>
      <c r="M86" s="135"/>
      <c r="N86" s="136"/>
      <c r="O86" s="134" t="s">
        <v>179</v>
      </c>
      <c r="P86" s="135"/>
      <c r="Q86" s="136"/>
    </row>
    <row r="87" spans="1:38" x14ac:dyDescent="0.25">
      <c r="A87" s="35" t="s">
        <v>35</v>
      </c>
      <c r="B87" s="110">
        <v>5.9284999999999997E-2</v>
      </c>
      <c r="C87" s="110"/>
      <c r="D87" s="110">
        <v>14.009615384615371</v>
      </c>
      <c r="E87" s="35" t="s">
        <v>113</v>
      </c>
      <c r="F87" s="111">
        <v>6.2699999999999992E-2</v>
      </c>
      <c r="G87" s="111"/>
      <c r="H87" s="112">
        <v>-12.916666666666687</v>
      </c>
      <c r="L87" s="35" t="s">
        <v>128</v>
      </c>
      <c r="M87" s="47">
        <v>2.3400000000000001E-2</v>
      </c>
      <c r="N87" s="113">
        <v>17</v>
      </c>
      <c r="O87" s="35" t="s">
        <v>145</v>
      </c>
      <c r="P87" s="111">
        <v>0.58330000000000004</v>
      </c>
      <c r="Q87" s="114">
        <v>-15.35335945436076</v>
      </c>
    </row>
    <row r="88" spans="1:38" x14ac:dyDescent="0.25">
      <c r="A88" s="35" t="s">
        <v>97</v>
      </c>
      <c r="B88" s="110">
        <v>2.7563949999999999</v>
      </c>
      <c r="C88" s="110"/>
      <c r="D88" s="110">
        <v>10.255799999999997</v>
      </c>
      <c r="E88" s="35" t="s">
        <v>95</v>
      </c>
      <c r="F88" s="111">
        <v>3.15E-2</v>
      </c>
      <c r="G88" s="111"/>
      <c r="H88" s="112">
        <v>-7.4264554618391321</v>
      </c>
      <c r="L88" s="35" t="s">
        <v>126</v>
      </c>
      <c r="M88" s="47">
        <v>0.26700000000000002</v>
      </c>
      <c r="N88" s="113">
        <v>8.2286177543575239</v>
      </c>
      <c r="O88" s="35" t="s">
        <v>132</v>
      </c>
      <c r="P88" s="111">
        <v>1.2008000000000001</v>
      </c>
      <c r="Q88" s="114">
        <v>-5.3743104806934454</v>
      </c>
    </row>
    <row r="89" spans="1:38" x14ac:dyDescent="0.25">
      <c r="A89" s="35" t="s">
        <v>72</v>
      </c>
      <c r="B89" s="110">
        <v>1.3</v>
      </c>
      <c r="C89" s="110"/>
      <c r="D89" s="110">
        <v>8.333333333333341</v>
      </c>
      <c r="E89" s="35" t="s">
        <v>50</v>
      </c>
      <c r="F89" s="111">
        <v>2.7803849999999999</v>
      </c>
      <c r="G89" s="111"/>
      <c r="H89" s="112">
        <v>-6.6900043594568501</v>
      </c>
      <c r="L89" s="35" t="s">
        <v>141</v>
      </c>
      <c r="M89" s="47">
        <v>0.90980000000000005</v>
      </c>
      <c r="N89" s="113">
        <v>1.0552038209485799</v>
      </c>
      <c r="O89" s="35" t="s">
        <v>130</v>
      </c>
      <c r="P89" s="111">
        <v>0.1066</v>
      </c>
      <c r="Q89" s="114">
        <v>-4.3087971274685808</v>
      </c>
    </row>
    <row r="90" spans="1:38" x14ac:dyDescent="0.25">
      <c r="A90" s="35" t="s">
        <v>117</v>
      </c>
      <c r="B90" s="110">
        <v>0.99982699999999991</v>
      </c>
      <c r="C90" s="110"/>
      <c r="D90" s="110">
        <v>2.1149625326441255</v>
      </c>
      <c r="E90" s="35" t="s">
        <v>37</v>
      </c>
      <c r="F90" s="111">
        <v>0.23064800000000002</v>
      </c>
      <c r="G90" s="111"/>
      <c r="H90" s="112">
        <v>-6.620242914979749</v>
      </c>
      <c r="L90" s="35" t="s">
        <v>124</v>
      </c>
      <c r="M90" s="47">
        <v>58.997100000000003</v>
      </c>
      <c r="N90" s="113">
        <v>0.97298240929955571</v>
      </c>
      <c r="O90" s="35" t="s">
        <v>136</v>
      </c>
      <c r="P90" s="111">
        <v>1.9699999999999999E-2</v>
      </c>
      <c r="Q90" s="114">
        <v>-1.5000000000000082</v>
      </c>
    </row>
    <row r="91" spans="1:38" x14ac:dyDescent="0.25">
      <c r="A91" s="35" t="s">
        <v>78</v>
      </c>
      <c r="B91" s="110">
        <v>0.86250000000000004</v>
      </c>
      <c r="C91" s="110"/>
      <c r="D91" s="110">
        <v>1.4705882352941255</v>
      </c>
      <c r="E91" s="35" t="s">
        <v>115</v>
      </c>
      <c r="F91" s="111">
        <v>0.75</v>
      </c>
      <c r="G91" s="111"/>
      <c r="H91" s="112">
        <v>-4.4811095474315001</v>
      </c>
      <c r="L91" s="35" t="s">
        <v>122</v>
      </c>
      <c r="M91" s="47">
        <v>0.1295</v>
      </c>
      <c r="N91" s="113">
        <v>0.46547711404190628</v>
      </c>
      <c r="O91" s="35"/>
      <c r="P91" s="111"/>
      <c r="Q91" s="114"/>
    </row>
    <row r="92" spans="1:38" ht="12.6" thickBot="1" x14ac:dyDescent="0.3">
      <c r="A92" s="115"/>
      <c r="B92" s="116"/>
      <c r="C92" s="116"/>
      <c r="D92" s="116"/>
      <c r="E92" s="115"/>
      <c r="F92" s="116"/>
      <c r="G92" s="116"/>
      <c r="H92" s="117"/>
      <c r="L92" s="115"/>
      <c r="M92" s="116"/>
      <c r="N92" s="117"/>
      <c r="O92" s="116"/>
      <c r="P92" s="116"/>
      <c r="Q92" s="117"/>
    </row>
    <row r="93" spans="1:38" x14ac:dyDescent="0.25">
      <c r="A93" s="118"/>
      <c r="B93" s="119"/>
      <c r="C93" s="119"/>
      <c r="D93" s="119"/>
      <c r="E93" s="84"/>
      <c r="F93" s="84"/>
      <c r="G93" s="84"/>
      <c r="H93" s="84"/>
      <c r="I93" s="84"/>
      <c r="J93" s="84"/>
      <c r="K93" s="84"/>
      <c r="L93" s="84"/>
      <c r="M93" s="119"/>
      <c r="Q93" s="16"/>
    </row>
    <row r="94" spans="1:38" x14ac:dyDescent="0.25">
      <c r="A94" s="12" t="s">
        <v>180</v>
      </c>
      <c r="B94" s="120"/>
      <c r="C94" s="120"/>
      <c r="D94" s="120"/>
      <c r="E94" s="120"/>
      <c r="F94" s="13"/>
      <c r="G94" s="13"/>
      <c r="H94" s="13"/>
      <c r="I94" s="13"/>
      <c r="J94" s="13"/>
      <c r="K94" s="13"/>
      <c r="L94" s="13"/>
      <c r="M94" s="13"/>
      <c r="Q94" s="16"/>
    </row>
    <row r="95" spans="1:38" x14ac:dyDescent="0.25">
      <c r="A95" s="118"/>
      <c r="B95" s="119"/>
      <c r="C95" s="119"/>
      <c r="D95" s="119"/>
      <c r="E95" s="119"/>
      <c r="F95" s="84"/>
      <c r="G95" s="84"/>
      <c r="H95" s="119"/>
      <c r="I95" s="84"/>
      <c r="J95" s="84"/>
      <c r="K95" s="84"/>
      <c r="L95" s="84"/>
      <c r="M95" s="119"/>
      <c r="Q95" s="16"/>
    </row>
    <row r="96" spans="1:38" ht="12.6" thickBot="1" x14ac:dyDescent="0.3">
      <c r="A96" s="121"/>
      <c r="B96" s="122"/>
      <c r="C96" s="122"/>
      <c r="D96" s="122"/>
      <c r="E96" s="122"/>
      <c r="F96" s="123"/>
      <c r="G96" s="123"/>
      <c r="H96" s="123"/>
      <c r="I96" s="124"/>
      <c r="J96" s="124"/>
      <c r="K96" s="124"/>
      <c r="L96" s="124"/>
      <c r="M96" s="124"/>
      <c r="N96" s="124"/>
      <c r="O96" s="124"/>
      <c r="P96" s="124"/>
      <c r="Q96" s="125"/>
    </row>
    <row r="97" spans="9:16" x14ac:dyDescent="0.25">
      <c r="I97" s="32"/>
      <c r="J97" s="32"/>
      <c r="K97" s="32"/>
      <c r="L97" s="32"/>
      <c r="M97" s="32"/>
      <c r="N97" s="32"/>
      <c r="O97" s="32"/>
      <c r="P97" s="32"/>
    </row>
    <row r="98" spans="9:16" x14ac:dyDescent="0.25">
      <c r="I98" s="32"/>
      <c r="J98" s="32"/>
      <c r="K98" s="32"/>
      <c r="O98" s="32"/>
      <c r="P98" s="32"/>
    </row>
    <row r="99" spans="9:16" x14ac:dyDescent="0.25">
      <c r="I99" s="32"/>
      <c r="J99" s="32"/>
      <c r="K99" s="32"/>
      <c r="O99" s="32"/>
      <c r="P99" s="32"/>
    </row>
    <row r="100" spans="9:16" x14ac:dyDescent="0.25">
      <c r="I100" s="126"/>
      <c r="J100" s="126"/>
      <c r="K100" s="126"/>
      <c r="O100" s="126"/>
      <c r="P100" s="126"/>
    </row>
    <row r="102" spans="9:16" x14ac:dyDescent="0.25">
      <c r="I102" s="32"/>
      <c r="J102" s="32"/>
      <c r="K102" s="32"/>
      <c r="O102" s="32"/>
      <c r="P102" s="32"/>
    </row>
    <row r="103" spans="9:16" x14ac:dyDescent="0.25">
      <c r="I103" s="126"/>
      <c r="J103" s="126"/>
      <c r="K103" s="126"/>
      <c r="O103" s="126"/>
      <c r="P103" s="126"/>
    </row>
    <row r="104" spans="9:16" x14ac:dyDescent="0.25">
      <c r="I104" s="32"/>
      <c r="J104" s="32"/>
      <c r="K104" s="32"/>
      <c r="O104" s="32"/>
      <c r="P104" s="32"/>
    </row>
    <row r="105" spans="9:16" x14ac:dyDescent="0.25">
      <c r="I105" s="126"/>
      <c r="J105" s="126"/>
      <c r="K105" s="126"/>
      <c r="O105" s="126"/>
      <c r="P105" s="126"/>
    </row>
  </sheetData>
  <sheetProtection algorithmName="SHA-512" hashValue="MrV4gNuxFz83MYmARvexIBKfV7GAIIfW5MV2YEnQDdpqRMaLWixJi28bo+MOaJk6m8BZRkDAUYXrguy9ByJnQg==" saltValue="j1Ntr7VtAC/vcQAKrYoSsQ==" spinCount="100000" sheet="1"/>
  <mergeCells count="11">
    <mergeCell ref="A75:Q75"/>
    <mergeCell ref="L5:M5"/>
    <mergeCell ref="A6:Q6"/>
    <mergeCell ref="A51:Q51"/>
    <mergeCell ref="A68:Q68"/>
    <mergeCell ref="A71:Q71"/>
    <mergeCell ref="A81:Q81"/>
    <mergeCell ref="A86:D86"/>
    <mergeCell ref="E86:H86"/>
    <mergeCell ref="L86:N86"/>
    <mergeCell ref="O86:Q86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7:A89">
    <cfRule type="duplicateValues" dxfId="35" priority="1" stopIfTrue="1"/>
  </conditionalFormatting>
  <conditionalFormatting sqref="L10:M27 L29:M48 L52:M66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6" stopIfTrue="1" operator="greaterThan">
      <formula>0</formula>
    </cfRule>
    <cfRule type="cellIs" dxfId="31" priority="12" stopIfTrue="1" operator="lessThan">
      <formula>0</formula>
    </cfRule>
  </conditionalFormatting>
  <conditionalFormatting sqref="L28:M28">
    <cfRule type="cellIs" priority="17" stopIfTrue="1" operator="greaterThan">
      <formula>0</formula>
    </cfRule>
    <cfRule type="cellIs" dxfId="30" priority="13" stopIfTrue="1" operator="greaterThan">
      <formula>0</formula>
    </cfRule>
    <cfRule type="cellIs" dxfId="29" priority="14" stopIfTrue="1" operator="lessThan">
      <formula>0</formula>
    </cfRule>
    <cfRule type="cellIs" dxfId="28" priority="15" stopIfTrue="1" operator="greaterThan">
      <formula>0</formula>
    </cfRule>
  </conditionalFormatting>
  <conditionalFormatting sqref="L52:M66 L10:M27 L29:M48">
    <cfRule type="cellIs" dxfId="27" priority="38" stopIfTrue="1" operator="lessThan">
      <formula>0</formula>
    </cfRule>
  </conditionalFormatting>
  <conditionalFormatting sqref="L52:M66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2:M73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priority="7" stopIfTrue="1" operator="greaterThan">
      <formula>0</formula>
    </cfRule>
    <cfRule type="cellIs" dxfId="20" priority="6" stopIfTrue="1" operator="greaterThan">
      <formula>0</formula>
    </cfRule>
  </conditionalFormatting>
  <conditionalFormatting sqref="L76:M79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2:M83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1" stopIfTrue="1" operator="lessThan">
      <formula>0</formula>
    </cfRule>
    <cfRule type="cellIs" dxfId="8" priority="10" stopIfTrue="1" operator="greaterThan">
      <formula>0</formula>
    </cfRule>
  </conditionalFormatting>
  <conditionalFormatting sqref="Q52:Q66">
    <cfRule type="cellIs" dxfId="7" priority="23" stopIfTrue="1" operator="lessThan">
      <formula>0</formula>
    </cfRule>
    <cfRule type="cellIs" dxfId="6" priority="22" stopIfTrue="1" operator="greaterThan">
      <formula>0</formula>
    </cfRule>
  </conditionalFormatting>
  <conditionalFormatting sqref="Q72:Q73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6:Q79">
    <cfRule type="cellIs" dxfId="3" priority="21" stopIfTrue="1" operator="lessThan">
      <formula>0</formula>
    </cfRule>
    <cfRule type="cellIs" dxfId="2" priority="20" stopIfTrue="1" operator="greaterThan">
      <formula>0</formula>
    </cfRule>
  </conditionalFormatting>
  <conditionalFormatting sqref="Q82:Q83">
    <cfRule type="cellIs" dxfId="1" priority="19" stopIfTrue="1" operator="lessThan">
      <formula>0</formula>
    </cfRule>
    <cfRule type="cellIs" dxfId="0" priority="18" stopIfTrue="1" operator="greater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2026-05-05T13:33:39Z</dcterms:created>
  <dcterms:modified xsi:type="dcterms:W3CDTF">2026-05-05T13:37:30Z</dcterms:modified>
</cp:coreProperties>
</file>