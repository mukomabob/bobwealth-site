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5.06.26/"/>
    </mc:Choice>
  </mc:AlternateContent>
  <xr:revisionPtr revIDLastSave="0" documentId="8_{A11FC378-7B1D-4228-993E-856AAA2E0FE2}" xr6:coauthVersionLast="47" xr6:coauthVersionMax="47" xr10:uidLastSave="{00000000-0000-0000-0000-000000000000}"/>
  <bookViews>
    <workbookView xWindow="-108" yWindow="-108" windowWidth="23256" windowHeight="12456" xr2:uid="{AD161236-2979-4A5C-9E63-D8B875923053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D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J24" i="1"/>
  <c r="D24" i="1" s="1"/>
  <c r="E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P22" i="1" s="1"/>
  <c r="Q21" i="1"/>
  <c r="M21" i="1"/>
  <c r="L21" i="1"/>
  <c r="K21" i="1"/>
  <c r="J21" i="1"/>
  <c r="P21" i="1" s="1"/>
  <c r="E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P12" i="1" s="1"/>
  <c r="Q11" i="1"/>
  <c r="M11" i="1"/>
  <c r="L11" i="1"/>
  <c r="K11" i="1"/>
  <c r="J11" i="1"/>
  <c r="P11" i="1" s="1"/>
  <c r="E11" i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P36" i="1" l="1"/>
  <c r="D63" i="1"/>
  <c r="D55" i="1"/>
  <c r="D59" i="1"/>
  <c r="D39" i="1"/>
  <c r="D25" i="1"/>
  <c r="D19" i="1"/>
  <c r="D21" i="1"/>
  <c r="D10" i="1"/>
  <c r="D12" i="1"/>
  <c r="D15" i="1"/>
  <c r="D17" i="1"/>
  <c r="D33" i="1"/>
  <c r="D11" i="1"/>
  <c r="D53" i="1"/>
  <c r="D46" i="1"/>
  <c r="D42" i="1"/>
  <c r="D61" i="1"/>
  <c r="D13" i="1"/>
  <c r="P16" i="1"/>
  <c r="P44" i="1"/>
  <c r="P71" i="1"/>
  <c r="P24" i="1"/>
  <c r="D34" i="1"/>
  <c r="D45" i="1"/>
  <c r="Q71" i="1"/>
  <c r="D14" i="1"/>
  <c r="D52" i="1"/>
  <c r="P41" i="1"/>
  <c r="D9" i="1"/>
  <c r="D22" i="1"/>
  <c r="D40" i="1"/>
  <c r="D74" i="1"/>
  <c r="K70" i="1"/>
  <c r="E70" i="1" s="1"/>
  <c r="P54" i="1"/>
  <c r="P56" i="1"/>
  <c r="P60" i="1"/>
  <c r="P64" i="1"/>
  <c r="P20" i="1"/>
  <c r="P26" i="1"/>
  <c r="P32" i="1"/>
  <c r="P35" i="1"/>
  <c r="P52" i="1"/>
  <c r="Q56" i="1"/>
  <c r="Q58" i="1"/>
  <c r="Q62" i="1"/>
  <c r="Q64" i="1"/>
  <c r="P70" i="1"/>
  <c r="Q70" i="1"/>
  <c r="K74" i="1"/>
  <c r="E74" i="1" s="1"/>
  <c r="P55" i="1"/>
  <c r="P57" i="1"/>
  <c r="P59" i="1"/>
  <c r="P61" i="1"/>
  <c r="P63" i="1"/>
  <c r="P58" i="1"/>
  <c r="P29" i="1"/>
  <c r="Q60" i="1"/>
  <c r="D23" i="1"/>
  <c r="P51" i="1"/>
  <c r="P74" i="1"/>
  <c r="P62" i="1"/>
  <c r="Q54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<sst xmlns="http://schemas.openxmlformats.org/spreadsheetml/2006/main" count="264" uniqueCount="182">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</sst>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A17D4BE-6814-45CC-A9BB-E8CD2B3AED47}"/>
    <cellStyle name="Comma 5 2 2 2 2 2 2 2 2" xfId="4" xr:uid="{95B32F6E-06F7-488D-A3B3-FFCEDC95FC14}"/>
    <cellStyle name="Comma 6 2 2 2" xfId="5" xr:uid="{52B19C79-B665-427F-806F-F4DF274034D6}"/>
    <cellStyle name="Hyperlink 2" xfId="8" xr:uid="{5B53C805-13A6-427C-A9A5-C1333E8036CF}"/>
    <cellStyle name="Normal" xfId="0" builtinId="0"/>
    <cellStyle name="Normal 2" xfId="2" xr:uid="{B7A5418E-FC94-459F-A355-1DBA0F5EE991}"/>
    <cellStyle name="Normal 20" xfId="7" xr:uid="{CBD4BA02-32F0-492E-8B54-6EA3DCA3EE7D}"/>
    <cellStyle name="Percent" xfId="1" builtinId="5"/>
    <cellStyle name="Percent 3" xfId="6" xr:uid="{53084FD4-1023-4E83-B8BB-1B680C23696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741D57F7-C282-40CD-84E7-7336058F4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92A4272-C33D-4F6D-AD87-CFBDCC57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6BB9-CBE2-450F-A807-736BBBA6C979}">
  <dimension ref="A1:II106"/>
  <sheetViews>
    <sheetView tabSelected="1" topLeftCell="A3" zoomScale="73" zoomScaleNormal="60" workbookViewId="0">
      <selection activeCell="Y21" sqref="Y2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26.772600000000001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74379930.832268819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0.59015560685178137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2.5417025316455691E-2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3830907.4420745461</v>
      </c>
      <c r="E10" s="39">
        <f>C10*K10</f>
        <v>3255979.4471011106</v>
      </c>
      <c r="F10" s="40" t="s">
        <v>34</v>
      </c>
      <c r="G10" s="41">
        <v>3.1600000000000003E-2</v>
      </c>
      <c r="H10" s="42">
        <v>6.3022999999999996E-2</v>
      </c>
      <c r="I10" s="42">
        <v>6.3022999999999996E-2</v>
      </c>
      <c r="J10" s="43">
        <f>I10/$J$5</f>
        <v>2.3540111905455577E-3</v>
      </c>
      <c r="K10" s="44">
        <f>I10/$K$4</f>
        <v>2.0007301587301584E-3</v>
      </c>
      <c r="L10" s="45">
        <f>I10-H10</f>
        <v>0</v>
      </c>
      <c r="M10" s="45">
        <f>((I10-H10)/H10)*100</f>
        <v>0</v>
      </c>
      <c r="N10" s="46">
        <v>0</v>
      </c>
      <c r="O10" s="37">
        <v>0</v>
      </c>
      <c r="P10" s="50">
        <f>(R10)/J10</f>
        <v>0</v>
      </c>
      <c r="Q10" s="48">
        <f>I10/G10-1</f>
        <v>0.99439873417721492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3590798.7636613552</v>
      </c>
      <c r="E11" s="39">
        <f>C11*K11</f>
        <v>3051905.3644444444</v>
      </c>
      <c r="F11" s="40" t="s">
        <v>39</v>
      </c>
      <c r="G11" s="41">
        <v>7.8E-2</v>
      </c>
      <c r="H11" s="42">
        <v>0.20050000000000001</v>
      </c>
      <c r="I11" s="42">
        <v>0.22</v>
      </c>
      <c r="J11" s="43">
        <f>I11/$J$5</f>
        <v>8.2173565511007522E-3</v>
      </c>
      <c r="K11" s="44">
        <f>I11/$K$4</f>
        <v>6.9841269841269841E-3</v>
      </c>
      <c r="L11" s="45">
        <f>I11-H11</f>
        <v>1.949999999999999E-2</v>
      </c>
      <c r="M11" s="45">
        <f>((I11-H11)/H11)*100</f>
        <v>9.7256857855361538</v>
      </c>
      <c r="N11" s="46">
        <v>3000</v>
      </c>
      <c r="O11" s="37">
        <v>660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142688702.05103189</v>
      </c>
      <c r="E12" s="39">
        <f>C12*K12</f>
        <v>121274525.22322085</v>
      </c>
      <c r="F12" s="40" t="s">
        <v>34</v>
      </c>
      <c r="G12" s="41">
        <v>97.381</v>
      </c>
      <c r="H12" s="42">
        <v>185.14279999999999</v>
      </c>
      <c r="I12" s="42">
        <v>185.142821</v>
      </c>
      <c r="J12" s="43">
        <f>I12/$J$5</f>
        <v>6.9153844228801082</v>
      </c>
      <c r="K12" s="44">
        <f>I12/$K$4</f>
        <v>5.8775498730158731</v>
      </c>
      <c r="L12" s="45">
        <f>I12-H12</f>
        <v>2.1000000003823516E-5</v>
      </c>
      <c r="M12" s="45">
        <f>((I12-H12)/H12)*100</f>
        <v>1.1342596095459027E-5</v>
      </c>
      <c r="N12" s="46">
        <v>0</v>
      </c>
      <c r="O12" s="37">
        <v>0</v>
      </c>
      <c r="P12" s="50">
        <f>(R12)/J12</f>
        <v>0</v>
      </c>
      <c r="Q12" s="48">
        <f>I12/G12-1</f>
        <v>0.90122119304587134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5251994.5334921516</v>
      </c>
      <c r="E13" s="39">
        <f>C13*K13</f>
        <v>4463795.2015038729</v>
      </c>
      <c r="F13" s="40" t="s">
        <v>44</v>
      </c>
      <c r="G13" s="41">
        <v>13.6</v>
      </c>
      <c r="H13" s="42">
        <v>16.149999999999999</v>
      </c>
      <c r="I13" s="42">
        <v>16.097058999999998</v>
      </c>
      <c r="J13" s="43">
        <f>I13/$J$5</f>
        <v>0.60125124194138779</v>
      </c>
      <c r="K13" s="44">
        <f>I13/$K$4</f>
        <v>0.51101774603174599</v>
      </c>
      <c r="L13" s="45">
        <f>I13-H13</f>
        <v>-5.2941000000000571E-2</v>
      </c>
      <c r="M13" s="45">
        <f>((I13-H13)/H13)*100</f>
        <v>-0.32780804953560727</v>
      </c>
      <c r="N13" s="46">
        <v>1700</v>
      </c>
      <c r="O13" s="37">
        <v>27365</v>
      </c>
      <c r="P13" s="50">
        <f>(R13)/J13</f>
        <v>0</v>
      </c>
      <c r="Q13" s="48">
        <f>I13/G13-1</f>
        <v>0.18360727941176469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429479390.24886394</v>
      </c>
      <c r="E14" s="39">
        <f>C14*K14</f>
        <v>365024759.47227734</v>
      </c>
      <c r="F14" s="40" t="s">
        <v>47</v>
      </c>
      <c r="G14" s="41">
        <v>11.5</v>
      </c>
      <c r="H14" s="42">
        <v>22</v>
      </c>
      <c r="I14" s="42">
        <v>21.999479000000001</v>
      </c>
      <c r="J14" s="43">
        <f>I14/$J$5</f>
        <v>0.82171619491569736</v>
      </c>
      <c r="K14" s="44">
        <f>I14/$K$4</f>
        <v>0.69839615873015881</v>
      </c>
      <c r="L14" s="45">
        <f>I14-H14</f>
        <v>-5.2099999999910551E-4</v>
      </c>
      <c r="M14" s="45">
        <f>((I14-H14)/H14)*100</f>
        <v>-2.3681818181777521E-3</v>
      </c>
      <c r="N14" s="46">
        <v>19200</v>
      </c>
      <c r="O14" s="37">
        <v>422390</v>
      </c>
      <c r="P14" s="50">
        <f>(R14)/J14</f>
        <v>0</v>
      </c>
      <c r="Q14" s="48">
        <f>I14/G14-1</f>
        <v>0.9129981739130435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23764791.241791982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0.22410972412092961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43160079.907752186</v>
      </c>
      <c r="E16" s="39">
        <f>C16*K16</f>
        <v>36682779.534548767</v>
      </c>
      <c r="F16" s="40" t="s">
        <v>34</v>
      </c>
      <c r="G16" s="41">
        <v>1.9</v>
      </c>
      <c r="H16" s="42">
        <v>3.2025000000000001</v>
      </c>
      <c r="I16" s="42">
        <v>3.2276670000000003</v>
      </c>
      <c r="J16" s="43">
        <f>I16/$J$5</f>
        <v>0.12055859348737143</v>
      </c>
      <c r="K16" s="44">
        <f>I16/$K$4</f>
        <v>0.10246561904761906</v>
      </c>
      <c r="L16" s="45">
        <f>I16-H16</f>
        <v>2.5167000000000161E-2</v>
      </c>
      <c r="M16" s="45">
        <f>((I16-H16)/H16)*100</f>
        <v>0.78585480093677318</v>
      </c>
      <c r="N16" s="46">
        <v>1500</v>
      </c>
      <c r="O16" s="37">
        <v>4841.5</v>
      </c>
      <c r="P16" s="50">
        <f>(R16)/J16</f>
        <v>0</v>
      </c>
      <c r="Q16" s="48">
        <f>I16/G16-1</f>
        <v>0.69877210526315814</v>
      </c>
      <c r="R16" s="49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1560017841.5673385</v>
      </c>
      <c r="E17" s="39">
        <f>C17*K17</f>
        <v>1325896306.8300231</v>
      </c>
      <c r="F17" s="40" t="s">
        <v>34</v>
      </c>
      <c r="G17" s="41">
        <v>20.701700000000002</v>
      </c>
      <c r="H17" s="42">
        <v>31.990500000000001</v>
      </c>
      <c r="I17" s="42">
        <v>31.130513000000001</v>
      </c>
      <c r="J17" s="43">
        <f>I17/$J$5</f>
        <v>1.1627751133621689</v>
      </c>
      <c r="K17" s="44">
        <f>I17/$K$4</f>
        <v>0.98827025396825396</v>
      </c>
      <c r="L17" s="45">
        <f>I17-H17</f>
        <v>-0.85998700000000028</v>
      </c>
      <c r="M17" s="45">
        <f>((I17-H17)/H17)*100</f>
        <v>-2.6882574514308941</v>
      </c>
      <c r="N17" s="46">
        <v>143000</v>
      </c>
      <c r="O17" s="37">
        <v>4451663.3</v>
      </c>
      <c r="P17" s="47">
        <f>(R17)/J17</f>
        <v>4.3000576315591073E-2</v>
      </c>
      <c r="Q17" s="48">
        <f>I17/G17-1</f>
        <v>0.5037660192158131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38975860.685178131</v>
      </c>
      <c r="E19" s="39">
        <f>C19*K19</f>
        <v>33126511.993015874</v>
      </c>
      <c r="F19" s="40" t="s">
        <v>47</v>
      </c>
      <c r="G19" s="41">
        <v>12.45</v>
      </c>
      <c r="H19" s="42">
        <v>9.5842650000000003</v>
      </c>
      <c r="I19" s="42">
        <v>9.58</v>
      </c>
      <c r="J19" s="43">
        <f>I19/$J$5</f>
        <v>0.35782852617975092</v>
      </c>
      <c r="K19" s="44">
        <f>I19/$K$4</f>
        <v>0.30412698412698413</v>
      </c>
      <c r="L19" s="45">
        <f>I19-H19</f>
        <v>-4.2650000000001853E-3</v>
      </c>
      <c r="M19" s="45">
        <f>((I19-H19)/H19)*100</f>
        <v>-4.4500021650071081E-2</v>
      </c>
      <c r="N19" s="46">
        <v>72400</v>
      </c>
      <c r="O19" s="37">
        <v>693592</v>
      </c>
      <c r="P19" s="50">
        <f>(R19)/J19</f>
        <v>0</v>
      </c>
      <c r="Q19" s="48">
        <f>I19/G19-1</f>
        <v>-0.23052208835341359</v>
      </c>
      <c r="R19" s="49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18044573.257733651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2">
        <v>0.7</v>
      </c>
      <c r="J20" s="43">
        <f>I20/$J$5</f>
        <v>2.6146134480775119E-2</v>
      </c>
      <c r="K20" s="44">
        <f>I20/$K$4</f>
        <v>2.222222222222222E-2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1</v>
      </c>
      <c r="R20" s="49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125799304.14651084</v>
      </c>
      <c r="E21" s="39">
        <f>C21*K21</f>
        <v>106919823.81564687</v>
      </c>
      <c r="F21" s="40" t="s">
        <v>47</v>
      </c>
      <c r="G21" s="41">
        <v>2.85</v>
      </c>
      <c r="H21" s="42">
        <v>2.7247320000000004</v>
      </c>
      <c r="I21" s="42">
        <v>2.7247320000000004</v>
      </c>
      <c r="J21" s="43">
        <f>I21/$J$5</f>
        <v>0.1017731561372448</v>
      </c>
      <c r="K21" s="44">
        <f>I21/$K$4</f>
        <v>8.6499428571428588E-2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-4.3953684210526256E-2</v>
      </c>
      <c r="R21" s="49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18038209.240043927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3.3616458618139444E-2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2254776.1550054909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4.2020573272674305E-3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700</v>
      </c>
      <c r="O23" s="37">
        <v>78.75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64544220.554223344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2">
        <v>8.9525000000000006</v>
      </c>
      <c r="J24" s="43">
        <f>I24/$J$5</f>
        <v>0.33439038419877037</v>
      </c>
      <c r="K24" s="44">
        <f>I24/$K$4</f>
        <v>0.28420634920634924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9.5942765406672237E-2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75168042.35421662</v>
      </c>
      <c r="E25" s="39">
        <f>C25*K25</f>
        <v>63887108.91214285</v>
      </c>
      <c r="F25" s="40" t="s">
        <v>66</v>
      </c>
      <c r="G25" s="41">
        <v>1.6675</v>
      </c>
      <c r="H25" s="42">
        <v>1.4</v>
      </c>
      <c r="I25" s="42">
        <v>1.1924999999999999</v>
      </c>
      <c r="J25" s="43">
        <f>I25/$J$5</f>
        <v>4.4541807669034754E-2</v>
      </c>
      <c r="K25" s="44">
        <f>I25/$K$4</f>
        <v>3.7857142857142853E-2</v>
      </c>
      <c r="L25" s="45">
        <f>I25-H25</f>
        <v>-0.20750000000000002</v>
      </c>
      <c r="M25" s="45">
        <f>((I25-H25)/H25)*100</f>
        <v>-14.821428571428575</v>
      </c>
      <c r="N25" s="46">
        <v>100</v>
      </c>
      <c r="O25" s="37">
        <v>119.25</v>
      </c>
      <c r="P25" s="50">
        <f>(R25)/J25</f>
        <v>0</v>
      </c>
      <c r="Q25" s="48">
        <f>I25/G25-1</f>
        <v>-0.28485757121439281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30194057.362266794</v>
      </c>
      <c r="E26" s="39">
        <f>C26*K26</f>
        <v>25662648.258318219</v>
      </c>
      <c r="F26" s="40" t="s">
        <v>44</v>
      </c>
      <c r="G26" s="41">
        <v>1.7994999999999999</v>
      </c>
      <c r="H26" s="42">
        <v>2.9649290000000001</v>
      </c>
      <c r="I26" s="42">
        <v>3.3768319999999998</v>
      </c>
      <c r="J26" s="43">
        <f>I26/$J$5</f>
        <v>0.12613014798712116</v>
      </c>
      <c r="K26" s="44">
        <f>I26/$K$4</f>
        <v>0.10720101587301586</v>
      </c>
      <c r="L26" s="45">
        <f>I26-H26</f>
        <v>0.41190299999999969</v>
      </c>
      <c r="M26" s="45">
        <f>((I26-H26)/H26)*100</f>
        <v>13.892508049939803</v>
      </c>
      <c r="N26" s="46">
        <v>101000</v>
      </c>
      <c r="O26" s="37">
        <v>341060</v>
      </c>
      <c r="P26" s="50">
        <f>(R26)/J26</f>
        <v>0</v>
      </c>
      <c r="Q26" s="48">
        <f>I26/G26-1</f>
        <v>0.87653903862183946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25832642.354496766</v>
      </c>
      <c r="E27" s="39">
        <f>C27*K27</f>
        <v>21955777.800000001</v>
      </c>
      <c r="F27" s="40" t="s">
        <v>34</v>
      </c>
      <c r="G27" s="41">
        <v>3.1361369999999997</v>
      </c>
      <c r="H27" s="42">
        <v>2.7</v>
      </c>
      <c r="I27" s="42">
        <v>2.7</v>
      </c>
      <c r="J27" s="43">
        <f>I27/$J$5</f>
        <v>0.10084937585441833</v>
      </c>
      <c r="K27" s="44">
        <f>I27/$K$4</f>
        <v>8.5714285714285715E-2</v>
      </c>
      <c r="L27" s="45">
        <f>I27-H27</f>
        <v>0</v>
      </c>
      <c r="M27" s="45">
        <f>((I27-H27)/H27)*100</f>
        <v>0</v>
      </c>
      <c r="N27" s="46">
        <v>100</v>
      </c>
      <c r="O27" s="37">
        <v>270</v>
      </c>
      <c r="P27" s="50">
        <f>(R27)/J27</f>
        <v>0</v>
      </c>
      <c r="Q27" s="48">
        <f>I27/G27-1</f>
        <v>-0.13906822310377376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21168510.930951793</v>
      </c>
      <c r="E28" s="39">
        <f>C28*K28</f>
        <v>17991621.452380951</v>
      </c>
      <c r="F28" s="40" t="s">
        <v>44</v>
      </c>
      <c r="G28" s="41">
        <v>0.8</v>
      </c>
      <c r="H28" s="42">
        <v>0.74296400000000007</v>
      </c>
      <c r="I28" s="42">
        <v>0.75</v>
      </c>
      <c r="J28" s="43">
        <f>I28/$J$5</f>
        <v>2.8013715515116201E-2</v>
      </c>
      <c r="K28" s="44">
        <f>I28/$K$4</f>
        <v>2.3809523809523808E-2</v>
      </c>
      <c r="L28" s="45">
        <f>I28-H28</f>
        <v>7.0359999999999312E-3</v>
      </c>
      <c r="M28" s="45">
        <f>((I28-H28)/H28)*100</f>
        <v>0.94701762131138667</v>
      </c>
      <c r="N28" s="46">
        <v>12100</v>
      </c>
      <c r="O28" s="37">
        <v>9075</v>
      </c>
      <c r="P28" s="50">
        <f>(R28)/J28</f>
        <v>0</v>
      </c>
      <c r="Q28" s="48">
        <f>I28/G28-1</f>
        <v>-6.25E-2</v>
      </c>
      <c r="R28" s="49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92098698.02783443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2">
        <v>5.49</v>
      </c>
      <c r="J29" s="43">
        <f>I29/$J$5</f>
        <v>0.20506039757065059</v>
      </c>
      <c r="K29" s="44">
        <f>I29/$K$4</f>
        <v>0.17428571428571429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10684960.305592658</v>
      </c>
      <c r="E32" s="39">
        <f>C32*K32</f>
        <v>9081402.1675400008</v>
      </c>
      <c r="F32" s="40" t="s">
        <v>39</v>
      </c>
      <c r="G32" s="41">
        <v>1.4</v>
      </c>
      <c r="H32" s="42">
        <v>1.100813</v>
      </c>
      <c r="I32" s="42">
        <v>1.100813</v>
      </c>
      <c r="J32" s="43">
        <f>I32/$J$5</f>
        <v>4.111714962312215E-2</v>
      </c>
      <c r="K32" s="44">
        <f>I32/$K$4</f>
        <v>3.4946444444444447E-2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-0.21370499999999992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3874298.7046457944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3.1748877583798359E-2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117212584.70684581</v>
      </c>
      <c r="E34" s="39">
        <f>C34*K34</f>
        <v>99621766.518174618</v>
      </c>
      <c r="F34" s="40" t="s">
        <v>92</v>
      </c>
      <c r="G34" s="41">
        <v>1.44</v>
      </c>
      <c r="H34" s="42">
        <v>1.1045829999999999</v>
      </c>
      <c r="I34" s="42">
        <v>1.2575000000000001</v>
      </c>
      <c r="J34" s="43">
        <f>I34/$J$5</f>
        <v>4.6969663013678165E-2</v>
      </c>
      <c r="K34" s="44">
        <f>I34/$K$4</f>
        <v>3.9920634920634926E-2</v>
      </c>
      <c r="L34" s="45">
        <f>I34-H34</f>
        <v>0.15291700000000019</v>
      </c>
      <c r="M34" s="45">
        <f>((I34-H34)/H34)*100</f>
        <v>13.843866871027366</v>
      </c>
      <c r="N34" s="46">
        <v>2200</v>
      </c>
      <c r="O34" s="37">
        <v>2766.5</v>
      </c>
      <c r="P34" s="50">
        <f>(R34)/J34</f>
        <v>0</v>
      </c>
      <c r="Q34" s="48">
        <f>I34/G34-1</f>
        <v>-0.12673611111111105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37920836.859886602</v>
      </c>
      <c r="E35" s="39">
        <f>C35*K35</f>
        <v>32229822.124285713</v>
      </c>
      <c r="F35" s="40" t="s">
        <v>34</v>
      </c>
      <c r="G35" s="41">
        <v>3.6056249999999999</v>
      </c>
      <c r="H35" s="42">
        <v>4.0049999999999999</v>
      </c>
      <c r="I35" s="42">
        <v>4.0049999999999999</v>
      </c>
      <c r="J35" s="43">
        <f>I35/$J$5</f>
        <v>0.14959324085072051</v>
      </c>
      <c r="K35" s="44">
        <f>I35/$K$4</f>
        <v>0.12714285714285714</v>
      </c>
      <c r="L35" s="45">
        <f>I35-H35</f>
        <v>0</v>
      </c>
      <c r="M35" s="45">
        <f>((I35-H35)/H35)*100</f>
        <v>0</v>
      </c>
      <c r="N35" s="46">
        <v>0</v>
      </c>
      <c r="O35" s="37">
        <v>0</v>
      </c>
      <c r="P35" s="50">
        <f>(R35)/J35</f>
        <v>0</v>
      </c>
      <c r="Q35" s="48">
        <f>I35/G35-1</f>
        <v>0.11076443057722307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7045521.8268035222</v>
      </c>
      <c r="E36" s="39">
        <f>C36*K36</f>
        <v>5988156.7511199992</v>
      </c>
      <c r="F36" s="40" t="s">
        <v>34</v>
      </c>
      <c r="G36" s="41">
        <v>2.5099999999999997E-2</v>
      </c>
      <c r="H36" s="42">
        <v>4.0004999999999999E-2</v>
      </c>
      <c r="I36" s="42">
        <v>4.0004999999999999E-2</v>
      </c>
      <c r="J36" s="43">
        <f>I36/$J$5</f>
        <v>1.494251585576298E-3</v>
      </c>
      <c r="K36" s="44">
        <f>I36/$K$4</f>
        <v>1.2699999999999999E-3</v>
      </c>
      <c r="L36" s="45">
        <f>I36-H36</f>
        <v>0</v>
      </c>
      <c r="M36" s="45">
        <f>((I36-H36)/H36)*100</f>
        <v>0</v>
      </c>
      <c r="N36" s="46">
        <v>0</v>
      </c>
      <c r="O36" s="37">
        <v>0</v>
      </c>
      <c r="P36" s="50">
        <f>(R36)/J36</f>
        <v>0</v>
      </c>
      <c r="Q36" s="48">
        <f>I36/G36-1</f>
        <v>0.59382470119521935</v>
      </c>
      <c r="R36" s="49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68645498.588108733</v>
      </c>
      <c r="E37" s="39">
        <f>C37*K37</f>
        <v>58343443.666666664</v>
      </c>
      <c r="F37" s="40" t="s">
        <v>92</v>
      </c>
      <c r="G37" s="41">
        <v>0.61</v>
      </c>
      <c r="H37" s="42">
        <v>3.5047449999999998</v>
      </c>
      <c r="I37" s="42">
        <v>3.5</v>
      </c>
      <c r="J37" s="43">
        <f>I37/$J$5</f>
        <v>0.13073067240387559</v>
      </c>
      <c r="K37" s="44">
        <f>I37/$K$4</f>
        <v>0.1111111111111111</v>
      </c>
      <c r="L37" s="45">
        <f>I37-H37</f>
        <v>-4.7449999999997772E-3</v>
      </c>
      <c r="M37" s="45">
        <f>((I37-H37)/H37)*100</f>
        <v>-0.1353878812866493</v>
      </c>
      <c r="N37" s="46">
        <v>1000</v>
      </c>
      <c r="O37" s="37">
        <v>3500</v>
      </c>
      <c r="P37" s="50">
        <f>(R37)/J37</f>
        <v>0</v>
      </c>
      <c r="Q37" s="48">
        <f>I37/G37-1</f>
        <v>4.7377049180327866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25183578.40210402</v>
      </c>
      <c r="E38" s="39">
        <f>C38*K38</f>
        <v>21404122.892957781</v>
      </c>
      <c r="F38" s="40" t="s">
        <v>56</v>
      </c>
      <c r="G38" s="41">
        <v>0.11650199999999999</v>
      </c>
      <c r="H38" s="42">
        <v>0.153</v>
      </c>
      <c r="I38" s="42">
        <v>0.16073000000000001</v>
      </c>
      <c r="J38" s="43">
        <f>I38/$J$5</f>
        <v>6.0035259929928364E-3</v>
      </c>
      <c r="K38" s="44">
        <f>I38/$K$4</f>
        <v>5.1025396825396833E-3</v>
      </c>
      <c r="L38" s="45">
        <f>I38-H38</f>
        <v>7.7300000000000146E-3</v>
      </c>
      <c r="M38" s="45">
        <f>((I38-H38)/H38)*100</f>
        <v>5.052287581699356</v>
      </c>
      <c r="N38" s="46">
        <v>17400</v>
      </c>
      <c r="O38" s="37">
        <v>2796.7</v>
      </c>
      <c r="P38" s="50">
        <v>0</v>
      </c>
      <c r="Q38" s="48">
        <f>I38/G38-1</f>
        <v>0.37963296767437482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94397529.633825123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2">
        <v>6.9635580000000008</v>
      </c>
      <c r="J39" s="43">
        <f>I39/$J$5</f>
        <v>0.26010017704668209</v>
      </c>
      <c r="K39" s="44">
        <f>I39/$K$4</f>
        <v>0.22106533333333336</v>
      </c>
      <c r="L39" s="45">
        <f>I39-H39</f>
        <v>0</v>
      </c>
      <c r="M39" s="45">
        <f>((I39-H39)/H39)*100</f>
        <v>0</v>
      </c>
      <c r="N39" s="46">
        <v>0</v>
      </c>
      <c r="O39" s="37">
        <v>0</v>
      </c>
      <c r="P39" s="50">
        <f>(R39)/J39</f>
        <v>0</v>
      </c>
      <c r="Q39" s="48">
        <f>I39/G39-1</f>
        <v>1.6777765814266488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17731931.709658381</v>
      </c>
      <c r="E40" s="39">
        <f>C40*K40</f>
        <v>15070790.948888889</v>
      </c>
      <c r="F40" s="40" t="s">
        <v>39</v>
      </c>
      <c r="G40" s="41">
        <v>0.1</v>
      </c>
      <c r="H40" s="42">
        <v>0.110913</v>
      </c>
      <c r="I40" s="42">
        <v>0.11</v>
      </c>
      <c r="J40" s="43">
        <f>I40/$J$5</f>
        <v>4.1086782755503761E-3</v>
      </c>
      <c r="K40" s="44">
        <f>I40/$K$4</f>
        <v>3.4920634920634921E-3</v>
      </c>
      <c r="L40" s="45">
        <f>I40-H40</f>
        <v>-9.1299999999999715E-4</v>
      </c>
      <c r="M40" s="45">
        <f>((I40-H40)/H40)*100</f>
        <v>-0.82316770802340311</v>
      </c>
      <c r="N40" s="46">
        <v>53600</v>
      </c>
      <c r="O40" s="37">
        <v>5896</v>
      </c>
      <c r="P40" s="50">
        <f>(R40)/J40</f>
        <v>0</v>
      </c>
      <c r="Q40" s="48">
        <f>I40/G40-1</f>
        <v>9.9999999999999867E-2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5965477.9700141186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5.6027431030232402E-2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59000</v>
      </c>
      <c r="O41" s="37">
        <v>88500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3823693.2617126466</v>
      </c>
      <c r="E42" s="39">
        <f>C42*K42</f>
        <v>3249847.9434453333</v>
      </c>
      <c r="F42" s="40" t="s">
        <v>39</v>
      </c>
      <c r="G42" s="41">
        <v>0.03</v>
      </c>
      <c r="H42" s="42">
        <v>5.7686000000000001E-2</v>
      </c>
      <c r="I42" s="42">
        <v>5.7576000000000002E-2</v>
      </c>
      <c r="J42" s="43">
        <f>I42/$J$5</f>
        <v>2.1505569126644406E-3</v>
      </c>
      <c r="K42" s="44">
        <f>I42/$K$4</f>
        <v>1.8278095238095239E-3</v>
      </c>
      <c r="L42" s="45">
        <f>I42-H42</f>
        <v>-1.0999999999999899E-4</v>
      </c>
      <c r="M42" s="45">
        <f>((I42-H42)/H42)*100</f>
        <v>-0.19068751516832333</v>
      </c>
      <c r="N42" s="46">
        <v>5500</v>
      </c>
      <c r="O42" s="37">
        <v>316.67</v>
      </c>
      <c r="P42" s="50">
        <f>(R42)/J42</f>
        <v>0</v>
      </c>
      <c r="Q42" s="48">
        <f>I42/G42-1</f>
        <v>0.91920000000000024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34027002.920896739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0.19422842757147232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311.5154261446404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6.7232917236278882E-7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1510320.2527957687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2.6220837722148761E-3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44143721.973211415</v>
      </c>
      <c r="E46" s="39">
        <f>C46*K46</f>
        <v>37518800.346031748</v>
      </c>
      <c r="F46" s="40" t="s">
        <v>47</v>
      </c>
      <c r="G46" s="41">
        <v>0.9998999999999999</v>
      </c>
      <c r="H46" s="42">
        <v>0.66249999999999998</v>
      </c>
      <c r="I46" s="42">
        <v>0.65</v>
      </c>
      <c r="J46" s="43">
        <f>I46/$J$5</f>
        <v>2.427855344643404E-2</v>
      </c>
      <c r="K46" s="44">
        <f>I46/$K$4</f>
        <v>2.0634920634920634E-2</v>
      </c>
      <c r="L46" s="45">
        <f>I46-H46</f>
        <v>-1.2499999999999956E-2</v>
      </c>
      <c r="M46" s="45">
        <f>((I46-H46)/H46)*100</f>
        <v>-1.886792452830182</v>
      </c>
      <c r="N46" s="46">
        <v>300</v>
      </c>
      <c r="O46" s="37">
        <v>195</v>
      </c>
      <c r="P46" s="50">
        <f>(R46)/J46</f>
        <v>0</v>
      </c>
      <c r="Q46" s="48">
        <f>I46/G46-1</f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5179246.7672172301</v>
      </c>
      <c r="E47" s="39">
        <f>C47*K47</f>
        <v>4401965.1428571427</v>
      </c>
      <c r="F47" s="40" t="s">
        <v>47</v>
      </c>
      <c r="G47" s="41">
        <v>1.4503460000000001</v>
      </c>
      <c r="H47" s="42">
        <v>1.35</v>
      </c>
      <c r="I47" s="42">
        <v>1.35</v>
      </c>
      <c r="J47" s="43">
        <f>I47/$J$5</f>
        <v>5.0424687927209166E-2</v>
      </c>
      <c r="K47" s="44">
        <f>I47/$K$4</f>
        <v>4.2857142857142858E-2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-6.9187628331446427E-2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493800</v>
      </c>
      <c r="O48" s="59">
        <f>SUM(O9:O47)</f>
        <v>6055085.6699999999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86567568.047999993</v>
      </c>
      <c r="E51" s="39">
        <v>0</v>
      </c>
      <c r="F51" s="40" t="s">
        <v>92</v>
      </c>
      <c r="G51" s="68">
        <v>0.1</v>
      </c>
      <c r="H51" s="42">
        <v>0.13009999999999999</v>
      </c>
      <c r="I51" s="42">
        <v>0.156</v>
      </c>
      <c r="J51" s="43">
        <f>I51</f>
        <v>0.156</v>
      </c>
      <c r="K51" s="39">
        <v>0</v>
      </c>
      <c r="L51" s="45">
        <f>I51-H51</f>
        <v>2.5900000000000006E-2</v>
      </c>
      <c r="M51" s="45">
        <f>((I51-H51)/H51)*100</f>
        <v>19.907763259031519</v>
      </c>
      <c r="N51" s="46">
        <v>800</v>
      </c>
      <c r="O51" s="37">
        <v>124.8</v>
      </c>
      <c r="P51" s="69">
        <f>(R51)/J51</f>
        <v>0</v>
      </c>
      <c r="Q51" s="48">
        <f>J51/G51-1</f>
        <v>0.55999999999999983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51853007.125</v>
      </c>
      <c r="E52" s="39">
        <v>0</v>
      </c>
      <c r="F52" s="40" t="s">
        <v>39</v>
      </c>
      <c r="G52" s="68">
        <v>39.9</v>
      </c>
      <c r="H52" s="42">
        <v>58.427399999999999</v>
      </c>
      <c r="I52" s="42">
        <v>49.024999999999999</v>
      </c>
      <c r="J52" s="43">
        <f>I52</f>
        <v>49.024999999999999</v>
      </c>
      <c r="K52" s="39">
        <v>0</v>
      </c>
      <c r="L52" s="45">
        <f>I52-H52</f>
        <v>-9.4024000000000001</v>
      </c>
      <c r="M52" s="45">
        <f>((I52-H52)/H52)*100</f>
        <v>-16.09244977527667</v>
      </c>
      <c r="N52" s="46">
        <v>40</v>
      </c>
      <c r="O52" s="37">
        <v>1961</v>
      </c>
      <c r="P52" s="70">
        <f>(R52)/J52</f>
        <v>1.1422743498215197E-2</v>
      </c>
      <c r="Q52" s="48">
        <f>J52/G52-1</f>
        <v>0.22869674185463662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714229356.55610001</v>
      </c>
      <c r="E53" s="39"/>
      <c r="F53" s="40" t="s">
        <v>56</v>
      </c>
      <c r="G53" s="68">
        <v>0.33</v>
      </c>
      <c r="H53" s="42">
        <v>0.23019999999999999</v>
      </c>
      <c r="I53" s="42">
        <v>0.2387</v>
      </c>
      <c r="J53" s="43">
        <f>I53</f>
        <v>0.2387</v>
      </c>
      <c r="K53" s="39">
        <v>0</v>
      </c>
      <c r="L53" s="45">
        <f>I53-H53</f>
        <v>8.5000000000000075E-3</v>
      </c>
      <c r="M53" s="45">
        <f>((I53-H53)/H53)*100</f>
        <v>3.692441355343183</v>
      </c>
      <c r="N53" s="46">
        <v>859119</v>
      </c>
      <c r="O53" s="37">
        <v>205102.65</v>
      </c>
      <c r="P53" s="69">
        <v>0</v>
      </c>
      <c r="Q53" s="48">
        <f>J53/G53-1</f>
        <v>-0.27666666666666673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16767875.932499999</v>
      </c>
      <c r="E54" s="39">
        <v>0</v>
      </c>
      <c r="F54" s="40" t="s">
        <v>34</v>
      </c>
      <c r="G54" s="68">
        <v>2.3E-2</v>
      </c>
      <c r="H54" s="42">
        <v>2.6200000000000001E-2</v>
      </c>
      <c r="I54" s="42">
        <v>2.75E-2</v>
      </c>
      <c r="J54" s="43">
        <f>I54</f>
        <v>2.75E-2</v>
      </c>
      <c r="K54" s="39">
        <v>0</v>
      </c>
      <c r="L54" s="45">
        <f>I54-H54</f>
        <v>1.2999999999999991E-3</v>
      </c>
      <c r="M54" s="45">
        <f>((I54-H54)/H54)*100</f>
        <v>4.9618320610686988</v>
      </c>
      <c r="N54" s="46">
        <v>60</v>
      </c>
      <c r="O54" s="37">
        <v>1.65</v>
      </c>
      <c r="P54" s="69">
        <f>(R54)/J54</f>
        <v>0</v>
      </c>
      <c r="Q54" s="48">
        <f>J54/G54-1</f>
        <v>0.19565217391304346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304075047.61739999</v>
      </c>
      <c r="E55" s="39">
        <v>0</v>
      </c>
      <c r="F55" s="40" t="s">
        <v>47</v>
      </c>
      <c r="G55" s="68">
        <v>9.0200000000000002E-2</v>
      </c>
      <c r="H55" s="42">
        <v>0.13930000000000001</v>
      </c>
      <c r="I55" s="42">
        <v>0.1406</v>
      </c>
      <c r="J55" s="43">
        <f>I55</f>
        <v>0.1406</v>
      </c>
      <c r="K55" s="39">
        <v>0</v>
      </c>
      <c r="L55" s="45">
        <f>I55-H55</f>
        <v>1.2999999999999956E-3</v>
      </c>
      <c r="M55" s="71">
        <f>((I55-H55)/H55)*100</f>
        <v>0.93323761665469895</v>
      </c>
      <c r="N55" s="46">
        <v>187972</v>
      </c>
      <c r="O55" s="37">
        <v>26420.36</v>
      </c>
      <c r="P55" s="69">
        <f>(R55)/J55</f>
        <v>0</v>
      </c>
      <c r="Q55" s="48">
        <f>J55/G55-1</f>
        <v>0.5587583148558759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837166687.72000003</v>
      </c>
      <c r="E56" s="39">
        <v>0</v>
      </c>
      <c r="F56" s="40" t="s">
        <v>34</v>
      </c>
      <c r="G56" s="68">
        <v>0.95750000000000002</v>
      </c>
      <c r="H56" s="42">
        <v>1.4000999999999999</v>
      </c>
      <c r="I56" s="42">
        <v>1.4536</v>
      </c>
      <c r="J56" s="43">
        <f>I56</f>
        <v>1.4536</v>
      </c>
      <c r="K56" s="39">
        <v>0</v>
      </c>
      <c r="L56" s="45">
        <f>I56-H56</f>
        <v>5.3500000000000103E-2</v>
      </c>
      <c r="M56" s="45">
        <f>((I56-H56)/H56)*100</f>
        <v>3.8211556317405977</v>
      </c>
      <c r="N56" s="46">
        <v>647078</v>
      </c>
      <c r="O56" s="37">
        <v>940601.77</v>
      </c>
      <c r="P56" s="70">
        <f>(R56)/J56</f>
        <v>3.2333516785910843E-2</v>
      </c>
      <c r="Q56" s="48">
        <f>J56/G56-1</f>
        <v>0.51812010443864231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0.15</v>
      </c>
      <c r="J57" s="43">
        <f>I57</f>
        <v>0.15</v>
      </c>
      <c r="K57" s="39">
        <v>0</v>
      </c>
      <c r="L57" s="45">
        <f>I57-H57</f>
        <v>0</v>
      </c>
      <c r="M57" s="45">
        <f>((I57-H57)/H57)*100</f>
        <v>0</v>
      </c>
      <c r="N57" s="46">
        <v>1750</v>
      </c>
      <c r="O57" s="37">
        <v>262.5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68">
        <v>1.6799999999999999E-2</v>
      </c>
      <c r="H58" s="42">
        <v>1.9300000000000001E-2</v>
      </c>
      <c r="I58" s="42">
        <v>0.02</v>
      </c>
      <c r="J58" s="43">
        <f>I58</f>
        <v>0.02</v>
      </c>
      <c r="K58" s="39">
        <v>0</v>
      </c>
      <c r="L58" s="45">
        <f>I58-H58</f>
        <v>6.9999999999999923E-4</v>
      </c>
      <c r="M58" s="71">
        <f>((I58-H58)/H58)*100</f>
        <v>3.6269430051813427</v>
      </c>
      <c r="N58" s="46">
        <v>46023</v>
      </c>
      <c r="O58" s="37">
        <v>920.46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68">
        <v>19.5</v>
      </c>
      <c r="H59" s="42">
        <v>13</v>
      </c>
      <c r="I59" s="42">
        <v>13</v>
      </c>
      <c r="J59" s="43">
        <f>I59</f>
        <v>13</v>
      </c>
      <c r="K59" s="39">
        <v>0</v>
      </c>
      <c r="L59" s="45">
        <f>I59-H59</f>
        <v>0</v>
      </c>
      <c r="M59" s="45">
        <f>((I59-H59)/H59)*100</f>
        <v>0</v>
      </c>
      <c r="N59" s="46">
        <v>7</v>
      </c>
      <c r="O59" s="37">
        <v>91</v>
      </c>
      <c r="P59" s="69">
        <f>(R59)/J59</f>
        <v>0</v>
      </c>
      <c r="Q59" s="48">
        <f>J59/G59-1</f>
        <v>-0.33333333333333337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886485095.59609997</v>
      </c>
      <c r="E60" s="39">
        <v>0</v>
      </c>
      <c r="F60" s="40" t="s">
        <v>92</v>
      </c>
      <c r="G60" s="68">
        <v>0.59499999999999997</v>
      </c>
      <c r="H60" s="42">
        <v>1.1209</v>
      </c>
      <c r="I60" s="42">
        <v>1.1011</v>
      </c>
      <c r="J60" s="43">
        <f>I60</f>
        <v>1.1011</v>
      </c>
      <c r="K60" s="39">
        <v>0</v>
      </c>
      <c r="L60" s="45">
        <f>I60-H60</f>
        <v>-1.980000000000004E-2</v>
      </c>
      <c r="M60" s="45">
        <f>((I60-H60)/H60)*100</f>
        <v>-1.7664376840039291</v>
      </c>
      <c r="N60" s="46">
        <v>78317</v>
      </c>
      <c r="O60" s="37">
        <v>86235.3</v>
      </c>
      <c r="P60" s="69">
        <f>(R60)/J60</f>
        <v>0</v>
      </c>
      <c r="Q60" s="48">
        <f>J60/G60-1</f>
        <v>0.85058823529411764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80639000.417400002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0.30930000000000002</v>
      </c>
      <c r="J61" s="43">
        <f>I61</f>
        <v>0.30930000000000002</v>
      </c>
      <c r="K61" s="39">
        <v>0</v>
      </c>
      <c r="L61" s="45">
        <f>I61-H61</f>
        <v>9.3000000000000305E-3</v>
      </c>
      <c r="M61" s="45">
        <f>((I61-H61)/H61)*100</f>
        <v>3.1000000000000103</v>
      </c>
      <c r="N61" s="46">
        <v>6592</v>
      </c>
      <c r="O61" s="37">
        <v>2038.68</v>
      </c>
      <c r="P61" s="69">
        <f>(R61)/J61</f>
        <v>0</v>
      </c>
      <c r="Q61" s="48">
        <f>J61/G61-1</f>
        <v>0.36858407079646027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365026582.8484</v>
      </c>
      <c r="E62" s="39">
        <v>0</v>
      </c>
      <c r="F62" s="40" t="s">
        <v>34</v>
      </c>
      <c r="G62" s="68">
        <v>0.49440000000000001</v>
      </c>
      <c r="H62" s="42">
        <v>0.69110000000000005</v>
      </c>
      <c r="I62" s="42">
        <v>0.64929999999999999</v>
      </c>
      <c r="J62" s="43">
        <f>I62</f>
        <v>0.64929999999999999</v>
      </c>
      <c r="K62" s="39">
        <v>0</v>
      </c>
      <c r="L62" s="45">
        <f>I62-H62</f>
        <v>-4.1800000000000059E-2</v>
      </c>
      <c r="M62" s="45">
        <f>((I62-H62)/H62)*100</f>
        <v>-6.0483287512661059</v>
      </c>
      <c r="N62" s="46">
        <v>106463</v>
      </c>
      <c r="O62" s="37">
        <v>69122.19</v>
      </c>
      <c r="P62" s="69">
        <f>(R62)/J62</f>
        <v>0</v>
      </c>
      <c r="Q62" s="48">
        <f>J62/G62-1</f>
        <v>0.3133090614886731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40109168.5704</v>
      </c>
      <c r="E64" s="39">
        <v>0</v>
      </c>
      <c r="F64" s="40" t="s">
        <v>44</v>
      </c>
      <c r="G64" s="68">
        <v>4.2999999999999997E-2</v>
      </c>
      <c r="H64" s="42">
        <v>0.11070000000000001</v>
      </c>
      <c r="I64" s="42">
        <v>0.1164</v>
      </c>
      <c r="J64" s="43">
        <f>I64</f>
        <v>0.1164</v>
      </c>
      <c r="K64" s="39">
        <v>0</v>
      </c>
      <c r="L64" s="45">
        <f>I64-H64</f>
        <v>5.6999999999999967E-3</v>
      </c>
      <c r="M64" s="45">
        <f>((I64-H64)/H64)*100</f>
        <v>5.1490514905149016</v>
      </c>
      <c r="N64" s="46">
        <v>450</v>
      </c>
      <c r="O64" s="37">
        <v>52.4</v>
      </c>
      <c r="P64" s="69">
        <f>(R64)/J64</f>
        <v>0</v>
      </c>
      <c r="Q64" s="48">
        <f>J64/G64-1</f>
        <v>1.7069767441860466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1934671</v>
      </c>
      <c r="O65" s="60">
        <f>SUM(O51:O64)</f>
        <v>1332934.7599999998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4343317</v>
      </c>
      <c r="O70" s="91">
        <v>1563594.12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68958761.025000006</v>
      </c>
      <c r="E71" s="39">
        <f>C71*K71</f>
        <v>68958761.025000006</v>
      </c>
      <c r="F71" s="87" t="s">
        <v>156</v>
      </c>
      <c r="G71" s="87">
        <v>0.1</v>
      </c>
      <c r="H71" s="88">
        <v>0.14960000000000001</v>
      </c>
      <c r="I71" s="88">
        <v>0.14630000000000001</v>
      </c>
      <c r="J71" s="89">
        <f>I71</f>
        <v>0.14630000000000001</v>
      </c>
      <c r="K71" s="89">
        <f>J71</f>
        <v>0.14630000000000001</v>
      </c>
      <c r="L71" s="45">
        <f>I71-H71</f>
        <v>-3.2999999999999974E-3</v>
      </c>
      <c r="M71" s="45">
        <f>((I71-H71)/H71)*100</f>
        <v>-2.2058823529411744</v>
      </c>
      <c r="N71" s="46">
        <v>7620</v>
      </c>
      <c r="O71" s="91">
        <v>1115.21</v>
      </c>
      <c r="P71" s="92">
        <f>(R71)/J71</f>
        <v>2.5919343814080651E-2</v>
      </c>
      <c r="Q71" s="48">
        <f>J71/G71-1</f>
        <v>0.46300000000000008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4350937</v>
      </c>
      <c r="O72" s="60">
        <f>SUM(O70:O71)</f>
        <v>1564709.33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2796085.0385000003</v>
      </c>
      <c r="E74" s="39">
        <f>C74*K74</f>
        <v>2796085.0385000003</v>
      </c>
      <c r="F74" s="87" t="s">
        <v>138</v>
      </c>
      <c r="G74" s="87">
        <v>0.1394</v>
      </c>
      <c r="H74" s="88">
        <v>0.13089999999999999</v>
      </c>
      <c r="I74" s="88">
        <v>0.1343</v>
      </c>
      <c r="J74" s="89">
        <f>I74</f>
        <v>0.1343</v>
      </c>
      <c r="K74" s="89">
        <f>J74</f>
        <v>0.1343</v>
      </c>
      <c r="L74" s="45">
        <f>I74-H74</f>
        <v>3.4000000000000141E-3</v>
      </c>
      <c r="M74" s="45">
        <f>((I74-H74)/H74)*100</f>
        <v>2.5974025974026085</v>
      </c>
      <c r="N74" s="90">
        <v>2903</v>
      </c>
      <c r="O74" s="91">
        <v>389.81</v>
      </c>
      <c r="P74" s="69">
        <f>(R74)/J74</f>
        <v>0</v>
      </c>
      <c r="Q74" s="48">
        <f>J74/G74-1</f>
        <v>-3.6585365853658458E-2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89286.184972695963</v>
      </c>
      <c r="E77" s="39">
        <f>C77*K77</f>
        <v>75886.454469841265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2.8163121997863486E-3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44200</v>
      </c>
      <c r="O77" s="37">
        <v>3332.68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305152.39909459674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2.2410972412092961E-3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29914.474724008869</v>
      </c>
      <c r="E79" s="39">
        <f>C79*K79</f>
        <v>25425.024317333333</v>
      </c>
      <c r="F79" s="40" t="s">
        <v>138</v>
      </c>
      <c r="G79" s="68">
        <v>6.0499999999999998E-2</v>
      </c>
      <c r="H79" s="42">
        <v>0.11</v>
      </c>
      <c r="I79" s="42">
        <v>0.119932</v>
      </c>
      <c r="J79" s="43">
        <f>I79/$J$5</f>
        <v>4.4796545722118877E-3</v>
      </c>
      <c r="K79" s="44">
        <f>I79/$K$4</f>
        <v>3.8073650793650792E-3</v>
      </c>
      <c r="L79" s="45">
        <f>I79-H79</f>
        <v>9.9319999999999964E-3</v>
      </c>
      <c r="M79" s="93">
        <f>((I79-H79)/H79)*100</f>
        <v>9.0290909090909057</v>
      </c>
      <c r="N79" s="37">
        <v>14801</v>
      </c>
      <c r="O79" s="37">
        <v>1775.12</v>
      </c>
      <c r="P79" s="40">
        <v>0</v>
      </c>
      <c r="Q79" s="48">
        <f>I79/G79-1</f>
        <v>0.98234710743801656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28624301.337935053</v>
      </c>
      <c r="E80" s="39">
        <f>C80*K80</f>
        <v>24328475.238095239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5.7895012064573481E-2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59001</v>
      </c>
      <c r="O81" s="60">
        <f>SUM(O77:O80)</f>
        <v>5107.7999999999993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26139406.094290428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7.0968079304961032E-2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72279975.34531574</v>
      </c>
      <c r="E84" s="39">
        <f>C84*K84</f>
        <v>61432471.997777782</v>
      </c>
      <c r="F84" s="40" t="s">
        <v>174</v>
      </c>
      <c r="G84" s="40">
        <v>1.44347</v>
      </c>
      <c r="H84" s="42">
        <v>1.084565</v>
      </c>
      <c r="I84" s="42">
        <v>1.0510660000000001</v>
      </c>
      <c r="J84" s="43">
        <f>I84/$J$5</f>
        <v>3.9259018548814834E-2</v>
      </c>
      <c r="K84" s="44">
        <f>I84/$K$4</f>
        <v>3.3367174603174607E-2</v>
      </c>
      <c r="L84" s="45">
        <f>I84-H84</f>
        <v>-3.3498999999999945E-2</v>
      </c>
      <c r="M84" s="45">
        <f>((I84-H84)/H84*100)</f>
        <v>-3.0887037660260055</v>
      </c>
      <c r="N84" s="50">
        <v>1689876</v>
      </c>
      <c r="O84" s="37">
        <v>1776190.9850000001</v>
      </c>
      <c r="P84" s="47">
        <f>(R84)/J84</f>
        <v>5.5426754932611275E-2</v>
      </c>
      <c r="Q84" s="48">
        <f>I84/G84-1</f>
        <v>-0.27184770033322481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1689876</v>
      </c>
      <c r="O85" s="60">
        <f>SUM(O83:O84)</f>
        <v>1776190.9850000001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74</v>
      </c>
      <c r="B88" s="110">
        <v>3.3768319999999998</v>
      </c>
      <c r="D88" s="110">
        <v>13.892508049939803</v>
      </c>
      <c r="E88" s="35" t="s">
        <v>72</v>
      </c>
      <c r="F88" s="111">
        <v>1.1924999999999999</v>
      </c>
      <c r="H88" s="112">
        <v>-14.821428571428575</v>
      </c>
      <c r="L88" s="35" t="s">
        <v>120</v>
      </c>
      <c r="M88" s="50">
        <v>0.156</v>
      </c>
      <c r="N88" s="113">
        <v>19.907763259031519</v>
      </c>
      <c r="O88" s="35" t="s">
        <v>122</v>
      </c>
      <c r="P88" s="111">
        <v>49.024999999999999</v>
      </c>
      <c r="Q88" s="114">
        <v>-16.09244977527667</v>
      </c>
    </row>
    <row r="89" spans="1:243" x14ac:dyDescent="0.25">
      <c r="A89" s="35" t="s">
        <v>90</v>
      </c>
      <c r="B89" s="110">
        <v>1.2575000000000001</v>
      </c>
      <c r="D89" s="110">
        <v>13.843866871027366</v>
      </c>
      <c r="E89" s="35" t="s">
        <v>52</v>
      </c>
      <c r="F89" s="111">
        <v>31.130513000000001</v>
      </c>
      <c r="H89" s="112">
        <v>-2.6882574514308941</v>
      </c>
      <c r="L89" s="35" t="s">
        <v>147</v>
      </c>
      <c r="M89" s="50">
        <v>0.1164</v>
      </c>
      <c r="N89" s="113">
        <v>5.1490514905149016</v>
      </c>
      <c r="O89" s="35" t="s">
        <v>143</v>
      </c>
      <c r="P89" s="111">
        <v>0.64929999999999999</v>
      </c>
      <c r="Q89" s="114">
        <v>-6.0483287512661059</v>
      </c>
    </row>
    <row r="90" spans="1:243" x14ac:dyDescent="0.25">
      <c r="A90" s="35" t="s">
        <v>37</v>
      </c>
      <c r="B90" s="110">
        <v>0.22</v>
      </c>
      <c r="C90" s="110"/>
      <c r="D90" s="110">
        <v>9.7256857855361538</v>
      </c>
      <c r="E90" s="35" t="s">
        <v>115</v>
      </c>
      <c r="F90" s="111">
        <v>0.65</v>
      </c>
      <c r="H90" s="112">
        <v>-1.886792452830182</v>
      </c>
      <c r="L90" s="35" t="s">
        <v>126</v>
      </c>
      <c r="M90" s="50">
        <v>2.75E-2</v>
      </c>
      <c r="N90" s="113">
        <v>4.9618320610686988</v>
      </c>
      <c r="O90" s="35" t="s">
        <v>139</v>
      </c>
      <c r="P90" s="111">
        <v>1.1011</v>
      </c>
      <c r="Q90" s="114">
        <v>-1.7664376840039291</v>
      </c>
    </row>
    <row r="91" spans="1:243" x14ac:dyDescent="0.25">
      <c r="A91" s="35" t="s">
        <v>99</v>
      </c>
      <c r="B91" s="110">
        <v>0.16073000000000001</v>
      </c>
      <c r="C91" s="110"/>
      <c r="D91" s="110">
        <v>5.052287581699356</v>
      </c>
      <c r="E91" s="35" t="s">
        <v>103</v>
      </c>
      <c r="F91" s="111">
        <v>0.11</v>
      </c>
      <c r="G91" s="111"/>
      <c r="H91" s="112">
        <v>-0.82316770802340311</v>
      </c>
      <c r="L91" s="35" t="s">
        <v>130</v>
      </c>
      <c r="M91" s="50">
        <v>1.4536</v>
      </c>
      <c r="N91" s="113">
        <v>3.8211556317405977</v>
      </c>
      <c r="O91" s="35"/>
      <c r="P91" s="111"/>
      <c r="Q91" s="114"/>
    </row>
    <row r="92" spans="1:243" x14ac:dyDescent="0.25">
      <c r="A92" s="35" t="s">
        <v>78</v>
      </c>
      <c r="B92" s="110">
        <v>0.75</v>
      </c>
      <c r="C92" s="110"/>
      <c r="D92" s="110">
        <v>0.94701762131138667</v>
      </c>
      <c r="E92" s="35" t="s">
        <v>42</v>
      </c>
      <c r="F92" s="111">
        <v>16.097058999999998</v>
      </c>
      <c r="G92" s="111"/>
      <c r="H92" s="112">
        <v>-0.32780804953560727</v>
      </c>
      <c r="L92" s="35" t="s">
        <v>124</v>
      </c>
      <c r="M92" s="50">
        <v>0.2387</v>
      </c>
      <c r="N92" s="113">
        <v>3.692441355343183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CQCXKzbjkCnO2UOOkuJ124TjlVMCZi1rxlPnSE4T9Lvnk2esu68KCqVFjjVnmQfBvocfBTrabM/v6WNpcWjvzw==" saltValue="wDUfnaPZwyUdgw0/YO0b1w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2026-06-25T13:48:21Z</dcterms:created>
  <dcterms:modified xsi:type="dcterms:W3CDTF">2026-06-25T13:55:52Z</dcterms:modified>
</cp:coreProperties>
</file>