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09.10.26\"/>
    </mc:Choice>
  </mc:AlternateContent>
  <xr:revisionPtr revIDLastSave="0" documentId="13_ncr:1_{C1791642-D919-4FC1-92F8-A70C3A7565F0}" xr6:coauthVersionLast="47" xr6:coauthVersionMax="47" xr10:uidLastSave="{00000000-0000-0000-0000-000000000000}"/>
  <bookViews>
    <workbookView xWindow="-120" yWindow="-120" windowWidth="29040" windowHeight="15720" xr2:uid="{63C46F73-0927-4127-A4D5-8204DFD2A834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K75" i="1"/>
  <c r="E75" i="1" s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M60" i="1"/>
  <c r="L60" i="1"/>
  <c r="J60" i="1"/>
  <c r="M59" i="1"/>
  <c r="L59" i="1"/>
  <c r="J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E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E21" i="1" s="1"/>
  <c r="J21" i="1"/>
  <c r="P21" i="1" s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E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J11" i="1"/>
  <c r="E11" i="1"/>
  <c r="Q10" i="1"/>
  <c r="M10" i="1"/>
  <c r="L10" i="1"/>
  <c r="K10" i="1"/>
  <c r="J10" i="1"/>
  <c r="P10" i="1" s="1"/>
  <c r="E10" i="1"/>
  <c r="D10" i="1"/>
  <c r="Q9" i="1"/>
  <c r="M9" i="1"/>
  <c r="L9" i="1"/>
  <c r="K9" i="1"/>
  <c r="E9" i="1" s="1"/>
  <c r="J9" i="1"/>
  <c r="P9" i="1" s="1"/>
  <c r="D9" i="1"/>
  <c r="Q75" i="1" l="1"/>
  <c r="P75" i="1"/>
  <c r="P72" i="1"/>
  <c r="K72" i="1"/>
  <c r="E72" i="1" s="1"/>
  <c r="Q72" i="1"/>
  <c r="K71" i="1"/>
  <c r="E71" i="1" s="1"/>
  <c r="Q71" i="1"/>
  <c r="P71" i="1"/>
  <c r="P65" i="1"/>
  <c r="Q65" i="1"/>
  <c r="Q64" i="1"/>
  <c r="P64" i="1"/>
  <c r="Q63" i="1"/>
  <c r="P63" i="1"/>
  <c r="Q62" i="1"/>
  <c r="P62" i="1"/>
  <c r="D61" i="1"/>
  <c r="Q61" i="1"/>
  <c r="P61" i="1"/>
  <c r="P60" i="1"/>
  <c r="Q60" i="1"/>
  <c r="D60" i="1"/>
  <c r="Q59" i="1"/>
  <c r="D59" i="1"/>
  <c r="P59" i="1"/>
  <c r="Q58" i="1"/>
  <c r="P58" i="1"/>
  <c r="P57" i="1"/>
  <c r="Q57" i="1"/>
  <c r="Q56" i="1"/>
  <c r="P56" i="1"/>
  <c r="P55" i="1"/>
  <c r="Q55" i="1"/>
  <c r="P54" i="1"/>
  <c r="Q54" i="1"/>
  <c r="D53" i="1"/>
  <c r="P53" i="1"/>
  <c r="P51" i="1"/>
  <c r="Q51" i="1"/>
  <c r="Q50" i="1"/>
  <c r="P50" i="1"/>
  <c r="P29" i="1"/>
  <c r="D29" i="1"/>
  <c r="D15" i="1"/>
  <c r="P15" i="1"/>
  <c r="P11" i="1"/>
  <c r="D11" i="1"/>
</calcChain>
</file>

<file path=xl/sharedStrings.xml><?xml version="1.0" encoding="utf-8"?>
<sst xmlns="http://schemas.openxmlformats.org/spreadsheetml/2006/main" count="272" uniqueCount="185">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</sst>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FF2BF3B-D132-48AF-BE54-7F117EE1C77F}"/>
    <cellStyle name="Comma 5 2 2 2 2 2 2 2 2 2 2 2 2 2" xfId="4" xr:uid="{EB67C3DF-7751-4D62-A205-B92273D86D84}"/>
    <cellStyle name="Comma 6 2 2 2 2 2 2 2 2" xfId="6" xr:uid="{FBD9DFEA-AD8F-4CB3-A538-BAE180B6511F}"/>
    <cellStyle name="Hyperlink 2" xfId="8" xr:uid="{1A1674DF-AC24-45D5-9AD7-25DDD6A0FE07}"/>
    <cellStyle name="Normal" xfId="0" builtinId="0"/>
    <cellStyle name="Normal 2" xfId="2" xr:uid="{C4B014B1-41FB-4E81-88E9-BB3E1D07245A}"/>
    <cellStyle name="Normal 20" xfId="7" xr:uid="{E82509F5-6632-4E47-A5A8-9625B31FB38B}"/>
    <cellStyle name="Percent" xfId="1" builtinId="5"/>
    <cellStyle name="Percent 3" xfId="5" xr:uid="{48FB5ADD-B0E8-49D5-9F32-C3BF2598609C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4C04A79-9655-42DF-9239-F6FDC105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1AD7E00-22BB-4E3B-9FB6-DA842CD27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E7F2-2443-49B7-B414-71097153D932}">
  <dimension ref="A1:II107"/>
  <sheetViews>
    <sheetView tabSelected="1" topLeftCell="A42" zoomScale="70" zoomScaleNormal="70" workbookViewId="0">
      <selection activeCell="J5" sqref="J5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26.6875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85006834.735362992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0.67447306791569084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2.2239583333333333E-2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8106823.5161062293</v>
      </c>
      <c r="E10" s="39">
        <f t="shared" si="1"/>
        <v>6760964.1433151569</v>
      </c>
      <c r="F10" s="40" t="s">
        <v>34</v>
      </c>
      <c r="G10" s="41">
        <v>3.1600000000000003E-2</v>
      </c>
      <c r="H10" s="42">
        <v>0.13</v>
      </c>
      <c r="I10" s="43">
        <v>0.13294300000000001</v>
      </c>
      <c r="J10" s="44">
        <f t="shared" ref="J10:J17" si="7">I10/$J$5</f>
        <v>4.9814707259953159E-3</v>
      </c>
      <c r="K10" s="45">
        <f t="shared" si="2"/>
        <v>4.1544687500000002E-3</v>
      </c>
      <c r="L10" s="46">
        <f t="shared" si="3"/>
        <v>2.9430000000000012E-3</v>
      </c>
      <c r="M10" s="46">
        <f t="shared" si="4"/>
        <v>2.263846153846155</v>
      </c>
      <c r="N10" s="50">
        <v>203900</v>
      </c>
      <c r="O10" s="37">
        <v>27107</v>
      </c>
      <c r="P10" s="51">
        <f t="shared" si="5"/>
        <v>0</v>
      </c>
      <c r="Q10" s="48">
        <f t="shared" si="6"/>
        <v>3.207056962025316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3446697.2953442624</v>
      </c>
      <c r="E11" s="39">
        <f t="shared" si="1"/>
        <v>2874491.6896718754</v>
      </c>
      <c r="F11" s="40" t="s">
        <v>39</v>
      </c>
      <c r="G11" s="41">
        <v>7.8E-2</v>
      </c>
      <c r="H11" s="42">
        <v>0.20399999999999999</v>
      </c>
      <c r="I11" s="43">
        <v>0.21050000000000002</v>
      </c>
      <c r="J11" s="44">
        <f t="shared" si="7"/>
        <v>7.887587822014052E-3</v>
      </c>
      <c r="K11" s="45">
        <f t="shared" si="2"/>
        <v>6.5781250000000006E-3</v>
      </c>
      <c r="L11" s="46">
        <f t="shared" si="3"/>
        <v>6.5000000000000335E-3</v>
      </c>
      <c r="M11" s="46">
        <f t="shared" si="4"/>
        <v>3.1862745098039378</v>
      </c>
      <c r="N11" s="50">
        <v>2500</v>
      </c>
      <c r="O11" s="37">
        <v>526.25</v>
      </c>
      <c r="P11" s="51">
        <f t="shared" si="5"/>
        <v>0</v>
      </c>
      <c r="Q11" s="48">
        <f t="shared" si="6"/>
        <v>1.6987179487179489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147671810.03246841</v>
      </c>
      <c r="E12" s="39">
        <f t="shared" si="1"/>
        <v>123155982.19504689</v>
      </c>
      <c r="F12" s="40" t="s">
        <v>34</v>
      </c>
      <c r="G12" s="41">
        <v>97.381</v>
      </c>
      <c r="H12" s="42">
        <v>190.99950000000001</v>
      </c>
      <c r="I12" s="43">
        <v>190.99950000000001</v>
      </c>
      <c r="J12" s="44">
        <f t="shared" si="7"/>
        <v>7.1568899297423894</v>
      </c>
      <c r="K12" s="45">
        <f t="shared" si="2"/>
        <v>5.9687343750000004</v>
      </c>
      <c r="L12" s="46">
        <f t="shared" si="3"/>
        <v>0</v>
      </c>
      <c r="M12" s="46">
        <f t="shared" si="4"/>
        <v>0</v>
      </c>
      <c r="N12" s="50">
        <v>200</v>
      </c>
      <c r="O12" s="37">
        <v>38199.9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9819325.1522248238</v>
      </c>
      <c r="E13" s="39">
        <f t="shared" si="1"/>
        <v>8189163.75</v>
      </c>
      <c r="F13" s="40" t="s">
        <v>44</v>
      </c>
      <c r="G13" s="41">
        <v>13.6</v>
      </c>
      <c r="H13" s="42">
        <v>27</v>
      </c>
      <c r="I13" s="43">
        <v>30</v>
      </c>
      <c r="J13" s="44">
        <f t="shared" si="7"/>
        <v>1.1241217798594847</v>
      </c>
      <c r="K13" s="45">
        <f t="shared" si="2"/>
        <v>0.9375</v>
      </c>
      <c r="L13" s="46">
        <f t="shared" si="3"/>
        <v>3</v>
      </c>
      <c r="M13" s="46">
        <f t="shared" si="4"/>
        <v>11.111111111111111</v>
      </c>
      <c r="N13" s="50">
        <v>100</v>
      </c>
      <c r="O13" s="37">
        <v>3000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626704145.38641691</v>
      </c>
      <c r="E14" s="39">
        <f t="shared" si="1"/>
        <v>522661465</v>
      </c>
      <c r="F14" s="40" t="s">
        <v>47</v>
      </c>
      <c r="G14" s="41">
        <v>11.5</v>
      </c>
      <c r="H14" s="42">
        <v>34</v>
      </c>
      <c r="I14" s="43">
        <v>32</v>
      </c>
      <c r="J14" s="44">
        <f t="shared" si="7"/>
        <v>1.1990632318501171</v>
      </c>
      <c r="K14" s="45">
        <f t="shared" si="2"/>
        <v>1</v>
      </c>
      <c r="L14" s="46">
        <f t="shared" si="3"/>
        <v>-2</v>
      </c>
      <c r="M14" s="46">
        <f t="shared" si="4"/>
        <v>-5.8823529411764701</v>
      </c>
      <c r="N14" s="50">
        <v>100</v>
      </c>
      <c r="O14" s="37">
        <v>3200</v>
      </c>
      <c r="P14" s="51">
        <f t="shared" si="5"/>
        <v>0</v>
      </c>
      <c r="Q14" s="48">
        <f t="shared" si="6"/>
        <v>1.7826086956521738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31509288.571428571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0.29714285714285715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80554385.097517565</v>
      </c>
      <c r="E16" s="39">
        <f t="shared" si="1"/>
        <v>67181098.509062499</v>
      </c>
      <c r="F16" s="40" t="s">
        <v>34</v>
      </c>
      <c r="G16" s="41">
        <v>1.9</v>
      </c>
      <c r="H16" s="42">
        <v>6.0049999999999999</v>
      </c>
      <c r="I16" s="43">
        <v>6.0049999999999999</v>
      </c>
      <c r="J16" s="44">
        <f t="shared" si="7"/>
        <v>0.22501170960187353</v>
      </c>
      <c r="K16" s="45">
        <f t="shared" si="2"/>
        <v>0.18765625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0.22221065778517904</v>
      </c>
      <c r="Q16" s="48">
        <f t="shared" si="6"/>
        <v>2.1605263157894736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1641355140.6815898</v>
      </c>
      <c r="E17" s="39">
        <f t="shared" si="1"/>
        <v>1368864541.1543727</v>
      </c>
      <c r="F17" s="40" t="s">
        <v>34</v>
      </c>
      <c r="G17" s="41">
        <v>20.701700000000002</v>
      </c>
      <c r="H17" s="42">
        <v>32.496900000000004</v>
      </c>
      <c r="I17" s="43">
        <v>32.501015000000002</v>
      </c>
      <c r="J17" s="44">
        <f t="shared" si="7"/>
        <v>1.2178366276346606</v>
      </c>
      <c r="K17" s="45">
        <f t="shared" si="2"/>
        <v>1.0156567187500001</v>
      </c>
      <c r="L17" s="46">
        <f t="shared" si="3"/>
        <v>4.1149999999987585E-3</v>
      </c>
      <c r="M17" s="46">
        <f t="shared" si="4"/>
        <v>1.2662746292719485E-2</v>
      </c>
      <c r="N17" s="50">
        <v>148800</v>
      </c>
      <c r="O17" s="37">
        <v>4836151</v>
      </c>
      <c r="P17" s="47">
        <f t="shared" si="5"/>
        <v>0</v>
      </c>
      <c r="Q17" s="48">
        <f t="shared" si="6"/>
        <v>0.56996840839158125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338567059.91347909</v>
      </c>
      <c r="E19" s="39">
        <f t="shared" si="1"/>
        <v>282359637.85753042</v>
      </c>
      <c r="F19" s="40" t="s">
        <v>47</v>
      </c>
      <c r="G19" s="41">
        <v>12.45</v>
      </c>
      <c r="H19" s="42">
        <v>13.45</v>
      </c>
      <c r="I19" s="43">
        <v>13.446699000000001</v>
      </c>
      <c r="J19" s="44">
        <f t="shared" ref="J19:J45" si="8">I19/$J$5</f>
        <v>0.50385757377049178</v>
      </c>
      <c r="K19" s="45">
        <f t="shared" ref="K19:K45" si="9">I19/$K$4</f>
        <v>0.42020934375000002</v>
      </c>
      <c r="L19" s="46">
        <f t="shared" ref="L19:L29" si="10">I19-H19</f>
        <v>-3.3009999999986661E-3</v>
      </c>
      <c r="M19" s="46">
        <f>((I19-H19)/H19)*100</f>
        <v>-2.4542750929358113E-2</v>
      </c>
      <c r="N19" s="50">
        <v>484700</v>
      </c>
      <c r="O19" s="37">
        <v>6517615</v>
      </c>
      <c r="P19" s="51">
        <f>(R19)/J19</f>
        <v>0</v>
      </c>
      <c r="Q19" s="48">
        <f t="shared" ref="Q19:Q29" si="11">I19/G19-1</f>
        <v>8.0056144578313448E-2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3795734.3561592512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3.4847775175644032E-2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93312074.1215543</v>
      </c>
      <c r="E21" s="39">
        <f t="shared" si="1"/>
        <v>77820811.816218123</v>
      </c>
      <c r="F21" s="40" t="s">
        <v>47</v>
      </c>
      <c r="G21" s="41">
        <v>2.85</v>
      </c>
      <c r="H21" s="42">
        <v>3.6992530000000001</v>
      </c>
      <c r="I21" s="43">
        <v>3.608333</v>
      </c>
      <c r="J21" s="44">
        <f t="shared" si="8"/>
        <v>0.13520685714285716</v>
      </c>
      <c r="K21" s="45">
        <f t="shared" si="9"/>
        <v>0.11276040625</v>
      </c>
      <c r="L21" s="46">
        <f t="shared" si="10"/>
        <v>-9.0920000000000112E-2</v>
      </c>
      <c r="M21" s="46">
        <f>((I21-H21)/H21)*100</f>
        <v>-2.4577935058780818</v>
      </c>
      <c r="N21" s="50">
        <v>1800</v>
      </c>
      <c r="O21" s="37">
        <v>6495</v>
      </c>
      <c r="P21" s="51">
        <f>(R21)/J21</f>
        <v>0</v>
      </c>
      <c r="Q21" s="48">
        <f t="shared" si="11"/>
        <v>0.26608175438596482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1965256.4600614144</v>
      </c>
      <c r="E23" s="39">
        <f t="shared" si="1"/>
        <v>1638993.1805590312</v>
      </c>
      <c r="F23" s="40" t="s">
        <v>44</v>
      </c>
      <c r="G23" s="41">
        <v>0.1</v>
      </c>
      <c r="H23" s="42">
        <v>9.9000000000000005E-2</v>
      </c>
      <c r="I23" s="43">
        <v>9.7742999999999997E-2</v>
      </c>
      <c r="J23" s="44">
        <f t="shared" si="8"/>
        <v>3.6625011709601873E-3</v>
      </c>
      <c r="K23" s="45">
        <f t="shared" si="9"/>
        <v>3.0544687499999999E-3</v>
      </c>
      <c r="L23" s="46">
        <f t="shared" si="10"/>
        <v>-1.2570000000000081E-3</v>
      </c>
      <c r="M23" s="46">
        <f t="shared" ref="M23:M29" si="12">((I23-H23)/H23)*100</f>
        <v>-1.2696969696969778</v>
      </c>
      <c r="N23" s="50">
        <v>700</v>
      </c>
      <c r="O23" s="37">
        <v>68.42</v>
      </c>
      <c r="P23" s="51">
        <f t="shared" ref="P23:P29" si="13">(R23)/J23</f>
        <v>0</v>
      </c>
      <c r="Q23" s="48">
        <f t="shared" si="11"/>
        <v>-2.257000000000009E-2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66648056.982396245</v>
      </c>
      <c r="E24" s="39">
        <f t="shared" si="1"/>
        <v>55583438.147428118</v>
      </c>
      <c r="F24" s="40" t="s">
        <v>34</v>
      </c>
      <c r="G24" s="41">
        <v>8.1687659999999997</v>
      </c>
      <c r="H24" s="42">
        <v>9.1999999999999993</v>
      </c>
      <c r="I24" s="43">
        <v>9.2149249999999991</v>
      </c>
      <c r="J24" s="44">
        <f t="shared" si="8"/>
        <v>0.3452899297423887</v>
      </c>
      <c r="K24" s="45">
        <f t="shared" si="9"/>
        <v>0.28796640624999997</v>
      </c>
      <c r="L24" s="46">
        <f t="shared" si="10"/>
        <v>1.4924999999999855E-2</v>
      </c>
      <c r="M24" s="46">
        <f t="shared" si="12"/>
        <v>0.16222826086956366</v>
      </c>
      <c r="N24" s="50">
        <v>80400</v>
      </c>
      <c r="O24" s="37">
        <v>740880</v>
      </c>
      <c r="P24" s="47">
        <f t="shared" si="13"/>
        <v>4.3441753459740592E-2</v>
      </c>
      <c r="Q24" s="48">
        <f t="shared" si="11"/>
        <v>0.12806818067747305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108289934.06697892</v>
      </c>
      <c r="E25" s="39">
        <f t="shared" si="1"/>
        <v>90312112.981640622</v>
      </c>
      <c r="F25" s="40" t="s">
        <v>66</v>
      </c>
      <c r="G25" s="41">
        <v>1.6675</v>
      </c>
      <c r="H25" s="42">
        <v>1.7124999999999999</v>
      </c>
      <c r="I25" s="43">
        <v>1.7124999999999999</v>
      </c>
      <c r="J25" s="44">
        <f t="shared" si="8"/>
        <v>6.4168618266978922E-2</v>
      </c>
      <c r="K25" s="45">
        <f t="shared" si="9"/>
        <v>5.3515624999999997E-2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2.6986506746626615E-2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23591221.411147539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2.5</v>
      </c>
      <c r="I26" s="43">
        <v>2.63</v>
      </c>
      <c r="J26" s="44">
        <f t="shared" si="8"/>
        <v>9.8548009367681488E-2</v>
      </c>
      <c r="K26" s="45">
        <f t="shared" si="9"/>
        <v>8.2187499999999997E-2</v>
      </c>
      <c r="L26" s="46">
        <f t="shared" si="10"/>
        <v>0.12999999999999989</v>
      </c>
      <c r="M26" s="46">
        <f t="shared" si="12"/>
        <v>5.1999999999999957</v>
      </c>
      <c r="N26" s="50">
        <v>200</v>
      </c>
      <c r="O26" s="37">
        <v>526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23995385.573770493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9.3676814988290405E-2</v>
      </c>
      <c r="K27" s="45">
        <f t="shared" si="9"/>
        <v>7.8125E-2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-0.20284094731830904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32561885.382669788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4.309133489461358E-2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1100</v>
      </c>
      <c r="O28" s="37">
        <v>1265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119319119.12393442</v>
      </c>
      <c r="E29" s="39">
        <f t="shared" si="1"/>
        <v>99510280.988124996</v>
      </c>
      <c r="F29" s="40" t="s">
        <v>47</v>
      </c>
      <c r="G29" s="41">
        <v>5.15</v>
      </c>
      <c r="H29" s="42">
        <v>7.0828570000000006</v>
      </c>
      <c r="I29" s="43">
        <v>7.09</v>
      </c>
      <c r="J29" s="44">
        <f t="shared" si="8"/>
        <v>0.26566744730679154</v>
      </c>
      <c r="K29" s="45">
        <f t="shared" si="9"/>
        <v>0.2215625</v>
      </c>
      <c r="L29" s="46">
        <f t="shared" si="10"/>
        <v>7.1429999999992333E-3</v>
      </c>
      <c r="M29" s="46">
        <f t="shared" si="12"/>
        <v>0.10084913474886241</v>
      </c>
      <c r="N29" s="50">
        <v>1000</v>
      </c>
      <c r="O29" s="37">
        <v>7090</v>
      </c>
      <c r="P29" s="51">
        <f t="shared" si="13"/>
        <v>0</v>
      </c>
      <c r="Q29" s="48">
        <f t="shared" si="11"/>
        <v>0.37669902912621356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13934187.629789228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5.3620608899297428E-2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2.2142857142857242E-2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4115279.5503512882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3.3723653395784543E-2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112443405.73142856</v>
      </c>
      <c r="E33" s="39">
        <f t="shared" si="1"/>
        <v>93776043.451796874</v>
      </c>
      <c r="F33" s="40" t="s">
        <v>92</v>
      </c>
      <c r="G33" s="41">
        <v>1.44</v>
      </c>
      <c r="H33" s="42">
        <v>1.2024999999999999</v>
      </c>
      <c r="I33" s="43">
        <v>1.2024999999999999</v>
      </c>
      <c r="J33" s="44">
        <f t="shared" si="8"/>
        <v>4.5058548009367677E-2</v>
      </c>
      <c r="K33" s="45">
        <f t="shared" si="9"/>
        <v>3.7578124999999997E-2</v>
      </c>
      <c r="L33" s="46">
        <f t="shared" si="14"/>
        <v>0</v>
      </c>
      <c r="M33" s="46">
        <f t="shared" si="15"/>
        <v>0</v>
      </c>
      <c r="N33" s="50">
        <v>100</v>
      </c>
      <c r="O33" s="37">
        <v>120.25</v>
      </c>
      <c r="P33" s="51">
        <f t="shared" si="16"/>
        <v>0</v>
      </c>
      <c r="Q33" s="48">
        <f t="shared" si="17"/>
        <v>-0.16493055555555558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39419049.347072601</v>
      </c>
      <c r="E34" s="39">
        <f t="shared" si="1"/>
        <v>32874871.232812501</v>
      </c>
      <c r="F34" s="40" t="s">
        <v>34</v>
      </c>
      <c r="G34" s="41">
        <v>3.6056249999999999</v>
      </c>
      <c r="H34" s="42">
        <v>4.0349919999999999</v>
      </c>
      <c r="I34" s="43">
        <v>4.1500000000000004</v>
      </c>
      <c r="J34" s="44">
        <f t="shared" si="8"/>
        <v>0.15550351288056208</v>
      </c>
      <c r="K34" s="45">
        <f t="shared" si="9"/>
        <v>0.12968750000000001</v>
      </c>
      <c r="L34" s="46">
        <f t="shared" si="14"/>
        <v>0.11500800000000044</v>
      </c>
      <c r="M34" s="46">
        <f t="shared" si="15"/>
        <v>2.8502658741330946</v>
      </c>
      <c r="N34" s="50">
        <v>400</v>
      </c>
      <c r="O34" s="37">
        <v>1660</v>
      </c>
      <c r="P34" s="51">
        <f t="shared" si="16"/>
        <v>0</v>
      </c>
      <c r="Q34" s="48">
        <f t="shared" si="17"/>
        <v>0.15097937250823379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10640586.505167438</v>
      </c>
      <c r="E35" s="39">
        <f t="shared" si="1"/>
        <v>8874082.8861454986</v>
      </c>
      <c r="F35" s="40" t="s">
        <v>34</v>
      </c>
      <c r="G35" s="41">
        <v>2.5099999999999997E-2</v>
      </c>
      <c r="H35" s="42">
        <v>6.0740999999999996E-2</v>
      </c>
      <c r="I35" s="43">
        <v>6.0225999999999995E-2</v>
      </c>
      <c r="J35" s="44">
        <f t="shared" si="8"/>
        <v>2.2567119437939109E-3</v>
      </c>
      <c r="K35" s="45">
        <f t="shared" si="9"/>
        <v>1.8820624999999998E-3</v>
      </c>
      <c r="L35" s="46">
        <f t="shared" si="14"/>
        <v>-5.1500000000000157E-4</v>
      </c>
      <c r="M35" s="46">
        <f t="shared" si="15"/>
        <v>-0.84786223473436662</v>
      </c>
      <c r="N35" s="50">
        <v>108600</v>
      </c>
      <c r="O35" s="37">
        <v>6540.5</v>
      </c>
      <c r="P35" s="51">
        <f t="shared" si="16"/>
        <v>0</v>
      </c>
      <c r="Q35" s="48">
        <f t="shared" si="17"/>
        <v>1.3994422310756973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68913581.376393437</v>
      </c>
      <c r="E36" s="39">
        <f t="shared" si="1"/>
        <v>57472850.093203127</v>
      </c>
      <c r="F36" s="40" t="s">
        <v>92</v>
      </c>
      <c r="G36" s="41">
        <v>0.61</v>
      </c>
      <c r="H36" s="42">
        <v>3.5014289999999999</v>
      </c>
      <c r="I36" s="43">
        <v>3.5024999999999999</v>
      </c>
      <c r="J36" s="44">
        <f t="shared" si="8"/>
        <v>0.13124121779859485</v>
      </c>
      <c r="K36" s="45">
        <f t="shared" si="9"/>
        <v>0.109453125</v>
      </c>
      <c r="L36" s="46">
        <f t="shared" si="14"/>
        <v>1.0710000000000441E-3</v>
      </c>
      <c r="M36" s="46">
        <f t="shared" si="15"/>
        <v>3.0587511555997395E-2</v>
      </c>
      <c r="N36" s="50">
        <v>400</v>
      </c>
      <c r="O36" s="37">
        <v>1401</v>
      </c>
      <c r="P36" s="51">
        <f t="shared" si="16"/>
        <v>0</v>
      </c>
      <c r="Q36" s="48">
        <f t="shared" si="17"/>
        <v>4.7418032786885247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131767031.84127893</v>
      </c>
      <c r="E37" s="39">
        <f t="shared" si="1"/>
        <v>109891645.69575411</v>
      </c>
      <c r="F37" s="40" t="s">
        <v>56</v>
      </c>
      <c r="G37" s="41">
        <v>0.11650199999999999</v>
      </c>
      <c r="H37" s="42">
        <v>0.84945300000000001</v>
      </c>
      <c r="I37" s="43">
        <v>0.83830799999999994</v>
      </c>
      <c r="J37" s="44">
        <f t="shared" si="8"/>
        <v>3.1412009367681494E-2</v>
      </c>
      <c r="K37" s="45">
        <f t="shared" si="9"/>
        <v>2.6197124999999998E-2</v>
      </c>
      <c r="L37" s="46">
        <f t="shared" si="14"/>
        <v>-1.1145000000000072E-2</v>
      </c>
      <c r="M37" s="46">
        <f t="shared" si="15"/>
        <v>-1.3120207945583888</v>
      </c>
      <c r="N37" s="50">
        <v>9100</v>
      </c>
      <c r="O37" s="37">
        <v>7628.6</v>
      </c>
      <c r="P37" s="51">
        <v>0</v>
      </c>
      <c r="Q37" s="48">
        <f t="shared" si="17"/>
        <v>6.1956532935056909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21030181.481553309</v>
      </c>
      <c r="E38" s="39">
        <f t="shared" si="1"/>
        <v>17538842.759029813</v>
      </c>
      <c r="F38" s="40" t="s">
        <v>39</v>
      </c>
      <c r="G38" s="41">
        <v>0.1</v>
      </c>
      <c r="H38" s="42">
        <v>0.14150000000000001</v>
      </c>
      <c r="I38" s="43">
        <v>0.13004599999999999</v>
      </c>
      <c r="J38" s="44">
        <f t="shared" si="8"/>
        <v>4.8729180327868847E-3</v>
      </c>
      <c r="K38" s="45">
        <f t="shared" si="9"/>
        <v>4.0639374999999998E-3</v>
      </c>
      <c r="L38" s="46">
        <f t="shared" si="14"/>
        <v>-1.145400000000002E-2</v>
      </c>
      <c r="M38" s="46">
        <f t="shared" si="15"/>
        <v>-8.0946996466431216</v>
      </c>
      <c r="N38" s="50">
        <v>22700</v>
      </c>
      <c r="O38" s="37">
        <v>2952.05</v>
      </c>
      <c r="P38" s="51">
        <f t="shared" ref="P38:P44" si="18">(R38)/J38</f>
        <v>0</v>
      </c>
      <c r="Q38" s="48">
        <f t="shared" si="17"/>
        <v>0.30045999999999995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7979098.5300240554</v>
      </c>
      <c r="E39" s="39">
        <f t="shared" si="1"/>
        <v>6654443.5006255312</v>
      </c>
      <c r="F39" s="40" t="s">
        <v>44</v>
      </c>
      <c r="G39" s="41">
        <v>1.7452379999999998</v>
      </c>
      <c r="H39" s="42">
        <v>1.999941</v>
      </c>
      <c r="I39" s="43">
        <v>1.999941</v>
      </c>
      <c r="J39" s="44">
        <f t="shared" si="8"/>
        <v>7.4939241217798588E-2</v>
      </c>
      <c r="K39" s="45">
        <f t="shared" si="9"/>
        <v>6.2498156249999999E-2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0.1459416996421119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3967666.3997419016</v>
      </c>
      <c r="E40" s="39">
        <f t="shared" si="1"/>
        <v>3308971.7825972503</v>
      </c>
      <c r="F40" s="40" t="s">
        <v>39</v>
      </c>
      <c r="G40" s="41">
        <v>0.03</v>
      </c>
      <c r="H40" s="42">
        <v>5.9200000000000003E-2</v>
      </c>
      <c r="I40" s="43">
        <v>5.9554000000000003E-2</v>
      </c>
      <c r="J40" s="44">
        <f t="shared" si="8"/>
        <v>2.2315316159250585E-3</v>
      </c>
      <c r="K40" s="45">
        <f t="shared" si="9"/>
        <v>1.8610625000000001E-3</v>
      </c>
      <c r="L40" s="46">
        <f t="shared" si="14"/>
        <v>3.5400000000000015E-4</v>
      </c>
      <c r="M40" s="46">
        <f t="shared" si="15"/>
        <v>0.59797297297297325</v>
      </c>
      <c r="N40" s="50">
        <v>6100</v>
      </c>
      <c r="O40" s="37">
        <v>363.28</v>
      </c>
      <c r="P40" s="51">
        <f t="shared" si="18"/>
        <v>0</v>
      </c>
      <c r="Q40" s="48">
        <f t="shared" si="17"/>
        <v>0.98513333333333342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47264547.911943793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0.26978922716627635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312.50877369555036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6.7447306791569088E-7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1553985.948477752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2.6978922716627638E-3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54503982.343793914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0.8</v>
      </c>
      <c r="I44" s="43">
        <v>0.8</v>
      </c>
      <c r="J44" s="44">
        <f t="shared" si="8"/>
        <v>2.9976580796252927E-2</v>
      </c>
      <c r="K44" s="45">
        <f t="shared" si="9"/>
        <v>2.5000000000000001E-2</v>
      </c>
      <c r="L44" s="46">
        <f t="shared" si="14"/>
        <v>0</v>
      </c>
      <c r="M44" s="46">
        <f t="shared" si="15"/>
        <v>0</v>
      </c>
      <c r="N44" s="50">
        <v>100</v>
      </c>
      <c r="O44" s="37">
        <v>80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17126771.484777518</v>
      </c>
      <c r="E45" s="39">
        <f t="shared" si="1"/>
        <v>14283459.8125</v>
      </c>
      <c r="F45" s="40" t="s">
        <v>47</v>
      </c>
      <c r="G45" s="41">
        <v>1.4503460000000001</v>
      </c>
      <c r="H45" s="42">
        <v>4.45</v>
      </c>
      <c r="I45" s="43">
        <v>4.45</v>
      </c>
      <c r="J45" s="44">
        <f t="shared" si="8"/>
        <v>0.16674473067915691</v>
      </c>
      <c r="K45" s="45">
        <f t="shared" si="9"/>
        <v>0.13906250000000001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2.0682333732778244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1073000</v>
      </c>
      <c r="O47" s="61">
        <f>SUM(O9:O45)</f>
        <v>12202869.25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87776402.969999999</v>
      </c>
      <c r="E50" s="39">
        <v>0</v>
      </c>
      <c r="F50" s="40" t="s">
        <v>92</v>
      </c>
      <c r="G50" s="70">
        <v>0.1</v>
      </c>
      <c r="H50" s="42">
        <v>0.155</v>
      </c>
      <c r="I50" s="42">
        <v>0.155</v>
      </c>
      <c r="J50" s="44">
        <f t="shared" ref="J50:J65" si="20">I50</f>
        <v>0.155</v>
      </c>
      <c r="K50" s="39">
        <v>0</v>
      </c>
      <c r="L50" s="46">
        <f t="shared" ref="L50:L65" si="21">I50-H50</f>
        <v>0</v>
      </c>
      <c r="M50" s="46">
        <f t="shared" ref="M50:M65" si="22">((I50-H50)/H50)*100</f>
        <v>0</v>
      </c>
      <c r="N50" s="50">
        <v>3023466</v>
      </c>
      <c r="O50" s="37">
        <v>468727.13</v>
      </c>
      <c r="P50" s="71">
        <f>(R50)/J50</f>
        <v>0</v>
      </c>
      <c r="Q50" s="48">
        <f t="shared" ref="Q50:Q65" si="23">J50/G50-1</f>
        <v>0.54999999999999982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42749005.219599999</v>
      </c>
      <c r="E51" s="39">
        <v>0</v>
      </c>
      <c r="F51" s="40" t="s">
        <v>39</v>
      </c>
      <c r="G51" s="70">
        <v>39.9</v>
      </c>
      <c r="H51" s="42">
        <v>38.399299999999997</v>
      </c>
      <c r="I51" s="42">
        <v>38.446599999999997</v>
      </c>
      <c r="J51" s="44">
        <f t="shared" si="20"/>
        <v>38.446599999999997</v>
      </c>
      <c r="K51" s="39">
        <v>0</v>
      </c>
      <c r="L51" s="46">
        <f t="shared" si="21"/>
        <v>4.7299999999999898E-2</v>
      </c>
      <c r="M51" s="46">
        <f t="shared" si="22"/>
        <v>0.12317932878984747</v>
      </c>
      <c r="N51" s="50">
        <v>994</v>
      </c>
      <c r="O51" s="37">
        <v>38215.9</v>
      </c>
      <c r="P51" s="72">
        <f>(R51)/J51</f>
        <v>1.4565657301295826E-2</v>
      </c>
      <c r="Q51" s="48">
        <f t="shared" si="23"/>
        <v>-3.6426065162907362E-2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672638288.03439999</v>
      </c>
      <c r="E52" s="39"/>
      <c r="F52" s="40" t="s">
        <v>56</v>
      </c>
      <c r="G52" s="70">
        <v>0.33</v>
      </c>
      <c r="H52" s="42">
        <v>0.22320000000000001</v>
      </c>
      <c r="I52" s="42">
        <v>0.2248</v>
      </c>
      <c r="J52" s="44">
        <f t="shared" si="20"/>
        <v>0.2248</v>
      </c>
      <c r="K52" s="39">
        <v>0</v>
      </c>
      <c r="L52" s="46">
        <f t="shared" si="21"/>
        <v>1.5999999999999903E-3</v>
      </c>
      <c r="M52" s="46">
        <f t="shared" si="22"/>
        <v>0.71684587813619638</v>
      </c>
      <c r="N52" s="50">
        <v>45273</v>
      </c>
      <c r="O52" s="37">
        <v>10177.48</v>
      </c>
      <c r="P52" s="71">
        <v>0</v>
      </c>
      <c r="Q52" s="48">
        <f t="shared" si="23"/>
        <v>-0.31878787878787884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345166270.26839995</v>
      </c>
      <c r="E54" s="39">
        <v>0</v>
      </c>
      <c r="F54" s="40" t="s">
        <v>47</v>
      </c>
      <c r="G54" s="70">
        <v>9.0200000000000002E-2</v>
      </c>
      <c r="H54" s="42">
        <v>0.15920000000000001</v>
      </c>
      <c r="I54" s="42">
        <v>0.15959999999999999</v>
      </c>
      <c r="J54" s="44">
        <f t="shared" si="20"/>
        <v>0.15959999999999999</v>
      </c>
      <c r="K54" s="39">
        <v>0</v>
      </c>
      <c r="L54" s="46">
        <f t="shared" si="21"/>
        <v>3.999999999999837E-4</v>
      </c>
      <c r="M54" s="74">
        <f t="shared" si="22"/>
        <v>0.25125628140702494</v>
      </c>
      <c r="N54" s="50">
        <v>25921</v>
      </c>
      <c r="O54" s="37">
        <v>4135.87</v>
      </c>
      <c r="P54" s="71">
        <f t="shared" si="24"/>
        <v>0</v>
      </c>
      <c r="Q54" s="48">
        <f t="shared" si="23"/>
        <v>0.76940133037694003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831925757.02499998</v>
      </c>
      <c r="E55" s="39">
        <v>0</v>
      </c>
      <c r="F55" s="40" t="s">
        <v>34</v>
      </c>
      <c r="G55" s="70">
        <v>0.95750000000000002</v>
      </c>
      <c r="H55" s="42">
        <v>1.4343999999999999</v>
      </c>
      <c r="I55" s="42">
        <v>1.4444999999999999</v>
      </c>
      <c r="J55" s="44">
        <f t="shared" si="20"/>
        <v>1.4444999999999999</v>
      </c>
      <c r="K55" s="39">
        <v>0</v>
      </c>
      <c r="L55" s="46">
        <f t="shared" si="21"/>
        <v>1.0099999999999998E-2</v>
      </c>
      <c r="M55" s="46">
        <f t="shared" si="22"/>
        <v>0.70412716118237584</v>
      </c>
      <c r="N55" s="50">
        <v>65525</v>
      </c>
      <c r="O55" s="37">
        <v>94652.22</v>
      </c>
      <c r="P55" s="72">
        <f t="shared" si="24"/>
        <v>3.2537210107303566E-2</v>
      </c>
      <c r="Q55" s="48">
        <f t="shared" si="23"/>
        <v>0.5086161879895561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22989151.080000002</v>
      </c>
      <c r="E56" s="39">
        <v>0</v>
      </c>
      <c r="F56" s="40" t="s">
        <v>34</v>
      </c>
      <c r="G56" s="70">
        <v>0.1595</v>
      </c>
      <c r="H56" s="42">
        <v>0.1205</v>
      </c>
      <c r="I56" s="42">
        <v>0.14000000000000001</v>
      </c>
      <c r="J56" s="44">
        <f t="shared" si="20"/>
        <v>0.14000000000000001</v>
      </c>
      <c r="K56" s="39">
        <v>0</v>
      </c>
      <c r="L56" s="46">
        <f t="shared" si="21"/>
        <v>1.9500000000000017E-2</v>
      </c>
      <c r="M56" s="46">
        <f t="shared" si="22"/>
        <v>16.182572614107897</v>
      </c>
      <c r="N56" s="50">
        <v>1100</v>
      </c>
      <c r="O56" s="37">
        <v>154</v>
      </c>
      <c r="P56" s="71">
        <f t="shared" si="24"/>
        <v>0</v>
      </c>
      <c r="Q56" s="48">
        <f t="shared" si="23"/>
        <v>-0.12225705329153602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24528714.257399999</v>
      </c>
      <c r="E57" s="39">
        <v>0</v>
      </c>
      <c r="F57" s="40" t="s">
        <v>92</v>
      </c>
      <c r="G57" s="70">
        <v>1.6799999999999999E-2</v>
      </c>
      <c r="H57" s="42">
        <v>2.4899999999999999E-2</v>
      </c>
      <c r="I57" s="42">
        <v>2.4899999999999999E-2</v>
      </c>
      <c r="J57" s="44">
        <f t="shared" si="20"/>
        <v>2.4899999999999999E-2</v>
      </c>
      <c r="K57" s="39">
        <v>0</v>
      </c>
      <c r="L57" s="46">
        <f t="shared" si="21"/>
        <v>0</v>
      </c>
      <c r="M57" s="74">
        <f t="shared" si="22"/>
        <v>0</v>
      </c>
      <c r="N57" s="50">
        <v>32867</v>
      </c>
      <c r="O57" s="37">
        <v>819.06</v>
      </c>
      <c r="P57" s="71">
        <f t="shared" si="24"/>
        <v>0</v>
      </c>
      <c r="Q57" s="48">
        <f t="shared" si="23"/>
        <v>0.48214285714285721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1</v>
      </c>
      <c r="O58" s="37">
        <v>17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3953324966.2709002</v>
      </c>
      <c r="E59" s="39">
        <v>0</v>
      </c>
      <c r="F59" s="40" t="s">
        <v>47</v>
      </c>
      <c r="G59" s="70">
        <v>0.78169999999999995</v>
      </c>
      <c r="H59" s="51">
        <v>0.88180000000000003</v>
      </c>
      <c r="I59" s="42">
        <v>0.87890000000000001</v>
      </c>
      <c r="J59" s="44">
        <f t="shared" si="20"/>
        <v>0.87890000000000001</v>
      </c>
      <c r="K59" s="39">
        <v>0</v>
      </c>
      <c r="L59" s="46">
        <f t="shared" si="21"/>
        <v>-2.9000000000000137E-3</v>
      </c>
      <c r="M59" s="46">
        <f t="shared" si="22"/>
        <v>-0.32887276026309975</v>
      </c>
      <c r="N59" s="75">
        <v>6223</v>
      </c>
      <c r="O59" s="76">
        <v>5469.57</v>
      </c>
      <c r="P59" s="71">
        <f t="shared" si="24"/>
        <v>0</v>
      </c>
      <c r="Q59" s="48">
        <f t="shared" si="23"/>
        <v>0.12434437763848027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1193868629.7879</v>
      </c>
      <c r="E60" s="39">
        <v>0</v>
      </c>
      <c r="F60" s="40" t="s">
        <v>92</v>
      </c>
      <c r="G60" s="70">
        <v>0.59499999999999997</v>
      </c>
      <c r="H60" s="42">
        <v>1.4851000000000001</v>
      </c>
      <c r="I60" s="42">
        <v>1.4829000000000001</v>
      </c>
      <c r="J60" s="44">
        <f t="shared" si="20"/>
        <v>1.4829000000000001</v>
      </c>
      <c r="K60" s="39">
        <v>0</v>
      </c>
      <c r="L60" s="46">
        <f t="shared" si="21"/>
        <v>-2.1999999999999797E-3</v>
      </c>
      <c r="M60" s="46">
        <f t="shared" si="22"/>
        <v>-0.14813817251363406</v>
      </c>
      <c r="N60" s="50">
        <v>118871</v>
      </c>
      <c r="O60" s="37">
        <v>176275.06</v>
      </c>
      <c r="P60" s="71">
        <f t="shared" si="24"/>
        <v>0</v>
      </c>
      <c r="Q60" s="48">
        <f t="shared" si="23"/>
        <v>1.4922689075630253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101756876.37539999</v>
      </c>
      <c r="E61" s="39">
        <v>0</v>
      </c>
      <c r="F61" s="40" t="s">
        <v>34</v>
      </c>
      <c r="G61" s="70">
        <v>0.22600000000000001</v>
      </c>
      <c r="H61" s="42">
        <v>0.4</v>
      </c>
      <c r="I61" s="42">
        <v>0.39029999999999998</v>
      </c>
      <c r="J61" s="44">
        <f t="shared" si="20"/>
        <v>0.39029999999999998</v>
      </c>
      <c r="K61" s="39">
        <v>0</v>
      </c>
      <c r="L61" s="46">
        <f t="shared" si="21"/>
        <v>-9.7000000000000419E-3</v>
      </c>
      <c r="M61" s="46">
        <f t="shared" si="22"/>
        <v>-2.4250000000000105</v>
      </c>
      <c r="N61" s="50">
        <v>1351</v>
      </c>
      <c r="O61" s="37">
        <v>527.24</v>
      </c>
      <c r="P61" s="71">
        <f t="shared" si="24"/>
        <v>0</v>
      </c>
      <c r="Q61" s="48">
        <f t="shared" si="23"/>
        <v>0.72699115044247775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386220949.35600001</v>
      </c>
      <c r="E62" s="39">
        <v>0</v>
      </c>
      <c r="F62" s="40" t="s">
        <v>34</v>
      </c>
      <c r="G62" s="70">
        <v>0.49440000000000001</v>
      </c>
      <c r="H62" s="42">
        <v>0.69830000000000003</v>
      </c>
      <c r="I62" s="42">
        <v>0.68700000000000006</v>
      </c>
      <c r="J62" s="44">
        <f t="shared" si="20"/>
        <v>0.68700000000000006</v>
      </c>
      <c r="K62" s="39">
        <v>0</v>
      </c>
      <c r="L62" s="46">
        <f t="shared" si="21"/>
        <v>-1.1299999999999977E-2</v>
      </c>
      <c r="M62" s="46">
        <f t="shared" si="22"/>
        <v>-1.6182156666189285</v>
      </c>
      <c r="N62" s="50">
        <v>3915</v>
      </c>
      <c r="O62" s="37">
        <v>2689.55</v>
      </c>
      <c r="P62" s="71">
        <f t="shared" si="24"/>
        <v>0</v>
      </c>
      <c r="Q62" s="48">
        <f t="shared" si="23"/>
        <v>0.3895631067961165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80924779.769999996</v>
      </c>
      <c r="E63" s="39">
        <v>0</v>
      </c>
      <c r="F63" s="40" t="s">
        <v>34</v>
      </c>
      <c r="G63" s="70">
        <v>0.25950000000000001</v>
      </c>
      <c r="H63" s="42">
        <v>0.21029999999999999</v>
      </c>
      <c r="I63" s="42">
        <v>0.222</v>
      </c>
      <c r="J63" s="44">
        <f t="shared" si="20"/>
        <v>0.222</v>
      </c>
      <c r="K63" s="39">
        <v>0</v>
      </c>
      <c r="L63" s="46">
        <f t="shared" si="21"/>
        <v>1.1700000000000016E-2</v>
      </c>
      <c r="M63" s="46">
        <f t="shared" si="22"/>
        <v>5.5634807417974397</v>
      </c>
      <c r="N63" s="50">
        <v>20450</v>
      </c>
      <c r="O63" s="37">
        <v>4540.55</v>
      </c>
      <c r="P63" s="71">
        <f t="shared" si="24"/>
        <v>0</v>
      </c>
      <c r="Q63" s="48">
        <f t="shared" si="23"/>
        <v>-0.1445086705202312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12</v>
      </c>
      <c r="I64" s="42">
        <v>12</v>
      </c>
      <c r="J64" s="44">
        <f t="shared" si="20"/>
        <v>12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40660497.347999997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0.11799999999999999</v>
      </c>
      <c r="J65" s="44">
        <f t="shared" si="20"/>
        <v>0.11799999999999999</v>
      </c>
      <c r="K65" s="39">
        <v>0</v>
      </c>
      <c r="L65" s="46">
        <f t="shared" si="21"/>
        <v>-2.0000000000000018E-3</v>
      </c>
      <c r="M65" s="46">
        <f t="shared" si="22"/>
        <v>-1.6666666666666683</v>
      </c>
      <c r="N65" s="50">
        <v>825</v>
      </c>
      <c r="O65" s="37">
        <v>97.35</v>
      </c>
      <c r="P65" s="71">
        <f t="shared" si="24"/>
        <v>0</v>
      </c>
      <c r="Q65" s="48">
        <f t="shared" si="23"/>
        <v>1.7441860465116279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3346782</v>
      </c>
      <c r="O66" s="62">
        <f>SUM(O50:O65)</f>
        <v>806497.9800000001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41831966.276100002</v>
      </c>
      <c r="E71" s="39">
        <f>C71*K71</f>
        <v>41831966.276100002</v>
      </c>
      <c r="F71" s="92" t="s">
        <v>159</v>
      </c>
      <c r="G71" s="92">
        <v>0.24</v>
      </c>
      <c r="H71" s="93">
        <v>0.33050000000000002</v>
      </c>
      <c r="I71" s="93">
        <v>0.30030000000000001</v>
      </c>
      <c r="J71" s="94">
        <f>I71</f>
        <v>0.30030000000000001</v>
      </c>
      <c r="K71" s="94">
        <f>J71</f>
        <v>0.30030000000000001</v>
      </c>
      <c r="L71" s="46">
        <f>I71-H71</f>
        <v>-3.0200000000000005E-2</v>
      </c>
      <c r="M71" s="46">
        <f>((I71-H71)/H71)*100</f>
        <v>-9.13767019667171</v>
      </c>
      <c r="N71" s="95">
        <v>14154</v>
      </c>
      <c r="O71" s="96">
        <v>4250.8999999999996</v>
      </c>
      <c r="P71" s="71">
        <f>(R71)/J71</f>
        <v>0</v>
      </c>
      <c r="Q71" s="48">
        <f>J71/G71-1</f>
        <v>0.2512500000000002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85763227.549999997</v>
      </c>
      <c r="E72" s="39">
        <f>C72*K72</f>
        <v>85763227.549999997</v>
      </c>
      <c r="F72" s="92" t="s">
        <v>159</v>
      </c>
      <c r="G72" s="92">
        <v>0.1</v>
      </c>
      <c r="H72" s="93">
        <v>0.158</v>
      </c>
      <c r="I72" s="93">
        <v>0.15859999999999999</v>
      </c>
      <c r="J72" s="94">
        <f>I72</f>
        <v>0.15859999999999999</v>
      </c>
      <c r="K72" s="94">
        <f>J72</f>
        <v>0.15859999999999999</v>
      </c>
      <c r="L72" s="46">
        <f>I72-H72</f>
        <v>5.9999999999998943E-4</v>
      </c>
      <c r="M72" s="46">
        <f>((I72-H72)/H72)*100</f>
        <v>0.37974683544303128</v>
      </c>
      <c r="N72" s="50">
        <v>4068</v>
      </c>
      <c r="O72" s="96">
        <v>645.09</v>
      </c>
      <c r="P72" s="97">
        <f>(R72)/J72</f>
        <v>2.3909205548549813E-2</v>
      </c>
      <c r="Q72" s="48">
        <f>J72/G72-1</f>
        <v>0.58599999999999985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18222</v>
      </c>
      <c r="O73" s="62">
        <f>SUM(O71:O72)</f>
        <v>4895.99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7535698.1523000002</v>
      </c>
      <c r="E75" s="39">
        <f>C75*K75</f>
        <v>7535698.1523000002</v>
      </c>
      <c r="F75" s="92" t="s">
        <v>137</v>
      </c>
      <c r="G75" s="92">
        <v>0.1394</v>
      </c>
      <c r="H75" s="93">
        <v>0.1183</v>
      </c>
      <c r="I75" s="93">
        <v>0.1173</v>
      </c>
      <c r="J75" s="94">
        <f>I75</f>
        <v>0.1173</v>
      </c>
      <c r="K75" s="94">
        <f>J75</f>
        <v>0.1173</v>
      </c>
      <c r="L75" s="46">
        <f>I75-H75</f>
        <v>-1.0000000000000009E-3</v>
      </c>
      <c r="M75" s="46">
        <f>((I75-H75)/H75)*100</f>
        <v>-0.8453085376162307</v>
      </c>
      <c r="N75" s="95">
        <v>937</v>
      </c>
      <c r="O75" s="96">
        <v>109.87</v>
      </c>
      <c r="P75" s="71">
        <f>(R75)/J75</f>
        <v>0</v>
      </c>
      <c r="Q75" s="48">
        <f>J75/G75-1</f>
        <v>-0.15853658536585358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130673.722529274</v>
      </c>
      <c r="E78" s="39">
        <f>C78*K78</f>
        <v>108979.84281250001</v>
      </c>
      <c r="F78" s="40" t="s">
        <v>137</v>
      </c>
      <c r="G78" s="70">
        <v>0.105</v>
      </c>
      <c r="H78" s="42">
        <v>0.115</v>
      </c>
      <c r="I78" s="42">
        <v>0.11</v>
      </c>
      <c r="J78" s="44">
        <f>I78/$J$5</f>
        <v>4.1217798594847775E-3</v>
      </c>
      <c r="K78" s="45">
        <f>I78/$K$4</f>
        <v>3.4375E-3</v>
      </c>
      <c r="L78" s="46">
        <f>I78-H78</f>
        <v>-5.0000000000000044E-3</v>
      </c>
      <c r="M78" s="98">
        <f>((I78-H78)/H78)*100</f>
        <v>-4.3478260869565251</v>
      </c>
      <c r="N78" s="37">
        <v>750</v>
      </c>
      <c r="O78" s="37">
        <v>83</v>
      </c>
      <c r="P78" s="40">
        <v>0</v>
      </c>
      <c r="Q78" s="48">
        <f>I78/G78-1</f>
        <v>4.7619047619047672E-2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408167.27531615924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2.9976580796252927E-3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1466661.8844028104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4.4964871194379391E-3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300</v>
      </c>
      <c r="O80" s="37">
        <v>36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422878.56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6.3325526932084306E-2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1050</v>
      </c>
      <c r="O82" s="62">
        <f>SUM(O78:O81)</f>
        <v>119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27602903.531615924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7.4941451990632318E-2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36</v>
      </c>
      <c r="O84" s="76">
        <v>72.099999999999994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77056254.789508194</v>
      </c>
      <c r="E85" s="39">
        <f>C85*K85</f>
        <v>64263712.490468755</v>
      </c>
      <c r="F85" s="40" t="s">
        <v>177</v>
      </c>
      <c r="G85" s="40">
        <v>1.44347</v>
      </c>
      <c r="H85" s="42">
        <v>1.1106659999999999</v>
      </c>
      <c r="I85" s="42">
        <v>1.116959</v>
      </c>
      <c r="J85" s="44">
        <f>I85/$J$5</f>
        <v>4.1853264637002341E-2</v>
      </c>
      <c r="K85" s="45">
        <f>I85/$K$4</f>
        <v>3.4904968750000001E-2</v>
      </c>
      <c r="L85" s="46">
        <f>I85-H85</f>
        <v>6.2930000000001041E-3</v>
      </c>
      <c r="M85" s="46">
        <f>((I85-H85)/H85*100)</f>
        <v>0.5665969787496965</v>
      </c>
      <c r="N85" s="76">
        <v>7400</v>
      </c>
      <c r="O85" s="76">
        <v>8265.5</v>
      </c>
      <c r="P85" s="47">
        <f>(R85)/J85</f>
        <v>5.1991165297920514E-2</v>
      </c>
      <c r="Q85" s="48">
        <f>I85/G85-1</f>
        <v>-0.2261986740285562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42</v>
      </c>
      <c r="B89" s="116">
        <v>30</v>
      </c>
      <c r="D89" s="116">
        <v>11.111111111111111</v>
      </c>
      <c r="E89" s="35" t="s">
        <v>101</v>
      </c>
      <c r="F89" s="117">
        <v>0.13004599999999999</v>
      </c>
      <c r="H89" s="118">
        <v>-8.0946996466431216</v>
      </c>
      <c r="J89" s="35" t="s">
        <v>131</v>
      </c>
      <c r="K89" s="51">
        <v>0.14000000000000001</v>
      </c>
      <c r="L89" s="119">
        <v>16.182572614107897</v>
      </c>
      <c r="M89" s="35" t="s">
        <v>142</v>
      </c>
      <c r="N89" s="117">
        <v>0.39029999999999998</v>
      </c>
      <c r="O89" s="118">
        <v>-2.4250000000000105</v>
      </c>
      <c r="P89" s="118">
        <v>-1.3931214627775275</v>
      </c>
      <c r="Q89" s="16"/>
    </row>
    <row r="90" spans="1:243" ht="15" customHeight="1" x14ac:dyDescent="0.2">
      <c r="A90" s="35" t="s">
        <v>75</v>
      </c>
      <c r="B90" s="116">
        <v>2.63</v>
      </c>
      <c r="D90" s="116">
        <v>5.1999999999999957</v>
      </c>
      <c r="E90" s="35" t="s">
        <v>45</v>
      </c>
      <c r="F90" s="117">
        <v>32</v>
      </c>
      <c r="H90" s="118">
        <v>-5.8823529411764701</v>
      </c>
      <c r="J90" s="35" t="s">
        <v>146</v>
      </c>
      <c r="K90" s="51">
        <v>0.222</v>
      </c>
      <c r="L90" s="119">
        <v>5.5634807417974397</v>
      </c>
      <c r="M90" s="35" t="s">
        <v>144</v>
      </c>
      <c r="N90" s="117">
        <v>0.68700000000000006</v>
      </c>
      <c r="O90" s="118">
        <v>-1.6182156666189285</v>
      </c>
      <c r="P90" s="118">
        <v>-0.80321285140561771</v>
      </c>
      <c r="Q90" s="16"/>
    </row>
    <row r="91" spans="1:243" ht="15" customHeight="1" x14ac:dyDescent="0.2">
      <c r="A91" s="35" t="s">
        <v>37</v>
      </c>
      <c r="B91" s="116">
        <v>0.21050000000000002</v>
      </c>
      <c r="C91" s="116"/>
      <c r="D91" s="116">
        <v>3.1862745098039378</v>
      </c>
      <c r="E91" s="120" t="s">
        <v>62</v>
      </c>
      <c r="F91" s="117">
        <v>3.608333</v>
      </c>
      <c r="G91" s="121"/>
      <c r="H91" s="118">
        <v>-2.4577935058780818</v>
      </c>
      <c r="J91" s="35" t="s">
        <v>123</v>
      </c>
      <c r="K91" s="51">
        <v>0.2248</v>
      </c>
      <c r="L91" s="119">
        <v>0.71684587813619638</v>
      </c>
      <c r="M91" s="35" t="s">
        <v>138</v>
      </c>
      <c r="N91" s="117">
        <v>0.87890000000000001</v>
      </c>
      <c r="O91" s="118">
        <v>-0.32887276026309975</v>
      </c>
      <c r="P91" s="118">
        <v>-0.77994428969359408</v>
      </c>
      <c r="Q91" s="16"/>
    </row>
    <row r="92" spans="1:243" ht="15" customHeight="1" x14ac:dyDescent="0.2">
      <c r="A92" s="35" t="s">
        <v>93</v>
      </c>
      <c r="B92" s="116">
        <v>4.1500000000000004</v>
      </c>
      <c r="C92" s="116"/>
      <c r="D92" s="116">
        <v>2.8502658741330946</v>
      </c>
      <c r="E92" s="120" t="s">
        <v>99</v>
      </c>
      <c r="F92" s="117">
        <v>0.83830799999999994</v>
      </c>
      <c r="G92" s="121"/>
      <c r="H92" s="118">
        <v>-1.3120207945583888</v>
      </c>
      <c r="J92" s="35" t="s">
        <v>129</v>
      </c>
      <c r="K92" s="51">
        <v>1.4444999999999999</v>
      </c>
      <c r="L92" s="119">
        <v>0.70412716118237584</v>
      </c>
      <c r="M92" s="35" t="s">
        <v>140</v>
      </c>
      <c r="N92" s="117">
        <v>1.4829000000000001</v>
      </c>
      <c r="O92" s="118">
        <v>-0.14813817251363406</v>
      </c>
      <c r="P92" s="118">
        <v>-0.56417489421721045</v>
      </c>
      <c r="Q92" s="16"/>
    </row>
    <row r="93" spans="1:243" ht="15" customHeight="1" x14ac:dyDescent="0.2">
      <c r="A93" s="35" t="s">
        <v>35</v>
      </c>
      <c r="B93" s="116">
        <v>0.13294300000000001</v>
      </c>
      <c r="C93" s="116"/>
      <c r="D93" s="116">
        <v>2.263846153846155</v>
      </c>
      <c r="E93" s="120" t="s">
        <v>68</v>
      </c>
      <c r="F93" s="117">
        <v>9.7742999999999997E-2</v>
      </c>
      <c r="G93" s="121"/>
      <c r="H93" s="118">
        <v>-1.2696969696969778</v>
      </c>
      <c r="J93" s="120" t="s">
        <v>127</v>
      </c>
      <c r="K93" s="121">
        <v>0.15959999999999999</v>
      </c>
      <c r="L93" s="119">
        <v>0.25125628140702494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isJWifz3tDDfA+0SJc18maCQ9674H7x7Efdg1V9Pg3QtEUZGpGxXZ1nej+9ROExOK/6tvw3NU1SYcPiv7q8DFA==" saltValue="2mGhb0bq3+d5W/Z41byvk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2026-10-09T13:55:13Z</dcterms:created>
  <dcterms:modified xsi:type="dcterms:W3CDTF">2026-10-09T13:57:23Z</dcterms:modified>
</cp:coreProperties>
</file>