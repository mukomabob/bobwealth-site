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rewan\AppData\Local\Microsoft\Windows\INetCache\Content.Outlook\61775RYQ\"/>
    </mc:Choice>
  </mc:AlternateContent>
  <xr:revisionPtr revIDLastSave="1" documentId="8_{230E83CD-97FF-493E-880A-935643891E1F}" xr6:coauthVersionLast="47" xr6:coauthVersionMax="47" xr10:uidLastSave="{83940B9D-1485-459F-8EF2-9D5ECF89B047}"/>
  <bookViews>
    <workbookView xWindow="-108" yWindow="-108" windowWidth="23256" windowHeight="12456" xr2:uid="{FDA35471-7450-4C6C-A2B8-8BDFF7913F7F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3" i="1" l="1"/>
  <c r="J63" i="1"/>
  <c r="L63" i="1"/>
  <c r="P63" i="1"/>
  <c r="Q63" i="1"/>
  <c r="D63" i="1"/>
  <c r="Q85" i="1"/>
  <c r="M85" i="1"/>
  <c r="L85" i="1"/>
  <c r="K85" i="1"/>
  <c r="E85" i="1" s="1"/>
  <c r="J85" i="1"/>
  <c r="P85" i="1" s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E79" i="1"/>
  <c r="D79" i="1"/>
  <c r="Q78" i="1"/>
  <c r="M78" i="1"/>
  <c r="L78" i="1"/>
  <c r="K78" i="1"/>
  <c r="J78" i="1"/>
  <c r="D78" i="1" s="1"/>
  <c r="E78" i="1"/>
  <c r="M75" i="1"/>
  <c r="L75" i="1"/>
  <c r="J75" i="1"/>
  <c r="D75" i="1" s="1"/>
  <c r="O73" i="1"/>
  <c r="N73" i="1"/>
  <c r="M72" i="1"/>
  <c r="L72" i="1"/>
  <c r="J72" i="1"/>
  <c r="Q72" i="1" s="1"/>
  <c r="Q71" i="1"/>
  <c r="M71" i="1"/>
  <c r="L71" i="1"/>
  <c r="J71" i="1"/>
  <c r="P71" i="1" s="1"/>
  <c r="D71" i="1"/>
  <c r="M68" i="1"/>
  <c r="L68" i="1"/>
  <c r="D68" i="1"/>
  <c r="O66" i="1"/>
  <c r="N66" i="1"/>
  <c r="M65" i="1"/>
  <c r="L65" i="1"/>
  <c r="J65" i="1"/>
  <c r="Q65" i="1" s="1"/>
  <c r="M64" i="1"/>
  <c r="L64" i="1"/>
  <c r="J64" i="1"/>
  <c r="Q64" i="1" s="1"/>
  <c r="M62" i="1"/>
  <c r="L62" i="1"/>
  <c r="J62" i="1"/>
  <c r="Q62" i="1" s="1"/>
  <c r="D62" i="1"/>
  <c r="M61" i="1"/>
  <c r="L61" i="1"/>
  <c r="J61" i="1"/>
  <c r="Q61" i="1" s="1"/>
  <c r="M60" i="1"/>
  <c r="L60" i="1"/>
  <c r="J60" i="1"/>
  <c r="Q60" i="1" s="1"/>
  <c r="D60" i="1"/>
  <c r="M59" i="1"/>
  <c r="L59" i="1"/>
  <c r="J59" i="1"/>
  <c r="Q59" i="1" s="1"/>
  <c r="D59" i="1"/>
  <c r="M58" i="1"/>
  <c r="L58" i="1"/>
  <c r="J58" i="1"/>
  <c r="Q58" i="1" s="1"/>
  <c r="M57" i="1"/>
  <c r="L57" i="1"/>
  <c r="J57" i="1"/>
  <c r="Q57" i="1" s="1"/>
  <c r="D57" i="1"/>
  <c r="M56" i="1"/>
  <c r="L56" i="1"/>
  <c r="J56" i="1"/>
  <c r="Q56" i="1" s="1"/>
  <c r="D56" i="1"/>
  <c r="M55" i="1"/>
  <c r="L55" i="1"/>
  <c r="J55" i="1"/>
  <c r="Q55" i="1" s="1"/>
  <c r="M54" i="1"/>
  <c r="L54" i="1"/>
  <c r="J54" i="1"/>
  <c r="Q54" i="1" s="1"/>
  <c r="D54" i="1"/>
  <c r="M53" i="1"/>
  <c r="L53" i="1"/>
  <c r="J53" i="1"/>
  <c r="Q53" i="1" s="1"/>
  <c r="D53" i="1"/>
  <c r="M52" i="1"/>
  <c r="L52" i="1"/>
  <c r="J52" i="1"/>
  <c r="Q52" i="1" s="1"/>
  <c r="M51" i="1"/>
  <c r="L51" i="1"/>
  <c r="J51" i="1"/>
  <c r="Q51" i="1" s="1"/>
  <c r="D51" i="1"/>
  <c r="Q50" i="1"/>
  <c r="M50" i="1"/>
  <c r="L50" i="1"/>
  <c r="J50" i="1"/>
  <c r="P50" i="1" s="1"/>
  <c r="O47" i="1"/>
  <c r="N47" i="1"/>
  <c r="Q45" i="1"/>
  <c r="M45" i="1"/>
  <c r="L45" i="1"/>
  <c r="K45" i="1"/>
  <c r="E45" i="1" s="1"/>
  <c r="J45" i="1"/>
  <c r="D45" i="1" s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D43" i="1" s="1"/>
  <c r="E43" i="1"/>
  <c r="Q42" i="1"/>
  <c r="M42" i="1"/>
  <c r="L42" i="1"/>
  <c r="K42" i="1"/>
  <c r="E42" i="1" s="1"/>
  <c r="J42" i="1"/>
  <c r="D42" i="1" s="1"/>
  <c r="Q41" i="1"/>
  <c r="M41" i="1"/>
  <c r="L41" i="1"/>
  <c r="K41" i="1"/>
  <c r="J41" i="1"/>
  <c r="P41" i="1" s="1"/>
  <c r="E41" i="1"/>
  <c r="Q40" i="1"/>
  <c r="M40" i="1"/>
  <c r="L40" i="1"/>
  <c r="K40" i="1"/>
  <c r="J40" i="1"/>
  <c r="P40" i="1" s="1"/>
  <c r="E40" i="1"/>
  <c r="D40" i="1"/>
  <c r="Q39" i="1"/>
  <c r="M39" i="1"/>
  <c r="L39" i="1"/>
  <c r="K39" i="1"/>
  <c r="E39" i="1" s="1"/>
  <c r="J39" i="1"/>
  <c r="D39" i="1" s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D37" i="1" s="1"/>
  <c r="E37" i="1"/>
  <c r="Q36" i="1"/>
  <c r="M36" i="1"/>
  <c r="L36" i="1"/>
  <c r="K36" i="1"/>
  <c r="E36" i="1" s="1"/>
  <c r="J36" i="1"/>
  <c r="D36" i="1" s="1"/>
  <c r="Q35" i="1"/>
  <c r="M35" i="1"/>
  <c r="L35" i="1"/>
  <c r="K35" i="1"/>
  <c r="J35" i="1"/>
  <c r="P35" i="1" s="1"/>
  <c r="E35" i="1"/>
  <c r="Q34" i="1"/>
  <c r="M34" i="1"/>
  <c r="L34" i="1"/>
  <c r="K34" i="1"/>
  <c r="E34" i="1" s="1"/>
  <c r="J34" i="1"/>
  <c r="D34" i="1" s="1"/>
  <c r="Q33" i="1"/>
  <c r="M33" i="1"/>
  <c r="L33" i="1"/>
  <c r="K33" i="1"/>
  <c r="J33" i="1"/>
  <c r="D33" i="1" s="1"/>
  <c r="E33" i="1"/>
  <c r="Q32" i="1"/>
  <c r="M32" i="1"/>
  <c r="L32" i="1"/>
  <c r="K32" i="1"/>
  <c r="E32" i="1" s="1"/>
  <c r="J32" i="1"/>
  <c r="P32" i="1" s="1"/>
  <c r="Q31" i="1"/>
  <c r="M31" i="1"/>
  <c r="L31" i="1"/>
  <c r="K31" i="1"/>
  <c r="J31" i="1"/>
  <c r="P31" i="1" s="1"/>
  <c r="E31" i="1"/>
  <c r="D31" i="1"/>
  <c r="K30" i="1"/>
  <c r="E30" i="1" s="1"/>
  <c r="J30" i="1"/>
  <c r="D30" i="1" s="1"/>
  <c r="Q29" i="1"/>
  <c r="M29" i="1"/>
  <c r="L29" i="1"/>
  <c r="K29" i="1"/>
  <c r="J29" i="1"/>
  <c r="P29" i="1" s="1"/>
  <c r="E29" i="1"/>
  <c r="Q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Q26" i="1"/>
  <c r="M26" i="1"/>
  <c r="L26" i="1"/>
  <c r="K26" i="1"/>
  <c r="J26" i="1"/>
  <c r="P26" i="1" s="1"/>
  <c r="E26" i="1"/>
  <c r="Q25" i="1"/>
  <c r="M25" i="1"/>
  <c r="L25" i="1"/>
  <c r="K25" i="1"/>
  <c r="E25" i="1" s="1"/>
  <c r="J25" i="1"/>
  <c r="D25" i="1" s="1"/>
  <c r="R24" i="1"/>
  <c r="Q24" i="1"/>
  <c r="M24" i="1"/>
  <c r="L24" i="1"/>
  <c r="K24" i="1"/>
  <c r="E24" i="1" s="1"/>
  <c r="J24" i="1"/>
  <c r="Q23" i="1"/>
  <c r="M23" i="1"/>
  <c r="L23" i="1"/>
  <c r="K23" i="1"/>
  <c r="J23" i="1"/>
  <c r="P23" i="1" s="1"/>
  <c r="E23" i="1"/>
  <c r="D23" i="1"/>
  <c r="Q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D15" i="1" s="1"/>
  <c r="Q14" i="1"/>
  <c r="M14" i="1"/>
  <c r="L14" i="1"/>
  <c r="K14" i="1"/>
  <c r="E14" i="1" s="1"/>
  <c r="J14" i="1"/>
  <c r="P14" i="1" s="1"/>
  <c r="Q13" i="1"/>
  <c r="M13" i="1"/>
  <c r="L13" i="1"/>
  <c r="K13" i="1"/>
  <c r="J13" i="1"/>
  <c r="P13" i="1" s="1"/>
  <c r="E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D9" i="1" s="1"/>
  <c r="D35" i="1" l="1"/>
  <c r="D19" i="1"/>
  <c r="D21" i="1"/>
  <c r="D64" i="1"/>
  <c r="D27" i="1"/>
  <c r="D29" i="1"/>
  <c r="D52" i="1"/>
  <c r="D55" i="1"/>
  <c r="D58" i="1"/>
  <c r="D61" i="1"/>
  <c r="D65" i="1"/>
  <c r="D72" i="1"/>
  <c r="D50" i="1"/>
  <c r="P24" i="1"/>
  <c r="P10" i="1"/>
  <c r="D24" i="1"/>
  <c r="D26" i="1"/>
  <c r="P43" i="1"/>
  <c r="P16" i="1"/>
  <c r="P20" i="1"/>
  <c r="P34" i="1"/>
  <c r="D14" i="1"/>
  <c r="D32" i="1"/>
  <c r="D41" i="1"/>
  <c r="K75" i="1"/>
  <c r="E75" i="1" s="1"/>
  <c r="P9" i="1"/>
  <c r="P12" i="1"/>
  <c r="P15" i="1"/>
  <c r="P39" i="1"/>
  <c r="P42" i="1"/>
  <c r="P53" i="1"/>
  <c r="P55" i="1"/>
  <c r="P57" i="1"/>
  <c r="P59" i="1"/>
  <c r="P61" i="1"/>
  <c r="P64" i="1"/>
  <c r="K72" i="1"/>
  <c r="E72" i="1" s="1"/>
  <c r="P25" i="1"/>
  <c r="P28" i="1"/>
  <c r="P33" i="1"/>
  <c r="P36" i="1"/>
  <c r="P51" i="1"/>
  <c r="P75" i="1"/>
  <c r="Q75" i="1"/>
  <c r="P72" i="1"/>
  <c r="K71" i="1"/>
  <c r="E71" i="1" s="1"/>
  <c r="P54" i="1"/>
  <c r="P56" i="1"/>
  <c r="P58" i="1"/>
  <c r="P60" i="1"/>
  <c r="P62" i="1"/>
  <c r="P65" i="1"/>
</calcChain>
</file>

<file path=xl/sharedStrings.xml><?xml version="1.0" encoding="utf-8"?>
<sst xmlns="http://schemas.openxmlformats.org/spreadsheetml/2006/main" count="268" uniqueCount="185">
  <si>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</si>
  <si>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</si>
  <si>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</si>
  <si>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</si>
  <si>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</si>
  <si>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</si>
  <si>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</si>
  <si>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</si>
  <si>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</si>
  <si>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</si>
  <si>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</si>
  <si>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</si>
  <si>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</si>
  <si>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</si>
  <si>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</si>
  <si>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</si>
  <si>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</si>
  <si>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</si>
  <si>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</si>
  <si>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</si>
  <si>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</si>
  <si>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</si>
  <si>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</si>
  <si>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</si>
  <si>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</si>
  <si>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</si>
  <si>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</si>
  <si>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</si>
  <si>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</si>
  <si>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</si>
  <si>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</si>
  <si>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</si>
  <si>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</si>
  <si>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</si>
  <si>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</si>
  <si>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</si>
  <si>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</si>
  <si>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</si>
  <si>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</si>
  <si>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</si>
  <si>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</si>
  <si>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</si>
  <si>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</si>
  <si>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</si>
  <si>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</si>
  <si>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</si>
  <si>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</si>
  <si>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</si>
  <si>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</si>
  <si>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</si>
  <si>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</si>
  <si>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</si>
  <si>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</si>
  <si>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</si>
  <si>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</si>
  <si>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</si>
  <si>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</si>
  <si>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</si>
  <si>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</si>
  <si>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</si>
  <si>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</si>
  <si>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</si>
  <si>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</si>
  <si>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</si>
  <si>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</si>
  <si>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</si>
  <si>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</si>
  <si>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</si>
  <si>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</si>
  <si>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</si>
  <si>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</si>
  <si>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</si>
  <si>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</si>
  <si>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</si>
  <si>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</si>
  <si>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</si>
  <si>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</si>
  <si>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</si>
  <si>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</si>
  <si>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</si>
  <si>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</si>
  <si>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</si>
  <si>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</si>
  <si>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</si>
  <si>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</si>
  <si>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</si>
  <si>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</si>
  <si>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</si>
  <si>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</si>
  <si>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</si>
  <si>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</si>
  <si>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</si>
  <si>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</si>
  <si>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</si>
  <si>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</si>
  <si>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</si>
  <si>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</si>
  <si>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</si>
  <si>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</si>
  <si>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</si>
  <si>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</si>
  <si>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</si>
  <si>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</si>
  <si>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</si>
  <si>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</si>
  <si>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</si>
  <si>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</si>
  <si>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</si>
  <si>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</si>
  <si>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</si>
  <si>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</si>
  <si>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</si>
  <si>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</si>
  <si>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</si>
  <si>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</si>
  <si>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</si>
  <si>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</si>
  <si>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</si>
  <si>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</si>
  <si>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</si>
  <si>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</si>
  <si>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</si>
  <si>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</si>
  <si>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</si>
  <si>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</si>
  <si>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</si>
  <si>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</si>
  <si>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</si>
  <si>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</si>
  <si>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</si>
  <si>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</si>
  <si>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</si>
  <si>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</si>
  <si>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</si>
  <si>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</si>
  <si>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</si>
  <si>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</si>
  <si>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</si>
  <si>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</si>
  <si>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</si>
  <si>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</si>
  <si>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</si>
  <si>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</si>
  <si>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</si>
  <si>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</si>
  <si>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</si>
  <si>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</si>
  <si>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</si>
  <si>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</si>
  <si>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</si>
  <si>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</si>
  <si>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</si>
  <si>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</si>
  <si>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</si>
  <si>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</si>
  <si>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</si>
  <si>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</si>
  <si>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</si>
  <si>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</si>
  <si>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</si>
  <si>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</si>
  <si>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</si>
  <si>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</si>
  <si>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</si>
  <si>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</si>
  <si>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</si>
  <si>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</si>
  <si>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</si>
  <si>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</si>
  <si>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</si>
  <si>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</si>
  <si>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</si>
  <si>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</si>
  <si>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</si>
  <si>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</si>
  <si>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</si>
  <si>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</si>
  <si>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</si>
  <si>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</si>
  <si>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</si>
  <si>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</si>
  <si>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</si>
  <si>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</si>
  <si>
    <t>Old Mutual Limited</t>
  </si>
  <si>
    <t>ZAE000255360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</si>
</sst>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0" fontId="23" fillId="2" borderId="15" xfId="8" applyFont="1" applyFill="1" applyBorder="1"/>
    <xf numFmtId="0" fontId="23" fillId="2" borderId="3" xfId="8" applyFont="1" applyFill="1" applyBorder="1"/>
    <xf numFmtId="0" fontId="23" fillId="2" borderId="16" xfId="8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4" fontId="15" fillId="5" borderId="0" xfId="1" applyFont="1" applyFill="1" applyBorder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49450CF2-4450-4E54-8F99-79ACB19F520B}"/>
    <cellStyle name="Comma 5 2 2 2 2 2 2 2 2 2 2" xfId="5" xr:uid="{2713A5B8-CC73-4C43-A064-AD5C18F13F7F}"/>
    <cellStyle name="Comma 6 2 2 2 2 2" xfId="6" xr:uid="{B3A5F2A3-43AF-44A0-960B-37FE8B5BA9D9}"/>
    <cellStyle name="Hyperlink 2" xfId="9" xr:uid="{3D111C20-B3F0-428A-B69F-D5C4F11983AB}"/>
    <cellStyle name="Normal" xfId="0" builtinId="0"/>
    <cellStyle name="Normal 2" xfId="3" xr:uid="{35AE5AF7-C1AB-4FEE-A5FD-B78D1F468E56}"/>
    <cellStyle name="Normal 20" xfId="8" xr:uid="{CBE741E8-19D2-4F3D-819B-9B343702A4A0}"/>
    <cellStyle name="Percent" xfId="2" builtinId="5"/>
    <cellStyle name="Percent 3" xfId="7" xr:uid="{9D04EE5E-1139-4367-9C7C-DCF15A5033E9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F1374BC6-4F34-4197-ACB0-C82EEC2C1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9120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30F73E7-3FFD-43A5-8712-88943CCA4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3321"/>
          <a:ext cx="6374131" cy="615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E46D-D9DF-41CD-91AC-C89458EE4133}">
  <dimension ref="A1:II107"/>
  <sheetViews>
    <sheetView tabSelected="1" zoomScale="60" zoomScaleNormal="60" workbookViewId="0">
      <selection activeCell="I23" sqref="I23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26.573499999999999</v>
      </c>
      <c r="K5" s="22"/>
      <c r="L5" s="145" t="s">
        <v>12</v>
      </c>
      <c r="M5" s="146"/>
      <c r="N5" s="23" t="s">
        <v>13</v>
      </c>
      <c r="O5" s="24"/>
      <c r="P5" s="24"/>
      <c r="Q5" s="25"/>
    </row>
    <row r="6" spans="1:18" ht="6.6" customHeight="1" x14ac:dyDescent="0.3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8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71260076.227945134</v>
      </c>
      <c r="E9" s="39">
        <f t="shared" ref="E9:E45" si="1">C9*K9</f>
        <v>60115226.528358735</v>
      </c>
      <c r="F9" s="40" t="s">
        <v>34</v>
      </c>
      <c r="G9" s="41">
        <v>8.9894999999999996</v>
      </c>
      <c r="H9" s="42">
        <v>15</v>
      </c>
      <c r="I9" s="43">
        <v>15.024700000000001</v>
      </c>
      <c r="J9" s="44">
        <f>(I9/$J$5)</f>
        <v>0.56540162191657106</v>
      </c>
      <c r="K9" s="45">
        <f t="shared" ref="K9:K17" si="2">I9/$K$4</f>
        <v>0.47697460317460322</v>
      </c>
      <c r="L9" s="46">
        <f t="shared" ref="L9:L17" si="3">I9-H9</f>
        <v>2.4700000000001054E-2</v>
      </c>
      <c r="M9" s="46">
        <f t="shared" ref="M9:M17" si="4">((I9-H9)/H9)*100</f>
        <v>0.16466666666667371</v>
      </c>
      <c r="N9" s="47">
        <v>0</v>
      </c>
      <c r="O9" s="37">
        <v>0</v>
      </c>
      <c r="P9" s="48">
        <f t="shared" ref="P9:P17" si="5">(R9)/J9</f>
        <v>2.6529814239219417E-2</v>
      </c>
      <c r="Q9" s="49">
        <f t="shared" ref="Q9:Q17" si="6">I9/G9-1</f>
        <v>0.67136103231547928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 t="shared" si="0"/>
        <v>4593097.2444352461</v>
      </c>
      <c r="E10" s="39">
        <f t="shared" si="1"/>
        <v>3874751.4166666665</v>
      </c>
      <c r="F10" s="40" t="s">
        <v>34</v>
      </c>
      <c r="G10" s="41">
        <v>3.1600000000000003E-2</v>
      </c>
      <c r="H10" s="42">
        <v>7.5999999999999998E-2</v>
      </c>
      <c r="I10" s="43">
        <v>7.4999999999999997E-2</v>
      </c>
      <c r="J10" s="44">
        <f t="shared" ref="J10:J17" si="7">I10/$J$5</f>
        <v>2.8223606224245961E-3</v>
      </c>
      <c r="K10" s="45">
        <f t="shared" si="2"/>
        <v>2.3809523809523807E-3</v>
      </c>
      <c r="L10" s="46">
        <f t="shared" si="3"/>
        <v>-1.0000000000000009E-3</v>
      </c>
      <c r="M10" s="46">
        <f t="shared" si="4"/>
        <v>-1.3157894736842117</v>
      </c>
      <c r="N10" s="47">
        <v>600</v>
      </c>
      <c r="O10" s="37">
        <v>45</v>
      </c>
      <c r="P10" s="51">
        <f t="shared" si="5"/>
        <v>0</v>
      </c>
      <c r="Q10" s="49">
        <f t="shared" si="6"/>
        <v>1.3734177215189871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 t="shared" si="0"/>
        <v>3617702.560069242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8.278924492445482E-3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 t="shared" si="0"/>
        <v>147443827.23879051</v>
      </c>
      <c r="E12" s="39">
        <f t="shared" si="1"/>
        <v>124384080.73428571</v>
      </c>
      <c r="F12" s="40" t="s">
        <v>34</v>
      </c>
      <c r="G12" s="41">
        <v>97.381</v>
      </c>
      <c r="H12" s="42">
        <v>189.89</v>
      </c>
      <c r="I12" s="43">
        <v>189.89</v>
      </c>
      <c r="J12" s="44">
        <f t="shared" si="7"/>
        <v>7.1458407812294196</v>
      </c>
      <c r="K12" s="45">
        <f t="shared" si="2"/>
        <v>6.028253968253968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0.94996970661628022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 t="shared" si="0"/>
        <v>7729338.7205449045</v>
      </c>
      <c r="E13" s="39">
        <f t="shared" si="1"/>
        <v>6520494.6822349206</v>
      </c>
      <c r="F13" s="40" t="s">
        <v>44</v>
      </c>
      <c r="G13" s="41">
        <v>13.6</v>
      </c>
      <c r="H13" s="42">
        <v>21.85</v>
      </c>
      <c r="I13" s="43">
        <v>23.5138</v>
      </c>
      <c r="J13" s="44">
        <f t="shared" si="7"/>
        <v>0.88485897604756625</v>
      </c>
      <c r="K13" s="45">
        <f t="shared" si="2"/>
        <v>0.74646984126984128</v>
      </c>
      <c r="L13" s="46">
        <f t="shared" si="3"/>
        <v>1.6637999999999984</v>
      </c>
      <c r="M13" s="46">
        <f t="shared" si="4"/>
        <v>7.6146453089244766</v>
      </c>
      <c r="N13" s="47">
        <v>200</v>
      </c>
      <c r="O13" s="37">
        <v>4702.75</v>
      </c>
      <c r="P13" s="51">
        <f t="shared" si="5"/>
        <v>0</v>
      </c>
      <c r="Q13" s="49">
        <f t="shared" si="6"/>
        <v>0.72895588235294118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 t="shared" si="0"/>
        <v>786740873.42653406</v>
      </c>
      <c r="E14" s="39">
        <f t="shared" si="1"/>
        <v>663697098.41269839</v>
      </c>
      <c r="F14" s="40" t="s">
        <v>47</v>
      </c>
      <c r="G14" s="41">
        <v>11.5</v>
      </c>
      <c r="H14" s="42">
        <v>40</v>
      </c>
      <c r="I14" s="43">
        <v>40</v>
      </c>
      <c r="J14" s="44">
        <f t="shared" si="7"/>
        <v>1.5052589986264513</v>
      </c>
      <c r="K14" s="45">
        <f t="shared" si="2"/>
        <v>1.2698412698412698</v>
      </c>
      <c r="L14" s="46">
        <f t="shared" si="3"/>
        <v>0</v>
      </c>
      <c r="M14" s="46">
        <f t="shared" si="4"/>
        <v>0</v>
      </c>
      <c r="N14" s="47">
        <v>0</v>
      </c>
      <c r="O14" s="37">
        <v>0</v>
      </c>
      <c r="P14" s="51">
        <f t="shared" si="5"/>
        <v>0</v>
      </c>
      <c r="Q14" s="49">
        <f t="shared" si="6"/>
        <v>2.4782608695652173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 t="shared" si="0"/>
        <v>23942847.197395902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0.22578884979396768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 t="shared" si="0"/>
        <v>57826808.167008638</v>
      </c>
      <c r="E16" s="39">
        <f t="shared" si="1"/>
        <v>48782878.946857274</v>
      </c>
      <c r="F16" s="40" t="s">
        <v>34</v>
      </c>
      <c r="G16" s="41">
        <v>1.9</v>
      </c>
      <c r="H16" s="42">
        <v>4.6399999999999997</v>
      </c>
      <c r="I16" s="43">
        <v>4.292338</v>
      </c>
      <c r="J16" s="44">
        <f t="shared" si="7"/>
        <v>0.1615270099911566</v>
      </c>
      <c r="K16" s="45">
        <f t="shared" si="2"/>
        <v>0.13626469841269842</v>
      </c>
      <c r="L16" s="46">
        <f t="shared" si="3"/>
        <v>-0.34766199999999969</v>
      </c>
      <c r="M16" s="46">
        <f t="shared" si="4"/>
        <v>-7.4927155172413729</v>
      </c>
      <c r="N16" s="47">
        <v>102900</v>
      </c>
      <c r="O16" s="37">
        <v>441681.6</v>
      </c>
      <c r="P16" s="51">
        <f t="shared" si="5"/>
        <v>0</v>
      </c>
      <c r="Q16" s="49">
        <f t="shared" si="6"/>
        <v>1.2591252631578946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1614140627.8311853</v>
      </c>
      <c r="E17" s="39">
        <f t="shared" si="1"/>
        <v>1361694157.8943491</v>
      </c>
      <c r="F17" s="40" t="s">
        <v>34</v>
      </c>
      <c r="G17" s="41">
        <v>20.701700000000002</v>
      </c>
      <c r="H17" s="42">
        <v>32.366934999999998</v>
      </c>
      <c r="I17" s="43">
        <v>31.825599999999998</v>
      </c>
      <c r="J17" s="44">
        <f t="shared" si="7"/>
        <v>1.1976442696671497</v>
      </c>
      <c r="K17" s="45">
        <f t="shared" si="2"/>
        <v>1.0103365079365079</v>
      </c>
      <c r="L17" s="46">
        <f t="shared" si="3"/>
        <v>-0.54133500000000012</v>
      </c>
      <c r="M17" s="46">
        <f t="shared" si="4"/>
        <v>-1.6724938583155931</v>
      </c>
      <c r="N17" s="47">
        <v>32500</v>
      </c>
      <c r="O17" s="37">
        <v>1034333.2</v>
      </c>
      <c r="P17" s="48">
        <f t="shared" si="5"/>
        <v>4.1748623749434416E-2</v>
      </c>
      <c r="Q17" s="49">
        <f t="shared" si="6"/>
        <v>0.53734234386547941</v>
      </c>
      <c r="R17" s="50">
        <v>0.05</v>
      </c>
      <c r="S17" s="52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341306615.03660417</v>
      </c>
      <c r="E19" s="39">
        <f t="shared" si="1"/>
        <v>287927343.95794284</v>
      </c>
      <c r="F19" s="40" t="s">
        <v>47</v>
      </c>
      <c r="G19" s="41">
        <v>12.45</v>
      </c>
      <c r="H19" s="42">
        <v>13.497551000000001</v>
      </c>
      <c r="I19" s="43">
        <v>13.4976</v>
      </c>
      <c r="J19" s="44">
        <f t="shared" ref="J19:J45" si="8">I19/$J$5</f>
        <v>0.50793459649650974</v>
      </c>
      <c r="K19" s="45">
        <f t="shared" ref="K19:K45" si="9">I19/$K$4</f>
        <v>0.4284952380952381</v>
      </c>
      <c r="L19" s="46">
        <f t="shared" ref="L19:L29" si="10">I19-H19</f>
        <v>4.8999999998855515E-5</v>
      </c>
      <c r="M19" s="46">
        <f>((I19-H19)/H19)*100</f>
        <v>3.630288190713672E-4</v>
      </c>
      <c r="N19" s="47">
        <v>0</v>
      </c>
      <c r="O19" s="37">
        <v>0</v>
      </c>
      <c r="P19" s="51">
        <f>(R19)/J19</f>
        <v>0</v>
      </c>
      <c r="Q19" s="49">
        <f t="shared" ref="Q19:Q29" si="11">I19/G19-1</f>
        <v>8.414457831325306E-2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3299649.9992473708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3.0293337347357334E-2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87003189.305134818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0.12606544113496529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2120225.2399947317</v>
      </c>
      <c r="E23" s="39">
        <f t="shared" si="1"/>
        <v>1788628.7433333332</v>
      </c>
      <c r="F23" s="40" t="s">
        <v>44</v>
      </c>
      <c r="G23" s="41">
        <v>0.1</v>
      </c>
      <c r="H23" s="42">
        <v>0.105</v>
      </c>
      <c r="I23" s="43">
        <v>0.105</v>
      </c>
      <c r="J23" s="44">
        <f t="shared" si="8"/>
        <v>3.9513048713944341E-3</v>
      </c>
      <c r="K23" s="45">
        <f t="shared" si="9"/>
        <v>3.3333333333333331E-3</v>
      </c>
      <c r="L23" s="46">
        <f t="shared" si="10"/>
        <v>0</v>
      </c>
      <c r="M23" s="46">
        <f t="shared" ref="M23:M29" si="12">((I23-H23)/H23)*100</f>
        <v>0</v>
      </c>
      <c r="N23" s="47">
        <v>0</v>
      </c>
      <c r="O23" s="37">
        <v>0</v>
      </c>
      <c r="P23" s="51">
        <f t="shared" ref="P23:P29" si="13">(R23)/J23</f>
        <v>0</v>
      </c>
      <c r="Q23" s="49">
        <f t="shared" si="11"/>
        <v>4.9999999999999822E-2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78084221.611756071</v>
      </c>
      <c r="E24" s="39">
        <f t="shared" si="1"/>
        <v>65872097.238095239</v>
      </c>
      <c r="F24" s="40" t="s">
        <v>34</v>
      </c>
      <c r="G24" s="41">
        <v>8.1687659999999997</v>
      </c>
      <c r="H24" s="42">
        <v>10.75</v>
      </c>
      <c r="I24" s="43">
        <v>10.75</v>
      </c>
      <c r="J24" s="44">
        <f t="shared" si="8"/>
        <v>0.40453835588085874</v>
      </c>
      <c r="K24" s="45">
        <f t="shared" si="9"/>
        <v>0.34126984126984128</v>
      </c>
      <c r="L24" s="46">
        <f t="shared" si="10"/>
        <v>0</v>
      </c>
      <c r="M24" s="46">
        <f t="shared" si="12"/>
        <v>0</v>
      </c>
      <c r="N24" s="47">
        <v>100</v>
      </c>
      <c r="O24" s="37">
        <v>1075</v>
      </c>
      <c r="P24" s="48">
        <f t="shared" si="13"/>
        <v>3.7079302325581397E-2</v>
      </c>
      <c r="Q24" s="49">
        <f t="shared" si="11"/>
        <v>0.31598824106358303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107960668.15812747</v>
      </c>
      <c r="E25" s="39">
        <f t="shared" si="1"/>
        <v>91075962.390476182</v>
      </c>
      <c r="F25" s="40" t="s">
        <v>66</v>
      </c>
      <c r="G25" s="41">
        <v>1.6675</v>
      </c>
      <c r="H25" s="42">
        <v>1.7</v>
      </c>
      <c r="I25" s="43">
        <v>1.7</v>
      </c>
      <c r="J25" s="44">
        <f t="shared" si="8"/>
        <v>6.3973507441624181E-2</v>
      </c>
      <c r="K25" s="45">
        <f t="shared" si="9"/>
        <v>5.3968253968253964E-2</v>
      </c>
      <c r="L25" s="46">
        <f t="shared" si="10"/>
        <v>0</v>
      </c>
      <c r="M25" s="46">
        <f t="shared" si="12"/>
        <v>0</v>
      </c>
      <c r="N25" s="47">
        <v>0</v>
      </c>
      <c r="O25" s="37">
        <v>0</v>
      </c>
      <c r="P25" s="51">
        <f t="shared" si="13"/>
        <v>0</v>
      </c>
      <c r="Q25" s="49">
        <f t="shared" si="11"/>
        <v>1.9490254872563728E-2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22554353.159665421</v>
      </c>
      <c r="E26" s="39">
        <f t="shared" si="1"/>
        <v>19026923.926614888</v>
      </c>
      <c r="F26" s="40" t="s">
        <v>44</v>
      </c>
      <c r="G26" s="41">
        <v>1.7994999999999999</v>
      </c>
      <c r="H26" s="42">
        <v>2.5051220000000001</v>
      </c>
      <c r="I26" s="43">
        <v>2.5036670000000001</v>
      </c>
      <c r="J26" s="44">
        <f t="shared" si="8"/>
        <v>9.4216682032852286E-2</v>
      </c>
      <c r="K26" s="45">
        <f t="shared" si="9"/>
        <v>7.948149206349206E-2</v>
      </c>
      <c r="L26" s="46">
        <f t="shared" si="10"/>
        <v>-1.4549999999999841E-3</v>
      </c>
      <c r="M26" s="46">
        <f t="shared" si="12"/>
        <v>-5.8081003639742258E-2</v>
      </c>
      <c r="N26" s="47">
        <v>12000</v>
      </c>
      <c r="O26" s="37">
        <v>30044</v>
      </c>
      <c r="P26" s="51">
        <f t="shared" si="13"/>
        <v>0</v>
      </c>
      <c r="Q26" s="49">
        <f t="shared" si="11"/>
        <v>0.39131258682967496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23229185.646866016</v>
      </c>
      <c r="E27" s="39">
        <f t="shared" si="1"/>
        <v>19596214.755142666</v>
      </c>
      <c r="F27" s="40" t="s">
        <v>34</v>
      </c>
      <c r="G27" s="41">
        <v>3.1361369999999997</v>
      </c>
      <c r="H27" s="42">
        <v>2.409834</v>
      </c>
      <c r="I27" s="43">
        <v>2.409834</v>
      </c>
      <c r="J27" s="44">
        <f t="shared" si="8"/>
        <v>9.0685607842399388E-2</v>
      </c>
      <c r="K27" s="45">
        <f t="shared" si="9"/>
        <v>7.6502666666666663E-2</v>
      </c>
      <c r="L27" s="46">
        <f t="shared" si="10"/>
        <v>0</v>
      </c>
      <c r="M27" s="46">
        <f t="shared" si="12"/>
        <v>0</v>
      </c>
      <c r="N27" s="47">
        <v>0</v>
      </c>
      <c r="O27" s="37">
        <v>0</v>
      </c>
      <c r="P27" s="51">
        <f t="shared" si="13"/>
        <v>0</v>
      </c>
      <c r="Q27" s="49">
        <f t="shared" si="11"/>
        <v>-0.23159160457594796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27284488.415507931</v>
      </c>
      <c r="E28" s="39">
        <f t="shared" si="1"/>
        <v>23017281.044746034</v>
      </c>
      <c r="F28" s="40" t="s">
        <v>44</v>
      </c>
      <c r="G28" s="41">
        <v>0.8</v>
      </c>
      <c r="H28" s="42">
        <v>0.95950000000000002</v>
      </c>
      <c r="I28" s="43">
        <v>0.95950000000000002</v>
      </c>
      <c r="J28" s="44">
        <f t="shared" si="8"/>
        <v>3.6107400229552E-2</v>
      </c>
      <c r="K28" s="45">
        <f t="shared" si="9"/>
        <v>3.0460317460317462E-2</v>
      </c>
      <c r="L28" s="46">
        <f t="shared" si="10"/>
        <v>0</v>
      </c>
      <c r="M28" s="46">
        <f t="shared" si="12"/>
        <v>0</v>
      </c>
      <c r="N28" s="47">
        <v>0</v>
      </c>
      <c r="O28" s="37">
        <v>0</v>
      </c>
      <c r="P28" s="51">
        <f t="shared" si="13"/>
        <v>0</v>
      </c>
      <c r="Q28" s="49">
        <f t="shared" si="11"/>
        <v>0.19937499999999986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94808864.894794911</v>
      </c>
      <c r="E29" s="39">
        <f t="shared" si="1"/>
        <v>79981059.405772448</v>
      </c>
      <c r="F29" s="40" t="s">
        <v>47</v>
      </c>
      <c r="G29" s="41">
        <v>5.15</v>
      </c>
      <c r="H29" s="42">
        <v>5.6095240000000004</v>
      </c>
      <c r="I29" s="43">
        <v>5.6095240000000004</v>
      </c>
      <c r="J29" s="44">
        <f t="shared" si="8"/>
        <v>0.21109466197527615</v>
      </c>
      <c r="K29" s="45">
        <f t="shared" si="9"/>
        <v>0.17808012698412701</v>
      </c>
      <c r="L29" s="46">
        <f t="shared" si="10"/>
        <v>0</v>
      </c>
      <c r="M29" s="46">
        <f t="shared" si="12"/>
        <v>0</v>
      </c>
      <c r="N29" s="47">
        <v>0</v>
      </c>
      <c r="O29" s="37">
        <v>0</v>
      </c>
      <c r="P29" s="51">
        <f t="shared" si="13"/>
        <v>0</v>
      </c>
      <c r="Q29" s="49">
        <f t="shared" si="11"/>
        <v>8.9227961165048608E-2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13537239.659657929</v>
      </c>
      <c r="E31" s="39">
        <f t="shared" si="1"/>
        <v>11420058.352251429</v>
      </c>
      <c r="F31" s="40" t="s">
        <v>39</v>
      </c>
      <c r="G31" s="41">
        <v>1.4</v>
      </c>
      <c r="H31" s="42">
        <v>1.39</v>
      </c>
      <c r="I31" s="43">
        <v>1.384296</v>
      </c>
      <c r="J31" s="44">
        <f t="shared" si="8"/>
        <v>5.2093100269065044E-2</v>
      </c>
      <c r="K31" s="45">
        <f t="shared" si="9"/>
        <v>4.3945904761904762E-2</v>
      </c>
      <c r="L31" s="46">
        <f t="shared" ref="L31:L45" si="14">I31-H31</f>
        <v>-5.7039999999999313E-3</v>
      </c>
      <c r="M31" s="46">
        <f t="shared" ref="M31:M45" si="15">((I31-H31)/H31)*100</f>
        <v>-0.41035971223021089</v>
      </c>
      <c r="N31" s="47">
        <v>15700</v>
      </c>
      <c r="O31" s="37">
        <v>21733.45</v>
      </c>
      <c r="P31" s="51">
        <f t="shared" ref="P31:P36" si="16">(R31)/J31</f>
        <v>0</v>
      </c>
      <c r="Q31" s="49">
        <f t="shared" ref="Q31:Q45" si="17">I31/G31-1</f>
        <v>-1.1217142857142814E-2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3914806.9759346717</v>
      </c>
      <c r="E32" s="39">
        <f t="shared" si="1"/>
        <v>3302543.5928571429</v>
      </c>
      <c r="F32" s="40" t="s">
        <v>39</v>
      </c>
      <c r="G32" s="41">
        <v>0.65</v>
      </c>
      <c r="H32" s="42">
        <v>0.85250000000000004</v>
      </c>
      <c r="I32" s="43">
        <v>0.85250000000000004</v>
      </c>
      <c r="J32" s="44">
        <f t="shared" si="8"/>
        <v>3.2080832408226241E-2</v>
      </c>
      <c r="K32" s="45">
        <f t="shared" si="9"/>
        <v>2.7063492063492064E-2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0.31153846153846154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145559225.98265189</v>
      </c>
      <c r="E33" s="39">
        <f t="shared" si="1"/>
        <v>122794225.13174602</v>
      </c>
      <c r="F33" s="40" t="s">
        <v>92</v>
      </c>
      <c r="G33" s="41">
        <v>1.44</v>
      </c>
      <c r="H33" s="42">
        <v>1.54</v>
      </c>
      <c r="I33" s="43">
        <v>1.55</v>
      </c>
      <c r="J33" s="44">
        <f t="shared" si="8"/>
        <v>5.8328786196774986E-2</v>
      </c>
      <c r="K33" s="45">
        <f t="shared" si="9"/>
        <v>4.9206349206349205E-2</v>
      </c>
      <c r="L33" s="46">
        <f t="shared" si="14"/>
        <v>1.0000000000000009E-2</v>
      </c>
      <c r="M33" s="46">
        <f t="shared" si="15"/>
        <v>0.6493506493506499</v>
      </c>
      <c r="N33" s="47">
        <v>4600</v>
      </c>
      <c r="O33" s="37">
        <v>7130</v>
      </c>
      <c r="P33" s="51">
        <f t="shared" si="16"/>
        <v>0</v>
      </c>
      <c r="Q33" s="49">
        <f t="shared" si="17"/>
        <v>7.6388888888889062E-2</v>
      </c>
      <c r="R33" s="50"/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46844770.639020011</v>
      </c>
      <c r="E34" s="39">
        <f t="shared" si="1"/>
        <v>39518397.224634856</v>
      </c>
      <c r="F34" s="40" t="s">
        <v>34</v>
      </c>
      <c r="G34" s="41">
        <v>3.6056249999999999</v>
      </c>
      <c r="H34" s="42">
        <v>4.9538029999999997</v>
      </c>
      <c r="I34" s="43">
        <v>4.9107060000000002</v>
      </c>
      <c r="J34" s="44">
        <f t="shared" si="8"/>
        <v>0.18479710990272266</v>
      </c>
      <c r="K34" s="45">
        <f t="shared" si="9"/>
        <v>0.15589542857142857</v>
      </c>
      <c r="L34" s="46">
        <f t="shared" si="14"/>
        <v>-4.3096999999999497E-2</v>
      </c>
      <c r="M34" s="46">
        <f t="shared" si="15"/>
        <v>-0.86997807543011896</v>
      </c>
      <c r="N34" s="47">
        <v>3400</v>
      </c>
      <c r="O34" s="37">
        <v>16696.400000000001</v>
      </c>
      <c r="P34" s="51">
        <f t="shared" si="16"/>
        <v>0</v>
      </c>
      <c r="Q34" s="49">
        <f t="shared" si="17"/>
        <v>0.36195694227769115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5760800.5737351878</v>
      </c>
      <c r="E35" s="39">
        <f t="shared" si="1"/>
        <v>4859829.6522587938</v>
      </c>
      <c r="F35" s="40" t="s">
        <v>34</v>
      </c>
      <c r="G35" s="41">
        <v>2.5099999999999997E-2</v>
      </c>
      <c r="H35" s="42">
        <v>3.3814000000000004E-2</v>
      </c>
      <c r="I35" s="43">
        <v>3.2467000000000003E-2</v>
      </c>
      <c r="J35" s="44">
        <f t="shared" si="8"/>
        <v>1.2217810977101248E-3</v>
      </c>
      <c r="K35" s="45">
        <f t="shared" si="9"/>
        <v>1.0306984126984128E-3</v>
      </c>
      <c r="L35" s="46">
        <f t="shared" si="14"/>
        <v>-1.347000000000001E-3</v>
      </c>
      <c r="M35" s="46">
        <f t="shared" si="15"/>
        <v>-3.9835571065239272</v>
      </c>
      <c r="N35" s="47">
        <v>66100</v>
      </c>
      <c r="O35" s="37">
        <v>2146.1</v>
      </c>
      <c r="P35" s="51">
        <f t="shared" si="16"/>
        <v>0</v>
      </c>
      <c r="Q35" s="49">
        <f t="shared" si="17"/>
        <v>0.29350597609561779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91686161.308070064</v>
      </c>
      <c r="E36" s="39">
        <f t="shared" si="1"/>
        <v>77346736.74666667</v>
      </c>
      <c r="F36" s="40" t="s">
        <v>92</v>
      </c>
      <c r="G36" s="41">
        <v>0.61</v>
      </c>
      <c r="H36" s="42">
        <v>4.6193549999999997</v>
      </c>
      <c r="I36" s="43">
        <v>4.6399999999999997</v>
      </c>
      <c r="J36" s="44">
        <f t="shared" si="8"/>
        <v>0.17461004384066833</v>
      </c>
      <c r="K36" s="45">
        <f t="shared" si="9"/>
        <v>0.14730158730158729</v>
      </c>
      <c r="L36" s="46">
        <f t="shared" si="14"/>
        <v>2.0645000000000024E-2</v>
      </c>
      <c r="M36" s="46">
        <f t="shared" si="15"/>
        <v>0.44692386707668114</v>
      </c>
      <c r="N36" s="47">
        <v>2000</v>
      </c>
      <c r="O36" s="37">
        <v>9280</v>
      </c>
      <c r="P36" s="51">
        <f t="shared" si="16"/>
        <v>0</v>
      </c>
      <c r="Q36" s="49">
        <f t="shared" si="17"/>
        <v>6.6065573770491799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39475158.263120405</v>
      </c>
      <c r="E37" s="39">
        <f t="shared" si="1"/>
        <v>33301368.828731112</v>
      </c>
      <c r="F37" s="40" t="s">
        <v>56</v>
      </c>
      <c r="G37" s="41">
        <v>0.11650199999999999</v>
      </c>
      <c r="H37" s="42">
        <v>0.25</v>
      </c>
      <c r="I37" s="43">
        <v>0.25007000000000001</v>
      </c>
      <c r="J37" s="44">
        <f t="shared" si="8"/>
        <v>9.4105029446629167E-3</v>
      </c>
      <c r="K37" s="45">
        <f t="shared" si="9"/>
        <v>7.938730158730159E-3</v>
      </c>
      <c r="L37" s="46">
        <f t="shared" si="14"/>
        <v>7.0000000000014495E-5</v>
      </c>
      <c r="M37" s="46">
        <f t="shared" si="15"/>
        <v>2.8000000000005798E-2</v>
      </c>
      <c r="N37" s="47">
        <v>50000</v>
      </c>
      <c r="O37" s="37">
        <v>12503.5</v>
      </c>
      <c r="P37" s="51">
        <v>0</v>
      </c>
      <c r="Q37" s="49">
        <f t="shared" si="17"/>
        <v>1.1464867555921789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20300894.213219937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4.7039343707076598E-3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7212208.6514760954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6.773665493819031E-2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3411078.3600529851</v>
      </c>
      <c r="E40" s="39">
        <f t="shared" si="1"/>
        <v>2877596.5333608892</v>
      </c>
      <c r="F40" s="40" t="s">
        <v>39</v>
      </c>
      <c r="G40" s="41">
        <v>0.03</v>
      </c>
      <c r="H40" s="42">
        <v>5.0980999999999999E-2</v>
      </c>
      <c r="I40" s="43">
        <v>5.0980999999999999E-2</v>
      </c>
      <c r="J40" s="44">
        <f t="shared" si="8"/>
        <v>1.9184902252243777E-3</v>
      </c>
      <c r="K40" s="45">
        <f t="shared" si="9"/>
        <v>1.6184444444444445E-3</v>
      </c>
      <c r="L40" s="46">
        <f t="shared" si="14"/>
        <v>0</v>
      </c>
      <c r="M40" s="46">
        <f t="shared" si="15"/>
        <v>0</v>
      </c>
      <c r="N40" s="47">
        <v>0</v>
      </c>
      <c r="O40" s="37">
        <v>0</v>
      </c>
      <c r="P40" s="51">
        <f t="shared" si="18"/>
        <v>0</v>
      </c>
      <c r="Q40" s="49">
        <f t="shared" si="17"/>
        <v>0.69936666666666669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46148775.810487889</v>
      </c>
      <c r="E41" s="39">
        <f t="shared" si="1"/>
        <v>38931253.777777776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0.26342032475962895</v>
      </c>
      <c r="K41" s="45">
        <f t="shared" si="9"/>
        <v>0.22222222222222221</v>
      </c>
      <c r="L41" s="46">
        <f t="shared" si="14"/>
        <v>0</v>
      </c>
      <c r="M41" s="46">
        <f t="shared" si="15"/>
        <v>0</v>
      </c>
      <c r="N41" s="47">
        <v>0</v>
      </c>
      <c r="O41" s="37">
        <v>0</v>
      </c>
      <c r="P41" s="51">
        <f t="shared" si="18"/>
        <v>0</v>
      </c>
      <c r="Q41" s="49">
        <f t="shared" si="17"/>
        <v>0.55555555555555558</v>
      </c>
      <c r="R41" s="50">
        <v>0</v>
      </c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313.84943263025195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6.7736654938190308E-7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1734058.3664176718</v>
      </c>
      <c r="E43" s="39">
        <f t="shared" si="1"/>
        <v>1462857.142857143</v>
      </c>
      <c r="F43" s="40" t="s">
        <v>56</v>
      </c>
      <c r="G43" s="41">
        <v>7.0000000000000007E-2</v>
      </c>
      <c r="H43" s="42">
        <v>0.08</v>
      </c>
      <c r="I43" s="43">
        <v>0.08</v>
      </c>
      <c r="J43" s="44">
        <f t="shared" si="8"/>
        <v>3.0105179972529025E-3</v>
      </c>
      <c r="K43" s="45">
        <f t="shared" si="9"/>
        <v>2.5396825396825397E-3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0.14285714285714279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64134437.290448681</v>
      </c>
      <c r="E44" s="39">
        <f t="shared" si="1"/>
        <v>54104014.899610728</v>
      </c>
      <c r="F44" s="40" t="s">
        <v>47</v>
      </c>
      <c r="G44" s="41">
        <v>0.9998999999999999</v>
      </c>
      <c r="H44" s="42">
        <v>0.89</v>
      </c>
      <c r="I44" s="43">
        <v>0.93733299999999997</v>
      </c>
      <c r="J44" s="44">
        <f t="shared" si="8"/>
        <v>3.5273223323988183E-2</v>
      </c>
      <c r="K44" s="45">
        <f t="shared" si="9"/>
        <v>2.9756603174603175E-2</v>
      </c>
      <c r="L44" s="46">
        <f t="shared" si="14"/>
        <v>4.7332999999999958E-2</v>
      </c>
      <c r="M44" s="46">
        <f t="shared" si="15"/>
        <v>5.3183146067415681</v>
      </c>
      <c r="N44" s="47">
        <v>7500</v>
      </c>
      <c r="O44" s="37">
        <v>7030</v>
      </c>
      <c r="P44" s="51">
        <f t="shared" si="18"/>
        <v>0</v>
      </c>
      <c r="Q44" s="49">
        <f t="shared" si="17"/>
        <v>-6.257325732573249E-2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6377618.9813159723</v>
      </c>
      <c r="E45" s="39">
        <f t="shared" si="1"/>
        <v>5380179.6190476185</v>
      </c>
      <c r="F45" s="40" t="s">
        <v>47</v>
      </c>
      <c r="G45" s="41">
        <v>1.4503460000000001</v>
      </c>
      <c r="H45" s="42">
        <v>1.65</v>
      </c>
      <c r="I45" s="43">
        <v>1.65</v>
      </c>
      <c r="J45" s="44">
        <f t="shared" si="8"/>
        <v>6.2091933693341109E-2</v>
      </c>
      <c r="K45" s="45">
        <f t="shared" si="9"/>
        <v>5.2380952380952375E-2</v>
      </c>
      <c r="L45" s="46">
        <f t="shared" si="14"/>
        <v>0</v>
      </c>
      <c r="M45" s="46">
        <f t="shared" si="15"/>
        <v>0</v>
      </c>
      <c r="N45" s="47">
        <v>0</v>
      </c>
      <c r="O45" s="37">
        <v>0</v>
      </c>
      <c r="P45" s="51">
        <v>0</v>
      </c>
      <c r="Q45" s="49">
        <f t="shared" si="17"/>
        <v>0.13765956537267643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297600</v>
      </c>
      <c r="O47" s="61">
        <f>SUM(O9:O46)</f>
        <v>1588400.9999999998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5" si="19">C50*J50</f>
        <v>73027512.532800004</v>
      </c>
      <c r="E50" s="39">
        <v>0</v>
      </c>
      <c r="F50" s="40" t="s">
        <v>92</v>
      </c>
      <c r="G50" s="70">
        <v>0.1</v>
      </c>
      <c r="H50" s="42">
        <v>0.15440000000000001</v>
      </c>
      <c r="I50" s="42">
        <v>0.13159999999999999</v>
      </c>
      <c r="J50" s="44">
        <f t="shared" ref="J50:J65" si="20">I50</f>
        <v>0.13159999999999999</v>
      </c>
      <c r="K50" s="39">
        <v>0</v>
      </c>
      <c r="L50" s="46">
        <f t="shared" ref="L50:L65" si="21">I50-H50</f>
        <v>-2.2800000000000015E-2</v>
      </c>
      <c r="M50" s="46">
        <f t="shared" ref="M50:M65" si="22">((I50-H50)/H50)*100</f>
        <v>-14.76683937823835</v>
      </c>
      <c r="N50" s="47">
        <v>764178</v>
      </c>
      <c r="O50" s="37">
        <v>100568.09</v>
      </c>
      <c r="P50" s="71">
        <f>(R50)/J50</f>
        <v>0</v>
      </c>
      <c r="Q50" s="49">
        <f t="shared" ref="Q50:Q65" si="23">J50/G50-1</f>
        <v>0.31599999999999984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42261919.545000002</v>
      </c>
      <c r="E51" s="39">
        <v>0</v>
      </c>
      <c r="F51" s="40" t="s">
        <v>39</v>
      </c>
      <c r="G51" s="70">
        <v>39.9</v>
      </c>
      <c r="H51" s="42">
        <v>42.840899999999998</v>
      </c>
      <c r="I51" s="42">
        <v>39.957000000000001</v>
      </c>
      <c r="J51" s="44">
        <f t="shared" si="20"/>
        <v>39.957000000000001</v>
      </c>
      <c r="K51" s="39">
        <v>0</v>
      </c>
      <c r="L51" s="46">
        <f t="shared" si="21"/>
        <v>-2.883899999999997</v>
      </c>
      <c r="M51" s="46">
        <f t="shared" si="22"/>
        <v>-6.7316512958411181</v>
      </c>
      <c r="N51" s="47">
        <v>227</v>
      </c>
      <c r="O51" s="37">
        <v>9070.25</v>
      </c>
      <c r="P51" s="72">
        <f>(R51)/J51</f>
        <v>1.4015066196160874E-2</v>
      </c>
      <c r="Q51" s="49">
        <f t="shared" si="23"/>
        <v>1.4285714285715567E-3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684906157.16670001</v>
      </c>
      <c r="E52" s="39"/>
      <c r="F52" s="40" t="s">
        <v>56</v>
      </c>
      <c r="G52" s="70">
        <v>0.33</v>
      </c>
      <c r="H52" s="42">
        <v>0.24660000000000001</v>
      </c>
      <c r="I52" s="42">
        <v>0.22889999999999999</v>
      </c>
      <c r="J52" s="44">
        <f t="shared" si="20"/>
        <v>0.22889999999999999</v>
      </c>
      <c r="K52" s="39">
        <v>0</v>
      </c>
      <c r="L52" s="46">
        <f t="shared" si="21"/>
        <v>-1.7700000000000021E-2</v>
      </c>
      <c r="M52" s="46">
        <f t="shared" si="22"/>
        <v>-7.1776155717761636</v>
      </c>
      <c r="N52" s="47">
        <v>38973</v>
      </c>
      <c r="O52" s="37">
        <v>8922.09</v>
      </c>
      <c r="P52" s="71">
        <v>0</v>
      </c>
      <c r="Q52" s="49">
        <f t="shared" si="23"/>
        <v>-0.30636363636363639</v>
      </c>
      <c r="R52" s="52"/>
      <c r="T52" s="52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12255792.954299999</v>
      </c>
      <c r="E53" s="39">
        <v>0</v>
      </c>
      <c r="F53" s="40" t="s">
        <v>34</v>
      </c>
      <c r="G53" s="70">
        <v>2.3E-2</v>
      </c>
      <c r="H53" s="42">
        <v>2.0299999999999999E-2</v>
      </c>
      <c r="I53" s="42">
        <v>2.01E-2</v>
      </c>
      <c r="J53" s="44">
        <f t="shared" si="20"/>
        <v>2.01E-2</v>
      </c>
      <c r="K53" s="39">
        <v>0</v>
      </c>
      <c r="L53" s="46">
        <f t="shared" si="21"/>
        <v>-1.9999999999999879E-4</v>
      </c>
      <c r="M53" s="46">
        <f t="shared" si="22"/>
        <v>-0.98522167487684142</v>
      </c>
      <c r="N53" s="47">
        <v>121629</v>
      </c>
      <c r="O53" s="37">
        <v>2441.5500000000002</v>
      </c>
      <c r="P53" s="71">
        <f t="shared" ref="P53:P65" si="24">(R53)/J53</f>
        <v>0</v>
      </c>
      <c r="Q53" s="49">
        <f t="shared" si="23"/>
        <v>-0.12608695652173907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323971850.16419995</v>
      </c>
      <c r="E54" s="39">
        <v>0</v>
      </c>
      <c r="F54" s="40" t="s">
        <v>47</v>
      </c>
      <c r="G54" s="70">
        <v>9.0200000000000002E-2</v>
      </c>
      <c r="H54" s="42">
        <v>0.14979999999999999</v>
      </c>
      <c r="I54" s="42">
        <v>0.14979999999999999</v>
      </c>
      <c r="J54" s="44">
        <f t="shared" si="20"/>
        <v>0.14979999999999999</v>
      </c>
      <c r="K54" s="39">
        <v>0</v>
      </c>
      <c r="L54" s="46">
        <f t="shared" si="21"/>
        <v>0</v>
      </c>
      <c r="M54" s="73">
        <f t="shared" si="22"/>
        <v>0</v>
      </c>
      <c r="N54" s="47">
        <v>342511</v>
      </c>
      <c r="O54" s="37">
        <v>51296.36</v>
      </c>
      <c r="P54" s="71">
        <f t="shared" si="24"/>
        <v>0</v>
      </c>
      <c r="Q54" s="49">
        <f t="shared" si="23"/>
        <v>0.66075388026607529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808139994.63999999</v>
      </c>
      <c r="E55" s="39">
        <v>0</v>
      </c>
      <c r="F55" s="40" t="s">
        <v>34</v>
      </c>
      <c r="G55" s="70">
        <v>0.95750000000000002</v>
      </c>
      <c r="H55" s="42">
        <v>1.4265000000000001</v>
      </c>
      <c r="I55" s="42">
        <v>1.4032</v>
      </c>
      <c r="J55" s="44">
        <f t="shared" si="20"/>
        <v>1.4032</v>
      </c>
      <c r="K55" s="39">
        <v>0</v>
      </c>
      <c r="L55" s="46">
        <f t="shared" si="21"/>
        <v>-2.3300000000000098E-2</v>
      </c>
      <c r="M55" s="46">
        <f t="shared" si="22"/>
        <v>-1.6333683841570346</v>
      </c>
      <c r="N55" s="47">
        <v>192842</v>
      </c>
      <c r="O55" s="37">
        <v>270601.77</v>
      </c>
      <c r="P55" s="72">
        <f t="shared" si="24"/>
        <v>3.3494868871151655E-2</v>
      </c>
      <c r="Q55" s="49">
        <f t="shared" si="23"/>
        <v>0.46548302872062663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447</v>
      </c>
      <c r="O56" s="37">
        <v>67.05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18980675.720000003</v>
      </c>
      <c r="E57" s="39">
        <v>0</v>
      </c>
      <c r="F57" s="40" t="s">
        <v>92</v>
      </c>
      <c r="G57" s="70">
        <v>1.6799999999999999E-2</v>
      </c>
      <c r="H57" s="42">
        <v>0.02</v>
      </c>
      <c r="I57" s="42">
        <v>1.9900000000000001E-2</v>
      </c>
      <c r="J57" s="44">
        <f t="shared" si="20"/>
        <v>1.9900000000000001E-2</v>
      </c>
      <c r="K57" s="39">
        <v>0</v>
      </c>
      <c r="L57" s="46">
        <f t="shared" si="21"/>
        <v>-9.9999999999999395E-5</v>
      </c>
      <c r="M57" s="73">
        <f t="shared" si="22"/>
        <v>-0.499999999999997</v>
      </c>
      <c r="N57" s="47">
        <v>55880</v>
      </c>
      <c r="O57" s="37">
        <v>1114.45</v>
      </c>
      <c r="P57" s="71">
        <f t="shared" si="24"/>
        <v>0</v>
      </c>
      <c r="Q57" s="49">
        <f t="shared" si="23"/>
        <v>0.18452380952380976</v>
      </c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2398194.0192</v>
      </c>
      <c r="E58" s="39">
        <v>0</v>
      </c>
      <c r="F58" s="40" t="s">
        <v>137</v>
      </c>
      <c r="G58" s="70">
        <v>19.5</v>
      </c>
      <c r="H58" s="42">
        <v>16.5</v>
      </c>
      <c r="I58" s="42">
        <v>14.8704</v>
      </c>
      <c r="J58" s="44">
        <f t="shared" si="20"/>
        <v>14.8704</v>
      </c>
      <c r="K58" s="39">
        <v>0</v>
      </c>
      <c r="L58" s="46">
        <f t="shared" si="21"/>
        <v>-1.6295999999999999</v>
      </c>
      <c r="M58" s="46">
        <f t="shared" si="22"/>
        <v>-9.8763636363636351</v>
      </c>
      <c r="N58" s="47">
        <v>27</v>
      </c>
      <c r="O58" s="37">
        <v>401.5</v>
      </c>
      <c r="P58" s="71">
        <f t="shared" si="24"/>
        <v>0</v>
      </c>
      <c r="Q58" s="49">
        <f t="shared" si="23"/>
        <v>-0.23741538461538458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805090451</v>
      </c>
      <c r="D59" s="38">
        <f t="shared" si="19"/>
        <v>1102973917.8700001</v>
      </c>
      <c r="E59" s="39">
        <v>0</v>
      </c>
      <c r="F59" s="40" t="s">
        <v>92</v>
      </c>
      <c r="G59" s="70">
        <v>0.59499999999999997</v>
      </c>
      <c r="H59" s="42">
        <v>1.3983000000000001</v>
      </c>
      <c r="I59" s="42">
        <v>1.37</v>
      </c>
      <c r="J59" s="44">
        <f t="shared" si="20"/>
        <v>1.37</v>
      </c>
      <c r="K59" s="39">
        <v>0</v>
      </c>
      <c r="L59" s="46">
        <f t="shared" si="21"/>
        <v>-2.8299999999999992E-2</v>
      </c>
      <c r="M59" s="46">
        <f t="shared" si="22"/>
        <v>-2.0238861474647778</v>
      </c>
      <c r="N59" s="47">
        <v>281</v>
      </c>
      <c r="O59" s="37">
        <v>384.96</v>
      </c>
      <c r="P59" s="71">
        <f t="shared" si="24"/>
        <v>0</v>
      </c>
      <c r="Q59" s="49">
        <f t="shared" si="23"/>
        <v>1.3025210084033616</v>
      </c>
      <c r="R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260714518</v>
      </c>
      <c r="D60" s="38">
        <f t="shared" si="19"/>
        <v>108717954.006</v>
      </c>
      <c r="E60" s="39">
        <v>0</v>
      </c>
      <c r="F60" s="40" t="s">
        <v>34</v>
      </c>
      <c r="G60" s="70">
        <v>0.22600000000000001</v>
      </c>
      <c r="H60" s="42">
        <v>0.41599999999999998</v>
      </c>
      <c r="I60" s="42">
        <v>0.41699999999999998</v>
      </c>
      <c r="J60" s="44">
        <f t="shared" si="20"/>
        <v>0.41699999999999998</v>
      </c>
      <c r="K60" s="39">
        <v>0</v>
      </c>
      <c r="L60" s="46">
        <f t="shared" si="21"/>
        <v>1.0000000000000009E-3</v>
      </c>
      <c r="M60" s="46">
        <f t="shared" si="22"/>
        <v>0.24038461538461561</v>
      </c>
      <c r="N60" s="47">
        <v>2133</v>
      </c>
      <c r="O60" s="37">
        <v>889.48</v>
      </c>
      <c r="P60" s="71">
        <f t="shared" si="24"/>
        <v>0</v>
      </c>
      <c r="Q60" s="49">
        <f t="shared" si="23"/>
        <v>0.84513274336283173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562184788</v>
      </c>
      <c r="D61" s="38">
        <f t="shared" si="19"/>
        <v>410338676.76120001</v>
      </c>
      <c r="E61" s="39">
        <v>0</v>
      </c>
      <c r="F61" s="40" t="s">
        <v>34</v>
      </c>
      <c r="G61" s="70">
        <v>0.49440000000000001</v>
      </c>
      <c r="H61" s="42">
        <v>0.74790000000000001</v>
      </c>
      <c r="I61" s="42">
        <v>0.72989999999999999</v>
      </c>
      <c r="J61" s="44">
        <f t="shared" si="20"/>
        <v>0.72989999999999999</v>
      </c>
      <c r="K61" s="39">
        <v>0</v>
      </c>
      <c r="L61" s="46">
        <f t="shared" si="21"/>
        <v>-1.8000000000000016E-2</v>
      </c>
      <c r="M61" s="46">
        <f t="shared" si="22"/>
        <v>-2.406738868832734</v>
      </c>
      <c r="N61" s="47">
        <v>14035</v>
      </c>
      <c r="O61" s="37">
        <v>10244.049999999999</v>
      </c>
      <c r="P61" s="71">
        <f t="shared" si="24"/>
        <v>0</v>
      </c>
      <c r="Q61" s="49">
        <f t="shared" si="23"/>
        <v>0.47633495145631066</v>
      </c>
      <c r="R61" s="52"/>
      <c r="T61" s="52"/>
    </row>
    <row r="62" spans="1:20" ht="12" customHeight="1" x14ac:dyDescent="0.25">
      <c r="A62" s="35" t="s">
        <v>144</v>
      </c>
      <c r="B62" s="36" t="s">
        <v>145</v>
      </c>
      <c r="C62" s="40">
        <v>364526035</v>
      </c>
      <c r="D62" s="38">
        <f t="shared" si="19"/>
        <v>80195727.700000003</v>
      </c>
      <c r="E62" s="39">
        <v>0</v>
      </c>
      <c r="F62" s="40" t="s">
        <v>34</v>
      </c>
      <c r="G62" s="70">
        <v>0.25950000000000001</v>
      </c>
      <c r="H62" s="42">
        <v>0.22</v>
      </c>
      <c r="I62" s="42">
        <v>0.22</v>
      </c>
      <c r="J62" s="44">
        <f t="shared" si="20"/>
        <v>0.22</v>
      </c>
      <c r="K62" s="39">
        <v>0</v>
      </c>
      <c r="L62" s="46">
        <f t="shared" si="21"/>
        <v>0</v>
      </c>
      <c r="M62" s="46">
        <f t="shared" si="22"/>
        <v>0</v>
      </c>
      <c r="N62" s="47">
        <v>5338</v>
      </c>
      <c r="O62" s="37">
        <v>1174.3599999999999</v>
      </c>
      <c r="P62" s="71">
        <f t="shared" si="24"/>
        <v>0</v>
      </c>
      <c r="Q62" s="49">
        <f t="shared" si="23"/>
        <v>-0.1522157996146436</v>
      </c>
      <c r="R62" s="52"/>
      <c r="T62" s="52"/>
    </row>
    <row r="63" spans="1:20" ht="12" customHeight="1" x14ac:dyDescent="0.25">
      <c r="A63" s="35" t="s">
        <v>183</v>
      </c>
      <c r="B63" s="36" t="s">
        <v>184</v>
      </c>
      <c r="C63" s="40">
        <v>65185544</v>
      </c>
      <c r="D63" s="38">
        <f t="shared" ref="D63" si="25">C63*J63</f>
        <v>50955539.744799994</v>
      </c>
      <c r="E63" s="39">
        <v>0</v>
      </c>
      <c r="F63" s="40" t="s">
        <v>47</v>
      </c>
      <c r="G63" s="70">
        <v>0.78169999999999995</v>
      </c>
      <c r="H63" s="133">
        <v>0.78169999999999995</v>
      </c>
      <c r="I63" s="42">
        <v>0.78169999999999995</v>
      </c>
      <c r="J63" s="44">
        <f t="shared" ref="J63" si="26">I63</f>
        <v>0.78169999999999995</v>
      </c>
      <c r="K63" s="39">
        <v>0</v>
      </c>
      <c r="L63" s="46">
        <f t="shared" ref="L63" si="27">I63-H63</f>
        <v>0</v>
      </c>
      <c r="M63" s="46">
        <f t="shared" si="22"/>
        <v>0</v>
      </c>
      <c r="N63" s="47">
        <v>46402</v>
      </c>
      <c r="O63" s="37">
        <v>36274.44</v>
      </c>
      <c r="P63" s="71">
        <f t="shared" ref="P63" si="28">(R63)/J63</f>
        <v>0</v>
      </c>
      <c r="Q63" s="49">
        <f t="shared" ref="Q63" si="29">J63/G63-1</f>
        <v>0</v>
      </c>
      <c r="R63" s="52"/>
      <c r="T63" s="52"/>
    </row>
    <row r="64" spans="1:20" x14ac:dyDescent="0.25">
      <c r="A64" s="35" t="s">
        <v>146</v>
      </c>
      <c r="B64" s="36" t="s">
        <v>147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47">
        <v>0</v>
      </c>
      <c r="O64" s="37">
        <v>0</v>
      </c>
      <c r="P64" s="71">
        <f t="shared" si="24"/>
        <v>0</v>
      </c>
      <c r="Q64" s="49">
        <f t="shared" si="23"/>
        <v>0</v>
      </c>
      <c r="T64" s="52"/>
    </row>
    <row r="65" spans="1:20" x14ac:dyDescent="0.25">
      <c r="A65" s="35" t="s">
        <v>148</v>
      </c>
      <c r="B65" s="36" t="s">
        <v>149</v>
      </c>
      <c r="C65" s="40">
        <v>344580486</v>
      </c>
      <c r="D65" s="38">
        <f t="shared" si="19"/>
        <v>37111318.342200004</v>
      </c>
      <c r="E65" s="39">
        <v>0</v>
      </c>
      <c r="F65" s="40" t="s">
        <v>44</v>
      </c>
      <c r="G65" s="70">
        <v>4.2999999999999997E-2</v>
      </c>
      <c r="H65" s="42">
        <v>0.10150000000000001</v>
      </c>
      <c r="I65" s="42">
        <v>0.1077</v>
      </c>
      <c r="J65" s="44">
        <f t="shared" si="20"/>
        <v>0.1077</v>
      </c>
      <c r="K65" s="39">
        <v>0</v>
      </c>
      <c r="L65" s="46">
        <f t="shared" si="21"/>
        <v>6.1999999999999972E-3</v>
      </c>
      <c r="M65" s="46">
        <f t="shared" si="22"/>
        <v>6.1083743842364502</v>
      </c>
      <c r="N65" s="47">
        <v>300</v>
      </c>
      <c r="O65" s="37">
        <v>32.299999999999997</v>
      </c>
      <c r="P65" s="71">
        <f t="shared" si="24"/>
        <v>0</v>
      </c>
      <c r="Q65" s="49">
        <f t="shared" si="23"/>
        <v>1.5046511627906978</v>
      </c>
      <c r="T65" s="52"/>
    </row>
    <row r="66" spans="1:20" ht="13.2" x14ac:dyDescent="0.35">
      <c r="A66" s="74"/>
      <c r="B66" s="36" t="s">
        <v>117</v>
      </c>
      <c r="C66" s="40"/>
      <c r="D66" s="75"/>
      <c r="E66" s="75"/>
      <c r="F66" s="40"/>
      <c r="G66" s="40"/>
      <c r="H66" s="42"/>
      <c r="I66" s="42"/>
      <c r="J66" s="42"/>
      <c r="K66" s="42"/>
      <c r="L66" s="46"/>
      <c r="M66" s="76"/>
      <c r="N66" s="61">
        <f>SUM(N50:N65)</f>
        <v>1585203</v>
      </c>
      <c r="O66" s="62">
        <f>SUM(O50:O65)</f>
        <v>493482.69999999995</v>
      </c>
      <c r="P66" s="77"/>
      <c r="Q66" s="63"/>
    </row>
    <row r="67" spans="1:20" ht="12.6" hidden="1" x14ac:dyDescent="0.3">
      <c r="A67" s="138" t="s">
        <v>150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6" hidden="1" thickBot="1" x14ac:dyDescent="0.3">
      <c r="A68" s="78" t="s">
        <v>151</v>
      </c>
      <c r="B68" s="79" t="s">
        <v>152</v>
      </c>
      <c r="C68" s="80">
        <v>20000</v>
      </c>
      <c r="D68" s="81">
        <f>C68*J68</f>
        <v>0</v>
      </c>
      <c r="E68" s="81"/>
      <c r="F68" s="80" t="s">
        <v>153</v>
      </c>
      <c r="G68" s="80"/>
      <c r="H68" s="82">
        <v>100</v>
      </c>
      <c r="I68" s="82"/>
      <c r="J68" s="82"/>
      <c r="K68" s="82"/>
      <c r="L68" s="83">
        <f>I68-H68</f>
        <v>-100</v>
      </c>
      <c r="M68" s="84">
        <f>((I68-H68)/H68)*100</f>
        <v>-100</v>
      </c>
      <c r="N68" s="85" t="s">
        <v>57</v>
      </c>
      <c r="O68" s="85" t="s">
        <v>57</v>
      </c>
      <c r="P68" s="85"/>
      <c r="Q68" s="86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6"/>
      <c r="N69" s="87"/>
      <c r="O69" s="87"/>
      <c r="P69" s="87"/>
      <c r="Q69" s="63"/>
    </row>
    <row r="70" spans="1:20" ht="12.6" x14ac:dyDescent="0.3">
      <c r="A70" s="138" t="s">
        <v>154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5">
      <c r="A71" s="35" t="s">
        <v>155</v>
      </c>
      <c r="B71" s="88" t="s">
        <v>156</v>
      </c>
      <c r="C71" s="89">
        <v>139300587</v>
      </c>
      <c r="D71" s="38">
        <f>C71*J71</f>
        <v>50120351.202600002</v>
      </c>
      <c r="E71" s="39">
        <f>C71*K71</f>
        <v>50120351.202600002</v>
      </c>
      <c r="F71" s="89" t="s">
        <v>157</v>
      </c>
      <c r="G71" s="89">
        <v>0.24</v>
      </c>
      <c r="H71" s="90">
        <v>0.36</v>
      </c>
      <c r="I71" s="90">
        <v>0.35980000000000001</v>
      </c>
      <c r="J71" s="91">
        <f>I71</f>
        <v>0.35980000000000001</v>
      </c>
      <c r="K71" s="91">
        <f>J71</f>
        <v>0.35980000000000001</v>
      </c>
      <c r="L71" s="46">
        <f>I71-H71</f>
        <v>-1.9999999999997797E-4</v>
      </c>
      <c r="M71" s="46">
        <f>((I71-H71)/H71)*100</f>
        <v>-5.5555555555549439E-2</v>
      </c>
      <c r="N71" s="92">
        <v>235</v>
      </c>
      <c r="O71" s="93">
        <v>84.56</v>
      </c>
      <c r="P71" s="71">
        <f>(R71)/J71</f>
        <v>0</v>
      </c>
      <c r="Q71" s="49">
        <f>J71/G71-1</f>
        <v>0.49916666666666676</v>
      </c>
      <c r="T71" s="52"/>
    </row>
    <row r="72" spans="1:20" x14ac:dyDescent="0.25">
      <c r="A72" s="35" t="s">
        <v>158</v>
      </c>
      <c r="B72" s="88" t="s">
        <v>159</v>
      </c>
      <c r="C72" s="89">
        <v>471351750</v>
      </c>
      <c r="D72" s="38">
        <f>C72*J72</f>
        <v>69948599.700000003</v>
      </c>
      <c r="E72" s="39">
        <f>C72*K72</f>
        <v>69948599.700000003</v>
      </c>
      <c r="F72" s="89" t="s">
        <v>157</v>
      </c>
      <c r="G72" s="89">
        <v>0.1</v>
      </c>
      <c r="H72" s="90">
        <v>0.1489</v>
      </c>
      <c r="I72" s="90">
        <v>0.1484</v>
      </c>
      <c r="J72" s="91">
        <f>I72</f>
        <v>0.1484</v>
      </c>
      <c r="K72" s="91">
        <f>J72</f>
        <v>0.1484</v>
      </c>
      <c r="L72" s="46">
        <f>I72-H72</f>
        <v>-5.0000000000000044E-4</v>
      </c>
      <c r="M72" s="46">
        <f>((I72-H72)/H72)*100</f>
        <v>-0.33579583613163227</v>
      </c>
      <c r="N72" s="47">
        <v>7516</v>
      </c>
      <c r="O72" s="93">
        <v>1115.24</v>
      </c>
      <c r="P72" s="94">
        <f>(R72)/J72</f>
        <v>2.5552560646900268E-2</v>
      </c>
      <c r="Q72" s="49">
        <f>J72/G72-1</f>
        <v>0.48399999999999999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6"/>
      <c r="N73" s="61">
        <f>SUM(N71:N72)</f>
        <v>7751</v>
      </c>
      <c r="O73" s="62">
        <f>SUM(O71:O72)</f>
        <v>1199.8</v>
      </c>
      <c r="P73" s="87"/>
      <c r="Q73" s="63"/>
    </row>
    <row r="74" spans="1:20" ht="12.6" x14ac:dyDescent="0.3">
      <c r="A74" s="138" t="s">
        <v>160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5">
      <c r="A75" s="35" t="s">
        <v>161</v>
      </c>
      <c r="B75" s="88" t="s">
        <v>162</v>
      </c>
      <c r="C75" s="89">
        <v>20819695</v>
      </c>
      <c r="D75" s="38">
        <f>C75*J75</f>
        <v>2540002.79</v>
      </c>
      <c r="E75" s="39">
        <f>C75*K75</f>
        <v>2540002.79</v>
      </c>
      <c r="F75" s="89" t="s">
        <v>137</v>
      </c>
      <c r="G75" s="89">
        <v>0.1394</v>
      </c>
      <c r="H75" s="90">
        <v>0.1222</v>
      </c>
      <c r="I75" s="90">
        <v>0.122</v>
      </c>
      <c r="J75" s="91">
        <f>I75</f>
        <v>0.122</v>
      </c>
      <c r="K75" s="91">
        <f>J75</f>
        <v>0.122</v>
      </c>
      <c r="L75" s="46">
        <f>I75-H75</f>
        <v>-2.0000000000000573E-4</v>
      </c>
      <c r="M75" s="46">
        <f>((I75-H75)/H75)*100</f>
        <v>-0.16366612111293433</v>
      </c>
      <c r="N75" s="92">
        <v>2106</v>
      </c>
      <c r="O75" s="93">
        <v>256.93</v>
      </c>
      <c r="P75" s="71">
        <f>(R75)/J75</f>
        <v>0</v>
      </c>
      <c r="Q75" s="49">
        <f>J75/G75-1</f>
        <v>-0.12482065997130554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6"/>
      <c r="N76" s="61"/>
      <c r="O76" s="62"/>
      <c r="P76" s="87"/>
      <c r="Q76" s="63"/>
    </row>
    <row r="77" spans="1:20" ht="12.6" x14ac:dyDescent="0.3">
      <c r="A77" s="134" t="s">
        <v>163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5">
      <c r="A78" s="35" t="s">
        <v>164</v>
      </c>
      <c r="B78" s="36" t="s">
        <v>165</v>
      </c>
      <c r="C78" s="40">
        <v>31703227</v>
      </c>
      <c r="D78" s="38">
        <f>C78*J78</f>
        <v>96039.65505108473</v>
      </c>
      <c r="E78" s="39">
        <f>C78*K78</f>
        <v>81019.357888888888</v>
      </c>
      <c r="F78" s="40" t="s">
        <v>137</v>
      </c>
      <c r="G78" s="70">
        <v>0.105</v>
      </c>
      <c r="H78" s="42">
        <v>8.0082E-2</v>
      </c>
      <c r="I78" s="42">
        <v>8.0500000000000002E-2</v>
      </c>
      <c r="J78" s="44">
        <f>I78/$J$5</f>
        <v>3.0293337347357331E-3</v>
      </c>
      <c r="K78" s="45">
        <f>I78/$K$4</f>
        <v>2.5555555555555557E-3</v>
      </c>
      <c r="L78" s="46">
        <f>I78-H78</f>
        <v>4.180000000000017E-4</v>
      </c>
      <c r="M78" s="95">
        <f>((I78-H78)/H78)*100</f>
        <v>0.52196498588946538</v>
      </c>
      <c r="N78" s="37">
        <v>10000</v>
      </c>
      <c r="O78" s="37">
        <v>805</v>
      </c>
      <c r="P78" s="40">
        <v>0</v>
      </c>
      <c r="Q78" s="49">
        <f>I78/G78-1</f>
        <v>-0.23333333333333328</v>
      </c>
    </row>
    <row r="79" spans="1:20" x14ac:dyDescent="0.25">
      <c r="A79" s="35" t="s">
        <v>166</v>
      </c>
      <c r="B79" s="36" t="s">
        <v>167</v>
      </c>
      <c r="C79" s="40">
        <v>136162052</v>
      </c>
      <c r="D79" s="38">
        <f>C79*J79</f>
        <v>409918.30808888556</v>
      </c>
      <c r="E79" s="39">
        <f>C79*K79</f>
        <v>345808.38603174605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3.0105179972529025E-3</v>
      </c>
      <c r="K79" s="45">
        <f>I79/$K$4</f>
        <v>2.5396825396825397E-3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5">
      <c r="A80" s="35" t="s">
        <v>168</v>
      </c>
      <c r="B80" s="36" t="s">
        <v>169</v>
      </c>
      <c r="C80" s="40">
        <v>6677853</v>
      </c>
      <c r="D80" s="38">
        <f>C80*J80</f>
        <v>32668.66953920259</v>
      </c>
      <c r="E80" s="39">
        <f>C80*K80</f>
        <v>27559.393333333337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4.8920917455359666E-3</v>
      </c>
      <c r="K80" s="45">
        <f>I80/$K$4</f>
        <v>4.1269841269841274E-3</v>
      </c>
      <c r="L80" s="46">
        <f>I80-H80</f>
        <v>0</v>
      </c>
      <c r="M80" s="95">
        <f>((I80-H80)/H80)*100</f>
        <v>0</v>
      </c>
      <c r="N80" s="37">
        <v>2100</v>
      </c>
      <c r="O80" s="37">
        <v>273</v>
      </c>
      <c r="P80" s="40">
        <v>0</v>
      </c>
      <c r="Q80" s="49">
        <f>I80/G80-1</f>
        <v>1.1487603305785123</v>
      </c>
    </row>
    <row r="81" spans="1:243" x14ac:dyDescent="0.25">
      <c r="A81" s="35" t="s">
        <v>170</v>
      </c>
      <c r="B81" s="36" t="s">
        <v>171</v>
      </c>
      <c r="C81" s="37">
        <v>494417400</v>
      </c>
      <c r="D81" s="38">
        <f>C81*J81</f>
        <v>29582993.056992874</v>
      </c>
      <c r="E81" s="39">
        <f>C81*K81</f>
        <v>24956306.857142858</v>
      </c>
      <c r="F81" s="40" t="s">
        <v>137</v>
      </c>
      <c r="G81" s="70">
        <v>1.85</v>
      </c>
      <c r="H81" s="42">
        <v>1.59</v>
      </c>
      <c r="I81" s="42">
        <v>1.59</v>
      </c>
      <c r="J81" s="44">
        <f>I81/$J$5</f>
        <v>5.983404519540144E-2</v>
      </c>
      <c r="K81" s="45">
        <f>I81/$K$4</f>
        <v>5.047619047619048E-2</v>
      </c>
      <c r="L81" s="46">
        <f>I81-H81</f>
        <v>0</v>
      </c>
      <c r="M81" s="95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-0.14054054054054055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12100</v>
      </c>
      <c r="O82" s="62">
        <f>SUM(O78:O81)</f>
        <v>1078</v>
      </c>
      <c r="P82" s="77"/>
      <c r="Q82" s="63"/>
      <c r="V82" s="96"/>
      <c r="W82" s="96"/>
      <c r="DU82" s="97"/>
      <c r="DV82" s="97"/>
      <c r="DW82" s="98"/>
      <c r="DX82" s="99"/>
      <c r="DY82" s="99"/>
      <c r="DZ82" s="100"/>
      <c r="EA82" s="100"/>
      <c r="EB82" s="101"/>
      <c r="EC82" s="101"/>
      <c r="ED82" s="102"/>
      <c r="EE82" s="102"/>
      <c r="EF82" s="100"/>
      <c r="EG82" s="103"/>
      <c r="EH82" s="104"/>
      <c r="EI82" s="98"/>
      <c r="EJ82" s="97"/>
      <c r="EK82" s="97"/>
      <c r="EL82" s="98"/>
      <c r="EM82" s="99"/>
      <c r="EN82" s="99"/>
      <c r="EO82" s="100"/>
      <c r="EP82" s="100"/>
      <c r="EQ82" s="101"/>
      <c r="ER82" s="101"/>
      <c r="ES82" s="102"/>
      <c r="ET82" s="102"/>
      <c r="EU82" s="100"/>
      <c r="EV82" s="103"/>
      <c r="EW82" s="104"/>
      <c r="EX82" s="98"/>
      <c r="EY82" s="97"/>
      <c r="EZ82" s="97"/>
      <c r="FA82" s="98"/>
      <c r="FB82" s="99"/>
      <c r="FC82" s="99"/>
      <c r="FD82" s="100"/>
      <c r="FE82" s="100"/>
      <c r="FF82" s="101"/>
      <c r="FG82" s="101"/>
      <c r="FH82" s="102"/>
      <c r="FI82" s="102"/>
      <c r="FJ82" s="100"/>
      <c r="FK82" s="103"/>
      <c r="FL82" s="104"/>
      <c r="FM82" s="98"/>
      <c r="FN82" s="97"/>
      <c r="FO82" s="97"/>
      <c r="FP82" s="98"/>
      <c r="FQ82" s="99"/>
      <c r="FR82" s="99"/>
      <c r="FS82" s="100"/>
      <c r="FT82" s="100"/>
      <c r="FU82" s="101"/>
      <c r="FV82" s="101"/>
      <c r="FW82" s="102"/>
      <c r="FX82" s="102"/>
      <c r="FY82" s="100"/>
      <c r="FZ82" s="103"/>
      <c r="GA82" s="104"/>
      <c r="GB82" s="98"/>
      <c r="GC82" s="97"/>
      <c r="GD82" s="97"/>
      <c r="GE82" s="98"/>
      <c r="GF82" s="99"/>
      <c r="GG82" s="99"/>
      <c r="GH82" s="100"/>
      <c r="GI82" s="100"/>
      <c r="GJ82" s="101"/>
      <c r="GK82" s="101"/>
      <c r="GL82" s="102"/>
      <c r="GM82" s="102"/>
      <c r="GN82" s="100"/>
      <c r="GO82" s="103"/>
      <c r="GP82" s="104"/>
      <c r="GQ82" s="98"/>
      <c r="GR82" s="97"/>
      <c r="GS82" s="97"/>
      <c r="GT82" s="98"/>
      <c r="GU82" s="99"/>
      <c r="GV82" s="99"/>
      <c r="GW82" s="100"/>
      <c r="GX82" s="100"/>
      <c r="GY82" s="101"/>
      <c r="GZ82" s="101"/>
      <c r="HA82" s="102"/>
      <c r="HB82" s="102"/>
      <c r="HC82" s="100"/>
      <c r="HD82" s="103"/>
      <c r="HE82" s="104"/>
      <c r="HF82" s="98"/>
      <c r="HG82" s="97"/>
      <c r="HH82" s="97"/>
      <c r="HI82" s="98"/>
      <c r="HJ82" s="99"/>
      <c r="HK82" s="99"/>
      <c r="HL82" s="100"/>
      <c r="HM82" s="100"/>
      <c r="HN82" s="101"/>
      <c r="HO82" s="101"/>
      <c r="HP82" s="102"/>
      <c r="HQ82" s="102"/>
      <c r="HR82" s="100"/>
      <c r="HS82" s="103"/>
      <c r="HT82" s="104"/>
      <c r="HU82" s="98"/>
      <c r="HV82" s="97"/>
      <c r="HW82" s="97"/>
      <c r="HX82" s="98"/>
      <c r="HY82" s="99"/>
      <c r="HZ82" s="99"/>
      <c r="IA82" s="100"/>
      <c r="IB82" s="100"/>
      <c r="IC82" s="101"/>
      <c r="ID82" s="101"/>
      <c r="IE82" s="102"/>
      <c r="IF82" s="102"/>
      <c r="IG82" s="100"/>
      <c r="IH82" s="103"/>
      <c r="II82" s="104"/>
    </row>
    <row r="83" spans="1:243" ht="13.2" thickTop="1" x14ac:dyDescent="0.3">
      <c r="A83" s="138" t="s">
        <v>172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5">
      <c r="A84" s="35" t="s">
        <v>173</v>
      </c>
      <c r="B84" s="36" t="s">
        <v>174</v>
      </c>
      <c r="C84" s="40">
        <v>368326244</v>
      </c>
      <c r="D84" s="38">
        <f>C84*J84</f>
        <v>27478758.11353416</v>
      </c>
      <c r="E84" s="39">
        <f>C84*K84</f>
        <v>23181167.578730155</v>
      </c>
      <c r="F84" s="40" t="s">
        <v>175</v>
      </c>
      <c r="G84" s="40">
        <v>1.3</v>
      </c>
      <c r="H84" s="42">
        <v>1.9824999999999999</v>
      </c>
      <c r="I84" s="42">
        <v>1.9824999999999999</v>
      </c>
      <c r="J84" s="44">
        <f>I84/$J$5</f>
        <v>7.4604399119423487E-2</v>
      </c>
      <c r="K84" s="45">
        <f>I84/$K$4</f>
        <v>6.2936507936507929E-2</v>
      </c>
      <c r="L84" s="46">
        <f>I84-H84</f>
        <v>0</v>
      </c>
      <c r="M84" s="46">
        <f>((I84-H84)/H84*100)</f>
        <v>0</v>
      </c>
      <c r="N84" s="105">
        <v>100</v>
      </c>
      <c r="O84" s="106">
        <v>198.25</v>
      </c>
      <c r="P84" s="51">
        <f>(R84)/J84</f>
        <v>0</v>
      </c>
      <c r="Q84" s="49">
        <f>I84/G84-1</f>
        <v>0.52499999999999991</v>
      </c>
      <c r="R84" s="52"/>
    </row>
    <row r="85" spans="1:243" s="107" customFormat="1" ht="12.6" thickBot="1" x14ac:dyDescent="0.3">
      <c r="A85" s="35" t="s">
        <v>176</v>
      </c>
      <c r="B85" s="36" t="s">
        <v>177</v>
      </c>
      <c r="C85" s="40">
        <v>1841105000</v>
      </c>
      <c r="D85" s="38">
        <f>C85*J85</f>
        <v>74826800.005456567</v>
      </c>
      <c r="E85" s="39">
        <f>C85*K85</f>
        <v>63124126.029999994</v>
      </c>
      <c r="F85" s="40" t="s">
        <v>175</v>
      </c>
      <c r="G85" s="40">
        <v>1.44347</v>
      </c>
      <c r="H85" s="42">
        <v>1.0799859999999999</v>
      </c>
      <c r="I85" s="42">
        <v>1.080009</v>
      </c>
      <c r="J85" s="44">
        <f>I85/$J$5</f>
        <v>4.064233164618887E-2</v>
      </c>
      <c r="K85" s="45">
        <f>I85/$K$4</f>
        <v>3.4285999999999997E-2</v>
      </c>
      <c r="L85" s="46">
        <f>I85-H85</f>
        <v>2.3000000000106269E-5</v>
      </c>
      <c r="M85" s="46">
        <f>((I85-H85)/H85*100)</f>
        <v>2.1296572363073475E-3</v>
      </c>
      <c r="N85" s="105">
        <v>3292107</v>
      </c>
      <c r="O85" s="106">
        <v>3555543.8250000002</v>
      </c>
      <c r="P85" s="48">
        <f>(R85)/J85</f>
        <v>5.354023531285388E-2</v>
      </c>
      <c r="Q85" s="49">
        <f>I85/G85-1</f>
        <v>-0.2517967120896174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78"/>
      <c r="B86" s="79"/>
      <c r="C86" s="80"/>
      <c r="D86" s="108"/>
      <c r="E86" s="81"/>
      <c r="F86" s="80"/>
      <c r="G86" s="80"/>
      <c r="H86" s="82"/>
      <c r="I86" s="82"/>
      <c r="J86" s="82"/>
      <c r="K86" s="82"/>
      <c r="L86" s="83"/>
      <c r="M86" s="83"/>
      <c r="N86" s="83"/>
      <c r="O86" s="83"/>
      <c r="P86" s="83"/>
      <c r="Q86" s="86"/>
    </row>
    <row r="87" spans="1:243" ht="12.6" thickBot="1" x14ac:dyDescent="0.3">
      <c r="A87" s="109"/>
      <c r="B87" s="110"/>
      <c r="C87" s="110"/>
      <c r="D87" s="110"/>
      <c r="E87" s="110"/>
      <c r="F87" s="111"/>
      <c r="G87" s="111"/>
      <c r="H87" s="59"/>
      <c r="M87" s="112"/>
      <c r="N87" s="112"/>
      <c r="O87" s="59"/>
      <c r="P87" s="59"/>
      <c r="Q87" s="113"/>
    </row>
    <row r="88" spans="1:243" ht="15" customHeight="1" thickBot="1" x14ac:dyDescent="0.3">
      <c r="A88" s="142" t="s">
        <v>178</v>
      </c>
      <c r="B88" s="143"/>
      <c r="C88" s="143"/>
      <c r="D88" s="144"/>
      <c r="E88" s="142" t="s">
        <v>179</v>
      </c>
      <c r="F88" s="143"/>
      <c r="G88" s="143"/>
      <c r="H88" s="144"/>
      <c r="I88" s="52"/>
      <c r="J88" s="114" t="s">
        <v>180</v>
      </c>
      <c r="K88" s="115"/>
      <c r="L88" s="116"/>
      <c r="M88" s="114" t="s">
        <v>181</v>
      </c>
      <c r="N88" s="115"/>
      <c r="O88" s="116"/>
      <c r="Q88" s="16"/>
    </row>
    <row r="89" spans="1:243" ht="15" customHeight="1" x14ac:dyDescent="0.25">
      <c r="A89" s="35" t="s">
        <v>42</v>
      </c>
      <c r="B89" s="117">
        <v>23.5138</v>
      </c>
      <c r="D89" s="117">
        <v>7.6146453089244766</v>
      </c>
      <c r="E89" s="35" t="s">
        <v>50</v>
      </c>
      <c r="F89" s="118">
        <v>4.292338</v>
      </c>
      <c r="H89" s="119">
        <v>-7.4927155172413729</v>
      </c>
      <c r="J89" s="35" t="s">
        <v>148</v>
      </c>
      <c r="K89" s="51">
        <v>0.1077</v>
      </c>
      <c r="L89" s="120">
        <v>6.1083743842364502</v>
      </c>
      <c r="M89" s="59" t="s">
        <v>119</v>
      </c>
      <c r="N89" s="118">
        <v>0.13159999999999999</v>
      </c>
      <c r="O89" s="119">
        <v>-14.76683937823835</v>
      </c>
      <c r="Q89" s="16"/>
    </row>
    <row r="90" spans="1:243" ht="15" customHeight="1" x14ac:dyDescent="0.25">
      <c r="A90" s="35" t="s">
        <v>113</v>
      </c>
      <c r="B90" s="117">
        <v>0.93733299999999997</v>
      </c>
      <c r="D90" s="117">
        <v>5.3183146067415681</v>
      </c>
      <c r="E90" s="35" t="s">
        <v>95</v>
      </c>
      <c r="F90" s="118">
        <v>3.2467000000000003E-2</v>
      </c>
      <c r="H90" s="119">
        <v>-3.9835571065239272</v>
      </c>
      <c r="J90" s="35" t="s">
        <v>140</v>
      </c>
      <c r="K90" s="51">
        <v>0.41699999999999998</v>
      </c>
      <c r="L90" s="120">
        <v>0.24038461538461561</v>
      </c>
      <c r="M90" s="59" t="s">
        <v>135</v>
      </c>
      <c r="N90" s="118">
        <v>14.8704</v>
      </c>
      <c r="O90" s="119">
        <v>-9.8763636363636351</v>
      </c>
      <c r="Q90" s="16"/>
    </row>
    <row r="91" spans="1:243" ht="15" customHeight="1" x14ac:dyDescent="0.25">
      <c r="A91" s="35" t="s">
        <v>90</v>
      </c>
      <c r="B91" s="117">
        <v>1.55</v>
      </c>
      <c r="C91" s="117"/>
      <c r="D91" s="117">
        <v>0.6493506493506499</v>
      </c>
      <c r="E91" s="35" t="s">
        <v>52</v>
      </c>
      <c r="F91" s="118">
        <v>31.825599999999998</v>
      </c>
      <c r="H91" s="119">
        <v>-1.6724938583155931</v>
      </c>
      <c r="J91" s="35"/>
      <c r="K91" s="51"/>
      <c r="L91" s="120"/>
      <c r="M91" s="35" t="s">
        <v>123</v>
      </c>
      <c r="N91" s="118">
        <v>0.22889999999999999</v>
      </c>
      <c r="O91" s="119">
        <v>-7.1776155717761636</v>
      </c>
      <c r="Q91" s="16"/>
    </row>
    <row r="92" spans="1:243" ht="15" customHeight="1" x14ac:dyDescent="0.25">
      <c r="A92" s="35" t="s">
        <v>97</v>
      </c>
      <c r="B92" s="117">
        <v>4.6399999999999997</v>
      </c>
      <c r="C92" s="117"/>
      <c r="D92" s="117">
        <v>0.44692386707668114</v>
      </c>
      <c r="E92" s="35" t="s">
        <v>35</v>
      </c>
      <c r="F92" s="118">
        <v>7.4999999999999997E-2</v>
      </c>
      <c r="H92" s="119">
        <v>-1.3157894736842117</v>
      </c>
      <c r="J92" s="35"/>
      <c r="K92" s="51"/>
      <c r="L92" s="120"/>
      <c r="M92" s="35" t="s">
        <v>121</v>
      </c>
      <c r="N92" s="118">
        <v>39.957000000000001</v>
      </c>
      <c r="O92" s="119">
        <v>-6.7316512958411181</v>
      </c>
      <c r="Q92" s="16"/>
    </row>
    <row r="93" spans="1:243" ht="15" customHeight="1" x14ac:dyDescent="0.25">
      <c r="A93" s="35" t="s">
        <v>32</v>
      </c>
      <c r="B93" s="117">
        <v>15.024700000000001</v>
      </c>
      <c r="C93" s="117"/>
      <c r="D93" s="117">
        <v>0.16466666666667371</v>
      </c>
      <c r="E93" s="35" t="s">
        <v>93</v>
      </c>
      <c r="F93" s="118">
        <v>4.9107060000000002</v>
      </c>
      <c r="G93" s="118"/>
      <c r="H93" s="119">
        <v>-0.86997807543011896</v>
      </c>
      <c r="J93" s="35"/>
      <c r="K93" s="51"/>
      <c r="L93" s="120"/>
      <c r="M93" s="35" t="s">
        <v>142</v>
      </c>
      <c r="N93" s="118">
        <v>0.72989999999999999</v>
      </c>
      <c r="O93" s="119">
        <v>-2.406738868832734</v>
      </c>
      <c r="Q93" s="16"/>
    </row>
    <row r="94" spans="1:243" ht="15.75" customHeight="1" thickBot="1" x14ac:dyDescent="0.3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5">
      <c r="A95" s="124"/>
      <c r="B95" s="125"/>
      <c r="C95" s="125"/>
      <c r="D95" s="125"/>
      <c r="E95" s="112"/>
      <c r="F95" s="112"/>
      <c r="G95" s="112"/>
      <c r="H95" s="112"/>
      <c r="I95" s="112"/>
      <c r="J95" s="112"/>
      <c r="K95" s="112"/>
      <c r="L95" s="112"/>
      <c r="M95" s="125"/>
      <c r="Q95" s="16"/>
    </row>
    <row r="96" spans="1:243" x14ac:dyDescent="0.25">
      <c r="A96" s="12" t="s">
        <v>182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4"/>
      <c r="B97" s="125"/>
      <c r="C97" s="125"/>
      <c r="D97" s="125"/>
      <c r="E97" s="125"/>
      <c r="F97" s="112"/>
      <c r="G97" s="112"/>
      <c r="H97" s="125"/>
      <c r="I97" s="112"/>
      <c r="J97" s="112"/>
      <c r="K97" s="112"/>
      <c r="L97" s="112"/>
      <c r="M97" s="125"/>
      <c r="Q97" s="16"/>
    </row>
    <row r="98" spans="1:17" ht="12.6" thickBot="1" x14ac:dyDescent="0.3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2"/>
      <c r="J102" s="132"/>
      <c r="K102" s="132"/>
      <c r="O102" s="132"/>
      <c r="P102" s="132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2"/>
      <c r="J105" s="132"/>
      <c r="K105" s="132"/>
      <c r="O105" s="132"/>
      <c r="P105" s="132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2"/>
      <c r="J107" s="132"/>
      <c r="K107" s="132"/>
      <c r="O107" s="132"/>
      <c r="P107" s="132"/>
    </row>
  </sheetData>
  <sheetProtection algorithmName="SHA-512" hashValue="sTmxEpT0IlC5N+reKsLrZG6xdOAcvcvgDdRvaVm69TjEfQJORc61HgrjUZLvHGwzJr+9jdTPKqwkiVn0jjmfug==" saltValue="xHddIl+JNyx0ucTXpc6AeA==" spinCount="100000" sheet="1" objects="1" scenarios="1"/>
  <mergeCells count="10">
    <mergeCell ref="A77:Q77"/>
    <mergeCell ref="A83:Q83"/>
    <mergeCell ref="A88:D88"/>
    <mergeCell ref="E88:H88"/>
    <mergeCell ref="L5:M5"/>
    <mergeCell ref="A6:Q6"/>
    <mergeCell ref="A49:Q49"/>
    <mergeCell ref="A67:Q67"/>
    <mergeCell ref="A70:Q70"/>
    <mergeCell ref="A74:Q74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2026-08-12T13:31:39Z</dcterms:created>
  <dcterms:modified xsi:type="dcterms:W3CDTF">2026-08-12T14:13:32Z</dcterms:modified>
</cp:coreProperties>
</file>