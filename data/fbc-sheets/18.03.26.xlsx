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18.03.26/"/>
    </mc:Choice>
  </mc:AlternateContent>
  <xr:revisionPtr revIDLastSave="0" documentId="8_{0408CB9F-3E59-4DB1-81BE-462B3E2C6FB7}" xr6:coauthVersionLast="47" xr6:coauthVersionMax="47" xr10:uidLastSave="{00000000-0000-0000-0000-000000000000}"/>
  <bookViews>
    <workbookView xWindow="-108" yWindow="-108" windowWidth="23256" windowHeight="12456" xr2:uid="{B78B2265-0F48-410C-AD84-A664DFCAA872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J81" i="1"/>
  <c r="E81" i="1"/>
  <c r="D81" i="1"/>
  <c r="O79" i="1"/>
  <c r="N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6" i="1"/>
  <c r="M76" i="1"/>
  <c r="L76" i="1"/>
  <c r="K76" i="1"/>
  <c r="E76" i="1" s="1"/>
  <c r="J76" i="1"/>
  <c r="D76" i="1"/>
  <c r="Q75" i="1"/>
  <c r="M75" i="1"/>
  <c r="L75" i="1"/>
  <c r="K75" i="1"/>
  <c r="J75" i="1"/>
  <c r="E75" i="1"/>
  <c r="D75" i="1"/>
  <c r="O73" i="1"/>
  <c r="N73" i="1"/>
  <c r="M72" i="1"/>
  <c r="L72" i="1"/>
  <c r="J72" i="1"/>
  <c r="Q72" i="1" s="1"/>
  <c r="D72" i="1"/>
  <c r="Q71" i="1"/>
  <c r="M71" i="1"/>
  <c r="L71" i="1"/>
  <c r="J71" i="1"/>
  <c r="K71" i="1" s="1"/>
  <c r="E71" i="1" s="1"/>
  <c r="M68" i="1"/>
  <c r="L68" i="1"/>
  <c r="D68" i="1"/>
  <c r="O66" i="1"/>
  <c r="N66" i="1"/>
  <c r="Q65" i="1"/>
  <c r="P65" i="1"/>
  <c r="M65" i="1"/>
  <c r="L65" i="1"/>
  <c r="J65" i="1"/>
  <c r="D65" i="1" s="1"/>
  <c r="M64" i="1"/>
  <c r="L64" i="1"/>
  <c r="J64" i="1"/>
  <c r="P64" i="1" s="1"/>
  <c r="D64" i="1"/>
  <c r="Q63" i="1"/>
  <c r="P63" i="1"/>
  <c r="M63" i="1"/>
  <c r="L63" i="1"/>
  <c r="J63" i="1"/>
  <c r="D63" i="1" s="1"/>
  <c r="M62" i="1"/>
  <c r="L62" i="1"/>
  <c r="J62" i="1"/>
  <c r="P62" i="1" s="1"/>
  <c r="D62" i="1"/>
  <c r="Q61" i="1"/>
  <c r="P61" i="1"/>
  <c r="M61" i="1"/>
  <c r="L61" i="1"/>
  <c r="J61" i="1"/>
  <c r="D61" i="1" s="1"/>
  <c r="M60" i="1"/>
  <c r="L60" i="1"/>
  <c r="J60" i="1"/>
  <c r="P60" i="1" s="1"/>
  <c r="D60" i="1"/>
  <c r="Q59" i="1"/>
  <c r="P59" i="1"/>
  <c r="M59" i="1"/>
  <c r="L59" i="1"/>
  <c r="J59" i="1"/>
  <c r="D59" i="1" s="1"/>
  <c r="M58" i="1"/>
  <c r="L58" i="1"/>
  <c r="J58" i="1"/>
  <c r="P58" i="1" s="1"/>
  <c r="D58" i="1"/>
  <c r="Q57" i="1"/>
  <c r="P57" i="1"/>
  <c r="M57" i="1"/>
  <c r="L57" i="1"/>
  <c r="J57" i="1"/>
  <c r="D57" i="1" s="1"/>
  <c r="M56" i="1"/>
  <c r="L56" i="1"/>
  <c r="J56" i="1"/>
  <c r="P56" i="1" s="1"/>
  <c r="D56" i="1"/>
  <c r="Q55" i="1"/>
  <c r="P55" i="1"/>
  <c r="M55" i="1"/>
  <c r="L55" i="1"/>
  <c r="J55" i="1"/>
  <c r="D55" i="1"/>
  <c r="M54" i="1"/>
  <c r="L54" i="1"/>
  <c r="J54" i="1"/>
  <c r="P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E47" i="1" s="1"/>
  <c r="J47" i="1"/>
  <c r="P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M44" i="1"/>
  <c r="L44" i="1"/>
  <c r="K44" i="1"/>
  <c r="E44" i="1" s="1"/>
  <c r="J44" i="1"/>
  <c r="P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T41" i="1"/>
  <c r="U41" i="1" s="1"/>
  <c r="Q41" i="1"/>
  <c r="P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E19" i="1" s="1"/>
  <c r="J19" i="1"/>
  <c r="D19" i="1" s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 s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P12" i="1" l="1"/>
  <c r="Q54" i="1"/>
  <c r="Q56" i="1"/>
  <c r="Q58" i="1"/>
  <c r="Q60" i="1"/>
  <c r="Q62" i="1"/>
  <c r="Q64" i="1"/>
  <c r="D71" i="1"/>
  <c r="K72" i="1"/>
  <c r="E72" i="1" s="1"/>
  <c r="D44" i="1"/>
  <c r="D47" i="1"/>
  <c r="P15" i="1"/>
</calcChain>
</file>

<file path=xl/sharedStrings.xml><?xml version="1.0" encoding="utf-8"?>
<sst xmlns="http://schemas.openxmlformats.org/spreadsheetml/2006/main" count="282" uniqueCount="196">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</sst>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E8AEE4CF-FF76-4E29-9874-F6D872A54D4B}"/>
    <cellStyle name="Comma 5 2 2 2 2 2" xfId="4" xr:uid="{17CD674B-8181-4723-B957-EDF005CF565A}"/>
    <cellStyle name="Comma 6" xfId="5" xr:uid="{E46ADD32-02CB-441A-8A07-BA9EF6223064}"/>
    <cellStyle name="Hyperlink 2" xfId="9" xr:uid="{80E78EEC-A53E-4FB5-B8B9-1B9656E114F6}"/>
    <cellStyle name="Normal" xfId="0" builtinId="0"/>
    <cellStyle name="Normal 2" xfId="2" xr:uid="{62AA59B8-037A-4F1A-8B44-20A969D12853}"/>
    <cellStyle name="Normal 20" xfId="8" xr:uid="{C127B432-9B56-4C51-8977-BEDA23D887C0}"/>
    <cellStyle name="Percent 3" xfId="6" xr:uid="{6361F89A-0B1F-428A-B18A-7349AA34B7D8}"/>
    <cellStyle name="Percent 4" xfId="7" xr:uid="{F28E772A-03E0-4D8A-9FBB-8A5ABD26B0E7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DA7168B-6E28-40FE-B5F4-BE633A91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ECCEA5E-2334-4A80-BF3E-EA1E4C889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B7B0-A2E6-4AEF-A3FA-92935CB3D04D}">
  <dimension ref="A1:IO104"/>
  <sheetViews>
    <sheetView tabSelected="1" zoomScale="70" zoomScaleNormal="70" workbookViewId="0">
      <pane ySplit="7" topLeftCell="A10" activePane="bottomLeft" state="frozen"/>
      <selection pane="bottomLeft" activeCell="A6" sqref="A6:Q6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25.2651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66903997.983384199</v>
      </c>
      <c r="E10" s="40">
        <f t="shared" ref="E10:E30" si="1">C10*K10</f>
        <v>56344539.981666669</v>
      </c>
      <c r="F10" s="41" t="s">
        <v>35</v>
      </c>
      <c r="G10" s="42">
        <v>8.9894999999999996</v>
      </c>
      <c r="H10" s="43">
        <v>13.55</v>
      </c>
      <c r="I10" s="43">
        <v>13.55</v>
      </c>
      <c r="J10" s="44">
        <f>(I10/$J$5)</f>
        <v>0.53631293760958798</v>
      </c>
      <c r="K10" s="45">
        <f t="shared" ref="K10:K30" si="2">I10/$K$4</f>
        <v>0.45166666666666672</v>
      </c>
      <c r="L10" s="46">
        <f t="shared" ref="L10:L30" si="3">I10-H10</f>
        <v>0</v>
      </c>
      <c r="M10" s="46">
        <f t="shared" ref="M10:M30" si="4">((I10-H10)/H10)*100</f>
        <v>0</v>
      </c>
      <c r="N10" s="47">
        <v>21400</v>
      </c>
      <c r="O10" s="38">
        <v>289970</v>
      </c>
      <c r="P10" s="48">
        <f t="shared" ref="P10:P30" si="5">(R10)/J10</f>
        <v>1.8645830258302583E-2</v>
      </c>
      <c r="Q10" s="49">
        <f t="shared" ref="Q10:Q30" si="6">I10/G10-1</f>
        <v>0.50731408865899108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2190034.8793394845</v>
      </c>
      <c r="E11" s="40">
        <f t="shared" si="1"/>
        <v>1844381.6743333335</v>
      </c>
      <c r="F11" s="41" t="s">
        <v>35</v>
      </c>
      <c r="G11" s="42">
        <v>3.1600000000000003E-2</v>
      </c>
      <c r="H11" s="43">
        <v>3.4000000000000002E-2</v>
      </c>
      <c r="I11" s="43">
        <v>3.4000000000000002E-2</v>
      </c>
      <c r="J11" s="44">
        <f t="shared" ref="J11:J30" si="7">I11/$J$5</f>
        <v>1.3457298803487817E-3</v>
      </c>
      <c r="K11" s="45">
        <f t="shared" si="2"/>
        <v>1.1333333333333334E-3</v>
      </c>
      <c r="L11" s="46">
        <f t="shared" si="3"/>
        <v>0</v>
      </c>
      <c r="M11" s="46">
        <f t="shared" si="4"/>
        <v>0</v>
      </c>
      <c r="N11" s="47">
        <v>500</v>
      </c>
      <c r="O11" s="38">
        <v>17</v>
      </c>
      <c r="P11" s="41">
        <f t="shared" si="5"/>
        <v>0</v>
      </c>
      <c r="Q11" s="49">
        <f t="shared" si="6"/>
        <v>7.5949367088607556E-2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4280683.4864101075</v>
      </c>
      <c r="E12" s="40">
        <f t="shared" si="1"/>
        <v>3605063.2117500002</v>
      </c>
      <c r="F12" s="41" t="s">
        <v>42</v>
      </c>
      <c r="G12" s="42">
        <v>7.8E-2</v>
      </c>
      <c r="H12" s="43">
        <v>0.2475</v>
      </c>
      <c r="I12" s="43">
        <v>0.2475</v>
      </c>
      <c r="J12" s="44">
        <f t="shared" si="7"/>
        <v>9.7961219231271594E-3</v>
      </c>
      <c r="K12" s="45">
        <f t="shared" si="2"/>
        <v>8.2500000000000004E-3</v>
      </c>
      <c r="L12" s="46">
        <f t="shared" si="3"/>
        <v>0</v>
      </c>
      <c r="M12" s="46">
        <f t="shared" si="4"/>
        <v>0</v>
      </c>
      <c r="N12" s="47">
        <v>1900</v>
      </c>
      <c r="O12" s="38">
        <v>470.25</v>
      </c>
      <c r="P12" s="41">
        <f t="shared" si="5"/>
        <v>0</v>
      </c>
      <c r="Q12" s="49">
        <f t="shared" si="6"/>
        <v>2.1730769230769229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174361307.87133238</v>
      </c>
      <c r="E13" s="40">
        <f t="shared" si="1"/>
        <v>146841862.65000001</v>
      </c>
      <c r="F13" s="41" t="s">
        <v>35</v>
      </c>
      <c r="G13" s="42">
        <v>97.381</v>
      </c>
      <c r="H13" s="43">
        <v>213.99</v>
      </c>
      <c r="I13" s="43">
        <v>213.5</v>
      </c>
      <c r="J13" s="44">
        <f t="shared" si="7"/>
        <v>8.4503920427783772</v>
      </c>
      <c r="K13" s="45">
        <f t="shared" si="2"/>
        <v>7.1166666666666663</v>
      </c>
      <c r="L13" s="46">
        <f t="shared" si="3"/>
        <v>-0.49000000000000909</v>
      </c>
      <c r="M13" s="46">
        <f t="shared" si="4"/>
        <v>-0.22898266274125381</v>
      </c>
      <c r="N13" s="47">
        <v>100</v>
      </c>
      <c r="O13" s="38">
        <v>21350</v>
      </c>
      <c r="P13" s="55">
        <f t="shared" si="5"/>
        <v>0</v>
      </c>
      <c r="Q13" s="49">
        <f t="shared" si="6"/>
        <v>1.1924194658095524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4494595.4696399383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0.51454377778041649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290580647.25411791</v>
      </c>
      <c r="E15" s="40">
        <f t="shared" si="1"/>
        <v>244718303.69800049</v>
      </c>
      <c r="F15" s="41" t="s">
        <v>53</v>
      </c>
      <c r="G15" s="42">
        <v>11.5</v>
      </c>
      <c r="H15" s="43">
        <v>14.032</v>
      </c>
      <c r="I15" s="43">
        <v>14.046470999999999</v>
      </c>
      <c r="J15" s="44">
        <f t="shared" si="7"/>
        <v>0.55596340406331257</v>
      </c>
      <c r="K15" s="45">
        <f t="shared" si="2"/>
        <v>0.46821569999999996</v>
      </c>
      <c r="L15" s="46">
        <f t="shared" si="3"/>
        <v>1.4470999999998568E-2</v>
      </c>
      <c r="M15" s="46">
        <f t="shared" si="4"/>
        <v>0.10312856328391225</v>
      </c>
      <c r="N15" s="47">
        <v>20400</v>
      </c>
      <c r="O15" s="38">
        <v>286548</v>
      </c>
      <c r="P15" s="48">
        <f t="shared" si="5"/>
        <v>1.4389436321763668E-2</v>
      </c>
      <c r="Q15" s="49">
        <f t="shared" si="6"/>
        <v>0.22143226086956513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25980226.329996716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0.24500199880467524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36983120.564731583</v>
      </c>
      <c r="E17" s="40">
        <f t="shared" si="1"/>
        <v>31146074.645999998</v>
      </c>
      <c r="F17" s="41" t="s">
        <v>35</v>
      </c>
      <c r="G17" s="42">
        <v>1.9</v>
      </c>
      <c r="H17" s="43">
        <v>2.60745</v>
      </c>
      <c r="I17" s="43">
        <v>2.61</v>
      </c>
      <c r="J17" s="44">
        <f t="shared" si="7"/>
        <v>0.10330455846206822</v>
      </c>
      <c r="K17" s="45">
        <f t="shared" si="2"/>
        <v>8.6999999999999994E-2</v>
      </c>
      <c r="L17" s="46">
        <f t="shared" si="3"/>
        <v>2.5499999999998302E-3</v>
      </c>
      <c r="M17" s="46">
        <f t="shared" si="4"/>
        <v>9.7796697923251852E-2</v>
      </c>
      <c r="N17" s="47">
        <v>2100</v>
      </c>
      <c r="O17" s="38">
        <v>5481</v>
      </c>
      <c r="P17" s="41">
        <f t="shared" si="5"/>
        <v>0</v>
      </c>
      <c r="Q17" s="49">
        <f t="shared" si="6"/>
        <v>0.37368421052631584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1354090800.64587</v>
      </c>
      <c r="E18" s="40">
        <f t="shared" si="1"/>
        <v>1140374649.5799325</v>
      </c>
      <c r="F18" s="41" t="s">
        <v>35</v>
      </c>
      <c r="G18" s="42">
        <v>20.701700000000002</v>
      </c>
      <c r="H18" s="43">
        <v>25.516697000000001</v>
      </c>
      <c r="I18" s="43">
        <v>25.500064999999999</v>
      </c>
      <c r="J18" s="44">
        <f t="shared" si="7"/>
        <v>1.009299982980475</v>
      </c>
      <c r="K18" s="45">
        <f t="shared" si="2"/>
        <v>0.85000216666666661</v>
      </c>
      <c r="L18" s="46">
        <f t="shared" si="3"/>
        <v>-1.6632000000001312E-2</v>
      </c>
      <c r="M18" s="46">
        <f t="shared" si="4"/>
        <v>-6.5180850013625627E-2</v>
      </c>
      <c r="N18" s="47">
        <v>5089700</v>
      </c>
      <c r="O18" s="38">
        <v>129787680.45</v>
      </c>
      <c r="P18" s="48">
        <f t="shared" si="5"/>
        <v>3.9631428390476654E-2</v>
      </c>
      <c r="Q18" s="49">
        <f t="shared" si="6"/>
        <v>0.23178603689552046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1185434824.8115137</v>
      </c>
      <c r="E19" s="40">
        <f t="shared" si="1"/>
        <v>998337646.41151249</v>
      </c>
      <c r="F19" s="41" t="s">
        <v>64</v>
      </c>
      <c r="G19" s="42">
        <v>6.1399460000000001</v>
      </c>
      <c r="H19" s="43">
        <v>10.058731999999999</v>
      </c>
      <c r="I19" s="43">
        <v>10.009524000000001</v>
      </c>
      <c r="J19" s="44">
        <f t="shared" si="7"/>
        <v>0.3961798686725958</v>
      </c>
      <c r="K19" s="45">
        <f t="shared" si="2"/>
        <v>0.33365080000000003</v>
      </c>
      <c r="L19" s="46">
        <f t="shared" si="3"/>
        <v>-4.9207999999998364E-2</v>
      </c>
      <c r="M19" s="46">
        <f t="shared" si="4"/>
        <v>-0.48920679067697964</v>
      </c>
      <c r="N19" s="47">
        <v>4200</v>
      </c>
      <c r="O19" s="38">
        <v>42040</v>
      </c>
      <c r="P19" s="48">
        <f t="shared" si="5"/>
        <v>6.2093008618591655E-2</v>
      </c>
      <c r="Q19" s="49">
        <f t="shared" si="6"/>
        <v>0.63022997270660053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265959733.78296542</v>
      </c>
      <c r="E20" s="40">
        <f t="shared" si="1"/>
        <v>223983309</v>
      </c>
      <c r="F20" s="41" t="s">
        <v>53</v>
      </c>
      <c r="G20" s="42">
        <v>12.45</v>
      </c>
      <c r="H20" s="43">
        <v>11.5</v>
      </c>
      <c r="I20" s="43">
        <v>10</v>
      </c>
      <c r="J20" s="44">
        <f t="shared" si="7"/>
        <v>0.39580290598493573</v>
      </c>
      <c r="K20" s="45">
        <f t="shared" si="2"/>
        <v>0.33333333333333331</v>
      </c>
      <c r="L20" s="46">
        <f t="shared" si="3"/>
        <v>-1.5</v>
      </c>
      <c r="M20" s="46">
        <f t="shared" si="4"/>
        <v>-13.043478260869565</v>
      </c>
      <c r="N20" s="47">
        <v>100</v>
      </c>
      <c r="O20" s="38">
        <v>1000</v>
      </c>
      <c r="P20" s="48">
        <f t="shared" si="5"/>
        <v>1.6169664E-2</v>
      </c>
      <c r="Q20" s="49">
        <f t="shared" si="6"/>
        <v>-0.19678714859437751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2241832.0655766255</v>
      </c>
      <c r="E21" s="40">
        <f t="shared" si="1"/>
        <v>1888003.7106666665</v>
      </c>
      <c r="F21" s="41" t="s">
        <v>53</v>
      </c>
      <c r="G21" s="42">
        <v>0.35</v>
      </c>
      <c r="H21" s="43">
        <v>0.52</v>
      </c>
      <c r="I21" s="43">
        <v>0.52</v>
      </c>
      <c r="J21" s="44">
        <f t="shared" si="7"/>
        <v>2.058175111121666E-2</v>
      </c>
      <c r="K21" s="45">
        <f t="shared" si="2"/>
        <v>1.7333333333333333E-2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5">
        <f t="shared" si="5"/>
        <v>0</v>
      </c>
      <c r="Q21" s="49">
        <f t="shared" si="6"/>
        <v>0.48571428571428577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114172947.97495359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0.16543374061452359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53312730.395767279</v>
      </c>
      <c r="E23" s="40">
        <f t="shared" si="1"/>
        <v>44898382.157403335</v>
      </c>
      <c r="F23" s="41" t="s">
        <v>76</v>
      </c>
      <c r="G23" s="42">
        <v>0.88420599999999994</v>
      </c>
      <c r="H23" s="43">
        <v>1.0896999999999999</v>
      </c>
      <c r="I23" s="43">
        <v>1.0896999999999999</v>
      </c>
      <c r="J23" s="44">
        <f t="shared" si="7"/>
        <v>4.3130642665178444E-2</v>
      </c>
      <c r="K23" s="45">
        <f t="shared" si="2"/>
        <v>3.6323333333333332E-2</v>
      </c>
      <c r="L23" s="46">
        <f t="shared" si="3"/>
        <v>0</v>
      </c>
      <c r="M23" s="46">
        <f t="shared" si="4"/>
        <v>0</v>
      </c>
      <c r="N23" s="47">
        <v>0</v>
      </c>
      <c r="O23" s="38">
        <v>0</v>
      </c>
      <c r="P23" s="41">
        <f t="shared" si="5"/>
        <v>0</v>
      </c>
      <c r="Q23" s="49">
        <f t="shared" si="6"/>
        <v>0.23240511826429588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2123833.3630185514</v>
      </c>
      <c r="E24" s="40">
        <f t="shared" si="1"/>
        <v>1788628.7433333334</v>
      </c>
      <c r="F24" s="41" t="s">
        <v>49</v>
      </c>
      <c r="G24" s="42">
        <v>0.1</v>
      </c>
      <c r="H24" s="43">
        <v>0.1</v>
      </c>
      <c r="I24" s="43">
        <v>0.1</v>
      </c>
      <c r="J24" s="44">
        <f t="shared" si="7"/>
        <v>3.9580290598493573E-3</v>
      </c>
      <c r="K24" s="45">
        <f t="shared" si="2"/>
        <v>3.3333333333333335E-3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0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56996802.613961548</v>
      </c>
      <c r="E25" s="40">
        <f t="shared" si="1"/>
        <v>48000997.257399999</v>
      </c>
      <c r="F25" s="41" t="s">
        <v>35</v>
      </c>
      <c r="G25" s="42">
        <v>8.1687659999999997</v>
      </c>
      <c r="H25" s="43">
        <v>7.46</v>
      </c>
      <c r="I25" s="43">
        <v>7.4604999999999997</v>
      </c>
      <c r="J25" s="44">
        <f t="shared" si="7"/>
        <v>0.29528875801006127</v>
      </c>
      <c r="K25" s="45">
        <f t="shared" si="2"/>
        <v>0.24868333333333331</v>
      </c>
      <c r="L25" s="46">
        <f t="shared" si="3"/>
        <v>4.9999999999972289E-4</v>
      </c>
      <c r="M25" s="46">
        <f t="shared" si="4"/>
        <v>6.7024128686289939E-3</v>
      </c>
      <c r="N25" s="47">
        <v>200</v>
      </c>
      <c r="O25" s="38">
        <v>1492.1</v>
      </c>
      <c r="P25" s="41">
        <f t="shared" si="5"/>
        <v>0</v>
      </c>
      <c r="Q25" s="49">
        <f t="shared" si="6"/>
        <v>-8.6704160701873478E-2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80053885.98448056</v>
      </c>
      <c r="E26" s="40">
        <f t="shared" si="1"/>
        <v>67418981.159549996</v>
      </c>
      <c r="F26" s="41" t="s">
        <v>76</v>
      </c>
      <c r="G26" s="42">
        <v>1.6675</v>
      </c>
      <c r="H26" s="43">
        <v>1.180083</v>
      </c>
      <c r="I26" s="43">
        <v>1.1984999999999999</v>
      </c>
      <c r="J26" s="44">
        <f t="shared" si="7"/>
        <v>4.7436978282294547E-2</v>
      </c>
      <c r="K26" s="45">
        <f t="shared" si="2"/>
        <v>3.9949999999999999E-2</v>
      </c>
      <c r="L26" s="46">
        <f t="shared" si="3"/>
        <v>1.8416999999999906E-2</v>
      </c>
      <c r="M26" s="46">
        <f t="shared" si="4"/>
        <v>1.5606529371239062</v>
      </c>
      <c r="N26" s="47">
        <v>1000</v>
      </c>
      <c r="O26" s="38">
        <v>1198.5</v>
      </c>
      <c r="P26" s="55">
        <f t="shared" si="5"/>
        <v>0</v>
      </c>
      <c r="Q26" s="49">
        <f t="shared" si="6"/>
        <v>-0.2812593703148426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17363030.6659186</v>
      </c>
      <c r="E27" s="40">
        <f t="shared" si="1"/>
        <v>14622623.535916667</v>
      </c>
      <c r="F27" s="41" t="s">
        <v>49</v>
      </c>
      <c r="G27" s="42">
        <v>1.7994999999999999</v>
      </c>
      <c r="H27" s="43">
        <v>1.8325</v>
      </c>
      <c r="I27" s="43">
        <v>1.8325</v>
      </c>
      <c r="J27" s="44">
        <f t="shared" si="7"/>
        <v>7.2530882521739476E-2</v>
      </c>
      <c r="K27" s="45">
        <f t="shared" si="2"/>
        <v>6.1083333333333337E-2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1.8338427340928165E-2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30415562.297398388</v>
      </c>
      <c r="E28" s="40">
        <f t="shared" si="1"/>
        <v>25615074.100000001</v>
      </c>
      <c r="F28" s="41" t="s">
        <v>35</v>
      </c>
      <c r="G28" s="42">
        <v>3.1361369999999997</v>
      </c>
      <c r="H28" s="43">
        <v>3</v>
      </c>
      <c r="I28" s="43">
        <v>3</v>
      </c>
      <c r="J28" s="44">
        <f t="shared" si="7"/>
        <v>0.11874087179548072</v>
      </c>
      <c r="K28" s="45">
        <f t="shared" si="2"/>
        <v>0.1</v>
      </c>
      <c r="L28" s="46">
        <f t="shared" si="3"/>
        <v>0</v>
      </c>
      <c r="M28" s="46">
        <f t="shared" si="4"/>
        <v>0</v>
      </c>
      <c r="N28" s="47">
        <v>0</v>
      </c>
      <c r="O28" s="38">
        <v>0</v>
      </c>
      <c r="P28" s="48">
        <f t="shared" si="5"/>
        <v>0.12632550000000001</v>
      </c>
      <c r="Q28" s="49">
        <f t="shared" si="6"/>
        <v>-4.3409136781970892E-2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22435137.714634772</v>
      </c>
      <c r="E29" s="40">
        <f t="shared" si="1"/>
        <v>18894199.929133967</v>
      </c>
      <c r="F29" s="41" t="s">
        <v>49</v>
      </c>
      <c r="G29" s="42">
        <v>0.8</v>
      </c>
      <c r="H29" s="43">
        <v>0.75011899999999998</v>
      </c>
      <c r="I29" s="43">
        <v>0.75011899999999998</v>
      </c>
      <c r="J29" s="44">
        <f t="shared" si="7"/>
        <v>2.96899280034514E-2</v>
      </c>
      <c r="K29" s="45">
        <f t="shared" si="2"/>
        <v>2.5003966666666665E-2</v>
      </c>
      <c r="L29" s="46">
        <f t="shared" si="3"/>
        <v>0</v>
      </c>
      <c r="M29" s="46">
        <f t="shared" si="4"/>
        <v>0</v>
      </c>
      <c r="N29" s="47">
        <v>0</v>
      </c>
      <c r="O29" s="38">
        <v>0</v>
      </c>
      <c r="P29" s="41">
        <f t="shared" si="5"/>
        <v>0</v>
      </c>
      <c r="Q29" s="49">
        <f t="shared" si="6"/>
        <v>-6.235125000000008E-2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79986164.511519834</v>
      </c>
      <c r="E30" s="40">
        <f t="shared" si="1"/>
        <v>67361948.166666657</v>
      </c>
      <c r="F30" s="41" t="s">
        <v>53</v>
      </c>
      <c r="G30" s="42">
        <v>5.15</v>
      </c>
      <c r="H30" s="43">
        <v>5.0199999999999996</v>
      </c>
      <c r="I30" s="43">
        <v>5</v>
      </c>
      <c r="J30" s="44">
        <f t="shared" si="7"/>
        <v>0.19790145299246786</v>
      </c>
      <c r="K30" s="45">
        <f t="shared" si="2"/>
        <v>0.16666666666666666</v>
      </c>
      <c r="L30" s="46">
        <f t="shared" si="3"/>
        <v>-1.9999999999999574E-2</v>
      </c>
      <c r="M30" s="46">
        <f t="shared" si="4"/>
        <v>-0.39840637450198363</v>
      </c>
      <c r="N30" s="47">
        <v>33400</v>
      </c>
      <c r="O30" s="38">
        <v>167000</v>
      </c>
      <c r="P30" s="55">
        <f t="shared" si="5"/>
        <v>0</v>
      </c>
      <c r="Q30" s="49">
        <f t="shared" si="6"/>
        <v>-2.9126213592233108E-2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14270356.732251685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4.5000415593051289E-3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13165545.578683639</v>
      </c>
      <c r="E33" s="40">
        <f t="shared" si="9"/>
        <v>11087627.52</v>
      </c>
      <c r="F33" s="41" t="s">
        <v>42</v>
      </c>
      <c r="G33" s="42">
        <v>1.4</v>
      </c>
      <c r="H33" s="43">
        <v>1.28</v>
      </c>
      <c r="I33" s="43">
        <v>1.28</v>
      </c>
      <c r="J33" s="44">
        <f t="shared" si="10"/>
        <v>5.0662771966071773E-2</v>
      </c>
      <c r="K33" s="45">
        <f t="shared" si="11"/>
        <v>4.2666666666666665E-2</v>
      </c>
      <c r="L33" s="46">
        <f t="shared" si="12"/>
        <v>0</v>
      </c>
      <c r="M33" s="46">
        <f t="shared" si="13"/>
        <v>0</v>
      </c>
      <c r="N33" s="47">
        <v>0</v>
      </c>
      <c r="O33" s="38">
        <v>0</v>
      </c>
      <c r="P33" s="55">
        <f t="shared" si="14"/>
        <v>0</v>
      </c>
      <c r="Q33" s="49">
        <f t="shared" si="15"/>
        <v>-8.5714285714285632E-2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3622471.4131351151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2.968521794887018E-2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129429922.18966301</v>
      </c>
      <c r="E35" s="40">
        <f t="shared" si="9"/>
        <v>109001997.57046849</v>
      </c>
      <c r="F35" s="41" t="s">
        <v>108</v>
      </c>
      <c r="G35" s="42">
        <v>1.44</v>
      </c>
      <c r="H35" s="43">
        <v>1.17</v>
      </c>
      <c r="I35" s="43">
        <v>1.3103849999999999</v>
      </c>
      <c r="J35" s="44">
        <f t="shared" si="10"/>
        <v>5.1865419095907001E-2</v>
      </c>
      <c r="K35" s="45">
        <f t="shared" si="11"/>
        <v>4.3679499999999996E-2</v>
      </c>
      <c r="L35" s="46">
        <f t="shared" si="12"/>
        <v>0.14038499999999998</v>
      </c>
      <c r="M35" s="46">
        <f t="shared" si="13"/>
        <v>11.998717948717948</v>
      </c>
      <c r="N35" s="47">
        <v>2600</v>
      </c>
      <c r="O35" s="38">
        <v>3407</v>
      </c>
      <c r="P35" s="55">
        <f t="shared" si="14"/>
        <v>0</v>
      </c>
      <c r="Q35" s="49">
        <f t="shared" si="15"/>
        <v>-9.0010416666666648E-2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40600224.61616502</v>
      </c>
      <c r="E36" s="40">
        <f t="shared" si="9"/>
        <v>34192291.164995693</v>
      </c>
      <c r="F36" s="41" t="s">
        <v>35</v>
      </c>
      <c r="G36" s="42">
        <v>3.6056249999999999</v>
      </c>
      <c r="H36" s="43">
        <v>4.3</v>
      </c>
      <c r="I36" s="43">
        <v>4.0465369999999998</v>
      </c>
      <c r="J36" s="44">
        <f t="shared" si="10"/>
        <v>0.16016311037755637</v>
      </c>
      <c r="K36" s="45">
        <f t="shared" si="11"/>
        <v>0.13488456666666665</v>
      </c>
      <c r="L36" s="46">
        <f t="shared" si="12"/>
        <v>-0.25346299999999999</v>
      </c>
      <c r="M36" s="46">
        <f t="shared" si="13"/>
        <v>-5.8944883720930239</v>
      </c>
      <c r="N36" s="47">
        <v>221700</v>
      </c>
      <c r="O36" s="38">
        <v>897117.25</v>
      </c>
      <c r="P36" s="62">
        <f t="shared" si="14"/>
        <v>5.681707840556012E-2</v>
      </c>
      <c r="Q36" s="49">
        <f t="shared" si="15"/>
        <v>0.12228448604610853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6531853.8996481318</v>
      </c>
      <c r="E37" s="40">
        <f t="shared" si="9"/>
        <v>5500931.3986666668</v>
      </c>
      <c r="F37" s="41" t="s">
        <v>35</v>
      </c>
      <c r="G37" s="42">
        <v>2.5099999999999997E-2</v>
      </c>
      <c r="H37" s="43">
        <v>3.4986999999999997E-2</v>
      </c>
      <c r="I37" s="43">
        <v>3.5000000000000003E-2</v>
      </c>
      <c r="J37" s="44">
        <f t="shared" si="10"/>
        <v>1.3853101709472753E-3</v>
      </c>
      <c r="K37" s="45">
        <f t="shared" si="11"/>
        <v>1.1666666666666668E-3</v>
      </c>
      <c r="L37" s="46">
        <f t="shared" si="12"/>
        <v>1.3000000000006062E-5</v>
      </c>
      <c r="M37" s="46">
        <f t="shared" si="13"/>
        <v>3.7156658187344052E-2</v>
      </c>
      <c r="N37" s="47">
        <v>15100</v>
      </c>
      <c r="O37" s="38">
        <v>528.5</v>
      </c>
      <c r="P37" s="41">
        <f t="shared" si="14"/>
        <v>0</v>
      </c>
      <c r="Q37" s="49">
        <f t="shared" si="15"/>
        <v>0.39442231075697243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10333012.337176578</v>
      </c>
      <c r="E38" s="40">
        <f t="shared" si="9"/>
        <v>8702153</v>
      </c>
      <c r="F38" s="41" t="s">
        <v>108</v>
      </c>
      <c r="G38" s="42">
        <v>0.61</v>
      </c>
      <c r="H38" s="43">
        <v>0.9</v>
      </c>
      <c r="I38" s="43">
        <v>1</v>
      </c>
      <c r="J38" s="44">
        <f t="shared" si="10"/>
        <v>3.9580290598493571E-2</v>
      </c>
      <c r="K38" s="45">
        <f t="shared" si="11"/>
        <v>3.3333333333333333E-2</v>
      </c>
      <c r="L38" s="46">
        <f t="shared" si="12"/>
        <v>9.9999999999999978E-2</v>
      </c>
      <c r="M38" s="46">
        <f t="shared" si="13"/>
        <v>11.111111111111107</v>
      </c>
      <c r="N38" s="47">
        <v>28900</v>
      </c>
      <c r="O38" s="38">
        <v>28900</v>
      </c>
      <c r="P38" s="41">
        <f t="shared" si="14"/>
        <v>0</v>
      </c>
      <c r="Q38" s="49">
        <f t="shared" si="15"/>
        <v>0.63934426229508201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19879594.192419026</v>
      </c>
      <c r="E39" s="40">
        <f t="shared" si="9"/>
        <v>16741997.841029532</v>
      </c>
      <c r="F39" s="41" t="s">
        <v>64</v>
      </c>
      <c r="G39" s="42">
        <v>0.11650199999999999</v>
      </c>
      <c r="H39" s="43">
        <v>0.11070000000000001</v>
      </c>
      <c r="I39" s="43">
        <v>0.11973399999999999</v>
      </c>
      <c r="J39" s="44">
        <f t="shared" si="10"/>
        <v>4.7391065145200289E-3</v>
      </c>
      <c r="K39" s="45">
        <f t="shared" si="11"/>
        <v>3.9911333333333332E-3</v>
      </c>
      <c r="L39" s="46">
        <f t="shared" si="12"/>
        <v>9.0339999999999865E-3</v>
      </c>
      <c r="M39" s="46">
        <f t="shared" si="13"/>
        <v>8.1607949412827345</v>
      </c>
      <c r="N39" s="47">
        <v>10300</v>
      </c>
      <c r="O39" s="38">
        <v>1233.26</v>
      </c>
      <c r="P39" s="41">
        <v>0</v>
      </c>
      <c r="Q39" s="49">
        <f t="shared" si="15"/>
        <v>2.7742013012652222E-2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51713205.694812208</v>
      </c>
      <c r="E40" s="40">
        <f t="shared" si="9"/>
        <v>43551310.440000005</v>
      </c>
      <c r="F40" s="41" t="s">
        <v>35</v>
      </c>
      <c r="G40" s="42">
        <v>2.6005000000000003</v>
      </c>
      <c r="H40" s="43">
        <v>3.25</v>
      </c>
      <c r="I40" s="43">
        <v>3.6</v>
      </c>
      <c r="J40" s="44">
        <f t="shared" si="10"/>
        <v>0.14248904615457686</v>
      </c>
      <c r="K40" s="45">
        <f t="shared" si="11"/>
        <v>0.12000000000000001</v>
      </c>
      <c r="L40" s="46">
        <f t="shared" si="12"/>
        <v>0.35000000000000009</v>
      </c>
      <c r="M40" s="46">
        <f t="shared" si="13"/>
        <v>10.769230769230772</v>
      </c>
      <c r="N40" s="47">
        <v>100</v>
      </c>
      <c r="O40" s="38">
        <v>360</v>
      </c>
      <c r="P40" s="62">
        <f t="shared" ref="P40:P47" si="16">(R40)/J40</f>
        <v>9.0722763250000005E-2</v>
      </c>
      <c r="Q40" s="49">
        <f t="shared" si="15"/>
        <v>0.38434916362238014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16825544.333942868</v>
      </c>
      <c r="E41" s="40">
        <f t="shared" si="9"/>
        <v>14169968.671716666</v>
      </c>
      <c r="F41" s="41" t="s">
        <v>42</v>
      </c>
      <c r="G41" s="42">
        <v>0.1</v>
      </c>
      <c r="H41" s="43">
        <v>9.9000000000000005E-2</v>
      </c>
      <c r="I41" s="43">
        <v>9.849999999999999E-2</v>
      </c>
      <c r="J41" s="44">
        <f t="shared" si="10"/>
        <v>3.8986586239516167E-3</v>
      </c>
      <c r="K41" s="45">
        <f t="shared" si="11"/>
        <v>3.283333333333333E-3</v>
      </c>
      <c r="L41" s="46">
        <f t="shared" si="12"/>
        <v>-5.0000000000001432E-4</v>
      </c>
      <c r="M41" s="46">
        <f t="shared" si="13"/>
        <v>-0.50505050505051952</v>
      </c>
      <c r="N41" s="47">
        <v>12400</v>
      </c>
      <c r="O41" s="38">
        <v>1221.4000000000001</v>
      </c>
      <c r="P41" s="41">
        <f t="shared" si="16"/>
        <v>0</v>
      </c>
      <c r="Q41" s="49">
        <f t="shared" si="15"/>
        <v>-1.5000000000000124E-2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13232843.098978434</v>
      </c>
      <c r="E42" s="40">
        <f t="shared" si="9"/>
        <v>11144303.472666668</v>
      </c>
      <c r="F42" s="41" t="s">
        <v>49</v>
      </c>
      <c r="G42" s="42">
        <v>1.7452379999999998</v>
      </c>
      <c r="H42" s="43">
        <v>3.14</v>
      </c>
      <c r="I42" s="43">
        <v>3.14</v>
      </c>
      <c r="J42" s="44">
        <f t="shared" si="10"/>
        <v>0.12428211247926983</v>
      </c>
      <c r="K42" s="45">
        <f t="shared" si="11"/>
        <v>0.10466666666666667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0.7991815442936725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2111214.3961432963</v>
      </c>
      <c r="E43" s="40">
        <f t="shared" si="9"/>
        <v>1778001.4280000001</v>
      </c>
      <c r="F43" s="41" t="s">
        <v>42</v>
      </c>
      <c r="G43" s="42">
        <v>0.03</v>
      </c>
      <c r="H43" s="43">
        <v>0.03</v>
      </c>
      <c r="I43" s="43">
        <v>0.03</v>
      </c>
      <c r="J43" s="44">
        <f t="shared" si="10"/>
        <v>1.1874087179548072E-3</v>
      </c>
      <c r="K43" s="45">
        <f t="shared" si="11"/>
        <v>1E-3</v>
      </c>
      <c r="L43" s="46">
        <f t="shared" si="12"/>
        <v>0</v>
      </c>
      <c r="M43" s="46">
        <f t="shared" si="13"/>
        <v>0</v>
      </c>
      <c r="N43" s="47">
        <v>0</v>
      </c>
      <c r="O43" s="38">
        <v>0</v>
      </c>
      <c r="P43" s="41">
        <f t="shared" si="16"/>
        <v>0</v>
      </c>
      <c r="Q43" s="49">
        <f t="shared" si="15"/>
        <v>0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29325452.179299273</v>
      </c>
      <c r="E44" s="40">
        <f t="shared" si="9"/>
        <v>24697016.061840467</v>
      </c>
      <c r="F44" s="41" t="s">
        <v>53</v>
      </c>
      <c r="G44" s="42">
        <v>4.5</v>
      </c>
      <c r="H44" s="43">
        <v>4.2291670000000003</v>
      </c>
      <c r="I44" s="43">
        <v>4.2291670000000003</v>
      </c>
      <c r="J44" s="44">
        <f t="shared" si="10"/>
        <v>0.16739165884955928</v>
      </c>
      <c r="K44" s="45">
        <f t="shared" si="11"/>
        <v>0.14097223333333334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55">
        <f t="shared" si="16"/>
        <v>0</v>
      </c>
      <c r="Q44" s="49">
        <f t="shared" si="15"/>
        <v>-6.0185111111111023E-2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330.10270681691344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7.1244523077288433E-7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1823859.7907785838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3.1664232478794858E-3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49656283.265848935</v>
      </c>
      <c r="E47" s="40">
        <f t="shared" si="9"/>
        <v>41819032.078000002</v>
      </c>
      <c r="F47" s="41" t="s">
        <v>53</v>
      </c>
      <c r="G47" s="42">
        <v>0.9998999999999999</v>
      </c>
      <c r="H47" s="43">
        <v>0.69467699999999999</v>
      </c>
      <c r="I47" s="43">
        <v>0.69</v>
      </c>
      <c r="J47" s="44">
        <f t="shared" si="10"/>
        <v>2.7310400512960565E-2</v>
      </c>
      <c r="K47" s="45">
        <f t="shared" si="11"/>
        <v>2.3E-2</v>
      </c>
      <c r="L47" s="46">
        <f t="shared" si="12"/>
        <v>-4.6770000000000422E-3</v>
      </c>
      <c r="M47" s="46">
        <f t="shared" si="13"/>
        <v>-0.67326253784133383</v>
      </c>
      <c r="N47" s="47">
        <v>900</v>
      </c>
      <c r="O47" s="38">
        <v>621</v>
      </c>
      <c r="P47" s="55">
        <f t="shared" si="16"/>
        <v>0</v>
      </c>
      <c r="Q47" s="49">
        <f t="shared" si="15"/>
        <v>-0.30993099309930994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3466738.1152213919</v>
      </c>
      <c r="E48" s="40">
        <f t="shared" si="9"/>
        <v>2919582.8384959996</v>
      </c>
      <c r="F48" s="41" t="s">
        <v>53</v>
      </c>
      <c r="G48" s="42">
        <v>1.4503460000000001</v>
      </c>
      <c r="H48" s="43">
        <v>1</v>
      </c>
      <c r="I48" s="43">
        <v>0.85274399999999995</v>
      </c>
      <c r="J48" s="44">
        <f t="shared" si="10"/>
        <v>3.37518553261218E-2</v>
      </c>
      <c r="K48" s="45">
        <f t="shared" si="11"/>
        <v>2.8424799999999997E-2</v>
      </c>
      <c r="L48" s="46">
        <f t="shared" si="12"/>
        <v>-0.14725600000000005</v>
      </c>
      <c r="M48" s="46">
        <f t="shared" si="13"/>
        <v>-14.725600000000005</v>
      </c>
      <c r="N48" s="47">
        <v>32800</v>
      </c>
      <c r="O48" s="38">
        <v>27970</v>
      </c>
      <c r="P48" s="41">
        <v>0</v>
      </c>
      <c r="Q48" s="49">
        <f t="shared" si="15"/>
        <v>-0.41204098883990448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5499800</v>
      </c>
      <c r="O49" s="69">
        <f>SUM(O10:O48)</f>
        <v>131565605.71000001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69122785.977600008</v>
      </c>
      <c r="E52" s="40">
        <f>C52*K52</f>
        <v>0</v>
      </c>
      <c r="F52" s="41" t="s">
        <v>108</v>
      </c>
      <c r="G52" s="77">
        <v>4</v>
      </c>
      <c r="H52" s="43">
        <v>4.3884999999999996</v>
      </c>
      <c r="I52" s="43">
        <v>4.6768000000000001</v>
      </c>
      <c r="J52" s="44">
        <f t="shared" ref="J52:J65" si="18">I52</f>
        <v>4.6768000000000001</v>
      </c>
      <c r="K52" s="40">
        <v>0</v>
      </c>
      <c r="L52" s="46">
        <f t="shared" ref="L52:L65" si="19">I52-H52</f>
        <v>0.28830000000000044</v>
      </c>
      <c r="M52" s="46">
        <f t="shared" ref="M52:M65" si="20">((I52-H52)/H52)*100</f>
        <v>6.5694428620257597</v>
      </c>
      <c r="N52" s="47">
        <v>233</v>
      </c>
      <c r="O52" s="38">
        <v>1089.69</v>
      </c>
      <c r="P52" s="55">
        <v>0</v>
      </c>
      <c r="Q52" s="49">
        <f t="shared" ref="Q52:Q65" si="21">J52/G52-1</f>
        <v>0.16920000000000002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67589369.639400005</v>
      </c>
      <c r="E53" s="40">
        <v>0</v>
      </c>
      <c r="F53" s="41" t="s">
        <v>108</v>
      </c>
      <c r="G53" s="77">
        <v>0.1</v>
      </c>
      <c r="H53" s="43">
        <v>0.1203</v>
      </c>
      <c r="I53" s="43">
        <v>0.12180000000000001</v>
      </c>
      <c r="J53" s="44">
        <f t="shared" si="18"/>
        <v>0.12180000000000001</v>
      </c>
      <c r="K53" s="40">
        <v>0</v>
      </c>
      <c r="L53" s="46">
        <f t="shared" si="19"/>
        <v>1.5000000000000013E-3</v>
      </c>
      <c r="M53" s="46">
        <f t="shared" si="20"/>
        <v>1.2468827930174575</v>
      </c>
      <c r="N53" s="47">
        <v>8660</v>
      </c>
      <c r="O53" s="38">
        <v>1054.8800000000001</v>
      </c>
      <c r="P53" s="41">
        <f t="shared" ref="P53:P65" si="22">(R53)/J53</f>
        <v>0</v>
      </c>
      <c r="Q53" s="49">
        <f t="shared" si="21"/>
        <v>0.21799999999999997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73468780</v>
      </c>
      <c r="E54" s="40">
        <v>0</v>
      </c>
      <c r="F54" s="41" t="s">
        <v>42</v>
      </c>
      <c r="G54" s="77">
        <v>39.9</v>
      </c>
      <c r="H54" s="43">
        <v>70</v>
      </c>
      <c r="I54" s="43">
        <v>70</v>
      </c>
      <c r="J54" s="44">
        <f t="shared" si="18"/>
        <v>70</v>
      </c>
      <c r="K54" s="40">
        <v>0</v>
      </c>
      <c r="L54" s="46">
        <f t="shared" si="19"/>
        <v>0</v>
      </c>
      <c r="M54" s="46">
        <f t="shared" si="20"/>
        <v>0</v>
      </c>
      <c r="N54" s="47">
        <v>0</v>
      </c>
      <c r="O54" s="38">
        <v>0</v>
      </c>
      <c r="P54" s="48">
        <f t="shared" si="22"/>
        <v>8.0000000000000007E-5</v>
      </c>
      <c r="Q54" s="49">
        <f t="shared" si="21"/>
        <v>0.75438596491228083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14633782.632000001</v>
      </c>
      <c r="E55" s="40">
        <v>0</v>
      </c>
      <c r="F55" s="41" t="s">
        <v>35</v>
      </c>
      <c r="G55" s="77">
        <v>2.3E-2</v>
      </c>
      <c r="H55" s="43">
        <v>2.4E-2</v>
      </c>
      <c r="I55" s="43">
        <v>2.4E-2</v>
      </c>
      <c r="J55" s="44">
        <f t="shared" si="18"/>
        <v>2.4E-2</v>
      </c>
      <c r="K55" s="40">
        <v>0</v>
      </c>
      <c r="L55" s="46">
        <f t="shared" si="19"/>
        <v>0</v>
      </c>
      <c r="M55" s="46">
        <f t="shared" si="20"/>
        <v>0</v>
      </c>
      <c r="N55" s="47">
        <v>0</v>
      </c>
      <c r="O55" s="38">
        <v>0</v>
      </c>
      <c r="P55" s="41">
        <f t="shared" si="22"/>
        <v>0</v>
      </c>
      <c r="Q55" s="49">
        <f t="shared" si="21"/>
        <v>4.3478260869565188E-2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215335778.97479999</v>
      </c>
      <c r="E56" s="40">
        <v>0</v>
      </c>
      <c r="F56" s="41" t="s">
        <v>53</v>
      </c>
      <c r="G56" s="77">
        <v>9.0200000000000002E-2</v>
      </c>
      <c r="H56" s="43">
        <v>9.6100000000000005E-2</v>
      </c>
      <c r="I56" s="43">
        <v>9.9599999999999994E-2</v>
      </c>
      <c r="J56" s="44">
        <f t="shared" si="18"/>
        <v>9.9599999999999994E-2</v>
      </c>
      <c r="K56" s="40">
        <v>0</v>
      </c>
      <c r="L56" s="46">
        <f t="shared" si="19"/>
        <v>3.4999999999999892E-3</v>
      </c>
      <c r="M56" s="78">
        <f t="shared" si="20"/>
        <v>3.6420395421435887</v>
      </c>
      <c r="N56" s="47">
        <v>17487</v>
      </c>
      <c r="O56" s="38">
        <v>1741.65</v>
      </c>
      <c r="P56" s="48">
        <f t="shared" si="22"/>
        <v>6.1646586345381525E-2</v>
      </c>
      <c r="Q56" s="49">
        <f t="shared" si="21"/>
        <v>0.1042128603104211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745768001.78999996</v>
      </c>
      <c r="E57" s="40">
        <v>0</v>
      </c>
      <c r="F57" s="41" t="s">
        <v>35</v>
      </c>
      <c r="G57" s="77">
        <v>0.95750000000000002</v>
      </c>
      <c r="H57" s="43">
        <v>1.2986</v>
      </c>
      <c r="I57" s="43">
        <v>1.2948999999999999</v>
      </c>
      <c r="J57" s="44">
        <f t="shared" si="18"/>
        <v>1.2948999999999999</v>
      </c>
      <c r="K57" s="40">
        <v>0</v>
      </c>
      <c r="L57" s="46">
        <f t="shared" si="19"/>
        <v>-3.7000000000000366E-3</v>
      </c>
      <c r="M57" s="46">
        <f t="shared" si="20"/>
        <v>-0.28492222393346966</v>
      </c>
      <c r="N57" s="47">
        <v>158549</v>
      </c>
      <c r="O57" s="38">
        <v>205300.92</v>
      </c>
      <c r="P57" s="48">
        <f t="shared" si="22"/>
        <v>2.2781681983164721E-2</v>
      </c>
      <c r="Q57" s="49">
        <f t="shared" si="21"/>
        <v>0.35237597911227136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24680495.766599998</v>
      </c>
      <c r="E58" s="40">
        <v>0</v>
      </c>
      <c r="F58" s="41" t="s">
        <v>35</v>
      </c>
      <c r="G58" s="77">
        <v>0.1595</v>
      </c>
      <c r="H58" s="43">
        <v>0.1502</v>
      </c>
      <c r="I58" s="43">
        <v>0.15029999999999999</v>
      </c>
      <c r="J58" s="44">
        <f t="shared" si="18"/>
        <v>0.15029999999999999</v>
      </c>
      <c r="K58" s="40">
        <v>0</v>
      </c>
      <c r="L58" s="46">
        <f t="shared" si="19"/>
        <v>9.9999999999988987E-5</v>
      </c>
      <c r="M58" s="46">
        <f t="shared" si="20"/>
        <v>6.6577896138474688E-2</v>
      </c>
      <c r="N58" s="47">
        <v>2321</v>
      </c>
      <c r="O58" s="38">
        <v>348.75</v>
      </c>
      <c r="P58" s="41">
        <f t="shared" si="22"/>
        <v>0</v>
      </c>
      <c r="Q58" s="49">
        <f t="shared" si="21"/>
        <v>-5.7680250783699094E-2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17046391.809999999</v>
      </c>
      <c r="E59" s="40">
        <v>0</v>
      </c>
      <c r="F59" s="41" t="s">
        <v>108</v>
      </c>
      <c r="G59" s="77">
        <v>1.6799999999999999E-2</v>
      </c>
      <c r="H59" s="43">
        <v>5.2400000000000002E-2</v>
      </c>
      <c r="I59" s="43">
        <v>4.5999999999999999E-2</v>
      </c>
      <c r="J59" s="44">
        <f t="shared" si="18"/>
        <v>4.5999999999999999E-2</v>
      </c>
      <c r="K59" s="40">
        <v>0</v>
      </c>
      <c r="L59" s="46">
        <f t="shared" si="19"/>
        <v>-6.4000000000000029E-3</v>
      </c>
      <c r="M59" s="78">
        <f t="shared" si="20"/>
        <v>-12.213740458015272</v>
      </c>
      <c r="N59" s="47">
        <v>734939</v>
      </c>
      <c r="O59" s="38">
        <v>33776.120000000003</v>
      </c>
      <c r="P59" s="55">
        <f t="shared" si="22"/>
        <v>0</v>
      </c>
      <c r="Q59" s="49">
        <f t="shared" si="21"/>
        <v>1.7380952380952381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7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9">
        <f t="shared" si="21"/>
        <v>-0.33333333333333337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774980693.82260001</v>
      </c>
      <c r="E61" s="40">
        <v>0</v>
      </c>
      <c r="F61" s="41" t="s">
        <v>108</v>
      </c>
      <c r="G61" s="77">
        <v>0.59499999999999997</v>
      </c>
      <c r="H61" s="43">
        <v>1</v>
      </c>
      <c r="I61" s="43">
        <v>0.96260000000000001</v>
      </c>
      <c r="J61" s="44">
        <f t="shared" si="18"/>
        <v>0.96260000000000001</v>
      </c>
      <c r="K61" s="40">
        <v>0</v>
      </c>
      <c r="L61" s="46">
        <f t="shared" si="19"/>
        <v>-3.7399999999999989E-2</v>
      </c>
      <c r="M61" s="46">
        <f t="shared" si="20"/>
        <v>-3.7399999999999989</v>
      </c>
      <c r="N61" s="47">
        <v>272549</v>
      </c>
      <c r="O61" s="38">
        <v>262345.14</v>
      </c>
      <c r="P61" s="62">
        <f t="shared" si="22"/>
        <v>2.3893621441928109E-2</v>
      </c>
      <c r="Q61" s="49">
        <f t="shared" si="21"/>
        <v>0.61781512605042033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85488290.45220001</v>
      </c>
      <c r="E62" s="40">
        <v>0</v>
      </c>
      <c r="F62" s="41" t="s">
        <v>35</v>
      </c>
      <c r="G62" s="77">
        <v>0.22600000000000001</v>
      </c>
      <c r="H62" s="43">
        <v>0.3296</v>
      </c>
      <c r="I62" s="43">
        <v>0.32790000000000002</v>
      </c>
      <c r="J62" s="44">
        <f t="shared" si="18"/>
        <v>0.32790000000000002</v>
      </c>
      <c r="K62" s="40">
        <v>0</v>
      </c>
      <c r="L62" s="46">
        <f t="shared" si="19"/>
        <v>-1.6999999999999793E-3</v>
      </c>
      <c r="M62" s="46">
        <f t="shared" si="20"/>
        <v>-0.51577669902911993</v>
      </c>
      <c r="N62" s="47">
        <v>39656</v>
      </c>
      <c r="O62" s="38">
        <v>13004.48</v>
      </c>
      <c r="P62" s="62">
        <f t="shared" si="22"/>
        <v>2.1957913998170171E-2</v>
      </c>
      <c r="Q62" s="49">
        <f t="shared" si="21"/>
        <v>0.45088495575221255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414948592.02279997</v>
      </c>
      <c r="E63" s="40">
        <v>0</v>
      </c>
      <c r="F63" s="41" t="s">
        <v>35</v>
      </c>
      <c r="G63" s="77">
        <v>0.49440000000000001</v>
      </c>
      <c r="H63" s="43">
        <v>0.74209999999999998</v>
      </c>
      <c r="I63" s="43">
        <v>0.73809999999999998</v>
      </c>
      <c r="J63" s="44">
        <f t="shared" si="18"/>
        <v>0.73809999999999998</v>
      </c>
      <c r="K63" s="40">
        <v>0</v>
      </c>
      <c r="L63" s="46">
        <f t="shared" si="19"/>
        <v>-4.0000000000000036E-3</v>
      </c>
      <c r="M63" s="46">
        <f t="shared" si="20"/>
        <v>-0.5390109149710286</v>
      </c>
      <c r="N63" s="47">
        <v>31092</v>
      </c>
      <c r="O63" s="38">
        <v>22948.32</v>
      </c>
      <c r="P63" s="48">
        <f t="shared" si="22"/>
        <v>1.6799891613602493E-2</v>
      </c>
      <c r="Q63" s="49">
        <f t="shared" si="21"/>
        <v>0.49292071197410992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15712870.161600001</v>
      </c>
      <c r="E65" s="40">
        <v>0</v>
      </c>
      <c r="F65" s="41" t="s">
        <v>49</v>
      </c>
      <c r="G65" s="77">
        <v>4.2999999999999997E-2</v>
      </c>
      <c r="H65" s="43">
        <v>4.5499999999999999E-2</v>
      </c>
      <c r="I65" s="43">
        <v>4.5600000000000002E-2</v>
      </c>
      <c r="J65" s="44">
        <f t="shared" si="18"/>
        <v>4.5600000000000002E-2</v>
      </c>
      <c r="K65" s="40">
        <v>0</v>
      </c>
      <c r="L65" s="46">
        <f t="shared" si="19"/>
        <v>1.0000000000000286E-4</v>
      </c>
      <c r="M65" s="46">
        <f t="shared" si="20"/>
        <v>0.21978021978022608</v>
      </c>
      <c r="N65" s="47">
        <v>610</v>
      </c>
      <c r="O65" s="38">
        <v>27.85</v>
      </c>
      <c r="P65" s="41">
        <f t="shared" si="22"/>
        <v>0</v>
      </c>
      <c r="Q65" s="49">
        <f t="shared" si="21"/>
        <v>6.0465116279069919E-2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1266096</v>
      </c>
      <c r="O66" s="69">
        <f>SUM(O52:O65)</f>
        <v>541637.79999999993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50148211.32</v>
      </c>
      <c r="E71" s="97">
        <f>C71*K71</f>
        <v>50148211.32</v>
      </c>
      <c r="F71" s="95" t="s">
        <v>173</v>
      </c>
      <c r="G71" s="95">
        <v>0.24</v>
      </c>
      <c r="H71" s="98">
        <v>0.36</v>
      </c>
      <c r="I71" s="98">
        <v>0.36</v>
      </c>
      <c r="J71" s="99">
        <f>I71</f>
        <v>0.36</v>
      </c>
      <c r="K71" s="99">
        <f>J71</f>
        <v>0.36</v>
      </c>
      <c r="L71" s="100">
        <f>I71-H71</f>
        <v>0</v>
      </c>
      <c r="M71" s="100">
        <f>((I71-H71)/H71)*100</f>
        <v>0</v>
      </c>
      <c r="N71" s="101">
        <v>260</v>
      </c>
      <c r="O71" s="102">
        <v>93.6</v>
      </c>
      <c r="P71" s="103">
        <v>0</v>
      </c>
      <c r="Q71" s="104">
        <f>J71/G71-1</f>
        <v>0.5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68393138.924999997</v>
      </c>
      <c r="E72" s="97">
        <f>C72*K72</f>
        <v>68393138.924999997</v>
      </c>
      <c r="F72" s="95" t="s">
        <v>173</v>
      </c>
      <c r="G72" s="95">
        <v>0.1</v>
      </c>
      <c r="H72" s="98">
        <v>0.15</v>
      </c>
      <c r="I72" s="98">
        <v>0.14510000000000001</v>
      </c>
      <c r="J72" s="99">
        <f>I72</f>
        <v>0.14510000000000001</v>
      </c>
      <c r="K72" s="99">
        <f>J72</f>
        <v>0.14510000000000001</v>
      </c>
      <c r="L72" s="100">
        <f>I72-H72</f>
        <v>-4.8999999999999877E-3</v>
      </c>
      <c r="M72" s="100">
        <f>((I72-H72)/H72)*100</f>
        <v>-3.2666666666666586</v>
      </c>
      <c r="N72" s="47">
        <v>6277</v>
      </c>
      <c r="O72" s="102">
        <v>911.02</v>
      </c>
      <c r="P72" s="103">
        <v>0</v>
      </c>
      <c r="Q72" s="104">
        <f>J72/G72-1</f>
        <v>0.45100000000000007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6537</v>
      </c>
      <c r="O73" s="69">
        <f>SUM(O71:O72)</f>
        <v>1004.62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109969.86851383925</v>
      </c>
      <c r="E75" s="40">
        <f>C75*K75</f>
        <v>92613.324166299994</v>
      </c>
      <c r="F75" s="41" t="s">
        <v>155</v>
      </c>
      <c r="G75" s="77">
        <v>0.105</v>
      </c>
      <c r="H75" s="43">
        <v>6.0720000000000003E-2</v>
      </c>
      <c r="I75" s="43">
        <v>6.1203E-2</v>
      </c>
      <c r="J75" s="44">
        <f>I75/$J$5</f>
        <v>2.4224325254996021E-3</v>
      </c>
      <c r="K75" s="45">
        <f>I75/$K$4</f>
        <v>2.0401E-3</v>
      </c>
      <c r="L75" s="46">
        <f>I75-H75</f>
        <v>4.8299999999999732E-4</v>
      </c>
      <c r="M75" s="111">
        <f>((I75-H75)/H75)*100</f>
        <v>0.79545454545454108</v>
      </c>
      <c r="N75" s="38">
        <v>18700</v>
      </c>
      <c r="O75" s="38">
        <v>1144.5</v>
      </c>
      <c r="P75" s="41">
        <v>0</v>
      </c>
      <c r="Q75" s="49">
        <f>I75/G75-1</f>
        <v>-0.41711428571428566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431146.68693177542</v>
      </c>
      <c r="E76" s="40">
        <f>C76*K76</f>
        <v>363098.80533333332</v>
      </c>
      <c r="F76" s="41" t="s">
        <v>155</v>
      </c>
      <c r="G76" s="77">
        <v>4.2500000000000003E-2</v>
      </c>
      <c r="H76" s="43">
        <v>0.08</v>
      </c>
      <c r="I76" s="43">
        <v>0.08</v>
      </c>
      <c r="J76" s="44">
        <f>I76/$J$5</f>
        <v>3.1664232478794858E-3</v>
      </c>
      <c r="K76" s="45">
        <f>I76/$K$4</f>
        <v>2.6666666666666666E-3</v>
      </c>
      <c r="L76" s="46">
        <f>I76-H76</f>
        <v>0</v>
      </c>
      <c r="M76" s="111">
        <f>((I76-H76)/H76)*100</f>
        <v>0</v>
      </c>
      <c r="N76" s="38">
        <v>6216</v>
      </c>
      <c r="O76" s="38">
        <v>497.28</v>
      </c>
      <c r="P76" s="41">
        <v>0</v>
      </c>
      <c r="Q76" s="49">
        <f>I76/G76-1</f>
        <v>0.88235294117647056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1324187.9986938506</v>
      </c>
      <c r="E77" s="40">
        <f>C77*K77</f>
        <v>1115191.40686</v>
      </c>
      <c r="F77" s="41" t="s">
        <v>155</v>
      </c>
      <c r="G77" s="77">
        <v>6.0499999999999998E-2</v>
      </c>
      <c r="H77" s="43">
        <v>6.7667000000000005E-2</v>
      </c>
      <c r="I77" s="43">
        <v>6.7667000000000005E-2</v>
      </c>
      <c r="J77" s="44">
        <f>I77/$J$5</f>
        <v>2.6782795239282649E-3</v>
      </c>
      <c r="K77" s="45">
        <f>I77/$K$4</f>
        <v>2.2555666666666668E-3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0.11846280991735547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2884060.2702882634</v>
      </c>
      <c r="E78" s="40">
        <f>C78*K78</f>
        <v>2428869.0378286666</v>
      </c>
      <c r="F78" s="41" t="s">
        <v>155</v>
      </c>
      <c r="G78" s="77">
        <v>1.85</v>
      </c>
      <c r="H78" s="43">
        <v>1.7704550000000001</v>
      </c>
      <c r="I78" s="43">
        <v>1.7704550000000001</v>
      </c>
      <c r="J78" s="44">
        <f>I78/$J$5</f>
        <v>7.0075123391555943E-2</v>
      </c>
      <c r="K78" s="45">
        <f>I78/$K$4</f>
        <v>5.9015166666666667E-2</v>
      </c>
      <c r="L78" s="46">
        <f>I78-H78</f>
        <v>0</v>
      </c>
      <c r="M78" s="111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-4.2997297297297288E-2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24916</v>
      </c>
      <c r="O79" s="69">
        <f>SUM(O75:O78)</f>
        <v>1641.78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30760550.12012618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8.3514413162821433E-2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20">
        <v>0</v>
      </c>
      <c r="O81" s="38">
        <v>0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94741583.904081121</v>
      </c>
      <c r="E82" s="40">
        <f>C82*K82</f>
        <v>79788519.716499999</v>
      </c>
      <c r="F82" s="41" t="s">
        <v>188</v>
      </c>
      <c r="G82" s="41">
        <v>1.44347</v>
      </c>
      <c r="H82" s="43">
        <v>1.135785</v>
      </c>
      <c r="I82" s="43">
        <v>1.300119</v>
      </c>
      <c r="J82" s="44">
        <f>I82/$J$5</f>
        <v>5.1459087832622867E-2</v>
      </c>
      <c r="K82" s="45">
        <f>I82/$K$4</f>
        <v>4.3337300000000002E-2</v>
      </c>
      <c r="L82" s="46">
        <f>I82-H82</f>
        <v>0.16433399999999998</v>
      </c>
      <c r="M82" s="46">
        <f>((I82-H82)/H82*100)</f>
        <v>14.468759492333493</v>
      </c>
      <c r="N82" s="121">
        <v>7781094</v>
      </c>
      <c r="O82" s="38">
        <v>10116293.275</v>
      </c>
      <c r="P82" s="48">
        <f>(R82)/J82</f>
        <v>3.6980834292860885E-2</v>
      </c>
      <c r="Q82" s="49">
        <f>I82/G82-1</f>
        <v>-9.9309996051182181E-2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7781094</v>
      </c>
      <c r="O83" s="69">
        <f>SUM(O81:O82)</f>
        <v>10116293.275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106</v>
      </c>
      <c r="B86" s="130">
        <v>1.3103849999999999</v>
      </c>
      <c r="C86" s="130"/>
      <c r="D86" s="130">
        <v>11.998717948717948</v>
      </c>
      <c r="E86" s="36" t="s">
        <v>136</v>
      </c>
      <c r="F86" s="131">
        <v>0.85274399999999995</v>
      </c>
      <c r="G86" s="131"/>
      <c r="H86" s="132">
        <v>-14.725600000000005</v>
      </c>
      <c r="L86" s="36" t="s">
        <v>109</v>
      </c>
      <c r="M86" s="130">
        <v>4.6768000000000001</v>
      </c>
      <c r="N86" s="133">
        <v>6.5694428620257597</v>
      </c>
      <c r="O86" s="36" t="s">
        <v>151</v>
      </c>
      <c r="P86" s="131">
        <v>4.5999999999999999E-2</v>
      </c>
      <c r="Q86" s="132">
        <v>-12.213740458015272</v>
      </c>
    </row>
    <row r="87" spans="1:44" x14ac:dyDescent="0.25">
      <c r="A87" s="36" t="s">
        <v>116</v>
      </c>
      <c r="B87" s="130">
        <v>1</v>
      </c>
      <c r="C87" s="130"/>
      <c r="D87" s="130">
        <v>11.111111111111107</v>
      </c>
      <c r="E87" s="36" t="s">
        <v>66</v>
      </c>
      <c r="F87" s="131">
        <v>10</v>
      </c>
      <c r="G87" s="131"/>
      <c r="H87" s="132">
        <v>-13.043478260869565</v>
      </c>
      <c r="L87" s="36" t="s">
        <v>145</v>
      </c>
      <c r="M87" s="130">
        <v>9.9599999999999994E-2</v>
      </c>
      <c r="N87" s="133">
        <v>3.6420395421435887</v>
      </c>
      <c r="O87" s="36" t="s">
        <v>102</v>
      </c>
      <c r="P87" s="131">
        <v>0.96260000000000001</v>
      </c>
      <c r="Q87" s="132">
        <v>-3.7399999999999989</v>
      </c>
    </row>
    <row r="88" spans="1:44" x14ac:dyDescent="0.25">
      <c r="A88" s="36" t="s">
        <v>120</v>
      </c>
      <c r="B88" s="130">
        <v>3.6</v>
      </c>
      <c r="C88" s="130"/>
      <c r="D88" s="130">
        <v>10.769230769230772</v>
      </c>
      <c r="E88" s="36" t="s">
        <v>110</v>
      </c>
      <c r="F88" s="131">
        <v>4.0465369999999998</v>
      </c>
      <c r="G88" s="131"/>
      <c r="H88" s="132">
        <v>-5.8944883720930239</v>
      </c>
      <c r="L88" s="36" t="s">
        <v>140</v>
      </c>
      <c r="M88" s="130">
        <v>0.12180000000000001</v>
      </c>
      <c r="N88" s="133">
        <v>1.2468827930174575</v>
      </c>
      <c r="O88" s="36" t="s">
        <v>159</v>
      </c>
      <c r="P88" s="131">
        <v>0.73809999999999998</v>
      </c>
      <c r="Q88" s="132">
        <v>-0.5390109149710286</v>
      </c>
    </row>
    <row r="89" spans="1:44" x14ac:dyDescent="0.25">
      <c r="A89" s="36" t="s">
        <v>118</v>
      </c>
      <c r="B89" s="130">
        <v>0.11973399999999999</v>
      </c>
      <c r="C89" s="130"/>
      <c r="D89" s="130">
        <v>8.1607949412827345</v>
      </c>
      <c r="E89" s="36" t="s">
        <v>134</v>
      </c>
      <c r="F89" s="131">
        <v>0.69</v>
      </c>
      <c r="G89" s="131"/>
      <c r="H89" s="132">
        <v>-0.67326253784133383</v>
      </c>
      <c r="L89" s="36" t="s">
        <v>163</v>
      </c>
      <c r="M89" s="130">
        <v>4.5600000000000002E-2</v>
      </c>
      <c r="N89" s="133">
        <v>0.21978021978022608</v>
      </c>
      <c r="O89" s="36" t="s">
        <v>157</v>
      </c>
      <c r="P89" s="131">
        <v>0.32790000000000002</v>
      </c>
      <c r="Q89" s="132">
        <v>-0.51577669902911993</v>
      </c>
    </row>
    <row r="90" spans="1:44" x14ac:dyDescent="0.25">
      <c r="A90" s="36" t="s">
        <v>85</v>
      </c>
      <c r="B90" s="130">
        <v>1.1984999999999999</v>
      </c>
      <c r="C90" s="130"/>
      <c r="D90" s="130">
        <v>1.5606529371239062</v>
      </c>
      <c r="E90" s="36" t="s">
        <v>122</v>
      </c>
      <c r="F90" s="131">
        <v>9.849999999999999E-2</v>
      </c>
      <c r="G90" s="131"/>
      <c r="H90" s="132">
        <v>-0.50505050505051952</v>
      </c>
      <c r="L90" s="36" t="s">
        <v>149</v>
      </c>
      <c r="M90" s="130">
        <v>0.15029999999999999</v>
      </c>
      <c r="N90" s="133">
        <v>6.6577896138474688E-2</v>
      </c>
      <c r="O90" s="36" t="s">
        <v>147</v>
      </c>
      <c r="P90" s="131">
        <v>1.2948999999999999</v>
      </c>
      <c r="Q90" s="134">
        <v>-0.28492222393346966</v>
      </c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XShF+stWlH4VHv6QGWMWoNiPGIo0IXemF8AhN43UH2KYj62JrCxQGJeHoPAhHZolNtNYJaMEk4HKgPG5+VpuOA==" saltValue="DK74dZmfQZiskUosqV20ng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2026-03-18T13:18:55Z</dcterms:created>
  <dcterms:modified xsi:type="dcterms:W3CDTF">2026-03-18T13:19:41Z</dcterms:modified>
</cp:coreProperties>
</file>