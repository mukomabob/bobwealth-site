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11.06.26/"/>
    </mc:Choice>
  </mc:AlternateContent>
  <xr:revisionPtr revIDLastSave="0" documentId="8_{683CBD50-EF32-42C7-995A-EB3E271DA3F1}" xr6:coauthVersionLast="47" xr6:coauthVersionMax="47" xr10:uidLastSave="{00000000-0000-0000-0000-000000000000}"/>
  <bookViews>
    <workbookView xWindow="-108" yWindow="-108" windowWidth="23256" windowHeight="12456" xr2:uid="{ABA09E37-D516-4770-9947-3CFA93BB7A41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J84" i="1"/>
  <c r="P84" i="1" s="1"/>
  <c r="E84" i="1"/>
  <c r="Q83" i="1"/>
  <c r="P83" i="1"/>
  <c r="M83" i="1"/>
  <c r="L83" i="1"/>
  <c r="K83" i="1"/>
  <c r="J83" i="1"/>
  <c r="E83" i="1"/>
  <c r="D83" i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E79" i="1" s="1"/>
  <c r="J79" i="1"/>
  <c r="D79" i="1"/>
  <c r="Q78" i="1"/>
  <c r="M78" i="1"/>
  <c r="L78" i="1"/>
  <c r="K78" i="1"/>
  <c r="E78" i="1" s="1"/>
  <c r="J78" i="1"/>
  <c r="D78" i="1"/>
  <c r="Q77" i="1"/>
  <c r="M77" i="1"/>
  <c r="L77" i="1"/>
  <c r="K77" i="1"/>
  <c r="J77" i="1"/>
  <c r="D77" i="1" s="1"/>
  <c r="E77" i="1"/>
  <c r="M74" i="1"/>
  <c r="L74" i="1"/>
  <c r="J74" i="1"/>
  <c r="Q74" i="1" s="1"/>
  <c r="D74" i="1"/>
  <c r="O72" i="1"/>
  <c r="N72" i="1"/>
  <c r="M71" i="1"/>
  <c r="L71" i="1"/>
  <c r="J71" i="1"/>
  <c r="K71" i="1" s="1"/>
  <c r="E71" i="1" s="1"/>
  <c r="M70" i="1"/>
  <c r="L70" i="1"/>
  <c r="J70" i="1"/>
  <c r="P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Q63" i="1" s="1"/>
  <c r="M62" i="1"/>
  <c r="L62" i="1"/>
  <c r="J62" i="1"/>
  <c r="D62" i="1" s="1"/>
  <c r="M61" i="1"/>
  <c r="L61" i="1"/>
  <c r="J61" i="1"/>
  <c r="Q61" i="1" s="1"/>
  <c r="D61" i="1"/>
  <c r="M60" i="1"/>
  <c r="L60" i="1"/>
  <c r="J60" i="1"/>
  <c r="D60" i="1" s="1"/>
  <c r="M59" i="1"/>
  <c r="L59" i="1"/>
  <c r="J59" i="1"/>
  <c r="Q59" i="1" s="1"/>
  <c r="M58" i="1"/>
  <c r="L58" i="1"/>
  <c r="J58" i="1"/>
  <c r="D58" i="1" s="1"/>
  <c r="M57" i="1"/>
  <c r="L57" i="1"/>
  <c r="J57" i="1"/>
  <c r="Q57" i="1" s="1"/>
  <c r="M56" i="1"/>
  <c r="L56" i="1"/>
  <c r="J56" i="1"/>
  <c r="D56" i="1" s="1"/>
  <c r="M55" i="1"/>
  <c r="L55" i="1"/>
  <c r="J55" i="1"/>
  <c r="Q55" i="1" s="1"/>
  <c r="D55" i="1"/>
  <c r="M54" i="1"/>
  <c r="L54" i="1"/>
  <c r="J54" i="1"/>
  <c r="D54" i="1" s="1"/>
  <c r="M53" i="1"/>
  <c r="L53" i="1"/>
  <c r="J53" i="1"/>
  <c r="Q53" i="1" s="1"/>
  <c r="M52" i="1"/>
  <c r="L52" i="1"/>
  <c r="J52" i="1"/>
  <c r="Q52" i="1" s="1"/>
  <c r="D52" i="1"/>
  <c r="M51" i="1"/>
  <c r="L51" i="1"/>
  <c r="J51" i="1"/>
  <c r="Q51" i="1" s="1"/>
  <c r="O48" i="1"/>
  <c r="N48" i="1"/>
  <c r="Q47" i="1"/>
  <c r="M47" i="1"/>
  <c r="L47" i="1"/>
  <c r="K47" i="1"/>
  <c r="E47" i="1" s="1"/>
  <c r="J47" i="1"/>
  <c r="D47" i="1"/>
  <c r="Q46" i="1"/>
  <c r="M46" i="1"/>
  <c r="L46" i="1"/>
  <c r="K46" i="1"/>
  <c r="E46" i="1" s="1"/>
  <c r="J46" i="1"/>
  <c r="P46" i="1" s="1"/>
  <c r="Q45" i="1"/>
  <c r="M45" i="1"/>
  <c r="L45" i="1"/>
  <c r="K45" i="1"/>
  <c r="E45" i="1" s="1"/>
  <c r="J45" i="1"/>
  <c r="P45" i="1" s="1"/>
  <c r="D45" i="1"/>
  <c r="Q44" i="1"/>
  <c r="M44" i="1"/>
  <c r="L44" i="1"/>
  <c r="K44" i="1"/>
  <c r="E44" i="1" s="1"/>
  <c r="J44" i="1"/>
  <c r="D44" i="1" s="1"/>
  <c r="Q43" i="1"/>
  <c r="M43" i="1"/>
  <c r="L43" i="1"/>
  <c r="K43" i="1"/>
  <c r="E43" i="1" s="1"/>
  <c r="J43" i="1"/>
  <c r="P43" i="1" s="1"/>
  <c r="D43" i="1"/>
  <c r="Q42" i="1"/>
  <c r="M42" i="1"/>
  <c r="L42" i="1"/>
  <c r="K42" i="1"/>
  <c r="E42" i="1" s="1"/>
  <c r="J42" i="1"/>
  <c r="P42" i="1" s="1"/>
  <c r="Q41" i="1"/>
  <c r="M41" i="1"/>
  <c r="L41" i="1"/>
  <c r="K41" i="1"/>
  <c r="E41" i="1" s="1"/>
  <c r="J41" i="1"/>
  <c r="P41" i="1" s="1"/>
  <c r="D41" i="1"/>
  <c r="Q40" i="1"/>
  <c r="M40" i="1"/>
  <c r="L40" i="1"/>
  <c r="K40" i="1"/>
  <c r="E40" i="1" s="1"/>
  <c r="J40" i="1"/>
  <c r="P40" i="1" s="1"/>
  <c r="Q39" i="1"/>
  <c r="M39" i="1"/>
  <c r="L39" i="1"/>
  <c r="K39" i="1"/>
  <c r="E39" i="1" s="1"/>
  <c r="J39" i="1"/>
  <c r="P39" i="1" s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E35" i="1" s="1"/>
  <c r="J35" i="1"/>
  <c r="D35" i="1" s="1"/>
  <c r="Q34" i="1"/>
  <c r="M34" i="1"/>
  <c r="L34" i="1"/>
  <c r="K34" i="1"/>
  <c r="J34" i="1"/>
  <c r="P34" i="1" s="1"/>
  <c r="E34" i="1"/>
  <c r="D34" i="1"/>
  <c r="Q33" i="1"/>
  <c r="M33" i="1"/>
  <c r="L33" i="1"/>
  <c r="K33" i="1"/>
  <c r="E33" i="1" s="1"/>
  <c r="J33" i="1"/>
  <c r="P33" i="1" s="1"/>
  <c r="Q32" i="1"/>
  <c r="M32" i="1"/>
  <c r="L32" i="1"/>
  <c r="K32" i="1"/>
  <c r="E32" i="1" s="1"/>
  <c r="J32" i="1"/>
  <c r="D32" i="1" s="1"/>
  <c r="K31" i="1"/>
  <c r="J31" i="1"/>
  <c r="D31" i="1" s="1"/>
  <c r="E31" i="1"/>
  <c r="Q29" i="1"/>
  <c r="M29" i="1"/>
  <c r="L29" i="1"/>
  <c r="K29" i="1"/>
  <c r="E29" i="1" s="1"/>
  <c r="J29" i="1"/>
  <c r="D29" i="1" s="1"/>
  <c r="Q28" i="1"/>
  <c r="M28" i="1"/>
  <c r="L28" i="1"/>
  <c r="K28" i="1"/>
  <c r="J28" i="1"/>
  <c r="P28" i="1" s="1"/>
  <c r="E28" i="1"/>
  <c r="Q27" i="1"/>
  <c r="M27" i="1"/>
  <c r="L27" i="1"/>
  <c r="K27" i="1"/>
  <c r="E27" i="1" s="1"/>
  <c r="J27" i="1"/>
  <c r="P27" i="1" s="1"/>
  <c r="Q26" i="1"/>
  <c r="M26" i="1"/>
  <c r="L26" i="1"/>
  <c r="K26" i="1"/>
  <c r="E26" i="1" s="1"/>
  <c r="J26" i="1"/>
  <c r="D26" i="1" s="1"/>
  <c r="Q25" i="1"/>
  <c r="M25" i="1"/>
  <c r="L25" i="1"/>
  <c r="K25" i="1"/>
  <c r="E25" i="1" s="1"/>
  <c r="J25" i="1"/>
  <c r="P25" i="1" s="1"/>
  <c r="Q24" i="1"/>
  <c r="M24" i="1"/>
  <c r="L24" i="1"/>
  <c r="K24" i="1"/>
  <c r="J24" i="1"/>
  <c r="P24" i="1" s="1"/>
  <c r="E24" i="1"/>
  <c r="D24" i="1"/>
  <c r="Q23" i="1"/>
  <c r="M23" i="1"/>
  <c r="L23" i="1"/>
  <c r="K23" i="1"/>
  <c r="E23" i="1" s="1"/>
  <c r="J23" i="1"/>
  <c r="P23" i="1" s="1"/>
  <c r="Q22" i="1"/>
  <c r="M22" i="1"/>
  <c r="L22" i="1"/>
  <c r="K22" i="1"/>
  <c r="J22" i="1"/>
  <c r="P22" i="1" s="1"/>
  <c r="E22" i="1"/>
  <c r="D22" i="1"/>
  <c r="Q21" i="1"/>
  <c r="M21" i="1"/>
  <c r="L21" i="1"/>
  <c r="K21" i="1"/>
  <c r="J21" i="1"/>
  <c r="D21" i="1" s="1"/>
  <c r="E21" i="1"/>
  <c r="Q20" i="1"/>
  <c r="M20" i="1"/>
  <c r="L20" i="1"/>
  <c r="K20" i="1"/>
  <c r="E20" i="1" s="1"/>
  <c r="J20" i="1"/>
  <c r="D20" i="1" s="1"/>
  <c r="Q19" i="1"/>
  <c r="M19" i="1"/>
  <c r="L19" i="1"/>
  <c r="K19" i="1"/>
  <c r="E19" i="1" s="1"/>
  <c r="J19" i="1"/>
  <c r="P19" i="1" s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E16" i="1" s="1"/>
  <c r="J16" i="1"/>
  <c r="P16" i="1" s="1"/>
  <c r="Q15" i="1"/>
  <c r="M15" i="1"/>
  <c r="L15" i="1"/>
  <c r="K15" i="1"/>
  <c r="E15" i="1" s="1"/>
  <c r="J15" i="1"/>
  <c r="P15" i="1" s="1"/>
  <c r="Q14" i="1"/>
  <c r="M14" i="1"/>
  <c r="L14" i="1"/>
  <c r="K14" i="1"/>
  <c r="E14" i="1" s="1"/>
  <c r="J14" i="1"/>
  <c r="P14" i="1" s="1"/>
  <c r="Q13" i="1"/>
  <c r="M13" i="1"/>
  <c r="L13" i="1"/>
  <c r="K13" i="1"/>
  <c r="J13" i="1"/>
  <c r="D13" i="1" s="1"/>
  <c r="E13" i="1"/>
  <c r="Q12" i="1"/>
  <c r="M12" i="1"/>
  <c r="L12" i="1"/>
  <c r="K12" i="1"/>
  <c r="E12" i="1" s="1"/>
  <c r="J12" i="1"/>
  <c r="P12" i="1" s="1"/>
  <c r="D12" i="1"/>
  <c r="Q11" i="1"/>
  <c r="M11" i="1"/>
  <c r="L11" i="1"/>
  <c r="K11" i="1"/>
  <c r="E11" i="1" s="1"/>
  <c r="J11" i="1"/>
  <c r="P11" i="1" s="1"/>
  <c r="Q10" i="1"/>
  <c r="M10" i="1"/>
  <c r="L10" i="1"/>
  <c r="K10" i="1"/>
  <c r="E10" i="1" s="1"/>
  <c r="J10" i="1"/>
  <c r="P10" i="1" s="1"/>
  <c r="Q9" i="1"/>
  <c r="M9" i="1"/>
  <c r="L9" i="1"/>
  <c r="K9" i="1"/>
  <c r="E9" i="1" s="1"/>
  <c r="J9" i="1"/>
  <c r="P9" i="1" s="1"/>
  <c r="D14" i="1" l="1"/>
  <c r="D16" i="1"/>
  <c r="D33" i="1"/>
  <c r="D39" i="1"/>
  <c r="D51" i="1"/>
  <c r="D53" i="1"/>
  <c r="P13" i="1"/>
  <c r="D11" i="1"/>
  <c r="D9" i="1"/>
  <c r="D40" i="1"/>
  <c r="D25" i="1"/>
  <c r="D27" i="1"/>
  <c r="D46" i="1"/>
  <c r="D57" i="1"/>
  <c r="D71" i="1"/>
  <c r="D84" i="1"/>
  <c r="P44" i="1"/>
  <c r="P21" i="1"/>
  <c r="D42" i="1"/>
  <c r="D59" i="1"/>
  <c r="P71" i="1"/>
  <c r="Q71" i="1"/>
  <c r="D10" i="1"/>
  <c r="D15" i="1"/>
  <c r="D19" i="1"/>
  <c r="D28" i="1"/>
  <c r="D63" i="1"/>
  <c r="P54" i="1"/>
  <c r="P60" i="1"/>
  <c r="P26" i="1"/>
  <c r="P32" i="1"/>
  <c r="P35" i="1"/>
  <c r="P52" i="1"/>
  <c r="Q58" i="1"/>
  <c r="Q64" i="1"/>
  <c r="P55" i="1"/>
  <c r="P57" i="1"/>
  <c r="P59" i="1"/>
  <c r="P61" i="1"/>
  <c r="P63" i="1"/>
  <c r="P58" i="1"/>
  <c r="P64" i="1"/>
  <c r="P20" i="1"/>
  <c r="P29" i="1"/>
  <c r="Q56" i="1"/>
  <c r="Q62" i="1"/>
  <c r="Q70" i="1"/>
  <c r="D23" i="1"/>
  <c r="P51" i="1"/>
  <c r="D70" i="1"/>
  <c r="P74" i="1"/>
  <c r="K70" i="1"/>
  <c r="E70" i="1" s="1"/>
  <c r="P56" i="1"/>
  <c r="P62" i="1"/>
  <c r="Q54" i="1"/>
  <c r="Q60" i="1"/>
  <c r="K74" i="1"/>
  <c r="E74" i="1" s="1"/>
</calcChain>
</file>

<file path=xl/sharedStrings.xml><?xml version="1.0" encoding="utf-8"?>
<sst xmlns="http://schemas.openxmlformats.org/spreadsheetml/2006/main" count="265" uniqueCount="183">
  <si>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</si>
  <si>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</si>
  <si>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</si>
  <si>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</si>
  <si>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</si>
  <si>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</si>
  <si>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</si>
  <si>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</si>
  <si>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</si>
  <si>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</si>
  <si>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</si>
  <si>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</si>
  <si>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</si>
  <si>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</si>
  <si>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</si>
  <si>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</si>
  <si>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</si>
  <si>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</si>
  <si>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</si>
  <si>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</si>
  <si>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</si>
  <si>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</si>
  <si>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</si>
  <si>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</si>
  <si>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</si>
  <si>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</si>
  <si>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</si>
  <si>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</si>
  <si>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</si>
  <si>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</si>
  <si>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</si>
  <si>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</si>
  <si>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</si>
  <si>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</si>
  <si>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</si>
  <si>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</si>
  <si>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</si>
  <si>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</si>
  <si>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</si>
  <si>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</si>
  <si>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</si>
  <si>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</si>
  <si>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</si>
  <si>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</si>
  <si>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</si>
  <si>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</si>
  <si>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</si>
  <si>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</si>
  <si>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</si>
  <si>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</si>
  <si>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</si>
  <si>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</si>
  <si>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</si>
  <si>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</si>
  <si>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</si>
  <si>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</si>
  <si>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</si>
  <si>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</si>
  <si>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</si>
  <si>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</si>
  <si>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</si>
  <si>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</si>
  <si>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</si>
  <si>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</si>
  <si>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</si>
  <si>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</si>
  <si>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</si>
  <si>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</si>
  <si>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</si>
  <si>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</si>
  <si>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</si>
  <si>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</si>
  <si>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</si>
  <si>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</si>
  <si>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</si>
  <si>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</si>
  <si>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</si>
  <si>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</si>
  <si>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</si>
  <si>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</si>
  <si>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</si>
  <si>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</si>
  <si>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</si>
  <si>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</si>
  <si>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</si>
  <si>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</si>
  <si>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</si>
  <si>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</si>
  <si>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</si>
  <si>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</si>
  <si>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</si>
  <si>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</si>
  <si>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</si>
  <si>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</si>
  <si>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</si>
  <si>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</si>
  <si>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</si>
  <si>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</si>
  <si>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</si>
  <si>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</si>
  <si>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</si>
  <si>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</si>
  <si>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</si>
  <si>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</si>
  <si>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</si>
  <si>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</si>
  <si>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</si>
  <si>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</si>
  <si>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</si>
  <si>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</si>
  <si>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</si>
  <si>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</si>
  <si>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</si>
  <si>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</si>
  <si>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</si>
  <si>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</si>
  <si>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</si>
  <si>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</si>
  <si>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</si>
  <si>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</si>
  <si>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</si>
  <si>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</si>
  <si>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</si>
  <si>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</si>
  <si>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</si>
  <si>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</si>
  <si>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</si>
  <si>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</si>
  <si>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</si>
  <si>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</si>
  <si>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</si>
  <si>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</si>
  <si>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</si>
  <si>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</si>
  <si>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</si>
  <si>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</si>
  <si>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</si>
  <si>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</si>
  <si>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</si>
  <si>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</si>
  <si>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</si>
  <si>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</si>
  <si>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</si>
  <si>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</si>
  <si>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</si>
  <si>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</si>
  <si>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</si>
  <si>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</si>
  <si>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</si>
  <si>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</si>
  <si>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</si>
  <si>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</si>
  <si>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</si>
  <si>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</si>
  <si>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</si>
  <si>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</si>
  <si>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</si>
  <si>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</si>
  <si>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</si>
  <si>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</si>
  <si>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</si>
  <si>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</si>
  <si>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</si>
  <si>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</si>
  <si>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</si>
  <si>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</si>
  <si>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</si>
  <si>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</si>
  <si>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</si>
  <si>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</si>
  <si>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</si>
  <si>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</si>
  <si>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</si>
  <si>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</si>
  <si>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</si>
  <si>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</si>
  <si>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</si>
  <si>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</si>
  <si>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</si>
  <si>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</si>
  <si>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</si>
  <si>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</si>
  <si>
    <t>TN CyberTech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</si>
</sst>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89E8B27F-51F6-4E24-B620-4E38012CFCC8}"/>
    <cellStyle name="Comma 5 2 2 2 2 2 2 2 2" xfId="4" xr:uid="{5E4F5323-E2D7-422C-8869-6622E76EDE83}"/>
    <cellStyle name="Comma 6 2 2 2" xfId="5" xr:uid="{85CFD0F2-767B-4B07-992F-BC9E34B33349}"/>
    <cellStyle name="Hyperlink 2" xfId="8" xr:uid="{DAD501CF-8719-41C4-B636-8B6181BBCB2C}"/>
    <cellStyle name="Normal" xfId="0" builtinId="0"/>
    <cellStyle name="Normal 2" xfId="2" xr:uid="{3FA7E8C2-A6B3-4D00-ABBE-D44342F95E9B}"/>
    <cellStyle name="Normal 20" xfId="7" xr:uid="{165EC019-4902-445A-84E3-15E6D149FF6E}"/>
    <cellStyle name="Percent" xfId="1" builtinId="5"/>
    <cellStyle name="Percent 3" xfId="6" xr:uid="{3F2C9852-8DB8-4731-9393-05FA9F69587C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0043B449-9908-41BB-A491-1F41B2A87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F286B37E-03AF-4E0B-86B6-D88FD7EA5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238EA-5674-4D00-8D91-7DA93DE4D851}">
  <dimension ref="A1:II106"/>
  <sheetViews>
    <sheetView tabSelected="1" zoomScale="73" zoomScaleNormal="60" workbookViewId="0">
      <selection activeCell="I84" sqref="I84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26.7804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124748059</v>
      </c>
      <c r="D9" s="38">
        <f>C9*J9</f>
        <v>73599323.841316789</v>
      </c>
      <c r="E9" s="39">
        <f>C9*K9</f>
        <v>62572042.29206349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0.58998371943660288</v>
      </c>
      <c r="K9" s="44">
        <f>I9/$K$4</f>
        <v>0.50158730158730158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2.5424430379746836E-2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3946770.3657921464</v>
      </c>
      <c r="E10" s="39">
        <f>C10*K10</f>
        <v>3355431.4001288884</v>
      </c>
      <c r="F10" s="40" t="s">
        <v>34</v>
      </c>
      <c r="G10" s="41">
        <v>3.1600000000000003E-2</v>
      </c>
      <c r="H10" s="42">
        <v>6.3828999999999997E-2</v>
      </c>
      <c r="I10" s="42">
        <v>6.4947999999999992E-2</v>
      </c>
      <c r="J10" s="43">
        <f>I10/$J$5</f>
        <v>2.4252064943018027E-3</v>
      </c>
      <c r="K10" s="44">
        <f>I10/$K$4</f>
        <v>2.0618412698412696E-3</v>
      </c>
      <c r="L10" s="45">
        <f>I10-H10</f>
        <v>1.118999999999995E-3</v>
      </c>
      <c r="M10" s="45">
        <f>((I10-H10)/H10)*100</f>
        <v>1.7531216218333281</v>
      </c>
      <c r="N10" s="46">
        <v>57500</v>
      </c>
      <c r="O10" s="37">
        <v>3734.52</v>
      </c>
      <c r="P10" s="50">
        <f>(R10)/J10</f>
        <v>0</v>
      </c>
      <c r="Q10" s="48">
        <f>I10/G10-1</f>
        <v>1.055316455696202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3589752.9155651149</v>
      </c>
      <c r="E11" s="39">
        <f>C11*K11</f>
        <v>3051905.3644444444</v>
      </c>
      <c r="F11" s="40" t="s">
        <v>39</v>
      </c>
      <c r="G11" s="41">
        <v>7.8E-2</v>
      </c>
      <c r="H11" s="42">
        <v>0.22</v>
      </c>
      <c r="I11" s="42">
        <v>0.22</v>
      </c>
      <c r="J11" s="43">
        <f>I11/$J$5</f>
        <v>8.2149631820286478E-3</v>
      </c>
      <c r="K11" s="44">
        <f>I11/$K$4</f>
        <v>6.9841269841269841E-3</v>
      </c>
      <c r="L11" s="45">
        <f>I11-H11</f>
        <v>0</v>
      </c>
      <c r="M11" s="45">
        <f>((I11-H11)/H11)*100</f>
        <v>0</v>
      </c>
      <c r="N11" s="46">
        <v>0</v>
      </c>
      <c r="O11" s="37">
        <v>0</v>
      </c>
      <c r="P11" s="50">
        <f>(R11)/J11</f>
        <v>0</v>
      </c>
      <c r="Q11" s="48">
        <f>I11/G11-1</f>
        <v>1.8205128205128207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146144756.05296415</v>
      </c>
      <c r="E12" s="39">
        <f>C12*K12</f>
        <v>124248096.03177145</v>
      </c>
      <c r="F12" s="40" t="s">
        <v>34</v>
      </c>
      <c r="G12" s="41">
        <v>97.381</v>
      </c>
      <c r="H12" s="42">
        <v>172.41919999999999</v>
      </c>
      <c r="I12" s="42">
        <v>189.68240000000003</v>
      </c>
      <c r="J12" s="43">
        <f>I12/$J$5</f>
        <v>7.0828815103583231</v>
      </c>
      <c r="K12" s="44">
        <f>I12/$K$4</f>
        <v>6.0216634920634933</v>
      </c>
      <c r="L12" s="45">
        <f>I12-H12</f>
        <v>17.26320000000004</v>
      </c>
      <c r="M12" s="45">
        <f>((I12-H12)/H12)*100</f>
        <v>10.012342012954498</v>
      </c>
      <c r="N12" s="46">
        <v>600</v>
      </c>
      <c r="O12" s="37">
        <v>113809.45</v>
      </c>
      <c r="P12" s="50">
        <f>(R12)/J12</f>
        <v>0</v>
      </c>
      <c r="Q12" s="48">
        <f>I12/G12-1</f>
        <v>0.9478378739179103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4566455.7661573384</v>
      </c>
      <c r="E13" s="39">
        <f>C13*K13</f>
        <v>3882270.222222222</v>
      </c>
      <c r="F13" s="40" t="s">
        <v>44</v>
      </c>
      <c r="G13" s="41">
        <v>13.6</v>
      </c>
      <c r="H13" s="42">
        <v>14</v>
      </c>
      <c r="I13" s="42">
        <v>14</v>
      </c>
      <c r="J13" s="43">
        <f>I13/$J$5</f>
        <v>0.52277038431091394</v>
      </c>
      <c r="K13" s="44">
        <f>I13/$K$4</f>
        <v>0.44444444444444442</v>
      </c>
      <c r="L13" s="45">
        <f>I13-H13</f>
        <v>0</v>
      </c>
      <c r="M13" s="45">
        <f>((I13-H13)/H13)*100</f>
        <v>0</v>
      </c>
      <c r="N13" s="46">
        <v>0</v>
      </c>
      <c r="O13" s="37">
        <v>0</v>
      </c>
      <c r="P13" s="50">
        <f>(R13)/J13</f>
        <v>0</v>
      </c>
      <c r="Q13" s="48">
        <f>I13/G13-1</f>
        <v>2.941176470588247E-2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354811184.0637182</v>
      </c>
      <c r="E14" s="39">
        <f>C14*K14</f>
        <v>301650331.22857147</v>
      </c>
      <c r="F14" s="40" t="s">
        <v>47</v>
      </c>
      <c r="G14" s="41">
        <v>11.5</v>
      </c>
      <c r="H14" s="42">
        <v>17.989999999999998</v>
      </c>
      <c r="I14" s="42">
        <v>18.18</v>
      </c>
      <c r="J14" s="43">
        <f>I14/$J$5</f>
        <v>0.67885468476945821</v>
      </c>
      <c r="K14" s="44">
        <f>I14/$K$4</f>
        <v>0.57714285714285718</v>
      </c>
      <c r="L14" s="45">
        <f>I14-H14</f>
        <v>0.19000000000000128</v>
      </c>
      <c r="M14" s="45">
        <f>((I14-H14)/H14)*100</f>
        <v>1.0561423012784952</v>
      </c>
      <c r="N14" s="46">
        <v>1000</v>
      </c>
      <c r="O14" s="37">
        <v>18180</v>
      </c>
      <c r="P14" s="50">
        <f>(R14)/J14</f>
        <v>0</v>
      </c>
      <c r="Q14" s="48">
        <f>I14/G14-1</f>
        <v>0.58086956521739119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23757869.561320964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0.22404445041896312</v>
      </c>
      <c r="K15" s="44">
        <f>I15/$K$4</f>
        <v>0.19047619047619047</v>
      </c>
      <c r="L15" s="45">
        <f>I15-H15</f>
        <v>0</v>
      </c>
      <c r="M15" s="45">
        <f>((I15-H15)/H15)*100</f>
        <v>0</v>
      </c>
      <c r="N15" s="46">
        <v>0</v>
      </c>
      <c r="O15" s="37">
        <v>0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40104052.74006363</v>
      </c>
      <c r="E16" s="39">
        <f>C16*K16</f>
        <v>34095319.809523806</v>
      </c>
      <c r="F16" s="40" t="s">
        <v>34</v>
      </c>
      <c r="G16" s="41">
        <v>1.9</v>
      </c>
      <c r="H16" s="42">
        <v>3</v>
      </c>
      <c r="I16" s="42">
        <v>3</v>
      </c>
      <c r="J16" s="43">
        <f>I16/$J$5</f>
        <v>0.11202222520948156</v>
      </c>
      <c r="K16" s="44">
        <f>I16/$K$4</f>
        <v>9.5238095238095233E-2</v>
      </c>
      <c r="L16" s="45">
        <f>I16-H16</f>
        <v>0</v>
      </c>
      <c r="M16" s="45">
        <f>((I16-H16)/H16)*100</f>
        <v>0</v>
      </c>
      <c r="N16" s="46">
        <v>100</v>
      </c>
      <c r="O16" s="37">
        <v>300</v>
      </c>
      <c r="P16" s="50">
        <f>(R16)/J16</f>
        <v>0</v>
      </c>
      <c r="Q16" s="48">
        <f>I16/G16-1</f>
        <v>0.57894736842105265</v>
      </c>
      <c r="R16" s="49"/>
    </row>
    <row r="17" spans="1:19" x14ac:dyDescent="0.25">
      <c r="A17" s="35" t="s">
        <v>52</v>
      </c>
      <c r="B17" s="36" t="s">
        <v>53</v>
      </c>
      <c r="C17" s="37">
        <v>1341613815</v>
      </c>
      <c r="D17" s="38">
        <f>C17*J17</f>
        <v>1502940717.0793006</v>
      </c>
      <c r="E17" s="39">
        <f>C17*K17</f>
        <v>1277757256.4974763</v>
      </c>
      <c r="F17" s="40" t="s">
        <v>34</v>
      </c>
      <c r="G17" s="41">
        <v>20.701700000000002</v>
      </c>
      <c r="H17" s="42">
        <v>29.999499999999998</v>
      </c>
      <c r="I17" s="42">
        <v>30.000700000000002</v>
      </c>
      <c r="J17" s="43">
        <f>I17/$J$5</f>
        <v>1.1202483906140313</v>
      </c>
      <c r="K17" s="44">
        <f>I17/$K$4</f>
        <v>0.9524031746031747</v>
      </c>
      <c r="L17" s="45">
        <f>I17-H17</f>
        <v>1.2000000000043087E-3</v>
      </c>
      <c r="M17" s="45">
        <f>((I17-H17)/H17)*100</f>
        <v>4.0000666677921593E-3</v>
      </c>
      <c r="N17" s="46">
        <v>312500</v>
      </c>
      <c r="O17" s="37">
        <v>9375205.0999999996</v>
      </c>
      <c r="P17" s="47">
        <f>(R17)/J17</f>
        <v>4.4632958564300163E-2</v>
      </c>
      <c r="Q17" s="48">
        <f>I17/G17-1</f>
        <v>0.44919016312669968</v>
      </c>
      <c r="R17" s="49">
        <v>0.05</v>
      </c>
      <c r="S17" s="51"/>
    </row>
    <row r="18" spans="1:19" hidden="1" x14ac:dyDescent="0.25">
      <c r="A18" s="35" t="s">
        <v>54</v>
      </c>
      <c r="B18" s="36" t="s">
        <v>55</v>
      </c>
      <c r="C18" s="37">
        <v>2992163203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275977104.41490793</v>
      </c>
      <c r="E19" s="39">
        <f>C19*K19</f>
        <v>234627849.11342859</v>
      </c>
      <c r="F19" s="40" t="s">
        <v>47</v>
      </c>
      <c r="G19" s="41">
        <v>12.45</v>
      </c>
      <c r="H19" s="42">
        <v>11</v>
      </c>
      <c r="I19" s="42">
        <v>10.999000000000001</v>
      </c>
      <c r="J19" s="43">
        <f>I19/$J$5</f>
        <v>0.41071081835969592</v>
      </c>
      <c r="K19" s="44">
        <f>I19/$K$4</f>
        <v>0.34917460317460319</v>
      </c>
      <c r="L19" s="45">
        <f>I19-H19</f>
        <v>-9.9999999999944578E-4</v>
      </c>
      <c r="M19" s="45">
        <f>((I19-H19)/H19)*100</f>
        <v>-9.0909090909040528E-3</v>
      </c>
      <c r="N19" s="46">
        <v>11400</v>
      </c>
      <c r="O19" s="37">
        <v>125388.6</v>
      </c>
      <c r="P19" s="50">
        <f>(R19)/J19</f>
        <v>0</v>
      </c>
      <c r="Q19" s="48">
        <f>I19/G19-1</f>
        <v>-0.11654618473895573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2401726.7604479399</v>
      </c>
      <c r="E20" s="39">
        <f>C20*K20</f>
        <v>2041879.4709682541</v>
      </c>
      <c r="F20" s="40" t="s">
        <v>47</v>
      </c>
      <c r="G20" s="41">
        <v>0.35</v>
      </c>
      <c r="H20" s="42">
        <v>0.59050000000000002</v>
      </c>
      <c r="I20" s="42">
        <v>0.59050000000000002</v>
      </c>
      <c r="J20" s="43">
        <f>I20/$J$5</f>
        <v>2.2049707995399622E-2</v>
      </c>
      <c r="K20" s="44">
        <f>I20/$K$4</f>
        <v>1.8746031746031747E-2</v>
      </c>
      <c r="L20" s="45">
        <f>I20-H20</f>
        <v>0</v>
      </c>
      <c r="M20" s="45">
        <f>((I20-H20)/H20)*100</f>
        <v>0</v>
      </c>
      <c r="N20" s="46">
        <v>0</v>
      </c>
      <c r="O20" s="37">
        <v>0</v>
      </c>
      <c r="P20" s="50">
        <f>(R20)/J20</f>
        <v>0</v>
      </c>
      <c r="Q20" s="48">
        <f>I20/G20-1</f>
        <v>0.68714285714285728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55277623.325267732</v>
      </c>
      <c r="E21" s="39">
        <f>C21*K21</f>
        <v>46995455.990476191</v>
      </c>
      <c r="F21" s="40" t="s">
        <v>47</v>
      </c>
      <c r="G21" s="41">
        <v>2.85</v>
      </c>
      <c r="H21" s="42">
        <v>2.145</v>
      </c>
      <c r="I21" s="42">
        <v>2.145</v>
      </c>
      <c r="J21" s="43">
        <f>I21/$J$5</f>
        <v>8.009589102477932E-2</v>
      </c>
      <c r="K21" s="44">
        <f>I21/$K$4</f>
        <v>6.8095238095238098E-2</v>
      </c>
      <c r="L21" s="45">
        <f>I21-H21</f>
        <v>0</v>
      </c>
      <c r="M21" s="45">
        <f>((I21-H21)/H21)*100</f>
        <v>0</v>
      </c>
      <c r="N21" s="46">
        <v>500</v>
      </c>
      <c r="O21" s="37">
        <v>1072.5</v>
      </c>
      <c r="P21" s="50">
        <f>(R21)/J21</f>
        <v>0</v>
      </c>
      <c r="Q21" s="48">
        <f>I21/G21-1</f>
        <v>-0.24736842105263157</v>
      </c>
      <c r="R21" s="49"/>
    </row>
    <row r="22" spans="1:19" x14ac:dyDescent="0.25">
      <c r="A22" s="35" t="s">
        <v>64</v>
      </c>
      <c r="B22" s="36" t="s">
        <v>65</v>
      </c>
      <c r="C22" s="37">
        <v>1236075493</v>
      </c>
      <c r="D22" s="38">
        <f>C22*J22</f>
        <v>41540378.175830089</v>
      </c>
      <c r="E22" s="39">
        <f>C22*K22</f>
        <v>35316442.657142855</v>
      </c>
      <c r="F22" s="40" t="s">
        <v>66</v>
      </c>
      <c r="G22" s="41">
        <v>0.88420599999999994</v>
      </c>
      <c r="H22" s="42">
        <v>0.9</v>
      </c>
      <c r="I22" s="42">
        <v>0.9</v>
      </c>
      <c r="J22" s="43">
        <f>I22/$J$5</f>
        <v>3.3606667562844472E-2</v>
      </c>
      <c r="K22" s="44">
        <f>I22/$K$4</f>
        <v>2.8571428571428571E-2</v>
      </c>
      <c r="L22" s="45">
        <f>I22-H22</f>
        <v>0</v>
      </c>
      <c r="M22" s="45">
        <f>((I22-H22)/H22)*100</f>
        <v>0</v>
      </c>
      <c r="N22" s="46">
        <v>0</v>
      </c>
      <c r="O22" s="37">
        <v>0</v>
      </c>
      <c r="P22" s="50">
        <f>(R22)/J22</f>
        <v>0</v>
      </c>
      <c r="Q22" s="48">
        <f>I22/G22-1</f>
        <v>1.7862353342999349E-2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2254119.4338956852</v>
      </c>
      <c r="E23" s="39">
        <f>C23*K23</f>
        <v>1916387.9392857142</v>
      </c>
      <c r="F23" s="40" t="s">
        <v>44</v>
      </c>
      <c r="G23" s="41">
        <v>0.1</v>
      </c>
      <c r="H23" s="42">
        <v>0.11</v>
      </c>
      <c r="I23" s="42">
        <v>0.1125</v>
      </c>
      <c r="J23" s="43">
        <f>I23/$J$5</f>
        <v>4.200833445355559E-3</v>
      </c>
      <c r="K23" s="44">
        <f>I23/$K$4</f>
        <v>3.5714285714285713E-3</v>
      </c>
      <c r="L23" s="45">
        <f>I23-H23</f>
        <v>2.5000000000000022E-3</v>
      </c>
      <c r="M23" s="45">
        <f>((I23-H23)/H23)*100</f>
        <v>2.2727272727272747</v>
      </c>
      <c r="N23" s="46">
        <v>2000</v>
      </c>
      <c r="O23" s="37">
        <v>225</v>
      </c>
      <c r="P23" s="50">
        <f>(R23)/J23</f>
        <v>0</v>
      </c>
      <c r="Q23" s="48">
        <f>I23/G23-1</f>
        <v>0.125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59451197.17421741</v>
      </c>
      <c r="E24" s="39">
        <f>C24*K24</f>
        <v>50543709.231886096</v>
      </c>
      <c r="F24" s="40" t="s">
        <v>34</v>
      </c>
      <c r="G24" s="41">
        <v>8.1687659999999997</v>
      </c>
      <c r="H24" s="42">
        <v>8.2484830000000002</v>
      </c>
      <c r="I24" s="42">
        <v>8.2484830000000002</v>
      </c>
      <c r="J24" s="43">
        <f>I24/$J$5</f>
        <v>0.30800447342086001</v>
      </c>
      <c r="K24" s="44">
        <f>I24/$K$4</f>
        <v>0.26185660317460319</v>
      </c>
      <c r="L24" s="45">
        <f>I24-H24</f>
        <v>0</v>
      </c>
      <c r="M24" s="45">
        <f>((I24-H24)/H24)*100</f>
        <v>0</v>
      </c>
      <c r="N24" s="46">
        <v>0</v>
      </c>
      <c r="O24" s="37">
        <v>0</v>
      </c>
      <c r="P24" s="50">
        <f>(R24)/J24</f>
        <v>0</v>
      </c>
      <c r="Q24" s="48">
        <f>I24/G24-1</f>
        <v>9.7587567081736104E-3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105236116.52663888</v>
      </c>
      <c r="E25" s="39">
        <f>C25*K25</f>
        <v>89468739.5247619</v>
      </c>
      <c r="F25" s="40" t="s">
        <v>66</v>
      </c>
      <c r="G25" s="41">
        <v>1.6675</v>
      </c>
      <c r="H25" s="42">
        <v>1.7090909999999999</v>
      </c>
      <c r="I25" s="42">
        <v>1.67</v>
      </c>
      <c r="J25" s="43">
        <f>I25/$J$5</f>
        <v>6.2359038699944733E-2</v>
      </c>
      <c r="K25" s="44">
        <f>I25/$K$4</f>
        <v>5.3015873015873016E-2</v>
      </c>
      <c r="L25" s="45">
        <f>I25-H25</f>
        <v>-3.9090999999999987E-2</v>
      </c>
      <c r="M25" s="45">
        <f>((I25-H25)/H25)*100</f>
        <v>-2.2872392400404653</v>
      </c>
      <c r="N25" s="46">
        <v>100</v>
      </c>
      <c r="O25" s="37">
        <v>167</v>
      </c>
      <c r="P25" s="50">
        <f>(R25)/J25</f>
        <v>0</v>
      </c>
      <c r="Q25" s="48">
        <f>I25/G25-1</f>
        <v>1.4992503748125774E-3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27114749.771124817</v>
      </c>
      <c r="E26" s="39">
        <f>C26*K26</f>
        <v>23052185.548274003</v>
      </c>
      <c r="F26" s="40" t="s">
        <v>44</v>
      </c>
      <c r="G26" s="41">
        <v>1.7994999999999999</v>
      </c>
      <c r="H26" s="42">
        <v>3.0333330000000003</v>
      </c>
      <c r="I26" s="42">
        <v>3.0333330000000003</v>
      </c>
      <c r="J26" s="43">
        <f>I26/$J$5</f>
        <v>0.11326690415378413</v>
      </c>
      <c r="K26" s="44">
        <f>I26/$K$4</f>
        <v>9.6296285714285723E-2</v>
      </c>
      <c r="L26" s="45">
        <f>I26-H26</f>
        <v>0</v>
      </c>
      <c r="M26" s="45">
        <f>((I26-H26)/H26)*100</f>
        <v>0</v>
      </c>
      <c r="N26" s="46">
        <v>0</v>
      </c>
      <c r="O26" s="37">
        <v>0</v>
      </c>
      <c r="P26" s="50">
        <f>(R26)/J26</f>
        <v>0</v>
      </c>
      <c r="Q26" s="48">
        <f>I26/G26-1</f>
        <v>0.6856532370102808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27685483.406689219</v>
      </c>
      <c r="E27" s="39">
        <f>C27*K27</f>
        <v>23537406.978555553</v>
      </c>
      <c r="F27" s="40" t="s">
        <v>34</v>
      </c>
      <c r="G27" s="41">
        <v>3.1361369999999997</v>
      </c>
      <c r="H27" s="42">
        <v>2.8927100000000001</v>
      </c>
      <c r="I27" s="42">
        <v>2.8944999999999999</v>
      </c>
      <c r="J27" s="43">
        <f>I27/$J$5</f>
        <v>0.10808277695628145</v>
      </c>
      <c r="K27" s="44">
        <f>I27/$K$4</f>
        <v>9.1888888888888881E-2</v>
      </c>
      <c r="L27" s="45">
        <f>I27-H27</f>
        <v>1.7899999999997362E-3</v>
      </c>
      <c r="M27" s="45">
        <f>((I27-H27)/H27)*100</f>
        <v>6.1879690670676848E-2</v>
      </c>
      <c r="N27" s="46">
        <v>16000</v>
      </c>
      <c r="O27" s="37">
        <v>46312</v>
      </c>
      <c r="P27" s="50">
        <f>(R27)/J27</f>
        <v>0</v>
      </c>
      <c r="Q27" s="48">
        <f>I27/G27-1</f>
        <v>-7.7049248805138304E-2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24336697.252934985</v>
      </c>
      <c r="E28" s="39">
        <f>C28*K28</f>
        <v>20690364.670238096</v>
      </c>
      <c r="F28" s="40" t="s">
        <v>44</v>
      </c>
      <c r="G28" s="41">
        <v>0.8</v>
      </c>
      <c r="H28" s="42">
        <v>0.86250000000000004</v>
      </c>
      <c r="I28" s="42">
        <v>0.86250000000000004</v>
      </c>
      <c r="J28" s="43">
        <f>I28/$J$5</f>
        <v>3.2206389747725953E-2</v>
      </c>
      <c r="K28" s="44">
        <f>I28/$K$4</f>
        <v>2.7380952380952381E-2</v>
      </c>
      <c r="L28" s="45">
        <f>I28-H28</f>
        <v>0</v>
      </c>
      <c r="M28" s="45">
        <f>((I28-H28)/H28)*100</f>
        <v>0</v>
      </c>
      <c r="N28" s="46">
        <v>0</v>
      </c>
      <c r="O28" s="37">
        <v>0</v>
      </c>
      <c r="P28" s="50">
        <f>(R28)/J28</f>
        <v>0</v>
      </c>
      <c r="Q28" s="48">
        <f>I28/G28-1</f>
        <v>7.8125E-2</v>
      </c>
      <c r="R28" s="49"/>
    </row>
    <row r="29" spans="1:19" x14ac:dyDescent="0.25">
      <c r="A29" s="35" t="s">
        <v>80</v>
      </c>
      <c r="B29" s="36" t="s">
        <v>81</v>
      </c>
      <c r="C29" s="37">
        <v>404171689</v>
      </c>
      <c r="D29" s="38">
        <f>C29*J29</f>
        <v>80742578.010410592</v>
      </c>
      <c r="E29" s="39">
        <f>C29*K29</f>
        <v>68645032.893650785</v>
      </c>
      <c r="F29" s="40" t="s">
        <v>47</v>
      </c>
      <c r="G29" s="41">
        <v>5.15</v>
      </c>
      <c r="H29" s="42">
        <v>5.35</v>
      </c>
      <c r="I29" s="42">
        <v>5.35</v>
      </c>
      <c r="J29" s="43">
        <f>I29/$J$5</f>
        <v>0.1997729682902421</v>
      </c>
      <c r="K29" s="44">
        <f>I29/$K$4</f>
        <v>0.16984126984126982</v>
      </c>
      <c r="L29" s="45">
        <f>I29-H29</f>
        <v>0</v>
      </c>
      <c r="M29" s="45">
        <f>((I29-H29)/H29)*100</f>
        <v>0</v>
      </c>
      <c r="N29" s="46">
        <v>16900</v>
      </c>
      <c r="O29" s="37">
        <v>90415</v>
      </c>
      <c r="P29" s="50">
        <f>(R29)/J29</f>
        <v>0</v>
      </c>
      <c r="Q29" s="48">
        <f>I29/G29-1</f>
        <v>3.883495145631044E-2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2">
        <f>I31/$J$5</f>
        <v>0</v>
      </c>
      <c r="K31" s="53">
        <f>I31/$K$4</f>
        <v>0</v>
      </c>
      <c r="L31" s="45">
        <v>0</v>
      </c>
      <c r="M31" s="45">
        <v>0</v>
      </c>
      <c r="N31" s="54" t="s">
        <v>85</v>
      </c>
      <c r="O31" s="54" t="s">
        <v>85</v>
      </c>
      <c r="P31" s="54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12557553.967398172</v>
      </c>
      <c r="E32" s="39">
        <f>C32*K32</f>
        <v>10676073.595825713</v>
      </c>
      <c r="F32" s="40" t="s">
        <v>39</v>
      </c>
      <c r="G32" s="41">
        <v>1.4</v>
      </c>
      <c r="H32" s="42">
        <v>1.2941130000000001</v>
      </c>
      <c r="I32" s="42">
        <v>1.2941130000000001</v>
      </c>
      <c r="J32" s="43">
        <f>I32/$J$5</f>
        <v>4.8323139310839272E-2</v>
      </c>
      <c r="K32" s="44">
        <f>I32/$K$4</f>
        <v>4.108295238095238E-2</v>
      </c>
      <c r="L32" s="45">
        <f>I32-H32</f>
        <v>0</v>
      </c>
      <c r="M32" s="45">
        <f>((I32-H32)/H32)*100</f>
        <v>0</v>
      </c>
      <c r="N32" s="46">
        <v>0</v>
      </c>
      <c r="O32" s="37">
        <v>0</v>
      </c>
      <c r="P32" s="50">
        <f>(R32)/J32</f>
        <v>0</v>
      </c>
      <c r="Q32" s="48">
        <f>I32/G32-1</f>
        <v>-7.56335714285713E-2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3873170.2849845411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2">
        <v>0.85</v>
      </c>
      <c r="J33" s="43">
        <f>I33/$J$5</f>
        <v>3.1739630476019777E-2</v>
      </c>
      <c r="K33" s="44">
        <f>I33/$K$4</f>
        <v>2.6984126984126982E-2</v>
      </c>
      <c r="L33" s="45">
        <f>I33-H33</f>
        <v>0</v>
      </c>
      <c r="M33" s="45">
        <f>((I33-H33)/H33)*100</f>
        <v>0</v>
      </c>
      <c r="N33" s="46">
        <v>0</v>
      </c>
      <c r="O33" s="37">
        <v>0</v>
      </c>
      <c r="P33" s="50">
        <f>(R33)/J33</f>
        <v>0</v>
      </c>
      <c r="Q33" s="48">
        <f>I33/G33-1</f>
        <v>0.30769230769230771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158412212.77874863</v>
      </c>
      <c r="E34" s="39">
        <f>C34*K34</f>
        <v>134677537.24126983</v>
      </c>
      <c r="F34" s="40" t="s">
        <v>92</v>
      </c>
      <c r="G34" s="41">
        <v>1.44</v>
      </c>
      <c r="H34" s="42">
        <v>1.7</v>
      </c>
      <c r="I34" s="42">
        <v>1.7</v>
      </c>
      <c r="J34" s="43">
        <f>I34/$J$5</f>
        <v>6.3479260952039554E-2</v>
      </c>
      <c r="K34" s="44">
        <f>I34/$K$4</f>
        <v>5.3968253968253964E-2</v>
      </c>
      <c r="L34" s="45">
        <f>I34-H34</f>
        <v>0</v>
      </c>
      <c r="M34" s="45">
        <f>((I34-H34)/H34)*100</f>
        <v>0</v>
      </c>
      <c r="N34" s="46">
        <v>400</v>
      </c>
      <c r="O34" s="37">
        <v>680</v>
      </c>
      <c r="P34" s="50">
        <f>(R34)/J34</f>
        <v>0</v>
      </c>
      <c r="Q34" s="48">
        <f>I34/G34-1</f>
        <v>0.18055555555555558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37010558.599946231</v>
      </c>
      <c r="E35" s="39">
        <f>C35*K35</f>
        <v>31465319.477142856</v>
      </c>
      <c r="F35" s="40" t="s">
        <v>34</v>
      </c>
      <c r="G35" s="41">
        <v>3.6056249999999999</v>
      </c>
      <c r="H35" s="42">
        <v>3.8063889999999998</v>
      </c>
      <c r="I35" s="42">
        <v>3.91</v>
      </c>
      <c r="J35" s="43">
        <f>I35/$J$5</f>
        <v>0.14600230018969096</v>
      </c>
      <c r="K35" s="44">
        <f>I35/$K$4</f>
        <v>0.12412698412698413</v>
      </c>
      <c r="L35" s="45">
        <f>I35-H35</f>
        <v>0.10361100000000034</v>
      </c>
      <c r="M35" s="45">
        <f>((I35-H35)/H35)*100</f>
        <v>2.7220286733699668</v>
      </c>
      <c r="N35" s="46">
        <v>28800</v>
      </c>
      <c r="O35" s="37">
        <v>112608</v>
      </c>
      <c r="P35" s="50">
        <f>(R35)/J35</f>
        <v>0</v>
      </c>
      <c r="Q35" s="48">
        <f>I35/G35-1</f>
        <v>8.4416710001733453E-2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7042589.4400382368</v>
      </c>
      <c r="E36" s="39">
        <f>C36*K36</f>
        <v>5987408.3250793647</v>
      </c>
      <c r="F36" s="40" t="s">
        <v>34</v>
      </c>
      <c r="G36" s="41">
        <v>2.5099999999999997E-2</v>
      </c>
      <c r="H36" s="42">
        <v>0.04</v>
      </c>
      <c r="I36" s="42">
        <v>0.04</v>
      </c>
      <c r="J36" s="43">
        <f>I36/$J$5</f>
        <v>1.4936296694597541E-3</v>
      </c>
      <c r="K36" s="44">
        <f>I36/$K$4</f>
        <v>1.2698412698412698E-3</v>
      </c>
      <c r="L36" s="45">
        <f>I36-H36</f>
        <v>0</v>
      </c>
      <c r="M36" s="45">
        <f>((I36-H36)/H36)*100</f>
        <v>0</v>
      </c>
      <c r="N36" s="46">
        <v>500</v>
      </c>
      <c r="O36" s="37">
        <v>20</v>
      </c>
      <c r="P36" s="50">
        <f>(R36)/J36</f>
        <v>0</v>
      </c>
      <c r="Q36" s="48">
        <f>I36/G36-1</f>
        <v>0.59362549800796827</v>
      </c>
      <c r="R36" s="49"/>
    </row>
    <row r="37" spans="1:18" x14ac:dyDescent="0.25">
      <c r="A37" s="35" t="s">
        <v>97</v>
      </c>
      <c r="B37" s="36" t="s">
        <v>98</v>
      </c>
      <c r="C37" s="37">
        <v>261064590</v>
      </c>
      <c r="D37" s="38">
        <f>C37*J37</f>
        <v>48642713.21411816</v>
      </c>
      <c r="E37" s="39">
        <f>C37*K37</f>
        <v>41354644.982837141</v>
      </c>
      <c r="F37" s="40" t="s">
        <v>92</v>
      </c>
      <c r="G37" s="41">
        <v>0.61</v>
      </c>
      <c r="H37" s="42">
        <v>5.0995629999999998</v>
      </c>
      <c r="I37" s="42">
        <v>4.9898430000000005</v>
      </c>
      <c r="J37" s="43">
        <f>I37/$J$5</f>
        <v>0.18632443876865171</v>
      </c>
      <c r="K37" s="44">
        <f>I37/$K$4</f>
        <v>0.15840771428571429</v>
      </c>
      <c r="L37" s="45">
        <f>I37-H37</f>
        <v>-0.10971999999999937</v>
      </c>
      <c r="M37" s="45">
        <f>((I37-H37)/H37)*100</f>
        <v>-2.1515569079154306</v>
      </c>
      <c r="N37" s="46">
        <v>76300</v>
      </c>
      <c r="O37" s="37">
        <v>380725</v>
      </c>
      <c r="P37" s="50">
        <f>(R37)/J37</f>
        <v>0</v>
      </c>
      <c r="Q37" s="48">
        <f>I37/G37-1</f>
        <v>7.1800704918032796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23443213.20225665</v>
      </c>
      <c r="E38" s="39">
        <f>C38*K38</f>
        <v>19930750.058467109</v>
      </c>
      <c r="F38" s="40" t="s">
        <v>56</v>
      </c>
      <c r="G38" s="41">
        <v>0.11650199999999999</v>
      </c>
      <c r="H38" s="42">
        <v>0.140155</v>
      </c>
      <c r="I38" s="42">
        <v>0.14966599999999999</v>
      </c>
      <c r="J38" s="43">
        <f>I38/$J$5</f>
        <v>5.5886394527340892E-3</v>
      </c>
      <c r="K38" s="44">
        <f>I38/$K$4</f>
        <v>4.751301587301587E-3</v>
      </c>
      <c r="L38" s="45">
        <f>I38-H38</f>
        <v>9.5109999999999917E-3</v>
      </c>
      <c r="M38" s="45">
        <f>((I38-H38)/H38)*100</f>
        <v>6.7860582926046105</v>
      </c>
      <c r="N38" s="46">
        <v>14605700</v>
      </c>
      <c r="O38" s="37">
        <v>2185978.2999999998</v>
      </c>
      <c r="P38" s="50">
        <v>0</v>
      </c>
      <c r="Q38" s="48">
        <f>I38/G38-1</f>
        <v>0.28466464095036992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101294652.88872366</v>
      </c>
      <c r="E39" s="39">
        <f>C39*K39</f>
        <v>86117819.753053173</v>
      </c>
      <c r="F39" s="40" t="s">
        <v>34</v>
      </c>
      <c r="G39" s="41">
        <v>2.6005000000000003</v>
      </c>
      <c r="H39" s="42">
        <v>6.8</v>
      </c>
      <c r="I39" s="42">
        <v>7.4745249999999999</v>
      </c>
      <c r="J39" s="43">
        <f>I39/$J$5</f>
        <v>0.27910430762796673</v>
      </c>
      <c r="K39" s="44">
        <f>I39/$K$4</f>
        <v>0.23728650793650793</v>
      </c>
      <c r="L39" s="45">
        <f>I39-H39</f>
        <v>0.67452500000000004</v>
      </c>
      <c r="M39" s="45">
        <f>((I39-H39)/H39)*100</f>
        <v>9.9194852941176492</v>
      </c>
      <c r="N39" s="46">
        <v>50600</v>
      </c>
      <c r="O39" s="37">
        <v>378210.95</v>
      </c>
      <c r="P39" s="50">
        <f>(R39)/J39</f>
        <v>0</v>
      </c>
      <c r="Q39" s="48">
        <f>I39/G39-1</f>
        <v>1.8742645645068254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16115242.860450182</v>
      </c>
      <c r="E40" s="39">
        <f>C40*K40</f>
        <v>13700719.044444444</v>
      </c>
      <c r="F40" s="40" t="s">
        <v>39</v>
      </c>
      <c r="G40" s="41">
        <v>0.1</v>
      </c>
      <c r="H40" s="42">
        <v>0.1</v>
      </c>
      <c r="I40" s="42">
        <v>0.1</v>
      </c>
      <c r="J40" s="43">
        <f>I40/$J$5</f>
        <v>3.7340741736493857E-3</v>
      </c>
      <c r="K40" s="44">
        <f>I40/$K$4</f>
        <v>3.1746031746031746E-3</v>
      </c>
      <c r="L40" s="45">
        <f>I40-H40</f>
        <v>0</v>
      </c>
      <c r="M40" s="45">
        <f>((I40-H40)/H40)*100</f>
        <v>0</v>
      </c>
      <c r="N40" s="46">
        <v>68800</v>
      </c>
      <c r="O40" s="37">
        <v>6880</v>
      </c>
      <c r="P40" s="50">
        <f>(R40)/J40</f>
        <v>0</v>
      </c>
      <c r="Q40" s="48">
        <f>I40/G40-1</f>
        <v>0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6361323.1766515812</v>
      </c>
      <c r="E41" s="39">
        <f>C41*K41</f>
        <v>5408215.2126984131</v>
      </c>
      <c r="F41" s="40" t="s">
        <v>44</v>
      </c>
      <c r="G41" s="41">
        <v>1.7452379999999998</v>
      </c>
      <c r="H41" s="42">
        <v>1.72</v>
      </c>
      <c r="I41" s="42">
        <v>1.6</v>
      </c>
      <c r="J41" s="43">
        <f>I41/$J$5</f>
        <v>5.9745186778390171E-2</v>
      </c>
      <c r="K41" s="44">
        <f>I41/$K$4</f>
        <v>5.0793650793650794E-2</v>
      </c>
      <c r="L41" s="45">
        <f>I41-H41</f>
        <v>-0.11999999999999988</v>
      </c>
      <c r="M41" s="45">
        <f>((I41-H41)/H41)*100</f>
        <v>-6.9767441860465045</v>
      </c>
      <c r="N41" s="46">
        <v>1000</v>
      </c>
      <c r="O41" s="37">
        <v>1600</v>
      </c>
      <c r="P41" s="50">
        <f>(R41)/J41</f>
        <v>0</v>
      </c>
      <c r="Q41" s="48">
        <f>I41/G41-1</f>
        <v>-8.3219595264370727E-2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2655675.6852026107</v>
      </c>
      <c r="E42" s="39">
        <f>C42*K42</f>
        <v>2257779.591111111</v>
      </c>
      <c r="F42" s="40" t="s">
        <v>39</v>
      </c>
      <c r="G42" s="41">
        <v>0.03</v>
      </c>
      <c r="H42" s="42">
        <v>0.04</v>
      </c>
      <c r="I42" s="42">
        <v>0.04</v>
      </c>
      <c r="J42" s="43">
        <f>I42/$J$5</f>
        <v>1.4936296694597541E-3</v>
      </c>
      <c r="K42" s="44">
        <f>I42/$K$4</f>
        <v>1.2698412698412698E-3</v>
      </c>
      <c r="L42" s="45">
        <f>I42-H42</f>
        <v>0</v>
      </c>
      <c r="M42" s="45">
        <f>((I42-H42)/H42)*100</f>
        <v>0</v>
      </c>
      <c r="N42" s="46">
        <v>0</v>
      </c>
      <c r="O42" s="37">
        <v>0</v>
      </c>
      <c r="P42" s="50">
        <f>(R42)/J42</f>
        <v>0</v>
      </c>
      <c r="Q42" s="48">
        <f>I42/G42-1</f>
        <v>0.33333333333333348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34017092.291377276</v>
      </c>
      <c r="E43" s="39">
        <f>C43*K43</f>
        <v>28920359.949206349</v>
      </c>
      <c r="F43" s="40" t="s">
        <v>47</v>
      </c>
      <c r="G43" s="41">
        <v>4.5</v>
      </c>
      <c r="H43" s="42">
        <v>5.2</v>
      </c>
      <c r="I43" s="42">
        <v>5.2</v>
      </c>
      <c r="J43" s="43">
        <f>I43/$J$5</f>
        <v>0.19417185702976805</v>
      </c>
      <c r="K43" s="44">
        <f>I43/$K$4</f>
        <v>0.16507936507936508</v>
      </c>
      <c r="L43" s="45">
        <f>I43-H43</f>
        <v>0</v>
      </c>
      <c r="M43" s="45">
        <f>((I43-H43)/H43)*100</f>
        <v>0</v>
      </c>
      <c r="N43" s="46">
        <v>0</v>
      </c>
      <c r="O43" s="37">
        <v>0</v>
      </c>
      <c r="P43" s="50">
        <f>(R43)/J43</f>
        <v>0</v>
      </c>
      <c r="Q43" s="48">
        <f>I43/G43-1</f>
        <v>0.15555555555555567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311.42469485145853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6.7213335125688937E-7</v>
      </c>
      <c r="K44" s="44">
        <f>I44/$K$4</f>
        <v>5.7142857142857149E-7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1509880.3602634761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2.6213200699018685E-3</v>
      </c>
      <c r="K45" s="44">
        <f>I45/$K$4</f>
        <v>2.2285714285714287E-3</v>
      </c>
      <c r="L45" s="45">
        <f>I45-H45</f>
        <v>0</v>
      </c>
      <c r="M45" s="45">
        <f>((I45-H45)/H45)*100</f>
        <v>0</v>
      </c>
      <c r="N45" s="46">
        <v>0</v>
      </c>
      <c r="O45" s="37">
        <v>0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46163871.87002375</v>
      </c>
      <c r="E46" s="39">
        <f>C46*K46</f>
        <v>39247204.896126471</v>
      </c>
      <c r="F46" s="40" t="s">
        <v>47</v>
      </c>
      <c r="G46" s="41">
        <v>0.9998999999999999</v>
      </c>
      <c r="H46" s="42">
        <v>0.67994399999999999</v>
      </c>
      <c r="I46" s="42">
        <v>0.67994399999999999</v>
      </c>
      <c r="J46" s="43">
        <f>I46/$J$5</f>
        <v>2.5389613299278576E-2</v>
      </c>
      <c r="K46" s="44">
        <f>I46/$K$4</f>
        <v>2.1585523809523808E-2</v>
      </c>
      <c r="L46" s="45">
        <f>I46-H46</f>
        <v>0</v>
      </c>
      <c r="M46" s="45">
        <f>((I46-H46)/H46)*100</f>
        <v>0</v>
      </c>
      <c r="N46" s="46">
        <v>0</v>
      </c>
      <c r="O46" s="37">
        <v>0</v>
      </c>
      <c r="P46" s="50">
        <f>(R46)/J46</f>
        <v>0</v>
      </c>
      <c r="Q46" s="48">
        <f>I46/G46-1</f>
        <v>-0.31998799879987994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4602434.018909351</v>
      </c>
      <c r="E47" s="39">
        <f>C47*K47</f>
        <v>3912857.9047619044</v>
      </c>
      <c r="F47" s="40" t="s">
        <v>47</v>
      </c>
      <c r="G47" s="41">
        <v>1.4503460000000001</v>
      </c>
      <c r="H47" s="42">
        <v>1.2</v>
      </c>
      <c r="I47" s="42">
        <v>1.2</v>
      </c>
      <c r="J47" s="43">
        <f>I47/$J$5</f>
        <v>4.4808890083792623E-2</v>
      </c>
      <c r="K47" s="44">
        <f>I47/$K$4</f>
        <v>3.8095238095238092E-2</v>
      </c>
      <c r="L47" s="45">
        <f>I47-H47</f>
        <v>0</v>
      </c>
      <c r="M47" s="45">
        <f>((I47-H47)/H47)*100</f>
        <v>0</v>
      </c>
      <c r="N47" s="46">
        <v>0</v>
      </c>
      <c r="O47" s="37">
        <v>0</v>
      </c>
      <c r="P47" s="50">
        <v>0</v>
      </c>
      <c r="Q47" s="48">
        <f>I47/G47-1</f>
        <v>-0.17261122518350802</v>
      </c>
      <c r="R47" s="49"/>
    </row>
    <row r="48" spans="1:18" ht="13.8" thickBot="1" x14ac:dyDescent="0.4">
      <c r="A48" s="55"/>
      <c r="B48" s="56" t="s">
        <v>82</v>
      </c>
      <c r="C48" s="57"/>
      <c r="D48" s="58"/>
      <c r="E48" s="58"/>
      <c r="F48" s="59"/>
      <c r="G48" s="59"/>
      <c r="H48" s="45"/>
      <c r="I48" s="45"/>
      <c r="J48" s="45"/>
      <c r="K48" s="45"/>
      <c r="L48" s="45"/>
      <c r="M48" s="45"/>
      <c r="N48" s="59">
        <f>SUM(N9:N47)</f>
        <v>15250700</v>
      </c>
      <c r="O48" s="60">
        <f>SUM(O9:O47)</f>
        <v>12841511.419999998</v>
      </c>
      <c r="P48" s="60"/>
      <c r="Q48" s="61"/>
    </row>
    <row r="49" spans="1:20" ht="13.2" x14ac:dyDescent="0.35">
      <c r="A49" s="62"/>
      <c r="B49" s="63" t="s">
        <v>82</v>
      </c>
      <c r="C49" s="64"/>
      <c r="D49" s="64"/>
      <c r="E49" s="64"/>
      <c r="F49" s="65"/>
      <c r="G49" s="65"/>
      <c r="H49" s="66"/>
      <c r="I49" s="66"/>
      <c r="J49" s="66"/>
      <c r="K49" s="66"/>
      <c r="L49" s="66"/>
      <c r="M49" s="66"/>
      <c r="N49" s="65"/>
      <c r="O49" s="65"/>
      <c r="P49" s="65"/>
      <c r="Q49" s="67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ht="11.4" customHeight="1" x14ac:dyDescent="0.25">
      <c r="A51" s="35" t="s">
        <v>120</v>
      </c>
      <c r="B51" s="36" t="s">
        <v>121</v>
      </c>
      <c r="C51" s="40">
        <v>554920308</v>
      </c>
      <c r="D51" s="38">
        <f>C51*J51</f>
        <v>86512076.017200008</v>
      </c>
      <c r="E51" s="39">
        <v>0</v>
      </c>
      <c r="F51" s="40" t="s">
        <v>92</v>
      </c>
      <c r="G51" s="68">
        <v>0.1</v>
      </c>
      <c r="H51" s="42">
        <v>0.15129999999999999</v>
      </c>
      <c r="I51" s="42">
        <v>0.15590000000000001</v>
      </c>
      <c r="J51" s="43">
        <f>I51</f>
        <v>0.15590000000000001</v>
      </c>
      <c r="K51" s="39">
        <v>0</v>
      </c>
      <c r="L51" s="45">
        <f>I51-H51</f>
        <v>4.6000000000000207E-3</v>
      </c>
      <c r="M51" s="45">
        <f>((I51-H51)/H51)*100</f>
        <v>3.0403172504957179</v>
      </c>
      <c r="N51" s="46">
        <v>482</v>
      </c>
      <c r="O51" s="37">
        <v>75.14</v>
      </c>
      <c r="P51" s="69">
        <f>(R51)/J51</f>
        <v>0</v>
      </c>
      <c r="Q51" s="48">
        <f>J51/G51-1</f>
        <v>0.55899999999999994</v>
      </c>
      <c r="T51" s="51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57069086.471000001</v>
      </c>
      <c r="E52" s="39">
        <v>0</v>
      </c>
      <c r="F52" s="40" t="s">
        <v>39</v>
      </c>
      <c r="G52" s="68">
        <v>39.9</v>
      </c>
      <c r="H52" s="42">
        <v>54.210099999999997</v>
      </c>
      <c r="I52" s="42">
        <v>53.956600000000002</v>
      </c>
      <c r="J52" s="43">
        <f>I52</f>
        <v>53.956600000000002</v>
      </c>
      <c r="K52" s="39">
        <v>0</v>
      </c>
      <c r="L52" s="45">
        <f>I52-H52</f>
        <v>-0.2534999999999954</v>
      </c>
      <c r="M52" s="45">
        <f>((I52-H52)/H52)*100</f>
        <v>-0.46762503666290117</v>
      </c>
      <c r="N52" s="46">
        <v>3225</v>
      </c>
      <c r="O52" s="37">
        <v>174010</v>
      </c>
      <c r="P52" s="70">
        <f>(R52)/J52</f>
        <v>1.0378711779467201E-2</v>
      </c>
      <c r="Q52" s="48">
        <f>J52/G52-1</f>
        <v>0.352295739348371</v>
      </c>
      <c r="R52" s="51">
        <v>0.56000000000000005</v>
      </c>
      <c r="T52" s="51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741458041.70340002</v>
      </c>
      <c r="E53" s="39"/>
      <c r="F53" s="40" t="s">
        <v>56</v>
      </c>
      <c r="G53" s="68">
        <v>0.33</v>
      </c>
      <c r="H53" s="42">
        <v>0.24709999999999999</v>
      </c>
      <c r="I53" s="42">
        <v>0.24779999999999999</v>
      </c>
      <c r="J53" s="43">
        <f>I53</f>
        <v>0.24779999999999999</v>
      </c>
      <c r="K53" s="39">
        <v>0</v>
      </c>
      <c r="L53" s="45">
        <f>I53-H53</f>
        <v>7.0000000000000617E-4</v>
      </c>
      <c r="M53" s="45">
        <f>((I53-H53)/H53)*100</f>
        <v>0.28328611898017247</v>
      </c>
      <c r="N53" s="46">
        <v>16027</v>
      </c>
      <c r="O53" s="37">
        <v>3971.93</v>
      </c>
      <c r="P53" s="69">
        <v>0</v>
      </c>
      <c r="Q53" s="48">
        <f>J53/G53-1</f>
        <v>-0.24909090909090914</v>
      </c>
      <c r="R53" s="51"/>
      <c r="T53" s="51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15670342.235100001</v>
      </c>
      <c r="E54" s="39">
        <v>0</v>
      </c>
      <c r="F54" s="40" t="s">
        <v>34</v>
      </c>
      <c r="G54" s="68">
        <v>2.3E-2</v>
      </c>
      <c r="H54" s="42">
        <v>2.5700000000000001E-2</v>
      </c>
      <c r="I54" s="42">
        <v>2.5700000000000001E-2</v>
      </c>
      <c r="J54" s="43">
        <f>I54</f>
        <v>2.5700000000000001E-2</v>
      </c>
      <c r="K54" s="39">
        <v>0</v>
      </c>
      <c r="L54" s="45">
        <f>I54-H54</f>
        <v>0</v>
      </c>
      <c r="M54" s="45">
        <f>((I54-H54)/H54)*100</f>
        <v>0</v>
      </c>
      <c r="N54" s="46">
        <v>0</v>
      </c>
      <c r="O54" s="37">
        <v>0</v>
      </c>
      <c r="P54" s="69">
        <f>(R54)/J54</f>
        <v>0</v>
      </c>
      <c r="Q54" s="48">
        <f>J54/G54-1</f>
        <v>0.11739130434782608</v>
      </c>
      <c r="T54" s="51"/>
    </row>
    <row r="55" spans="1:20" x14ac:dyDescent="0.25">
      <c r="A55" s="35" t="s">
        <v>128</v>
      </c>
      <c r="B55" s="36" t="s">
        <v>129</v>
      </c>
      <c r="C55" s="40">
        <v>2161875929</v>
      </c>
      <c r="D55" s="38">
        <f>C55*J55</f>
        <v>262019362.5948</v>
      </c>
      <c r="E55" s="39">
        <v>0</v>
      </c>
      <c r="F55" s="40" t="s">
        <v>47</v>
      </c>
      <c r="G55" s="68">
        <v>9.0200000000000002E-2</v>
      </c>
      <c r="H55" s="42">
        <v>0.11840000000000001</v>
      </c>
      <c r="I55" s="42">
        <v>0.1212</v>
      </c>
      <c r="J55" s="43">
        <f>I55</f>
        <v>0.1212</v>
      </c>
      <c r="K55" s="39">
        <v>0</v>
      </c>
      <c r="L55" s="45">
        <f>I55-H55</f>
        <v>2.7999999999999969E-3</v>
      </c>
      <c r="M55" s="71">
        <f>((I55-H55)/H55)*100</f>
        <v>2.3648648648648622</v>
      </c>
      <c r="N55" s="46">
        <v>1025</v>
      </c>
      <c r="O55" s="37">
        <v>124.2</v>
      </c>
      <c r="P55" s="69">
        <f>(R55)/J55</f>
        <v>0</v>
      </c>
      <c r="Q55" s="48">
        <f>J55/G55-1</f>
        <v>0.34368070953436813</v>
      </c>
      <c r="R55" s="51"/>
      <c r="T55" s="51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840967802.28999996</v>
      </c>
      <c r="E56" s="39">
        <v>0</v>
      </c>
      <c r="F56" s="40" t="s">
        <v>34</v>
      </c>
      <c r="G56" s="68">
        <v>0.95750000000000002</v>
      </c>
      <c r="H56" s="42">
        <v>1.4439</v>
      </c>
      <c r="I56" s="42">
        <v>1.4601999999999999</v>
      </c>
      <c r="J56" s="43">
        <f>I56</f>
        <v>1.4601999999999999</v>
      </c>
      <c r="K56" s="39">
        <v>0</v>
      </c>
      <c r="L56" s="45">
        <f>I56-H56</f>
        <v>1.6299999999999981E-2</v>
      </c>
      <c r="M56" s="45">
        <f>((I56-H56)/H56)*100</f>
        <v>1.128887042038921</v>
      </c>
      <c r="N56" s="46">
        <v>1487507</v>
      </c>
      <c r="O56" s="37">
        <v>2172074.3199999998</v>
      </c>
      <c r="P56" s="70">
        <f>(R56)/J56</f>
        <v>3.2187371592932473E-2</v>
      </c>
      <c r="Q56" s="48">
        <f>J56/G56-1</f>
        <v>0.52501305483028715</v>
      </c>
      <c r="R56" s="51">
        <v>4.7E-2</v>
      </c>
      <c r="T56" s="51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24664074.944400001</v>
      </c>
      <c r="E57" s="39">
        <v>0</v>
      </c>
      <c r="F57" s="40" t="s">
        <v>34</v>
      </c>
      <c r="G57" s="68">
        <v>0.1595</v>
      </c>
      <c r="H57" s="42">
        <v>0.14799999999999999</v>
      </c>
      <c r="I57" s="42">
        <v>0.1502</v>
      </c>
      <c r="J57" s="43">
        <f>I57</f>
        <v>0.1502</v>
      </c>
      <c r="K57" s="39">
        <v>0</v>
      </c>
      <c r="L57" s="45">
        <f>I57-H57</f>
        <v>2.2000000000000075E-3</v>
      </c>
      <c r="M57" s="45">
        <f>((I57-H57)/H57)*100</f>
        <v>1.4864864864864915</v>
      </c>
      <c r="N57" s="46">
        <v>715</v>
      </c>
      <c r="O57" s="37">
        <v>107.38</v>
      </c>
      <c r="P57" s="69">
        <f>(R57)/J57</f>
        <v>0</v>
      </c>
      <c r="Q57" s="48">
        <f>J57/G57-1</f>
        <v>-5.8307210031347978E-2</v>
      </c>
      <c r="T57" s="51"/>
    </row>
    <row r="58" spans="1:20" x14ac:dyDescent="0.25">
      <c r="A58" s="35" t="s">
        <v>134</v>
      </c>
      <c r="B58" s="36" t="s">
        <v>135</v>
      </c>
      <c r="C58" s="40">
        <v>794581116</v>
      </c>
      <c r="D58" s="38">
        <f>C58*J58</f>
        <v>15891622.32</v>
      </c>
      <c r="E58" s="39">
        <v>0</v>
      </c>
      <c r="F58" s="40" t="s">
        <v>92</v>
      </c>
      <c r="G58" s="68">
        <v>1.6799999999999999E-2</v>
      </c>
      <c r="H58" s="42">
        <v>2.12E-2</v>
      </c>
      <c r="I58" s="42">
        <v>0.02</v>
      </c>
      <c r="J58" s="43">
        <f>I58</f>
        <v>0.02</v>
      </c>
      <c r="K58" s="39">
        <v>0</v>
      </c>
      <c r="L58" s="45">
        <f>I58-H58</f>
        <v>-1.1999999999999997E-3</v>
      </c>
      <c r="M58" s="71">
        <f>((I58-H58)/H58)*100</f>
        <v>-5.6603773584905648</v>
      </c>
      <c r="N58" s="46">
        <v>11066</v>
      </c>
      <c r="O58" s="37">
        <v>221.31</v>
      </c>
      <c r="P58" s="69">
        <f>(R58)/J58</f>
        <v>0</v>
      </c>
      <c r="Q58" s="48">
        <f>J58/G58-1</f>
        <v>0.19047619047619047</v>
      </c>
      <c r="T58" s="51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2419095</v>
      </c>
      <c r="E59" s="39">
        <v>0</v>
      </c>
      <c r="F59" s="40" t="s">
        <v>138</v>
      </c>
      <c r="G59" s="68">
        <v>19.5</v>
      </c>
      <c r="H59" s="42">
        <v>15.9</v>
      </c>
      <c r="I59" s="42">
        <v>15</v>
      </c>
      <c r="J59" s="43">
        <f>I59</f>
        <v>15</v>
      </c>
      <c r="K59" s="39">
        <v>0</v>
      </c>
      <c r="L59" s="45">
        <f>I59-H59</f>
        <v>-0.90000000000000036</v>
      </c>
      <c r="M59" s="45">
        <f>((I59-H59)/H59)*100</f>
        <v>-5.6603773584905683</v>
      </c>
      <c r="N59" s="46">
        <v>1</v>
      </c>
      <c r="O59" s="37">
        <v>15</v>
      </c>
      <c r="P59" s="69">
        <f>(R59)/J59</f>
        <v>0</v>
      </c>
      <c r="Q59" s="48">
        <f>J59/G59-1</f>
        <v>-0.23076923076923073</v>
      </c>
      <c r="T59" s="51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809437939.43540001</v>
      </c>
      <c r="E60" s="39">
        <v>0</v>
      </c>
      <c r="F60" s="40" t="s">
        <v>92</v>
      </c>
      <c r="G60" s="68">
        <v>0.59499999999999997</v>
      </c>
      <c r="H60" s="42">
        <v>1.0004</v>
      </c>
      <c r="I60" s="42">
        <v>1.0054000000000001</v>
      </c>
      <c r="J60" s="43">
        <f>I60</f>
        <v>1.0054000000000001</v>
      </c>
      <c r="K60" s="39">
        <v>0</v>
      </c>
      <c r="L60" s="45">
        <f>I60-H60</f>
        <v>5.0000000000001155E-3</v>
      </c>
      <c r="M60" s="45">
        <f>((I60-H60)/H60)*100</f>
        <v>0.49980007996802439</v>
      </c>
      <c r="N60" s="46">
        <v>25324</v>
      </c>
      <c r="O60" s="37">
        <v>25460.65</v>
      </c>
      <c r="P60" s="69">
        <f>(R60)/J60</f>
        <v>0</v>
      </c>
      <c r="Q60" s="48">
        <f>J60/G60-1</f>
        <v>0.68974789915966417</v>
      </c>
      <c r="R60" s="51"/>
      <c r="T60" s="51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72478636.004000008</v>
      </c>
      <c r="E61" s="39">
        <v>0</v>
      </c>
      <c r="F61" s="40" t="s">
        <v>34</v>
      </c>
      <c r="G61" s="68">
        <v>0.22600000000000001</v>
      </c>
      <c r="H61" s="42">
        <v>0.27660000000000001</v>
      </c>
      <c r="I61" s="42">
        <v>0.27800000000000002</v>
      </c>
      <c r="J61" s="43">
        <f>I61</f>
        <v>0.27800000000000002</v>
      </c>
      <c r="K61" s="39">
        <v>0</v>
      </c>
      <c r="L61" s="45">
        <f>I61-H61</f>
        <v>1.4000000000000123E-3</v>
      </c>
      <c r="M61" s="45">
        <f>((I61-H61)/H61)*100</f>
        <v>0.5061460592914</v>
      </c>
      <c r="N61" s="46">
        <v>106872</v>
      </c>
      <c r="O61" s="37">
        <v>29710.41</v>
      </c>
      <c r="P61" s="69">
        <f>(R61)/J61</f>
        <v>0</v>
      </c>
      <c r="Q61" s="48">
        <f>J61/G61-1</f>
        <v>0.23008849557522137</v>
      </c>
      <c r="T61" s="51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384927924.34359998</v>
      </c>
      <c r="E62" s="39">
        <v>0</v>
      </c>
      <c r="F62" s="40" t="s">
        <v>34</v>
      </c>
      <c r="G62" s="68">
        <v>0.49440000000000001</v>
      </c>
      <c r="H62" s="42">
        <v>0.69130000000000003</v>
      </c>
      <c r="I62" s="42">
        <v>0.68469999999999998</v>
      </c>
      <c r="J62" s="43">
        <f>I62</f>
        <v>0.68469999999999998</v>
      </c>
      <c r="K62" s="39">
        <v>0</v>
      </c>
      <c r="L62" s="45">
        <f>I62-H62</f>
        <v>-6.6000000000000503E-3</v>
      </c>
      <c r="M62" s="45">
        <f>((I62-H62)/H62)*100</f>
        <v>-0.95472298567916247</v>
      </c>
      <c r="N62" s="46">
        <v>570729</v>
      </c>
      <c r="O62" s="37">
        <v>390793.98</v>
      </c>
      <c r="P62" s="69">
        <f>(R62)/J62</f>
        <v>0</v>
      </c>
      <c r="Q62" s="48">
        <f>J62/G62-1</f>
        <v>0.38491100323624594</v>
      </c>
      <c r="R62" s="51"/>
      <c r="T62" s="51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8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0</v>
      </c>
      <c r="O63" s="37">
        <v>0</v>
      </c>
      <c r="P63" s="69">
        <f>(R63)/J63</f>
        <v>0</v>
      </c>
      <c r="Q63" s="48">
        <f>J63/G63-1</f>
        <v>0</v>
      </c>
      <c r="T63" s="51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17987101.369200002</v>
      </c>
      <c r="E64" s="39">
        <v>0</v>
      </c>
      <c r="F64" s="40" t="s">
        <v>44</v>
      </c>
      <c r="G64" s="68">
        <v>4.2999999999999997E-2</v>
      </c>
      <c r="H64" s="42">
        <v>5.3900000000000003E-2</v>
      </c>
      <c r="I64" s="42">
        <v>5.2200000000000003E-2</v>
      </c>
      <c r="J64" s="43">
        <f>I64</f>
        <v>5.2200000000000003E-2</v>
      </c>
      <c r="K64" s="39">
        <v>0</v>
      </c>
      <c r="L64" s="45">
        <f>I64-H64</f>
        <v>-1.7000000000000001E-3</v>
      </c>
      <c r="M64" s="45">
        <f>((I64-H64)/H64)*100</f>
        <v>-3.1539888682745829</v>
      </c>
      <c r="N64" s="46">
        <v>10999</v>
      </c>
      <c r="O64" s="37">
        <v>574.15</v>
      </c>
      <c r="P64" s="69">
        <f>(R64)/J64</f>
        <v>0</v>
      </c>
      <c r="Q64" s="48">
        <f>J64/G64-1</f>
        <v>0.21395348837209327</v>
      </c>
      <c r="T64" s="51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9">
        <f>SUM(N51:N64)</f>
        <v>2233972</v>
      </c>
      <c r="O65" s="60">
        <f>SUM(O51:O64)</f>
        <v>2797138.4699999997</v>
      </c>
      <c r="P65" s="75"/>
      <c r="Q65" s="61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1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50148211.32</v>
      </c>
      <c r="E70" s="39">
        <f>C70*K70</f>
        <v>50148211.32</v>
      </c>
      <c r="F70" s="87" t="s">
        <v>156</v>
      </c>
      <c r="G70" s="87">
        <v>0.24</v>
      </c>
      <c r="H70" s="88">
        <v>0.36</v>
      </c>
      <c r="I70" s="88">
        <v>0.36</v>
      </c>
      <c r="J70" s="89">
        <f>I70</f>
        <v>0.36</v>
      </c>
      <c r="K70" s="89">
        <f>J70</f>
        <v>0.36</v>
      </c>
      <c r="L70" s="45">
        <f>I70-H70</f>
        <v>0</v>
      </c>
      <c r="M70" s="45">
        <f>((I70-H70)/H70)*100</f>
        <v>0</v>
      </c>
      <c r="N70" s="90">
        <v>90</v>
      </c>
      <c r="O70" s="91">
        <v>32.4</v>
      </c>
      <c r="P70" s="69">
        <f>(R70)/J70</f>
        <v>0</v>
      </c>
      <c r="Q70" s="48">
        <f>J70/G70-1</f>
        <v>0.5</v>
      </c>
      <c r="T70" s="51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70325681.099999994</v>
      </c>
      <c r="E71" s="39">
        <f>C71*K71</f>
        <v>70325681.099999994</v>
      </c>
      <c r="F71" s="87" t="s">
        <v>156</v>
      </c>
      <c r="G71" s="87">
        <v>0.1</v>
      </c>
      <c r="H71" s="88">
        <v>0.14879999999999999</v>
      </c>
      <c r="I71" s="88">
        <v>0.1492</v>
      </c>
      <c r="J71" s="89">
        <f>I71</f>
        <v>0.1492</v>
      </c>
      <c r="K71" s="89">
        <f>J71</f>
        <v>0.1492</v>
      </c>
      <c r="L71" s="45">
        <f>I71-H71</f>
        <v>4.0000000000001146E-4</v>
      </c>
      <c r="M71" s="45">
        <f>((I71-H71)/H71)*100</f>
        <v>0.26881720430108302</v>
      </c>
      <c r="N71" s="46">
        <v>1920</v>
      </c>
      <c r="O71" s="91">
        <v>286.5</v>
      </c>
      <c r="P71" s="92">
        <f>(R71)/J71</f>
        <v>2.5415549597855226E-2</v>
      </c>
      <c r="Q71" s="48">
        <f>J71/G71-1</f>
        <v>0.49199999999999999</v>
      </c>
      <c r="R71" s="5">
        <v>3.7919999999999998E-3</v>
      </c>
      <c r="T71" s="51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9">
        <f>SUM(N70:N71)</f>
        <v>2010</v>
      </c>
      <c r="O72" s="60">
        <f>SUM(O70:O71)</f>
        <v>318.89999999999998</v>
      </c>
      <c r="P72" s="85"/>
      <c r="Q72" s="61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2812740.7944999998</v>
      </c>
      <c r="E74" s="39">
        <f>C74*K74</f>
        <v>2812740.7944999998</v>
      </c>
      <c r="F74" s="87" t="s">
        <v>138</v>
      </c>
      <c r="G74" s="87">
        <v>0.1394</v>
      </c>
      <c r="H74" s="88">
        <v>0.13500000000000001</v>
      </c>
      <c r="I74" s="88">
        <v>0.1351</v>
      </c>
      <c r="J74" s="89">
        <f>I74</f>
        <v>0.1351</v>
      </c>
      <c r="K74" s="89">
        <f>J74</f>
        <v>0.1351</v>
      </c>
      <c r="L74" s="45">
        <f>I74-H74</f>
        <v>9.9999999999988987E-5</v>
      </c>
      <c r="M74" s="45">
        <f>((I74-H74)/H74)*100</f>
        <v>7.407407407406591E-2</v>
      </c>
      <c r="N74" s="90">
        <v>72261</v>
      </c>
      <c r="O74" s="91">
        <v>9761.92</v>
      </c>
      <c r="P74" s="69">
        <f>(R74)/J74</f>
        <v>0</v>
      </c>
      <c r="Q74" s="48">
        <f>J74/G74-1</f>
        <v>-3.0846484935437624E-2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9"/>
      <c r="O75" s="60"/>
      <c r="P75" s="85"/>
      <c r="Q75" s="61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45396463</v>
      </c>
      <c r="D77" s="38">
        <f>C77*J77</f>
        <v>115833.83766407522</v>
      </c>
      <c r="E77" s="39">
        <f>C77*K77</f>
        <v>98478.619243777779</v>
      </c>
      <c r="F77" s="40" t="s">
        <v>138</v>
      </c>
      <c r="G77" s="68">
        <v>0.105</v>
      </c>
      <c r="H77" s="42">
        <v>6.5599999999999992E-2</v>
      </c>
      <c r="I77" s="42">
        <v>6.8333000000000005E-2</v>
      </c>
      <c r="J77" s="43">
        <f>I77/$J$5</f>
        <v>2.5516049050798347E-3</v>
      </c>
      <c r="K77" s="44">
        <f>I77/$K$4</f>
        <v>2.1693015873015874E-3</v>
      </c>
      <c r="L77" s="45">
        <f>I77-H77</f>
        <v>2.7330000000000132E-3</v>
      </c>
      <c r="M77" s="93">
        <f>((I77-H77)/H77)*100</f>
        <v>4.1661585365853862</v>
      </c>
      <c r="N77" s="37">
        <v>1200</v>
      </c>
      <c r="O77" s="37">
        <v>82</v>
      </c>
      <c r="P77" s="40">
        <v>0</v>
      </c>
      <c r="Q77" s="48">
        <f>I77/G77-1</f>
        <v>-0.34920952380952375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305063.52108258277</v>
      </c>
      <c r="E78" s="39">
        <f>C78*K78</f>
        <v>259356.28952380954</v>
      </c>
      <c r="F78" s="40" t="s">
        <v>138</v>
      </c>
      <c r="G78" s="68">
        <v>4.2500000000000003E-2</v>
      </c>
      <c r="H78" s="42">
        <v>0.06</v>
      </c>
      <c r="I78" s="42">
        <v>0.06</v>
      </c>
      <c r="J78" s="43">
        <f>I78/$J$5</f>
        <v>2.2404445041896313E-3</v>
      </c>
      <c r="K78" s="44">
        <f>I78/$K$4</f>
        <v>1.9047619047619048E-3</v>
      </c>
      <c r="L78" s="45">
        <f>I78-H78</f>
        <v>0</v>
      </c>
      <c r="M78" s="93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0.41176470588235281</v>
      </c>
    </row>
    <row r="79" spans="1:20" x14ac:dyDescent="0.25">
      <c r="A79" s="35" t="s">
        <v>167</v>
      </c>
      <c r="B79" s="36" t="s">
        <v>168</v>
      </c>
      <c r="C79" s="40">
        <v>494417400</v>
      </c>
      <c r="D79" s="38">
        <f>C79*J79</f>
        <v>1846191.2443428778</v>
      </c>
      <c r="E79" s="39">
        <f>C79*K79</f>
        <v>1569579.0476190476</v>
      </c>
      <c r="F79" s="40" t="s">
        <v>138</v>
      </c>
      <c r="G79" s="68">
        <v>6.0499999999999998E-2</v>
      </c>
      <c r="H79" s="42">
        <v>0.1</v>
      </c>
      <c r="I79" s="42">
        <v>0.1</v>
      </c>
      <c r="J79" s="43">
        <f>I79/$J$5</f>
        <v>3.7340741736493857E-3</v>
      </c>
      <c r="K79" s="44">
        <f>I79/$K$4</f>
        <v>3.1746031746031746E-3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0.65289256198347112</v>
      </c>
    </row>
    <row r="80" spans="1:20" x14ac:dyDescent="0.25">
      <c r="A80" s="35" t="s">
        <v>169</v>
      </c>
      <c r="B80" s="36" t="s">
        <v>170</v>
      </c>
      <c r="C80" s="37">
        <v>41156692</v>
      </c>
      <c r="D80" s="38">
        <f>C80*J80</f>
        <v>2382073.1803856553</v>
      </c>
      <c r="E80" s="39">
        <f>C80*K80</f>
        <v>2025170.5587301587</v>
      </c>
      <c r="F80" s="40" t="s">
        <v>138</v>
      </c>
      <c r="G80" s="68">
        <v>1.85</v>
      </c>
      <c r="H80" s="42">
        <v>1.55</v>
      </c>
      <c r="I80" s="42">
        <v>1.55</v>
      </c>
      <c r="J80" s="43">
        <f>I80/$J$5</f>
        <v>5.7878149691565475E-2</v>
      </c>
      <c r="K80" s="44">
        <f>I80/$K$4</f>
        <v>4.9206349206349205E-2</v>
      </c>
      <c r="L80" s="45">
        <f>I80-H80</f>
        <v>0</v>
      </c>
      <c r="M80" s="93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9">
        <f>SUM(N77:N80)</f>
        <v>1200</v>
      </c>
      <c r="O81" s="60">
        <f>SUM(O77:O80)</f>
        <v>82</v>
      </c>
      <c r="P81" s="75"/>
      <c r="Q81" s="61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30429785.023748711</v>
      </c>
      <c r="E83" s="39">
        <f>C83*K83</f>
        <v>25870533.804761905</v>
      </c>
      <c r="F83" s="40" t="s">
        <v>174</v>
      </c>
      <c r="G83" s="40">
        <v>1.3</v>
      </c>
      <c r="H83" s="42">
        <v>2.2124999999999999</v>
      </c>
      <c r="I83" s="42">
        <v>2.2124999999999999</v>
      </c>
      <c r="J83" s="43">
        <f>I83/$J$5</f>
        <v>8.2616391091992647E-2</v>
      </c>
      <c r="K83" s="44">
        <f>I83/$K$4</f>
        <v>7.0238095238095238E-2</v>
      </c>
      <c r="L83" s="45">
        <f>I83-H83</f>
        <v>0</v>
      </c>
      <c r="M83" s="45">
        <f>((I83-H83)/H83*100)</f>
        <v>0</v>
      </c>
      <c r="N83" s="50">
        <v>0</v>
      </c>
      <c r="O83" s="37">
        <v>0</v>
      </c>
      <c r="P83" s="50">
        <f>(R83)/J83</f>
        <v>0</v>
      </c>
      <c r="Q83" s="48">
        <f>I83/G83-1</f>
        <v>0.70192307692307687</v>
      </c>
      <c r="R83" s="51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80096083.543188304</v>
      </c>
      <c r="E84" s="39">
        <f>C84*K84</f>
        <v>68095401.768888891</v>
      </c>
      <c r="F84" s="40" t="s">
        <v>174</v>
      </c>
      <c r="G84" s="40">
        <v>1.44347</v>
      </c>
      <c r="H84" s="42">
        <v>1.1947509999999999</v>
      </c>
      <c r="I84" s="42">
        <v>1.1650640000000001</v>
      </c>
      <c r="J84" s="43">
        <f>I84/$J$5</f>
        <v>4.3504353930486475E-2</v>
      </c>
      <c r="K84" s="44">
        <f>I84/$K$4</f>
        <v>3.698615873015873E-2</v>
      </c>
      <c r="L84" s="45">
        <f>I84-H84</f>
        <v>-2.9686999999999797E-2</v>
      </c>
      <c r="M84" s="45">
        <f>((I84-H84)/H84*100)</f>
        <v>-2.4847855327176793</v>
      </c>
      <c r="N84" s="50">
        <v>6396330</v>
      </c>
      <c r="O84" s="37">
        <v>7452140.7204999998</v>
      </c>
      <c r="P84" s="47">
        <f>(R84)/J84</f>
        <v>5.0017982188102973E-2</v>
      </c>
      <c r="Q84" s="48">
        <f>I84/G84-1</f>
        <v>-0.19287273029574559</v>
      </c>
      <c r="R84" s="51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9">
        <f>SUM(N83:N84)</f>
        <v>6396330</v>
      </c>
      <c r="O85" s="60">
        <f>SUM(O83:O84)</f>
        <v>7452140.7204999998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7"/>
      <c r="M86" s="108"/>
      <c r="N86" s="108"/>
      <c r="O86" s="57"/>
      <c r="P86" s="57"/>
      <c r="Q86" s="109"/>
    </row>
    <row r="87" spans="1:243" ht="12.6" thickBot="1" x14ac:dyDescent="0.3">
      <c r="A87" s="135" t="s">
        <v>177</v>
      </c>
      <c r="B87" s="136"/>
      <c r="C87" s="136"/>
      <c r="D87" s="137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40</v>
      </c>
      <c r="B88" s="110">
        <v>189.68240000000003</v>
      </c>
      <c r="D88" s="110">
        <v>10.012342012954498</v>
      </c>
      <c r="E88" s="35" t="s">
        <v>105</v>
      </c>
      <c r="F88" s="111">
        <v>1.6</v>
      </c>
      <c r="H88" s="112">
        <v>-6.9767441860465045</v>
      </c>
      <c r="L88" s="35" t="s">
        <v>120</v>
      </c>
      <c r="M88" s="50">
        <v>0.15590000000000001</v>
      </c>
      <c r="N88" s="113">
        <v>3.0403172504957179</v>
      </c>
      <c r="O88" s="35" t="s">
        <v>136</v>
      </c>
      <c r="P88" s="111">
        <v>15</v>
      </c>
      <c r="Q88" s="114">
        <v>-5.6603773584905683</v>
      </c>
    </row>
    <row r="89" spans="1:243" x14ac:dyDescent="0.25">
      <c r="A89" s="35" t="s">
        <v>101</v>
      </c>
      <c r="B89" s="110">
        <v>7.4745249999999999</v>
      </c>
      <c r="D89" s="110">
        <v>9.9194852941176492</v>
      </c>
      <c r="E89" s="35" t="s">
        <v>72</v>
      </c>
      <c r="F89" s="111">
        <v>1.67</v>
      </c>
      <c r="H89" s="112">
        <v>-2.2872392400404653</v>
      </c>
      <c r="L89" s="35" t="s">
        <v>128</v>
      </c>
      <c r="M89" s="50">
        <v>0.1212</v>
      </c>
      <c r="N89" s="113">
        <v>2.3648648648648622</v>
      </c>
      <c r="O89" s="35" t="s">
        <v>134</v>
      </c>
      <c r="P89" s="111">
        <v>0.02</v>
      </c>
      <c r="Q89" s="114">
        <v>-5.6603773584905648</v>
      </c>
    </row>
    <row r="90" spans="1:243" x14ac:dyDescent="0.25">
      <c r="A90" s="35" t="s">
        <v>182</v>
      </c>
      <c r="B90" s="110">
        <v>0.14966599999999999</v>
      </c>
      <c r="C90" s="110"/>
      <c r="D90" s="110">
        <v>6.7860582926046105</v>
      </c>
      <c r="E90" s="35" t="s">
        <v>97</v>
      </c>
      <c r="F90" s="111">
        <v>4.9898430000000005</v>
      </c>
      <c r="H90" s="112">
        <v>-2.1515569079154306</v>
      </c>
      <c r="L90" s="35" t="s">
        <v>132</v>
      </c>
      <c r="M90" s="50">
        <v>0.1502</v>
      </c>
      <c r="N90" s="113">
        <v>1.4864864864864915</v>
      </c>
      <c r="O90" s="35" t="s">
        <v>147</v>
      </c>
      <c r="P90" s="111">
        <v>5.2200000000000003E-2</v>
      </c>
      <c r="Q90" s="114">
        <v>-3.1539888682745829</v>
      </c>
    </row>
    <row r="91" spans="1:243" x14ac:dyDescent="0.25">
      <c r="A91" s="35" t="s">
        <v>93</v>
      </c>
      <c r="B91" s="110">
        <v>3.91</v>
      </c>
      <c r="C91" s="110"/>
      <c r="D91" s="110">
        <v>2.7220286733699668</v>
      </c>
      <c r="E91" s="35" t="s">
        <v>58</v>
      </c>
      <c r="F91" s="111">
        <v>10.999000000000001</v>
      </c>
      <c r="G91" s="111"/>
      <c r="H91" s="112">
        <v>-9.0909090909040528E-3</v>
      </c>
      <c r="L91" s="35" t="s">
        <v>130</v>
      </c>
      <c r="M91" s="50">
        <v>1.4601999999999999</v>
      </c>
      <c r="N91" s="113">
        <v>1.128887042038921</v>
      </c>
      <c r="O91" s="35" t="s">
        <v>143</v>
      </c>
      <c r="P91" s="111">
        <v>0.68469999999999998</v>
      </c>
      <c r="Q91" s="114">
        <v>-0.95472298567916247</v>
      </c>
    </row>
    <row r="92" spans="1:243" x14ac:dyDescent="0.25">
      <c r="A92" s="35" t="s">
        <v>67</v>
      </c>
      <c r="B92" s="110">
        <v>0.1125</v>
      </c>
      <c r="C92" s="110"/>
      <c r="D92" s="110">
        <v>2.2727272727272747</v>
      </c>
      <c r="E92" s="35"/>
      <c r="F92" s="111"/>
      <c r="G92" s="111"/>
      <c r="H92" s="112"/>
      <c r="L92" s="35" t="s">
        <v>141</v>
      </c>
      <c r="M92" s="50">
        <v>0.27800000000000002</v>
      </c>
      <c r="N92" s="113">
        <v>0.5061460592914</v>
      </c>
      <c r="O92" s="35" t="s">
        <v>122</v>
      </c>
      <c r="P92" s="111">
        <v>53.956600000000002</v>
      </c>
      <c r="Q92" s="114">
        <v>-0.46762503666290117</v>
      </c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tRgdUFQ+oFFE7nuLiOUGU67KxpbL1TkWEKloE/TxWx4QqSEPtx3IgdxzEmCjAJB5vzQ/NaYLuEnPzhZW+n9XjA==" saltValue="rktvONo2uytApN0U41qzGw==" spinCount="100000" sheet="1"/>
  <sortState xmlns:xlrd2="http://schemas.microsoft.com/office/spreadsheetml/2017/richdata2" ref="A9:II47">
    <sortCondition ref="A9:A47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1" priority="46" stopIfTrue="1"/>
  </conditionalFormatting>
  <conditionalFormatting sqref="A29:A34">
    <cfRule type="duplicateValues" dxfId="40" priority="47" stopIfTrue="1"/>
  </conditionalFormatting>
  <conditionalFormatting sqref="A91:A92">
    <cfRule type="duplicateValues" dxfId="39" priority="48" stopIfTrue="1"/>
  </conditionalFormatting>
  <conditionalFormatting sqref="E91:E92">
    <cfRule type="duplicateValues" dxfId="38" priority="1" stopIfTrue="1"/>
  </conditionalFormatting>
  <conditionalFormatting sqref="L9:M26 L28:M47 L51:M64">
    <cfRule type="cellIs" dxfId="37" priority="42" stopIfTrue="1" operator="lessThan">
      <formula>0</formula>
    </cfRule>
    <cfRule type="cellIs" dxfId="36" priority="43" stopIfTrue="1" operator="greaterThan">
      <formula>0</formula>
    </cfRule>
    <cfRule type="cellIs" dxfId="35" priority="44" stopIfTrue="1" operator="greaterThan">
      <formula>0</formula>
    </cfRule>
    <cfRule type="cellIs" priority="45" stopIfTrue="1" operator="greaterThan">
      <formula>0</formula>
    </cfRule>
  </conditionalFormatting>
  <conditionalFormatting sqref="L9:M47 L51:M64">
    <cfRule type="cellIs" dxfId="34" priority="20" stopIfTrue="1" operator="lessThan">
      <formula>0</formula>
    </cfRule>
    <cfRule type="cellIs" dxfId="33" priority="24" stopIfTrue="1" operator="greaterThan">
      <formula>0</formula>
    </cfRule>
  </conditionalFormatting>
  <conditionalFormatting sqref="L27:M27">
    <cfRule type="cellIs" dxfId="32" priority="21" stopIfTrue="1" operator="greaterThan">
      <formula>0</formula>
    </cfRule>
    <cfRule type="cellIs" dxfId="31" priority="22" stopIfTrue="1" operator="lessThan">
      <formula>0</formula>
    </cfRule>
    <cfRule type="cellIs" dxfId="30" priority="23" stopIfTrue="1" operator="greaterThan">
      <formula>0</formula>
    </cfRule>
    <cfRule type="cellIs" priority="25" stopIfTrue="1" operator="greaterThan">
      <formula>0</formula>
    </cfRule>
  </conditionalFormatting>
  <conditionalFormatting sqref="L70:M71">
    <cfRule type="cellIs" dxfId="29" priority="10" stopIfTrue="1" operator="lessThan">
      <formula>0</formula>
    </cfRule>
    <cfRule type="cellIs" dxfId="28" priority="11" stopIfTrue="1" operator="greaterThan">
      <formula>0</formula>
    </cfRule>
    <cfRule type="cellIs" dxfId="27" priority="12" stopIfTrue="1" operator="lessThan">
      <formula>0</formula>
    </cfRule>
    <cfRule type="cellIs" dxfId="26" priority="13" stopIfTrue="1" operator="greaterThan">
      <formula>0</formula>
    </cfRule>
    <cfRule type="cellIs" dxfId="25" priority="14" stopIfTrue="1" operator="greaterThan">
      <formula>0</formula>
    </cfRule>
    <cfRule type="cellIs" priority="15" stopIfTrue="1" operator="greaterThan">
      <formula>0</formula>
    </cfRule>
  </conditionalFormatting>
  <conditionalFormatting sqref="L74:M74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dxfId="20" priority="6" stopIfTrue="1" operator="greaterThan">
      <formula>0</formula>
    </cfRule>
    <cfRule type="cellIs" priority="7" stopIfTrue="1" operator="greaterThan">
      <formula>0</formula>
    </cfRule>
  </conditionalFormatting>
  <conditionalFormatting sqref="L77:M80">
    <cfRule type="cellIs" dxfId="19" priority="36" stopIfTrue="1" operator="lessThan">
      <formula>0</formula>
    </cfRule>
    <cfRule type="cellIs" dxfId="18" priority="37" stopIfTrue="1" operator="greaterThan">
      <formula>0</formula>
    </cfRule>
    <cfRule type="cellIs" dxfId="17" priority="38" stopIfTrue="1" operator="lessThan">
      <formula>0</formula>
    </cfRule>
    <cfRule type="cellIs" dxfId="16" priority="39" stopIfTrue="1" operator="greaterThan">
      <formula>0</formula>
    </cfRule>
    <cfRule type="cellIs" dxfId="15" priority="40" stopIfTrue="1" operator="greaterThan">
      <formula>0</formula>
    </cfRule>
    <cfRule type="cellIs" priority="41" stopIfTrue="1" operator="greaterThan">
      <formula>0</formula>
    </cfRule>
  </conditionalFormatting>
  <conditionalFormatting sqref="L83:M84">
    <cfRule type="cellIs" dxfId="14" priority="30" stopIfTrue="1" operator="lessThan">
      <formula>0</formula>
    </cfRule>
    <cfRule type="cellIs" dxfId="13" priority="31" stopIfTrue="1" operator="greaterThan">
      <formula>0</formula>
    </cfRule>
    <cfRule type="cellIs" dxfId="12" priority="32" stopIfTrue="1" operator="lessThan">
      <formula>0</formula>
    </cfRule>
    <cfRule type="cellIs" dxfId="11" priority="33" stopIfTrue="1" operator="greaterThan">
      <formula>0</formula>
    </cfRule>
    <cfRule type="cellIs" dxfId="10" priority="34" stopIfTrue="1" operator="greaterThan">
      <formula>0</formula>
    </cfRule>
    <cfRule type="cellIs" priority="35" stopIfTrue="1" operator="greaterThan">
      <formula>0</formula>
    </cfRule>
  </conditionalFormatting>
  <conditionalFormatting sqref="Q9:Q47 Q51:Q64">
    <cfRule type="cellIs" dxfId="9" priority="18" stopIfTrue="1" operator="greaterThan">
      <formula>0</formula>
    </cfRule>
    <cfRule type="cellIs" dxfId="8" priority="19" stopIfTrue="1" operator="lessThan">
      <formula>0</formula>
    </cfRule>
  </conditionalFormatting>
  <conditionalFormatting sqref="Q70:Q71">
    <cfRule type="cellIs" dxfId="7" priority="16" stopIfTrue="1" operator="greaterThan">
      <formula>0</formula>
    </cfRule>
    <cfRule type="cellIs" dxfId="6" priority="17" stopIfTrue="1" operator="lessThan">
      <formula>0</formula>
    </cfRule>
  </conditionalFormatting>
  <conditionalFormatting sqref="Q74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7:Q80">
    <cfRule type="cellIs" dxfId="3" priority="28" stopIfTrue="1" operator="greaterThan">
      <formula>0</formula>
    </cfRule>
    <cfRule type="cellIs" dxfId="2" priority="29" stopIfTrue="1" operator="lessThan">
      <formula>0</formula>
    </cfRule>
  </conditionalFormatting>
  <conditionalFormatting sqref="Q83:Q84">
    <cfRule type="cellIs" dxfId="1" priority="26" stopIfTrue="1" operator="greaterThan">
      <formula>0</formula>
    </cfRule>
    <cfRule type="cellIs" dxfId="0" priority="27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2026-06-11T13:02:42Z</dcterms:created>
  <dcterms:modified xsi:type="dcterms:W3CDTF">2026-06-11T13:11:11Z</dcterms:modified>
</cp:coreProperties>
</file>