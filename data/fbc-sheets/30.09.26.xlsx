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Sept/30.09.26/"/>
    </mc:Choice>
  </mc:AlternateContent>
  <xr:revisionPtr revIDLastSave="0" documentId="8_{FE6F5F96-722A-49F9-9A74-FF0F11683148}" xr6:coauthVersionLast="47" xr6:coauthVersionMax="47" xr10:uidLastSave="{00000000-0000-0000-0000-000000000000}"/>
  <bookViews>
    <workbookView xWindow="-108" yWindow="-108" windowWidth="23256" windowHeight="12456" xr2:uid="{94D4EB9D-B6AF-4A23-924E-8FBD884EF7DE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M64" i="1"/>
  <c r="L64" i="1"/>
  <c r="J64" i="1"/>
  <c r="D64" i="1"/>
  <c r="M63" i="1"/>
  <c r="L63" i="1"/>
  <c r="J63" i="1"/>
  <c r="D63" i="1"/>
  <c r="M62" i="1"/>
  <c r="L62" i="1"/>
  <c r="J62" i="1"/>
  <c r="D62" i="1"/>
  <c r="Q61" i="1"/>
  <c r="P61" i="1"/>
  <c r="M61" i="1"/>
  <c r="L61" i="1"/>
  <c r="J61" i="1"/>
  <c r="D61" i="1"/>
  <c r="M60" i="1"/>
  <c r="L60" i="1"/>
  <c r="J60" i="1"/>
  <c r="D60" i="1"/>
  <c r="M59" i="1"/>
  <c r="L59" i="1"/>
  <c r="J59" i="1"/>
  <c r="D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D55" i="1"/>
  <c r="M54" i="1"/>
  <c r="L54" i="1"/>
  <c r="J54" i="1"/>
  <c r="D54" i="1"/>
  <c r="L53" i="1"/>
  <c r="J53" i="1"/>
  <c r="P53" i="1" s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E34" i="1" s="1"/>
  <c r="J34" i="1"/>
  <c r="P34" i="1" s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E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E25" i="1" s="1"/>
  <c r="J25" i="1"/>
  <c r="P25" i="1" s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E22" i="1" s="1"/>
  <c r="J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E14" i="1"/>
  <c r="Q13" i="1"/>
  <c r="M13" i="1"/>
  <c r="L13" i="1"/>
  <c r="K13" i="1"/>
  <c r="E13" i="1" s="1"/>
  <c r="J13" i="1"/>
  <c r="P13" i="1" s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E9" i="1"/>
  <c r="K75" i="1" l="1"/>
  <c r="E75" i="1" s="1"/>
  <c r="Q75" i="1"/>
  <c r="P75" i="1"/>
  <c r="P72" i="1"/>
  <c r="Q72" i="1"/>
  <c r="K72" i="1"/>
  <c r="E72" i="1" s="1"/>
  <c r="Q71" i="1"/>
  <c r="P71" i="1"/>
  <c r="K71" i="1"/>
  <c r="E71" i="1" s="1"/>
  <c r="D65" i="1"/>
  <c r="Q65" i="1"/>
  <c r="P65" i="1"/>
  <c r="P64" i="1"/>
  <c r="Q64" i="1"/>
  <c r="Q63" i="1"/>
  <c r="P63" i="1"/>
  <c r="P62" i="1"/>
  <c r="Q62" i="1"/>
  <c r="Q60" i="1"/>
  <c r="P60" i="1"/>
  <c r="Q59" i="1"/>
  <c r="P59" i="1"/>
  <c r="Q58" i="1"/>
  <c r="P58" i="1"/>
  <c r="Q57" i="1"/>
  <c r="P57" i="1"/>
  <c r="P56" i="1"/>
  <c r="Q56" i="1"/>
  <c r="P55" i="1"/>
  <c r="Q55" i="1"/>
  <c r="P54" i="1"/>
  <c r="Q54" i="1"/>
  <c r="P51" i="1"/>
  <c r="Q51" i="1"/>
  <c r="P50" i="1"/>
  <c r="Q50" i="1"/>
  <c r="D31" i="1"/>
  <c r="P31" i="1"/>
  <c r="P14" i="1"/>
  <c r="D14" i="1"/>
  <c r="P9" i="1"/>
  <c r="D9" i="1"/>
</calcChain>
</file>

<file path=xl/sharedStrings.xml><?xml version="1.0" encoding="utf-8"?>
<sst xmlns="http://schemas.openxmlformats.org/spreadsheetml/2006/main" count="269" uniqueCount="185">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</sst>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1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5" borderId="0" xfId="4" applyNumberFormat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166" fontId="15" fillId="5" borderId="0" xfId="5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4" fontId="15" fillId="5" borderId="5" xfId="3" applyFont="1" applyFill="1" applyBorder="1" applyAlignment="1">
      <alignment horizontal="center"/>
    </xf>
    <xf numFmtId="164" fontId="15" fillId="5" borderId="0" xfId="3" applyFont="1" applyFill="1" applyBorder="1" applyAlignment="1">
      <alignment horizontal="center"/>
    </xf>
    <xf numFmtId="164" fontId="15" fillId="5" borderId="6" xfId="3" applyFont="1" applyFill="1" applyBorder="1" applyAlignment="1">
      <alignment horizontal="center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57AC5DC1-7E1A-4F95-BC98-160B313A6F5B}"/>
    <cellStyle name="Comma 5 2 2 2 2 2 2 2 2 2 2 2 2 2" xfId="4" xr:uid="{850AC2D5-ADFD-41B8-9EBD-C326B2C6DBB2}"/>
    <cellStyle name="Comma 6 2 2 2 2 2 2 2 2" xfId="5" xr:uid="{42442850-F871-4A3C-8A2B-EE489DAE3A8F}"/>
    <cellStyle name="Hyperlink 2" xfId="8" xr:uid="{5D444058-CD18-4940-848A-2E536DCFFED1}"/>
    <cellStyle name="Normal" xfId="0" builtinId="0"/>
    <cellStyle name="Normal 2" xfId="2" xr:uid="{498F2C69-5678-4394-96D3-7CB457E41D41}"/>
    <cellStyle name="Normal 20" xfId="7" xr:uid="{90DFA6D1-CC54-47D3-8EBC-E7B763191FA4}"/>
    <cellStyle name="Percent" xfId="1" builtinId="5"/>
    <cellStyle name="Percent 3" xfId="6" xr:uid="{6BCBA385-B1A7-4C98-B6DA-049CFC9FBBFD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C40EE990-1D38-406B-8B32-C064C9A0F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4C0EE220-FA92-4314-8DEA-0DDF7F26D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10B6-BDBD-4622-BA70-C296D6B07C46}">
  <dimension ref="A1:II107"/>
  <sheetViews>
    <sheetView tabSelected="1" zoomScale="70" zoomScaleNormal="70" workbookViewId="0">
      <selection activeCell="M92" sqref="M92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26.796500000000002</v>
      </c>
      <c r="K5" s="22"/>
      <c r="L5" s="149" t="s">
        <v>12</v>
      </c>
      <c r="M5" s="150"/>
      <c r="N5" s="23" t="s">
        <v>13</v>
      </c>
      <c r="O5" s="24"/>
      <c r="P5" s="24"/>
      <c r="Q5" s="25"/>
    </row>
    <row r="6" spans="1:19" ht="6.6" customHeight="1" x14ac:dyDescent="0.3">
      <c r="A6" s="139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2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81133508.956393555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0.64374078704308391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2.3301304347826089E-2</v>
      </c>
      <c r="Q9" s="49">
        <f t="shared" ref="Q9:Q17" si="6">I9/G9-1</f>
        <v>0.91890538962122492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4743141.6778124003</v>
      </c>
      <c r="E10" s="39">
        <f t="shared" si="1"/>
        <v>3971862.3740468752</v>
      </c>
      <c r="F10" s="40" t="s">
        <v>34</v>
      </c>
      <c r="G10" s="41">
        <v>3.1600000000000003E-2</v>
      </c>
      <c r="H10" s="42">
        <v>6.7960000000000007E-2</v>
      </c>
      <c r="I10" s="43">
        <v>7.8100000000000003E-2</v>
      </c>
      <c r="J10" s="44">
        <f t="shared" ref="J10:J17" si="7">I10/$J$5</f>
        <v>2.914559737279122E-3</v>
      </c>
      <c r="K10" s="45">
        <f t="shared" si="2"/>
        <v>2.4406250000000001E-3</v>
      </c>
      <c r="L10" s="46">
        <f t="shared" si="3"/>
        <v>1.0139999999999996E-2</v>
      </c>
      <c r="M10" s="46">
        <f t="shared" si="4"/>
        <v>14.92054149499705</v>
      </c>
      <c r="N10" s="51">
        <v>524800</v>
      </c>
      <c r="O10" s="37">
        <v>40986.879999999997</v>
      </c>
      <c r="P10" s="52">
        <f t="shared" si="5"/>
        <v>0</v>
      </c>
      <c r="Q10" s="49">
        <f t="shared" si="6"/>
        <v>1.471518987341772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3326680.0229880763</v>
      </c>
      <c r="E11" s="39">
        <f t="shared" si="1"/>
        <v>2785730.663625</v>
      </c>
      <c r="F11" s="40" t="s">
        <v>39</v>
      </c>
      <c r="G11" s="41">
        <v>7.8E-2</v>
      </c>
      <c r="H11" s="42">
        <v>0.202926</v>
      </c>
      <c r="I11" s="43">
        <v>0.20399999999999999</v>
      </c>
      <c r="J11" s="44">
        <f t="shared" si="7"/>
        <v>7.6129345250312529E-3</v>
      </c>
      <c r="K11" s="45">
        <f t="shared" si="2"/>
        <v>6.3749999999999996E-3</v>
      </c>
      <c r="L11" s="46">
        <f t="shared" si="3"/>
        <v>1.0739999999999916E-3</v>
      </c>
      <c r="M11" s="46">
        <f t="shared" si="4"/>
        <v>0.52925697052126963</v>
      </c>
      <c r="N11" s="51">
        <v>18600</v>
      </c>
      <c r="O11" s="37">
        <v>3794.4</v>
      </c>
      <c r="P11" s="52">
        <f t="shared" si="5"/>
        <v>0</v>
      </c>
      <c r="Q11" s="49">
        <f t="shared" si="6"/>
        <v>1.6153846153846154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128398819.2394529</v>
      </c>
      <c r="E12" s="39">
        <f t="shared" si="1"/>
        <v>107519967.4921875</v>
      </c>
      <c r="F12" s="40" t="s">
        <v>34</v>
      </c>
      <c r="G12" s="41">
        <v>97.381</v>
      </c>
      <c r="H12" s="42">
        <v>145</v>
      </c>
      <c r="I12" s="43">
        <v>166.75</v>
      </c>
      <c r="J12" s="44">
        <f t="shared" si="7"/>
        <v>6.2228276080831444</v>
      </c>
      <c r="K12" s="45">
        <f t="shared" si="2"/>
        <v>5.2109375</v>
      </c>
      <c r="L12" s="46">
        <f t="shared" si="3"/>
        <v>21.75</v>
      </c>
      <c r="M12" s="46">
        <f t="shared" si="4"/>
        <v>15</v>
      </c>
      <c r="N12" s="51">
        <v>100</v>
      </c>
      <c r="O12" s="37">
        <v>16675</v>
      </c>
      <c r="P12" s="52">
        <f t="shared" si="5"/>
        <v>0</v>
      </c>
      <c r="Q12" s="49">
        <f t="shared" si="6"/>
        <v>0.71234635093087983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8801444.8155542687</v>
      </c>
      <c r="E13" s="39">
        <f t="shared" si="1"/>
        <v>7370247.375</v>
      </c>
      <c r="F13" s="40" t="s">
        <v>44</v>
      </c>
      <c r="G13" s="41">
        <v>13.6</v>
      </c>
      <c r="H13" s="42">
        <v>27</v>
      </c>
      <c r="I13" s="43">
        <v>27</v>
      </c>
      <c r="J13" s="44">
        <f t="shared" si="7"/>
        <v>1.0075942753717835</v>
      </c>
      <c r="K13" s="45">
        <f t="shared" si="2"/>
        <v>0.84375</v>
      </c>
      <c r="L13" s="46">
        <f t="shared" si="3"/>
        <v>0</v>
      </c>
      <c r="M13" s="46">
        <f t="shared" si="4"/>
        <v>0</v>
      </c>
      <c r="N13" s="51">
        <v>6100</v>
      </c>
      <c r="O13" s="37">
        <v>164700</v>
      </c>
      <c r="P13" s="52">
        <f t="shared" si="5"/>
        <v>0</v>
      </c>
      <c r="Q13" s="49">
        <f t="shared" si="6"/>
        <v>0.98529411764705888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721655701.72380722</v>
      </c>
      <c r="E14" s="39">
        <f t="shared" si="1"/>
        <v>604307719.10131252</v>
      </c>
      <c r="F14" s="40" t="s">
        <v>47</v>
      </c>
      <c r="G14" s="41">
        <v>11.5</v>
      </c>
      <c r="H14" s="42">
        <v>36.998800000000003</v>
      </c>
      <c r="I14" s="43">
        <v>36.998800000000003</v>
      </c>
      <c r="J14" s="44">
        <f t="shared" si="7"/>
        <v>1.3807325583565018</v>
      </c>
      <c r="K14" s="45">
        <f t="shared" si="2"/>
        <v>1.1562125000000001</v>
      </c>
      <c r="L14" s="46">
        <f t="shared" si="3"/>
        <v>0</v>
      </c>
      <c r="M14" s="46">
        <f t="shared" si="4"/>
        <v>0</v>
      </c>
      <c r="N14" s="51">
        <v>0</v>
      </c>
      <c r="O14" s="37">
        <v>0</v>
      </c>
      <c r="P14" s="52">
        <f t="shared" si="5"/>
        <v>0</v>
      </c>
      <c r="Q14" s="49">
        <f t="shared" si="6"/>
        <v>2.2172869565217392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31381118.382997774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0.29593417050734233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0.4712430426716141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73486601.587110251</v>
      </c>
      <c r="E16" s="39">
        <f t="shared" si="1"/>
        <v>61536991.232156247</v>
      </c>
      <c r="F16" s="40" t="s">
        <v>34</v>
      </c>
      <c r="G16" s="41">
        <v>1.9</v>
      </c>
      <c r="H16" s="42">
        <v>5.5</v>
      </c>
      <c r="I16" s="43">
        <v>5.5004999999999997</v>
      </c>
      <c r="J16" s="44">
        <f t="shared" si="7"/>
        <v>0.20526934487712944</v>
      </c>
      <c r="K16" s="45">
        <f t="shared" si="2"/>
        <v>0.17189062499999999</v>
      </c>
      <c r="L16" s="46">
        <f t="shared" si="3"/>
        <v>4.9999999999972289E-4</v>
      </c>
      <c r="M16" s="46">
        <f t="shared" si="4"/>
        <v>9.0909090909040528E-3</v>
      </c>
      <c r="N16" s="51">
        <v>112300</v>
      </c>
      <c r="O16" s="37">
        <v>617706.15</v>
      </c>
      <c r="P16" s="52">
        <f t="shared" si="5"/>
        <v>0.24358240159985461</v>
      </c>
      <c r="Q16" s="49">
        <f t="shared" si="6"/>
        <v>1.895</v>
      </c>
      <c r="R16" s="50">
        <v>0.05</v>
      </c>
      <c r="S16" s="53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1584572746.6227305</v>
      </c>
      <c r="E17" s="39">
        <f t="shared" si="1"/>
        <v>1326906362.652375</v>
      </c>
      <c r="F17" s="40" t="s">
        <v>34</v>
      </c>
      <c r="G17" s="41">
        <v>20.701700000000002</v>
      </c>
      <c r="H17" s="42">
        <v>30.241900000000001</v>
      </c>
      <c r="I17" s="43">
        <v>31.504799999999999</v>
      </c>
      <c r="J17" s="44">
        <f t="shared" si="7"/>
        <v>1.1757057824715913</v>
      </c>
      <c r="K17" s="45">
        <f t="shared" si="2"/>
        <v>0.98452499999999998</v>
      </c>
      <c r="L17" s="46">
        <f t="shared" si="3"/>
        <v>1.2628999999999984</v>
      </c>
      <c r="M17" s="46">
        <f t="shared" si="4"/>
        <v>4.1759942331665609</v>
      </c>
      <c r="N17" s="51">
        <v>481000</v>
      </c>
      <c r="O17" s="37">
        <v>15153818.449999999</v>
      </c>
      <c r="P17" s="48">
        <f t="shared" si="5"/>
        <v>0</v>
      </c>
      <c r="Q17" s="49">
        <f t="shared" si="6"/>
        <v>0.52184603196838886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337480779.30118114</v>
      </c>
      <c r="E19" s="39">
        <f t="shared" si="1"/>
        <v>282603240.70450312</v>
      </c>
      <c r="F19" s="40" t="s">
        <v>47</v>
      </c>
      <c r="G19" s="41">
        <v>12.45</v>
      </c>
      <c r="H19" s="42">
        <v>13.458299999999999</v>
      </c>
      <c r="I19" s="43">
        <v>13.458299999999999</v>
      </c>
      <c r="J19" s="44">
        <f t="shared" ref="J19:J45" si="8">I19/$J$5</f>
        <v>0.50224096430503984</v>
      </c>
      <c r="K19" s="45">
        <f t="shared" ref="K19:K45" si="9">I19/$K$4</f>
        <v>0.42057187499999998</v>
      </c>
      <c r="L19" s="46">
        <f t="shared" ref="L19:L29" si="10">I19-H19</f>
        <v>0</v>
      </c>
      <c r="M19" s="46">
        <f>((I19-H19)/H19)*100</f>
        <v>0</v>
      </c>
      <c r="N19" s="51">
        <v>0</v>
      </c>
      <c r="O19" s="37">
        <v>0</v>
      </c>
      <c r="P19" s="52">
        <f>(R19)/J19</f>
        <v>0</v>
      </c>
      <c r="Q19" s="49">
        <f t="shared" ref="Q19:Q29" si="11">I19/G19-1</f>
        <v>8.0987951807228953E-2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3780294.4649487804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3.4706025040583656E-2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72367860.674774691</v>
      </c>
      <c r="E21" s="39">
        <f t="shared" si="1"/>
        <v>60600168.080362499</v>
      </c>
      <c r="F21" s="40" t="s">
        <v>47</v>
      </c>
      <c r="G21" s="41">
        <v>2.85</v>
      </c>
      <c r="H21" s="42">
        <v>2.80986</v>
      </c>
      <c r="I21" s="43">
        <v>2.80986</v>
      </c>
      <c r="J21" s="44">
        <f t="shared" si="8"/>
        <v>0.10485921668874666</v>
      </c>
      <c r="K21" s="45">
        <f t="shared" si="9"/>
        <v>8.7808125000000001E-2</v>
      </c>
      <c r="L21" s="46">
        <f t="shared" si="10"/>
        <v>0</v>
      </c>
      <c r="M21" s="46">
        <f>((I21-H21)/H21)*100</f>
        <v>0</v>
      </c>
      <c r="N21" s="51">
        <v>0</v>
      </c>
      <c r="O21" s="37">
        <v>0</v>
      </c>
      <c r="P21" s="52">
        <f>(R21)/J21</f>
        <v>0</v>
      </c>
      <c r="Q21" s="49">
        <f t="shared" si="11"/>
        <v>-1.408421052631581E-2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1982433.2908029032</v>
      </c>
      <c r="E23" s="39">
        <f t="shared" si="1"/>
        <v>1660071.05240625</v>
      </c>
      <c r="F23" s="40" t="s">
        <v>44</v>
      </c>
      <c r="G23" s="41">
        <v>0.1</v>
      </c>
      <c r="H23" s="42">
        <v>9.0119000000000005E-2</v>
      </c>
      <c r="I23" s="43">
        <v>9.9000000000000005E-2</v>
      </c>
      <c r="J23" s="44">
        <f t="shared" si="8"/>
        <v>3.6945123430298732E-3</v>
      </c>
      <c r="K23" s="45">
        <f t="shared" si="9"/>
        <v>3.0937500000000001E-3</v>
      </c>
      <c r="L23" s="46">
        <f t="shared" si="10"/>
        <v>8.881E-3</v>
      </c>
      <c r="M23" s="46">
        <f t="shared" ref="M23:M29" si="12">((I23-H23)/H23)*100</f>
        <v>9.8547476114914723</v>
      </c>
      <c r="N23" s="51">
        <v>700</v>
      </c>
      <c r="O23" s="37">
        <v>69.3</v>
      </c>
      <c r="P23" s="52">
        <f t="shared" ref="P23:P29" si="13">(R23)/J23</f>
        <v>0</v>
      </c>
      <c r="Q23" s="49">
        <f t="shared" si="11"/>
        <v>-1.0000000000000009E-2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65552726.762151763</v>
      </c>
      <c r="E24" s="39">
        <f t="shared" si="1"/>
        <v>54893238.833812505</v>
      </c>
      <c r="F24" s="40" t="s">
        <v>34</v>
      </c>
      <c r="G24" s="41">
        <v>8.1687659999999997</v>
      </c>
      <c r="H24" s="42">
        <v>9.1005000000000003</v>
      </c>
      <c r="I24" s="43">
        <v>9.1005000000000003</v>
      </c>
      <c r="J24" s="44">
        <f t="shared" si="8"/>
        <v>0.33961524826003392</v>
      </c>
      <c r="K24" s="45">
        <f t="shared" si="9"/>
        <v>0.28439062500000001</v>
      </c>
      <c r="L24" s="46">
        <f t="shared" si="10"/>
        <v>0</v>
      </c>
      <c r="M24" s="46">
        <f t="shared" si="12"/>
        <v>0</v>
      </c>
      <c r="N24" s="51">
        <v>0</v>
      </c>
      <c r="O24" s="37">
        <v>0</v>
      </c>
      <c r="P24" s="48">
        <f t="shared" si="13"/>
        <v>4.4167628152299326E-2</v>
      </c>
      <c r="Q24" s="49">
        <f t="shared" si="11"/>
        <v>0.11406055700457096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107078847.51659268</v>
      </c>
      <c r="E25" s="39">
        <f t="shared" si="1"/>
        <v>89666823.046199247</v>
      </c>
      <c r="F25" s="40" t="s">
        <v>66</v>
      </c>
      <c r="G25" s="41">
        <v>1.6675</v>
      </c>
      <c r="H25" s="42">
        <v>1.716456</v>
      </c>
      <c r="I25" s="43">
        <v>1.700264</v>
      </c>
      <c r="J25" s="44">
        <f t="shared" si="8"/>
        <v>6.3450973074841863E-2</v>
      </c>
      <c r="K25" s="45">
        <f t="shared" si="9"/>
        <v>5.313325E-2</v>
      </c>
      <c r="L25" s="46">
        <f t="shared" si="10"/>
        <v>-1.6191999999999984E-2</v>
      </c>
      <c r="M25" s="46">
        <f t="shared" si="12"/>
        <v>-0.94333906607568063</v>
      </c>
      <c r="N25" s="51">
        <v>455200</v>
      </c>
      <c r="O25" s="37">
        <v>773960</v>
      </c>
      <c r="P25" s="52">
        <f t="shared" si="13"/>
        <v>0</v>
      </c>
      <c r="Q25" s="49">
        <f t="shared" si="11"/>
        <v>1.9648575712143845E-2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22333896.870859999</v>
      </c>
      <c r="E26" s="39">
        <f t="shared" si="1"/>
        <v>18702195.859375</v>
      </c>
      <c r="F26" s="40" t="s">
        <v>44</v>
      </c>
      <c r="G26" s="41">
        <v>1.7994999999999999</v>
      </c>
      <c r="H26" s="42">
        <v>2.5</v>
      </c>
      <c r="I26" s="43">
        <v>2.5</v>
      </c>
      <c r="J26" s="44">
        <f t="shared" si="8"/>
        <v>9.3295766238128103E-2</v>
      </c>
      <c r="K26" s="45">
        <f t="shared" si="9"/>
        <v>7.8125E-2</v>
      </c>
      <c r="L26" s="46">
        <f t="shared" si="10"/>
        <v>0</v>
      </c>
      <c r="M26" s="46">
        <f t="shared" si="12"/>
        <v>0</v>
      </c>
      <c r="N26" s="51">
        <v>500</v>
      </c>
      <c r="O26" s="37">
        <v>1250</v>
      </c>
      <c r="P26" s="52">
        <f t="shared" si="13"/>
        <v>0</v>
      </c>
      <c r="Q26" s="49">
        <f t="shared" si="11"/>
        <v>0.38927479855515434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23902167.286403779</v>
      </c>
      <c r="E27" s="39">
        <f t="shared" si="1"/>
        <v>20015450.802816216</v>
      </c>
      <c r="F27" s="40" t="s">
        <v>34</v>
      </c>
      <c r="G27" s="41">
        <v>3.1361369999999997</v>
      </c>
      <c r="H27" s="42">
        <v>2.5004589999999998</v>
      </c>
      <c r="I27" s="43">
        <v>2.5004589999999998</v>
      </c>
      <c r="J27" s="44">
        <f t="shared" si="8"/>
        <v>9.3312895340809415E-2</v>
      </c>
      <c r="K27" s="45">
        <f t="shared" si="9"/>
        <v>7.8139343749999993E-2</v>
      </c>
      <c r="L27" s="46">
        <f t="shared" si="10"/>
        <v>0</v>
      </c>
      <c r="M27" s="46">
        <f t="shared" si="12"/>
        <v>0</v>
      </c>
      <c r="N27" s="51">
        <v>0</v>
      </c>
      <c r="O27" s="37">
        <v>0</v>
      </c>
      <c r="P27" s="52">
        <f t="shared" si="13"/>
        <v>0</v>
      </c>
      <c r="Q27" s="49">
        <f t="shared" si="11"/>
        <v>-0.20269458891623682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33221444.916861754</v>
      </c>
      <c r="E28" s="39">
        <f t="shared" si="1"/>
        <v>27819326.522333935</v>
      </c>
      <c r="F28" s="40" t="s">
        <v>44</v>
      </c>
      <c r="G28" s="41">
        <v>0.8</v>
      </c>
      <c r="H28" s="42">
        <v>1.178086</v>
      </c>
      <c r="I28" s="43">
        <v>1.178086</v>
      </c>
      <c r="J28" s="44">
        <f t="shared" si="8"/>
        <v>4.3964174425764557E-2</v>
      </c>
      <c r="K28" s="45">
        <f t="shared" si="9"/>
        <v>3.6815187499999999E-2</v>
      </c>
      <c r="L28" s="46">
        <f t="shared" si="10"/>
        <v>0</v>
      </c>
      <c r="M28" s="46">
        <f t="shared" si="12"/>
        <v>0</v>
      </c>
      <c r="N28" s="51">
        <v>0</v>
      </c>
      <c r="O28" s="37">
        <v>0</v>
      </c>
      <c r="P28" s="52">
        <f t="shared" si="13"/>
        <v>0</v>
      </c>
      <c r="Q28" s="49">
        <f t="shared" si="11"/>
        <v>0.47260749999999985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100564540.44371466</v>
      </c>
      <c r="E29" s="39">
        <f t="shared" si="1"/>
        <v>84211803.375</v>
      </c>
      <c r="F29" s="40" t="s">
        <v>47</v>
      </c>
      <c r="G29" s="41">
        <v>5.15</v>
      </c>
      <c r="H29" s="42">
        <v>6</v>
      </c>
      <c r="I29" s="43">
        <v>6</v>
      </c>
      <c r="J29" s="44">
        <f t="shared" si="8"/>
        <v>0.22390983897150746</v>
      </c>
      <c r="K29" s="45">
        <f t="shared" si="9"/>
        <v>0.1875</v>
      </c>
      <c r="L29" s="46">
        <f t="shared" si="10"/>
        <v>0</v>
      </c>
      <c r="M29" s="46">
        <f t="shared" si="12"/>
        <v>0</v>
      </c>
      <c r="N29" s="51">
        <v>0</v>
      </c>
      <c r="O29" s="37">
        <v>0</v>
      </c>
      <c r="P29" s="52">
        <f t="shared" si="13"/>
        <v>0</v>
      </c>
      <c r="Q29" s="49">
        <f t="shared" si="11"/>
        <v>0.16504854368932032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13877507.598753568</v>
      </c>
      <c r="E31" s="39">
        <f t="shared" si="1"/>
        <v>11620894.7615625</v>
      </c>
      <c r="F31" s="40" t="s">
        <v>39</v>
      </c>
      <c r="G31" s="41">
        <v>1.4</v>
      </c>
      <c r="H31" s="42">
        <v>1.431</v>
      </c>
      <c r="I31" s="43">
        <v>1.431</v>
      </c>
      <c r="J31" s="44">
        <f t="shared" si="8"/>
        <v>5.3402496594704529E-2</v>
      </c>
      <c r="K31" s="45">
        <f t="shared" si="9"/>
        <v>4.4718750000000002E-2</v>
      </c>
      <c r="L31" s="46">
        <f t="shared" ref="L31:L45" si="14">I31-H31</f>
        <v>0</v>
      </c>
      <c r="M31" s="46">
        <f t="shared" ref="M31:M45" si="15">((I31-H31)/H31)*100</f>
        <v>0</v>
      </c>
      <c r="N31" s="51">
        <v>0</v>
      </c>
      <c r="O31" s="37">
        <v>0</v>
      </c>
      <c r="P31" s="52">
        <f t="shared" ref="P31:P36" si="16">(R31)/J31</f>
        <v>0</v>
      </c>
      <c r="Q31" s="49">
        <f t="shared" ref="Q31:Q45" si="17">I31/G31-1</f>
        <v>2.2142857142857242E-2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4098539.8466217602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3.3586475845726119E-2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0.38461538461538458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115711126.90752521</v>
      </c>
      <c r="E33" s="39">
        <f t="shared" si="1"/>
        <v>96895412.880546868</v>
      </c>
      <c r="F33" s="40" t="s">
        <v>92</v>
      </c>
      <c r="G33" s="41">
        <v>1.44</v>
      </c>
      <c r="H33" s="42">
        <v>1.2371429999999999</v>
      </c>
      <c r="I33" s="43">
        <v>1.2424999999999999</v>
      </c>
      <c r="J33" s="44">
        <f t="shared" si="8"/>
        <v>4.6367995820349665E-2</v>
      </c>
      <c r="K33" s="45">
        <f t="shared" si="9"/>
        <v>3.8828124999999998E-2</v>
      </c>
      <c r="L33" s="46">
        <f t="shared" si="14"/>
        <v>5.3570000000000562E-3</v>
      </c>
      <c r="M33" s="46">
        <f t="shared" si="15"/>
        <v>0.43301380681134333</v>
      </c>
      <c r="N33" s="51">
        <v>200</v>
      </c>
      <c r="O33" s="37">
        <v>248.5</v>
      </c>
      <c r="P33" s="52">
        <f t="shared" si="16"/>
        <v>0</v>
      </c>
      <c r="Q33" s="49">
        <f t="shared" si="17"/>
        <v>-0.13715277777777779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34190888.345684625</v>
      </c>
      <c r="E34" s="39">
        <f t="shared" si="1"/>
        <v>28631129.361098066</v>
      </c>
      <c r="F34" s="40" t="s">
        <v>34</v>
      </c>
      <c r="G34" s="41">
        <v>3.6056249999999999</v>
      </c>
      <c r="H34" s="42">
        <v>3.6142860000000003</v>
      </c>
      <c r="I34" s="43">
        <v>3.6142860000000003</v>
      </c>
      <c r="J34" s="44">
        <f t="shared" si="8"/>
        <v>0.13487903270949564</v>
      </c>
      <c r="K34" s="45">
        <f t="shared" si="9"/>
        <v>0.11294643750000001</v>
      </c>
      <c r="L34" s="46">
        <f t="shared" si="14"/>
        <v>0</v>
      </c>
      <c r="M34" s="46">
        <f t="shared" si="15"/>
        <v>0</v>
      </c>
      <c r="N34" s="51">
        <v>0</v>
      </c>
      <c r="O34" s="37">
        <v>0</v>
      </c>
      <c r="P34" s="52">
        <f t="shared" si="16"/>
        <v>0</v>
      </c>
      <c r="Q34" s="49">
        <f t="shared" si="17"/>
        <v>2.4020800832034173E-3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11933888.039334686</v>
      </c>
      <c r="E35" s="39">
        <f t="shared" si="1"/>
        <v>9993325.9639384989</v>
      </c>
      <c r="F35" s="40" t="s">
        <v>34</v>
      </c>
      <c r="G35" s="41">
        <v>2.5099999999999997E-2</v>
      </c>
      <c r="H35" s="42">
        <v>6.4798999999999995E-2</v>
      </c>
      <c r="I35" s="43">
        <v>6.7821999999999993E-2</v>
      </c>
      <c r="J35" s="44">
        <f t="shared" si="8"/>
        <v>2.5310021831209295E-3</v>
      </c>
      <c r="K35" s="45">
        <f t="shared" si="9"/>
        <v>2.1194374999999998E-3</v>
      </c>
      <c r="L35" s="46">
        <f t="shared" si="14"/>
        <v>3.0229999999999979E-3</v>
      </c>
      <c r="M35" s="46">
        <f t="shared" si="15"/>
        <v>4.6651954505470741</v>
      </c>
      <c r="N35" s="51">
        <v>213900</v>
      </c>
      <c r="O35" s="37">
        <v>14507.2</v>
      </c>
      <c r="P35" s="52">
        <f t="shared" si="16"/>
        <v>0</v>
      </c>
      <c r="Q35" s="49">
        <f t="shared" si="17"/>
        <v>1.7020717131474106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68584273.151344389</v>
      </c>
      <c r="E36" s="39">
        <f t="shared" si="1"/>
        <v>57431827.359375</v>
      </c>
      <c r="F36" s="40" t="s">
        <v>92</v>
      </c>
      <c r="G36" s="41">
        <v>0.61</v>
      </c>
      <c r="H36" s="42">
        <v>3.4525000000000001</v>
      </c>
      <c r="I36" s="43">
        <v>3.5</v>
      </c>
      <c r="J36" s="44">
        <f t="shared" si="8"/>
        <v>0.13061407273337935</v>
      </c>
      <c r="K36" s="45">
        <f t="shared" si="9"/>
        <v>0.109375</v>
      </c>
      <c r="L36" s="46">
        <f t="shared" si="14"/>
        <v>4.7499999999999876E-2</v>
      </c>
      <c r="M36" s="46">
        <f t="shared" si="15"/>
        <v>1.375814627081821</v>
      </c>
      <c r="N36" s="51">
        <v>300000</v>
      </c>
      <c r="O36" s="37">
        <v>1050000</v>
      </c>
      <c r="P36" s="52">
        <f t="shared" si="16"/>
        <v>0</v>
      </c>
      <c r="Q36" s="49">
        <f t="shared" si="17"/>
        <v>4.7377049180327866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123991567.45245078</v>
      </c>
      <c r="E37" s="39">
        <f t="shared" si="1"/>
        <v>103829376.16373743</v>
      </c>
      <c r="F37" s="40" t="s">
        <v>56</v>
      </c>
      <c r="G37" s="41">
        <v>0.11650199999999999</v>
      </c>
      <c r="H37" s="42">
        <v>0.73303200000000002</v>
      </c>
      <c r="I37" s="43">
        <v>0.79206199999999993</v>
      </c>
      <c r="J37" s="44">
        <f t="shared" si="8"/>
        <v>2.9558412479241687E-2</v>
      </c>
      <c r="K37" s="45">
        <f t="shared" si="9"/>
        <v>2.4751937499999998E-2</v>
      </c>
      <c r="L37" s="46">
        <f t="shared" si="14"/>
        <v>5.9029999999999916E-2</v>
      </c>
      <c r="M37" s="46">
        <f t="shared" si="15"/>
        <v>8.0528544456449254</v>
      </c>
      <c r="N37" s="51">
        <v>67900</v>
      </c>
      <c r="O37" s="37">
        <v>53781</v>
      </c>
      <c r="P37" s="52">
        <v>0</v>
      </c>
      <c r="Q37" s="49">
        <f t="shared" si="17"/>
        <v>5.7986987347856687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22628312.395630028</v>
      </c>
      <c r="E38" s="39">
        <f t="shared" si="1"/>
        <v>18948736.659671877</v>
      </c>
      <c r="F38" s="40" t="s">
        <v>39</v>
      </c>
      <c r="G38" s="41">
        <v>0.1</v>
      </c>
      <c r="H38" s="42">
        <v>0.14050000000000001</v>
      </c>
      <c r="I38" s="43">
        <v>0.14050000000000001</v>
      </c>
      <c r="J38" s="44">
        <f t="shared" si="8"/>
        <v>5.2432220625828006E-3</v>
      </c>
      <c r="K38" s="45">
        <f t="shared" si="9"/>
        <v>4.3906250000000004E-3</v>
      </c>
      <c r="L38" s="46">
        <f t="shared" si="14"/>
        <v>0</v>
      </c>
      <c r="M38" s="46">
        <f t="shared" si="15"/>
        <v>0</v>
      </c>
      <c r="N38" s="51">
        <v>25900</v>
      </c>
      <c r="O38" s="37">
        <v>3638.95</v>
      </c>
      <c r="P38" s="52">
        <f t="shared" ref="P38:P44" si="18">(R38)/J38</f>
        <v>0</v>
      </c>
      <c r="Q38" s="49">
        <f t="shared" si="17"/>
        <v>0.40500000000000003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7946876.4204280414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7.4636612990502491E-2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0</v>
      </c>
      <c r="O39" s="37">
        <v>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4117075.3869338157</v>
      </c>
      <c r="E40" s="39">
        <f t="shared" si="1"/>
        <v>3447600.3314366252</v>
      </c>
      <c r="F40" s="40" t="s">
        <v>39</v>
      </c>
      <c r="G40" s="41">
        <v>0.03</v>
      </c>
      <c r="H40" s="42">
        <v>6.3049999999999995E-2</v>
      </c>
      <c r="I40" s="43">
        <v>6.2049E-2</v>
      </c>
      <c r="J40" s="44">
        <f t="shared" si="8"/>
        <v>2.3155635997238445E-3</v>
      </c>
      <c r="K40" s="45">
        <f t="shared" si="9"/>
        <v>1.93903125E-3</v>
      </c>
      <c r="L40" s="46">
        <f t="shared" si="14"/>
        <v>-1.0009999999999949E-3</v>
      </c>
      <c r="M40" s="46">
        <f t="shared" si="15"/>
        <v>-1.5876288659793736</v>
      </c>
      <c r="N40" s="51">
        <v>467700</v>
      </c>
      <c r="O40" s="37">
        <v>29020.52</v>
      </c>
      <c r="P40" s="52">
        <f t="shared" si="18"/>
        <v>0</v>
      </c>
      <c r="Q40" s="49">
        <f t="shared" si="17"/>
        <v>1.0683000000000002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47072290.127442017</v>
      </c>
      <c r="E41" s="39">
        <f t="shared" si="1"/>
        <v>39417894.450000003</v>
      </c>
      <c r="F41" s="40" t="s">
        <v>47</v>
      </c>
      <c r="G41" s="41">
        <v>4.5</v>
      </c>
      <c r="H41" s="42">
        <v>7.1881579999999996</v>
      </c>
      <c r="I41" s="43">
        <v>7.2</v>
      </c>
      <c r="J41" s="44">
        <f t="shared" si="8"/>
        <v>0.26869180676580895</v>
      </c>
      <c r="K41" s="45">
        <f t="shared" si="9"/>
        <v>0.22500000000000001</v>
      </c>
      <c r="L41" s="46">
        <f t="shared" si="14"/>
        <v>1.1842000000000574E-2</v>
      </c>
      <c r="M41" s="46">
        <f t="shared" si="15"/>
        <v>0.16474317898967406</v>
      </c>
      <c r="N41" s="51">
        <v>200</v>
      </c>
      <c r="O41" s="37">
        <v>1440</v>
      </c>
      <c r="P41" s="52">
        <f t="shared" si="18"/>
        <v>0</v>
      </c>
      <c r="Q41" s="49">
        <f t="shared" si="17"/>
        <v>0.60000000000000009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311.23758319183474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6.717295169145224E-7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1547664.8069710599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2.68691806765809E-3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52246691.367156155</v>
      </c>
      <c r="E44" s="39">
        <f t="shared" si="1"/>
        <v>43750889.538125001</v>
      </c>
      <c r="F44" s="40" t="s">
        <v>47</v>
      </c>
      <c r="G44" s="41">
        <v>0.9998999999999999</v>
      </c>
      <c r="H44" s="42">
        <v>0.76617199999999996</v>
      </c>
      <c r="I44" s="43">
        <v>0.77</v>
      </c>
      <c r="J44" s="44">
        <f t="shared" si="8"/>
        <v>2.8735096001343458E-2</v>
      </c>
      <c r="K44" s="45">
        <f t="shared" si="9"/>
        <v>2.4062500000000001E-2</v>
      </c>
      <c r="L44" s="46">
        <f t="shared" si="14"/>
        <v>3.8280000000000536E-3</v>
      </c>
      <c r="M44" s="46">
        <f t="shared" si="15"/>
        <v>0.49962671567220596</v>
      </c>
      <c r="N44" s="51">
        <v>600</v>
      </c>
      <c r="O44" s="37">
        <v>462</v>
      </c>
      <c r="P44" s="52">
        <f t="shared" si="18"/>
        <v>0</v>
      </c>
      <c r="Q44" s="49">
        <f t="shared" si="17"/>
        <v>-0.22992299229922986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17248757.860168304</v>
      </c>
      <c r="E45" s="39">
        <f t="shared" si="1"/>
        <v>14443948.125</v>
      </c>
      <c r="F45" s="40" t="s">
        <v>47</v>
      </c>
      <c r="G45" s="41">
        <v>1.4503460000000001</v>
      </c>
      <c r="H45" s="42">
        <v>4.4215</v>
      </c>
      <c r="I45" s="43">
        <v>4.5</v>
      </c>
      <c r="J45" s="44">
        <f t="shared" si="8"/>
        <v>0.16793237922863061</v>
      </c>
      <c r="K45" s="45">
        <f t="shared" si="9"/>
        <v>0.140625</v>
      </c>
      <c r="L45" s="46">
        <f t="shared" si="14"/>
        <v>7.8500000000000014E-2</v>
      </c>
      <c r="M45" s="46">
        <f t="shared" si="15"/>
        <v>1.775415582946964</v>
      </c>
      <c r="N45" s="51">
        <v>800</v>
      </c>
      <c r="O45" s="37">
        <v>3600</v>
      </c>
      <c r="P45" s="52">
        <v>0</v>
      </c>
      <c r="Q45" s="49">
        <f t="shared" si="17"/>
        <v>2.1027079055618452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4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2676500</v>
      </c>
      <c r="O47" s="62">
        <f>SUM(O9:O45)</f>
        <v>17929658.349999998</v>
      </c>
      <c r="P47" s="63"/>
      <c r="Q47" s="64"/>
    </row>
    <row r="48" spans="1:18" ht="13.5" customHeight="1" x14ac:dyDescent="0.35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3">
      <c r="A49" s="135" t="s">
        <v>118</v>
      </c>
      <c r="B49" s="136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8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89305411.279799998</v>
      </c>
      <c r="E50" s="39">
        <v>0</v>
      </c>
      <c r="F50" s="40" t="s">
        <v>92</v>
      </c>
      <c r="G50" s="71">
        <v>0.1</v>
      </c>
      <c r="H50" s="42">
        <v>0.15989999999999999</v>
      </c>
      <c r="I50" s="42">
        <v>0.15770000000000001</v>
      </c>
      <c r="J50" s="44">
        <f t="shared" ref="J50:J65" si="20">I50</f>
        <v>0.15770000000000001</v>
      </c>
      <c r="K50" s="39">
        <v>0</v>
      </c>
      <c r="L50" s="46">
        <f t="shared" ref="L50:L65" si="21">I50-H50</f>
        <v>-2.1999999999999797E-3</v>
      </c>
      <c r="M50" s="46">
        <f t="shared" ref="M50:M65" si="22">((I50-H50)/H50)*100</f>
        <v>-1.3758599124452657</v>
      </c>
      <c r="N50" s="51">
        <v>1140</v>
      </c>
      <c r="O50" s="37">
        <v>179.81</v>
      </c>
      <c r="P50" s="72">
        <f>(R50)/J50</f>
        <v>0</v>
      </c>
      <c r="Q50" s="49">
        <f t="shared" ref="Q50:Q65" si="23">J50/G50-1</f>
        <v>0.57699999999999996</v>
      </c>
      <c r="T50" s="53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38046309.983199999</v>
      </c>
      <c r="E51" s="39">
        <v>0</v>
      </c>
      <c r="F51" s="40" t="s">
        <v>39</v>
      </c>
      <c r="G51" s="71">
        <v>39.9</v>
      </c>
      <c r="H51" s="42">
        <v>40</v>
      </c>
      <c r="I51" s="42">
        <v>34.217199999999998</v>
      </c>
      <c r="J51" s="44">
        <f t="shared" si="20"/>
        <v>34.217199999999998</v>
      </c>
      <c r="K51" s="39">
        <v>0</v>
      </c>
      <c r="L51" s="46">
        <f t="shared" si="21"/>
        <v>-5.7828000000000017</v>
      </c>
      <c r="M51" s="46">
        <f t="shared" si="22"/>
        <v>-14.457000000000003</v>
      </c>
      <c r="N51" s="51">
        <v>344</v>
      </c>
      <c r="O51" s="37">
        <v>11770.7</v>
      </c>
      <c r="P51" s="73">
        <f>(R51)/J51</f>
        <v>1.6366038132868851E-2</v>
      </c>
      <c r="Q51" s="49">
        <f t="shared" si="23"/>
        <v>-0.14242606516290723</v>
      </c>
      <c r="R51" s="53">
        <v>0.56000000000000005</v>
      </c>
      <c r="T51" s="53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651693145.61339998</v>
      </c>
      <c r="E52" s="39"/>
      <c r="F52" s="40" t="s">
        <v>56</v>
      </c>
      <c r="G52" s="71">
        <v>0.33</v>
      </c>
      <c r="H52" s="42">
        <v>0.2291</v>
      </c>
      <c r="I52" s="42">
        <v>0.21779999999999999</v>
      </c>
      <c r="J52" s="44">
        <f t="shared" si="20"/>
        <v>0.21779999999999999</v>
      </c>
      <c r="K52" s="39">
        <v>0</v>
      </c>
      <c r="L52" s="46">
        <f t="shared" si="21"/>
        <v>-1.1300000000000004E-2</v>
      </c>
      <c r="M52" s="46">
        <f t="shared" si="22"/>
        <v>-4.9323439546049777</v>
      </c>
      <c r="N52" s="51">
        <v>44040</v>
      </c>
      <c r="O52" s="37">
        <v>9590.06</v>
      </c>
      <c r="P52" s="72">
        <v>0</v>
      </c>
      <c r="Q52" s="49">
        <f t="shared" si="23"/>
        <v>-0.34000000000000008</v>
      </c>
      <c r="R52" s="53"/>
      <c r="T52" s="53"/>
    </row>
    <row r="53" spans="1:20" ht="7.5" hidden="1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1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4" t="s">
        <v>57</v>
      </c>
      <c r="O53" s="74" t="s">
        <v>57</v>
      </c>
      <c r="P53" s="72" t="e">
        <f t="shared" ref="P53:P65" si="24">(R53)/J53</f>
        <v>#DIV/0!</v>
      </c>
      <c r="Q53" s="49">
        <v>0</v>
      </c>
      <c r="T53" s="53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339110721.66719997</v>
      </c>
      <c r="E54" s="39">
        <v>0</v>
      </c>
      <c r="F54" s="40" t="s">
        <v>47</v>
      </c>
      <c r="G54" s="71">
        <v>9.0200000000000002E-2</v>
      </c>
      <c r="H54" s="42">
        <v>0.15509999999999999</v>
      </c>
      <c r="I54" s="42">
        <v>0.15679999999999999</v>
      </c>
      <c r="J54" s="44">
        <f t="shared" si="20"/>
        <v>0.15679999999999999</v>
      </c>
      <c r="K54" s="39">
        <v>0</v>
      </c>
      <c r="L54" s="46">
        <f t="shared" si="21"/>
        <v>1.7000000000000071E-3</v>
      </c>
      <c r="M54" s="75">
        <f t="shared" si="22"/>
        <v>1.0960670535138666</v>
      </c>
      <c r="N54" s="51">
        <v>154892</v>
      </c>
      <c r="O54" s="37">
        <v>24281.34</v>
      </c>
      <c r="P54" s="72">
        <f t="shared" si="24"/>
        <v>0</v>
      </c>
      <c r="Q54" s="49">
        <f t="shared" si="23"/>
        <v>0.73835920177383585</v>
      </c>
      <c r="R54" s="53"/>
      <c r="T54" s="53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886581177.13000011</v>
      </c>
      <c r="E55" s="39">
        <v>0</v>
      </c>
      <c r="F55" s="40" t="s">
        <v>34</v>
      </c>
      <c r="G55" s="71">
        <v>0.95750000000000002</v>
      </c>
      <c r="H55" s="42">
        <v>1.5271999999999999</v>
      </c>
      <c r="I55" s="42">
        <v>1.5394000000000001</v>
      </c>
      <c r="J55" s="44">
        <f t="shared" si="20"/>
        <v>1.5394000000000001</v>
      </c>
      <c r="K55" s="39">
        <v>0</v>
      </c>
      <c r="L55" s="46">
        <f t="shared" si="21"/>
        <v>1.2200000000000211E-2</v>
      </c>
      <c r="M55" s="46">
        <f t="shared" si="22"/>
        <v>0.79884756416973624</v>
      </c>
      <c r="N55" s="51">
        <v>5866</v>
      </c>
      <c r="O55" s="37">
        <v>9029.94</v>
      </c>
      <c r="P55" s="73">
        <f t="shared" si="24"/>
        <v>3.0531375860724956E-2</v>
      </c>
      <c r="Q55" s="49">
        <f t="shared" si="23"/>
        <v>0.60772845953002608</v>
      </c>
      <c r="R55" s="53">
        <v>4.7E-2</v>
      </c>
      <c r="T55" s="53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20542448.572199997</v>
      </c>
      <c r="E56" s="39">
        <v>0</v>
      </c>
      <c r="F56" s="40" t="s">
        <v>34</v>
      </c>
      <c r="G56" s="71">
        <v>0.1595</v>
      </c>
      <c r="H56" s="42">
        <v>0.14949999999999999</v>
      </c>
      <c r="I56" s="42">
        <v>0.12509999999999999</v>
      </c>
      <c r="J56" s="44">
        <f t="shared" si="20"/>
        <v>0.12509999999999999</v>
      </c>
      <c r="K56" s="39">
        <v>0</v>
      </c>
      <c r="L56" s="46">
        <f t="shared" si="21"/>
        <v>-2.4400000000000005E-2</v>
      </c>
      <c r="M56" s="46">
        <f t="shared" si="22"/>
        <v>-16.321070234113716</v>
      </c>
      <c r="N56" s="51">
        <v>10040</v>
      </c>
      <c r="O56" s="37">
        <v>1256</v>
      </c>
      <c r="P56" s="72">
        <f t="shared" si="24"/>
        <v>0</v>
      </c>
      <c r="Q56" s="49">
        <f t="shared" si="23"/>
        <v>-0.21567398119122261</v>
      </c>
      <c r="T56" s="53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20982394.123799998</v>
      </c>
      <c r="E57" s="39">
        <v>0</v>
      </c>
      <c r="F57" s="40" t="s">
        <v>92</v>
      </c>
      <c r="G57" s="71">
        <v>1.6799999999999999E-2</v>
      </c>
      <c r="H57" s="42">
        <v>1.95E-2</v>
      </c>
      <c r="I57" s="42">
        <v>2.1299999999999999E-2</v>
      </c>
      <c r="J57" s="44">
        <f t="shared" si="20"/>
        <v>2.1299999999999999E-2</v>
      </c>
      <c r="K57" s="39">
        <v>0</v>
      </c>
      <c r="L57" s="46">
        <f t="shared" si="21"/>
        <v>1.7999999999999995E-3</v>
      </c>
      <c r="M57" s="75">
        <f t="shared" si="22"/>
        <v>9.2307692307692282</v>
      </c>
      <c r="N57" s="51">
        <v>695</v>
      </c>
      <c r="O57" s="37">
        <v>14.78</v>
      </c>
      <c r="P57" s="72">
        <f t="shared" si="24"/>
        <v>0</v>
      </c>
      <c r="Q57" s="49">
        <f t="shared" si="23"/>
        <v>0.26785714285714302</v>
      </c>
      <c r="R57" s="53"/>
      <c r="T57" s="53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1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1">
        <v>2</v>
      </c>
      <c r="O58" s="37">
        <v>34</v>
      </c>
      <c r="P58" s="72">
        <f t="shared" si="24"/>
        <v>0</v>
      </c>
      <c r="Q58" s="49">
        <f t="shared" si="23"/>
        <v>-0.12820512820512819</v>
      </c>
      <c r="T58" s="53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4041036693.2504001</v>
      </c>
      <c r="E59" s="39">
        <v>0</v>
      </c>
      <c r="F59" s="40" t="s">
        <v>47</v>
      </c>
      <c r="G59" s="71">
        <v>0.78169999999999995</v>
      </c>
      <c r="H59" s="52">
        <v>0.89980000000000004</v>
      </c>
      <c r="I59" s="42">
        <v>0.89839999999999998</v>
      </c>
      <c r="J59" s="44">
        <f t="shared" si="20"/>
        <v>0.89839999999999998</v>
      </c>
      <c r="K59" s="39">
        <v>0</v>
      </c>
      <c r="L59" s="46">
        <f t="shared" si="21"/>
        <v>-1.4000000000000679E-3</v>
      </c>
      <c r="M59" s="46">
        <f t="shared" si="22"/>
        <v>-0.15559013114026091</v>
      </c>
      <c r="N59" s="76">
        <v>16847</v>
      </c>
      <c r="O59" s="77">
        <v>15134.8</v>
      </c>
      <c r="P59" s="72">
        <f t="shared" si="24"/>
        <v>0</v>
      </c>
      <c r="Q59" s="49">
        <f t="shared" si="23"/>
        <v>0.14929000895484212</v>
      </c>
      <c r="R59" s="53"/>
      <c r="S59" s="53"/>
      <c r="T59" s="53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1206750077.0038998</v>
      </c>
      <c r="E60" s="39">
        <v>0</v>
      </c>
      <c r="F60" s="40" t="s">
        <v>92</v>
      </c>
      <c r="G60" s="71">
        <v>0.59499999999999997</v>
      </c>
      <c r="H60" s="42">
        <v>1.4994000000000001</v>
      </c>
      <c r="I60" s="42">
        <v>1.4988999999999999</v>
      </c>
      <c r="J60" s="44">
        <f t="shared" si="20"/>
        <v>1.4988999999999999</v>
      </c>
      <c r="K60" s="39">
        <v>0</v>
      </c>
      <c r="L60" s="46">
        <f t="shared" si="21"/>
        <v>-5.0000000000016698E-4</v>
      </c>
      <c r="M60" s="46">
        <f t="shared" si="22"/>
        <v>-3.3346672002145319E-2</v>
      </c>
      <c r="N60" s="51">
        <v>614506</v>
      </c>
      <c r="O60" s="37">
        <v>921070.37</v>
      </c>
      <c r="P60" s="72">
        <f t="shared" si="24"/>
        <v>0</v>
      </c>
      <c r="Q60" s="49">
        <f t="shared" si="23"/>
        <v>1.5191596638655462</v>
      </c>
      <c r="T60" s="53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94874013.100199997</v>
      </c>
      <c r="E61" s="39">
        <v>0</v>
      </c>
      <c r="F61" s="40" t="s">
        <v>34</v>
      </c>
      <c r="G61" s="71">
        <v>0.22600000000000001</v>
      </c>
      <c r="H61" s="42">
        <v>0.45</v>
      </c>
      <c r="I61" s="42">
        <v>0.3639</v>
      </c>
      <c r="J61" s="44">
        <f t="shared" si="20"/>
        <v>0.3639</v>
      </c>
      <c r="K61" s="39">
        <v>0</v>
      </c>
      <c r="L61" s="46">
        <f t="shared" si="21"/>
        <v>-8.610000000000001E-2</v>
      </c>
      <c r="M61" s="46">
        <f t="shared" si="22"/>
        <v>-19.133333333333336</v>
      </c>
      <c r="N61" s="51">
        <v>60070</v>
      </c>
      <c r="O61" s="37">
        <v>21861.71</v>
      </c>
      <c r="P61" s="72">
        <f t="shared" si="24"/>
        <v>0</v>
      </c>
      <c r="Q61" s="49">
        <f t="shared" si="23"/>
        <v>0.61017699115044244</v>
      </c>
      <c r="T61" s="53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404323299.52959996</v>
      </c>
      <c r="E62" s="39">
        <v>0</v>
      </c>
      <c r="F62" s="40" t="s">
        <v>34</v>
      </c>
      <c r="G62" s="71">
        <v>0.49440000000000001</v>
      </c>
      <c r="H62" s="42">
        <v>0.72</v>
      </c>
      <c r="I62" s="42">
        <v>0.71919999999999995</v>
      </c>
      <c r="J62" s="44">
        <f t="shared" si="20"/>
        <v>0.71919999999999995</v>
      </c>
      <c r="K62" s="39">
        <v>0</v>
      </c>
      <c r="L62" s="46">
        <f t="shared" si="21"/>
        <v>-8.0000000000002292E-4</v>
      </c>
      <c r="M62" s="46">
        <f t="shared" si="22"/>
        <v>-0.1111111111111143</v>
      </c>
      <c r="N62" s="51">
        <v>19287</v>
      </c>
      <c r="O62" s="37">
        <v>13870.56</v>
      </c>
      <c r="P62" s="72">
        <f t="shared" si="24"/>
        <v>0</v>
      </c>
      <c r="Q62" s="49">
        <f t="shared" si="23"/>
        <v>0.45469255663430408</v>
      </c>
      <c r="R62" s="53"/>
      <c r="T62" s="53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77753403.265499994</v>
      </c>
      <c r="E63" s="39">
        <v>0</v>
      </c>
      <c r="F63" s="40" t="s">
        <v>34</v>
      </c>
      <c r="G63" s="71">
        <v>0.25950000000000001</v>
      </c>
      <c r="H63" s="42">
        <v>0.21049999999999999</v>
      </c>
      <c r="I63" s="42">
        <v>0.21329999999999999</v>
      </c>
      <c r="J63" s="44">
        <f t="shared" si="20"/>
        <v>0.21329999999999999</v>
      </c>
      <c r="K63" s="39">
        <v>0</v>
      </c>
      <c r="L63" s="46">
        <f t="shared" si="21"/>
        <v>2.7999999999999969E-3</v>
      </c>
      <c r="M63" s="46">
        <f t="shared" si="22"/>
        <v>1.3301662707838466</v>
      </c>
      <c r="N63" s="51">
        <v>75230</v>
      </c>
      <c r="O63" s="37">
        <v>16048.03</v>
      </c>
      <c r="P63" s="72">
        <f t="shared" si="24"/>
        <v>0</v>
      </c>
      <c r="Q63" s="49">
        <f t="shared" si="23"/>
        <v>-0.17803468208092488</v>
      </c>
      <c r="R63" s="53"/>
      <c r="T63" s="53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41177368.077</v>
      </c>
      <c r="E65" s="39">
        <v>0</v>
      </c>
      <c r="F65" s="40" t="s">
        <v>44</v>
      </c>
      <c r="G65" s="71">
        <v>4.2999999999999997E-2</v>
      </c>
      <c r="H65" s="42">
        <v>0.12</v>
      </c>
      <c r="I65" s="42">
        <v>0.1195</v>
      </c>
      <c r="J65" s="44">
        <f t="shared" si="20"/>
        <v>0.1195</v>
      </c>
      <c r="K65" s="39">
        <v>0</v>
      </c>
      <c r="L65" s="46">
        <f t="shared" si="21"/>
        <v>-5.0000000000000044E-4</v>
      </c>
      <c r="M65" s="46">
        <f t="shared" si="22"/>
        <v>-0.41666666666666707</v>
      </c>
      <c r="N65" s="51">
        <v>939</v>
      </c>
      <c r="O65" s="37">
        <v>112.22</v>
      </c>
      <c r="P65" s="72">
        <f t="shared" si="24"/>
        <v>0</v>
      </c>
      <c r="Q65" s="49">
        <f t="shared" si="23"/>
        <v>1.7790697674418605</v>
      </c>
      <c r="T65" s="53"/>
    </row>
    <row r="66" spans="1:20" ht="13.2" x14ac:dyDescent="0.35">
      <c r="A66" s="78"/>
      <c r="B66" s="36" t="s">
        <v>117</v>
      </c>
      <c r="C66" s="40"/>
      <c r="D66" s="79"/>
      <c r="E66" s="79"/>
      <c r="F66" s="40"/>
      <c r="G66" s="40"/>
      <c r="H66" s="42"/>
      <c r="I66" s="42"/>
      <c r="J66" s="42"/>
      <c r="K66" s="42"/>
      <c r="L66" s="46"/>
      <c r="M66" s="80"/>
      <c r="N66" s="62">
        <f>SUM(N50:N65)</f>
        <v>1003898</v>
      </c>
      <c r="O66" s="63">
        <f>SUM(O50:O65)</f>
        <v>1044254.3200000001</v>
      </c>
      <c r="P66" s="81"/>
      <c r="Q66" s="64"/>
    </row>
    <row r="67" spans="1:20" ht="12.6" hidden="1" x14ac:dyDescent="0.3">
      <c r="A67" s="139" t="s">
        <v>152</v>
      </c>
      <c r="B67" s="140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2"/>
    </row>
    <row r="68" spans="1:20" ht="12.6" hidden="1" thickBot="1" x14ac:dyDescent="0.3">
      <c r="A68" s="82" t="s">
        <v>153</v>
      </c>
      <c r="B68" s="83" t="s">
        <v>154</v>
      </c>
      <c r="C68" s="84">
        <v>20000</v>
      </c>
      <c r="D68" s="85">
        <f>C68*J68</f>
        <v>0</v>
      </c>
      <c r="E68" s="85"/>
      <c r="F68" s="84" t="s">
        <v>155</v>
      </c>
      <c r="G68" s="84"/>
      <c r="H68" s="86">
        <v>100</v>
      </c>
      <c r="I68" s="86"/>
      <c r="J68" s="86"/>
      <c r="K68" s="86"/>
      <c r="L68" s="87">
        <f>I68-H68</f>
        <v>-100</v>
      </c>
      <c r="M68" s="88">
        <f>((I68-H68)/H68)*100</f>
        <v>-100</v>
      </c>
      <c r="N68" s="89" t="s">
        <v>57</v>
      </c>
      <c r="O68" s="89" t="s">
        <v>57</v>
      </c>
      <c r="P68" s="89"/>
      <c r="Q68" s="90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80"/>
      <c r="N69" s="91"/>
      <c r="O69" s="91"/>
      <c r="P69" s="91"/>
      <c r="Q69" s="64"/>
    </row>
    <row r="70" spans="1:20" ht="12.6" x14ac:dyDescent="0.3">
      <c r="A70" s="139" t="s">
        <v>156</v>
      </c>
      <c r="B70" s="140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2"/>
    </row>
    <row r="71" spans="1:20" x14ac:dyDescent="0.25">
      <c r="A71" s="35" t="s">
        <v>157</v>
      </c>
      <c r="B71" s="92" t="s">
        <v>158</v>
      </c>
      <c r="C71" s="93">
        <v>139300587</v>
      </c>
      <c r="D71" s="38">
        <f>C71*J71</f>
        <v>45997053.827399999</v>
      </c>
      <c r="E71" s="39">
        <f>C71*K71</f>
        <v>45997053.827399999</v>
      </c>
      <c r="F71" s="93" t="s">
        <v>159</v>
      </c>
      <c r="G71" s="93">
        <v>0.24</v>
      </c>
      <c r="H71" s="94">
        <v>0.33</v>
      </c>
      <c r="I71" s="94">
        <v>0.33019999999999999</v>
      </c>
      <c r="J71" s="95">
        <f>I71</f>
        <v>0.33019999999999999</v>
      </c>
      <c r="K71" s="95">
        <f>J71</f>
        <v>0.33019999999999999</v>
      </c>
      <c r="L71" s="46">
        <f>I71-H71</f>
        <v>1.9999999999997797E-4</v>
      </c>
      <c r="M71" s="46">
        <f>((I71-H71)/H71)*100</f>
        <v>6.0606060606053926E-2</v>
      </c>
      <c r="N71" s="96">
        <v>367</v>
      </c>
      <c r="O71" s="97">
        <v>121.17</v>
      </c>
      <c r="P71" s="72">
        <f>(R71)/J71</f>
        <v>0</v>
      </c>
      <c r="Q71" s="49">
        <f>J71/G71-1</f>
        <v>0.37583333333333346</v>
      </c>
      <c r="T71" s="53"/>
    </row>
    <row r="72" spans="1:20" x14ac:dyDescent="0.25">
      <c r="A72" s="35" t="s">
        <v>160</v>
      </c>
      <c r="B72" s="92" t="s">
        <v>161</v>
      </c>
      <c r="C72" s="93">
        <v>540751750</v>
      </c>
      <c r="D72" s="38">
        <f>C72*J72</f>
        <v>88683287</v>
      </c>
      <c r="E72" s="39">
        <f>C72*K72</f>
        <v>88683287</v>
      </c>
      <c r="F72" s="93" t="s">
        <v>159</v>
      </c>
      <c r="G72" s="93">
        <v>0.1</v>
      </c>
      <c r="H72" s="94">
        <v>0.16070000000000001</v>
      </c>
      <c r="I72" s="94">
        <v>0.16400000000000001</v>
      </c>
      <c r="J72" s="95">
        <f>I72</f>
        <v>0.16400000000000001</v>
      </c>
      <c r="K72" s="95">
        <f>J72</f>
        <v>0.16400000000000001</v>
      </c>
      <c r="L72" s="46">
        <f>I72-H72</f>
        <v>3.2999999999999974E-3</v>
      </c>
      <c r="M72" s="46">
        <f>((I72-H72)/H72)*100</f>
        <v>2.0535158680771608</v>
      </c>
      <c r="N72" s="51">
        <v>505</v>
      </c>
      <c r="O72" s="97">
        <v>82.86</v>
      </c>
      <c r="P72" s="98">
        <f>(R72)/J72</f>
        <v>2.3121951219512191E-2</v>
      </c>
      <c r="Q72" s="49">
        <f>J72/G72-1</f>
        <v>0.6399999999999999</v>
      </c>
      <c r="R72" s="5">
        <v>3.7919999999999998E-3</v>
      </c>
      <c r="T72" s="53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80"/>
      <c r="N73" s="62">
        <f>SUM(N71:N72)</f>
        <v>872</v>
      </c>
      <c r="O73" s="63">
        <f>SUM(O71:O72)</f>
        <v>204.03</v>
      </c>
      <c r="P73" s="91"/>
      <c r="Q73" s="64"/>
    </row>
    <row r="74" spans="1:20" ht="12.6" x14ac:dyDescent="0.3">
      <c r="A74" s="139" t="s">
        <v>162</v>
      </c>
      <c r="B74" s="140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2"/>
    </row>
    <row r="75" spans="1:20" x14ac:dyDescent="0.25">
      <c r="A75" s="35" t="s">
        <v>163</v>
      </c>
      <c r="B75" s="92" t="s">
        <v>164</v>
      </c>
      <c r="C75" s="93">
        <v>64242951</v>
      </c>
      <c r="D75" s="38">
        <f>C75*J75</f>
        <v>7291574.9385000002</v>
      </c>
      <c r="E75" s="39">
        <f>C75*K75</f>
        <v>7291574.9385000002</v>
      </c>
      <c r="F75" s="93" t="s">
        <v>137</v>
      </c>
      <c r="G75" s="93">
        <v>0.1394</v>
      </c>
      <c r="H75" s="94">
        <v>0.12</v>
      </c>
      <c r="I75" s="94">
        <v>0.1135</v>
      </c>
      <c r="J75" s="95">
        <f>I75</f>
        <v>0.1135</v>
      </c>
      <c r="K75" s="95">
        <f>J75</f>
        <v>0.1135</v>
      </c>
      <c r="L75" s="46">
        <f>I75-H75</f>
        <v>-6.4999999999999919E-3</v>
      </c>
      <c r="M75" s="46">
        <f>((I75-H75)/H75)*100</f>
        <v>-5.4166666666666599</v>
      </c>
      <c r="N75" s="96">
        <v>8279</v>
      </c>
      <c r="O75" s="97">
        <v>939.34</v>
      </c>
      <c r="P75" s="72">
        <f>(R75)/J75</f>
        <v>0</v>
      </c>
      <c r="Q75" s="49">
        <f>J75/G75-1</f>
        <v>-0.18579626972740315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80"/>
      <c r="N76" s="62"/>
      <c r="O76" s="63"/>
      <c r="P76" s="91"/>
      <c r="Q76" s="64"/>
    </row>
    <row r="77" spans="1:20" ht="12.6" x14ac:dyDescent="0.3">
      <c r="A77" s="135" t="s">
        <v>165</v>
      </c>
      <c r="B77" s="136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8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153804.39646968822</v>
      </c>
      <c r="E78" s="39">
        <f>C78*K78</f>
        <v>128794.35968750001</v>
      </c>
      <c r="F78" s="40" t="s">
        <v>137</v>
      </c>
      <c r="G78" s="71">
        <v>0.105</v>
      </c>
      <c r="H78" s="42">
        <v>0.13</v>
      </c>
      <c r="I78" s="42">
        <v>0.13</v>
      </c>
      <c r="J78" s="44">
        <f>I78/$J$5</f>
        <v>4.8513798443826622E-3</v>
      </c>
      <c r="K78" s="45">
        <f>I78/$K$4</f>
        <v>4.0625000000000001E-3</v>
      </c>
      <c r="L78" s="46">
        <f>I78-H78</f>
        <v>0</v>
      </c>
      <c r="M78" s="99">
        <f>((I78-H78)/H78)*100</f>
        <v>0</v>
      </c>
      <c r="N78" s="37">
        <v>100</v>
      </c>
      <c r="O78" s="37">
        <v>13</v>
      </c>
      <c r="P78" s="40">
        <v>0</v>
      </c>
      <c r="Q78" s="49">
        <f>I78/G78-1</f>
        <v>0.23809523809523814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406506.975164667</v>
      </c>
      <c r="E79" s="39">
        <f>C79*K79</f>
        <v>340405.13</v>
      </c>
      <c r="F79" s="40" t="s">
        <v>137</v>
      </c>
      <c r="G79" s="71">
        <v>4.2500000000000003E-2</v>
      </c>
      <c r="H79" s="42">
        <v>0.08</v>
      </c>
      <c r="I79" s="42">
        <v>0.08</v>
      </c>
      <c r="J79" s="44">
        <f>I79/$J$5</f>
        <v>2.9854645196200993E-3</v>
      </c>
      <c r="K79" s="45">
        <f>I79/$K$4</f>
        <v>2.5000000000000001E-3</v>
      </c>
      <c r="L79" s="46">
        <f>I79-H79</f>
        <v>0</v>
      </c>
      <c r="M79" s="99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0.88235294117647056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1460695.9505905621</v>
      </c>
      <c r="E80" s="39">
        <f>C80*K80</f>
        <v>1223173.095</v>
      </c>
      <c r="F80" s="40" t="s">
        <v>137</v>
      </c>
      <c r="G80" s="71">
        <v>6.0499999999999998E-2</v>
      </c>
      <c r="H80" s="42">
        <v>0.11800000000000001</v>
      </c>
      <c r="I80" s="42">
        <v>0.12</v>
      </c>
      <c r="J80" s="44">
        <f>I80/$J$5</f>
        <v>4.4781967794301492E-3</v>
      </c>
      <c r="K80" s="45">
        <f>I80/$K$4</f>
        <v>3.7499999999999999E-3</v>
      </c>
      <c r="L80" s="46">
        <f>I80-H80</f>
        <v>1.9999999999999879E-3</v>
      </c>
      <c r="M80" s="99">
        <f>((I80-H80)/H80)*100</f>
        <v>1.6949152542372776</v>
      </c>
      <c r="N80" s="37">
        <v>45000</v>
      </c>
      <c r="O80" s="37">
        <v>5400</v>
      </c>
      <c r="P80" s="40">
        <v>0</v>
      </c>
      <c r="Q80" s="49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421158.41882335377</v>
      </c>
      <c r="E81" s="39">
        <f>C81*K81</f>
        <v>352674.11156250001</v>
      </c>
      <c r="F81" s="40" t="s">
        <v>137</v>
      </c>
      <c r="G81" s="71">
        <v>1.85</v>
      </c>
      <c r="H81" s="42">
        <v>1.69</v>
      </c>
      <c r="I81" s="42">
        <v>1.69</v>
      </c>
      <c r="J81" s="44">
        <f>I81/$J$5</f>
        <v>6.3067937976974603E-2</v>
      </c>
      <c r="K81" s="45">
        <f>I81/$K$4</f>
        <v>5.2812499999999998E-2</v>
      </c>
      <c r="L81" s="46">
        <f>I81-H81</f>
        <v>0</v>
      </c>
      <c r="M81" s="99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-8.6486486486486602E-2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45100</v>
      </c>
      <c r="O82" s="63">
        <f>SUM(O78:O81)</f>
        <v>5413</v>
      </c>
      <c r="P82" s="81"/>
      <c r="Q82" s="64"/>
      <c r="V82" s="100"/>
      <c r="W82" s="100"/>
      <c r="DU82" s="101"/>
      <c r="DV82" s="101"/>
      <c r="DW82" s="102"/>
      <c r="DX82" s="103"/>
      <c r="DY82" s="103"/>
      <c r="DZ82" s="104"/>
      <c r="EA82" s="104"/>
      <c r="EB82" s="105"/>
      <c r="EC82" s="105"/>
      <c r="ED82" s="106"/>
      <c r="EE82" s="106"/>
      <c r="EF82" s="104"/>
      <c r="EG82" s="107"/>
      <c r="EH82" s="108"/>
      <c r="EI82" s="102"/>
      <c r="EJ82" s="101"/>
      <c r="EK82" s="101"/>
      <c r="EL82" s="102"/>
      <c r="EM82" s="103"/>
      <c r="EN82" s="103"/>
      <c r="EO82" s="104"/>
      <c r="EP82" s="104"/>
      <c r="EQ82" s="105"/>
      <c r="ER82" s="105"/>
      <c r="ES82" s="106"/>
      <c r="ET82" s="106"/>
      <c r="EU82" s="104"/>
      <c r="EV82" s="107"/>
      <c r="EW82" s="108"/>
      <c r="EX82" s="102"/>
      <c r="EY82" s="101"/>
      <c r="EZ82" s="101"/>
      <c r="FA82" s="102"/>
      <c r="FB82" s="103"/>
      <c r="FC82" s="103"/>
      <c r="FD82" s="104"/>
      <c r="FE82" s="104"/>
      <c r="FF82" s="105"/>
      <c r="FG82" s="105"/>
      <c r="FH82" s="106"/>
      <c r="FI82" s="106"/>
      <c r="FJ82" s="104"/>
      <c r="FK82" s="107"/>
      <c r="FL82" s="108"/>
      <c r="FM82" s="102"/>
      <c r="FN82" s="101"/>
      <c r="FO82" s="101"/>
      <c r="FP82" s="102"/>
      <c r="FQ82" s="103"/>
      <c r="FR82" s="103"/>
      <c r="FS82" s="104"/>
      <c r="FT82" s="104"/>
      <c r="FU82" s="105"/>
      <c r="FV82" s="105"/>
      <c r="FW82" s="106"/>
      <c r="FX82" s="106"/>
      <c r="FY82" s="104"/>
      <c r="FZ82" s="107"/>
      <c r="GA82" s="108"/>
      <c r="GB82" s="102"/>
      <c r="GC82" s="101"/>
      <c r="GD82" s="101"/>
      <c r="GE82" s="102"/>
      <c r="GF82" s="103"/>
      <c r="GG82" s="103"/>
      <c r="GH82" s="104"/>
      <c r="GI82" s="104"/>
      <c r="GJ82" s="105"/>
      <c r="GK82" s="105"/>
      <c r="GL82" s="106"/>
      <c r="GM82" s="106"/>
      <c r="GN82" s="104"/>
      <c r="GO82" s="107"/>
      <c r="GP82" s="108"/>
      <c r="GQ82" s="102"/>
      <c r="GR82" s="101"/>
      <c r="GS82" s="101"/>
      <c r="GT82" s="102"/>
      <c r="GU82" s="103"/>
      <c r="GV82" s="103"/>
      <c r="GW82" s="104"/>
      <c r="GX82" s="104"/>
      <c r="GY82" s="105"/>
      <c r="GZ82" s="105"/>
      <c r="HA82" s="106"/>
      <c r="HB82" s="106"/>
      <c r="HC82" s="104"/>
      <c r="HD82" s="107"/>
      <c r="HE82" s="108"/>
      <c r="HF82" s="102"/>
      <c r="HG82" s="101"/>
      <c r="HH82" s="101"/>
      <c r="HI82" s="102"/>
      <c r="HJ82" s="103"/>
      <c r="HK82" s="103"/>
      <c r="HL82" s="104"/>
      <c r="HM82" s="104"/>
      <c r="HN82" s="105"/>
      <c r="HO82" s="105"/>
      <c r="HP82" s="106"/>
      <c r="HQ82" s="106"/>
      <c r="HR82" s="104"/>
      <c r="HS82" s="107"/>
      <c r="HT82" s="108"/>
      <c r="HU82" s="102"/>
      <c r="HV82" s="101"/>
      <c r="HW82" s="101"/>
      <c r="HX82" s="102"/>
      <c r="HY82" s="103"/>
      <c r="HZ82" s="103"/>
      <c r="IA82" s="104"/>
      <c r="IB82" s="104"/>
      <c r="IC82" s="105"/>
      <c r="ID82" s="105"/>
      <c r="IE82" s="106"/>
      <c r="IF82" s="106"/>
      <c r="IG82" s="104"/>
      <c r="IH82" s="107"/>
      <c r="II82" s="108"/>
    </row>
    <row r="83" spans="1:243" ht="13.2" thickTop="1" x14ac:dyDescent="0.3">
      <c r="A83" s="139" t="s">
        <v>174</v>
      </c>
      <c r="B83" s="140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2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27490623.327673391</v>
      </c>
      <c r="E84" s="39">
        <f>C84*K84</f>
        <v>23020390.25</v>
      </c>
      <c r="F84" s="40" t="s">
        <v>177</v>
      </c>
      <c r="G84" s="40">
        <v>1.3</v>
      </c>
      <c r="H84" s="42">
        <v>2</v>
      </c>
      <c r="I84" s="42">
        <v>2</v>
      </c>
      <c r="J84" s="44">
        <f>I84/$J$5</f>
        <v>7.4636612990502491E-2</v>
      </c>
      <c r="K84" s="45">
        <f>I84/$K$4</f>
        <v>6.25E-2</v>
      </c>
      <c r="L84" s="46">
        <f>I84-H84</f>
        <v>0</v>
      </c>
      <c r="M84" s="46">
        <f>((I84-H84)/H84*100)</f>
        <v>0</v>
      </c>
      <c r="N84" s="109">
        <v>300</v>
      </c>
      <c r="O84" s="77">
        <v>600</v>
      </c>
      <c r="P84" s="52">
        <f>(R84)/J84</f>
        <v>0</v>
      </c>
      <c r="Q84" s="49">
        <f>I84/G84-1</f>
        <v>0.53846153846153832</v>
      </c>
      <c r="R84" s="53"/>
    </row>
    <row r="85" spans="1:243" s="110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74325016.877017513</v>
      </c>
      <c r="E85" s="39">
        <f>C85*K85</f>
        <v>62239072.335781246</v>
      </c>
      <c r="F85" s="40" t="s">
        <v>177</v>
      </c>
      <c r="G85" s="40">
        <v>1.44347</v>
      </c>
      <c r="H85" s="42">
        <v>1.1389199999999999</v>
      </c>
      <c r="I85" s="42">
        <v>1.081769</v>
      </c>
      <c r="J85" s="44">
        <f>I85/$J$5</f>
        <v>4.0369787099061444E-2</v>
      </c>
      <c r="K85" s="45">
        <f>I85/$K$4</f>
        <v>3.3805281249999999E-2</v>
      </c>
      <c r="L85" s="46">
        <f>I85-H85</f>
        <v>-5.7150999999999952E-2</v>
      </c>
      <c r="M85" s="46">
        <f>((I85-H85)/H85*100)</f>
        <v>-5.0179995083061106</v>
      </c>
      <c r="N85" s="77">
        <v>938016</v>
      </c>
      <c r="O85" s="77">
        <v>1014745.69</v>
      </c>
      <c r="P85" s="48">
        <f>(R85)/J85</f>
        <v>5.390169620316352E-2</v>
      </c>
      <c r="Q85" s="49">
        <f>I85/G85-1</f>
        <v>-0.25057742800335303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2"/>
      <c r="B86" s="83"/>
      <c r="C86" s="84"/>
      <c r="D86" s="111"/>
      <c r="E86" s="85"/>
      <c r="F86" s="84"/>
      <c r="G86" s="84"/>
      <c r="H86" s="86"/>
      <c r="I86" s="86"/>
      <c r="J86" s="86"/>
      <c r="K86" s="86"/>
      <c r="L86" s="87"/>
      <c r="M86" s="87"/>
      <c r="N86" s="87"/>
      <c r="O86" s="87"/>
      <c r="P86" s="87"/>
      <c r="Q86" s="90"/>
    </row>
    <row r="87" spans="1:243" ht="12.6" thickBot="1" x14ac:dyDescent="0.3">
      <c r="A87" s="112"/>
      <c r="B87" s="113"/>
      <c r="C87" s="113"/>
      <c r="D87" s="113"/>
      <c r="E87" s="113"/>
      <c r="F87" s="74"/>
      <c r="G87" s="74"/>
      <c r="H87" s="60"/>
      <c r="M87" s="114"/>
      <c r="N87" s="114"/>
      <c r="O87" s="60"/>
      <c r="P87" s="60"/>
      <c r="Q87" s="115"/>
    </row>
    <row r="88" spans="1:243" ht="15" customHeight="1" thickBot="1" x14ac:dyDescent="0.3">
      <c r="A88" s="143" t="s">
        <v>180</v>
      </c>
      <c r="B88" s="144"/>
      <c r="C88" s="144"/>
      <c r="D88" s="145"/>
      <c r="E88" s="143" t="s">
        <v>181</v>
      </c>
      <c r="F88" s="144"/>
      <c r="G88" s="144"/>
      <c r="H88" s="145"/>
      <c r="I88" s="53"/>
      <c r="J88" s="146" t="s">
        <v>182</v>
      </c>
      <c r="K88" s="147"/>
      <c r="L88" s="148"/>
      <c r="M88" s="146" t="s">
        <v>183</v>
      </c>
      <c r="N88" s="147"/>
      <c r="O88" s="148"/>
      <c r="Q88" s="16"/>
    </row>
    <row r="89" spans="1:243" ht="15" customHeight="1" x14ac:dyDescent="0.25">
      <c r="A89" s="35" t="s">
        <v>40</v>
      </c>
      <c r="B89" s="116">
        <v>166.75</v>
      </c>
      <c r="D89" s="116">
        <v>15</v>
      </c>
      <c r="E89" s="35" t="s">
        <v>105</v>
      </c>
      <c r="F89" s="117">
        <v>6.2049E-2</v>
      </c>
      <c r="H89" s="118">
        <v>-1.5876288659793736</v>
      </c>
      <c r="J89" s="35" t="s">
        <v>133</v>
      </c>
      <c r="K89" s="52">
        <v>2.1299999999999999E-2</v>
      </c>
      <c r="L89" s="119">
        <v>9.2307692307692282</v>
      </c>
      <c r="M89" s="35" t="s">
        <v>142</v>
      </c>
      <c r="N89" s="117">
        <v>0.3639</v>
      </c>
      <c r="O89" s="118">
        <v>-19.133333333333336</v>
      </c>
      <c r="Q89" s="16"/>
    </row>
    <row r="90" spans="1:243" ht="15" customHeight="1" x14ac:dyDescent="0.25">
      <c r="A90" s="35" t="s">
        <v>35</v>
      </c>
      <c r="B90" s="116">
        <v>7.8100000000000003E-2</v>
      </c>
      <c r="D90" s="116">
        <v>14.92054149499705</v>
      </c>
      <c r="E90" s="35" t="s">
        <v>73</v>
      </c>
      <c r="F90" s="117">
        <v>1.700264</v>
      </c>
      <c r="H90" s="118">
        <v>-0.94333906607568063</v>
      </c>
      <c r="J90" s="35" t="s">
        <v>146</v>
      </c>
      <c r="K90" s="52">
        <v>0.21329999999999999</v>
      </c>
      <c r="L90" s="119">
        <v>1.3301662707838466</v>
      </c>
      <c r="M90" s="35" t="s">
        <v>131</v>
      </c>
      <c r="N90" s="117">
        <v>0.12509999999999999</v>
      </c>
      <c r="O90" s="118">
        <v>-16.321070234113716</v>
      </c>
      <c r="Q90" s="16"/>
    </row>
    <row r="91" spans="1:243" ht="15" customHeight="1" x14ac:dyDescent="0.25">
      <c r="A91" s="35" t="s">
        <v>68</v>
      </c>
      <c r="B91" s="116">
        <v>9.9000000000000005E-2</v>
      </c>
      <c r="C91" s="116"/>
      <c r="D91" s="116">
        <v>9.8547476114914723</v>
      </c>
      <c r="E91" s="132"/>
      <c r="F91" s="133"/>
      <c r="G91" s="133"/>
      <c r="H91" s="134"/>
      <c r="J91" s="35" t="s">
        <v>127</v>
      </c>
      <c r="K91" s="52">
        <v>0.15679999999999999</v>
      </c>
      <c r="L91" s="119">
        <v>1.0960670535138666</v>
      </c>
      <c r="M91" s="35" t="s">
        <v>121</v>
      </c>
      <c r="N91" s="117">
        <v>34.217199999999998</v>
      </c>
      <c r="O91" s="118">
        <v>-14.457000000000003</v>
      </c>
      <c r="Q91" s="16"/>
    </row>
    <row r="92" spans="1:243" ht="15" customHeight="1" x14ac:dyDescent="0.25">
      <c r="A92" s="35" t="s">
        <v>99</v>
      </c>
      <c r="B92" s="116">
        <v>0.79206199999999993</v>
      </c>
      <c r="C92" s="116"/>
      <c r="D92" s="116">
        <v>8.0528544456449254</v>
      </c>
      <c r="E92" s="132"/>
      <c r="F92" s="133"/>
      <c r="G92" s="133"/>
      <c r="H92" s="134"/>
      <c r="J92" s="35" t="s">
        <v>129</v>
      </c>
      <c r="K92" s="52">
        <v>1.5394000000000001</v>
      </c>
      <c r="L92" s="119">
        <v>0.79884756416973624</v>
      </c>
      <c r="M92" s="35" t="s">
        <v>123</v>
      </c>
      <c r="N92" s="117">
        <v>0.21779999999999999</v>
      </c>
      <c r="O92" s="118">
        <v>-4.9323439546049777</v>
      </c>
      <c r="Q92" s="16"/>
    </row>
    <row r="93" spans="1:243" ht="15" customHeight="1" x14ac:dyDescent="0.25">
      <c r="A93" s="35" t="s">
        <v>95</v>
      </c>
      <c r="B93" s="116">
        <v>6.7821999999999993E-2</v>
      </c>
      <c r="C93" s="116"/>
      <c r="D93" s="116">
        <v>4.6651954505470741</v>
      </c>
      <c r="E93" s="132"/>
      <c r="F93" s="133"/>
      <c r="G93" s="133"/>
      <c r="H93" s="134"/>
      <c r="J93" s="132"/>
      <c r="K93" s="133"/>
      <c r="L93" s="134"/>
      <c r="M93" s="35" t="s">
        <v>119</v>
      </c>
      <c r="N93" s="117">
        <v>0.15770000000000001</v>
      </c>
      <c r="O93" s="118">
        <v>-1.3758599124452657</v>
      </c>
      <c r="Q93" s="16"/>
    </row>
    <row r="94" spans="1:243" ht="15.75" customHeight="1" thickBot="1" x14ac:dyDescent="0.3">
      <c r="A94" s="120"/>
      <c r="B94" s="121"/>
      <c r="C94" s="121"/>
      <c r="D94" s="121"/>
      <c r="E94" s="120"/>
      <c r="F94" s="121"/>
      <c r="G94" s="121"/>
      <c r="H94" s="122"/>
      <c r="J94" s="120"/>
      <c r="K94" s="121"/>
      <c r="L94" s="122"/>
      <c r="M94" s="121"/>
      <c r="N94" s="121"/>
      <c r="O94" s="122"/>
      <c r="Q94" s="16"/>
    </row>
    <row r="95" spans="1:243" x14ac:dyDescent="0.25">
      <c r="A95" s="123"/>
      <c r="B95" s="124"/>
      <c r="C95" s="124"/>
      <c r="D95" s="124"/>
      <c r="E95" s="114"/>
      <c r="F95" s="114"/>
      <c r="G95" s="114"/>
      <c r="H95" s="114"/>
      <c r="I95" s="114"/>
      <c r="J95" s="114"/>
      <c r="K95" s="114"/>
      <c r="L95" s="114"/>
      <c r="M95" s="124"/>
      <c r="Q95" s="16"/>
    </row>
    <row r="96" spans="1:243" x14ac:dyDescent="0.25">
      <c r="A96" s="12" t="s">
        <v>184</v>
      </c>
      <c r="B96" s="125"/>
      <c r="C96" s="125"/>
      <c r="D96" s="125"/>
      <c r="E96" s="125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3"/>
      <c r="B97" s="124"/>
      <c r="C97" s="124"/>
      <c r="D97" s="124"/>
      <c r="E97" s="124"/>
      <c r="F97" s="114"/>
      <c r="G97" s="114"/>
      <c r="H97" s="124"/>
      <c r="I97" s="114"/>
      <c r="J97" s="114"/>
      <c r="K97" s="114"/>
      <c r="L97" s="114"/>
      <c r="M97" s="124"/>
      <c r="Q97" s="16"/>
    </row>
    <row r="98" spans="1:17" ht="12.6" thickBot="1" x14ac:dyDescent="0.3">
      <c r="A98" s="126"/>
      <c r="B98" s="127"/>
      <c r="C98" s="127"/>
      <c r="D98" s="127"/>
      <c r="E98" s="127"/>
      <c r="F98" s="128"/>
      <c r="G98" s="128"/>
      <c r="H98" s="128"/>
      <c r="I98" s="129"/>
      <c r="J98" s="129"/>
      <c r="K98" s="129"/>
      <c r="L98" s="129"/>
      <c r="M98" s="129"/>
      <c r="N98" s="129"/>
      <c r="O98" s="129"/>
      <c r="P98" s="129"/>
      <c r="Q98" s="130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1"/>
      <c r="J102" s="131"/>
      <c r="K102" s="131"/>
      <c r="O102" s="131"/>
      <c r="P102" s="131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1"/>
      <c r="J105" s="131"/>
      <c r="K105" s="131"/>
      <c r="O105" s="131"/>
      <c r="P105" s="131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1"/>
      <c r="J107" s="131"/>
      <c r="K107" s="131"/>
      <c r="O107" s="131"/>
      <c r="P107" s="131"/>
    </row>
  </sheetData>
  <sheetProtection algorithmName="SHA-512" hashValue="vi+VGypquzGt8Li3pJAiJeC7yCqVDx6kXQJE3KlCq34sJH5C1t3YqHOd9fzJ5saLuOUBzpZmDhr9bLswd4y7yQ==" saltValue="VpSEBA0iPTnzVhNFrAy2TQ==" spinCount="100000" sheet="1" objects="1" scenarios="1"/>
  <mergeCells count="14">
    <mergeCell ref="A74:Q74"/>
    <mergeCell ref="L5:M5"/>
    <mergeCell ref="A6:Q6"/>
    <mergeCell ref="A49:Q49"/>
    <mergeCell ref="A67:Q67"/>
    <mergeCell ref="A70:Q70"/>
    <mergeCell ref="E91:H93"/>
    <mergeCell ref="J93:L93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2330917E6F5D46A8F2A6524C53BE76" ma:contentTypeVersion="9" ma:contentTypeDescription="Create a new document." ma:contentTypeScope="" ma:versionID="39782dfc7ca009217ca96b1eb1f57709">
  <xsd:schema xmlns:xsd="http://www.w3.org/2001/XMLSchema" xmlns:xs="http://www.w3.org/2001/XMLSchema" xmlns:p="http://schemas.microsoft.com/office/2006/metadata/properties" xmlns:ns3="51cdcad0-d8e2-4717-8082-56b31de8f643" targetNamespace="http://schemas.microsoft.com/office/2006/metadata/properties" ma:root="true" ma:fieldsID="e54125afb0dcb32c6e1f6ff32ff199ec" ns3:_="">
    <xsd:import namespace="51cdcad0-d8e2-4717-8082-56b31de8f64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cdcad0-d8e2-4717-8082-56b31de8f64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cdcad0-d8e2-4717-8082-56b31de8f643" xsi:nil="true"/>
  </documentManagement>
</p:properties>
</file>

<file path=customXml/itemProps1.xml><?xml version="1.0" encoding="utf-8"?>
<ds:datastoreItem xmlns:ds="http://schemas.openxmlformats.org/officeDocument/2006/customXml" ds:itemID="{950D280C-508D-42F4-B97E-074FA3CEF0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FD6D9A-2732-4F77-A92F-A68C2765F2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cdcad0-d8e2-4717-8082-56b31de8f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E48390-4A36-4D9D-A8EC-F3AF796888D1}">
  <ds:schemaRefs>
    <ds:schemaRef ds:uri="http://schemas.microsoft.com/office/2006/metadata/properties"/>
    <ds:schemaRef ds:uri="51cdcad0-d8e2-4717-8082-56b31de8f643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Nelson Mrewa</cp:lastModifiedBy>
  <dcterms:created xsi:type="dcterms:W3CDTF">2026-09-30T13:05:13Z</dcterms:created>
  <dcterms:modified xsi:type="dcterms:W3CDTF">2026-09-30T13:24:41Z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0x0101009D2330917E6F5D46A8F2A6524C53BE76</vt:lpwstr>
  </property>
</Properties>
</file>