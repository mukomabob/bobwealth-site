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20.04.26/"/>
    </mc:Choice>
  </mc:AlternateContent>
  <xr:revisionPtr revIDLastSave="0" documentId="8_{C6E7AEF2-CE36-4B28-8694-ADFFB8423DD3}" xr6:coauthVersionLast="47" xr6:coauthVersionMax="47" xr10:uidLastSave="{00000000-0000-0000-0000-000000000000}"/>
  <bookViews>
    <workbookView xWindow="-108" yWindow="-108" windowWidth="23256" windowHeight="12456" xr2:uid="{9F7FE530-A0CE-4292-BE91-E191B5DD0B08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K73" i="1" s="1"/>
  <c r="E73" i="1" s="1"/>
  <c r="D73" i="1"/>
  <c r="Q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P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P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P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E46" i="1" s="1"/>
  <c r="J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E34" i="1" s="1"/>
  <c r="J34" i="1"/>
  <c r="P34" i="1" s="1"/>
  <c r="Q33" i="1"/>
  <c r="M33" i="1"/>
  <c r="L33" i="1"/>
  <c r="K33" i="1"/>
  <c r="J33" i="1"/>
  <c r="P33" i="1" s="1"/>
  <c r="E33" i="1"/>
  <c r="D33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E25" i="1" s="1"/>
  <c r="J25" i="1"/>
  <c r="P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M22" i="1"/>
  <c r="L22" i="1"/>
  <c r="K22" i="1"/>
  <c r="E22" i="1" s="1"/>
  <c r="J22" i="1"/>
  <c r="P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52" i="1" l="1"/>
  <c r="P28" i="1"/>
  <c r="P37" i="1"/>
  <c r="Q57" i="1"/>
  <c r="Q61" i="1"/>
  <c r="Q53" i="1"/>
  <c r="Q73" i="1"/>
  <c r="P65" i="1"/>
  <c r="D22" i="1"/>
  <c r="D25" i="1"/>
  <c r="D34" i="1"/>
  <c r="P59" i="1"/>
  <c r="P63" i="1"/>
</calcChain>
</file>

<file path=xl/sharedStrings.xml><?xml version="1.0" encoding="utf-8"?>
<sst xmlns="http://schemas.openxmlformats.org/spreadsheetml/2006/main" count="263" uniqueCount="181">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</sst>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544B93F2-A0E4-41B3-9744-DAC0A8ACCB4E}"/>
    <cellStyle name="Comma 5 2 2 2 2 2 2 2 2" xfId="4" xr:uid="{5CDCC992-B72F-455B-906A-AF897FCE1CA2}"/>
    <cellStyle name="Comma 6 2 2 2" xfId="5" xr:uid="{C6929273-61C0-40DA-90F4-A28B2872174A}"/>
    <cellStyle name="Hyperlink 2" xfId="8" xr:uid="{EFC7624B-65F6-481B-B453-90899A3EF765}"/>
    <cellStyle name="Normal" xfId="0" builtinId="0"/>
    <cellStyle name="Normal 2" xfId="2" xr:uid="{48BE278A-F09C-44D1-A0AE-EE0412D05ED3}"/>
    <cellStyle name="Normal 20" xfId="7" xr:uid="{0476FBD4-FB10-4DA7-99EC-5639FBF41B7D}"/>
    <cellStyle name="Percent" xfId="1" builtinId="5"/>
    <cellStyle name="Percent 3" xfId="6" xr:uid="{67E657D4-F9B8-4FC3-B1E1-59920AB42578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8DA9F04-6FD8-4571-B6EF-ADDC8D7C8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A2250B3-8000-487F-A6ED-09B509E0B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9AEA-75E3-4DC0-B02B-6FB63EC552D9}">
  <dimension ref="A1:II105"/>
  <sheetViews>
    <sheetView tabSelected="1" zoomScale="70" zoomScaleNormal="70" workbookViewId="0">
      <pane ySplit="7" topLeftCell="A36" activePane="bottomLeft" state="frozen"/>
      <selection pane="bottomLeft" activeCell="N99" sqref="N99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25.1996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12.6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68315497.634883091</v>
      </c>
      <c r="E10" s="37">
        <f t="shared" ref="E10:E30" si="1">C10*K10</f>
        <v>57384107.140000001</v>
      </c>
      <c r="F10" s="38" t="s">
        <v>34</v>
      </c>
      <c r="G10" s="39">
        <v>8.9894999999999996</v>
      </c>
      <c r="H10" s="40">
        <v>13.8</v>
      </c>
      <c r="I10" s="40">
        <v>13.8</v>
      </c>
      <c r="J10" s="41">
        <f>(I10/$J$5)</f>
        <v>0.54762774012285909</v>
      </c>
      <c r="K10" s="42">
        <f t="shared" ref="K10:K30" si="2">I10/$K$4</f>
        <v>0.46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1600</v>
      </c>
      <c r="O10" s="35">
        <v>22080</v>
      </c>
      <c r="P10" s="45">
        <f t="shared" ref="P10:P30" si="5">(R10)/J10</f>
        <v>0</v>
      </c>
      <c r="Q10" s="46">
        <f t="shared" ref="Q10:Q30" si="6">I10/G10-1</f>
        <v>0.53512431169697994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1937406.4608168385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1.1904950872236068E-3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1000</v>
      </c>
      <c r="O11" s="35">
        <v>30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4250140.4688496236</v>
      </c>
      <c r="E12" s="37">
        <f t="shared" si="1"/>
        <v>3570061.3252940997</v>
      </c>
      <c r="F12" s="38" t="s">
        <v>39</v>
      </c>
      <c r="G12" s="39">
        <v>7.8E-2</v>
      </c>
      <c r="H12" s="40">
        <v>0.24509699999999998</v>
      </c>
      <c r="I12" s="40">
        <v>0.24509699999999998</v>
      </c>
      <c r="J12" s="41">
        <f t="shared" si="7"/>
        <v>9.7262258131081431E-3</v>
      </c>
      <c r="K12" s="42">
        <f t="shared" si="2"/>
        <v>8.169899999999999E-3</v>
      </c>
      <c r="L12" s="43">
        <f t="shared" si="3"/>
        <v>0</v>
      </c>
      <c r="M12" s="43">
        <f t="shared" si="4"/>
        <v>0</v>
      </c>
      <c r="N12" s="44">
        <v>0</v>
      </c>
      <c r="O12" s="35">
        <v>0</v>
      </c>
      <c r="P12" s="45">
        <f t="shared" si="5"/>
        <v>0</v>
      </c>
      <c r="Q12" s="46">
        <f t="shared" si="6"/>
        <v>2.1422692307692306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174396926.3730377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8.4521182875918672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0</v>
      </c>
      <c r="O13" s="35">
        <v>0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4506451.3545453101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0.51590104604834996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315261125.89088714</v>
      </c>
      <c r="E15" s="37">
        <f t="shared" si="1"/>
        <v>264815142.26666662</v>
      </c>
      <c r="F15" s="38" t="s">
        <v>47</v>
      </c>
      <c r="G15" s="39">
        <v>11.5</v>
      </c>
      <c r="H15" s="40">
        <v>15</v>
      </c>
      <c r="I15" s="40">
        <v>15.2</v>
      </c>
      <c r="J15" s="41">
        <f t="shared" si="7"/>
        <v>0.60318417752662734</v>
      </c>
      <c r="K15" s="42">
        <f t="shared" si="2"/>
        <v>0.5066666666666666</v>
      </c>
      <c r="L15" s="43">
        <f t="shared" si="3"/>
        <v>0.19999999999999929</v>
      </c>
      <c r="M15" s="43">
        <f t="shared" si="4"/>
        <v>1.3333333333333286</v>
      </c>
      <c r="N15" s="44">
        <v>200</v>
      </c>
      <c r="O15" s="35">
        <v>3040</v>
      </c>
      <c r="P15" s="45">
        <f t="shared" si="5"/>
        <v>0</v>
      </c>
      <c r="Q15" s="46">
        <f t="shared" si="6"/>
        <v>0.32173913043478253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26047755.371117003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0.24563881966380421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36937182.764805794</v>
      </c>
      <c r="E17" s="37">
        <f t="shared" si="1"/>
        <v>31026741.026666667</v>
      </c>
      <c r="F17" s="38" t="s">
        <v>34</v>
      </c>
      <c r="G17" s="39">
        <v>1.9</v>
      </c>
      <c r="H17" s="40">
        <v>2.6003419999999999</v>
      </c>
      <c r="I17" s="40">
        <v>2.6</v>
      </c>
      <c r="J17" s="41">
        <f t="shared" si="7"/>
        <v>0.10317624089271259</v>
      </c>
      <c r="K17" s="42">
        <f t="shared" si="2"/>
        <v>8.666666666666667E-2</v>
      </c>
      <c r="L17" s="43">
        <f t="shared" si="3"/>
        <v>-3.4199999999984243E-4</v>
      </c>
      <c r="M17" s="43">
        <f t="shared" si="4"/>
        <v>-1.3152116144716442E-2</v>
      </c>
      <c r="N17" s="44">
        <v>300000</v>
      </c>
      <c r="O17" s="35">
        <v>780000</v>
      </c>
      <c r="P17" s="45">
        <f t="shared" si="5"/>
        <v>0</v>
      </c>
      <c r="Q17" s="46">
        <f t="shared" si="6"/>
        <v>0.36842105263157898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1437833542.6087518</v>
      </c>
      <c r="E18" s="37">
        <f t="shared" si="1"/>
        <v>1207761004.6774502</v>
      </c>
      <c r="F18" s="38" t="s">
        <v>34</v>
      </c>
      <c r="G18" s="39">
        <v>20.701700000000002</v>
      </c>
      <c r="H18" s="40">
        <v>27</v>
      </c>
      <c r="I18" s="40">
        <v>27.006900000000002</v>
      </c>
      <c r="J18" s="41">
        <f t="shared" si="7"/>
        <v>1.0717193923713075</v>
      </c>
      <c r="K18" s="42">
        <f t="shared" si="2"/>
        <v>0.90023000000000009</v>
      </c>
      <c r="L18" s="43">
        <f t="shared" si="3"/>
        <v>6.9000000000016826E-3</v>
      </c>
      <c r="M18" s="43">
        <f t="shared" si="4"/>
        <v>2.5555555555561788E-2</v>
      </c>
      <c r="N18" s="44">
        <v>3200</v>
      </c>
      <c r="O18" s="35">
        <v>86422.05</v>
      </c>
      <c r="P18" s="45">
        <f t="shared" si="5"/>
        <v>0</v>
      </c>
      <c r="Q18" s="46">
        <f t="shared" si="6"/>
        <v>0.30457402049107074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/>
      <c r="I19" s="40"/>
      <c r="J19" s="41"/>
      <c r="K19" s="42"/>
      <c r="L19" s="43"/>
      <c r="M19" s="43"/>
      <c r="N19" s="44" t="s">
        <v>57</v>
      </c>
      <c r="O19" s="35" t="s">
        <v>57</v>
      </c>
      <c r="P19" s="45"/>
      <c r="Q19" s="46"/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263989771.72001216</v>
      </c>
      <c r="E20" s="37">
        <f t="shared" si="1"/>
        <v>221747888.38118726</v>
      </c>
      <c r="F20" s="38" t="s">
        <v>47</v>
      </c>
      <c r="G20" s="39">
        <v>12.45</v>
      </c>
      <c r="H20" s="40">
        <v>9.9099730000000008</v>
      </c>
      <c r="I20" s="40">
        <v>9.9001969999999986</v>
      </c>
      <c r="J20" s="41">
        <f t="shared" si="7"/>
        <v>0.39287119636819628</v>
      </c>
      <c r="K20" s="42">
        <f t="shared" si="2"/>
        <v>0.33000656666666661</v>
      </c>
      <c r="L20" s="43">
        <f t="shared" si="3"/>
        <v>-9.7760000000022274E-3</v>
      </c>
      <c r="M20" s="43">
        <f t="shared" si="4"/>
        <v>-9.8648099243077908E-2</v>
      </c>
      <c r="N20" s="44">
        <v>15200</v>
      </c>
      <c r="O20" s="35">
        <v>150483</v>
      </c>
      <c r="P20" s="45">
        <f t="shared" si="5"/>
        <v>0</v>
      </c>
      <c r="Q20" s="46">
        <f t="shared" si="6"/>
        <v>-0.20480345381526111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2939246.5705804853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2.6984555310401753E-2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79148615.192304641</v>
      </c>
      <c r="E22" s="37">
        <f t="shared" si="1"/>
        <v>66483781.446666673</v>
      </c>
      <c r="F22" s="38" t="s">
        <v>47</v>
      </c>
      <c r="G22" s="39">
        <v>2.85</v>
      </c>
      <c r="H22" s="40">
        <v>2.98</v>
      </c>
      <c r="I22" s="40">
        <v>2.89</v>
      </c>
      <c r="J22" s="41">
        <f t="shared" si="7"/>
        <v>0.11468436006920746</v>
      </c>
      <c r="K22" s="42">
        <f t="shared" si="2"/>
        <v>9.633333333333334E-2</v>
      </c>
      <c r="L22" s="43">
        <f t="shared" si="3"/>
        <v>-8.9999999999999858E-2</v>
      </c>
      <c r="M22" s="43">
        <f t="shared" si="4"/>
        <v>-3.0201342281879149</v>
      </c>
      <c r="N22" s="44">
        <v>200</v>
      </c>
      <c r="O22" s="35">
        <v>578</v>
      </c>
      <c r="P22" s="45">
        <f t="shared" si="5"/>
        <v>0</v>
      </c>
      <c r="Q22" s="46">
        <f t="shared" si="6"/>
        <v>1.4035087719298289E-2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48070365.527230591</v>
      </c>
      <c r="E23" s="37">
        <f t="shared" si="1"/>
        <v>40378466.104666665</v>
      </c>
      <c r="F23" s="38" t="s">
        <v>66</v>
      </c>
      <c r="G23" s="39">
        <v>0.88420599999999994</v>
      </c>
      <c r="H23" s="40">
        <v>0.95</v>
      </c>
      <c r="I23" s="40">
        <v>0.98</v>
      </c>
      <c r="J23" s="41">
        <f t="shared" si="7"/>
        <v>3.8889506182637819E-2</v>
      </c>
      <c r="K23" s="42">
        <f t="shared" si="2"/>
        <v>3.2666666666666663E-2</v>
      </c>
      <c r="L23" s="43">
        <f t="shared" si="3"/>
        <v>3.0000000000000027E-2</v>
      </c>
      <c r="M23" s="43">
        <f t="shared" si="4"/>
        <v>3.157894736842108</v>
      </c>
      <c r="N23" s="44">
        <v>400</v>
      </c>
      <c r="O23" s="35">
        <v>392</v>
      </c>
      <c r="P23" s="45">
        <f t="shared" si="5"/>
        <v>0</v>
      </c>
      <c r="Q23" s="46">
        <f t="shared" si="6"/>
        <v>0.10833900697348819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2140000.5004642932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3.9881585421990828E-3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72840851.548809022</v>
      </c>
      <c r="E25" s="37">
        <f t="shared" si="1"/>
        <v>61185344.089645587</v>
      </c>
      <c r="F25" s="38" t="s">
        <v>34</v>
      </c>
      <c r="G25" s="39">
        <v>8.1687659999999997</v>
      </c>
      <c r="H25" s="40">
        <v>9.5096619999999987</v>
      </c>
      <c r="I25" s="40">
        <v>9.5096619999999987</v>
      </c>
      <c r="J25" s="41">
        <f t="shared" si="7"/>
        <v>0.37737352973856725</v>
      </c>
      <c r="K25" s="42">
        <f t="shared" si="2"/>
        <v>0.31698873333333327</v>
      </c>
      <c r="L25" s="43">
        <f t="shared" si="3"/>
        <v>0</v>
      </c>
      <c r="M25" s="43">
        <f t="shared" si="4"/>
        <v>0</v>
      </c>
      <c r="N25" s="44">
        <v>0</v>
      </c>
      <c r="O25" s="35">
        <v>0</v>
      </c>
      <c r="P25" s="45">
        <f t="shared" si="5"/>
        <v>0</v>
      </c>
      <c r="Q25" s="46">
        <f t="shared" si="6"/>
        <v>0.16414915055713419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80293508.105475456</v>
      </c>
      <c r="E26" s="37">
        <f t="shared" si="1"/>
        <v>67445476.228491306</v>
      </c>
      <c r="F26" s="38" t="s">
        <v>66</v>
      </c>
      <c r="G26" s="39">
        <v>1.6675</v>
      </c>
      <c r="H26" s="40">
        <v>1.2225679999999999</v>
      </c>
      <c r="I26" s="40">
        <v>1.198971</v>
      </c>
      <c r="J26" s="41">
        <f t="shared" si="7"/>
        <v>4.7578969507452502E-2</v>
      </c>
      <c r="K26" s="42">
        <f t="shared" si="2"/>
        <v>3.99657E-2</v>
      </c>
      <c r="L26" s="43">
        <f t="shared" si="3"/>
        <v>-2.3596999999999868E-2</v>
      </c>
      <c r="M26" s="43">
        <f t="shared" si="4"/>
        <v>-1.9301175885513011</v>
      </c>
      <c r="N26" s="44">
        <v>145800</v>
      </c>
      <c r="O26" s="35">
        <v>174810</v>
      </c>
      <c r="P26" s="45">
        <f t="shared" si="5"/>
        <v>0</v>
      </c>
      <c r="Q26" s="46">
        <f t="shared" si="6"/>
        <v>-0.28097691154422788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21849261.341449864</v>
      </c>
      <c r="E27" s="37">
        <f t="shared" si="1"/>
        <v>18353088.203333333</v>
      </c>
      <c r="F27" s="38" t="s">
        <v>44</v>
      </c>
      <c r="G27" s="39">
        <v>1.7994999999999999</v>
      </c>
      <c r="H27" s="40">
        <v>2.2999999999999998</v>
      </c>
      <c r="I27" s="40">
        <v>2.2999999999999998</v>
      </c>
      <c r="J27" s="41">
        <f t="shared" si="7"/>
        <v>9.1271290020476514E-2</v>
      </c>
      <c r="K27" s="42">
        <f t="shared" si="2"/>
        <v>7.6666666666666661E-2</v>
      </c>
      <c r="L27" s="43">
        <f t="shared" si="3"/>
        <v>0</v>
      </c>
      <c r="M27" s="43">
        <f t="shared" si="4"/>
        <v>0</v>
      </c>
      <c r="N27" s="44">
        <v>35300</v>
      </c>
      <c r="O27" s="35">
        <v>81190</v>
      </c>
      <c r="P27" s="45">
        <f t="shared" si="5"/>
        <v>0</v>
      </c>
      <c r="Q27" s="46">
        <f t="shared" si="6"/>
        <v>0.2781328146707418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32527594.533246558</v>
      </c>
      <c r="E28" s="37">
        <f t="shared" si="1"/>
        <v>27322745.706666667</v>
      </c>
      <c r="F28" s="38" t="s">
        <v>34</v>
      </c>
      <c r="G28" s="39">
        <v>3.1361369999999997</v>
      </c>
      <c r="H28" s="40">
        <v>3.2</v>
      </c>
      <c r="I28" s="40">
        <v>3.2</v>
      </c>
      <c r="J28" s="41">
        <f t="shared" si="7"/>
        <v>0.12698614263718472</v>
      </c>
      <c r="K28" s="42">
        <f t="shared" si="2"/>
        <v>0.10666666666666667</v>
      </c>
      <c r="L28" s="43">
        <f t="shared" si="3"/>
        <v>0</v>
      </c>
      <c r="M28" s="43">
        <f t="shared" si="4"/>
        <v>0</v>
      </c>
      <c r="N28" s="44">
        <v>20000</v>
      </c>
      <c r="O28" s="35">
        <v>64000</v>
      </c>
      <c r="P28" s="45">
        <f t="shared" si="5"/>
        <v>0</v>
      </c>
      <c r="Q28" s="46">
        <f t="shared" si="6"/>
        <v>2.0363587432564501E-2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24001383.908038463</v>
      </c>
      <c r="E29" s="37">
        <f t="shared" si="1"/>
        <v>20160842.464300197</v>
      </c>
      <c r="F29" s="38" t="s">
        <v>44</v>
      </c>
      <c r="G29" s="39">
        <v>0.8</v>
      </c>
      <c r="H29" s="40">
        <v>0.80040599999999995</v>
      </c>
      <c r="I29" s="40">
        <v>0.80040599999999995</v>
      </c>
      <c r="J29" s="41">
        <f t="shared" si="7"/>
        <v>3.1762647026143273E-2</v>
      </c>
      <c r="K29" s="42">
        <f t="shared" si="2"/>
        <v>2.6680199999999998E-2</v>
      </c>
      <c r="L29" s="43">
        <f t="shared" si="3"/>
        <v>0</v>
      </c>
      <c r="M29" s="43">
        <f t="shared" si="4"/>
        <v>0</v>
      </c>
      <c r="N29" s="44">
        <v>0</v>
      </c>
      <c r="O29" s="35">
        <v>0</v>
      </c>
      <c r="P29" s="45">
        <f t="shared" si="5"/>
        <v>0</v>
      </c>
      <c r="Q29" s="46">
        <f t="shared" si="6"/>
        <v>5.0749999999988304E-4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80514844.631660804</v>
      </c>
      <c r="E30" s="37">
        <f t="shared" si="1"/>
        <v>67631395.959333315</v>
      </c>
      <c r="F30" s="38" t="s">
        <v>47</v>
      </c>
      <c r="G30" s="39">
        <v>5.15</v>
      </c>
      <c r="H30" s="40">
        <v>5.0199999999999996</v>
      </c>
      <c r="I30" s="40">
        <v>5.0199999999999996</v>
      </c>
      <c r="J30" s="41">
        <f t="shared" si="7"/>
        <v>0.1992095112620835</v>
      </c>
      <c r="K30" s="42">
        <f t="shared" si="2"/>
        <v>0.16733333333333331</v>
      </c>
      <c r="L30" s="43">
        <f t="shared" si="3"/>
        <v>0</v>
      </c>
      <c r="M30" s="43">
        <f t="shared" si="4"/>
        <v>0</v>
      </c>
      <c r="N30" s="44">
        <v>0</v>
      </c>
      <c r="O30" s="35">
        <v>0</v>
      </c>
      <c r="P30" s="45">
        <f t="shared" si="5"/>
        <v>0</v>
      </c>
      <c r="Q30" s="46">
        <f t="shared" si="6"/>
        <v>-2.5242718446602086E-2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15468475.888506167</v>
      </c>
      <c r="E33" s="37">
        <f t="shared" si="9"/>
        <v>12993313.5</v>
      </c>
      <c r="F33" s="38" t="s">
        <v>39</v>
      </c>
      <c r="G33" s="39">
        <v>1.4</v>
      </c>
      <c r="H33" s="40">
        <v>1.5</v>
      </c>
      <c r="I33" s="40">
        <v>1.5</v>
      </c>
      <c r="J33" s="41">
        <f t="shared" si="10"/>
        <v>5.9524754361180335E-2</v>
      </c>
      <c r="K33" s="42">
        <f t="shared" si="11"/>
        <v>0.05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0</v>
      </c>
      <c r="O33" s="35">
        <v>0</v>
      </c>
      <c r="P33" s="45">
        <f t="shared" ref="P33:P38" si="14">(R33)/J33</f>
        <v>0</v>
      </c>
      <c r="Q33" s="46">
        <f t="shared" ref="Q33:Q48" si="15">I33/G33-1</f>
        <v>7.1428571428571397E-2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3631887.1132875122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2.9762377180590167E-2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166921395.03717729</v>
      </c>
      <c r="E35" s="37">
        <f t="shared" si="9"/>
        <v>140211746.21262845</v>
      </c>
      <c r="F35" s="38" t="s">
        <v>92</v>
      </c>
      <c r="G35" s="39">
        <v>1.44</v>
      </c>
      <c r="H35" s="40">
        <v>1.66</v>
      </c>
      <c r="I35" s="40">
        <v>1.6855779999999998</v>
      </c>
      <c r="J35" s="41">
        <f t="shared" si="10"/>
        <v>6.6889077604406405E-2</v>
      </c>
      <c r="K35" s="42">
        <f t="shared" si="11"/>
        <v>5.6185933333333327E-2</v>
      </c>
      <c r="L35" s="43">
        <f t="shared" si="12"/>
        <v>2.5577999999999879E-2</v>
      </c>
      <c r="M35" s="43">
        <f t="shared" si="13"/>
        <v>1.5408433734939686</v>
      </c>
      <c r="N35" s="44">
        <v>14700</v>
      </c>
      <c r="O35" s="35">
        <v>24778</v>
      </c>
      <c r="P35" s="45">
        <f t="shared" si="14"/>
        <v>0</v>
      </c>
      <c r="Q35" s="46">
        <f t="shared" si="15"/>
        <v>0.17054027777777758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35340943.17795489</v>
      </c>
      <c r="E36" s="37">
        <f t="shared" si="9"/>
        <v>29685921.056906402</v>
      </c>
      <c r="F36" s="38" t="s">
        <v>34</v>
      </c>
      <c r="G36" s="39">
        <v>3.6056249999999999</v>
      </c>
      <c r="H36" s="40">
        <v>3.39</v>
      </c>
      <c r="I36" s="40">
        <v>3.5132240000000001</v>
      </c>
      <c r="J36" s="41">
        <f t="shared" si="10"/>
        <v>0.13941586374386897</v>
      </c>
      <c r="K36" s="42">
        <f t="shared" si="11"/>
        <v>0.11710746666666667</v>
      </c>
      <c r="L36" s="43">
        <f t="shared" si="12"/>
        <v>0.123224</v>
      </c>
      <c r="M36" s="43">
        <f t="shared" si="13"/>
        <v>3.6349262536873157</v>
      </c>
      <c r="N36" s="44">
        <v>29000</v>
      </c>
      <c r="O36" s="35">
        <v>101883.5</v>
      </c>
      <c r="P36" s="45">
        <f t="shared" si="14"/>
        <v>0</v>
      </c>
      <c r="Q36" s="46">
        <f t="shared" si="15"/>
        <v>-2.5626902409429664E-2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6361722.3251162721</v>
      </c>
      <c r="E37" s="37">
        <f t="shared" si="9"/>
        <v>5343761.9301333334</v>
      </c>
      <c r="F37" s="38" t="s">
        <v>34</v>
      </c>
      <c r="G37" s="39">
        <v>2.5099999999999997E-2</v>
      </c>
      <c r="H37" s="40">
        <v>3.4000000000000002E-2</v>
      </c>
      <c r="I37" s="40">
        <v>3.4000000000000002E-2</v>
      </c>
      <c r="J37" s="41">
        <f t="shared" si="10"/>
        <v>1.3492277655200878E-3</v>
      </c>
      <c r="K37" s="42">
        <f t="shared" si="11"/>
        <v>1.1333333333333334E-3</v>
      </c>
      <c r="L37" s="43">
        <f t="shared" si="12"/>
        <v>0</v>
      </c>
      <c r="M37" s="43">
        <f t="shared" si="13"/>
        <v>0</v>
      </c>
      <c r="N37" s="44">
        <v>0</v>
      </c>
      <c r="O37" s="35">
        <v>0</v>
      </c>
      <c r="P37" s="45">
        <f t="shared" si="14"/>
        <v>0</v>
      </c>
      <c r="Q37" s="46">
        <f t="shared" si="15"/>
        <v>0.35458167330677326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17637679.347092811</v>
      </c>
      <c r="E38" s="37">
        <f t="shared" si="9"/>
        <v>14815415.482499998</v>
      </c>
      <c r="F38" s="38" t="s">
        <v>92</v>
      </c>
      <c r="G38" s="39">
        <v>0.61</v>
      </c>
      <c r="H38" s="40">
        <v>1.7024999999999999</v>
      </c>
      <c r="I38" s="40">
        <v>1.7024999999999999</v>
      </c>
      <c r="J38" s="41">
        <f t="shared" si="10"/>
        <v>6.7560596199939676E-2</v>
      </c>
      <c r="K38" s="42">
        <f t="shared" si="11"/>
        <v>5.6749999999999995E-2</v>
      </c>
      <c r="L38" s="43">
        <f t="shared" si="12"/>
        <v>0</v>
      </c>
      <c r="M38" s="43">
        <f t="shared" si="13"/>
        <v>0</v>
      </c>
      <c r="N38" s="44">
        <v>0</v>
      </c>
      <c r="O38" s="35">
        <v>0</v>
      </c>
      <c r="P38" s="45">
        <f t="shared" si="14"/>
        <v>0</v>
      </c>
      <c r="Q38" s="46">
        <f t="shared" si="15"/>
        <v>1.790983606557377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15196729.016899792</v>
      </c>
      <c r="E39" s="37">
        <f t="shared" si="9"/>
        <v>12765049.751142269</v>
      </c>
      <c r="F39" s="38" t="s">
        <v>56</v>
      </c>
      <c r="G39" s="39">
        <v>0.11650199999999999</v>
      </c>
      <c r="H39" s="40">
        <v>9.4372000000000011E-2</v>
      </c>
      <c r="I39" s="40">
        <v>9.1292000000000012E-2</v>
      </c>
      <c r="J39" s="41">
        <f t="shared" si="10"/>
        <v>3.6227559167605838E-3</v>
      </c>
      <c r="K39" s="42">
        <f t="shared" si="11"/>
        <v>3.0430666666666673E-3</v>
      </c>
      <c r="L39" s="43">
        <f t="shared" si="12"/>
        <v>-3.0799999999999994E-3</v>
      </c>
      <c r="M39" s="43">
        <f t="shared" si="13"/>
        <v>-3.2636799050565837</v>
      </c>
      <c r="N39" s="44">
        <v>5900</v>
      </c>
      <c r="O39" s="35">
        <v>538.62</v>
      </c>
      <c r="P39" s="45">
        <v>0</v>
      </c>
      <c r="Q39" s="46">
        <f t="shared" si="15"/>
        <v>-0.21639113491613859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83571466.632971436</v>
      </c>
      <c r="E40" s="37">
        <f t="shared" si="9"/>
        <v>70198917.685474232</v>
      </c>
      <c r="F40" s="38" t="s">
        <v>34</v>
      </c>
      <c r="G40" s="39">
        <v>2.6005000000000003</v>
      </c>
      <c r="H40" s="40">
        <v>5.5</v>
      </c>
      <c r="I40" s="40">
        <v>5.802721</v>
      </c>
      <c r="J40" s="41">
        <f t="shared" si="10"/>
        <v>0.23027036143430848</v>
      </c>
      <c r="K40" s="42">
        <f t="shared" si="11"/>
        <v>0.19342403333333333</v>
      </c>
      <c r="L40" s="43">
        <f t="shared" si="12"/>
        <v>0.30272100000000002</v>
      </c>
      <c r="M40" s="43">
        <f t="shared" si="13"/>
        <v>5.5040181818181821</v>
      </c>
      <c r="N40" s="44">
        <v>14700</v>
      </c>
      <c r="O40" s="35">
        <v>85300</v>
      </c>
      <c r="P40" s="45">
        <f t="shared" ref="P40:P47" si="16">(R40)/J40</f>
        <v>0</v>
      </c>
      <c r="Q40" s="46">
        <f t="shared" si="15"/>
        <v>1.2313866564122282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15447805.925879776</v>
      </c>
      <c r="E41" s="37">
        <f t="shared" si="9"/>
        <v>12975951.006993333</v>
      </c>
      <c r="F41" s="38" t="s">
        <v>39</v>
      </c>
      <c r="G41" s="39">
        <v>0.1</v>
      </c>
      <c r="H41" s="40">
        <v>9.0200000000000002E-2</v>
      </c>
      <c r="I41" s="40">
        <v>9.0200000000000002E-2</v>
      </c>
      <c r="J41" s="41">
        <f t="shared" si="10"/>
        <v>3.5794218955856444E-3</v>
      </c>
      <c r="K41" s="42">
        <f t="shared" si="11"/>
        <v>3.0066666666666666E-3</v>
      </c>
      <c r="L41" s="43">
        <f t="shared" si="12"/>
        <v>0</v>
      </c>
      <c r="M41" s="43">
        <f t="shared" si="13"/>
        <v>0</v>
      </c>
      <c r="N41" s="44">
        <v>0</v>
      </c>
      <c r="O41" s="35">
        <v>0</v>
      </c>
      <c r="P41" s="45">
        <f t="shared" si="16"/>
        <v>0</v>
      </c>
      <c r="Q41" s="46">
        <f t="shared" si="15"/>
        <v>-9.7999999999999976E-2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10774349.765472468</v>
      </c>
      <c r="E42" s="37">
        <f t="shared" si="9"/>
        <v>9050310.1449999996</v>
      </c>
      <c r="F42" s="38" t="s">
        <v>44</v>
      </c>
      <c r="G42" s="39">
        <v>1.7452379999999998</v>
      </c>
      <c r="H42" s="40">
        <v>2.5499999999999998</v>
      </c>
      <c r="I42" s="40">
        <v>2.5499999999999998</v>
      </c>
      <c r="J42" s="41">
        <f t="shared" si="10"/>
        <v>0.10119208241400657</v>
      </c>
      <c r="K42" s="42">
        <f t="shared" si="11"/>
        <v>8.4999999999999992E-2</v>
      </c>
      <c r="L42" s="43">
        <f t="shared" si="12"/>
        <v>0</v>
      </c>
      <c r="M42" s="43">
        <f t="shared" si="13"/>
        <v>0</v>
      </c>
      <c r="N42" s="44">
        <v>0</v>
      </c>
      <c r="O42" s="35">
        <v>0</v>
      </c>
      <c r="P42" s="45">
        <f t="shared" si="16"/>
        <v>0</v>
      </c>
      <c r="Q42" s="46">
        <f t="shared" si="15"/>
        <v>0.46111877004740909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2187258.6972809094</v>
      </c>
      <c r="E43" s="37">
        <f t="shared" si="9"/>
        <v>1837268.1422666667</v>
      </c>
      <c r="F43" s="38" t="s">
        <v>39</v>
      </c>
      <c r="G43" s="39">
        <v>0.03</v>
      </c>
      <c r="H43" s="40">
        <v>3.1E-2</v>
      </c>
      <c r="I43" s="40">
        <v>3.1E-2</v>
      </c>
      <c r="J43" s="41">
        <f t="shared" si="10"/>
        <v>1.2301782567977269E-3</v>
      </c>
      <c r="K43" s="42">
        <f t="shared" si="11"/>
        <v>1.0333333333333334E-3</v>
      </c>
      <c r="L43" s="43">
        <f t="shared" si="12"/>
        <v>0</v>
      </c>
      <c r="M43" s="43">
        <f t="shared" si="13"/>
        <v>0</v>
      </c>
      <c r="N43" s="44">
        <v>0</v>
      </c>
      <c r="O43" s="35">
        <v>0</v>
      </c>
      <c r="P43" s="45">
        <f t="shared" si="16"/>
        <v>0</v>
      </c>
      <c r="Q43" s="46">
        <f t="shared" si="15"/>
        <v>3.3333333333333437E-2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36011981.363196239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0.20555881839394274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330.96072548770616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7.1429705233416401E-7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1646654.7088049015</v>
      </c>
      <c r="E46" s="37">
        <f t="shared" si="9"/>
        <v>1383167.9999999998</v>
      </c>
      <c r="F46" s="38" t="s">
        <v>56</v>
      </c>
      <c r="G46" s="39">
        <v>7.0000000000000007E-2</v>
      </c>
      <c r="H46" s="40">
        <v>7.2039999999999993E-2</v>
      </c>
      <c r="I46" s="40">
        <v>7.2039999999999993E-2</v>
      </c>
      <c r="J46" s="41">
        <f t="shared" si="10"/>
        <v>2.8587755361196205E-3</v>
      </c>
      <c r="K46" s="42">
        <f t="shared" si="11"/>
        <v>2.401333333333333E-3</v>
      </c>
      <c r="L46" s="43">
        <f t="shared" si="12"/>
        <v>0</v>
      </c>
      <c r="M46" s="43">
        <f t="shared" si="13"/>
        <v>0</v>
      </c>
      <c r="N46" s="44">
        <v>0</v>
      </c>
      <c r="O46" s="35">
        <v>0</v>
      </c>
      <c r="P46" s="45">
        <f t="shared" si="16"/>
        <v>0</v>
      </c>
      <c r="Q46" s="46">
        <f t="shared" si="15"/>
        <v>2.9142857142856915E-2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54114513.305766754</v>
      </c>
      <c r="E47" s="37">
        <f t="shared" si="9"/>
        <v>45455469.650000006</v>
      </c>
      <c r="F47" s="38" t="s">
        <v>47</v>
      </c>
      <c r="G47" s="39">
        <v>0.9998999999999999</v>
      </c>
      <c r="H47" s="40">
        <v>0.75</v>
      </c>
      <c r="I47" s="40">
        <v>0.75</v>
      </c>
      <c r="J47" s="41">
        <f t="shared" si="10"/>
        <v>2.9762377180590167E-2</v>
      </c>
      <c r="K47" s="42">
        <f t="shared" si="11"/>
        <v>2.5000000000000001E-2</v>
      </c>
      <c r="L47" s="43">
        <f t="shared" si="12"/>
        <v>0</v>
      </c>
      <c r="M47" s="43">
        <f t="shared" si="13"/>
        <v>0</v>
      </c>
      <c r="N47" s="44">
        <v>0</v>
      </c>
      <c r="O47" s="35">
        <v>0</v>
      </c>
      <c r="P47" s="45">
        <f t="shared" si="16"/>
        <v>0</v>
      </c>
      <c r="Q47" s="46">
        <f t="shared" si="15"/>
        <v>-0.24992499249924982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4452984.4957856471</v>
      </c>
      <c r="E48" s="37">
        <f t="shared" si="9"/>
        <v>3740447.6033333335</v>
      </c>
      <c r="F48" s="38" t="s">
        <v>47</v>
      </c>
      <c r="G48" s="39">
        <v>1.4503460000000001</v>
      </c>
      <c r="H48" s="40">
        <v>0.95</v>
      </c>
      <c r="I48" s="40">
        <v>1.0925</v>
      </c>
      <c r="J48" s="41">
        <f t="shared" si="10"/>
        <v>4.3353862759726344E-2</v>
      </c>
      <c r="K48" s="42">
        <f t="shared" si="11"/>
        <v>3.6416666666666667E-2</v>
      </c>
      <c r="L48" s="43">
        <f t="shared" si="12"/>
        <v>0.14250000000000007</v>
      </c>
      <c r="M48" s="43">
        <f t="shared" si="13"/>
        <v>15.000000000000007</v>
      </c>
      <c r="N48" s="44">
        <v>100</v>
      </c>
      <c r="O48" s="35">
        <v>109.25</v>
      </c>
      <c r="P48" s="45">
        <v>0</v>
      </c>
      <c r="Q48" s="46">
        <f t="shared" si="15"/>
        <v>-0.24673146959415204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587300</v>
      </c>
      <c r="O49" s="56">
        <f>SUM(O10:O48)</f>
        <v>1575634.4200000002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46" t="s">
        <v>119</v>
      </c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9"/>
    </row>
    <row r="52" spans="1:20" x14ac:dyDescent="0.25">
      <c r="A52" s="33" t="s">
        <v>120</v>
      </c>
      <c r="B52" s="34" t="s">
        <v>121</v>
      </c>
      <c r="C52" s="38">
        <v>14786476</v>
      </c>
      <c r="D52" s="36">
        <f t="shared" ref="D52:D66" si="17">C52*J52</f>
        <v>76446080.920000002</v>
      </c>
      <c r="E52" s="37">
        <f>C52*K52</f>
        <v>0</v>
      </c>
      <c r="F52" s="38" t="s">
        <v>92</v>
      </c>
      <c r="G52" s="64">
        <v>4</v>
      </c>
      <c r="H52" s="40">
        <v>5.17</v>
      </c>
      <c r="I52" s="40">
        <v>5.17</v>
      </c>
      <c r="J52" s="41">
        <f t="shared" ref="J52:J66" si="18">I52</f>
        <v>5.17</v>
      </c>
      <c r="K52" s="37">
        <v>0</v>
      </c>
      <c r="L52" s="43">
        <f t="shared" ref="L52:L66" si="19">I52-H52</f>
        <v>0</v>
      </c>
      <c r="M52" s="43">
        <f t="shared" ref="M52:M66" si="20">((I52-H52)/H52)*100</f>
        <v>0</v>
      </c>
      <c r="N52" s="44">
        <v>4348407</v>
      </c>
      <c r="O52" s="35">
        <v>22481264.190000001</v>
      </c>
      <c r="P52" s="45">
        <v>0</v>
      </c>
      <c r="Q52" s="46">
        <f t="shared" ref="Q52:Q66" si="21">J52/G52-1</f>
        <v>0.29249999999999998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554920308</v>
      </c>
      <c r="D53" s="36">
        <f t="shared" si="17"/>
        <v>77910811.243200004</v>
      </c>
      <c r="E53" s="37">
        <v>0</v>
      </c>
      <c r="F53" s="38" t="s">
        <v>92</v>
      </c>
      <c r="G53" s="64">
        <v>0.1</v>
      </c>
      <c r="H53" s="40">
        <v>0.14000000000000001</v>
      </c>
      <c r="I53" s="40">
        <v>0.1404</v>
      </c>
      <c r="J53" s="41">
        <f t="shared" si="18"/>
        <v>0.1404</v>
      </c>
      <c r="K53" s="37">
        <v>0</v>
      </c>
      <c r="L53" s="43">
        <f t="shared" si="19"/>
        <v>3.999999999999837E-4</v>
      </c>
      <c r="M53" s="43">
        <f t="shared" si="20"/>
        <v>0.28571428571427404</v>
      </c>
      <c r="N53" s="44">
        <v>1150</v>
      </c>
      <c r="O53" s="35">
        <v>161.47</v>
      </c>
      <c r="P53" s="38">
        <f>(R53)/J53</f>
        <v>0</v>
      </c>
      <c r="Q53" s="46">
        <f t="shared" si="21"/>
        <v>0.40399999999999991</v>
      </c>
      <c r="T53" s="65"/>
    </row>
    <row r="54" spans="1:20" x14ac:dyDescent="0.25">
      <c r="A54" s="33" t="s">
        <v>124</v>
      </c>
      <c r="B54" s="34" t="s">
        <v>125</v>
      </c>
      <c r="C54" s="38">
        <v>1057685</v>
      </c>
      <c r="D54" s="36">
        <f t="shared" si="17"/>
        <v>52990970.416500002</v>
      </c>
      <c r="E54" s="37">
        <v>0</v>
      </c>
      <c r="F54" s="38" t="s">
        <v>39</v>
      </c>
      <c r="G54" s="64">
        <v>39.9</v>
      </c>
      <c r="H54" s="40">
        <v>50.100900000000003</v>
      </c>
      <c r="I54" s="40">
        <v>50.100900000000003</v>
      </c>
      <c r="J54" s="41">
        <f t="shared" si="18"/>
        <v>50.100900000000003</v>
      </c>
      <c r="K54" s="37">
        <v>0</v>
      </c>
      <c r="L54" s="43">
        <f t="shared" si="19"/>
        <v>0</v>
      </c>
      <c r="M54" s="43">
        <f t="shared" si="20"/>
        <v>0</v>
      </c>
      <c r="N54" s="44">
        <v>0</v>
      </c>
      <c r="O54" s="35">
        <v>0</v>
      </c>
      <c r="P54" s="38">
        <f>(R54)/J54</f>
        <v>0</v>
      </c>
      <c r="Q54" s="46">
        <f t="shared" si="21"/>
        <v>0.25566165413533848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865932030.94819999</v>
      </c>
      <c r="E55" s="37"/>
      <c r="F55" s="38" t="s">
        <v>56</v>
      </c>
      <c r="G55" s="64">
        <v>0.33</v>
      </c>
      <c r="H55" s="40">
        <v>0.29670000000000002</v>
      </c>
      <c r="I55" s="40">
        <v>0.28939999999999999</v>
      </c>
      <c r="J55" s="41">
        <f t="shared" si="18"/>
        <v>0.28939999999999999</v>
      </c>
      <c r="K55" s="37">
        <v>0</v>
      </c>
      <c r="L55" s="43">
        <f t="shared" si="19"/>
        <v>-7.3000000000000287E-3</v>
      </c>
      <c r="M55" s="43">
        <f t="shared" si="20"/>
        <v>-2.4603977081226924</v>
      </c>
      <c r="N55" s="44">
        <v>38185</v>
      </c>
      <c r="O55" s="35">
        <v>11050.04</v>
      </c>
      <c r="P55" s="38">
        <v>0</v>
      </c>
      <c r="Q55" s="46">
        <f t="shared" si="21"/>
        <v>-0.12303030303030305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13658197.123199999</v>
      </c>
      <c r="E56" s="37">
        <v>0</v>
      </c>
      <c r="F56" s="38" t="s">
        <v>34</v>
      </c>
      <c r="G56" s="64">
        <v>2.3E-2</v>
      </c>
      <c r="H56" s="40">
        <v>2.24E-2</v>
      </c>
      <c r="I56" s="40">
        <v>2.24E-2</v>
      </c>
      <c r="J56" s="41">
        <f t="shared" si="18"/>
        <v>2.24E-2</v>
      </c>
      <c r="K56" s="37">
        <v>0</v>
      </c>
      <c r="L56" s="43">
        <f t="shared" si="19"/>
        <v>0</v>
      </c>
      <c r="M56" s="43">
        <f t="shared" si="20"/>
        <v>0</v>
      </c>
      <c r="N56" s="44">
        <v>0</v>
      </c>
      <c r="O56" s="35">
        <v>0</v>
      </c>
      <c r="P56" s="38">
        <f t="shared" ref="P56:P66" si="22">(R56)/J56</f>
        <v>0</v>
      </c>
      <c r="Q56" s="46">
        <f t="shared" si="21"/>
        <v>-2.6086956521739091E-2</v>
      </c>
      <c r="T56" s="65"/>
    </row>
    <row r="57" spans="1:20" x14ac:dyDescent="0.25">
      <c r="A57" s="33" t="s">
        <v>130</v>
      </c>
      <c r="B57" s="34" t="s">
        <v>131</v>
      </c>
      <c r="C57" s="38">
        <v>2161875929</v>
      </c>
      <c r="D57" s="36">
        <f t="shared" si="17"/>
        <v>219862781.97929999</v>
      </c>
      <c r="E57" s="37">
        <v>0</v>
      </c>
      <c r="F57" s="38" t="s">
        <v>47</v>
      </c>
      <c r="G57" s="64">
        <v>9.0200000000000002E-2</v>
      </c>
      <c r="H57" s="40">
        <v>0.1065</v>
      </c>
      <c r="I57" s="40">
        <v>0.1017</v>
      </c>
      <c r="J57" s="41">
        <f t="shared" si="18"/>
        <v>0.1017</v>
      </c>
      <c r="K57" s="37">
        <v>0</v>
      </c>
      <c r="L57" s="43">
        <f t="shared" si="19"/>
        <v>-4.7999999999999987E-3</v>
      </c>
      <c r="M57" s="66">
        <f t="shared" si="20"/>
        <v>-4.5070422535211252</v>
      </c>
      <c r="N57" s="44">
        <v>13982</v>
      </c>
      <c r="O57" s="35">
        <v>1421.41</v>
      </c>
      <c r="P57" s="38">
        <f t="shared" si="22"/>
        <v>0</v>
      </c>
      <c r="Q57" s="46">
        <f t="shared" si="21"/>
        <v>0.1274944567627494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575926450</v>
      </c>
      <c r="D58" s="36">
        <f t="shared" si="17"/>
        <v>745479196.88</v>
      </c>
      <c r="E58" s="37">
        <v>0</v>
      </c>
      <c r="F58" s="38" t="s">
        <v>34</v>
      </c>
      <c r="G58" s="64">
        <v>0.95750000000000002</v>
      </c>
      <c r="H58" s="40">
        <v>1.2954000000000001</v>
      </c>
      <c r="I58" s="40">
        <v>1.2944</v>
      </c>
      <c r="J58" s="41">
        <f t="shared" si="18"/>
        <v>1.2944</v>
      </c>
      <c r="K58" s="37">
        <v>0</v>
      </c>
      <c r="L58" s="43">
        <f t="shared" si="19"/>
        <v>-1.0000000000001119E-3</v>
      </c>
      <c r="M58" s="43">
        <f t="shared" si="20"/>
        <v>-7.7196232823846828E-2</v>
      </c>
      <c r="N58" s="44">
        <v>663</v>
      </c>
      <c r="O58" s="35">
        <v>858.2</v>
      </c>
      <c r="P58" s="38">
        <f t="shared" si="22"/>
        <v>0</v>
      </c>
      <c r="Q58" s="46">
        <f t="shared" si="21"/>
        <v>0.35185378590078331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24631233.300000001</v>
      </c>
      <c r="E59" s="37">
        <v>0</v>
      </c>
      <c r="F59" s="38" t="s">
        <v>34</v>
      </c>
      <c r="G59" s="64">
        <v>0.1595</v>
      </c>
      <c r="H59" s="40">
        <v>0.15010000000000001</v>
      </c>
      <c r="I59" s="40">
        <v>0.15</v>
      </c>
      <c r="J59" s="41">
        <f t="shared" si="18"/>
        <v>0.15</v>
      </c>
      <c r="K59" s="37">
        <v>0</v>
      </c>
      <c r="L59" s="43">
        <f t="shared" si="19"/>
        <v>-1.0000000000001674E-4</v>
      </c>
      <c r="M59" s="43">
        <f t="shared" si="20"/>
        <v>-6.6622251832123072E-2</v>
      </c>
      <c r="N59" s="44">
        <v>150</v>
      </c>
      <c r="O59" s="35">
        <v>22.5</v>
      </c>
      <c r="P59" s="38">
        <f t="shared" si="22"/>
        <v>0</v>
      </c>
      <c r="Q59" s="46">
        <f t="shared" si="21"/>
        <v>-5.9561128526645857E-2</v>
      </c>
      <c r="T59" s="65"/>
    </row>
    <row r="60" spans="1:20" x14ac:dyDescent="0.25">
      <c r="A60" s="33" t="s">
        <v>136</v>
      </c>
      <c r="B60" s="34" t="s">
        <v>137</v>
      </c>
      <c r="C60" s="38">
        <v>794581116</v>
      </c>
      <c r="D60" s="36">
        <f t="shared" si="17"/>
        <v>15891622.32</v>
      </c>
      <c r="E60" s="37">
        <v>0</v>
      </c>
      <c r="F60" s="38" t="s">
        <v>92</v>
      </c>
      <c r="G60" s="64">
        <v>1.6799999999999999E-2</v>
      </c>
      <c r="H60" s="40">
        <v>2.0400000000000001E-2</v>
      </c>
      <c r="I60" s="40">
        <v>0.02</v>
      </c>
      <c r="J60" s="41">
        <f t="shared" si="18"/>
        <v>0.02</v>
      </c>
      <c r="K60" s="37">
        <v>0</v>
      </c>
      <c r="L60" s="43">
        <f t="shared" si="19"/>
        <v>-4.0000000000000105E-4</v>
      </c>
      <c r="M60" s="66">
        <f t="shared" si="20"/>
        <v>-1.960784313725495</v>
      </c>
      <c r="N60" s="44">
        <v>138692</v>
      </c>
      <c r="O60" s="35">
        <v>2774.04</v>
      </c>
      <c r="P60" s="38">
        <f t="shared" si="22"/>
        <v>0</v>
      </c>
      <c r="Q60" s="46">
        <f t="shared" si="21"/>
        <v>0.19047619047619047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2515858.7999999998</v>
      </c>
      <c r="E61" s="37">
        <v>0</v>
      </c>
      <c r="F61" s="38" t="s">
        <v>140</v>
      </c>
      <c r="G61" s="64">
        <v>19.5</v>
      </c>
      <c r="H61" s="40">
        <v>15.6</v>
      </c>
      <c r="I61" s="40">
        <v>15.6</v>
      </c>
      <c r="J61" s="41">
        <f t="shared" si="18"/>
        <v>15.6</v>
      </c>
      <c r="K61" s="37">
        <v>0</v>
      </c>
      <c r="L61" s="43">
        <f t="shared" si="19"/>
        <v>0</v>
      </c>
      <c r="M61" s="43">
        <f t="shared" si="20"/>
        <v>0</v>
      </c>
      <c r="N61" s="44">
        <v>0</v>
      </c>
      <c r="O61" s="35">
        <v>0</v>
      </c>
      <c r="P61" s="38">
        <f t="shared" si="22"/>
        <v>0</v>
      </c>
      <c r="Q61" s="46">
        <f t="shared" si="21"/>
        <v>-0.20000000000000007</v>
      </c>
      <c r="T61" s="65"/>
    </row>
    <row r="62" spans="1:20" x14ac:dyDescent="0.25">
      <c r="A62" s="33" t="s">
        <v>141</v>
      </c>
      <c r="B62" s="34" t="s">
        <v>142</v>
      </c>
      <c r="C62" s="38">
        <v>805090451</v>
      </c>
      <c r="D62" s="36">
        <f t="shared" si="17"/>
        <v>868853614.7191999</v>
      </c>
      <c r="E62" s="37">
        <v>0</v>
      </c>
      <c r="F62" s="38" t="s">
        <v>92</v>
      </c>
      <c r="G62" s="64">
        <v>0.59499999999999997</v>
      </c>
      <c r="H62" s="40">
        <v>1</v>
      </c>
      <c r="I62" s="40">
        <v>1.0791999999999999</v>
      </c>
      <c r="J62" s="41">
        <f t="shared" si="18"/>
        <v>1.0791999999999999</v>
      </c>
      <c r="K62" s="37">
        <v>0</v>
      </c>
      <c r="L62" s="43">
        <f t="shared" si="19"/>
        <v>7.9199999999999937E-2</v>
      </c>
      <c r="M62" s="43">
        <f t="shared" si="20"/>
        <v>7.9199999999999937</v>
      </c>
      <c r="N62" s="44">
        <v>35043</v>
      </c>
      <c r="O62" s="35">
        <v>37817.93</v>
      </c>
      <c r="P62" s="38">
        <f t="shared" si="22"/>
        <v>0</v>
      </c>
      <c r="Q62" s="46">
        <f t="shared" si="21"/>
        <v>0.81378151260504206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68802561.3002</v>
      </c>
      <c r="E63" s="37">
        <v>0</v>
      </c>
      <c r="F63" s="38" t="s">
        <v>34</v>
      </c>
      <c r="G63" s="64">
        <v>0.22600000000000001</v>
      </c>
      <c r="H63" s="40">
        <v>0.24479999999999999</v>
      </c>
      <c r="I63" s="40">
        <v>0.26390000000000002</v>
      </c>
      <c r="J63" s="41">
        <f t="shared" si="18"/>
        <v>0.26390000000000002</v>
      </c>
      <c r="K63" s="37">
        <v>0</v>
      </c>
      <c r="L63" s="43">
        <f t="shared" si="19"/>
        <v>1.9100000000000034E-2</v>
      </c>
      <c r="M63" s="43">
        <f t="shared" si="20"/>
        <v>7.8022875816993604</v>
      </c>
      <c r="N63" s="44">
        <v>3351</v>
      </c>
      <c r="O63" s="35">
        <v>884.24</v>
      </c>
      <c r="P63" s="38">
        <f t="shared" si="22"/>
        <v>0</v>
      </c>
      <c r="Q63" s="46">
        <f t="shared" si="21"/>
        <v>0.16769911504424795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367893725.26719999</v>
      </c>
      <c r="E64" s="37">
        <v>0</v>
      </c>
      <c r="F64" s="38" t="s">
        <v>34</v>
      </c>
      <c r="G64" s="64">
        <v>0.49440000000000001</v>
      </c>
      <c r="H64" s="40">
        <v>0.68859999999999999</v>
      </c>
      <c r="I64" s="40">
        <v>0.65439999999999998</v>
      </c>
      <c r="J64" s="41">
        <f t="shared" si="18"/>
        <v>0.65439999999999998</v>
      </c>
      <c r="K64" s="37">
        <v>0</v>
      </c>
      <c r="L64" s="43">
        <f t="shared" si="19"/>
        <v>-3.4200000000000008E-2</v>
      </c>
      <c r="M64" s="43">
        <f t="shared" si="20"/>
        <v>-4.9665988963113579</v>
      </c>
      <c r="N64" s="44">
        <v>30917</v>
      </c>
      <c r="O64" s="35">
        <v>20230.61</v>
      </c>
      <c r="P64" s="38">
        <f t="shared" si="22"/>
        <v>0</v>
      </c>
      <c r="Q64" s="46">
        <f t="shared" si="21"/>
        <v>0.32362459546925559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22880144.270399999</v>
      </c>
      <c r="E66" s="37">
        <v>0</v>
      </c>
      <c r="F66" s="38" t="s">
        <v>44</v>
      </c>
      <c r="G66" s="64">
        <v>4.2999999999999997E-2</v>
      </c>
      <c r="H66" s="40">
        <v>6.6000000000000003E-2</v>
      </c>
      <c r="I66" s="40">
        <v>6.6400000000000001E-2</v>
      </c>
      <c r="J66" s="41">
        <f t="shared" si="18"/>
        <v>6.6400000000000001E-2</v>
      </c>
      <c r="K66" s="37">
        <v>0</v>
      </c>
      <c r="L66" s="43">
        <f t="shared" si="19"/>
        <v>3.9999999999999758E-4</v>
      </c>
      <c r="M66" s="43">
        <f t="shared" si="20"/>
        <v>0.6060606060606023</v>
      </c>
      <c r="N66" s="44">
        <v>240</v>
      </c>
      <c r="O66" s="35">
        <v>15.92</v>
      </c>
      <c r="P66" s="38">
        <f t="shared" si="22"/>
        <v>0</v>
      </c>
      <c r="Q66" s="46">
        <f t="shared" si="21"/>
        <v>0.54418604651162794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4610780</v>
      </c>
      <c r="O67" s="56">
        <f>SUM(O52:O66)</f>
        <v>22556500.549999997</v>
      </c>
      <c r="P67" s="69"/>
      <c r="Q67" s="57"/>
    </row>
    <row r="68" spans="1:243" ht="12.6" hidden="1" x14ac:dyDescent="0.3">
      <c r="A68" s="134" t="s">
        <v>151</v>
      </c>
      <c r="B68" s="135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7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34" t="s">
        <v>155</v>
      </c>
      <c r="B71" s="135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7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50148211.32</v>
      </c>
      <c r="E72" s="84">
        <f>C72*K72</f>
        <v>50148211.32</v>
      </c>
      <c r="F72" s="82" t="s">
        <v>158</v>
      </c>
      <c r="G72" s="82">
        <v>0.24</v>
      </c>
      <c r="H72" s="85">
        <v>0.36</v>
      </c>
      <c r="I72" s="85">
        <v>0.36</v>
      </c>
      <c r="J72" s="86">
        <f>I72</f>
        <v>0.36</v>
      </c>
      <c r="K72" s="86">
        <f>J72</f>
        <v>0.36</v>
      </c>
      <c r="L72" s="87">
        <f>I72-H72</f>
        <v>0</v>
      </c>
      <c r="M72" s="87">
        <f>((I72-H72)/H72)*100</f>
        <v>0</v>
      </c>
      <c r="N72" s="88">
        <v>388</v>
      </c>
      <c r="O72" s="89">
        <v>139.68</v>
      </c>
      <c r="P72" s="90">
        <v>0</v>
      </c>
      <c r="Q72" s="91">
        <f>J72/G72-1</f>
        <v>0.5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68346003.75</v>
      </c>
      <c r="E73" s="84">
        <f>C73*K73</f>
        <v>68346003.75</v>
      </c>
      <c r="F73" s="82" t="s">
        <v>158</v>
      </c>
      <c r="G73" s="82">
        <v>0.1</v>
      </c>
      <c r="H73" s="85">
        <v>0.14510000000000001</v>
      </c>
      <c r="I73" s="85">
        <v>0.14499999999999999</v>
      </c>
      <c r="J73" s="86">
        <f>I73</f>
        <v>0.14499999999999999</v>
      </c>
      <c r="K73" s="86">
        <f>J73</f>
        <v>0.14499999999999999</v>
      </c>
      <c r="L73" s="87">
        <f>I73-H73</f>
        <v>-1.0000000000001674E-4</v>
      </c>
      <c r="M73" s="87">
        <f>((I73-H73)/H73)*100</f>
        <v>-6.8917987594773772E-2</v>
      </c>
      <c r="N73" s="44">
        <v>4154</v>
      </c>
      <c r="O73" s="89">
        <v>602.33000000000004</v>
      </c>
      <c r="P73" s="90">
        <v>0</v>
      </c>
      <c r="Q73" s="91">
        <f>J73/G73-1</f>
        <v>0.44999999999999973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4542</v>
      </c>
      <c r="O74" s="56">
        <f>SUM(O72:O73)</f>
        <v>742.01</v>
      </c>
      <c r="P74" s="97"/>
      <c r="Q74" s="87"/>
    </row>
    <row r="75" spans="1:243" ht="12.6" x14ac:dyDescent="0.3">
      <c r="A75" s="146" t="s">
        <v>161</v>
      </c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9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168437.96292401466</v>
      </c>
      <c r="E76" s="37">
        <f>C76*K76</f>
        <v>141485.64301666667</v>
      </c>
      <c r="F76" s="38" t="s">
        <v>140</v>
      </c>
      <c r="G76" s="64">
        <v>0.105</v>
      </c>
      <c r="H76" s="40">
        <v>0.11</v>
      </c>
      <c r="I76" s="40">
        <v>9.35E-2</v>
      </c>
      <c r="J76" s="41">
        <f>I76/$J$5</f>
        <v>3.7103763551802407E-3</v>
      </c>
      <c r="K76" s="42">
        <f>I76/$K$4</f>
        <v>3.1166666666666665E-3</v>
      </c>
      <c r="L76" s="43">
        <f>I76-H76</f>
        <v>-1.6500000000000001E-2</v>
      </c>
      <c r="M76" s="98">
        <f>((I76-H76)/H76)*100</f>
        <v>-15</v>
      </c>
      <c r="N76" s="35">
        <v>5000</v>
      </c>
      <c r="O76" s="35">
        <v>467.5</v>
      </c>
      <c r="P76" s="38">
        <v>0</v>
      </c>
      <c r="Q76" s="46">
        <f>I76/G76-1</f>
        <v>-0.10952380952380947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283675.44445149921</v>
      </c>
      <c r="E77" s="37">
        <f>C77*K77</f>
        <v>238283.59100000001</v>
      </c>
      <c r="F77" s="38" t="s">
        <v>140</v>
      </c>
      <c r="G77" s="64">
        <v>4.2500000000000003E-2</v>
      </c>
      <c r="H77" s="40">
        <v>5.2000000000000005E-2</v>
      </c>
      <c r="I77" s="40">
        <v>5.2499999999999998E-2</v>
      </c>
      <c r="J77" s="41">
        <f>I77/$J$5</f>
        <v>2.0833664026413115E-3</v>
      </c>
      <c r="K77" s="42">
        <f>I77/$K$4</f>
        <v>1.75E-3</v>
      </c>
      <c r="L77" s="43">
        <f>I77-H77</f>
        <v>4.9999999999999351E-4</v>
      </c>
      <c r="M77" s="98">
        <f>((I77-H77)/H77)*100</f>
        <v>0.96153846153844891</v>
      </c>
      <c r="N77" s="35">
        <v>10000</v>
      </c>
      <c r="O77" s="35">
        <v>525</v>
      </c>
      <c r="P77" s="38">
        <v>0</v>
      </c>
      <c r="Q77" s="46">
        <f>I77/G77-1</f>
        <v>0.23529411764705865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1569603.9619676501</v>
      </c>
      <c r="E78" s="37">
        <f>C78*K78</f>
        <v>1318446.3999999999</v>
      </c>
      <c r="F78" s="38" t="s">
        <v>140</v>
      </c>
      <c r="G78" s="64">
        <v>6.0499999999999998E-2</v>
      </c>
      <c r="H78" s="40">
        <v>0.08</v>
      </c>
      <c r="I78" s="40">
        <v>0.08</v>
      </c>
      <c r="J78" s="41">
        <f>I78/$J$5</f>
        <v>3.1746535659296178E-3</v>
      </c>
      <c r="K78" s="42">
        <f>I78/$K$4</f>
        <v>2.6666666666666666E-3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0.3223140495867769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2613164.7803933397</v>
      </c>
      <c r="E79" s="37">
        <f>C79*K79</f>
        <v>2195023.5733333332</v>
      </c>
      <c r="F79" s="38" t="s">
        <v>140</v>
      </c>
      <c r="G79" s="64">
        <v>1.85</v>
      </c>
      <c r="H79" s="40">
        <v>1.6</v>
      </c>
      <c r="I79" s="40">
        <v>1.6</v>
      </c>
      <c r="J79" s="41">
        <f>I79/$J$5</f>
        <v>6.3493071318592359E-2</v>
      </c>
      <c r="K79" s="42">
        <f>I79/$K$4</f>
        <v>5.3333333333333337E-2</v>
      </c>
      <c r="L79" s="43">
        <f>I79-H79</f>
        <v>0</v>
      </c>
      <c r="M79" s="98">
        <f>((I79-H79)/H79)*100</f>
        <v>0</v>
      </c>
      <c r="N79" s="35">
        <v>0</v>
      </c>
      <c r="O79" s="35">
        <v>0</v>
      </c>
      <c r="P79" s="38">
        <v>0</v>
      </c>
      <c r="Q79" s="46">
        <f>I79/G79-1</f>
        <v>-0.13513513513513509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15000</v>
      </c>
      <c r="O80" s="56">
        <f>SUM(O76:O79)</f>
        <v>992.5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34" t="s">
        <v>170</v>
      </c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7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35115787.600199997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9.5338814901823832E-2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76127904.680828273</v>
      </c>
      <c r="E83" s="37">
        <f>C83*K83</f>
        <v>63946424.893166661</v>
      </c>
      <c r="F83" s="38" t="s">
        <v>173</v>
      </c>
      <c r="G83" s="38">
        <v>1.44347</v>
      </c>
      <c r="H83" s="40">
        <v>1.05</v>
      </c>
      <c r="I83" s="40">
        <v>1.041979</v>
      </c>
      <c r="J83" s="41">
        <f>I83/$J$5</f>
        <v>4.1349029349672217E-2</v>
      </c>
      <c r="K83" s="42">
        <f>I83/$K$4</f>
        <v>3.4732633333333332E-2</v>
      </c>
      <c r="L83" s="43">
        <f>I83-H83</f>
        <v>-8.0210000000000559E-3</v>
      </c>
      <c r="M83" s="43">
        <f>((I83-H83)/H83*100)</f>
        <v>-0.76390476190476719</v>
      </c>
      <c r="N83" s="107">
        <v>43431</v>
      </c>
      <c r="O83" s="35">
        <v>45254</v>
      </c>
      <c r="P83" s="108">
        <f>(R83)/J83</f>
        <v>5.2625177282843515E-2</v>
      </c>
      <c r="Q83" s="46">
        <f>I83/G83-1</f>
        <v>-0.27814294720361354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43431</v>
      </c>
      <c r="O84" s="56">
        <f>SUM(O82:O83)</f>
        <v>45254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38" t="s">
        <v>176</v>
      </c>
      <c r="B86" s="139"/>
      <c r="C86" s="139"/>
      <c r="D86" s="139"/>
      <c r="E86" s="138" t="s">
        <v>177</v>
      </c>
      <c r="F86" s="139"/>
      <c r="G86" s="139"/>
      <c r="H86" s="140"/>
      <c r="L86" s="141" t="s">
        <v>178</v>
      </c>
      <c r="M86" s="142"/>
      <c r="N86" s="143"/>
      <c r="O86" s="141" t="s">
        <v>179</v>
      </c>
      <c r="P86" s="142"/>
      <c r="Q86" s="143"/>
    </row>
    <row r="87" spans="1:38" x14ac:dyDescent="0.25">
      <c r="A87" s="33" t="s">
        <v>117</v>
      </c>
      <c r="B87" s="117">
        <v>1.0925</v>
      </c>
      <c r="C87" s="117"/>
      <c r="D87" s="117">
        <v>15.000000000000007</v>
      </c>
      <c r="E87" s="33" t="s">
        <v>99</v>
      </c>
      <c r="F87" s="118">
        <v>9.1292000000000012E-2</v>
      </c>
      <c r="G87" s="118"/>
      <c r="H87" s="119">
        <v>-3.2636799050565837</v>
      </c>
      <c r="L87" s="33" t="s">
        <v>141</v>
      </c>
      <c r="M87" s="45">
        <v>1.0791999999999999</v>
      </c>
      <c r="N87" s="120">
        <v>7.9199999999999937</v>
      </c>
      <c r="O87" s="33" t="s">
        <v>145</v>
      </c>
      <c r="P87" s="118">
        <v>0.65439999999999998</v>
      </c>
      <c r="Q87" s="119">
        <v>-4.9665988963113579</v>
      </c>
    </row>
    <row r="88" spans="1:38" x14ac:dyDescent="0.25">
      <c r="A88" s="33" t="s">
        <v>101</v>
      </c>
      <c r="B88" s="117">
        <v>5.802721</v>
      </c>
      <c r="C88" s="117"/>
      <c r="D88" s="117">
        <v>5.5040181818181821</v>
      </c>
      <c r="E88" s="33" t="s">
        <v>62</v>
      </c>
      <c r="F88" s="118">
        <v>2.89</v>
      </c>
      <c r="G88" s="118"/>
      <c r="H88" s="119">
        <v>-3.0201342281879149</v>
      </c>
      <c r="L88" s="33" t="s">
        <v>143</v>
      </c>
      <c r="M88" s="45">
        <v>0.26390000000000002</v>
      </c>
      <c r="N88" s="120">
        <v>7.8022875816993604</v>
      </c>
      <c r="O88" s="33" t="s">
        <v>130</v>
      </c>
      <c r="P88" s="118">
        <v>0.1017</v>
      </c>
      <c r="Q88" s="119">
        <v>-4.5070422535211252</v>
      </c>
    </row>
    <row r="89" spans="1:38" x14ac:dyDescent="0.25">
      <c r="A89" s="33" t="s">
        <v>93</v>
      </c>
      <c r="B89" s="117">
        <v>3.5132240000000001</v>
      </c>
      <c r="C89" s="117"/>
      <c r="D89" s="117">
        <v>3.6349262536873157</v>
      </c>
      <c r="E89" s="33" t="s">
        <v>72</v>
      </c>
      <c r="F89" s="118">
        <v>1.198971</v>
      </c>
      <c r="G89" s="118"/>
      <c r="H89" s="119">
        <v>-1.9301175885513011</v>
      </c>
      <c r="L89" s="33" t="s">
        <v>149</v>
      </c>
      <c r="M89" s="45">
        <v>6.6400000000000001E-2</v>
      </c>
      <c r="N89" s="120">
        <v>0.6060606060606023</v>
      </c>
      <c r="O89" s="33" t="s">
        <v>126</v>
      </c>
      <c r="P89" s="118">
        <v>0.28939999999999999</v>
      </c>
      <c r="Q89" s="119">
        <v>-2.4603977081226924</v>
      </c>
    </row>
    <row r="90" spans="1:38" x14ac:dyDescent="0.25">
      <c r="A90" s="33" t="s">
        <v>64</v>
      </c>
      <c r="B90" s="117">
        <v>0.98</v>
      </c>
      <c r="C90" s="117"/>
      <c r="D90" s="117">
        <v>3.157894736842108</v>
      </c>
      <c r="E90" s="33" t="s">
        <v>58</v>
      </c>
      <c r="F90" s="118">
        <v>9.9001969999999986</v>
      </c>
      <c r="G90" s="118"/>
      <c r="H90" s="119">
        <v>-9.8648099243077908E-2</v>
      </c>
      <c r="L90" s="33" t="s">
        <v>122</v>
      </c>
      <c r="M90" s="45">
        <v>0.1404</v>
      </c>
      <c r="N90" s="120">
        <v>0.28571428571427404</v>
      </c>
      <c r="O90" s="33" t="s">
        <v>136</v>
      </c>
      <c r="P90" s="118">
        <v>0.02</v>
      </c>
      <c r="Q90" s="119">
        <v>-1.960784313725495</v>
      </c>
    </row>
    <row r="91" spans="1:38" x14ac:dyDescent="0.25">
      <c r="A91" s="33" t="s">
        <v>90</v>
      </c>
      <c r="B91" s="117">
        <v>1.6855779999999998</v>
      </c>
      <c r="C91" s="117"/>
      <c r="D91" s="117">
        <v>1.5408433734939686</v>
      </c>
      <c r="E91" s="33" t="s">
        <v>50</v>
      </c>
      <c r="F91" s="118">
        <v>2.6</v>
      </c>
      <c r="G91" s="118"/>
      <c r="H91" s="119">
        <v>-1.3152116144716442E-2</v>
      </c>
      <c r="L91" s="33"/>
      <c r="M91" s="45"/>
      <c r="N91" s="120"/>
      <c r="O91" s="33" t="s">
        <v>132</v>
      </c>
      <c r="P91" s="118">
        <v>1.2944</v>
      </c>
      <c r="Q91" s="121">
        <v>-7.7196232823846828E-2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JnIRsKUz3Fl4lusLSUonKtZnqt9xFI/MP/5Scuwr2vURE9nn3D7DPoOo/MANomVvkZ4PbfteBbcc7KroZxGH5g==" saltValue="BZz3SmUB4LlhW6Wbl+QSdg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2026-04-20T13:40:53Z</dcterms:created>
  <dcterms:modified xsi:type="dcterms:W3CDTF">2026-04-20T13:44:07Z</dcterms:modified>
</cp:coreProperties>
</file>