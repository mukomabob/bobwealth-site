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May/28.05.26/"/>
    </mc:Choice>
  </mc:AlternateContent>
  <xr:revisionPtr revIDLastSave="0" documentId="8_{C1C213B6-25B9-42BF-AF7E-E9755FCDF921}" xr6:coauthVersionLast="47" xr6:coauthVersionMax="47" xr10:uidLastSave="{00000000-0000-0000-0000-000000000000}"/>
  <bookViews>
    <workbookView xWindow="-108" yWindow="-108" windowWidth="23256" windowHeight="12456" xr2:uid="{71370343-D60F-42B2-818E-4DA4E3FA2A70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E84" i="1" s="1"/>
  <c r="J84" i="1"/>
  <c r="P84" i="1" s="1"/>
  <c r="D84" i="1"/>
  <c r="Q83" i="1"/>
  <c r="P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J79" i="1"/>
  <c r="E79" i="1"/>
  <c r="D79" i="1"/>
  <c r="Q78" i="1"/>
  <c r="M78" i="1"/>
  <c r="L78" i="1"/>
  <c r="K78" i="1"/>
  <c r="E78" i="1" s="1"/>
  <c r="J78" i="1"/>
  <c r="D78" i="1" s="1"/>
  <c r="Q77" i="1"/>
  <c r="M77" i="1"/>
  <c r="L77" i="1"/>
  <c r="K77" i="1"/>
  <c r="J77" i="1"/>
  <c r="E77" i="1"/>
  <c r="D77" i="1"/>
  <c r="M74" i="1"/>
  <c r="L74" i="1"/>
  <c r="J74" i="1"/>
  <c r="Q74" i="1" s="1"/>
  <c r="O72" i="1"/>
  <c r="N72" i="1"/>
  <c r="M71" i="1"/>
  <c r="L71" i="1"/>
  <c r="J71" i="1"/>
  <c r="K71" i="1" s="1"/>
  <c r="E71" i="1" s="1"/>
  <c r="D71" i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P63" i="1" s="1"/>
  <c r="D63" i="1"/>
  <c r="M62" i="1"/>
  <c r="L62" i="1"/>
  <c r="J62" i="1"/>
  <c r="D62" i="1" s="1"/>
  <c r="M61" i="1"/>
  <c r="L61" i="1"/>
  <c r="J61" i="1"/>
  <c r="P61" i="1" s="1"/>
  <c r="D61" i="1"/>
  <c r="M60" i="1"/>
  <c r="L60" i="1"/>
  <c r="J60" i="1"/>
  <c r="D60" i="1" s="1"/>
  <c r="M59" i="1"/>
  <c r="L59" i="1"/>
  <c r="J59" i="1"/>
  <c r="P59" i="1" s="1"/>
  <c r="D59" i="1"/>
  <c r="M58" i="1"/>
  <c r="L58" i="1"/>
  <c r="J58" i="1"/>
  <c r="D58" i="1" s="1"/>
  <c r="M57" i="1"/>
  <c r="L57" i="1"/>
  <c r="J57" i="1"/>
  <c r="P57" i="1" s="1"/>
  <c r="M56" i="1"/>
  <c r="L56" i="1"/>
  <c r="J56" i="1"/>
  <c r="D56" i="1" s="1"/>
  <c r="M55" i="1"/>
  <c r="L55" i="1"/>
  <c r="J55" i="1"/>
  <c r="P55" i="1" s="1"/>
  <c r="D55" i="1"/>
  <c r="M54" i="1"/>
  <c r="L54" i="1"/>
  <c r="J54" i="1"/>
  <c r="D54" i="1" s="1"/>
  <c r="M53" i="1"/>
  <c r="L53" i="1"/>
  <c r="J53" i="1"/>
  <c r="Q53" i="1" s="1"/>
  <c r="D53" i="1"/>
  <c r="M52" i="1"/>
  <c r="L52" i="1"/>
  <c r="J52" i="1"/>
  <c r="Q52" i="1" s="1"/>
  <c r="D52" i="1"/>
  <c r="M51" i="1"/>
  <c r="L51" i="1"/>
  <c r="J51" i="1"/>
  <c r="P51" i="1" s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E46" i="1" s="1"/>
  <c r="J46" i="1"/>
  <c r="P46" i="1" s="1"/>
  <c r="Q45" i="1"/>
  <c r="M45" i="1"/>
  <c r="L45" i="1"/>
  <c r="K45" i="1"/>
  <c r="E45" i="1" s="1"/>
  <c r="J45" i="1"/>
  <c r="D45" i="1" s="1"/>
  <c r="Q44" i="1"/>
  <c r="M44" i="1"/>
  <c r="L44" i="1"/>
  <c r="K44" i="1"/>
  <c r="E44" i="1" s="1"/>
  <c r="J44" i="1"/>
  <c r="D44" i="1" s="1"/>
  <c r="Q43" i="1"/>
  <c r="M43" i="1"/>
  <c r="L43" i="1"/>
  <c r="K43" i="1"/>
  <c r="E43" i="1" s="1"/>
  <c r="J43" i="1"/>
  <c r="P43" i="1" s="1"/>
  <c r="Q42" i="1"/>
  <c r="M42" i="1"/>
  <c r="L42" i="1"/>
  <c r="K42" i="1"/>
  <c r="J42" i="1"/>
  <c r="P42" i="1" s="1"/>
  <c r="E42" i="1"/>
  <c r="Q41" i="1"/>
  <c r="M41" i="1"/>
  <c r="L41" i="1"/>
  <c r="K41" i="1"/>
  <c r="E41" i="1" s="1"/>
  <c r="J41" i="1"/>
  <c r="D41" i="1" s="1"/>
  <c r="Q40" i="1"/>
  <c r="M40" i="1"/>
  <c r="L40" i="1"/>
  <c r="K40" i="1"/>
  <c r="J40" i="1"/>
  <c r="P40" i="1" s="1"/>
  <c r="E40" i="1"/>
  <c r="Q39" i="1"/>
  <c r="M39" i="1"/>
  <c r="L39" i="1"/>
  <c r="K39" i="1"/>
  <c r="E39" i="1" s="1"/>
  <c r="J39" i="1"/>
  <c r="P39" i="1" s="1"/>
  <c r="Q38" i="1"/>
  <c r="M38" i="1"/>
  <c r="L38" i="1"/>
  <c r="K38" i="1"/>
  <c r="E38" i="1" s="1"/>
  <c r="J38" i="1"/>
  <c r="D38" i="1" s="1"/>
  <c r="Q37" i="1"/>
  <c r="M37" i="1"/>
  <c r="L37" i="1"/>
  <c r="K37" i="1"/>
  <c r="J37" i="1"/>
  <c r="P37" i="1" s="1"/>
  <c r="E37" i="1"/>
  <c r="Q36" i="1"/>
  <c r="M36" i="1"/>
  <c r="L36" i="1"/>
  <c r="K36" i="1"/>
  <c r="E36" i="1" s="1"/>
  <c r="J36" i="1"/>
  <c r="P36" i="1" s="1"/>
  <c r="D36" i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D34" i="1"/>
  <c r="Q33" i="1"/>
  <c r="M33" i="1"/>
  <c r="L33" i="1"/>
  <c r="K33" i="1"/>
  <c r="E33" i="1" s="1"/>
  <c r="J33" i="1"/>
  <c r="P33" i="1" s="1"/>
  <c r="Q32" i="1"/>
  <c r="M32" i="1"/>
  <c r="L32" i="1"/>
  <c r="K32" i="1"/>
  <c r="E32" i="1" s="1"/>
  <c r="J32" i="1"/>
  <c r="D32" i="1" s="1"/>
  <c r="K31" i="1"/>
  <c r="E31" i="1" s="1"/>
  <c r="J31" i="1"/>
  <c r="D31" i="1"/>
  <c r="Q29" i="1"/>
  <c r="M29" i="1"/>
  <c r="L29" i="1"/>
  <c r="K29" i="1"/>
  <c r="E29" i="1" s="1"/>
  <c r="J29" i="1"/>
  <c r="D29" i="1" s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D27" i="1" s="1"/>
  <c r="E27" i="1"/>
  <c r="Q26" i="1"/>
  <c r="M26" i="1"/>
  <c r="L26" i="1"/>
  <c r="K26" i="1"/>
  <c r="E26" i="1" s="1"/>
  <c r="J26" i="1"/>
  <c r="D26" i="1" s="1"/>
  <c r="Q25" i="1"/>
  <c r="M25" i="1"/>
  <c r="L25" i="1"/>
  <c r="K25" i="1"/>
  <c r="J25" i="1"/>
  <c r="P25" i="1" s="1"/>
  <c r="E25" i="1"/>
  <c r="Q24" i="1"/>
  <c r="M24" i="1"/>
  <c r="L24" i="1"/>
  <c r="K24" i="1"/>
  <c r="E24" i="1" s="1"/>
  <c r="J24" i="1"/>
  <c r="P24" i="1" s="1"/>
  <c r="D24" i="1"/>
  <c r="Q23" i="1"/>
  <c r="M23" i="1"/>
  <c r="L23" i="1"/>
  <c r="K23" i="1"/>
  <c r="E23" i="1" s="1"/>
  <c r="J23" i="1"/>
  <c r="D23" i="1" s="1"/>
  <c r="Q22" i="1"/>
  <c r="M22" i="1"/>
  <c r="L22" i="1"/>
  <c r="K22" i="1"/>
  <c r="J22" i="1"/>
  <c r="P22" i="1" s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P19" i="1" s="1"/>
  <c r="E18" i="1"/>
  <c r="D18" i="1"/>
  <c r="Q17" i="1"/>
  <c r="M17" i="1"/>
  <c r="L17" i="1"/>
  <c r="K17" i="1"/>
  <c r="E17" i="1" s="1"/>
  <c r="J17" i="1"/>
  <c r="D17" i="1" s="1"/>
  <c r="Q16" i="1"/>
  <c r="M16" i="1"/>
  <c r="L16" i="1"/>
  <c r="K16" i="1"/>
  <c r="E16" i="1" s="1"/>
  <c r="J16" i="1"/>
  <c r="D16" i="1" s="1"/>
  <c r="Q15" i="1"/>
  <c r="M15" i="1"/>
  <c r="L15" i="1"/>
  <c r="K15" i="1"/>
  <c r="J15" i="1"/>
  <c r="P15" i="1" s="1"/>
  <c r="E15" i="1"/>
  <c r="Q14" i="1"/>
  <c r="M14" i="1"/>
  <c r="L14" i="1"/>
  <c r="K14" i="1"/>
  <c r="E14" i="1" s="1"/>
  <c r="J14" i="1"/>
  <c r="D14" i="1" s="1"/>
  <c r="Q13" i="1"/>
  <c r="M13" i="1"/>
  <c r="L13" i="1"/>
  <c r="K13" i="1"/>
  <c r="E13" i="1" s="1"/>
  <c r="J13" i="1"/>
  <c r="D13" i="1" s="1"/>
  <c r="Q12" i="1"/>
  <c r="M12" i="1"/>
  <c r="L12" i="1"/>
  <c r="K12" i="1"/>
  <c r="E12" i="1" s="1"/>
  <c r="J12" i="1"/>
  <c r="P12" i="1" s="1"/>
  <c r="D12" i="1"/>
  <c r="Q11" i="1"/>
  <c r="M11" i="1"/>
  <c r="L11" i="1"/>
  <c r="K11" i="1"/>
  <c r="E11" i="1" s="1"/>
  <c r="J11" i="1"/>
  <c r="P11" i="1" s="1"/>
  <c r="D11" i="1"/>
  <c r="Q10" i="1"/>
  <c r="M10" i="1"/>
  <c r="L10" i="1"/>
  <c r="K10" i="1"/>
  <c r="E10" i="1" s="1"/>
  <c r="J10" i="1"/>
  <c r="D10" i="1" s="1"/>
  <c r="Q9" i="1"/>
  <c r="M9" i="1"/>
  <c r="L9" i="1"/>
  <c r="K9" i="1"/>
  <c r="E9" i="1" s="1"/>
  <c r="J9" i="1"/>
  <c r="P9" i="1" s="1"/>
  <c r="D9" i="1"/>
  <c r="D57" i="1" l="1"/>
  <c r="Q51" i="1"/>
  <c r="D19" i="1"/>
  <c r="D46" i="1"/>
  <c r="P27" i="1"/>
  <c r="D42" i="1"/>
  <c r="P45" i="1"/>
  <c r="D51" i="1"/>
  <c r="P17" i="1"/>
  <c r="Q63" i="1"/>
  <c r="D15" i="1"/>
  <c r="D33" i="1"/>
  <c r="D37" i="1"/>
  <c r="D39" i="1"/>
  <c r="Q57" i="1"/>
  <c r="P74" i="1"/>
  <c r="P44" i="1"/>
  <c r="P71" i="1"/>
  <c r="P14" i="1"/>
  <c r="P16" i="1"/>
  <c r="Q61" i="1"/>
  <c r="P13" i="1"/>
  <c r="D25" i="1"/>
  <c r="D43" i="1"/>
  <c r="Q71" i="1"/>
  <c r="Q59" i="1"/>
  <c r="Q55" i="1"/>
  <c r="P41" i="1"/>
  <c r="P10" i="1"/>
  <c r="D40" i="1"/>
  <c r="D74" i="1"/>
  <c r="P58" i="1"/>
  <c r="P23" i="1"/>
  <c r="Q54" i="1"/>
  <c r="Q56" i="1"/>
  <c r="Q62" i="1"/>
  <c r="K74" i="1"/>
  <c r="E74" i="1" s="1"/>
  <c r="P56" i="1"/>
  <c r="P62" i="1"/>
  <c r="P29" i="1"/>
  <c r="P35" i="1"/>
  <c r="Q58" i="1"/>
  <c r="P70" i="1"/>
  <c r="K70" i="1"/>
  <c r="E70" i="1" s="1"/>
  <c r="P54" i="1"/>
  <c r="P60" i="1"/>
  <c r="P20" i="1"/>
  <c r="P26" i="1"/>
  <c r="P32" i="1"/>
  <c r="P52" i="1"/>
  <c r="Q60" i="1"/>
  <c r="Q70" i="1"/>
  <c r="P64" i="1"/>
  <c r="Q64" i="1"/>
</calcChain>
</file>

<file path=xl/sharedStrings.xml><?xml version="1.0" encoding="utf-8"?>
<sst xmlns="http://schemas.openxmlformats.org/spreadsheetml/2006/main" count="265" uniqueCount="182">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</sst>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164" fontId="4" fillId="3" borderId="0" xfId="2" applyNumberFormat="1" applyFont="1" applyFill="1" applyAlignment="1"/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030D84BD-62EE-420B-A588-EB7E62A67861}"/>
    <cellStyle name="Comma 5 2 2 2 2 2 2 2 2" xfId="4" xr:uid="{8949F92C-BF13-4584-BBA3-BE9326514B99}"/>
    <cellStyle name="Comma 6 2 2 2" xfId="5" xr:uid="{FFBE5EC5-EB9E-4AFD-8552-3C555ECAC2F1}"/>
    <cellStyle name="Hyperlink 2" xfId="8" xr:uid="{B7E0826E-1B3D-4138-9551-21449672882E}"/>
    <cellStyle name="Normal" xfId="0" builtinId="0"/>
    <cellStyle name="Normal 2" xfId="2" xr:uid="{5FFC9749-1D70-471F-B525-4CD86ADBF530}"/>
    <cellStyle name="Normal 20" xfId="7" xr:uid="{55245725-3548-4869-8E03-5ECA5312F64F}"/>
    <cellStyle name="Percent" xfId="1" builtinId="5"/>
    <cellStyle name="Percent 3" xfId="6" xr:uid="{904E5BEE-AC42-47B4-9412-01A66F79B835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6ACB905B-6ED1-4BB5-87DC-D8D7CFE05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0DAE3CFA-8B68-408F-8181-66B602CB0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51320-B8CD-464B-AD4A-73B309D7C9E2}">
  <dimension ref="A1:II106"/>
  <sheetViews>
    <sheetView tabSelected="1" zoomScale="60" zoomScaleNormal="60" workbookViewId="0">
      <selection activeCell="V80" sqref="V80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26.892399999999999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73292801.393702328</v>
      </c>
      <c r="E9" s="39">
        <f>C9*K9</f>
        <v>65700644.406666674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0.58752658743734298</v>
      </c>
      <c r="K9" s="44">
        <f>I9/$K$4</f>
        <v>0.52666666666666673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2.5530759493670882E-2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3630904.4823072692</v>
      </c>
      <c r="E10" s="39">
        <f>C10*K10</f>
        <v>3254791.19</v>
      </c>
      <c r="F10" s="40" t="s">
        <v>34</v>
      </c>
      <c r="G10" s="41">
        <v>3.1600000000000003E-2</v>
      </c>
      <c r="H10" s="42">
        <v>0.06</v>
      </c>
      <c r="I10" s="42">
        <v>0.06</v>
      </c>
      <c r="J10" s="43">
        <f>I10/$J$5</f>
        <v>2.2311136231797832E-3</v>
      </c>
      <c r="K10" s="44">
        <f>I10/$K$4</f>
        <v>2E-3</v>
      </c>
      <c r="L10" s="45">
        <f>I10-H10</f>
        <v>0</v>
      </c>
      <c r="M10" s="45">
        <f>((I10-H10)/H10)*100</f>
        <v>0</v>
      </c>
      <c r="N10" s="46">
        <v>7200</v>
      </c>
      <c r="O10" s="37">
        <v>432</v>
      </c>
      <c r="P10" s="50">
        <f>(R10)/J10</f>
        <v>0</v>
      </c>
      <c r="Q10" s="48">
        <f>I10/G10-1</f>
        <v>0.89873417721518956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3571422.6952346386</v>
      </c>
      <c r="E11" s="39">
        <f>C11*K11</f>
        <v>3201470.9229775998</v>
      </c>
      <c r="F11" s="40" t="s">
        <v>39</v>
      </c>
      <c r="G11" s="41">
        <v>7.8E-2</v>
      </c>
      <c r="H11" s="42">
        <v>0.20006499999999999</v>
      </c>
      <c r="I11" s="42">
        <v>0.21979199999999999</v>
      </c>
      <c r="J11" s="43">
        <f>I11/$J$5</f>
        <v>8.1730154244321809E-3</v>
      </c>
      <c r="K11" s="44">
        <f>I11/$K$4</f>
        <v>7.3263999999999994E-3</v>
      </c>
      <c r="L11" s="45">
        <f>I11-H11</f>
        <v>1.9726999999999995E-2</v>
      </c>
      <c r="M11" s="45">
        <f>((I11-H11)/H11)*100</f>
        <v>9.8602954039936996</v>
      </c>
      <c r="N11" s="46">
        <v>9600</v>
      </c>
      <c r="O11" s="37">
        <v>2110</v>
      </c>
      <c r="P11" s="50">
        <f>(R11)/J11</f>
        <v>0</v>
      </c>
      <c r="Q11" s="48">
        <f>I11/G11-1</f>
        <v>1.8178461538461539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142664085.17523164</v>
      </c>
      <c r="E12" s="39">
        <f>C12*K12</f>
        <v>127885988.13887998</v>
      </c>
      <c r="F12" s="40" t="s">
        <v>34</v>
      </c>
      <c r="G12" s="41">
        <v>97.381</v>
      </c>
      <c r="H12" s="42">
        <v>187.41650000000001</v>
      </c>
      <c r="I12" s="42">
        <v>185.93919999999997</v>
      </c>
      <c r="J12" s="43">
        <f>I12/$J$5</f>
        <v>6.9141913700525048</v>
      </c>
      <c r="K12" s="44">
        <f>I12/$K$4</f>
        <v>6.1979733333333327</v>
      </c>
      <c r="L12" s="45">
        <f>I12-H12</f>
        <v>-1.4773000000000422</v>
      </c>
      <c r="M12" s="45">
        <f>((I12-H12)/H12)*100</f>
        <v>-0.78824436482382398</v>
      </c>
      <c r="N12" s="46">
        <v>1200</v>
      </c>
      <c r="O12" s="37">
        <v>223127</v>
      </c>
      <c r="P12" s="50">
        <f>(R12)/J12</f>
        <v>0</v>
      </c>
      <c r="Q12" s="48">
        <f>I12/G12-1</f>
        <v>0.90939916410798793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4710008.5360176107</v>
      </c>
      <c r="E13" s="39">
        <f>C13*K13</f>
        <v>4222114.4517999999</v>
      </c>
      <c r="F13" s="40" t="s">
        <v>44</v>
      </c>
      <c r="G13" s="41">
        <v>13.6</v>
      </c>
      <c r="H13" s="42">
        <v>14.500499999999999</v>
      </c>
      <c r="I13" s="42">
        <v>14.500499999999999</v>
      </c>
      <c r="J13" s="43">
        <f>I13/$J$5</f>
        <v>0.53920438488197409</v>
      </c>
      <c r="K13" s="44">
        <f>I13/$K$4</f>
        <v>0.48334999999999995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6.6213235294117601E-2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311936328.22842145</v>
      </c>
      <c r="E14" s="39">
        <f>C14*K14</f>
        <v>279623883.77500004</v>
      </c>
      <c r="F14" s="40" t="s">
        <v>47</v>
      </c>
      <c r="G14" s="41">
        <v>11.5</v>
      </c>
      <c r="H14" s="42">
        <v>16.0489</v>
      </c>
      <c r="I14" s="42">
        <v>16.05</v>
      </c>
      <c r="J14" s="43">
        <f>I14/$J$5</f>
        <v>0.59682289420059209</v>
      </c>
      <c r="K14" s="44">
        <f>I14/$K$4</f>
        <v>0.53500000000000003</v>
      </c>
      <c r="L14" s="45">
        <f>I14-H14</f>
        <v>1.1000000000009891E-3</v>
      </c>
      <c r="M14" s="45">
        <f>((I14-H14)/H14)*100</f>
        <v>6.8540523026561885E-3</v>
      </c>
      <c r="N14" s="46">
        <v>800</v>
      </c>
      <c r="O14" s="37">
        <v>12840</v>
      </c>
      <c r="P14" s="50">
        <f>(R14)/J14</f>
        <v>0</v>
      </c>
      <c r="Q14" s="48">
        <f>I14/G14-1</f>
        <v>0.39565217391304364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23658924.08264045</v>
      </c>
      <c r="E15" s="39">
        <f>C15*K15</f>
        <v>21208175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0.22311136231797832</v>
      </c>
      <c r="K15" s="44">
        <f>I15/$K$4</f>
        <v>0.2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37008314.067915097</v>
      </c>
      <c r="E16" s="39">
        <f>C16*K16</f>
        <v>33174746.174666665</v>
      </c>
      <c r="F16" s="40" t="s">
        <v>34</v>
      </c>
      <c r="G16" s="41">
        <v>1.9</v>
      </c>
      <c r="H16" s="42">
        <v>2.78</v>
      </c>
      <c r="I16" s="42">
        <v>2.78</v>
      </c>
      <c r="J16" s="43">
        <f>I16/$J$5</f>
        <v>0.10337493120732995</v>
      </c>
      <c r="K16" s="44">
        <f>I16/$K$4</f>
        <v>9.2666666666666661E-2</v>
      </c>
      <c r="L16" s="45">
        <f>I16-H16</f>
        <v>0</v>
      </c>
      <c r="M16" s="45">
        <f>((I16-H16)/H16)*100</f>
        <v>0</v>
      </c>
      <c r="N16" s="46">
        <v>0</v>
      </c>
      <c r="O16" s="37">
        <v>0</v>
      </c>
      <c r="P16" s="50">
        <f>(R16)/J16</f>
        <v>0</v>
      </c>
      <c r="Q16" s="48">
        <f>I16/G16-1</f>
        <v>0.46315789473684199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1508744321.8209419</v>
      </c>
      <c r="E17" s="39">
        <f>C17*K17</f>
        <v>1352458526.6712499</v>
      </c>
      <c r="F17" s="40" t="s">
        <v>34</v>
      </c>
      <c r="G17" s="41">
        <v>20.701700000000002</v>
      </c>
      <c r="H17" s="42">
        <v>30.773800000000001</v>
      </c>
      <c r="I17" s="42">
        <v>30.2425</v>
      </c>
      <c r="J17" s="43">
        <f>I17/$J$5</f>
        <v>1.1245742291502432</v>
      </c>
      <c r="K17" s="44">
        <f>I17/$K$4</f>
        <v>1.0080833333333332</v>
      </c>
      <c r="L17" s="45">
        <f>I17-H17</f>
        <v>-0.53130000000000166</v>
      </c>
      <c r="M17" s="45">
        <f>((I17-H17)/H17)*100</f>
        <v>-1.7264686194100229</v>
      </c>
      <c r="N17" s="46">
        <v>256200</v>
      </c>
      <c r="O17" s="37">
        <v>7748120.5499999998</v>
      </c>
      <c r="P17" s="47">
        <f>(R17)/J17</f>
        <v>4.446127138960073E-2</v>
      </c>
      <c r="Q17" s="48">
        <f>I17/G17-1</f>
        <v>0.46087036330349673</v>
      </c>
      <c r="R17" s="49">
        <v>0.05</v>
      </c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251060466.02425221</v>
      </c>
      <c r="E19" s="39">
        <f>C19*K19</f>
        <v>225053949.21702003</v>
      </c>
      <c r="F19" s="40" t="s">
        <v>47</v>
      </c>
      <c r="G19" s="41">
        <v>12.45</v>
      </c>
      <c r="H19" s="42">
        <v>10.050000000000001</v>
      </c>
      <c r="I19" s="42">
        <v>10.047800000000001</v>
      </c>
      <c r="J19" s="43">
        <f>I19/$J$5</f>
        <v>0.37362972438309711</v>
      </c>
      <c r="K19" s="44">
        <f>I19/$K$4</f>
        <v>0.33492666666666671</v>
      </c>
      <c r="L19" s="45">
        <f>I19-H19</f>
        <v>-2.2000000000002018E-3</v>
      </c>
      <c r="M19" s="45">
        <f>((I19-H19)/H19)*100</f>
        <v>-2.1890547263683599E-2</v>
      </c>
      <c r="N19" s="46">
        <v>53400</v>
      </c>
      <c r="O19" s="37">
        <v>536550</v>
      </c>
      <c r="P19" s="50">
        <f>(R19)/J19</f>
        <v>0</v>
      </c>
      <c r="Q19" s="48">
        <f>I19/G19-1</f>
        <v>-0.19294779116465854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2391724.1798984106</v>
      </c>
      <c r="E20" s="39">
        <f>C20*K20</f>
        <v>2143973.4445166667</v>
      </c>
      <c r="F20" s="40" t="s">
        <v>47</v>
      </c>
      <c r="G20" s="41">
        <v>0.35</v>
      </c>
      <c r="H20" s="42">
        <v>0.59050000000000002</v>
      </c>
      <c r="I20" s="42">
        <v>0.59050000000000002</v>
      </c>
      <c r="J20" s="43">
        <f>I20/$J$5</f>
        <v>2.195787657479437E-2</v>
      </c>
      <c r="K20" s="44">
        <f>I20/$K$4</f>
        <v>1.9683333333333334E-2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0.68714285714285728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41061002.216239542</v>
      </c>
      <c r="E21" s="39">
        <f>C21*K21</f>
        <v>36807629.866666667</v>
      </c>
      <c r="F21" s="40" t="s">
        <v>47</v>
      </c>
      <c r="G21" s="41">
        <v>2.85</v>
      </c>
      <c r="H21" s="42">
        <v>1.6</v>
      </c>
      <c r="I21" s="42">
        <v>1.6</v>
      </c>
      <c r="J21" s="43">
        <f>I21/$J$5</f>
        <v>5.9496363284794226E-2</v>
      </c>
      <c r="K21" s="44">
        <f>I21/$K$4</f>
        <v>5.3333333333333337E-2</v>
      </c>
      <c r="L21" s="45">
        <f>I21-H21</f>
        <v>0</v>
      </c>
      <c r="M21" s="45">
        <f>((I21-H21)/H21)*100</f>
        <v>0</v>
      </c>
      <c r="N21" s="46">
        <v>0</v>
      </c>
      <c r="O21" s="37">
        <v>0</v>
      </c>
      <c r="P21" s="50">
        <f>(R21)/J21</f>
        <v>0</v>
      </c>
      <c r="Q21" s="48">
        <f>I21/G21-1</f>
        <v>-0.43859649122807021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52858310.041126855</v>
      </c>
      <c r="E22" s="39">
        <f>C22*K22</f>
        <v>47382893.898333326</v>
      </c>
      <c r="F22" s="40" t="s">
        <v>66</v>
      </c>
      <c r="G22" s="41">
        <v>0.88420599999999994</v>
      </c>
      <c r="H22" s="42">
        <v>1.1499999999999999</v>
      </c>
      <c r="I22" s="42">
        <v>1.1499999999999999</v>
      </c>
      <c r="J22" s="43">
        <f>I22/$J$5</f>
        <v>4.2763011110945839E-2</v>
      </c>
      <c r="K22" s="44">
        <f>I22/$K$4</f>
        <v>3.833333333333333E-2</v>
      </c>
      <c r="L22" s="45">
        <f>I22-H22</f>
        <v>0</v>
      </c>
      <c r="M22" s="45">
        <f>((I22-H22)/H22)*100</f>
        <v>0</v>
      </c>
      <c r="N22" s="46">
        <v>2700</v>
      </c>
      <c r="O22" s="37">
        <v>3105</v>
      </c>
      <c r="P22" s="50">
        <f>(R22)/J22</f>
        <v>0</v>
      </c>
      <c r="Q22" s="48">
        <f>I22/G22-1</f>
        <v>0.3006018959382768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2384403.7887470066</v>
      </c>
      <c r="E23" s="39">
        <f>C23*K23</f>
        <v>2137411.3482833332</v>
      </c>
      <c r="F23" s="40" t="s">
        <v>44</v>
      </c>
      <c r="G23" s="41">
        <v>0.1</v>
      </c>
      <c r="H23" s="42">
        <v>0.1195</v>
      </c>
      <c r="I23" s="42">
        <v>0.1195</v>
      </c>
      <c r="J23" s="43">
        <f>I23/$J$5</f>
        <v>4.4436346328330682E-3</v>
      </c>
      <c r="K23" s="44">
        <f>I23/$K$4</f>
        <v>3.9833333333333335E-3</v>
      </c>
      <c r="L23" s="45">
        <f>I23-H23</f>
        <v>0</v>
      </c>
      <c r="M23" s="45">
        <f>((I23-H23)/H23)*100</f>
        <v>0</v>
      </c>
      <c r="N23" s="46">
        <v>0</v>
      </c>
      <c r="O23" s="37">
        <v>0</v>
      </c>
      <c r="P23" s="50">
        <f>(R23)/J23</f>
        <v>0</v>
      </c>
      <c r="Q23" s="48">
        <f>I23/G23-1</f>
        <v>0.19499999999999984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71778723.739123315</v>
      </c>
      <c r="E24" s="39">
        <f>C24*K24</f>
        <v>64343405.009399995</v>
      </c>
      <c r="F24" s="40" t="s">
        <v>34</v>
      </c>
      <c r="G24" s="41">
        <v>8.1687659999999997</v>
      </c>
      <c r="H24" s="42">
        <v>10.000499999999999</v>
      </c>
      <c r="I24" s="42">
        <v>10.000499999999999</v>
      </c>
      <c r="J24" s="43">
        <f>I24/$J$5</f>
        <v>0.37187086314349033</v>
      </c>
      <c r="K24" s="44">
        <f>I24/$K$4</f>
        <v>0.33334999999999998</v>
      </c>
      <c r="L24" s="45">
        <f>I24-H24</f>
        <v>0</v>
      </c>
      <c r="M24" s="45">
        <f>((I24-H24)/H24)*100</f>
        <v>0</v>
      </c>
      <c r="N24" s="46">
        <v>0</v>
      </c>
      <c r="O24" s="37">
        <v>0</v>
      </c>
      <c r="P24" s="50">
        <f>(R24)/J24</f>
        <v>0</v>
      </c>
      <c r="Q24" s="48">
        <f>I24/G24-1</f>
        <v>0.22423631672152178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82350515.176727548</v>
      </c>
      <c r="E25" s="39">
        <f>C25*K25</f>
        <v>73820099.811287612</v>
      </c>
      <c r="F25" s="40" t="s">
        <v>66</v>
      </c>
      <c r="G25" s="41">
        <v>1.6675</v>
      </c>
      <c r="H25" s="42">
        <v>1.26</v>
      </c>
      <c r="I25" s="42">
        <v>1.312292</v>
      </c>
      <c r="J25" s="43">
        <f>I25/$J$5</f>
        <v>4.8797875979830735E-2</v>
      </c>
      <c r="K25" s="44">
        <f>I25/$K$4</f>
        <v>4.374306666666667E-2</v>
      </c>
      <c r="L25" s="45">
        <f>I25-H25</f>
        <v>5.2292000000000005E-2</v>
      </c>
      <c r="M25" s="45">
        <f>((I25-H25)/H25)*100</f>
        <v>4.1501587301587302</v>
      </c>
      <c r="N25" s="46">
        <v>96000</v>
      </c>
      <c r="O25" s="37">
        <v>125980</v>
      </c>
      <c r="P25" s="50">
        <f>(R25)/J25</f>
        <v>0</v>
      </c>
      <c r="Q25" s="48">
        <f>I25/G25-1</f>
        <v>-0.21301829085457269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30532834.816156242</v>
      </c>
      <c r="E26" s="39">
        <f>C26*K26</f>
        <v>27370040.23366667</v>
      </c>
      <c r="F26" s="40" t="s">
        <v>44</v>
      </c>
      <c r="G26" s="41">
        <v>1.7994999999999999</v>
      </c>
      <c r="H26" s="42">
        <v>3.4394339999999999</v>
      </c>
      <c r="I26" s="42">
        <v>3.43</v>
      </c>
      <c r="J26" s="43">
        <f>I26/$J$5</f>
        <v>0.12754532879177763</v>
      </c>
      <c r="K26" s="44">
        <f>I26/$K$4</f>
        <v>0.11433333333333334</v>
      </c>
      <c r="L26" s="45">
        <f>I26-H26</f>
        <v>-9.4339999999997204E-3</v>
      </c>
      <c r="M26" s="45">
        <f>((I26-H26)/H26)*100</f>
        <v>-0.27428931620725155</v>
      </c>
      <c r="N26" s="46">
        <v>300</v>
      </c>
      <c r="O26" s="37">
        <v>1029</v>
      </c>
      <c r="P26" s="50">
        <f>(R26)/J26</f>
        <v>0</v>
      </c>
      <c r="Q26" s="48">
        <f>I26/G26-1</f>
        <v>0.90608502361767185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28575070.391634811</v>
      </c>
      <c r="E27" s="39">
        <f>C27*K27</f>
        <v>25615074.100000001</v>
      </c>
      <c r="F27" s="40" t="s">
        <v>34</v>
      </c>
      <c r="G27" s="41">
        <v>3.1361369999999997</v>
      </c>
      <c r="H27" s="42">
        <v>3</v>
      </c>
      <c r="I27" s="42">
        <v>3</v>
      </c>
      <c r="J27" s="43">
        <f>I27/$J$5</f>
        <v>0.11155568115898916</v>
      </c>
      <c r="K27" s="44">
        <f>I27/$K$4</f>
        <v>0.1</v>
      </c>
      <c r="L27" s="45">
        <f>I27-H27</f>
        <v>0</v>
      </c>
      <c r="M27" s="45">
        <f>((I27-H27)/H27)*100</f>
        <v>0</v>
      </c>
      <c r="N27" s="46">
        <v>19800</v>
      </c>
      <c r="O27" s="37">
        <v>59400</v>
      </c>
      <c r="P27" s="50">
        <f>(R27)/J27</f>
        <v>0</v>
      </c>
      <c r="Q27" s="48">
        <f>I27/G27-1</f>
        <v>-4.3409136781970892E-2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27326225.187134657</v>
      </c>
      <c r="E28" s="39">
        <f>C28*K28</f>
        <v>24495592.607416671</v>
      </c>
      <c r="F28" s="40" t="s">
        <v>44</v>
      </c>
      <c r="G28" s="41">
        <v>0.8</v>
      </c>
      <c r="H28" s="42">
        <v>0.97250000000000003</v>
      </c>
      <c r="I28" s="42">
        <v>0.97250000000000003</v>
      </c>
      <c r="J28" s="43">
        <f>I28/$J$5</f>
        <v>3.6162633309038988E-2</v>
      </c>
      <c r="K28" s="44">
        <f>I28/$K$4</f>
        <v>3.241666666666667E-2</v>
      </c>
      <c r="L28" s="45">
        <f>I28-H28</f>
        <v>0</v>
      </c>
      <c r="M28" s="45">
        <f>((I28-H28)/H28)*100</f>
        <v>0</v>
      </c>
      <c r="N28" s="46">
        <v>23300</v>
      </c>
      <c r="O28" s="37">
        <v>22659.25</v>
      </c>
      <c r="P28" s="50">
        <f>(R28)/J28</f>
        <v>0</v>
      </c>
      <c r="Q28" s="48">
        <f>I28/G28-1</f>
        <v>0.21562499999999996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78903534.417414963</v>
      </c>
      <c r="E29" s="39">
        <f>C29*K29</f>
        <v>70730180.298896328</v>
      </c>
      <c r="F29" s="40" t="s">
        <v>47</v>
      </c>
      <c r="G29" s="41">
        <v>5.15</v>
      </c>
      <c r="H29" s="42">
        <v>5.25</v>
      </c>
      <c r="I29" s="42">
        <v>5.2500099999999996</v>
      </c>
      <c r="J29" s="43">
        <f>I29/$J$5</f>
        <v>0.19522281388050156</v>
      </c>
      <c r="K29" s="44">
        <f>I29/$K$4</f>
        <v>0.17500033333333331</v>
      </c>
      <c r="L29" s="45">
        <f>I29-H29</f>
        <v>9.9999999996214228E-6</v>
      </c>
      <c r="M29" s="45">
        <f>((I29-H29)/H29)*100</f>
        <v>1.9047619046897948E-4</v>
      </c>
      <c r="N29" s="46">
        <v>253000</v>
      </c>
      <c r="O29" s="37">
        <v>1328252.6000000001</v>
      </c>
      <c r="P29" s="50">
        <f>(R29)/J29</f>
        <v>0</v>
      </c>
      <c r="Q29" s="48">
        <f>I29/G29-1</f>
        <v>1.9419417475728062E-2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1">
        <f>I31/$J$5</f>
        <v>0</v>
      </c>
      <c r="K31" s="52">
        <f>I31/$K$4</f>
        <v>0</v>
      </c>
      <c r="L31" s="45">
        <v>0</v>
      </c>
      <c r="M31" s="45">
        <v>0</v>
      </c>
      <c r="N31" s="53" t="s">
        <v>85</v>
      </c>
      <c r="O31" s="53" t="s">
        <v>85</v>
      </c>
      <c r="P31" s="53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11909877.057272688</v>
      </c>
      <c r="E32" s="39">
        <f>C32*K32</f>
        <v>10676172.592499999</v>
      </c>
      <c r="F32" s="40" t="s">
        <v>39</v>
      </c>
      <c r="G32" s="41">
        <v>1.4</v>
      </c>
      <c r="H32" s="42">
        <v>1.26875</v>
      </c>
      <c r="I32" s="42">
        <v>1.2324999999999999</v>
      </c>
      <c r="J32" s="43">
        <f>I32/$J$5</f>
        <v>4.5830792342818047E-2</v>
      </c>
      <c r="K32" s="44">
        <f>I32/$K$4</f>
        <v>4.1083333333333333E-2</v>
      </c>
      <c r="L32" s="45">
        <f>I32-H32</f>
        <v>-3.6250000000000115E-2</v>
      </c>
      <c r="M32" s="45">
        <f>((I32-H32)/H32)*100</f>
        <v>-2.8571428571428661</v>
      </c>
      <c r="N32" s="46">
        <v>1500</v>
      </c>
      <c r="O32" s="37">
        <v>1848.75</v>
      </c>
      <c r="P32" s="50">
        <f>(R32)/J32</f>
        <v>0</v>
      </c>
      <c r="Q32" s="48">
        <f>I32/G32-1</f>
        <v>-0.11964285714285716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3403270.1618301081</v>
      </c>
      <c r="E33" s="39">
        <f>C33*K33</f>
        <v>3050736.75</v>
      </c>
      <c r="F33" s="40" t="s">
        <v>39</v>
      </c>
      <c r="G33" s="41">
        <v>0.65</v>
      </c>
      <c r="H33" s="42">
        <v>0.75</v>
      </c>
      <c r="I33" s="42">
        <v>0.75</v>
      </c>
      <c r="J33" s="43">
        <f>I33/$J$5</f>
        <v>2.788892028974729E-2</v>
      </c>
      <c r="K33" s="44">
        <f>I33/$K$4</f>
        <v>2.5000000000000001E-2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0.15384615384615374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160072355.44893724</v>
      </c>
      <c r="E34" s="39">
        <f>C34*K34</f>
        <v>143490993.7225</v>
      </c>
      <c r="F34" s="40" t="s">
        <v>92</v>
      </c>
      <c r="G34" s="41">
        <v>1.44</v>
      </c>
      <c r="H34" s="42">
        <v>1.7250000000000001</v>
      </c>
      <c r="I34" s="42">
        <v>1.7250000000000001</v>
      </c>
      <c r="J34" s="43">
        <f>I34/$J$5</f>
        <v>6.4144516666418766E-2</v>
      </c>
      <c r="K34" s="44">
        <f>I34/$K$4</f>
        <v>5.7500000000000002E-2</v>
      </c>
      <c r="L34" s="45">
        <f>I34-H34</f>
        <v>0</v>
      </c>
      <c r="M34" s="45">
        <f>((I34-H34)/H34)*100</f>
        <v>0</v>
      </c>
      <c r="N34" s="46">
        <v>100</v>
      </c>
      <c r="O34" s="37">
        <v>172.5</v>
      </c>
      <c r="P34" s="50">
        <f>(R34)/J34</f>
        <v>0</v>
      </c>
      <c r="Q34" s="48">
        <f>I34/G34-1</f>
        <v>0.19791666666666674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37893300.399369337</v>
      </c>
      <c r="E35" s="39">
        <f>C35*K35</f>
        <v>33968059.721999995</v>
      </c>
      <c r="F35" s="40" t="s">
        <v>34</v>
      </c>
      <c r="G35" s="41">
        <v>3.6056249999999999</v>
      </c>
      <c r="H35" s="42">
        <v>4.0199999999999996</v>
      </c>
      <c r="I35" s="42">
        <v>4.0199999999999996</v>
      </c>
      <c r="J35" s="43">
        <f>I35/$J$5</f>
        <v>0.14948461275304548</v>
      </c>
      <c r="K35" s="44">
        <f>I35/$K$4</f>
        <v>0.13399999999999998</v>
      </c>
      <c r="L35" s="45">
        <f>I35-H35</f>
        <v>0</v>
      </c>
      <c r="M35" s="45">
        <f>((I35-H35)/H35)*100</f>
        <v>0</v>
      </c>
      <c r="N35" s="46">
        <v>4600</v>
      </c>
      <c r="O35" s="37">
        <v>18492</v>
      </c>
      <c r="P35" s="50">
        <f>(R35)/J35</f>
        <v>0</v>
      </c>
      <c r="Q35" s="48">
        <f>I35/G35-1</f>
        <v>0.11492459698387925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6557572.3542136801</v>
      </c>
      <c r="E36" s="39">
        <f>C36*K36</f>
        <v>5878295.2926151995</v>
      </c>
      <c r="F36" s="40" t="s">
        <v>34</v>
      </c>
      <c r="G36" s="41">
        <v>2.5099999999999997E-2</v>
      </c>
      <c r="H36" s="42">
        <v>3.7400000000000003E-2</v>
      </c>
      <c r="I36" s="42">
        <v>3.7400999999999997E-2</v>
      </c>
      <c r="J36" s="43">
        <f>I36/$J$5</f>
        <v>1.3907646770091177E-3</v>
      </c>
      <c r="K36" s="44">
        <f>I36/$K$4</f>
        <v>1.2466999999999999E-3</v>
      </c>
      <c r="L36" s="45">
        <f>I36-H36</f>
        <v>9.9999999999406119E-7</v>
      </c>
      <c r="M36" s="45">
        <f>((I36-H36)/H36)*100</f>
        <v>2.6737967914279709E-3</v>
      </c>
      <c r="N36" s="46">
        <v>324800</v>
      </c>
      <c r="O36" s="37">
        <v>12147.78</v>
      </c>
      <c r="P36" s="50">
        <f>(R36)/J36</f>
        <v>0</v>
      </c>
      <c r="Q36" s="48">
        <f>I36/G36-1</f>
        <v>0.49007968127490042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54815331.731345661</v>
      </c>
      <c r="E37" s="39">
        <f>C37*K37</f>
        <v>49137194.235068008</v>
      </c>
      <c r="F37" s="40" t="s">
        <v>92</v>
      </c>
      <c r="G37" s="41">
        <v>0.61</v>
      </c>
      <c r="H37" s="42">
        <v>5.5067570000000003</v>
      </c>
      <c r="I37" s="42">
        <v>5.6465560000000004</v>
      </c>
      <c r="J37" s="43">
        <f>I37/$J$5</f>
        <v>0.20996846692745907</v>
      </c>
      <c r="K37" s="44">
        <f>I37/$K$4</f>
        <v>0.18821853333333335</v>
      </c>
      <c r="L37" s="45">
        <f>I37-H37</f>
        <v>0.13979900000000001</v>
      </c>
      <c r="M37" s="45">
        <f>((I37-H37)/H37)*100</f>
        <v>2.5386811148558035</v>
      </c>
      <c r="N37" s="46">
        <v>4500</v>
      </c>
      <c r="O37" s="37">
        <v>25409.5</v>
      </c>
      <c r="P37" s="50">
        <f>(R37)/J37</f>
        <v>0</v>
      </c>
      <c r="Q37" s="48">
        <f>I37/G37-1</f>
        <v>8.2566491803278694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22362251.814538606</v>
      </c>
      <c r="E38" s="39">
        <f>C38*K38</f>
        <v>20045820.689909931</v>
      </c>
      <c r="F38" s="40" t="s">
        <v>56</v>
      </c>
      <c r="G38" s="41">
        <v>0.11650199999999999</v>
      </c>
      <c r="H38" s="42">
        <v>0.146036</v>
      </c>
      <c r="I38" s="42">
        <v>0.14336199999999999</v>
      </c>
      <c r="J38" s="43">
        <f>I38/$J$5</f>
        <v>5.3309485207716674E-3</v>
      </c>
      <c r="K38" s="44">
        <f>I38/$K$4</f>
        <v>4.7787333333333326E-3</v>
      </c>
      <c r="L38" s="45">
        <f>I38-H38</f>
        <v>-2.6740000000000097E-3</v>
      </c>
      <c r="M38" s="45">
        <f>((I38-H38)/H38)*100</f>
        <v>-1.8310553562135428</v>
      </c>
      <c r="N38" s="46">
        <v>46000</v>
      </c>
      <c r="O38" s="37">
        <v>6594.65</v>
      </c>
      <c r="P38" s="50">
        <v>0</v>
      </c>
      <c r="Q38" s="48">
        <f>I38/G38-1</f>
        <v>0.23055398190588994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85021931.776263922</v>
      </c>
      <c r="E39" s="39">
        <f>C39*K39</f>
        <v>76214793.269999996</v>
      </c>
      <c r="F39" s="40" t="s">
        <v>34</v>
      </c>
      <c r="G39" s="41">
        <v>2.6005000000000003</v>
      </c>
      <c r="H39" s="42">
        <v>6.33</v>
      </c>
      <c r="I39" s="42">
        <v>6.3</v>
      </c>
      <c r="J39" s="43">
        <f>I39/$J$5</f>
        <v>0.23426693043387722</v>
      </c>
      <c r="K39" s="44">
        <f>I39/$K$4</f>
        <v>0.21</v>
      </c>
      <c r="L39" s="45">
        <f>I39-H39</f>
        <v>-3.0000000000000249E-2</v>
      </c>
      <c r="M39" s="45">
        <f>((I39-H39)/H39)*100</f>
        <v>-0.47393364928910348</v>
      </c>
      <c r="N39" s="46">
        <v>200</v>
      </c>
      <c r="O39" s="37">
        <v>1260</v>
      </c>
      <c r="P39" s="50">
        <f>(R39)/J39</f>
        <v>0</v>
      </c>
      <c r="Q39" s="48">
        <f>I39/G39-1</f>
        <v>1.4226110363391653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14471558.982233791</v>
      </c>
      <c r="E40" s="39">
        <f>C40*K40</f>
        <v>12972498.425794132</v>
      </c>
      <c r="F40" s="40" t="s">
        <v>39</v>
      </c>
      <c r="G40" s="41">
        <v>0.1</v>
      </c>
      <c r="H40" s="42">
        <v>9.0175999999999992E-2</v>
      </c>
      <c r="I40" s="42">
        <v>9.0175999999999992E-2</v>
      </c>
      <c r="J40" s="43">
        <f>I40/$J$5</f>
        <v>3.353215034731002E-3</v>
      </c>
      <c r="K40" s="44">
        <f>I40/$K$4</f>
        <v>3.0058666666666666E-3</v>
      </c>
      <c r="L40" s="45">
        <f>I40-H40</f>
        <v>0</v>
      </c>
      <c r="M40" s="45">
        <f>((I40-H40)/H40)*100</f>
        <v>0</v>
      </c>
      <c r="N40" s="46">
        <v>0</v>
      </c>
      <c r="O40" s="37">
        <v>0</v>
      </c>
      <c r="P40" s="50">
        <f>(R40)/J40</f>
        <v>0</v>
      </c>
      <c r="Q40" s="48">
        <f>I40/G40-1</f>
        <v>-9.8240000000000105E-2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5938903.0172093231</v>
      </c>
      <c r="E41" s="39">
        <f>C41*K41</f>
        <v>5323711.8500000006</v>
      </c>
      <c r="F41" s="40" t="s">
        <v>44</v>
      </c>
      <c r="G41" s="41">
        <v>1.7452379999999998</v>
      </c>
      <c r="H41" s="42">
        <v>1.5</v>
      </c>
      <c r="I41" s="42">
        <v>1.5</v>
      </c>
      <c r="J41" s="43">
        <f>I41/$J$5</f>
        <v>5.5777840579494579E-2</v>
      </c>
      <c r="K41" s="44">
        <f>I41/$K$4</f>
        <v>0.05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-0.14051837056034755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2258237.1515657958</v>
      </c>
      <c r="E42" s="39">
        <f>C42*K42</f>
        <v>2024313.8924922666</v>
      </c>
      <c r="F42" s="40" t="s">
        <v>39</v>
      </c>
      <c r="G42" s="41">
        <v>0.03</v>
      </c>
      <c r="H42" s="42">
        <v>3.4155999999999999E-2</v>
      </c>
      <c r="I42" s="42">
        <v>3.4155999999999999E-2</v>
      </c>
      <c r="J42" s="43">
        <f>I42/$J$5</f>
        <v>1.2700986152221446E-3</v>
      </c>
      <c r="K42" s="44">
        <f>I42/$K$4</f>
        <v>1.1385333333333333E-3</v>
      </c>
      <c r="L42" s="45">
        <f>I42-H42</f>
        <v>0</v>
      </c>
      <c r="M42" s="45">
        <f>((I42-H42)/H42)*100</f>
        <v>0</v>
      </c>
      <c r="N42" s="46">
        <v>0</v>
      </c>
      <c r="O42" s="37">
        <v>0</v>
      </c>
      <c r="P42" s="50">
        <f>(R42)/J42</f>
        <v>0</v>
      </c>
      <c r="Q42" s="48">
        <f>I42/G42-1</f>
        <v>0.1385333333333334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33876670.546446726</v>
      </c>
      <c r="E43" s="39">
        <f>C43*K43</f>
        <v>30367499.166775465</v>
      </c>
      <c r="F43" s="40" t="s">
        <v>47</v>
      </c>
      <c r="G43" s="41">
        <v>4.5</v>
      </c>
      <c r="H43" s="42">
        <v>5.2001919999999995</v>
      </c>
      <c r="I43" s="42">
        <v>5.2001919999999995</v>
      </c>
      <c r="J43" s="43">
        <f>I43/$J$5</f>
        <v>0.19337032023917536</v>
      </c>
      <c r="K43" s="44">
        <f>I43/$K$4</f>
        <v>0.17333973333333333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0.15559822222222208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310.1276902768069</v>
      </c>
      <c r="E44" s="39">
        <f>C44*K44</f>
        <v>278.0025966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6.6933408695393504E-7</v>
      </c>
      <c r="K44" s="44">
        <f>I44/$K$4</f>
        <v>5.9999999999999997E-7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1503592.0929333195</v>
      </c>
      <c r="E45" s="39">
        <f>C45*K45</f>
        <v>1347840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2.6104029391203465E-3</v>
      </c>
      <c r="K45" s="44">
        <f>I45/$K$4</f>
        <v>2.3400000000000001E-3</v>
      </c>
      <c r="L45" s="45">
        <f>I45-H45</f>
        <v>0</v>
      </c>
      <c r="M45" s="45">
        <f>((I45-H45)/H45)*100</f>
        <v>0</v>
      </c>
      <c r="N45" s="46">
        <v>300</v>
      </c>
      <c r="O45" s="37">
        <v>21.06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43947070.953131743</v>
      </c>
      <c r="E46" s="39">
        <f>C46*K46</f>
        <v>39394740.363333337</v>
      </c>
      <c r="F46" s="40" t="s">
        <v>47</v>
      </c>
      <c r="G46" s="41">
        <v>0.9998999999999999</v>
      </c>
      <c r="H46" s="42">
        <v>0.65</v>
      </c>
      <c r="I46" s="42">
        <v>0.65</v>
      </c>
      <c r="J46" s="43">
        <f>I46/$J$5</f>
        <v>2.4170397584447653E-2</v>
      </c>
      <c r="K46" s="44">
        <f>I46/$K$4</f>
        <v>2.1666666666666667E-2</v>
      </c>
      <c r="L46" s="45">
        <f>I46-H46</f>
        <v>0</v>
      </c>
      <c r="M46" s="45">
        <f>((I46-H46)/H46)*100</f>
        <v>0</v>
      </c>
      <c r="N46" s="46">
        <v>0</v>
      </c>
      <c r="O46" s="37">
        <v>0</v>
      </c>
      <c r="P46" s="50">
        <f>(R46)/J46</f>
        <v>0</v>
      </c>
      <c r="Q46" s="48">
        <f>I46/G46-1</f>
        <v>-0.34993499349934987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4545072.1690886645</v>
      </c>
      <c r="E47" s="39">
        <f>C47*K47</f>
        <v>4074263.293333333</v>
      </c>
      <c r="F47" s="40" t="s">
        <v>47</v>
      </c>
      <c r="G47" s="41">
        <v>1.4503460000000001</v>
      </c>
      <c r="H47" s="42">
        <v>1.1011820000000001</v>
      </c>
      <c r="I47" s="42">
        <v>1.19</v>
      </c>
      <c r="J47" s="43">
        <f>I47/$J$5</f>
        <v>4.4250420193065701E-2</v>
      </c>
      <c r="K47" s="44">
        <f>I47/$K$4</f>
        <v>3.9666666666666663E-2</v>
      </c>
      <c r="L47" s="45">
        <f>I47-H47</f>
        <v>8.8817999999999842E-2</v>
      </c>
      <c r="M47" s="45">
        <f>((I47-H47)/H47)*100</f>
        <v>8.0656966786598261</v>
      </c>
      <c r="N47" s="46">
        <v>1200</v>
      </c>
      <c r="O47" s="37">
        <v>1428</v>
      </c>
      <c r="P47" s="50">
        <v>0</v>
      </c>
      <c r="Q47" s="48">
        <f>I47/G47-1</f>
        <v>-0.17950613164031215</v>
      </c>
      <c r="R47" s="49"/>
    </row>
    <row r="48" spans="1:18" ht="13.8" thickBot="1" x14ac:dyDescent="0.4">
      <c r="A48" s="54"/>
      <c r="B48" s="55" t="s">
        <v>82</v>
      </c>
      <c r="C48" s="56"/>
      <c r="D48" s="57"/>
      <c r="E48" s="57"/>
      <c r="F48" s="58"/>
      <c r="G48" s="58"/>
      <c r="H48" s="45"/>
      <c r="I48" s="45"/>
      <c r="J48" s="45"/>
      <c r="K48" s="45"/>
      <c r="L48" s="45"/>
      <c r="M48" s="45"/>
      <c r="N48" s="58">
        <f>SUM(N9:N47)</f>
        <v>1106700</v>
      </c>
      <c r="O48" s="59">
        <f>SUM(O9:O47)</f>
        <v>10130979.640000001</v>
      </c>
      <c r="P48" s="59"/>
      <c r="Q48" s="60"/>
    </row>
    <row r="49" spans="1:20" ht="13.2" x14ac:dyDescent="0.35">
      <c r="A49" s="61"/>
      <c r="B49" s="62" t="s">
        <v>82</v>
      </c>
      <c r="C49" s="63"/>
      <c r="D49" s="63"/>
      <c r="E49" s="63"/>
      <c r="F49" s="64"/>
      <c r="G49" s="64"/>
      <c r="H49" s="65"/>
      <c r="I49" s="65"/>
      <c r="J49" s="65"/>
      <c r="K49" s="65"/>
      <c r="L49" s="65"/>
      <c r="M49" s="65"/>
      <c r="N49" s="64"/>
      <c r="O49" s="64"/>
      <c r="P49" s="64"/>
      <c r="Q49" s="66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x14ac:dyDescent="0.25">
      <c r="A51" s="35" t="s">
        <v>120</v>
      </c>
      <c r="B51" s="36" t="s">
        <v>121</v>
      </c>
      <c r="C51" s="40">
        <v>554920308</v>
      </c>
      <c r="D51" s="38">
        <f>C51*J51</f>
        <v>72694560.348000005</v>
      </c>
      <c r="E51" s="39">
        <v>0</v>
      </c>
      <c r="F51" s="40" t="s">
        <v>92</v>
      </c>
      <c r="G51" s="67">
        <v>0.1</v>
      </c>
      <c r="H51" s="42">
        <v>0.1229</v>
      </c>
      <c r="I51" s="42">
        <v>0.13100000000000001</v>
      </c>
      <c r="J51" s="43">
        <f>I51</f>
        <v>0.13100000000000001</v>
      </c>
      <c r="K51" s="39">
        <v>0</v>
      </c>
      <c r="L51" s="45">
        <f>I51-H51</f>
        <v>8.10000000000001E-3</v>
      </c>
      <c r="M51" s="45">
        <f>((I51-H51)/H51)*100</f>
        <v>6.5907241659886164</v>
      </c>
      <c r="N51" s="46">
        <v>24573</v>
      </c>
      <c r="O51" s="37">
        <v>3219.03</v>
      </c>
      <c r="P51" s="68">
        <f>(R51)/J51</f>
        <v>0</v>
      </c>
      <c r="Q51" s="48">
        <f>J51/G51-1</f>
        <v>0.31000000000000005</v>
      </c>
      <c r="T51" s="69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61513690.377999999</v>
      </c>
      <c r="E52" s="39">
        <v>0</v>
      </c>
      <c r="F52" s="40" t="s">
        <v>39</v>
      </c>
      <c r="G52" s="67">
        <v>39.9</v>
      </c>
      <c r="H52" s="42">
        <v>67.2286</v>
      </c>
      <c r="I52" s="42">
        <v>58.158799999999999</v>
      </c>
      <c r="J52" s="43">
        <f>I52</f>
        <v>58.158799999999999</v>
      </c>
      <c r="K52" s="39">
        <v>0</v>
      </c>
      <c r="L52" s="45">
        <f>I52-H52</f>
        <v>-9.0698000000000008</v>
      </c>
      <c r="M52" s="45">
        <f>((I52-H52)/H52)*100</f>
        <v>-13.490984491719299</v>
      </c>
      <c r="N52" s="46">
        <v>617</v>
      </c>
      <c r="O52" s="37">
        <v>35884</v>
      </c>
      <c r="P52" s="70">
        <f>(R52)/J52</f>
        <v>9.6288093977179735E-3</v>
      </c>
      <c r="Q52" s="48">
        <f>J52/G52-1</f>
        <v>0.45761403508771936</v>
      </c>
      <c r="R52" s="69">
        <v>0.56000000000000005</v>
      </c>
      <c r="T52" s="69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801301305.76339996</v>
      </c>
      <c r="E53" s="39"/>
      <c r="F53" s="40" t="s">
        <v>56</v>
      </c>
      <c r="G53" s="67">
        <v>0.33</v>
      </c>
      <c r="H53" s="42">
        <v>0.247</v>
      </c>
      <c r="I53" s="42">
        <v>0.26779999999999998</v>
      </c>
      <c r="J53" s="43">
        <f>I53</f>
        <v>0.26779999999999998</v>
      </c>
      <c r="K53" s="39">
        <v>0</v>
      </c>
      <c r="L53" s="45">
        <f>I53-H53</f>
        <v>2.0799999999999985E-2</v>
      </c>
      <c r="M53" s="45">
        <f>((I53-H53)/H53)*100</f>
        <v>8.4210526315789416</v>
      </c>
      <c r="N53" s="46">
        <v>31968</v>
      </c>
      <c r="O53" s="37">
        <v>8560.2199999999993</v>
      </c>
      <c r="P53" s="68">
        <v>0</v>
      </c>
      <c r="Q53" s="48">
        <f>J53/G53-1</f>
        <v>-0.18848484848484859</v>
      </c>
      <c r="R53" s="69"/>
      <c r="T53" s="69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23170155.833999999</v>
      </c>
      <c r="E54" s="39">
        <v>0</v>
      </c>
      <c r="F54" s="40" t="s">
        <v>34</v>
      </c>
      <c r="G54" s="67">
        <v>2.3E-2</v>
      </c>
      <c r="H54" s="42">
        <v>3.7900000000000003E-2</v>
      </c>
      <c r="I54" s="42">
        <v>3.7999999999999999E-2</v>
      </c>
      <c r="J54" s="43">
        <f>I54</f>
        <v>3.7999999999999999E-2</v>
      </c>
      <c r="K54" s="39">
        <v>0</v>
      </c>
      <c r="L54" s="45">
        <f>I54-H54</f>
        <v>9.9999999999995925E-5</v>
      </c>
      <c r="M54" s="45">
        <f>((I54-H54)/H54)*100</f>
        <v>0.26385224274405256</v>
      </c>
      <c r="N54" s="46">
        <v>400</v>
      </c>
      <c r="O54" s="37">
        <v>15.2</v>
      </c>
      <c r="P54" s="68">
        <f>(R54)/J54</f>
        <v>0</v>
      </c>
      <c r="Q54" s="48">
        <f>J54/G54-1</f>
        <v>0.65217391304347827</v>
      </c>
      <c r="T54" s="69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275639180.94749999</v>
      </c>
      <c r="E55" s="39">
        <v>0</v>
      </c>
      <c r="F55" s="40" t="s">
        <v>47</v>
      </c>
      <c r="G55" s="67">
        <v>9.0200000000000002E-2</v>
      </c>
      <c r="H55" s="42">
        <v>0.1111</v>
      </c>
      <c r="I55" s="42">
        <v>0.1275</v>
      </c>
      <c r="J55" s="43">
        <f>I55</f>
        <v>0.1275</v>
      </c>
      <c r="K55" s="39">
        <v>0</v>
      </c>
      <c r="L55" s="45">
        <f>I55-H55</f>
        <v>1.6399999999999998E-2</v>
      </c>
      <c r="M55" s="71">
        <f>((I55-H55)/H55)*100</f>
        <v>14.761476147614758</v>
      </c>
      <c r="N55" s="46">
        <v>41903</v>
      </c>
      <c r="O55" s="37">
        <v>5344.47</v>
      </c>
      <c r="P55" s="68">
        <f>(R55)/J55</f>
        <v>0</v>
      </c>
      <c r="Q55" s="48">
        <f>J55/G55-1</f>
        <v>0.41352549889135259</v>
      </c>
      <c r="R55" s="69"/>
      <c r="T55" s="69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750432164.3499999</v>
      </c>
      <c r="E56" s="39">
        <v>0</v>
      </c>
      <c r="F56" s="40" t="s">
        <v>34</v>
      </c>
      <c r="G56" s="67">
        <v>0.95750000000000002</v>
      </c>
      <c r="H56" s="42">
        <v>1.2985</v>
      </c>
      <c r="I56" s="42">
        <v>1.3029999999999999</v>
      </c>
      <c r="J56" s="43">
        <f>I56</f>
        <v>1.3029999999999999</v>
      </c>
      <c r="K56" s="39">
        <v>0</v>
      </c>
      <c r="L56" s="45">
        <f>I56-H56</f>
        <v>4.4999999999999485E-3</v>
      </c>
      <c r="M56" s="45">
        <f>((I56-H56)/H56)*100</f>
        <v>0.34655371582594907</v>
      </c>
      <c r="N56" s="46">
        <v>37886</v>
      </c>
      <c r="O56" s="37">
        <v>49364.21</v>
      </c>
      <c r="P56" s="70">
        <f>(R56)/J56</f>
        <v>3.6070606293169612E-2</v>
      </c>
      <c r="Q56" s="48">
        <f>J56/G56-1</f>
        <v>0.36083550913838103</v>
      </c>
      <c r="R56" s="69">
        <v>4.7E-2</v>
      </c>
      <c r="T56" s="69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24713337.410999998</v>
      </c>
      <c r="E57" s="39">
        <v>0</v>
      </c>
      <c r="F57" s="40" t="s">
        <v>34</v>
      </c>
      <c r="G57" s="67">
        <v>0.1595</v>
      </c>
      <c r="H57" s="42">
        <v>0.15</v>
      </c>
      <c r="I57" s="42">
        <v>0.15049999999999999</v>
      </c>
      <c r="J57" s="43">
        <f>I57</f>
        <v>0.15049999999999999</v>
      </c>
      <c r="K57" s="39">
        <v>0</v>
      </c>
      <c r="L57" s="45">
        <f>I57-H57</f>
        <v>5.0000000000000044E-4</v>
      </c>
      <c r="M57" s="45">
        <f>((I57-H57)/H57)*100</f>
        <v>0.33333333333333365</v>
      </c>
      <c r="N57" s="46">
        <v>250</v>
      </c>
      <c r="O57" s="37">
        <v>37.61</v>
      </c>
      <c r="P57" s="68">
        <f>(R57)/J57</f>
        <v>0</v>
      </c>
      <c r="Q57" s="48">
        <f>J57/G57-1</f>
        <v>-5.6426332288401326E-2</v>
      </c>
      <c r="T57" s="69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15891622.32</v>
      </c>
      <c r="E58" s="39">
        <v>0</v>
      </c>
      <c r="F58" s="40" t="s">
        <v>92</v>
      </c>
      <c r="G58" s="67">
        <v>1.6799999999999999E-2</v>
      </c>
      <c r="H58" s="42">
        <v>1.9900000000000001E-2</v>
      </c>
      <c r="I58" s="42">
        <v>0.02</v>
      </c>
      <c r="J58" s="43">
        <f>I58</f>
        <v>0.02</v>
      </c>
      <c r="K58" s="39">
        <v>0</v>
      </c>
      <c r="L58" s="45">
        <f>I58-H58</f>
        <v>9.9999999999999395E-5</v>
      </c>
      <c r="M58" s="71">
        <f>((I58-H58)/H58)*100</f>
        <v>0.50251256281406731</v>
      </c>
      <c r="N58" s="46">
        <v>103716</v>
      </c>
      <c r="O58" s="37">
        <v>2072.35</v>
      </c>
      <c r="P58" s="68">
        <f>(R58)/J58</f>
        <v>0</v>
      </c>
      <c r="Q58" s="48">
        <f>J58/G58-1</f>
        <v>0.19047619047619047</v>
      </c>
      <c r="T58" s="69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2902914</v>
      </c>
      <c r="E59" s="39">
        <v>0</v>
      </c>
      <c r="F59" s="40" t="s">
        <v>138</v>
      </c>
      <c r="G59" s="67">
        <v>19.5</v>
      </c>
      <c r="H59" s="42">
        <v>18</v>
      </c>
      <c r="I59" s="42">
        <v>18</v>
      </c>
      <c r="J59" s="43">
        <f>I59</f>
        <v>18</v>
      </c>
      <c r="K59" s="39">
        <v>0</v>
      </c>
      <c r="L59" s="45">
        <f>I59-H59</f>
        <v>0</v>
      </c>
      <c r="M59" s="45">
        <f>((I59-H59)/H59)*100</f>
        <v>0</v>
      </c>
      <c r="N59" s="46">
        <v>0</v>
      </c>
      <c r="O59" s="37">
        <v>0</v>
      </c>
      <c r="P59" s="68">
        <f>(R59)/J59</f>
        <v>0</v>
      </c>
      <c r="Q59" s="48">
        <f>J59/G59-1</f>
        <v>-7.6923076923076872E-2</v>
      </c>
      <c r="T59" s="69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901218250.84939992</v>
      </c>
      <c r="E60" s="39">
        <v>0</v>
      </c>
      <c r="F60" s="40" t="s">
        <v>92</v>
      </c>
      <c r="G60" s="67">
        <v>0.59499999999999997</v>
      </c>
      <c r="H60" s="42">
        <v>1.1416999999999999</v>
      </c>
      <c r="I60" s="42">
        <v>1.1194</v>
      </c>
      <c r="J60" s="43">
        <f>I60</f>
        <v>1.1194</v>
      </c>
      <c r="K60" s="39">
        <v>0</v>
      </c>
      <c r="L60" s="45">
        <f>I60-H60</f>
        <v>-2.2299999999999986E-2</v>
      </c>
      <c r="M60" s="45">
        <f>((I60-H60)/H60)*100</f>
        <v>-1.9532276429885247</v>
      </c>
      <c r="N60" s="46">
        <v>6910</v>
      </c>
      <c r="O60" s="37">
        <v>7735.02</v>
      </c>
      <c r="P60" s="68">
        <f>(R60)/J60</f>
        <v>0</v>
      </c>
      <c r="Q60" s="48">
        <f>J60/G60-1</f>
        <v>0.88134453781512612</v>
      </c>
      <c r="R60" s="69"/>
      <c r="T60" s="69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80821500.579999998</v>
      </c>
      <c r="E61" s="39">
        <v>0</v>
      </c>
      <c r="F61" s="40" t="s">
        <v>34</v>
      </c>
      <c r="G61" s="67">
        <v>0.22600000000000001</v>
      </c>
      <c r="H61" s="42">
        <v>0.31609999999999999</v>
      </c>
      <c r="I61" s="42">
        <v>0.31</v>
      </c>
      <c r="J61" s="43">
        <f>I61</f>
        <v>0.31</v>
      </c>
      <c r="K61" s="39">
        <v>0</v>
      </c>
      <c r="L61" s="45">
        <f>I61-H61</f>
        <v>-6.0999999999999943E-3</v>
      </c>
      <c r="M61" s="45">
        <f>((I61-H61)/H61)*100</f>
        <v>-1.9297690604239148</v>
      </c>
      <c r="N61" s="46">
        <v>63</v>
      </c>
      <c r="O61" s="37">
        <v>19.53</v>
      </c>
      <c r="P61" s="68">
        <f>(R61)/J61</f>
        <v>0</v>
      </c>
      <c r="Q61" s="48">
        <f>J61/G61-1</f>
        <v>0.37168141592920345</v>
      </c>
      <c r="T61" s="69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357324651.25280005</v>
      </c>
      <c r="E62" s="39">
        <v>0</v>
      </c>
      <c r="F62" s="40" t="s">
        <v>34</v>
      </c>
      <c r="G62" s="67">
        <v>0.49440000000000001</v>
      </c>
      <c r="H62" s="42">
        <v>0.63759999999999994</v>
      </c>
      <c r="I62" s="42">
        <v>0.63560000000000005</v>
      </c>
      <c r="J62" s="43">
        <f>I62</f>
        <v>0.63560000000000005</v>
      </c>
      <c r="K62" s="39">
        <v>0</v>
      </c>
      <c r="L62" s="45">
        <f>I62-H62</f>
        <v>-1.9999999999998908E-3</v>
      </c>
      <c r="M62" s="45">
        <f>((I62-H62)/H62)*100</f>
        <v>-0.31367628607275577</v>
      </c>
      <c r="N62" s="46">
        <v>259163</v>
      </c>
      <c r="O62" s="37">
        <v>164711.20000000001</v>
      </c>
      <c r="P62" s="68">
        <f>(R62)/J62</f>
        <v>0</v>
      </c>
      <c r="Q62" s="48">
        <f>J62/G62-1</f>
        <v>0.28559870550161826</v>
      </c>
      <c r="R62" s="69"/>
      <c r="T62" s="69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7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8">
        <f>(R63)/J63</f>
        <v>0</v>
      </c>
      <c r="Q63" s="48">
        <f>J63/G63-1</f>
        <v>0</v>
      </c>
      <c r="T63" s="69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33079726.655999999</v>
      </c>
      <c r="E64" s="39">
        <v>0</v>
      </c>
      <c r="F64" s="40" t="s">
        <v>44</v>
      </c>
      <c r="G64" s="67">
        <v>4.2999999999999997E-2</v>
      </c>
      <c r="H64" s="42">
        <v>0.08</v>
      </c>
      <c r="I64" s="42">
        <v>9.6000000000000002E-2</v>
      </c>
      <c r="J64" s="43">
        <f>I64</f>
        <v>9.6000000000000002E-2</v>
      </c>
      <c r="K64" s="39">
        <v>0</v>
      </c>
      <c r="L64" s="45">
        <f>I64-H64</f>
        <v>1.6E-2</v>
      </c>
      <c r="M64" s="45">
        <f>((I64-H64)/H64)*100</f>
        <v>20</v>
      </c>
      <c r="N64" s="46">
        <v>1656</v>
      </c>
      <c r="O64" s="37">
        <v>158.97999999999999</v>
      </c>
      <c r="P64" s="68">
        <f>(R64)/J64</f>
        <v>0</v>
      </c>
      <c r="Q64" s="48">
        <f>J64/G64-1</f>
        <v>1.2325581395348841</v>
      </c>
      <c r="T64" s="69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8">
        <f>SUM(N51:N64)</f>
        <v>509105</v>
      </c>
      <c r="O65" s="59">
        <f>SUM(O51:O64)</f>
        <v>277121.82</v>
      </c>
      <c r="P65" s="75"/>
      <c r="Q65" s="60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0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58506246.539999999</v>
      </c>
      <c r="E70" s="39">
        <f>C70*K70</f>
        <v>58506246.539999999</v>
      </c>
      <c r="F70" s="87" t="s">
        <v>156</v>
      </c>
      <c r="G70" s="87">
        <v>0.24</v>
      </c>
      <c r="H70" s="88">
        <v>0.35549999999999998</v>
      </c>
      <c r="I70" s="88">
        <v>0.42</v>
      </c>
      <c r="J70" s="89">
        <f>I70</f>
        <v>0.42</v>
      </c>
      <c r="K70" s="89">
        <f>J70</f>
        <v>0.42</v>
      </c>
      <c r="L70" s="45">
        <f>I70-H70</f>
        <v>6.4500000000000002E-2</v>
      </c>
      <c r="M70" s="45">
        <f>((I70-H70)/H70)*100</f>
        <v>18.143459915611814</v>
      </c>
      <c r="N70" s="90">
        <v>5</v>
      </c>
      <c r="O70" s="91">
        <v>2.1</v>
      </c>
      <c r="P70" s="68">
        <f>(R70)/J70</f>
        <v>0</v>
      </c>
      <c r="Q70" s="48">
        <f>J70/G70-1</f>
        <v>0.75</v>
      </c>
      <c r="T70" s="69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70702762.5</v>
      </c>
      <c r="E71" s="39">
        <f>C71*K71</f>
        <v>70702762.5</v>
      </c>
      <c r="F71" s="87" t="s">
        <v>156</v>
      </c>
      <c r="G71" s="87">
        <v>0.1</v>
      </c>
      <c r="H71" s="88">
        <v>0.1492</v>
      </c>
      <c r="I71" s="88">
        <v>0.15</v>
      </c>
      <c r="J71" s="89">
        <f>I71</f>
        <v>0.15</v>
      </c>
      <c r="K71" s="89">
        <f>J71</f>
        <v>0.15</v>
      </c>
      <c r="L71" s="45">
        <f>I71-H71</f>
        <v>7.9999999999999516E-4</v>
      </c>
      <c r="M71" s="45">
        <f>((I71-H71)/H71)*100</f>
        <v>0.53619302949061343</v>
      </c>
      <c r="N71" s="46">
        <v>3763</v>
      </c>
      <c r="O71" s="91">
        <v>564.30999999999995</v>
      </c>
      <c r="P71" s="92">
        <f>(R71)/J71</f>
        <v>2.528E-2</v>
      </c>
      <c r="Q71" s="48">
        <f>J71/G71-1</f>
        <v>0.49999999999999978</v>
      </c>
      <c r="R71" s="5">
        <v>3.7919999999999998E-3</v>
      </c>
      <c r="T71" s="69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8">
        <f>SUM(N70:N71)</f>
        <v>3768</v>
      </c>
      <c r="O72" s="59">
        <f>SUM(O70:O71)</f>
        <v>566.41</v>
      </c>
      <c r="P72" s="85"/>
      <c r="Q72" s="60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3227052.7250000001</v>
      </c>
      <c r="E74" s="39">
        <f>C74*K74</f>
        <v>3227052.7250000001</v>
      </c>
      <c r="F74" s="87" t="s">
        <v>138</v>
      </c>
      <c r="G74" s="87">
        <v>0.1394</v>
      </c>
      <c r="H74" s="88">
        <v>0.155</v>
      </c>
      <c r="I74" s="88">
        <v>0.155</v>
      </c>
      <c r="J74" s="89">
        <f>I74</f>
        <v>0.155</v>
      </c>
      <c r="K74" s="89">
        <f>J74</f>
        <v>0.155</v>
      </c>
      <c r="L74" s="45">
        <f>I74-H74</f>
        <v>0</v>
      </c>
      <c r="M74" s="45">
        <f>((I74-H74)/H74)*100</f>
        <v>0</v>
      </c>
      <c r="N74" s="90">
        <v>409</v>
      </c>
      <c r="O74" s="91">
        <v>63.4</v>
      </c>
      <c r="P74" s="68">
        <f>(R74)/J74</f>
        <v>0</v>
      </c>
      <c r="Q74" s="48">
        <f>J74/G74-1</f>
        <v>0.11190817790530838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8"/>
      <c r="O75" s="59"/>
      <c r="P75" s="85"/>
      <c r="Q75" s="60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110737.90263420147</v>
      </c>
      <c r="E77" s="39">
        <f>C77*K77</f>
        <v>99266.932426666652</v>
      </c>
      <c r="F77" s="40" t="s">
        <v>138</v>
      </c>
      <c r="G77" s="67">
        <v>0.105</v>
      </c>
      <c r="H77" s="42">
        <v>7.6499999999999999E-2</v>
      </c>
      <c r="I77" s="42">
        <v>6.5599999999999992E-2</v>
      </c>
      <c r="J77" s="43">
        <f>I77/$J$5</f>
        <v>2.4393508946765627E-3</v>
      </c>
      <c r="K77" s="44">
        <f>I77/$K$4</f>
        <v>2.1866666666666662E-3</v>
      </c>
      <c r="L77" s="45">
        <f>I77-H77</f>
        <v>-1.0900000000000007E-2</v>
      </c>
      <c r="M77" s="93">
        <f>((I77-H77)/H77)*100</f>
        <v>-14.248366013071905</v>
      </c>
      <c r="N77" s="37">
        <v>600000</v>
      </c>
      <c r="O77" s="37">
        <v>39360</v>
      </c>
      <c r="P77" s="40">
        <v>0</v>
      </c>
      <c r="Q77" s="48">
        <f>I77/G77-1</f>
        <v>-0.37523809523809526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278476.92507920455</v>
      </c>
      <c r="E78" s="39">
        <f>C78*K78</f>
        <v>249630.42866666667</v>
      </c>
      <c r="F78" s="40" t="s">
        <v>138</v>
      </c>
      <c r="G78" s="67">
        <v>4.2500000000000003E-2</v>
      </c>
      <c r="H78" s="42">
        <v>5.5E-2</v>
      </c>
      <c r="I78" s="42">
        <v>5.5E-2</v>
      </c>
      <c r="J78" s="43">
        <f>I78/$J$5</f>
        <v>2.0451874879148014E-3</v>
      </c>
      <c r="K78" s="44">
        <f>I78/$K$4</f>
        <v>1.8333333333333333E-3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0.29411764705882337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1838502.3277952138</v>
      </c>
      <c r="E79" s="39">
        <f>C79*K79</f>
        <v>1648058</v>
      </c>
      <c r="F79" s="40" t="s">
        <v>138</v>
      </c>
      <c r="G79" s="67">
        <v>6.0499999999999998E-2</v>
      </c>
      <c r="H79" s="42">
        <v>0.1</v>
      </c>
      <c r="I79" s="42">
        <v>0.1</v>
      </c>
      <c r="J79" s="43">
        <f>I79/$J$5</f>
        <v>3.7185227052996392E-3</v>
      </c>
      <c r="K79" s="44">
        <f>I79/$K$4</f>
        <v>3.3333333333333335E-3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0.65289256198347112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2372152.4519938719</v>
      </c>
      <c r="E80" s="39">
        <f>C80*K80</f>
        <v>2126429.0866666664</v>
      </c>
      <c r="F80" s="40" t="s">
        <v>138</v>
      </c>
      <c r="G80" s="67">
        <v>1.85</v>
      </c>
      <c r="H80" s="42">
        <v>1.55</v>
      </c>
      <c r="I80" s="42">
        <v>1.55</v>
      </c>
      <c r="J80" s="43">
        <f>I80/$J$5</f>
        <v>5.7637101932144399E-2</v>
      </c>
      <c r="K80" s="44">
        <f>I80/$K$4</f>
        <v>5.1666666666666666E-2</v>
      </c>
      <c r="L80" s="45">
        <f>I80-H80</f>
        <v>0</v>
      </c>
      <c r="M80" s="93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8">
        <f>SUM(N77:N80)</f>
        <v>600000</v>
      </c>
      <c r="O81" s="59">
        <f>SUM(O77:O80)</f>
        <v>39360</v>
      </c>
      <c r="P81" s="75"/>
      <c r="Q81" s="60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27392590.025434695</v>
      </c>
      <c r="E83" s="39">
        <f>C83*K83</f>
        <v>24555082.933333334</v>
      </c>
      <c r="F83" s="40" t="s">
        <v>174</v>
      </c>
      <c r="G83" s="40">
        <v>1.3</v>
      </c>
      <c r="H83" s="42">
        <v>2</v>
      </c>
      <c r="I83" s="42">
        <v>2</v>
      </c>
      <c r="J83" s="43">
        <f>I83/$J$5</f>
        <v>7.4370454105992773E-2</v>
      </c>
      <c r="K83" s="44">
        <f>I83/$K$4</f>
        <v>6.6666666666666666E-2</v>
      </c>
      <c r="L83" s="45">
        <f>I83-H83</f>
        <v>0</v>
      </c>
      <c r="M83" s="45">
        <f>((I83-H83)/H83*100)</f>
        <v>0</v>
      </c>
      <c r="N83" s="50">
        <v>0</v>
      </c>
      <c r="O83" s="37">
        <v>0</v>
      </c>
      <c r="P83" s="50">
        <f>(R83)/J83</f>
        <v>0</v>
      </c>
      <c r="Q83" s="48">
        <f>I83/G83-1</f>
        <v>0.53846153846153832</v>
      </c>
      <c r="R83" s="69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78702644.95600988</v>
      </c>
      <c r="E84" s="39">
        <f>C84*K84</f>
        <v>70550100.307166666</v>
      </c>
      <c r="F84" s="40" t="s">
        <v>174</v>
      </c>
      <c r="G84" s="40">
        <v>1.44347</v>
      </c>
      <c r="H84" s="42">
        <v>1.1508510000000001</v>
      </c>
      <c r="I84" s="42">
        <v>1.149583</v>
      </c>
      <c r="J84" s="43">
        <f>I84/$J$5</f>
        <v>4.2747504871264747E-2</v>
      </c>
      <c r="K84" s="44">
        <f>I84/$K$4</f>
        <v>3.8319433333333333E-2</v>
      </c>
      <c r="L84" s="45">
        <f>I84-H84</f>
        <v>-1.2680000000000469E-3</v>
      </c>
      <c r="M84" s="45">
        <f>((I84-H84)/H84*100)</f>
        <v>-0.11017933685594807</v>
      </c>
      <c r="N84" s="50">
        <v>33200</v>
      </c>
      <c r="O84" s="37">
        <v>38166.15</v>
      </c>
      <c r="P84" s="47">
        <f>(R84)/J84</f>
        <v>5.0903555811107157E-2</v>
      </c>
      <c r="Q84" s="48">
        <f>I84/G84-1</f>
        <v>-0.20359758082952883</v>
      </c>
      <c r="R84" s="69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8">
        <f>SUM(N83:N84)</f>
        <v>33200</v>
      </c>
      <c r="O85" s="59">
        <f>SUM(O83:O84)</f>
        <v>38166.15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6"/>
      <c r="M86" s="108"/>
      <c r="N86" s="108"/>
      <c r="O86" s="56"/>
      <c r="P86" s="56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37</v>
      </c>
      <c r="B88" s="110">
        <v>0.21979199999999999</v>
      </c>
      <c r="D88" s="110">
        <v>9.8602954039936996</v>
      </c>
      <c r="E88" s="35" t="s">
        <v>86</v>
      </c>
      <c r="F88" s="111">
        <v>1.2324999999999999</v>
      </c>
      <c r="H88" s="112">
        <v>-2.8571428571428661</v>
      </c>
      <c r="L88" s="35" t="s">
        <v>147</v>
      </c>
      <c r="M88" s="50">
        <v>9.6000000000000002E-2</v>
      </c>
      <c r="N88" s="113">
        <v>20</v>
      </c>
      <c r="O88" s="35" t="s">
        <v>122</v>
      </c>
      <c r="P88" s="111">
        <v>58.158799999999999</v>
      </c>
      <c r="Q88" s="114">
        <v>-13.490984491719299</v>
      </c>
    </row>
    <row r="89" spans="1:243" x14ac:dyDescent="0.25">
      <c r="A89" s="35" t="s">
        <v>117</v>
      </c>
      <c r="B89" s="110">
        <v>1.19</v>
      </c>
      <c r="D89" s="110">
        <v>8.0656966786598261</v>
      </c>
      <c r="E89" s="35" t="s">
        <v>99</v>
      </c>
      <c r="F89" s="111">
        <v>0.14336199999999999</v>
      </c>
      <c r="H89" s="112">
        <v>-1.8310553562135428</v>
      </c>
      <c r="L89" s="35" t="s">
        <v>128</v>
      </c>
      <c r="M89" s="50">
        <v>0.1275</v>
      </c>
      <c r="N89" s="113">
        <v>14.761476147614758</v>
      </c>
      <c r="O89" s="35" t="s">
        <v>139</v>
      </c>
      <c r="P89" s="111">
        <v>1.1194</v>
      </c>
      <c r="Q89" s="114">
        <v>-1.9532276429885247</v>
      </c>
    </row>
    <row r="90" spans="1:243" x14ac:dyDescent="0.25">
      <c r="A90" s="35" t="s">
        <v>72</v>
      </c>
      <c r="B90" s="110">
        <v>1.312292</v>
      </c>
      <c r="C90" s="110"/>
      <c r="D90" s="110">
        <v>4.1501587301587302</v>
      </c>
      <c r="E90" s="35" t="s">
        <v>52</v>
      </c>
      <c r="F90" s="111">
        <v>30.2425</v>
      </c>
      <c r="H90" s="112">
        <v>-1.7264686194100229</v>
      </c>
      <c r="L90" s="35" t="s">
        <v>124</v>
      </c>
      <c r="M90" s="50">
        <v>0.26779999999999998</v>
      </c>
      <c r="N90" s="113">
        <v>8.4210526315789416</v>
      </c>
      <c r="O90" s="35" t="s">
        <v>141</v>
      </c>
      <c r="P90" s="111">
        <v>0.31</v>
      </c>
      <c r="Q90" s="114">
        <v>-1.9297690604239148</v>
      </c>
    </row>
    <row r="91" spans="1:243" x14ac:dyDescent="0.25">
      <c r="A91" s="35" t="s">
        <v>97</v>
      </c>
      <c r="B91" s="110">
        <v>5.6465560000000004</v>
      </c>
      <c r="C91" s="110"/>
      <c r="D91" s="110">
        <v>2.5386811148558035</v>
      </c>
      <c r="E91" s="35" t="s">
        <v>40</v>
      </c>
      <c r="F91" s="111">
        <v>185.93919999999997</v>
      </c>
      <c r="G91" s="111"/>
      <c r="H91" s="112">
        <v>-0.78824436482382398</v>
      </c>
      <c r="L91" s="35" t="s">
        <v>120</v>
      </c>
      <c r="M91" s="50">
        <v>0.13100000000000001</v>
      </c>
      <c r="N91" s="113">
        <v>6.5907241659886164</v>
      </c>
      <c r="O91" s="35" t="s">
        <v>143</v>
      </c>
      <c r="P91" s="111">
        <v>0.63560000000000005</v>
      </c>
      <c r="Q91" s="114">
        <v>-0.31367628607275577</v>
      </c>
    </row>
    <row r="92" spans="1:243" x14ac:dyDescent="0.25">
      <c r="A92" s="35" t="s">
        <v>45</v>
      </c>
      <c r="B92" s="110">
        <v>16.05</v>
      </c>
      <c r="C92" s="110"/>
      <c r="D92" s="110">
        <v>6.8540523026561885E-3</v>
      </c>
      <c r="E92" s="35" t="s">
        <v>101</v>
      </c>
      <c r="F92" s="111">
        <v>6.3</v>
      </c>
      <c r="G92" s="111"/>
      <c r="H92" s="112">
        <v>-0.47393364928910348</v>
      </c>
      <c r="L92" s="35" t="s">
        <v>134</v>
      </c>
      <c r="M92" s="50">
        <v>0.02</v>
      </c>
      <c r="N92" s="113">
        <v>0.50251256281406731</v>
      </c>
      <c r="O92" s="35"/>
      <c r="P92" s="111"/>
      <c r="Q92" s="114"/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TKW9LFOr9LAUEjs1G0NB9eU9WnuvEBK4xCjfAEYZjYpcj3+ooRd1+LJCyO9F7Ah/xtGacmf40nSakt0Me5wlVg==" saltValue="qKXjZ2R8uNkuztTPB9HXHA==" spinCount="100000" sheet="1"/>
  <sortState xmlns:xlrd2="http://schemas.microsoft.com/office/spreadsheetml/2017/richdata2" ref="A9:II47">
    <sortCondition ref="A9:A47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1:A92">
    <cfRule type="duplicateValues" dxfId="38" priority="47" stopIfTrue="1"/>
  </conditionalFormatting>
  <conditionalFormatting sqref="L9:M26 L28:M47 L51:M64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7 L51:M64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7 Q51:Q64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0:Q71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2026-05-28T13:47:40Z</dcterms:created>
  <dcterms:modified xsi:type="dcterms:W3CDTF">2026-05-28T13:54:38Z</dcterms:modified>
</cp:coreProperties>
</file>