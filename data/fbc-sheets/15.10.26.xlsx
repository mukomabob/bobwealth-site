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ANALYSIS CORNER/PRICE SHEET SYSTEM/15.10.26/"/>
    </mc:Choice>
  </mc:AlternateContent>
  <xr:revisionPtr revIDLastSave="4" documentId="8_{3B02D4F3-4F09-4C4E-80C9-545EADD5C4C4}" xr6:coauthVersionLast="47" xr6:coauthVersionMax="47" xr10:uidLastSave="{9CCBB5AE-BCD4-4ABB-9CAB-CF648A38B9F3}"/>
  <bookViews>
    <workbookView xWindow="-120" yWindow="-120" windowWidth="29040" windowHeight="15720" xr2:uid="{C3610F3C-023E-4A65-9D00-7F8749C2AAD0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O73" i="1"/>
  <c r="N73" i="1"/>
  <c r="Q72" i="1"/>
  <c r="P72" i="1"/>
  <c r="M72" i="1"/>
  <c r="L72" i="1"/>
  <c r="K72" i="1"/>
  <c r="J72" i="1"/>
  <c r="E72" i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M63" i="1"/>
  <c r="L63" i="1"/>
  <c r="J63" i="1"/>
  <c r="Q63" i="1" s="1"/>
  <c r="D63" i="1"/>
  <c r="Q62" i="1"/>
  <c r="M62" i="1"/>
  <c r="L62" i="1"/>
  <c r="J62" i="1"/>
  <c r="P62" i="1" s="1"/>
  <c r="M61" i="1"/>
  <c r="L61" i="1"/>
  <c r="J61" i="1"/>
  <c r="Q61" i="1" s="1"/>
  <c r="D61" i="1"/>
  <c r="Q60" i="1"/>
  <c r="M60" i="1"/>
  <c r="L60" i="1"/>
  <c r="J60" i="1"/>
  <c r="P60" i="1" s="1"/>
  <c r="M59" i="1"/>
  <c r="L59" i="1"/>
  <c r="J59" i="1"/>
  <c r="Q59" i="1" s="1"/>
  <c r="D59" i="1"/>
  <c r="Q58" i="1"/>
  <c r="M58" i="1"/>
  <c r="L58" i="1"/>
  <c r="J58" i="1"/>
  <c r="P58" i="1" s="1"/>
  <c r="M57" i="1"/>
  <c r="L57" i="1"/>
  <c r="J57" i="1"/>
  <c r="Q57" i="1" s="1"/>
  <c r="D57" i="1"/>
  <c r="Q56" i="1"/>
  <c r="M56" i="1"/>
  <c r="L56" i="1"/>
  <c r="J56" i="1"/>
  <c r="P56" i="1" s="1"/>
  <c r="M55" i="1"/>
  <c r="L55" i="1"/>
  <c r="J55" i="1"/>
  <c r="Q55" i="1" s="1"/>
  <c r="D55" i="1"/>
  <c r="Q54" i="1"/>
  <c r="M54" i="1"/>
  <c r="L54" i="1"/>
  <c r="J54" i="1"/>
  <c r="P54" i="1" s="1"/>
  <c r="L53" i="1"/>
  <c r="J53" i="1"/>
  <c r="P53" i="1" s="1"/>
  <c r="D53" i="1"/>
  <c r="Q52" i="1"/>
  <c r="M52" i="1"/>
  <c r="L52" i="1"/>
  <c r="J52" i="1"/>
  <c r="D52" i="1" s="1"/>
  <c r="Q51" i="1"/>
  <c r="P51" i="1"/>
  <c r="M51" i="1"/>
  <c r="L51" i="1"/>
  <c r="J51" i="1"/>
  <c r="D51" i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E44" i="1" s="1"/>
  <c r="J44" i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E41" i="1" s="1"/>
  <c r="J41" i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D37" i="1" s="1"/>
  <c r="Q36" i="1"/>
  <c r="P36" i="1"/>
  <c r="M36" i="1"/>
  <c r="L36" i="1"/>
  <c r="K36" i="1"/>
  <c r="J36" i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P33" i="1"/>
  <c r="M33" i="1"/>
  <c r="L33" i="1"/>
  <c r="K33" i="1"/>
  <c r="J33" i="1"/>
  <c r="E33" i="1"/>
  <c r="D33" i="1"/>
  <c r="Q32" i="1"/>
  <c r="P32" i="1"/>
  <c r="M32" i="1"/>
  <c r="L32" i="1"/>
  <c r="K32" i="1"/>
  <c r="E32" i="1" s="1"/>
  <c r="J32" i="1"/>
  <c r="D32" i="1" s="1"/>
  <c r="Q31" i="1"/>
  <c r="M31" i="1"/>
  <c r="L31" i="1"/>
  <c r="K31" i="1"/>
  <c r="E31" i="1" s="1"/>
  <c r="J31" i="1"/>
  <c r="D31" i="1" s="1"/>
  <c r="K30" i="1"/>
  <c r="E30" i="1" s="1"/>
  <c r="J30" i="1"/>
  <c r="D30" i="1" s="1"/>
  <c r="Q29" i="1"/>
  <c r="M29" i="1"/>
  <c r="L29" i="1"/>
  <c r="K29" i="1"/>
  <c r="E29" i="1" s="1"/>
  <c r="J29" i="1"/>
  <c r="D29" i="1" s="1"/>
  <c r="Q28" i="1"/>
  <c r="P28" i="1"/>
  <c r="M28" i="1"/>
  <c r="L28" i="1"/>
  <c r="K28" i="1"/>
  <c r="J28" i="1"/>
  <c r="E28" i="1"/>
  <c r="D28" i="1"/>
  <c r="Q27" i="1"/>
  <c r="P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P25" i="1"/>
  <c r="M25" i="1"/>
  <c r="L25" i="1"/>
  <c r="K25" i="1"/>
  <c r="J25" i="1"/>
  <c r="E25" i="1"/>
  <c r="D25" i="1"/>
  <c r="R24" i="1"/>
  <c r="P24" i="1" s="1"/>
  <c r="Q24" i="1"/>
  <c r="M24" i="1"/>
  <c r="L24" i="1"/>
  <c r="K24" i="1"/>
  <c r="E24" i="1" s="1"/>
  <c r="J24" i="1"/>
  <c r="D24" i="1"/>
  <c r="Q23" i="1"/>
  <c r="P23" i="1"/>
  <c r="M23" i="1"/>
  <c r="L23" i="1"/>
  <c r="K23" i="1"/>
  <c r="E23" i="1" s="1"/>
  <c r="J23" i="1"/>
  <c r="D23" i="1"/>
  <c r="Q22" i="1"/>
  <c r="L22" i="1"/>
  <c r="K22" i="1"/>
  <c r="J22" i="1"/>
  <c r="E22" i="1"/>
  <c r="D22" i="1"/>
  <c r="Q21" i="1"/>
  <c r="P21" i="1"/>
  <c r="M21" i="1"/>
  <c r="L21" i="1"/>
  <c r="K21" i="1"/>
  <c r="J21" i="1"/>
  <c r="D21" i="1" s="1"/>
  <c r="E21" i="1"/>
  <c r="Q20" i="1"/>
  <c r="M20" i="1"/>
  <c r="L20" i="1"/>
  <c r="K20" i="1"/>
  <c r="J20" i="1"/>
  <c r="D20" i="1" s="1"/>
  <c r="E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E17" i="1" s="1"/>
  <c r="J17" i="1"/>
  <c r="D17" i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E11" i="1" s="1"/>
  <c r="J11" i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P9" i="1" s="1"/>
  <c r="E9" i="1"/>
  <c r="D9" i="1"/>
  <c r="K71" i="1" l="1"/>
  <c r="E71" i="1" s="1"/>
  <c r="P26" i="1"/>
  <c r="P29" i="1"/>
  <c r="P31" i="1"/>
  <c r="P34" i="1"/>
  <c r="P20" i="1"/>
  <c r="P55" i="1"/>
  <c r="P57" i="1"/>
  <c r="P59" i="1"/>
  <c r="P61" i="1"/>
  <c r="P63" i="1"/>
  <c r="P65" i="1"/>
  <c r="P71" i="1"/>
  <c r="D75" i="1"/>
  <c r="D54" i="1"/>
  <c r="D56" i="1"/>
  <c r="D58" i="1"/>
  <c r="D60" i="1"/>
  <c r="D62" i="1"/>
  <c r="D64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<sst xmlns="http://schemas.openxmlformats.org/spreadsheetml/2006/main" count="273" uniqueCount="185">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</sst>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302380A9-55B2-44EB-9FB6-8F413E4996D7}"/>
    <cellStyle name="Comma 5 2 2 2 2 2 2 2 2 2 2 2 2 2" xfId="4" xr:uid="{B6028144-52E0-4FB6-AD16-6E0069E2008E}"/>
    <cellStyle name="Comma 6 2 2 2 2 2 2 2 2" xfId="6" xr:uid="{DAB5FD67-7723-4308-9980-4815606A42A3}"/>
    <cellStyle name="Hyperlink 2" xfId="8" xr:uid="{37318C00-B2CB-4D9D-8DBB-28E8AF332B4A}"/>
    <cellStyle name="Normal" xfId="0" builtinId="0"/>
    <cellStyle name="Normal 2" xfId="2" xr:uid="{CAF3385D-51FC-4749-96B9-802B7EDAE7C6}"/>
    <cellStyle name="Normal 20" xfId="7" xr:uid="{A03F90F6-9EBA-4019-A1FF-3E64EC3CEFB7}"/>
    <cellStyle name="Percent" xfId="1" builtinId="5"/>
    <cellStyle name="Percent 3" xfId="5" xr:uid="{3F8A8DD5-6F95-41C5-9755-4A0CB38ADF3B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5121954-EA2A-48BC-9AD5-8AB9B019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078DF77-78D8-41CB-B11E-0F8688FAD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A2B7-7A34-42AE-8086-EC1025234AB6}">
  <dimension ref="A1:II107"/>
  <sheetViews>
    <sheetView tabSelected="1" topLeftCell="A29" zoomScale="70" zoomScaleNormal="70" workbookViewId="0">
      <selection activeCell="O60" sqref="O60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26.609400000000001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85256334.302915514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0.67645268213488463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2.21745E-2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8199359.8215241618</v>
      </c>
      <c r="E10" s="39">
        <f t="shared" si="1"/>
        <v>6818126.4135895325</v>
      </c>
      <c r="F10" s="40" t="s">
        <v>34</v>
      </c>
      <c r="G10" s="41">
        <v>3.1600000000000003E-2</v>
      </c>
      <c r="H10" s="42">
        <v>0.13400000000000001</v>
      </c>
      <c r="I10" s="43">
        <v>0.13406700000000002</v>
      </c>
      <c r="J10" s="44">
        <f t="shared" ref="J10:J17" si="7">I10/$J$5</f>
        <v>5.0383323186543108E-3</v>
      </c>
      <c r="K10" s="45">
        <f t="shared" si="2"/>
        <v>4.1895937500000006E-3</v>
      </c>
      <c r="L10" s="46">
        <f t="shared" si="3"/>
        <v>6.7000000000011495E-5</v>
      </c>
      <c r="M10" s="46">
        <f t="shared" si="4"/>
        <v>5.0000000000008579E-2</v>
      </c>
      <c r="N10" s="50">
        <v>15700</v>
      </c>
      <c r="O10" s="37">
        <v>2104.85</v>
      </c>
      <c r="P10" s="51">
        <f t="shared" si="5"/>
        <v>0</v>
      </c>
      <c r="Q10" s="48">
        <f t="shared" si="6"/>
        <v>3.242626582278481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3456813.5346719585</v>
      </c>
      <c r="E11" s="39">
        <f t="shared" si="1"/>
        <v>2874491.6896718754</v>
      </c>
      <c r="F11" s="40" t="s">
        <v>39</v>
      </c>
      <c r="G11" s="41">
        <v>7.8E-2</v>
      </c>
      <c r="H11" s="42">
        <v>0.21050000000000002</v>
      </c>
      <c r="I11" s="43">
        <v>0.21050000000000002</v>
      </c>
      <c r="J11" s="44">
        <f t="shared" si="7"/>
        <v>7.9107383105218466E-3</v>
      </c>
      <c r="K11" s="45">
        <f t="shared" si="2"/>
        <v>6.5781250000000006E-3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1.6987179487179489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147330200.22999391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7.1403338669793381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9848145.3922298122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1.1274211368914744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667434687.76823223</v>
      </c>
      <c r="E14" s="39">
        <f t="shared" si="1"/>
        <v>555001143.1468749</v>
      </c>
      <c r="F14" s="40" t="s">
        <v>47</v>
      </c>
      <c r="G14" s="41">
        <v>11.5</v>
      </c>
      <c r="H14" s="42">
        <v>34</v>
      </c>
      <c r="I14" s="43">
        <v>33.979999999999997</v>
      </c>
      <c r="J14" s="44">
        <f t="shared" si="7"/>
        <v>1.27699234105241</v>
      </c>
      <c r="K14" s="45">
        <f t="shared" si="2"/>
        <v>1.0618749999999999</v>
      </c>
      <c r="L14" s="46">
        <f t="shared" si="3"/>
        <v>-2.0000000000003126E-2</v>
      </c>
      <c r="M14" s="46">
        <f t="shared" si="4"/>
        <v>-5.8823529411773906E-2</v>
      </c>
      <c r="N14" s="50">
        <v>3000</v>
      </c>
      <c r="O14" s="37">
        <v>101940</v>
      </c>
      <c r="P14" s="51">
        <f t="shared" si="5"/>
        <v>0</v>
      </c>
      <c r="Q14" s="48">
        <f t="shared" si="6"/>
        <v>1.9547826086956519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31601770.004209034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0.29801498718497971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81029368.0242019</v>
      </c>
      <c r="E16" s="39">
        <f t="shared" si="1"/>
        <v>67379464.546974942</v>
      </c>
      <c r="F16" s="40" t="s">
        <v>34</v>
      </c>
      <c r="G16" s="41">
        <v>1.9</v>
      </c>
      <c r="H16" s="42">
        <v>6.02</v>
      </c>
      <c r="I16" s="43">
        <v>6.0227310000000003</v>
      </c>
      <c r="J16" s="44">
        <f t="shared" si="7"/>
        <v>0.22633847437371757</v>
      </c>
      <c r="K16" s="45">
        <f t="shared" si="2"/>
        <v>0.18821034375000001</v>
      </c>
      <c r="L16" s="46">
        <f t="shared" si="3"/>
        <v>2.7310000000007051E-3</v>
      </c>
      <c r="M16" s="46">
        <f t="shared" si="4"/>
        <v>4.5365448504995104E-2</v>
      </c>
      <c r="N16" s="50">
        <v>1300</v>
      </c>
      <c r="O16" s="37">
        <v>7829.55</v>
      </c>
      <c r="P16" s="51">
        <f t="shared" si="5"/>
        <v>0.22090808970216336</v>
      </c>
      <c r="Q16" s="48">
        <f t="shared" si="6"/>
        <v>2.1698584210526319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1647584977.0402751</v>
      </c>
      <c r="E17" s="39">
        <f t="shared" si="1"/>
        <v>1370038990.2517345</v>
      </c>
      <c r="F17" s="40" t="s">
        <v>34</v>
      </c>
      <c r="G17" s="41">
        <v>20.701700000000002</v>
      </c>
      <c r="H17" s="42">
        <v>32.542400000000001</v>
      </c>
      <c r="I17" s="43">
        <v>32.5289</v>
      </c>
      <c r="J17" s="44">
        <f t="shared" si="7"/>
        <v>1.2224589806609694</v>
      </c>
      <c r="K17" s="45">
        <f t="shared" si="2"/>
        <v>1.016528125</v>
      </c>
      <c r="L17" s="46">
        <f t="shared" si="3"/>
        <v>-1.3500000000000512E-2</v>
      </c>
      <c r="M17" s="46">
        <f t="shared" si="4"/>
        <v>-4.1484340429717881E-2</v>
      </c>
      <c r="N17" s="50">
        <v>25300</v>
      </c>
      <c r="O17" s="37">
        <v>822980.6</v>
      </c>
      <c r="P17" s="47">
        <f t="shared" si="5"/>
        <v>0</v>
      </c>
      <c r="Q17" s="48">
        <f t="shared" si="6"/>
        <v>0.57131539921842145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339469888.97358447</v>
      </c>
      <c r="E19" s="39">
        <f t="shared" si="1"/>
        <v>282284064.48917812</v>
      </c>
      <c r="F19" s="40" t="s">
        <v>47</v>
      </c>
      <c r="G19" s="41">
        <v>12.45</v>
      </c>
      <c r="H19" s="42">
        <v>13.45</v>
      </c>
      <c r="I19" s="43">
        <v>13.443099999999999</v>
      </c>
      <c r="J19" s="44">
        <f t="shared" ref="J19:J45" si="8">I19/$J$5</f>
        <v>0.50520116951152594</v>
      </c>
      <c r="K19" s="45">
        <f t="shared" ref="K19:K45" si="9">I19/$K$4</f>
        <v>0.42009687499999998</v>
      </c>
      <c r="L19" s="46">
        <f t="shared" ref="L19:L29" si="10">I19-H19</f>
        <v>-6.8999999999999062E-3</v>
      </c>
      <c r="M19" s="46">
        <f>((I19-H19)/H19)*100</f>
        <v>-5.1301115241634991E-2</v>
      </c>
      <c r="N19" s="50">
        <v>2900</v>
      </c>
      <c r="O19" s="37">
        <v>38985</v>
      </c>
      <c r="P19" s="51">
        <f>(R19)/J19</f>
        <v>0</v>
      </c>
      <c r="Q19" s="48">
        <f t="shared" ref="Q19:Q29" si="11">I19/G19-1</f>
        <v>7.9767068273092434E-2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3806875.0377686084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3.495005524363571E-2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90776218.554345444</v>
      </c>
      <c r="E21" s="39">
        <f t="shared" si="1"/>
        <v>75484397.1875</v>
      </c>
      <c r="F21" s="40" t="s">
        <v>47</v>
      </c>
      <c r="G21" s="41">
        <v>2.85</v>
      </c>
      <c r="H21" s="42">
        <v>3.45</v>
      </c>
      <c r="I21" s="43">
        <v>3.5</v>
      </c>
      <c r="J21" s="44">
        <f t="shared" si="8"/>
        <v>0.131532465970672</v>
      </c>
      <c r="K21" s="45">
        <f t="shared" si="9"/>
        <v>0.109375</v>
      </c>
      <c r="L21" s="46">
        <f t="shared" si="10"/>
        <v>4.9999999999999822E-2</v>
      </c>
      <c r="M21" s="46">
        <f>((I21-H21)/H21)*100</f>
        <v>1.4492753623188355</v>
      </c>
      <c r="N21" s="50">
        <v>500</v>
      </c>
      <c r="O21" s="37">
        <v>1750</v>
      </c>
      <c r="P21" s="51">
        <f>(R21)/J21</f>
        <v>0</v>
      </c>
      <c r="Q21" s="48">
        <f t="shared" si="11"/>
        <v>0.22807017543859653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2248439.7041834844</v>
      </c>
      <c r="E23" s="39">
        <f t="shared" si="1"/>
        <v>1869675.9832656251</v>
      </c>
      <c r="F23" s="40" t="s">
        <v>44</v>
      </c>
      <c r="G23" s="41">
        <v>0.1</v>
      </c>
      <c r="H23" s="42">
        <v>0.1115</v>
      </c>
      <c r="I23" s="43">
        <v>0.1115</v>
      </c>
      <c r="J23" s="44">
        <f t="shared" si="8"/>
        <v>4.1902485587799803E-3</v>
      </c>
      <c r="K23" s="45">
        <f t="shared" si="9"/>
        <v>3.4843750000000001E-3</v>
      </c>
      <c r="L23" s="46">
        <f t="shared" si="10"/>
        <v>0</v>
      </c>
      <c r="M23" s="46">
        <f t="shared" ref="M23:M29" si="12">((I23-H23)/H23)*100</f>
        <v>0</v>
      </c>
      <c r="N23" s="50">
        <v>1000</v>
      </c>
      <c r="O23" s="37">
        <v>111.5</v>
      </c>
      <c r="P23" s="51">
        <f t="shared" ref="P23:P29" si="13">(R23)/J23</f>
        <v>0</v>
      </c>
      <c r="Q23" s="48">
        <f t="shared" si="11"/>
        <v>0.11499999999999999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72538487.90277119</v>
      </c>
      <c r="E24" s="39">
        <f t="shared" si="1"/>
        <v>60318926.25</v>
      </c>
      <c r="F24" s="40" t="s">
        <v>34</v>
      </c>
      <c r="G24" s="41">
        <v>8.1687659999999997</v>
      </c>
      <c r="H24" s="42">
        <v>10</v>
      </c>
      <c r="I24" s="43">
        <v>10</v>
      </c>
      <c r="J24" s="44">
        <f t="shared" si="8"/>
        <v>0.37580704563049144</v>
      </c>
      <c r="K24" s="45">
        <f t="shared" si="9"/>
        <v>0.3125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3.9914100000000001E-2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104643983.51146586</v>
      </c>
      <c r="E25" s="39">
        <f t="shared" si="1"/>
        <v>87016050.464062497</v>
      </c>
      <c r="F25" s="40" t="s">
        <v>66</v>
      </c>
      <c r="G25" s="41">
        <v>1.6675</v>
      </c>
      <c r="H25" s="42">
        <v>1.65</v>
      </c>
      <c r="I25" s="43">
        <v>1.65</v>
      </c>
      <c r="J25" s="44">
        <f t="shared" si="8"/>
        <v>6.2008162529031088E-2</v>
      </c>
      <c r="K25" s="45">
        <f t="shared" si="9"/>
        <v>5.1562499999999997E-2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-1.0494752623688153E-2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23660462.896946188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2.63</v>
      </c>
      <c r="I26" s="43">
        <v>2.63</v>
      </c>
      <c r="J26" s="44">
        <f t="shared" si="8"/>
        <v>9.8837253000819247E-2</v>
      </c>
      <c r="K26" s="45">
        <f t="shared" si="9"/>
        <v>8.2187499999999997E-2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24070626.465478368</v>
      </c>
      <c r="E27" s="39">
        <f t="shared" si="1"/>
        <v>20015778.995953128</v>
      </c>
      <c r="F27" s="40" t="s">
        <v>34</v>
      </c>
      <c r="G27" s="41">
        <v>3.1361369999999997</v>
      </c>
      <c r="H27" s="42">
        <v>2.5</v>
      </c>
      <c r="I27" s="43">
        <v>2.5005000000000002</v>
      </c>
      <c r="J27" s="44">
        <f t="shared" si="8"/>
        <v>9.3970551759904403E-2</v>
      </c>
      <c r="K27" s="45">
        <f t="shared" si="9"/>
        <v>7.8140625000000005E-2</v>
      </c>
      <c r="L27" s="46">
        <f t="shared" si="10"/>
        <v>5.0000000000016698E-4</v>
      </c>
      <c r="M27" s="46">
        <f t="shared" si="12"/>
        <v>2.0000000000006679E-2</v>
      </c>
      <c r="N27" s="50">
        <v>30900</v>
      </c>
      <c r="O27" s="37">
        <v>77265.45</v>
      </c>
      <c r="P27" s="51">
        <f t="shared" si="13"/>
        <v>0</v>
      </c>
      <c r="Q27" s="48">
        <f t="shared" si="11"/>
        <v>-0.20268151550777269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28539776.977496669</v>
      </c>
      <c r="E28" s="39">
        <f t="shared" si="1"/>
        <v>23732073.172031246</v>
      </c>
      <c r="F28" s="40" t="s">
        <v>44</v>
      </c>
      <c r="G28" s="41">
        <v>0.8</v>
      </c>
      <c r="H28" s="42">
        <v>1.0049999999999999</v>
      </c>
      <c r="I28" s="43">
        <v>1.0049999999999999</v>
      </c>
      <c r="J28" s="44">
        <f t="shared" si="8"/>
        <v>3.7768608085864387E-2</v>
      </c>
      <c r="K28" s="45">
        <f t="shared" si="9"/>
        <v>3.1406249999999997E-2</v>
      </c>
      <c r="L28" s="46">
        <f t="shared" si="10"/>
        <v>0</v>
      </c>
      <c r="M28" s="46">
        <f t="shared" si="12"/>
        <v>0</v>
      </c>
      <c r="N28" s="50">
        <v>200</v>
      </c>
      <c r="O28" s="37">
        <v>201</v>
      </c>
      <c r="P28" s="51">
        <f t="shared" si="13"/>
        <v>0</v>
      </c>
      <c r="Q28" s="48">
        <f t="shared" si="11"/>
        <v>0.25624999999999987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124789165.70974144</v>
      </c>
      <c r="E29" s="39">
        <f t="shared" si="1"/>
        <v>103767650.81364982</v>
      </c>
      <c r="F29" s="40" t="s">
        <v>47</v>
      </c>
      <c r="G29" s="41">
        <v>5.15</v>
      </c>
      <c r="H29" s="42">
        <v>7.1</v>
      </c>
      <c r="I29" s="43">
        <v>7.3933330000000002</v>
      </c>
      <c r="J29" s="44">
        <f t="shared" si="8"/>
        <v>0.27784666320924184</v>
      </c>
      <c r="K29" s="45">
        <f t="shared" si="9"/>
        <v>0.23104165625</v>
      </c>
      <c r="L29" s="46">
        <f t="shared" si="10"/>
        <v>0.29333300000000051</v>
      </c>
      <c r="M29" s="46">
        <f t="shared" si="12"/>
        <v>4.1314507042253599</v>
      </c>
      <c r="N29" s="50">
        <v>1500</v>
      </c>
      <c r="O29" s="37">
        <v>11090</v>
      </c>
      <c r="P29" s="51">
        <f t="shared" si="13"/>
        <v>0</v>
      </c>
      <c r="Q29" s="48">
        <f t="shared" si="11"/>
        <v>0.43559864077669896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13184042.650341609</v>
      </c>
      <c r="E31" s="39">
        <f t="shared" si="1"/>
        <v>10963108.265625</v>
      </c>
      <c r="F31" s="40" t="s">
        <v>39</v>
      </c>
      <c r="G31" s="41">
        <v>1.4</v>
      </c>
      <c r="H31" s="42">
        <v>1.3625</v>
      </c>
      <c r="I31" s="43">
        <v>1.35</v>
      </c>
      <c r="J31" s="44">
        <f t="shared" si="8"/>
        <v>5.073395116011635E-2</v>
      </c>
      <c r="K31" s="45">
        <f t="shared" si="9"/>
        <v>4.2187500000000003E-2</v>
      </c>
      <c r="L31" s="46">
        <f t="shared" ref="L31:L45" si="14">I31-H31</f>
        <v>-1.2499999999999956E-2</v>
      </c>
      <c r="M31" s="46">
        <f t="shared" ref="M31:M45" si="15">((I31-H31)/H31)*100</f>
        <v>-0.91743119266054718</v>
      </c>
      <c r="N31" s="50">
        <v>200</v>
      </c>
      <c r="O31" s="37">
        <v>270</v>
      </c>
      <c r="P31" s="51">
        <f t="shared" ref="P31:P36" si="16">(R31)/J31</f>
        <v>0</v>
      </c>
      <c r="Q31" s="48">
        <f t="shared" ref="Q31:Q45" si="17">I31/G31-1</f>
        <v>-3.5714285714285587E-2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4127358.1140499227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3.3822634106744236E-2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1000</v>
      </c>
      <c r="O32" s="37">
        <v>900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103395185.01572753</v>
      </c>
      <c r="E33" s="39">
        <f t="shared" si="1"/>
        <v>85977619.879921883</v>
      </c>
      <c r="F33" s="40" t="s">
        <v>92</v>
      </c>
      <c r="G33" s="41">
        <v>1.44</v>
      </c>
      <c r="H33" s="42">
        <v>1.100611</v>
      </c>
      <c r="I33" s="43">
        <v>1.1025</v>
      </c>
      <c r="J33" s="44">
        <f t="shared" si="8"/>
        <v>4.1432726780761688E-2</v>
      </c>
      <c r="K33" s="45">
        <f t="shared" si="9"/>
        <v>3.4453125000000001E-2</v>
      </c>
      <c r="L33" s="46">
        <f t="shared" si="14"/>
        <v>1.8890000000000295E-3</v>
      </c>
      <c r="M33" s="46">
        <f t="shared" si="15"/>
        <v>0.17163193898662013</v>
      </c>
      <c r="N33" s="50">
        <v>500</v>
      </c>
      <c r="O33" s="37">
        <v>551.25</v>
      </c>
      <c r="P33" s="51">
        <f t="shared" si="16"/>
        <v>0</v>
      </c>
      <c r="Q33" s="48">
        <f t="shared" si="17"/>
        <v>-0.234375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38105779.611716159</v>
      </c>
      <c r="E34" s="39">
        <f t="shared" si="1"/>
        <v>31686622.875</v>
      </c>
      <c r="F34" s="40" t="s">
        <v>34</v>
      </c>
      <c r="G34" s="41">
        <v>3.6056249999999999</v>
      </c>
      <c r="H34" s="42">
        <v>4.0234620000000003</v>
      </c>
      <c r="I34" s="43">
        <v>4</v>
      </c>
      <c r="J34" s="44">
        <f t="shared" si="8"/>
        <v>0.15032281825219659</v>
      </c>
      <c r="K34" s="45">
        <f t="shared" si="9"/>
        <v>0.125</v>
      </c>
      <c r="L34" s="46">
        <f t="shared" si="14"/>
        <v>-2.3462000000000316E-2</v>
      </c>
      <c r="M34" s="46">
        <f t="shared" si="15"/>
        <v>-0.5831296530202178</v>
      </c>
      <c r="N34" s="50">
        <v>2100</v>
      </c>
      <c r="O34" s="37">
        <v>8400</v>
      </c>
      <c r="P34" s="51">
        <f t="shared" si="16"/>
        <v>0</v>
      </c>
      <c r="Q34" s="48">
        <f t="shared" si="17"/>
        <v>0.10937770844167094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10642757.017124474</v>
      </c>
      <c r="E35" s="39">
        <f t="shared" si="1"/>
        <v>8849918.0803584997</v>
      </c>
      <c r="F35" s="40" t="s">
        <v>34</v>
      </c>
      <c r="G35" s="41">
        <v>2.5099999999999997E-2</v>
      </c>
      <c r="H35" s="42">
        <v>6.0090000000000005E-2</v>
      </c>
      <c r="I35" s="43">
        <v>6.0061999999999997E-2</v>
      </c>
      <c r="J35" s="44">
        <f t="shared" si="8"/>
        <v>2.2571722774658576E-3</v>
      </c>
      <c r="K35" s="45">
        <f t="shared" si="9"/>
        <v>1.8769374999999999E-3</v>
      </c>
      <c r="L35" s="46">
        <f t="shared" si="14"/>
        <v>-2.8000000000007186E-5</v>
      </c>
      <c r="M35" s="46">
        <f t="shared" si="15"/>
        <v>-4.6596771509414513E-2</v>
      </c>
      <c r="N35" s="50">
        <v>205200</v>
      </c>
      <c r="O35" s="37">
        <v>12324.8</v>
      </c>
      <c r="P35" s="51">
        <f t="shared" si="16"/>
        <v>0</v>
      </c>
      <c r="Q35" s="48">
        <f t="shared" si="17"/>
        <v>1.3929083665338649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70584456.994691312</v>
      </c>
      <c r="E36" s="39">
        <f t="shared" si="1"/>
        <v>58694064.061079338</v>
      </c>
      <c r="F36" s="40" t="s">
        <v>92</v>
      </c>
      <c r="G36" s="41">
        <v>0.61</v>
      </c>
      <c r="H36" s="42">
        <v>3.5</v>
      </c>
      <c r="I36" s="43">
        <v>3.5769229999999999</v>
      </c>
      <c r="J36" s="44">
        <f t="shared" si="8"/>
        <v>0.13442328650777544</v>
      </c>
      <c r="K36" s="45">
        <f t="shared" si="9"/>
        <v>0.11177884375</v>
      </c>
      <c r="L36" s="46">
        <f t="shared" si="14"/>
        <v>7.6922999999999853E-2</v>
      </c>
      <c r="M36" s="46">
        <f t="shared" si="15"/>
        <v>2.197799999999996</v>
      </c>
      <c r="N36" s="50">
        <v>2600</v>
      </c>
      <c r="O36" s="37">
        <v>9300</v>
      </c>
      <c r="P36" s="51">
        <f t="shared" si="16"/>
        <v>0</v>
      </c>
      <c r="Q36" s="48">
        <f t="shared" si="17"/>
        <v>4.8638081967213109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130222957.94830923</v>
      </c>
      <c r="E37" s="39">
        <f t="shared" si="1"/>
        <v>108286086.78842936</v>
      </c>
      <c r="F37" s="40" t="s">
        <v>56</v>
      </c>
      <c r="G37" s="41">
        <v>0.11650199999999999</v>
      </c>
      <c r="H37" s="42">
        <v>0.8125</v>
      </c>
      <c r="I37" s="43">
        <v>0.82605999999999991</v>
      </c>
      <c r="J37" s="44">
        <f t="shared" si="8"/>
        <v>3.1043916811352375E-2</v>
      </c>
      <c r="K37" s="45">
        <f t="shared" si="9"/>
        <v>2.5814374999999997E-2</v>
      </c>
      <c r="L37" s="46">
        <f t="shared" si="14"/>
        <v>1.3559999999999905E-2</v>
      </c>
      <c r="M37" s="46">
        <f t="shared" si="15"/>
        <v>1.6689230769230654</v>
      </c>
      <c r="N37" s="50">
        <v>1483600</v>
      </c>
      <c r="O37" s="37">
        <v>1225542.95</v>
      </c>
      <c r="P37" s="51">
        <v>0</v>
      </c>
      <c r="Q37" s="48">
        <f t="shared" si="17"/>
        <v>6.0905220511235854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21084445.529399384</v>
      </c>
      <c r="E38" s="39">
        <f t="shared" si="1"/>
        <v>17532638.9021875</v>
      </c>
      <c r="F38" s="40" t="s">
        <v>39</v>
      </c>
      <c r="G38" s="41">
        <v>0.1</v>
      </c>
      <c r="H38" s="42">
        <v>0.13</v>
      </c>
      <c r="I38" s="43">
        <v>0.13</v>
      </c>
      <c r="J38" s="44">
        <f t="shared" si="8"/>
        <v>4.8854915931963892E-3</v>
      </c>
      <c r="K38" s="45">
        <f t="shared" si="9"/>
        <v>4.0625000000000001E-3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0.30000000000000004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8002753.6885461528</v>
      </c>
      <c r="E39" s="39">
        <f t="shared" si="1"/>
        <v>6654639.8125</v>
      </c>
      <c r="F39" s="40" t="s">
        <v>44</v>
      </c>
      <c r="G39" s="41">
        <v>1.7452379999999998</v>
      </c>
      <c r="H39" s="42">
        <v>1.9995050000000001</v>
      </c>
      <c r="I39" s="43">
        <v>2</v>
      </c>
      <c r="J39" s="44">
        <f t="shared" si="8"/>
        <v>7.5161409126098297E-2</v>
      </c>
      <c r="K39" s="45">
        <f t="shared" si="9"/>
        <v>6.25E-2</v>
      </c>
      <c r="L39" s="46">
        <f t="shared" si="14"/>
        <v>4.9499999999991218E-4</v>
      </c>
      <c r="M39" s="46">
        <f t="shared" si="15"/>
        <v>2.4756127141463122E-2</v>
      </c>
      <c r="N39" s="50">
        <v>25900</v>
      </c>
      <c r="O39" s="37">
        <v>51800</v>
      </c>
      <c r="P39" s="51">
        <f t="shared" si="18"/>
        <v>0</v>
      </c>
      <c r="Q39" s="48">
        <f t="shared" si="17"/>
        <v>0.14597550591953667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3496414.0763397897</v>
      </c>
      <c r="E40" s="39">
        <f t="shared" si="1"/>
        <v>2907421.2725923755</v>
      </c>
      <c r="F40" s="40" t="s">
        <v>39</v>
      </c>
      <c r="G40" s="41">
        <v>0.03</v>
      </c>
      <c r="H40" s="42">
        <v>5.2327000000000005E-2</v>
      </c>
      <c r="I40" s="43">
        <v>5.2327000000000005E-2</v>
      </c>
      <c r="J40" s="44">
        <f t="shared" si="8"/>
        <v>1.9664855276706728E-3</v>
      </c>
      <c r="K40" s="45">
        <f t="shared" si="9"/>
        <v>1.6352187500000002E-3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0.74423333333333352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46086514.314490363</v>
      </c>
      <c r="E41" s="39">
        <f t="shared" si="1"/>
        <v>38322952.9375</v>
      </c>
      <c r="F41" s="40" t="s">
        <v>47</v>
      </c>
      <c r="G41" s="41">
        <v>4.5</v>
      </c>
      <c r="H41" s="42">
        <v>7.0367819999999996</v>
      </c>
      <c r="I41" s="43">
        <v>7</v>
      </c>
      <c r="J41" s="44">
        <f t="shared" si="8"/>
        <v>0.263064931941344</v>
      </c>
      <c r="K41" s="45">
        <f t="shared" si="9"/>
        <v>0.21875</v>
      </c>
      <c r="L41" s="46">
        <f t="shared" si="14"/>
        <v>-3.6781999999999648E-2</v>
      </c>
      <c r="M41" s="46">
        <f t="shared" si="15"/>
        <v>-0.52271052307716293</v>
      </c>
      <c r="N41" s="50">
        <v>6500</v>
      </c>
      <c r="O41" s="37">
        <v>45500</v>
      </c>
      <c r="P41" s="51">
        <f t="shared" si="18"/>
        <v>0</v>
      </c>
      <c r="Q41" s="48">
        <f t="shared" si="17"/>
        <v>0.55555555555555558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313.42600351755397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6.7645268213488469E-7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1558546.9796387744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2.7058107285395389E-3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47922043.933412179</v>
      </c>
      <c r="E44" s="39">
        <f t="shared" si="1"/>
        <v>39849276.12005432</v>
      </c>
      <c r="F44" s="40" t="s">
        <v>47</v>
      </c>
      <c r="G44" s="41">
        <v>0.9998999999999999</v>
      </c>
      <c r="H44" s="42">
        <v>0.7013330000000001</v>
      </c>
      <c r="I44" s="43">
        <v>0.7013330000000001</v>
      </c>
      <c r="J44" s="44">
        <f t="shared" si="8"/>
        <v>2.6356588273316949E-2</v>
      </c>
      <c r="K44" s="45">
        <f t="shared" si="9"/>
        <v>2.1916656250000003E-2</v>
      </c>
      <c r="L44" s="46">
        <f t="shared" si="14"/>
        <v>0</v>
      </c>
      <c r="M44" s="46">
        <f t="shared" si="15"/>
        <v>0</v>
      </c>
      <c r="N44" s="50">
        <v>0</v>
      </c>
      <c r="O44" s="37">
        <v>0</v>
      </c>
      <c r="P44" s="51">
        <f t="shared" si="18"/>
        <v>0</v>
      </c>
      <c r="Q44" s="48">
        <f t="shared" si="17"/>
        <v>-0.29859685968596839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17138439.378565472</v>
      </c>
      <c r="E45" s="39">
        <f t="shared" si="1"/>
        <v>14251362.15</v>
      </c>
      <c r="F45" s="40" t="s">
        <v>47</v>
      </c>
      <c r="G45" s="41">
        <v>1.4503460000000001</v>
      </c>
      <c r="H45" s="42">
        <v>4.4041670000000002</v>
      </c>
      <c r="I45" s="43">
        <v>4.4400000000000004</v>
      </c>
      <c r="J45" s="44">
        <f t="shared" si="8"/>
        <v>0.16685832825993824</v>
      </c>
      <c r="K45" s="45">
        <f t="shared" si="9"/>
        <v>0.13875000000000001</v>
      </c>
      <c r="L45" s="46">
        <f t="shared" si="14"/>
        <v>3.5833000000000226E-2</v>
      </c>
      <c r="M45" s="46">
        <f t="shared" si="15"/>
        <v>0.81361583246049085</v>
      </c>
      <c r="N45" s="50">
        <v>100</v>
      </c>
      <c r="O45" s="37">
        <v>444</v>
      </c>
      <c r="P45" s="51">
        <v>0</v>
      </c>
      <c r="Q45" s="48">
        <f t="shared" si="17"/>
        <v>2.0613384668210206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1810000</v>
      </c>
      <c r="O47" s="61">
        <f>SUM(O9:O45)</f>
        <v>2419290.9500000002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104368974.62819999</v>
      </c>
      <c r="E50" s="39">
        <v>0</v>
      </c>
      <c r="F50" s="40" t="s">
        <v>92</v>
      </c>
      <c r="G50" s="70">
        <v>0.1</v>
      </c>
      <c r="H50" s="42">
        <v>0.1661</v>
      </c>
      <c r="I50" s="42">
        <v>0.18429999999999999</v>
      </c>
      <c r="J50" s="44">
        <f t="shared" ref="J50:J65" si="20">I50</f>
        <v>0.18429999999999999</v>
      </c>
      <c r="K50" s="39">
        <v>0</v>
      </c>
      <c r="L50" s="46">
        <f t="shared" ref="L50:L65" si="21">I50-H50</f>
        <v>1.8199999999999994E-2</v>
      </c>
      <c r="M50" s="46">
        <f t="shared" ref="M50:M65" si="22">((I50-H50)/H50)*100</f>
        <v>10.957254665863934</v>
      </c>
      <c r="N50" s="50">
        <v>4534820</v>
      </c>
      <c r="O50" s="37">
        <v>835887.61</v>
      </c>
      <c r="P50" s="71">
        <f>(R50)/J50</f>
        <v>0</v>
      </c>
      <c r="Q50" s="48">
        <f t="shared" ref="Q50:Q65" si="23">J50/G50-1</f>
        <v>0.84299999999999975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42085642.100000001</v>
      </c>
      <c r="E51" s="39">
        <v>0</v>
      </c>
      <c r="F51" s="40" t="s">
        <v>39</v>
      </c>
      <c r="G51" s="70">
        <v>39.9</v>
      </c>
      <c r="H51" s="42">
        <v>38.25</v>
      </c>
      <c r="I51" s="42">
        <v>37.85</v>
      </c>
      <c r="J51" s="44">
        <f t="shared" si="20"/>
        <v>37.85</v>
      </c>
      <c r="K51" s="39">
        <v>0</v>
      </c>
      <c r="L51" s="46">
        <f t="shared" si="21"/>
        <v>-0.39999999999999858</v>
      </c>
      <c r="M51" s="46">
        <f t="shared" si="22"/>
        <v>-1.0457516339869244</v>
      </c>
      <c r="N51" s="50">
        <v>6</v>
      </c>
      <c r="O51" s="37">
        <v>227.1</v>
      </c>
      <c r="P51" s="72">
        <f>(R51)/J51</f>
        <v>1.4795244385733158E-2</v>
      </c>
      <c r="Q51" s="48">
        <f t="shared" si="23"/>
        <v>-5.137844611528819E-2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678024181.79980004</v>
      </c>
      <c r="E52" s="39"/>
      <c r="F52" s="40" t="s">
        <v>56</v>
      </c>
      <c r="G52" s="70">
        <v>0.33</v>
      </c>
      <c r="H52" s="42">
        <v>0.2263</v>
      </c>
      <c r="I52" s="42">
        <v>0.2266</v>
      </c>
      <c r="J52" s="44">
        <f t="shared" si="20"/>
        <v>0.2266</v>
      </c>
      <c r="K52" s="39">
        <v>0</v>
      </c>
      <c r="L52" s="46">
        <f t="shared" si="21"/>
        <v>2.9999999999999472E-4</v>
      </c>
      <c r="M52" s="46">
        <f t="shared" si="22"/>
        <v>0.13256738842244575</v>
      </c>
      <c r="N52" s="50">
        <v>258460</v>
      </c>
      <c r="O52" s="37">
        <v>58564.93</v>
      </c>
      <c r="P52" s="71">
        <v>0</v>
      </c>
      <c r="Q52" s="48">
        <f t="shared" si="23"/>
        <v>-0.31333333333333335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346031348.63999999</v>
      </c>
      <c r="E54" s="39">
        <v>0</v>
      </c>
      <c r="F54" s="40" t="s">
        <v>47</v>
      </c>
      <c r="G54" s="70">
        <v>9.0200000000000002E-2</v>
      </c>
      <c r="H54" s="42">
        <v>0.16</v>
      </c>
      <c r="I54" s="42">
        <v>0.16</v>
      </c>
      <c r="J54" s="44">
        <f t="shared" si="20"/>
        <v>0.16</v>
      </c>
      <c r="K54" s="39">
        <v>0</v>
      </c>
      <c r="L54" s="46">
        <f t="shared" si="21"/>
        <v>0</v>
      </c>
      <c r="M54" s="74">
        <f t="shared" si="22"/>
        <v>0</v>
      </c>
      <c r="N54" s="50">
        <v>20155</v>
      </c>
      <c r="O54" s="37">
        <v>3224.81</v>
      </c>
      <c r="P54" s="71">
        <f t="shared" si="24"/>
        <v>0</v>
      </c>
      <c r="Q54" s="48">
        <f t="shared" si="23"/>
        <v>0.77383592017738367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806700178.51499999</v>
      </c>
      <c r="E55" s="39">
        <v>0</v>
      </c>
      <c r="F55" s="40" t="s">
        <v>34</v>
      </c>
      <c r="G55" s="70">
        <v>0.95750000000000002</v>
      </c>
      <c r="H55" s="42">
        <v>1.4036999999999999</v>
      </c>
      <c r="I55" s="42">
        <v>1.4007000000000001</v>
      </c>
      <c r="J55" s="44">
        <f t="shared" si="20"/>
        <v>1.4007000000000001</v>
      </c>
      <c r="K55" s="39">
        <v>0</v>
      </c>
      <c r="L55" s="46">
        <f t="shared" si="21"/>
        <v>-2.9999999999998916E-3</v>
      </c>
      <c r="M55" s="46">
        <f t="shared" si="22"/>
        <v>-0.21372088053002009</v>
      </c>
      <c r="N55" s="50">
        <v>49286</v>
      </c>
      <c r="O55" s="37">
        <v>69034.98</v>
      </c>
      <c r="P55" s="72">
        <f t="shared" si="24"/>
        <v>3.3554651245805665E-2</v>
      </c>
      <c r="Q55" s="48">
        <f t="shared" si="23"/>
        <v>0.46287206266318548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24401341.7892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0.14860000000000001</v>
      </c>
      <c r="J56" s="44">
        <f t="shared" si="20"/>
        <v>0.14860000000000001</v>
      </c>
      <c r="K56" s="39">
        <v>0</v>
      </c>
      <c r="L56" s="46">
        <f t="shared" si="21"/>
        <v>-1.3999999999999846E-3</v>
      </c>
      <c r="M56" s="46">
        <f t="shared" si="22"/>
        <v>-0.93333333333332313</v>
      </c>
      <c r="N56" s="50">
        <v>73542</v>
      </c>
      <c r="O56" s="37">
        <v>10929.26</v>
      </c>
      <c r="P56" s="71">
        <f t="shared" si="24"/>
        <v>0</v>
      </c>
      <c r="Q56" s="48">
        <f t="shared" si="23"/>
        <v>-6.8338557993730342E-2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21967483.049800001</v>
      </c>
      <c r="E57" s="39">
        <v>0</v>
      </c>
      <c r="F57" s="40" t="s">
        <v>92</v>
      </c>
      <c r="G57" s="70">
        <v>1.6799999999999999E-2</v>
      </c>
      <c r="H57" s="42">
        <v>2.2200000000000001E-2</v>
      </c>
      <c r="I57" s="42">
        <v>2.23E-2</v>
      </c>
      <c r="J57" s="44">
        <f t="shared" si="20"/>
        <v>2.23E-2</v>
      </c>
      <c r="K57" s="39">
        <v>0</v>
      </c>
      <c r="L57" s="46">
        <f t="shared" si="21"/>
        <v>9.9999999999999395E-5</v>
      </c>
      <c r="M57" s="74">
        <f t="shared" si="22"/>
        <v>0.45045045045044768</v>
      </c>
      <c r="N57" s="50">
        <v>5990</v>
      </c>
      <c r="O57" s="37">
        <v>133.34</v>
      </c>
      <c r="P57" s="71">
        <f t="shared" si="24"/>
        <v>0</v>
      </c>
      <c r="Q57" s="48">
        <f t="shared" si="23"/>
        <v>0.32738095238095255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3934883013.4187999</v>
      </c>
      <c r="E59" s="39">
        <v>0</v>
      </c>
      <c r="F59" s="40" t="s">
        <v>47</v>
      </c>
      <c r="G59" s="70">
        <v>0.78169999999999995</v>
      </c>
      <c r="H59" s="51">
        <v>0.9456</v>
      </c>
      <c r="I59" s="42">
        <v>0.87480000000000002</v>
      </c>
      <c r="J59" s="44">
        <f t="shared" si="20"/>
        <v>0.87480000000000002</v>
      </c>
      <c r="K59" s="39">
        <v>0</v>
      </c>
      <c r="L59" s="46">
        <f t="shared" si="21"/>
        <v>-7.0799999999999974E-2</v>
      </c>
      <c r="M59" s="46">
        <f t="shared" si="22"/>
        <v>-7.4873096446700487</v>
      </c>
      <c r="N59" s="75">
        <v>2253</v>
      </c>
      <c r="O59" s="76">
        <v>1971.01</v>
      </c>
      <c r="P59" s="71">
        <f t="shared" si="24"/>
        <v>0</v>
      </c>
      <c r="Q59" s="48">
        <f t="shared" si="23"/>
        <v>0.11909939874632225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1183160926.7895999</v>
      </c>
      <c r="E60" s="39">
        <v>0</v>
      </c>
      <c r="F60" s="40" t="s">
        <v>92</v>
      </c>
      <c r="G60" s="70">
        <v>0.59499999999999997</v>
      </c>
      <c r="H60" s="42">
        <v>1.4691000000000001</v>
      </c>
      <c r="I60" s="42">
        <v>1.4696</v>
      </c>
      <c r="J60" s="44">
        <f t="shared" si="20"/>
        <v>1.4696</v>
      </c>
      <c r="K60" s="39">
        <v>0</v>
      </c>
      <c r="L60" s="46">
        <f t="shared" si="21"/>
        <v>4.9999999999994493E-4</v>
      </c>
      <c r="M60" s="46">
        <f t="shared" si="22"/>
        <v>3.4034442856166698E-2</v>
      </c>
      <c r="N60" s="50">
        <v>13466</v>
      </c>
      <c r="O60" s="37">
        <v>19789.91</v>
      </c>
      <c r="P60" s="71">
        <f t="shared" si="24"/>
        <v>0</v>
      </c>
      <c r="Q60" s="48">
        <f t="shared" si="23"/>
        <v>1.4699159663865546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100896518.46600001</v>
      </c>
      <c r="E61" s="39">
        <v>0</v>
      </c>
      <c r="F61" s="40" t="s">
        <v>34</v>
      </c>
      <c r="G61" s="70">
        <v>0.22600000000000001</v>
      </c>
      <c r="H61" s="42">
        <v>0.37519999999999998</v>
      </c>
      <c r="I61" s="42">
        <v>0.38700000000000001</v>
      </c>
      <c r="J61" s="44">
        <f t="shared" si="20"/>
        <v>0.38700000000000001</v>
      </c>
      <c r="K61" s="39">
        <v>0</v>
      </c>
      <c r="L61" s="46">
        <f t="shared" si="21"/>
        <v>1.1800000000000033E-2</v>
      </c>
      <c r="M61" s="46">
        <f t="shared" si="22"/>
        <v>3.1449893390191987</v>
      </c>
      <c r="N61" s="50">
        <v>9617</v>
      </c>
      <c r="O61" s="37">
        <v>3721.43</v>
      </c>
      <c r="P61" s="71">
        <f t="shared" si="24"/>
        <v>0</v>
      </c>
      <c r="Q61" s="48">
        <f t="shared" si="23"/>
        <v>0.71238938053097356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371547926.38920003</v>
      </c>
      <c r="E62" s="39">
        <v>0</v>
      </c>
      <c r="F62" s="40" t="s">
        <v>34</v>
      </c>
      <c r="G62" s="70">
        <v>0.49440000000000001</v>
      </c>
      <c r="H62" s="42">
        <v>0.68340000000000001</v>
      </c>
      <c r="I62" s="42">
        <v>0.66090000000000004</v>
      </c>
      <c r="J62" s="44">
        <f t="shared" si="20"/>
        <v>0.66090000000000004</v>
      </c>
      <c r="K62" s="39">
        <v>0</v>
      </c>
      <c r="L62" s="46">
        <f t="shared" si="21"/>
        <v>-2.2499999999999964E-2</v>
      </c>
      <c r="M62" s="46">
        <f t="shared" si="22"/>
        <v>-3.2923617208077212</v>
      </c>
      <c r="N62" s="50">
        <v>12801</v>
      </c>
      <c r="O62" s="37">
        <v>8459.6</v>
      </c>
      <c r="P62" s="71">
        <f t="shared" si="24"/>
        <v>0</v>
      </c>
      <c r="Q62" s="48">
        <f t="shared" si="23"/>
        <v>0.33677184466019416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78555360.542500004</v>
      </c>
      <c r="E63" s="39">
        <v>0</v>
      </c>
      <c r="F63" s="40" t="s">
        <v>34</v>
      </c>
      <c r="G63" s="70">
        <v>0.25950000000000001</v>
      </c>
      <c r="H63" s="42">
        <v>0.2155</v>
      </c>
      <c r="I63" s="42">
        <v>0.2155</v>
      </c>
      <c r="J63" s="44">
        <f t="shared" si="20"/>
        <v>0.2155</v>
      </c>
      <c r="K63" s="39">
        <v>0</v>
      </c>
      <c r="L63" s="46">
        <f t="shared" si="21"/>
        <v>0</v>
      </c>
      <c r="M63" s="46">
        <f t="shared" si="22"/>
        <v>0</v>
      </c>
      <c r="N63" s="50">
        <v>85</v>
      </c>
      <c r="O63" s="37">
        <v>18.32</v>
      </c>
      <c r="P63" s="71">
        <f t="shared" si="24"/>
        <v>0</v>
      </c>
      <c r="Q63" s="48">
        <f t="shared" si="23"/>
        <v>-0.16955684007707128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405000000</v>
      </c>
      <c r="E64" s="39">
        <v>0</v>
      </c>
      <c r="F64" s="40" t="s">
        <v>66</v>
      </c>
      <c r="G64" s="70">
        <v>10</v>
      </c>
      <c r="H64" s="42">
        <v>13.5</v>
      </c>
      <c r="I64" s="42">
        <v>13.5</v>
      </c>
      <c r="J64" s="44">
        <f t="shared" si="20"/>
        <v>13.5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0.35000000000000009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34458048.600000001</v>
      </c>
      <c r="E65" s="39">
        <v>0</v>
      </c>
      <c r="F65" s="40" t="s">
        <v>44</v>
      </c>
      <c r="G65" s="70">
        <v>4.2999999999999997E-2</v>
      </c>
      <c r="H65" s="42">
        <v>0.1</v>
      </c>
      <c r="I65" s="42">
        <v>0.1</v>
      </c>
      <c r="J65" s="44">
        <f t="shared" si="20"/>
        <v>0.1</v>
      </c>
      <c r="K65" s="39">
        <v>0</v>
      </c>
      <c r="L65" s="46">
        <f t="shared" si="21"/>
        <v>0</v>
      </c>
      <c r="M65" s="46">
        <f t="shared" si="22"/>
        <v>0</v>
      </c>
      <c r="N65" s="50">
        <v>51642</v>
      </c>
      <c r="O65" s="37">
        <v>5165.43</v>
      </c>
      <c r="P65" s="71">
        <f t="shared" si="24"/>
        <v>0</v>
      </c>
      <c r="Q65" s="48">
        <f t="shared" si="23"/>
        <v>1.3255813953488373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5032123</v>
      </c>
      <c r="O66" s="62">
        <f>SUM(O50:O65)</f>
        <v>1017127.7300000001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157</v>
      </c>
      <c r="O71" s="96">
        <v>54.95</v>
      </c>
      <c r="P71" s="71">
        <f>(R71)/J71</f>
        <v>0</v>
      </c>
      <c r="Q71" s="48">
        <f>J71/G71-1</f>
        <v>0.45833333333333326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86141753.774999991</v>
      </c>
      <c r="E72" s="39">
        <f>C72*K72</f>
        <v>86141753.774999991</v>
      </c>
      <c r="F72" s="92" t="s">
        <v>159</v>
      </c>
      <c r="G72" s="92">
        <v>0.1</v>
      </c>
      <c r="H72" s="93">
        <v>0.156</v>
      </c>
      <c r="I72" s="93">
        <v>0.1593</v>
      </c>
      <c r="J72" s="94">
        <f>I72</f>
        <v>0.1593</v>
      </c>
      <c r="K72" s="94">
        <f>J72</f>
        <v>0.1593</v>
      </c>
      <c r="L72" s="46">
        <f>I72-H72</f>
        <v>3.2999999999999974E-3</v>
      </c>
      <c r="M72" s="46">
        <f>((I72-H72)/H72)*100</f>
        <v>2.1153846153846136</v>
      </c>
      <c r="N72" s="50">
        <v>1115</v>
      </c>
      <c r="O72" s="96">
        <v>177.59</v>
      </c>
      <c r="P72" s="97">
        <f>(R72)/J72</f>
        <v>2.3804143126177024E-2</v>
      </c>
      <c r="Q72" s="48">
        <f>J72/G72-1</f>
        <v>0.59299999999999997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1272</v>
      </c>
      <c r="O73" s="62">
        <f>SUM(O71:O72)</f>
        <v>232.54000000000002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7355817.8895000005</v>
      </c>
      <c r="E75" s="39">
        <f>C75*K75</f>
        <v>7355817.8895000005</v>
      </c>
      <c r="F75" s="92" t="s">
        <v>137</v>
      </c>
      <c r="G75" s="92">
        <v>0.1394</v>
      </c>
      <c r="H75" s="93">
        <v>0.1225</v>
      </c>
      <c r="I75" s="93">
        <v>0.1145</v>
      </c>
      <c r="J75" s="94">
        <f>I75</f>
        <v>0.1145</v>
      </c>
      <c r="K75" s="94">
        <f>J75</f>
        <v>0.1145</v>
      </c>
      <c r="L75" s="46">
        <f>I75-H75</f>
        <v>-7.9999999999999932E-3</v>
      </c>
      <c r="M75" s="46">
        <f>((I75-H75)/H75)*100</f>
        <v>-6.530612244897954</v>
      </c>
      <c r="N75" s="95">
        <v>2862</v>
      </c>
      <c r="O75" s="96">
        <v>327.68</v>
      </c>
      <c r="P75" s="71">
        <f>(R75)/J75</f>
        <v>0</v>
      </c>
      <c r="Q75" s="48">
        <f>J75/G75-1</f>
        <v>-0.17862266857962694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131057.25683405111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4.1338775019354058E-3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8000</v>
      </c>
      <c r="O78" s="37">
        <v>880</v>
      </c>
      <c r="P78" s="40">
        <v>0</v>
      </c>
      <c r="Q78" s="48">
        <f>I78/G78-1</f>
        <v>4.7619047619047672E-2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445184.72885521653</v>
      </c>
      <c r="E79" s="39">
        <f>C79*K79</f>
        <v>370190.57887499995</v>
      </c>
      <c r="F79" s="40" t="s">
        <v>137</v>
      </c>
      <c r="G79" s="70">
        <v>4.2500000000000003E-2</v>
      </c>
      <c r="H79" s="42">
        <v>8.6999999999999994E-2</v>
      </c>
      <c r="I79" s="42">
        <v>8.6999999999999994E-2</v>
      </c>
      <c r="J79" s="44">
        <f>I79/$J$5</f>
        <v>3.2695212969852754E-3</v>
      </c>
      <c r="K79" s="45">
        <f>I79/$K$4</f>
        <v>2.7187499999999998E-3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1.0470588235294116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1470966.6148052942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4.5096845475658971E-3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424119.73099731671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6.3511390711553053E-2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8000</v>
      </c>
      <c r="O82" s="62">
        <f>SUM(O78:O81)</f>
        <v>880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26299723.54130495</v>
      </c>
      <c r="E84" s="39">
        <f>C84*K84</f>
        <v>21869370.737500001</v>
      </c>
      <c r="F84" s="40" t="s">
        <v>177</v>
      </c>
      <c r="G84" s="40">
        <v>1.3</v>
      </c>
      <c r="H84" s="42">
        <v>2</v>
      </c>
      <c r="I84" s="42">
        <v>1.9</v>
      </c>
      <c r="J84" s="44">
        <f>I84/$J$5</f>
        <v>7.140333866979337E-2</v>
      </c>
      <c r="K84" s="45">
        <f>I84/$K$4</f>
        <v>5.9374999999999997E-2</v>
      </c>
      <c r="L84" s="46">
        <f>I84-H84</f>
        <v>-0.10000000000000009</v>
      </c>
      <c r="M84" s="46">
        <f>((I84-H84)/H84*100)</f>
        <v>-5.0000000000000044</v>
      </c>
      <c r="N84" s="108">
        <v>400</v>
      </c>
      <c r="O84" s="76">
        <v>760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74852257.802881688</v>
      </c>
      <c r="E85" s="39">
        <f>C85*K85</f>
        <v>62242927.149374999</v>
      </c>
      <c r="F85" s="40" t="s">
        <v>177</v>
      </c>
      <c r="G85" s="40">
        <v>1.44347</v>
      </c>
      <c r="H85" s="42">
        <v>1.0664180000000001</v>
      </c>
      <c r="I85" s="42">
        <v>1.081836</v>
      </c>
      <c r="J85" s="44">
        <f>I85/$J$5</f>
        <v>4.0656159101670836E-2</v>
      </c>
      <c r="K85" s="45">
        <f>I85/$K$4</f>
        <v>3.3807375000000001E-2</v>
      </c>
      <c r="L85" s="46">
        <f>I85-H85</f>
        <v>1.5417999999999932E-2</v>
      </c>
      <c r="M85" s="46">
        <f>((I85-H85)/H85*100)</f>
        <v>1.4457745461910743</v>
      </c>
      <c r="N85" s="76">
        <v>4905605</v>
      </c>
      <c r="O85" s="76">
        <v>5307078.1875</v>
      </c>
      <c r="P85" s="47">
        <f>(R85)/J85</f>
        <v>5.3522025889321492E-2</v>
      </c>
      <c r="Q85" s="48">
        <f>I85/G85-1</f>
        <v>-0.25053101207506911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81</v>
      </c>
      <c r="B89" s="116">
        <v>7.3933330000000002</v>
      </c>
      <c r="D89" s="116">
        <v>4.1314507042253599</v>
      </c>
      <c r="E89" s="35" t="s">
        <v>86</v>
      </c>
      <c r="F89" s="117">
        <v>1.35</v>
      </c>
      <c r="H89" s="118">
        <v>-0.91743119266054718</v>
      </c>
      <c r="J89" s="35" t="s">
        <v>119</v>
      </c>
      <c r="K89" s="51">
        <v>0.18429999999999999</v>
      </c>
      <c r="L89" s="119">
        <v>10.957254665863934</v>
      </c>
      <c r="M89" s="35" t="s">
        <v>138</v>
      </c>
      <c r="N89" s="117">
        <v>0.87480000000000002</v>
      </c>
      <c r="O89" s="118">
        <v>-7.4873096446700487</v>
      </c>
      <c r="P89" s="118">
        <v>-1.3931214627775275</v>
      </c>
      <c r="Q89" s="16"/>
    </row>
    <row r="90" spans="1:243" ht="15" customHeight="1" x14ac:dyDescent="0.2">
      <c r="A90" s="35" t="s">
        <v>97</v>
      </c>
      <c r="B90" s="116">
        <v>3.5769229999999999</v>
      </c>
      <c r="D90" s="116">
        <v>2.197799999999996</v>
      </c>
      <c r="E90" s="35" t="s">
        <v>93</v>
      </c>
      <c r="F90" s="117">
        <v>4</v>
      </c>
      <c r="H90" s="118">
        <v>-0.5831296530202178</v>
      </c>
      <c r="J90" s="35" t="s">
        <v>142</v>
      </c>
      <c r="K90" s="51">
        <v>0.38700000000000001</v>
      </c>
      <c r="L90" s="119">
        <v>3.1449893390191987</v>
      </c>
      <c r="M90" s="35" t="s">
        <v>144</v>
      </c>
      <c r="N90" s="117">
        <v>0.66090000000000004</v>
      </c>
      <c r="O90" s="118">
        <v>-3.2923617208077212</v>
      </c>
      <c r="P90" s="118">
        <v>-0.80321285140561771</v>
      </c>
      <c r="Q90" s="16"/>
    </row>
    <row r="91" spans="1:243" ht="15" customHeight="1" x14ac:dyDescent="0.2">
      <c r="A91" s="35" t="s">
        <v>99</v>
      </c>
      <c r="B91" s="116">
        <v>0.82605999999999991</v>
      </c>
      <c r="C91" s="116"/>
      <c r="D91" s="116">
        <v>1.6689230769230654</v>
      </c>
      <c r="E91" s="120" t="s">
        <v>107</v>
      </c>
      <c r="F91" s="117">
        <v>7</v>
      </c>
      <c r="G91" s="121"/>
      <c r="H91" s="118">
        <v>-0.52271052307716293</v>
      </c>
      <c r="J91" s="35" t="s">
        <v>133</v>
      </c>
      <c r="K91" s="51">
        <v>2.23E-2</v>
      </c>
      <c r="L91" s="119">
        <v>0.45045045045044768</v>
      </c>
      <c r="M91" s="35" t="s">
        <v>121</v>
      </c>
      <c r="N91" s="117">
        <v>37.85</v>
      </c>
      <c r="O91" s="118">
        <v>-1.0457516339869244</v>
      </c>
      <c r="P91" s="118">
        <v>-0.77994428969359408</v>
      </c>
      <c r="Q91" s="16"/>
    </row>
    <row r="92" spans="1:243" ht="15" customHeight="1" x14ac:dyDescent="0.2">
      <c r="A92" s="35" t="s">
        <v>62</v>
      </c>
      <c r="B92" s="116">
        <v>3.5</v>
      </c>
      <c r="C92" s="116"/>
      <c r="D92" s="116">
        <v>1.4492753623188355</v>
      </c>
      <c r="E92" s="120" t="s">
        <v>45</v>
      </c>
      <c r="F92" s="117">
        <v>33.979999999999997</v>
      </c>
      <c r="G92" s="121"/>
      <c r="H92" s="118">
        <v>-5.8823529411773906E-2</v>
      </c>
      <c r="J92" s="35" t="s">
        <v>123</v>
      </c>
      <c r="K92" s="51">
        <v>0.2266</v>
      </c>
      <c r="L92" s="119">
        <v>0.13256738842244575</v>
      </c>
      <c r="M92" s="35" t="s">
        <v>131</v>
      </c>
      <c r="N92" s="117">
        <v>0.14860000000000001</v>
      </c>
      <c r="O92" s="118">
        <v>-0.93333333333332313</v>
      </c>
      <c r="P92" s="118">
        <v>-0.56417489421721045</v>
      </c>
      <c r="Q92" s="16"/>
    </row>
    <row r="93" spans="1:243" ht="15" customHeight="1" x14ac:dyDescent="0.2">
      <c r="A93" s="35" t="s">
        <v>115</v>
      </c>
      <c r="B93" s="116">
        <v>4.4400000000000004</v>
      </c>
      <c r="C93" s="116"/>
      <c r="D93" s="116">
        <v>0.81361583246049085</v>
      </c>
      <c r="E93" s="120" t="s">
        <v>58</v>
      </c>
      <c r="F93" s="117">
        <v>13.443099999999999</v>
      </c>
      <c r="G93" s="121"/>
      <c r="H93" s="118">
        <v>-5.1301115241634991E-2</v>
      </c>
      <c r="J93" s="120" t="s">
        <v>140</v>
      </c>
      <c r="K93" s="121">
        <v>1.4696</v>
      </c>
      <c r="L93" s="119">
        <v>3.4034442856166698E-2</v>
      </c>
      <c r="M93" s="35" t="s">
        <v>129</v>
      </c>
      <c r="N93" s="117">
        <v>1.4007000000000001</v>
      </c>
      <c r="O93" s="118">
        <v>-0.21372088053002009</v>
      </c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nyoNQe/9UuB1JB/NfIzI0b73ynoUzIY+5onf/leeAmYc8HADmzJuSZ8FdP0Psr8E3rZtlRrMS/akY89EvtQLBg==" saltValue="cz5kJ4wJDuP3LGE3b2FHEA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2026-10-15T13:19:29Z</dcterms:created>
  <dcterms:modified xsi:type="dcterms:W3CDTF">2026-10-15T13:22:48Z</dcterms:modified>
</cp:coreProperties>
</file>