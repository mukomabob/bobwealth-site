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11.09.26/"/>
    </mc:Choice>
  </mc:AlternateContent>
  <xr:revisionPtr revIDLastSave="0" documentId="8_{38D3D51F-750B-4D1B-8110-C02505B74591}" xr6:coauthVersionLast="47" xr6:coauthVersionMax="47" xr10:uidLastSave="{00000000-0000-0000-0000-000000000000}"/>
  <bookViews>
    <workbookView xWindow="-108" yWindow="-108" windowWidth="23256" windowHeight="12456" xr2:uid="{7FE0F5F2-E919-41D5-A273-DC684866BA17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/>
  <c r="Q75" i="1"/>
  <c r="P75" i="1"/>
  <c r="M75" i="1"/>
  <c r="L75" i="1"/>
  <c r="J75" i="1"/>
  <c r="K75" i="1" s="1"/>
  <c r="E75" i="1" s="1"/>
  <c r="D75" i="1"/>
  <c r="O73" i="1"/>
  <c r="N73" i="1"/>
  <c r="Q72" i="1"/>
  <c r="P72" i="1"/>
  <c r="M72" i="1"/>
  <c r="L72" i="1"/>
  <c r="J72" i="1"/>
  <c r="K72" i="1" s="1"/>
  <c r="E72" i="1" s="1"/>
  <c r="D72" i="1"/>
  <c r="Q71" i="1"/>
  <c r="P71" i="1"/>
  <c r="M71" i="1"/>
  <c r="L71" i="1"/>
  <c r="J71" i="1"/>
  <c r="K71" i="1" s="1"/>
  <c r="E71" i="1" s="1"/>
  <c r="D71" i="1"/>
  <c r="M68" i="1"/>
  <c r="L68" i="1"/>
  <c r="D68" i="1"/>
  <c r="O66" i="1"/>
  <c r="N66" i="1"/>
  <c r="Q65" i="1"/>
  <c r="P65" i="1"/>
  <c r="M65" i="1"/>
  <c r="L65" i="1"/>
  <c r="J65" i="1"/>
  <c r="D65" i="1"/>
  <c r="Q64" i="1"/>
  <c r="M64" i="1"/>
  <c r="L64" i="1"/>
  <c r="J64" i="1"/>
  <c r="P64" i="1" s="1"/>
  <c r="D64" i="1"/>
  <c r="Q63" i="1"/>
  <c r="P63" i="1"/>
  <c r="M63" i="1"/>
  <c r="L63" i="1"/>
  <c r="J63" i="1"/>
  <c r="D63" i="1"/>
  <c r="Q62" i="1"/>
  <c r="M62" i="1"/>
  <c r="L62" i="1"/>
  <c r="J62" i="1"/>
  <c r="P62" i="1" s="1"/>
  <c r="D62" i="1"/>
  <c r="Q61" i="1"/>
  <c r="P61" i="1"/>
  <c r="M61" i="1"/>
  <c r="L61" i="1"/>
  <c r="J61" i="1"/>
  <c r="D61" i="1"/>
  <c r="Q60" i="1"/>
  <c r="M60" i="1"/>
  <c r="L60" i="1"/>
  <c r="J60" i="1"/>
  <c r="P60" i="1" s="1"/>
  <c r="D60" i="1"/>
  <c r="Q59" i="1"/>
  <c r="P59" i="1"/>
  <c r="M59" i="1"/>
  <c r="L59" i="1"/>
  <c r="J59" i="1"/>
  <c r="D59" i="1"/>
  <c r="Q58" i="1"/>
  <c r="M58" i="1"/>
  <c r="L58" i="1"/>
  <c r="J58" i="1"/>
  <c r="P58" i="1" s="1"/>
  <c r="D58" i="1"/>
  <c r="Q57" i="1"/>
  <c r="P57" i="1"/>
  <c r="M57" i="1"/>
  <c r="L57" i="1"/>
  <c r="J57" i="1"/>
  <c r="D57" i="1"/>
  <c r="Q56" i="1"/>
  <c r="M56" i="1"/>
  <c r="L56" i="1"/>
  <c r="J56" i="1"/>
  <c r="P56" i="1" s="1"/>
  <c r="D56" i="1"/>
  <c r="Q55" i="1"/>
  <c r="P55" i="1"/>
  <c r="M55" i="1"/>
  <c r="L55" i="1"/>
  <c r="J55" i="1"/>
  <c r="D55" i="1"/>
  <c r="Q54" i="1"/>
  <c r="M54" i="1"/>
  <c r="L54" i="1"/>
  <c r="J54" i="1"/>
  <c r="P54" i="1" s="1"/>
  <c r="D54" i="1"/>
  <c r="Q53" i="1"/>
  <c r="P53" i="1"/>
  <c r="M53" i="1"/>
  <c r="L53" i="1"/>
  <c r="J53" i="1"/>
  <c r="D53" i="1"/>
  <c r="Q52" i="1"/>
  <c r="M52" i="1"/>
  <c r="L52" i="1"/>
  <c r="J52" i="1"/>
  <c r="D52" i="1"/>
  <c r="Q51" i="1"/>
  <c r="P51" i="1"/>
  <c r="M51" i="1"/>
  <c r="L51" i="1"/>
  <c r="J51" i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Q43" i="1"/>
  <c r="P43" i="1"/>
  <c r="M43" i="1"/>
  <c r="L43" i="1"/>
  <c r="K43" i="1"/>
  <c r="J43" i="1"/>
  <c r="E43" i="1"/>
  <c r="D43" i="1"/>
  <c r="Q42" i="1"/>
  <c r="P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Q40" i="1"/>
  <c r="P40" i="1"/>
  <c r="M40" i="1"/>
  <c r="L40" i="1"/>
  <c r="K40" i="1"/>
  <c r="J40" i="1"/>
  <c r="E40" i="1"/>
  <c r="D40" i="1"/>
  <c r="Q39" i="1"/>
  <c r="P39" i="1"/>
  <c r="M39" i="1"/>
  <c r="L39" i="1"/>
  <c r="K39" i="1"/>
  <c r="J39" i="1"/>
  <c r="D39" i="1" s="1"/>
  <c r="E39" i="1"/>
  <c r="Q38" i="1"/>
  <c r="M38" i="1"/>
  <c r="L38" i="1"/>
  <c r="K38" i="1"/>
  <c r="E38" i="1" s="1"/>
  <c r="J38" i="1"/>
  <c r="P38" i="1" s="1"/>
  <c r="Q37" i="1"/>
  <c r="M37" i="1"/>
  <c r="L37" i="1"/>
  <c r="K37" i="1"/>
  <c r="J37" i="1"/>
  <c r="E37" i="1"/>
  <c r="D37" i="1"/>
  <c r="Q36" i="1"/>
  <c r="P36" i="1"/>
  <c r="M36" i="1"/>
  <c r="L36" i="1"/>
  <c r="K36" i="1"/>
  <c r="J36" i="1"/>
  <c r="E36" i="1"/>
  <c r="D36" i="1"/>
  <c r="Q35" i="1"/>
  <c r="M35" i="1"/>
  <c r="L35" i="1"/>
  <c r="K35" i="1"/>
  <c r="J35" i="1"/>
  <c r="P35" i="1" s="1"/>
  <c r="E35" i="1"/>
  <c r="Q34" i="1"/>
  <c r="P34" i="1"/>
  <c r="M34" i="1"/>
  <c r="L34" i="1"/>
  <c r="K34" i="1"/>
  <c r="J34" i="1"/>
  <c r="E34" i="1"/>
  <c r="D34" i="1"/>
  <c r="Q33" i="1"/>
  <c r="P33" i="1"/>
  <c r="M33" i="1"/>
  <c r="L33" i="1"/>
  <c r="K33" i="1"/>
  <c r="J33" i="1"/>
  <c r="E33" i="1"/>
  <c r="D33" i="1"/>
  <c r="Q32" i="1"/>
  <c r="M32" i="1"/>
  <c r="L32" i="1"/>
  <c r="K32" i="1"/>
  <c r="J32" i="1"/>
  <c r="P32" i="1" s="1"/>
  <c r="E32" i="1"/>
  <c r="Q31" i="1"/>
  <c r="P31" i="1"/>
  <c r="M31" i="1"/>
  <c r="L31" i="1"/>
  <c r="K31" i="1"/>
  <c r="J31" i="1"/>
  <c r="E31" i="1"/>
  <c r="D31" i="1"/>
  <c r="K30" i="1"/>
  <c r="J30" i="1"/>
  <c r="D30" i="1" s="1"/>
  <c r="E30" i="1"/>
  <c r="Q29" i="1"/>
  <c r="P29" i="1"/>
  <c r="M29" i="1"/>
  <c r="L29" i="1"/>
  <c r="K29" i="1"/>
  <c r="J29" i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Q26" i="1"/>
  <c r="P26" i="1"/>
  <c r="M26" i="1"/>
  <c r="L26" i="1"/>
  <c r="K26" i="1"/>
  <c r="J26" i="1"/>
  <c r="E26" i="1"/>
  <c r="D26" i="1"/>
  <c r="Q25" i="1"/>
  <c r="P25" i="1"/>
  <c r="M25" i="1"/>
  <c r="L25" i="1"/>
  <c r="K25" i="1"/>
  <c r="J25" i="1"/>
  <c r="E25" i="1"/>
  <c r="D25" i="1"/>
  <c r="R24" i="1"/>
  <c r="Q24" i="1"/>
  <c r="M24" i="1"/>
  <c r="L24" i="1"/>
  <c r="K24" i="1"/>
  <c r="E24" i="1" s="1"/>
  <c r="J24" i="1"/>
  <c r="P24" i="1" s="1"/>
  <c r="Q23" i="1"/>
  <c r="P23" i="1"/>
  <c r="M23" i="1"/>
  <c r="L23" i="1"/>
  <c r="K23" i="1"/>
  <c r="J23" i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P19" i="1"/>
  <c r="M19" i="1"/>
  <c r="L19" i="1"/>
  <c r="K19" i="1"/>
  <c r="J19" i="1"/>
  <c r="E19" i="1"/>
  <c r="D19" i="1"/>
  <c r="E18" i="1"/>
  <c r="D18" i="1"/>
  <c r="Q17" i="1"/>
  <c r="M17" i="1"/>
  <c r="L17" i="1"/>
  <c r="K17" i="1"/>
  <c r="E17" i="1" s="1"/>
  <c r="J17" i="1"/>
  <c r="P17" i="1" s="1"/>
  <c r="Q16" i="1"/>
  <c r="P16" i="1"/>
  <c r="M16" i="1"/>
  <c r="L16" i="1"/>
  <c r="K16" i="1"/>
  <c r="J16" i="1"/>
  <c r="E16" i="1"/>
  <c r="D16" i="1"/>
  <c r="Q15" i="1"/>
  <c r="P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P14" i="1" s="1"/>
  <c r="Q13" i="1"/>
  <c r="P13" i="1"/>
  <c r="M13" i="1"/>
  <c r="L13" i="1"/>
  <c r="K13" i="1"/>
  <c r="J13" i="1"/>
  <c r="E13" i="1"/>
  <c r="D13" i="1"/>
  <c r="Q12" i="1"/>
  <c r="P12" i="1"/>
  <c r="M12" i="1"/>
  <c r="L12" i="1"/>
  <c r="K12" i="1"/>
  <c r="J12" i="1"/>
  <c r="D12" i="1" s="1"/>
  <c r="E12" i="1"/>
  <c r="Q11" i="1"/>
  <c r="M11" i="1"/>
  <c r="L11" i="1"/>
  <c r="K11" i="1"/>
  <c r="E11" i="1" s="1"/>
  <c r="J11" i="1"/>
  <c r="P11" i="1" s="1"/>
  <c r="Q10" i="1"/>
  <c r="P10" i="1"/>
  <c r="M10" i="1"/>
  <c r="L10" i="1"/>
  <c r="K10" i="1"/>
  <c r="J10" i="1"/>
  <c r="E10" i="1"/>
  <c r="D10" i="1"/>
  <c r="Q9" i="1"/>
  <c r="P9" i="1"/>
  <c r="M9" i="1"/>
  <c r="L9" i="1"/>
  <c r="K9" i="1"/>
  <c r="J9" i="1"/>
  <c r="D9" i="1" s="1"/>
  <c r="E9" i="1"/>
  <c r="D11" i="1" l="1"/>
  <c r="D14" i="1"/>
  <c r="D17" i="1"/>
  <c r="D24" i="1"/>
  <c r="D38" i="1"/>
  <c r="D41" i="1"/>
  <c r="D44" i="1"/>
  <c r="D27" i="1"/>
  <c r="D32" i="1"/>
  <c r="D35" i="1"/>
  <c r="D85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<sst xmlns="http://schemas.openxmlformats.org/spreadsheetml/2006/main" count="271" uniqueCount="185">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</sst>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" xfId="3" xr:uid="{BB69A78A-2F83-42C0-AA7E-D749A8E7E013}"/>
    <cellStyle name="Comma 5 2 2 2 2 2 2 2 2 2 2 2" xfId="4" xr:uid="{8224990B-E8A8-44C9-9FFC-ABFBAB10ADB6}"/>
    <cellStyle name="Comma 6 2 2 2 2 2 2" xfId="5" xr:uid="{19FDC350-5EC1-4A7A-A536-475D0CCD6DC6}"/>
    <cellStyle name="Hyperlink 2" xfId="8" xr:uid="{F964A9AC-F3D6-4888-868C-90C11657C82E}"/>
    <cellStyle name="Normal" xfId="0" builtinId="0"/>
    <cellStyle name="Normal 2" xfId="2" xr:uid="{D00B30C9-CC54-4D44-B369-7842EC04915B}"/>
    <cellStyle name="Normal 20" xfId="7" xr:uid="{60DA93D3-E232-4BDC-8D94-A79D8C91C080}"/>
    <cellStyle name="Percent" xfId="1" builtinId="5"/>
    <cellStyle name="Percent 3" xfId="6" xr:uid="{C6081328-2492-4BDE-AC20-11C3E30B7579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94B2D73-BBB9-4211-8039-0370DECB4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9C24E6B2-522A-4DE7-8CE4-4FA95325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2913-F29C-456E-B234-7DBD4BEB8DB0}">
  <dimension ref="A1:II107"/>
  <sheetViews>
    <sheetView tabSelected="1" zoomScale="70" zoomScaleNormal="70" workbookViewId="0">
      <selection activeCell="O59" sqref="O5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26.653099999999998</v>
      </c>
      <c r="K5" s="22"/>
      <c r="L5" s="147" t="s">
        <v>12</v>
      </c>
      <c r="M5" s="148"/>
      <c r="N5" s="23" t="s">
        <v>13</v>
      </c>
      <c r="O5" s="24"/>
      <c r="P5" s="24"/>
      <c r="Q5" s="25"/>
    </row>
    <row r="6" spans="1:19" ht="6.6" customHeight="1" x14ac:dyDescent="0.3">
      <c r="A6" s="137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40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81570026.479096249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0.64720426516990526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2.3176608695652169E-2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3304419.4561159867</v>
      </c>
      <c r="E10" s="39">
        <f t="shared" si="1"/>
        <v>2752281.9439314064</v>
      </c>
      <c r="F10" s="40" t="s">
        <v>34</v>
      </c>
      <c r="G10" s="41">
        <v>3.1600000000000003E-2</v>
      </c>
      <c r="H10" s="42">
        <v>5.0210999999999999E-2</v>
      </c>
      <c r="I10" s="43">
        <v>5.4119E-2</v>
      </c>
      <c r="J10" s="44">
        <f t="shared" ref="J10:J17" si="7">I10/$J$5</f>
        <v>2.0304955145930494E-3</v>
      </c>
      <c r="K10" s="45">
        <f t="shared" si="2"/>
        <v>1.69121875E-3</v>
      </c>
      <c r="L10" s="46">
        <f t="shared" si="3"/>
        <v>3.9080000000000018E-3</v>
      </c>
      <c r="M10" s="46">
        <f t="shared" si="4"/>
        <v>7.783155085539029</v>
      </c>
      <c r="N10" s="51">
        <v>246000</v>
      </c>
      <c r="O10" s="37">
        <v>13313.38</v>
      </c>
      <c r="P10" s="52">
        <f t="shared" si="5"/>
        <v>0</v>
      </c>
      <c r="Q10" s="49">
        <f t="shared" si="6"/>
        <v>0.71262658227848097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3565910.7414334542</v>
      </c>
      <c r="E11" s="39">
        <f t="shared" si="1"/>
        <v>2970080.4869531249</v>
      </c>
      <c r="F11" s="40" t="s">
        <v>39</v>
      </c>
      <c r="G11" s="41">
        <v>7.8E-2</v>
      </c>
      <c r="H11" s="42">
        <v>0.2175</v>
      </c>
      <c r="I11" s="43">
        <v>0.2175</v>
      </c>
      <c r="J11" s="44">
        <f t="shared" si="7"/>
        <v>8.1604016043161955E-3</v>
      </c>
      <c r="K11" s="45">
        <f t="shared" si="2"/>
        <v>6.796875E-3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1.7884615384615383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131605238.16147092</v>
      </c>
      <c r="E12" s="39">
        <f t="shared" si="1"/>
        <v>109615236.66379689</v>
      </c>
      <c r="F12" s="40" t="s">
        <v>34</v>
      </c>
      <c r="G12" s="41">
        <v>97.381</v>
      </c>
      <c r="H12" s="42">
        <v>169.99950000000001</v>
      </c>
      <c r="I12" s="43">
        <v>169.99950000000001</v>
      </c>
      <c r="J12" s="44">
        <f t="shared" si="7"/>
        <v>6.3782261725652933</v>
      </c>
      <c r="K12" s="45">
        <f t="shared" si="2"/>
        <v>5.3124843750000004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0.74571528326881031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8193332.1077097971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0.93797719589841333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764771670.24726951</v>
      </c>
      <c r="E14" s="39">
        <f t="shared" si="1"/>
        <v>636985493.88335931</v>
      </c>
      <c r="F14" s="40" t="s">
        <v>47</v>
      </c>
      <c r="G14" s="41">
        <v>11.5</v>
      </c>
      <c r="H14" s="42">
        <v>39</v>
      </c>
      <c r="I14" s="43">
        <v>38.999499999999998</v>
      </c>
      <c r="J14" s="44">
        <f t="shared" si="7"/>
        <v>1.4632256660576068</v>
      </c>
      <c r="K14" s="45">
        <f t="shared" si="2"/>
        <v>1.2187343749999999</v>
      </c>
      <c r="L14" s="46">
        <f t="shared" si="3"/>
        <v>-5.0000000000238742E-4</v>
      </c>
      <c r="M14" s="46">
        <f t="shared" si="4"/>
        <v>-1.2820512820574037E-3</v>
      </c>
      <c r="N14" s="51">
        <v>100</v>
      </c>
      <c r="O14" s="37">
        <v>3899.95</v>
      </c>
      <c r="P14" s="52">
        <f t="shared" si="5"/>
        <v>0</v>
      </c>
      <c r="Q14" s="49">
        <f t="shared" si="6"/>
        <v>2.3912608695652171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27454031.911391169</v>
      </c>
      <c r="E15" s="39">
        <f t="shared" si="1"/>
        <v>22866720.560546871</v>
      </c>
      <c r="F15" s="40" t="s">
        <v>34</v>
      </c>
      <c r="G15" s="41">
        <v>5.39</v>
      </c>
      <c r="H15" s="42">
        <v>6.9004999999999992</v>
      </c>
      <c r="I15" s="43">
        <v>6.9004999999999992</v>
      </c>
      <c r="J15" s="44">
        <f t="shared" si="7"/>
        <v>0.25890046561188002</v>
      </c>
      <c r="K15" s="45">
        <f t="shared" si="2"/>
        <v>0.21564062499999997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0.28024118738404447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80524034.49167265</v>
      </c>
      <c r="E16" s="39">
        <f t="shared" si="1"/>
        <v>67069223.240937501</v>
      </c>
      <c r="F16" s="40" t="s">
        <v>34</v>
      </c>
      <c r="G16" s="41">
        <v>1.9</v>
      </c>
      <c r="H16" s="42">
        <v>5.99</v>
      </c>
      <c r="I16" s="43">
        <v>5.9950000000000001</v>
      </c>
      <c r="J16" s="44">
        <f t="shared" si="7"/>
        <v>0.22492693157643953</v>
      </c>
      <c r="K16" s="45">
        <f t="shared" si="2"/>
        <v>0.18734375</v>
      </c>
      <c r="L16" s="46">
        <f t="shared" si="3"/>
        <v>4.9999999999998934E-3</v>
      </c>
      <c r="M16" s="46">
        <f t="shared" si="4"/>
        <v>8.347245409014846E-2</v>
      </c>
      <c r="N16" s="51">
        <v>800</v>
      </c>
      <c r="O16" s="37">
        <v>4796</v>
      </c>
      <c r="P16" s="52">
        <f t="shared" si="5"/>
        <v>0.22229441201000832</v>
      </c>
      <c r="Q16" s="49">
        <f t="shared" si="6"/>
        <v>2.155263157894737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1416356911.0066745</v>
      </c>
      <c r="E17" s="39">
        <f t="shared" si="1"/>
        <v>1179696949.5235</v>
      </c>
      <c r="F17" s="40" t="s">
        <v>34</v>
      </c>
      <c r="G17" s="41">
        <v>20.701700000000002</v>
      </c>
      <c r="H17" s="42">
        <v>27.272500000000001</v>
      </c>
      <c r="I17" s="43">
        <v>28.009599999999999</v>
      </c>
      <c r="J17" s="44">
        <f t="shared" si="7"/>
        <v>1.0508946426494479</v>
      </c>
      <c r="K17" s="45">
        <f t="shared" si="2"/>
        <v>0.87529999999999997</v>
      </c>
      <c r="L17" s="46">
        <f t="shared" si="3"/>
        <v>0.73709999999999809</v>
      </c>
      <c r="M17" s="46">
        <f t="shared" si="4"/>
        <v>2.7027225226876821</v>
      </c>
      <c r="N17" s="51">
        <v>107600</v>
      </c>
      <c r="O17" s="37">
        <v>3013829.95</v>
      </c>
      <c r="P17" s="48">
        <f t="shared" si="5"/>
        <v>0</v>
      </c>
      <c r="Q17" s="49">
        <f t="shared" si="6"/>
        <v>0.35300965621180858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340347802.48826593</v>
      </c>
      <c r="E19" s="39">
        <f t="shared" si="1"/>
        <v>283478875.453125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0.50650768578514327</v>
      </c>
      <c r="K19" s="45">
        <f t="shared" ref="K19:K45" si="9">I19/$K$4</f>
        <v>0.421875</v>
      </c>
      <c r="L19" s="46">
        <f t="shared" ref="L19:L29" si="10">I19-H19</f>
        <v>0</v>
      </c>
      <c r="M19" s="46">
        <f>((I19-H19)/H19)*100</f>
        <v>0</v>
      </c>
      <c r="N19" s="51">
        <v>200</v>
      </c>
      <c r="O19" s="37">
        <v>2700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3800633.3458396965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3.4892751687420981E-2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77292211.191193521</v>
      </c>
      <c r="E21" s="39">
        <f t="shared" si="1"/>
        <v>64377407.315624997</v>
      </c>
      <c r="F21" s="40" t="s">
        <v>47</v>
      </c>
      <c r="G21" s="41">
        <v>2.85</v>
      </c>
      <c r="H21" s="42">
        <v>2.9849999999999999</v>
      </c>
      <c r="I21" s="43">
        <v>2.9849999999999999</v>
      </c>
      <c r="J21" s="44">
        <f t="shared" si="8"/>
        <v>0.11199447719027056</v>
      </c>
      <c r="K21" s="45">
        <f t="shared" si="9"/>
        <v>9.3281249999999996E-2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4.7368421052631504E-2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2013231.5678101236</v>
      </c>
      <c r="E23" s="39">
        <f t="shared" si="1"/>
        <v>1676839.4468750001</v>
      </c>
      <c r="F23" s="40" t="s">
        <v>44</v>
      </c>
      <c r="G23" s="41">
        <v>0.1</v>
      </c>
      <c r="H23" s="42">
        <v>0.1</v>
      </c>
      <c r="I23" s="43">
        <v>0.1</v>
      </c>
      <c r="J23" s="44">
        <f t="shared" si="8"/>
        <v>3.7519087835936535E-3</v>
      </c>
      <c r="K23" s="45">
        <f t="shared" si="9"/>
        <v>3.1250000000000002E-3</v>
      </c>
      <c r="L23" s="46">
        <f t="shared" si="10"/>
        <v>0</v>
      </c>
      <c r="M23" s="46">
        <f t="shared" ref="M23:M29" si="12">((I23-H23)/H23)*100</f>
        <v>0</v>
      </c>
      <c r="N23" s="51">
        <v>1400</v>
      </c>
      <c r="O23" s="37">
        <v>140</v>
      </c>
      <c r="P23" s="52">
        <f t="shared" ref="P23:P29" si="13">(R23)/J23</f>
        <v>0</v>
      </c>
      <c r="Q23" s="49">
        <f t="shared" si="11"/>
        <v>0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67113178.624699265</v>
      </c>
      <c r="E24" s="39">
        <f t="shared" si="1"/>
        <v>55899195.662561625</v>
      </c>
      <c r="F24" s="40" t="s">
        <v>34</v>
      </c>
      <c r="G24" s="41">
        <v>8.1687659999999997</v>
      </c>
      <c r="H24" s="42">
        <v>9.2672729999999994</v>
      </c>
      <c r="I24" s="43">
        <v>9.2672729999999994</v>
      </c>
      <c r="J24" s="44">
        <f t="shared" si="8"/>
        <v>0.34769962968660306</v>
      </c>
      <c r="K24" s="45">
        <f t="shared" si="9"/>
        <v>0.28960228124999998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4.314068442787862E-2</v>
      </c>
      <c r="Q24" s="49">
        <f t="shared" si="11"/>
        <v>0.13447649253265426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101306580.26270866</v>
      </c>
      <c r="E25" s="39">
        <f t="shared" si="1"/>
        <v>84379200.450000003</v>
      </c>
      <c r="F25" s="40" t="s">
        <v>66</v>
      </c>
      <c r="G25" s="41">
        <v>1.6675</v>
      </c>
      <c r="H25" s="42">
        <v>1.6511760000000002</v>
      </c>
      <c r="I25" s="43">
        <v>1.6</v>
      </c>
      <c r="J25" s="44">
        <f t="shared" si="8"/>
        <v>6.0030540537498456E-2</v>
      </c>
      <c r="K25" s="45">
        <f t="shared" si="9"/>
        <v>0.05</v>
      </c>
      <c r="L25" s="46">
        <f t="shared" si="10"/>
        <v>-5.117600000000011E-2</v>
      </c>
      <c r="M25" s="46">
        <f t="shared" si="12"/>
        <v>-3.0993667543617458</v>
      </c>
      <c r="N25" s="51">
        <v>2500</v>
      </c>
      <c r="O25" s="37">
        <v>4000</v>
      </c>
      <c r="P25" s="52">
        <f t="shared" si="13"/>
        <v>0</v>
      </c>
      <c r="Q25" s="49">
        <f t="shared" si="11"/>
        <v>-4.0479760119939923E-2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26855054.006100606</v>
      </c>
      <c r="E26" s="39">
        <f t="shared" si="1"/>
        <v>22367826.247812502</v>
      </c>
      <c r="F26" s="40" t="s">
        <v>44</v>
      </c>
      <c r="G26" s="41">
        <v>1.7994999999999999</v>
      </c>
      <c r="H26" s="42">
        <v>2.6</v>
      </c>
      <c r="I26" s="43">
        <v>2.99</v>
      </c>
      <c r="J26" s="44">
        <f t="shared" si="8"/>
        <v>0.11218207262945025</v>
      </c>
      <c r="K26" s="45">
        <f t="shared" si="9"/>
        <v>9.3437500000000007E-2</v>
      </c>
      <c r="L26" s="46">
        <f t="shared" si="10"/>
        <v>0.39000000000000012</v>
      </c>
      <c r="M26" s="46">
        <f t="shared" si="12"/>
        <v>15.000000000000005</v>
      </c>
      <c r="N26" s="51">
        <v>1600</v>
      </c>
      <c r="O26" s="37">
        <v>4784</v>
      </c>
      <c r="P26" s="52">
        <f t="shared" si="13"/>
        <v>0</v>
      </c>
      <c r="Q26" s="49">
        <f t="shared" si="11"/>
        <v>0.66157265907196461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23089327.517343201</v>
      </c>
      <c r="E27" s="39">
        <f t="shared" si="1"/>
        <v>19231317.351640623</v>
      </c>
      <c r="F27" s="40" t="s">
        <v>34</v>
      </c>
      <c r="G27" s="41">
        <v>3.1361369999999997</v>
      </c>
      <c r="H27" s="42">
        <v>2.4</v>
      </c>
      <c r="I27" s="43">
        <v>2.4024999999999999</v>
      </c>
      <c r="J27" s="44">
        <f t="shared" si="8"/>
        <v>9.0139608525837522E-2</v>
      </c>
      <c r="K27" s="45">
        <f t="shared" si="9"/>
        <v>7.5078124999999996E-2</v>
      </c>
      <c r="L27" s="46">
        <f t="shared" si="10"/>
        <v>2.4999999999999467E-3</v>
      </c>
      <c r="M27" s="46">
        <f t="shared" si="12"/>
        <v>0.10416666666666445</v>
      </c>
      <c r="N27" s="51">
        <v>100</v>
      </c>
      <c r="O27" s="37">
        <v>240.25</v>
      </c>
      <c r="P27" s="52">
        <f t="shared" si="13"/>
        <v>0</v>
      </c>
      <c r="Q27" s="49">
        <f t="shared" si="11"/>
        <v>-0.233930150372895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25516104.727029879</v>
      </c>
      <c r="E28" s="39">
        <f t="shared" si="1"/>
        <v>21252602.840624999</v>
      </c>
      <c r="F28" s="40" t="s">
        <v>44</v>
      </c>
      <c r="G28" s="41">
        <v>0.8</v>
      </c>
      <c r="H28" s="42">
        <v>0.9</v>
      </c>
      <c r="I28" s="43">
        <v>0.9</v>
      </c>
      <c r="J28" s="44">
        <f t="shared" si="8"/>
        <v>3.3767179052342881E-2</v>
      </c>
      <c r="K28" s="45">
        <f t="shared" si="9"/>
        <v>2.8125000000000001E-2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0.125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114754857.73062044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0.25550498816272776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4700</v>
      </c>
      <c r="O29" s="37">
        <v>32007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15015296.178850865</v>
      </c>
      <c r="E31" s="39">
        <f t="shared" si="1"/>
        <v>12506380.955766562</v>
      </c>
      <c r="F31" s="40" t="s">
        <v>39</v>
      </c>
      <c r="G31" s="41">
        <v>1.4</v>
      </c>
      <c r="H31" s="42">
        <v>1.540103</v>
      </c>
      <c r="I31" s="43">
        <v>1.5400389999999999</v>
      </c>
      <c r="J31" s="44">
        <f t="shared" si="8"/>
        <v>5.7780858511767862E-2</v>
      </c>
      <c r="K31" s="45">
        <f t="shared" si="9"/>
        <v>4.8126218749999998E-2</v>
      </c>
      <c r="L31" s="46">
        <f t="shared" ref="L31:L45" si="14">I31-H31</f>
        <v>-6.4000000000064006E-5</v>
      </c>
      <c r="M31" s="46">
        <f t="shared" ref="M31:M45" si="15">((I31-H31)/H31)*100</f>
        <v>-4.1555662186271956E-3</v>
      </c>
      <c r="N31" s="51">
        <v>41500</v>
      </c>
      <c r="O31" s="37">
        <v>63911.6</v>
      </c>
      <c r="P31" s="52">
        <f t="shared" ref="P31:P36" si="16">(R31)/J31</f>
        <v>0</v>
      </c>
      <c r="Q31" s="49">
        <f t="shared" ref="Q31:Q45" si="17">I31/G31-1</f>
        <v>0.10002785714285722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4486865.7154327268</v>
      </c>
      <c r="E32" s="39">
        <f t="shared" si="1"/>
        <v>3737152.5187499998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3.6768706079217804E-2</v>
      </c>
      <c r="K32" s="45">
        <f t="shared" si="9"/>
        <v>3.0624999999999999E-2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120781044.24888663</v>
      </c>
      <c r="E33" s="39">
        <f t="shared" si="1"/>
        <v>100599664.07718751</v>
      </c>
      <c r="F33" s="40" t="s">
        <v>92</v>
      </c>
      <c r="G33" s="41">
        <v>1.44</v>
      </c>
      <c r="H33" s="42">
        <v>1.4202860000000002</v>
      </c>
      <c r="I33" s="43">
        <v>1.29</v>
      </c>
      <c r="J33" s="44">
        <f t="shared" si="8"/>
        <v>4.8399623308358133E-2</v>
      </c>
      <c r="K33" s="45">
        <f t="shared" si="9"/>
        <v>4.0312500000000001E-2</v>
      </c>
      <c r="L33" s="46">
        <f t="shared" si="14"/>
        <v>-0.13028600000000012</v>
      </c>
      <c r="M33" s="46">
        <f t="shared" si="15"/>
        <v>-9.1732228579314388</v>
      </c>
      <c r="N33" s="51">
        <v>200</v>
      </c>
      <c r="O33" s="37">
        <v>258</v>
      </c>
      <c r="P33" s="52">
        <f t="shared" si="16"/>
        <v>0</v>
      </c>
      <c r="Q33" s="49">
        <f t="shared" si="17"/>
        <v>-0.10416666666666663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42916687.006807163</v>
      </c>
      <c r="E34" s="39">
        <f t="shared" si="1"/>
        <v>35745710.951910377</v>
      </c>
      <c r="F34" s="40" t="s">
        <v>34</v>
      </c>
      <c r="G34" s="41">
        <v>3.6056249999999999</v>
      </c>
      <c r="H34" s="42">
        <v>4.4122640000000004</v>
      </c>
      <c r="I34" s="43">
        <v>4.5124040000000001</v>
      </c>
      <c r="J34" s="44">
        <f t="shared" si="8"/>
        <v>0.16930128202723135</v>
      </c>
      <c r="K34" s="45">
        <f t="shared" si="9"/>
        <v>0.141012625</v>
      </c>
      <c r="L34" s="46">
        <f t="shared" si="14"/>
        <v>0.10013999999999967</v>
      </c>
      <c r="M34" s="46">
        <f t="shared" si="15"/>
        <v>2.2695831437103418</v>
      </c>
      <c r="N34" s="51">
        <v>181400</v>
      </c>
      <c r="O34" s="37">
        <v>818550</v>
      </c>
      <c r="P34" s="52">
        <f t="shared" si="16"/>
        <v>0</v>
      </c>
      <c r="Q34" s="49">
        <f t="shared" si="17"/>
        <v>0.25149010227075763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9341856.8100968376</v>
      </c>
      <c r="E35" s="39">
        <f t="shared" si="1"/>
        <v>7780920.1170372507</v>
      </c>
      <c r="F35" s="40" t="s">
        <v>34</v>
      </c>
      <c r="G35" s="41">
        <v>2.5099999999999997E-2</v>
      </c>
      <c r="H35" s="42">
        <v>5.2807000000000007E-2</v>
      </c>
      <c r="I35" s="43">
        <v>5.2807000000000007E-2</v>
      </c>
      <c r="J35" s="44">
        <f t="shared" si="8"/>
        <v>1.9812704713523008E-3</v>
      </c>
      <c r="K35" s="45">
        <f t="shared" si="9"/>
        <v>1.6502187500000002E-3</v>
      </c>
      <c r="L35" s="46">
        <f t="shared" si="14"/>
        <v>0</v>
      </c>
      <c r="M35" s="46">
        <f t="shared" si="15"/>
        <v>0</v>
      </c>
      <c r="N35" s="51">
        <v>0</v>
      </c>
      <c r="O35" s="37">
        <v>0</v>
      </c>
      <c r="P35" s="52">
        <f t="shared" si="16"/>
        <v>0</v>
      </c>
      <c r="Q35" s="49">
        <f t="shared" si="17"/>
        <v>1.10386454183267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69357851.211763293</v>
      </c>
      <c r="E36" s="39">
        <f t="shared" si="1"/>
        <v>57768804.504132755</v>
      </c>
      <c r="F36" s="40" t="s">
        <v>92</v>
      </c>
      <c r="G36" s="41">
        <v>0.61</v>
      </c>
      <c r="H36" s="42">
        <v>3.5205360000000003</v>
      </c>
      <c r="I36" s="43">
        <v>3.5205360000000003</v>
      </c>
      <c r="J36" s="44">
        <f t="shared" si="8"/>
        <v>0.13208729941357666</v>
      </c>
      <c r="K36" s="45">
        <f t="shared" si="9"/>
        <v>0.11001675000000001</v>
      </c>
      <c r="L36" s="46">
        <f t="shared" si="14"/>
        <v>0</v>
      </c>
      <c r="M36" s="46">
        <f t="shared" si="15"/>
        <v>0</v>
      </c>
      <c r="N36" s="51">
        <v>0</v>
      </c>
      <c r="O36" s="37">
        <v>0</v>
      </c>
      <c r="P36" s="52">
        <f t="shared" si="16"/>
        <v>0</v>
      </c>
      <c r="Q36" s="49">
        <f t="shared" si="17"/>
        <v>4.7713704918032791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63237447.151368104</v>
      </c>
      <c r="E37" s="39">
        <f t="shared" si="1"/>
        <v>52671062.583441533</v>
      </c>
      <c r="F37" s="40" t="s">
        <v>56</v>
      </c>
      <c r="G37" s="41">
        <v>0.11650199999999999</v>
      </c>
      <c r="H37" s="42">
        <v>0.4</v>
      </c>
      <c r="I37" s="43">
        <v>0.40180100000000002</v>
      </c>
      <c r="J37" s="44">
        <f t="shared" si="8"/>
        <v>1.5075207011567136E-2</v>
      </c>
      <c r="K37" s="45">
        <f t="shared" si="9"/>
        <v>1.2556281250000001E-2</v>
      </c>
      <c r="L37" s="46">
        <f t="shared" si="14"/>
        <v>1.800999999999997E-3</v>
      </c>
      <c r="M37" s="46">
        <f t="shared" si="15"/>
        <v>0.45024999999999926</v>
      </c>
      <c r="N37" s="51">
        <v>333300</v>
      </c>
      <c r="O37" s="37">
        <v>133920.25</v>
      </c>
      <c r="P37" s="52">
        <v>0</v>
      </c>
      <c r="Q37" s="49">
        <f t="shared" si="17"/>
        <v>2.4488764141388133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22750058.083656315</v>
      </c>
      <c r="E38" s="39">
        <f t="shared" si="1"/>
        <v>18948736.659671877</v>
      </c>
      <c r="F38" s="40" t="s">
        <v>39</v>
      </c>
      <c r="G38" s="41">
        <v>0.1</v>
      </c>
      <c r="H38" s="42">
        <v>0.13921900000000001</v>
      </c>
      <c r="I38" s="43">
        <v>0.14050000000000001</v>
      </c>
      <c r="J38" s="44">
        <f t="shared" si="8"/>
        <v>5.2714318409490838E-3</v>
      </c>
      <c r="K38" s="45">
        <f t="shared" si="9"/>
        <v>4.3906250000000004E-3</v>
      </c>
      <c r="L38" s="46">
        <f t="shared" si="14"/>
        <v>1.2810000000000044E-3</v>
      </c>
      <c r="M38" s="46">
        <f t="shared" si="15"/>
        <v>0.9201330278194817</v>
      </c>
      <c r="N38" s="51">
        <v>99600</v>
      </c>
      <c r="O38" s="37">
        <v>13993.8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7989632.5005346471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7.503817567187307E-2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4803047.4059677869</v>
      </c>
      <c r="E40" s="39">
        <f t="shared" si="1"/>
        <v>4000503.2130000005</v>
      </c>
      <c r="F40" s="40" t="s">
        <v>39</v>
      </c>
      <c r="G40" s="41">
        <v>0.03</v>
      </c>
      <c r="H40" s="42">
        <v>7.0400000000000004E-2</v>
      </c>
      <c r="I40" s="43">
        <v>7.2000000000000008E-2</v>
      </c>
      <c r="J40" s="44">
        <f t="shared" si="8"/>
        <v>2.7013743241874307E-3</v>
      </c>
      <c r="K40" s="45">
        <f t="shared" si="9"/>
        <v>2.2500000000000003E-3</v>
      </c>
      <c r="L40" s="46">
        <f t="shared" si="14"/>
        <v>1.6000000000000042E-3</v>
      </c>
      <c r="M40" s="46">
        <f t="shared" si="15"/>
        <v>2.2727272727272787</v>
      </c>
      <c r="N40" s="51">
        <v>7900</v>
      </c>
      <c r="O40" s="37">
        <v>568.79999999999995</v>
      </c>
      <c r="P40" s="52">
        <f t="shared" si="18"/>
        <v>0</v>
      </c>
      <c r="Q40" s="49">
        <f t="shared" si="17"/>
        <v>1.4000000000000004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46010951.596624784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0.26263361485155573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312.91211521361498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6.7534358104685768E-7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1555991.61073196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2.7013743241874307E-3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58667402.889720149</v>
      </c>
      <c r="E44" s="39">
        <f t="shared" si="1"/>
        <v>48864629.873750001</v>
      </c>
      <c r="F44" s="40" t="s">
        <v>47</v>
      </c>
      <c r="G44" s="41">
        <v>0.9998999999999999</v>
      </c>
      <c r="H44" s="42">
        <v>0.86</v>
      </c>
      <c r="I44" s="43">
        <v>0.86</v>
      </c>
      <c r="J44" s="44">
        <f t="shared" si="8"/>
        <v>3.226641553890542E-2</v>
      </c>
      <c r="K44" s="45">
        <f t="shared" si="9"/>
        <v>2.6875E-2</v>
      </c>
      <c r="L44" s="46">
        <f t="shared" si="14"/>
        <v>0</v>
      </c>
      <c r="M44" s="46">
        <f t="shared" si="15"/>
        <v>0</v>
      </c>
      <c r="N44" s="51">
        <v>200</v>
      </c>
      <c r="O44" s="37">
        <v>172</v>
      </c>
      <c r="P44" s="52">
        <f t="shared" si="18"/>
        <v>0</v>
      </c>
      <c r="Q44" s="49">
        <f t="shared" si="17"/>
        <v>-0.13991399139913985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13642027.411445575</v>
      </c>
      <c r="E45" s="39">
        <f t="shared" si="1"/>
        <v>11362572.525</v>
      </c>
      <c r="F45" s="40" t="s">
        <v>47</v>
      </c>
      <c r="G45" s="41">
        <v>1.4503460000000001</v>
      </c>
      <c r="H45" s="42">
        <v>3.7749999999999999</v>
      </c>
      <c r="I45" s="43">
        <v>3.54</v>
      </c>
      <c r="J45" s="44">
        <f t="shared" si="8"/>
        <v>0.13281757093921534</v>
      </c>
      <c r="K45" s="45">
        <f t="shared" si="9"/>
        <v>0.110625</v>
      </c>
      <c r="L45" s="46">
        <f t="shared" si="14"/>
        <v>-0.23499999999999988</v>
      </c>
      <c r="M45" s="46">
        <f t="shared" si="15"/>
        <v>-6.2251655629139044</v>
      </c>
      <c r="N45" s="51">
        <v>1400</v>
      </c>
      <c r="O45" s="37">
        <v>4956</v>
      </c>
      <c r="P45" s="52">
        <v>0</v>
      </c>
      <c r="Q45" s="49">
        <f t="shared" si="17"/>
        <v>1.4407968857086515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1030500</v>
      </c>
      <c r="O47" s="62">
        <f>SUM(O9:O45)</f>
        <v>4116040.98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3" t="s">
        <v>118</v>
      </c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6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85171425.849600002</v>
      </c>
      <c r="E50" s="39">
        <v>0</v>
      </c>
      <c r="F50" s="40" t="s">
        <v>92</v>
      </c>
      <c r="G50" s="71">
        <v>0.1</v>
      </c>
      <c r="H50" s="42">
        <v>0.14949999999999999</v>
      </c>
      <c r="I50" s="42">
        <v>0.15040000000000001</v>
      </c>
      <c r="J50" s="44">
        <f t="shared" ref="J50:J65" si="20">I50</f>
        <v>0.15040000000000001</v>
      </c>
      <c r="K50" s="39">
        <v>0</v>
      </c>
      <c r="L50" s="46">
        <f t="shared" ref="L50:L65" si="21">I50-H50</f>
        <v>9.000000000000119E-4</v>
      </c>
      <c r="M50" s="46">
        <f t="shared" ref="M50:M65" si="22">((I50-H50)/H50)*100</f>
        <v>0.60200668896321863</v>
      </c>
      <c r="N50" s="51">
        <v>234542</v>
      </c>
      <c r="O50" s="37">
        <v>35269.379999999997</v>
      </c>
      <c r="P50" s="72">
        <f>(R50)/J50</f>
        <v>0</v>
      </c>
      <c r="Q50" s="49">
        <f t="shared" ref="Q50:Q65" si="23">J50/G50-1</f>
        <v>0.504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43273936.042199999</v>
      </c>
      <c r="E51" s="39">
        <v>0</v>
      </c>
      <c r="F51" s="40" t="s">
        <v>39</v>
      </c>
      <c r="G51" s="71">
        <v>39.9</v>
      </c>
      <c r="H51" s="42">
        <v>36.021000000000001</v>
      </c>
      <c r="I51" s="42">
        <v>38.918700000000001</v>
      </c>
      <c r="J51" s="44">
        <f t="shared" si="20"/>
        <v>38.918700000000001</v>
      </c>
      <c r="K51" s="39">
        <v>0</v>
      </c>
      <c r="L51" s="46">
        <f t="shared" si="21"/>
        <v>2.8977000000000004</v>
      </c>
      <c r="M51" s="46">
        <f t="shared" si="22"/>
        <v>8.0444740568002011</v>
      </c>
      <c r="N51" s="51">
        <v>8140</v>
      </c>
      <c r="O51" s="37">
        <v>316798.15000000002</v>
      </c>
      <c r="P51" s="73">
        <f>(R51)/J51</f>
        <v>1.4388969826844166E-2</v>
      </c>
      <c r="Q51" s="49">
        <f t="shared" si="23"/>
        <v>-2.4593984962405946E-2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681614777.64339995</v>
      </c>
      <c r="E52" s="39"/>
      <c r="F52" s="40" t="s">
        <v>56</v>
      </c>
      <c r="G52" s="71">
        <v>0.33</v>
      </c>
      <c r="H52" s="42">
        <v>0.2283</v>
      </c>
      <c r="I52" s="42">
        <v>0.2278</v>
      </c>
      <c r="J52" s="44">
        <f t="shared" si="20"/>
        <v>0.2278</v>
      </c>
      <c r="K52" s="39">
        <v>0</v>
      </c>
      <c r="L52" s="46">
        <f t="shared" si="21"/>
        <v>-5.0000000000000044E-4</v>
      </c>
      <c r="M52" s="46">
        <f t="shared" si="22"/>
        <v>-0.21901007446342552</v>
      </c>
      <c r="N52" s="51">
        <v>27097</v>
      </c>
      <c r="O52" s="37">
        <v>6172.44</v>
      </c>
      <c r="P52" s="72">
        <v>0</v>
      </c>
      <c r="Q52" s="49">
        <f t="shared" si="23"/>
        <v>-0.30969696969696969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14633782.632000001</v>
      </c>
      <c r="E53" s="39">
        <v>0</v>
      </c>
      <c r="F53" s="40" t="s">
        <v>34</v>
      </c>
      <c r="G53" s="71">
        <v>2.3E-2</v>
      </c>
      <c r="H53" s="42">
        <v>2.46E-2</v>
      </c>
      <c r="I53" s="42">
        <v>2.4E-2</v>
      </c>
      <c r="J53" s="44">
        <f t="shared" si="20"/>
        <v>2.4E-2</v>
      </c>
      <c r="K53" s="39">
        <v>0</v>
      </c>
      <c r="L53" s="46">
        <f t="shared" si="21"/>
        <v>-5.9999999999999984E-4</v>
      </c>
      <c r="M53" s="46">
        <f t="shared" si="22"/>
        <v>-2.4390243902439019</v>
      </c>
      <c r="N53" s="51">
        <v>288</v>
      </c>
      <c r="O53" s="37">
        <v>6.91</v>
      </c>
      <c r="P53" s="72">
        <f t="shared" ref="P53:P65" si="24">(R53)/J53</f>
        <v>0</v>
      </c>
      <c r="Q53" s="49">
        <f t="shared" si="23"/>
        <v>4.3478260869565188E-2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359223793.80690002</v>
      </c>
      <c r="E54" s="39">
        <v>0</v>
      </c>
      <c r="F54" s="40" t="s">
        <v>47</v>
      </c>
      <c r="G54" s="71">
        <v>9.0200000000000002E-2</v>
      </c>
      <c r="H54" s="42">
        <v>0.16950000000000001</v>
      </c>
      <c r="I54" s="42">
        <v>0.1661</v>
      </c>
      <c r="J54" s="44">
        <f t="shared" si="20"/>
        <v>0.1661</v>
      </c>
      <c r="K54" s="39">
        <v>0</v>
      </c>
      <c r="L54" s="46">
        <f t="shared" si="21"/>
        <v>-3.4000000000000141E-3</v>
      </c>
      <c r="M54" s="74">
        <f t="shared" si="22"/>
        <v>-2.0058997050147576</v>
      </c>
      <c r="N54" s="51">
        <v>1295</v>
      </c>
      <c r="O54" s="37">
        <v>215.13</v>
      </c>
      <c r="P54" s="72">
        <f t="shared" si="24"/>
        <v>0</v>
      </c>
      <c r="Q54" s="49">
        <f t="shared" si="23"/>
        <v>0.8414634146341462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857842447.27499998</v>
      </c>
      <c r="E55" s="39">
        <v>0</v>
      </c>
      <c r="F55" s="40" t="s">
        <v>34</v>
      </c>
      <c r="G55" s="71">
        <v>0.95750000000000002</v>
      </c>
      <c r="H55" s="42">
        <v>1.4917</v>
      </c>
      <c r="I55" s="42">
        <v>1.4895</v>
      </c>
      <c r="J55" s="44">
        <f t="shared" si="20"/>
        <v>1.4895</v>
      </c>
      <c r="K55" s="39">
        <v>0</v>
      </c>
      <c r="L55" s="46">
        <f t="shared" si="21"/>
        <v>-2.1999999999999797E-3</v>
      </c>
      <c r="M55" s="46">
        <f t="shared" si="22"/>
        <v>-0.14748273781591337</v>
      </c>
      <c r="N55" s="51">
        <v>749971</v>
      </c>
      <c r="O55" s="37">
        <v>1117052.3500000001</v>
      </c>
      <c r="P55" s="73">
        <f t="shared" si="24"/>
        <v>3.1554212823095E-2</v>
      </c>
      <c r="Q55" s="49">
        <f t="shared" si="23"/>
        <v>0.55561357702349867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24549129.188999999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0.14949999999999999</v>
      </c>
      <c r="J56" s="44">
        <f t="shared" si="20"/>
        <v>0.14949999999999999</v>
      </c>
      <c r="K56" s="39">
        <v>0</v>
      </c>
      <c r="L56" s="46">
        <f t="shared" si="21"/>
        <v>-5.0000000000000044E-4</v>
      </c>
      <c r="M56" s="46">
        <f t="shared" si="22"/>
        <v>-0.33333333333333365</v>
      </c>
      <c r="N56" s="51">
        <v>1487</v>
      </c>
      <c r="O56" s="37">
        <v>222.33</v>
      </c>
      <c r="P56" s="72">
        <f t="shared" si="24"/>
        <v>0</v>
      </c>
      <c r="Q56" s="49">
        <f t="shared" si="23"/>
        <v>-6.2695924764890387E-2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26104856.539000001</v>
      </c>
      <c r="E57" s="39">
        <v>0</v>
      </c>
      <c r="F57" s="40" t="s">
        <v>92</v>
      </c>
      <c r="G57" s="71">
        <v>1.6799999999999999E-2</v>
      </c>
      <c r="H57" s="42">
        <v>2.5000000000000001E-2</v>
      </c>
      <c r="I57" s="42">
        <v>2.6499999999999999E-2</v>
      </c>
      <c r="J57" s="44">
        <f t="shared" si="20"/>
        <v>2.6499999999999999E-2</v>
      </c>
      <c r="K57" s="39">
        <v>0</v>
      </c>
      <c r="L57" s="46">
        <f t="shared" si="21"/>
        <v>1.4999999999999979E-3</v>
      </c>
      <c r="M57" s="74">
        <f t="shared" si="22"/>
        <v>5.9999999999999911</v>
      </c>
      <c r="N57" s="51">
        <v>1112546</v>
      </c>
      <c r="O57" s="37">
        <v>29445.45</v>
      </c>
      <c r="P57" s="72">
        <f t="shared" si="24"/>
        <v>0</v>
      </c>
      <c r="Q57" s="49">
        <f t="shared" si="23"/>
        <v>0.57738095238095233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14.5982</v>
      </c>
      <c r="I58" s="42">
        <v>17</v>
      </c>
      <c r="J58" s="44">
        <f t="shared" si="20"/>
        <v>17</v>
      </c>
      <c r="K58" s="39">
        <v>0</v>
      </c>
      <c r="L58" s="46">
        <f t="shared" si="21"/>
        <v>2.4017999999999997</v>
      </c>
      <c r="M58" s="46">
        <f t="shared" si="22"/>
        <v>16.452713348221014</v>
      </c>
      <c r="N58" s="51">
        <v>6</v>
      </c>
      <c r="O58" s="37">
        <v>102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4040137085.7941999</v>
      </c>
      <c r="E59" s="39">
        <v>0</v>
      </c>
      <c r="F59" s="40" t="s">
        <v>47</v>
      </c>
      <c r="G59" s="71">
        <v>0.78169999999999995</v>
      </c>
      <c r="H59" s="52">
        <v>0.89959999999999996</v>
      </c>
      <c r="I59" s="42">
        <v>0.8982</v>
      </c>
      <c r="J59" s="44">
        <f t="shared" si="20"/>
        <v>0.8982</v>
      </c>
      <c r="K59" s="39">
        <v>0</v>
      </c>
      <c r="L59" s="46">
        <f t="shared" si="21"/>
        <v>-1.3999999999999568E-3</v>
      </c>
      <c r="M59" s="46">
        <f t="shared" si="22"/>
        <v>-0.15562472209870573</v>
      </c>
      <c r="N59" s="75">
        <v>7739</v>
      </c>
      <c r="O59" s="76">
        <v>69.511400000000009</v>
      </c>
      <c r="P59" s="72">
        <f t="shared" si="24"/>
        <v>0</v>
      </c>
      <c r="Q59" s="49">
        <f t="shared" si="23"/>
        <v>0.14903415632595629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1115372310.8153999</v>
      </c>
      <c r="E60" s="39">
        <v>0</v>
      </c>
      <c r="F60" s="40" t="s">
        <v>92</v>
      </c>
      <c r="G60" s="71">
        <v>0.59499999999999997</v>
      </c>
      <c r="H60" s="42">
        <v>1.3145</v>
      </c>
      <c r="I60" s="42">
        <v>1.3854</v>
      </c>
      <c r="J60" s="44">
        <f t="shared" si="20"/>
        <v>1.3854</v>
      </c>
      <c r="K60" s="39">
        <v>0</v>
      </c>
      <c r="L60" s="46">
        <f t="shared" si="21"/>
        <v>7.0899999999999963E-2</v>
      </c>
      <c r="M60" s="46">
        <f t="shared" si="22"/>
        <v>5.3936858120958515</v>
      </c>
      <c r="N60" s="51">
        <v>958722</v>
      </c>
      <c r="O60" s="37">
        <v>1328231.77</v>
      </c>
      <c r="P60" s="72">
        <f t="shared" si="24"/>
        <v>0</v>
      </c>
      <c r="Q60" s="49">
        <f t="shared" si="23"/>
        <v>1.3284033613445381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117321533.10000001</v>
      </c>
      <c r="E61" s="39">
        <v>0</v>
      </c>
      <c r="F61" s="40" t="s">
        <v>34</v>
      </c>
      <c r="G61" s="71">
        <v>0.22600000000000001</v>
      </c>
      <c r="H61" s="42">
        <v>0.43740000000000001</v>
      </c>
      <c r="I61" s="42">
        <v>0.45</v>
      </c>
      <c r="J61" s="44">
        <f t="shared" si="20"/>
        <v>0.45</v>
      </c>
      <c r="K61" s="39">
        <v>0</v>
      </c>
      <c r="L61" s="46">
        <f t="shared" si="21"/>
        <v>1.26E-2</v>
      </c>
      <c r="M61" s="46">
        <f t="shared" si="22"/>
        <v>2.880658436213992</v>
      </c>
      <c r="N61" s="51">
        <v>66</v>
      </c>
      <c r="O61" s="37">
        <v>29.7</v>
      </c>
      <c r="P61" s="72">
        <f t="shared" si="24"/>
        <v>0</v>
      </c>
      <c r="Q61" s="49">
        <f t="shared" si="23"/>
        <v>0.99115044247787609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401399938.63199997</v>
      </c>
      <c r="E62" s="39">
        <v>0</v>
      </c>
      <c r="F62" s="40" t="s">
        <v>34</v>
      </c>
      <c r="G62" s="71">
        <v>0.49440000000000001</v>
      </c>
      <c r="H62" s="42">
        <v>0.72960000000000003</v>
      </c>
      <c r="I62" s="42">
        <v>0.71399999999999997</v>
      </c>
      <c r="J62" s="44">
        <f t="shared" si="20"/>
        <v>0.71399999999999997</v>
      </c>
      <c r="K62" s="39">
        <v>0</v>
      </c>
      <c r="L62" s="46">
        <f t="shared" si="21"/>
        <v>-1.5600000000000058E-2</v>
      </c>
      <c r="M62" s="46">
        <f t="shared" si="22"/>
        <v>-2.13815789473685</v>
      </c>
      <c r="N62" s="51">
        <v>42686</v>
      </c>
      <c r="O62" s="37">
        <v>30478.01</v>
      </c>
      <c r="P62" s="72">
        <f t="shared" si="24"/>
        <v>0</v>
      </c>
      <c r="Q62" s="49">
        <f t="shared" si="23"/>
        <v>0.44417475728155331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0</v>
      </c>
      <c r="M63" s="46">
        <f t="shared" si="22"/>
        <v>0</v>
      </c>
      <c r="N63" s="51">
        <v>3229</v>
      </c>
      <c r="O63" s="37">
        <v>807.25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1">
        <v>4.2999999999999997E-2</v>
      </c>
      <c r="H65" s="42">
        <v>0.1217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-1.7000000000000071E-3</v>
      </c>
      <c r="M65" s="46">
        <f t="shared" si="22"/>
        <v>-1.3968775677896526</v>
      </c>
      <c r="N65" s="51">
        <v>350</v>
      </c>
      <c r="O65" s="37">
        <v>42</v>
      </c>
      <c r="P65" s="72">
        <f t="shared" si="24"/>
        <v>0</v>
      </c>
      <c r="Q65" s="49">
        <f t="shared" si="23"/>
        <v>1.7906976744186047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3148164</v>
      </c>
      <c r="O66" s="63">
        <f>SUM(O50:O65)</f>
        <v>2864942.3814000003</v>
      </c>
      <c r="P66" s="80"/>
      <c r="Q66" s="64"/>
    </row>
    <row r="67" spans="1:20" ht="12.6" hidden="1" x14ac:dyDescent="0.3">
      <c r="A67" s="137" t="s">
        <v>152</v>
      </c>
      <c r="B67" s="138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40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7" t="s">
        <v>156</v>
      </c>
      <c r="B70" s="138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40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44562257.781300001</v>
      </c>
      <c r="E71" s="39">
        <f>C71*K71</f>
        <v>44562257.781300001</v>
      </c>
      <c r="F71" s="92" t="s">
        <v>159</v>
      </c>
      <c r="G71" s="92">
        <v>0.24</v>
      </c>
      <c r="H71" s="93">
        <v>0.32750000000000001</v>
      </c>
      <c r="I71" s="93">
        <v>0.31990000000000002</v>
      </c>
      <c r="J71" s="94">
        <f>I71</f>
        <v>0.31990000000000002</v>
      </c>
      <c r="K71" s="94">
        <f>J71</f>
        <v>0.31990000000000002</v>
      </c>
      <c r="L71" s="46">
        <f>I71-H71</f>
        <v>-7.5999999999999956E-3</v>
      </c>
      <c r="M71" s="46">
        <f>((I71-H71)/H71)*100</f>
        <v>-2.3206106870228993</v>
      </c>
      <c r="N71" s="95">
        <v>559</v>
      </c>
      <c r="O71" s="96">
        <v>178.82</v>
      </c>
      <c r="P71" s="72">
        <f>(R71)/J71</f>
        <v>0</v>
      </c>
      <c r="Q71" s="49">
        <f>J71/G71-1</f>
        <v>0.33291666666666675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81166837.675000012</v>
      </c>
      <c r="E72" s="39">
        <f>C72*K72</f>
        <v>81166837.675000012</v>
      </c>
      <c r="F72" s="92" t="s">
        <v>159</v>
      </c>
      <c r="G72" s="92">
        <v>0.1</v>
      </c>
      <c r="H72" s="93">
        <v>0.14710000000000001</v>
      </c>
      <c r="I72" s="93">
        <v>0.15010000000000001</v>
      </c>
      <c r="J72" s="94">
        <f>I72</f>
        <v>0.15010000000000001</v>
      </c>
      <c r="K72" s="94">
        <f>J72</f>
        <v>0.15010000000000001</v>
      </c>
      <c r="L72" s="46">
        <f>I72-H72</f>
        <v>3.0000000000000027E-3</v>
      </c>
      <c r="M72" s="46">
        <f>((I72-H72)/H72)*100</f>
        <v>2.0394289598912323</v>
      </c>
      <c r="N72" s="51">
        <v>405097</v>
      </c>
      <c r="O72" s="96">
        <v>60786.720000000001</v>
      </c>
      <c r="P72" s="97">
        <f>(R72)/J72</f>
        <v>2.5263157894736838E-2</v>
      </c>
      <c r="Q72" s="49">
        <f>J72/G72-1</f>
        <v>0.50100000000000011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405656</v>
      </c>
      <c r="O73" s="63">
        <f>SUM(O71:O72)</f>
        <v>60965.54</v>
      </c>
      <c r="P73" s="90"/>
      <c r="Q73" s="64"/>
    </row>
    <row r="74" spans="1:20" ht="12.6" x14ac:dyDescent="0.3">
      <c r="A74" s="137" t="s">
        <v>162</v>
      </c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40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7779821.3661000002</v>
      </c>
      <c r="E75" s="39">
        <f>C75*K75</f>
        <v>7779821.3661000002</v>
      </c>
      <c r="F75" s="92" t="s">
        <v>137</v>
      </c>
      <c r="G75" s="92">
        <v>0.1394</v>
      </c>
      <c r="H75" s="93">
        <v>0.1212</v>
      </c>
      <c r="I75" s="93">
        <v>0.1211</v>
      </c>
      <c r="J75" s="94">
        <f>I75</f>
        <v>0.1211</v>
      </c>
      <c r="K75" s="94">
        <f>J75</f>
        <v>0.1211</v>
      </c>
      <c r="L75" s="46">
        <f>I75-H75</f>
        <v>-1.0000000000000286E-4</v>
      </c>
      <c r="M75" s="46">
        <f>((I75-H75)/H75)*100</f>
        <v>-8.2508250825084867E-2</v>
      </c>
      <c r="N75" s="95">
        <v>2330</v>
      </c>
      <c r="O75" s="96">
        <v>282.10000000000002</v>
      </c>
      <c r="P75" s="72">
        <f>(R75)/J75</f>
        <v>0</v>
      </c>
      <c r="Q75" s="49">
        <f>J75/G75-1</f>
        <v>-0.13127690100430411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3" t="s">
        <v>165</v>
      </c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6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160579.28139691069</v>
      </c>
      <c r="E78" s="39">
        <f>C78*K78</f>
        <v>133747.98890625002</v>
      </c>
      <c r="F78" s="40" t="s">
        <v>137</v>
      </c>
      <c r="G78" s="71">
        <v>0.105</v>
      </c>
      <c r="H78" s="42">
        <v>0.13500000000000001</v>
      </c>
      <c r="I78" s="42">
        <v>0.13500000000000001</v>
      </c>
      <c r="J78" s="44">
        <f>I78/$J$5</f>
        <v>5.0650768578514322E-3</v>
      </c>
      <c r="K78" s="45">
        <f>I78/$K$4</f>
        <v>4.2187500000000003E-3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0.28571428571428581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434237.45905729546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3.1891224660546059E-3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1468554.841275499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4.5022905403123842E-3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100</v>
      </c>
      <c r="O80" s="37">
        <v>12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425929.82054620289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6.3782449321092102E-2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100</v>
      </c>
      <c r="O82" s="63">
        <f>SUM(O78:O81)</f>
        <v>12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7" t="s">
        <v>174</v>
      </c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29469581.974704634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8.0009454810134661E-2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0</v>
      </c>
      <c r="O84" s="109">
        <v>0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76435653.682873666</v>
      </c>
      <c r="E85" s="39">
        <f>C85*K85</f>
        <v>63663972.536718756</v>
      </c>
      <c r="F85" s="40" t="s">
        <v>177</v>
      </c>
      <c r="G85" s="40">
        <v>1.44347</v>
      </c>
      <c r="H85" s="42">
        <v>1.2292860000000001</v>
      </c>
      <c r="I85" s="42">
        <v>1.106535</v>
      </c>
      <c r="J85" s="44">
        <f>I85/$J$5</f>
        <v>4.1516183858538037E-2</v>
      </c>
      <c r="K85" s="45">
        <f>I85/$K$4</f>
        <v>3.4579218750000001E-2</v>
      </c>
      <c r="L85" s="46">
        <f>I85-H85</f>
        <v>-0.12275100000000005</v>
      </c>
      <c r="M85" s="46">
        <f>((I85-H85)/H85*100)</f>
        <v>-9.9855525890639001</v>
      </c>
      <c r="N85" s="109">
        <v>24625</v>
      </c>
      <c r="O85" s="109">
        <v>27251.685000000001</v>
      </c>
      <c r="P85" s="48">
        <f>(R85)/J85</f>
        <v>5.2413295196265815E-2</v>
      </c>
      <c r="Q85" s="49">
        <f>I85/G85-1</f>
        <v>-0.23342016113947639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1" t="s">
        <v>180</v>
      </c>
      <c r="B88" s="142"/>
      <c r="C88" s="142"/>
      <c r="D88" s="143"/>
      <c r="E88" s="141" t="s">
        <v>181</v>
      </c>
      <c r="F88" s="142"/>
      <c r="G88" s="142"/>
      <c r="H88" s="143"/>
      <c r="I88" s="53"/>
      <c r="J88" s="144" t="s">
        <v>182</v>
      </c>
      <c r="K88" s="145"/>
      <c r="L88" s="146"/>
      <c r="M88" s="144" t="s">
        <v>183</v>
      </c>
      <c r="N88" s="145"/>
      <c r="O88" s="146"/>
      <c r="Q88" s="16"/>
    </row>
    <row r="89" spans="1:243" ht="15" customHeight="1" x14ac:dyDescent="0.25">
      <c r="A89" s="35" t="s">
        <v>75</v>
      </c>
      <c r="B89" s="117">
        <v>2.99</v>
      </c>
      <c r="D89" s="117">
        <v>15.000000000000005</v>
      </c>
      <c r="E89" s="35" t="s">
        <v>90</v>
      </c>
      <c r="F89" s="118">
        <v>1.29</v>
      </c>
      <c r="H89" s="119">
        <v>-9.1732228579314388</v>
      </c>
      <c r="J89" s="35" t="s">
        <v>135</v>
      </c>
      <c r="K89" s="52">
        <v>17</v>
      </c>
      <c r="L89" s="120">
        <v>16.452713348221014</v>
      </c>
      <c r="M89" s="60" t="s">
        <v>125</v>
      </c>
      <c r="N89" s="118">
        <v>2.4E-2</v>
      </c>
      <c r="O89" s="119">
        <v>-2.4390243902439019</v>
      </c>
      <c r="Q89" s="16"/>
    </row>
    <row r="90" spans="1:243" ht="15" customHeight="1" x14ac:dyDescent="0.25">
      <c r="A90" s="35" t="s">
        <v>35</v>
      </c>
      <c r="B90" s="117">
        <v>5.4119E-2</v>
      </c>
      <c r="D90" s="117">
        <v>7.783155085539029</v>
      </c>
      <c r="E90" s="35" t="s">
        <v>115</v>
      </c>
      <c r="F90" s="118">
        <v>3.54</v>
      </c>
      <c r="H90" s="119">
        <v>-6.2251655629139044</v>
      </c>
      <c r="J90" s="35" t="s">
        <v>121</v>
      </c>
      <c r="K90" s="52">
        <v>38.918700000000001</v>
      </c>
      <c r="L90" s="120">
        <v>8.0444740568002011</v>
      </c>
      <c r="M90" s="35" t="s">
        <v>144</v>
      </c>
      <c r="N90" s="118">
        <v>0.71399999999999997</v>
      </c>
      <c r="O90" s="119">
        <v>-2.13815789473685</v>
      </c>
      <c r="Q90" s="16"/>
    </row>
    <row r="91" spans="1:243" ht="15" customHeight="1" x14ac:dyDescent="0.25">
      <c r="A91" s="35" t="s">
        <v>52</v>
      </c>
      <c r="B91" s="117">
        <v>28.009599999999999</v>
      </c>
      <c r="C91" s="117"/>
      <c r="D91" s="117">
        <v>2.7027225226876821</v>
      </c>
      <c r="E91" s="35" t="s">
        <v>73</v>
      </c>
      <c r="F91" s="118">
        <v>1.6</v>
      </c>
      <c r="H91" s="119">
        <v>-3.0993667543617458</v>
      </c>
      <c r="J91" s="35" t="s">
        <v>133</v>
      </c>
      <c r="K91" s="52">
        <v>2.6499999999999999E-2</v>
      </c>
      <c r="L91" s="120">
        <v>5.9999999999999911</v>
      </c>
      <c r="M91" s="35" t="s">
        <v>127</v>
      </c>
      <c r="N91" s="118">
        <v>0.1661</v>
      </c>
      <c r="O91" s="119">
        <v>-2.0058997050147576</v>
      </c>
      <c r="Q91" s="16"/>
    </row>
    <row r="92" spans="1:243" ht="15" customHeight="1" x14ac:dyDescent="0.25">
      <c r="A92" s="35" t="s">
        <v>105</v>
      </c>
      <c r="B92" s="117">
        <v>7.2000000000000008E-2</v>
      </c>
      <c r="C92" s="117"/>
      <c r="D92" s="117">
        <v>2.2727272727272787</v>
      </c>
      <c r="E92" s="35" t="s">
        <v>86</v>
      </c>
      <c r="F92" s="118">
        <v>1.5400389999999999</v>
      </c>
      <c r="H92" s="119">
        <v>-4.1555662186271956E-3</v>
      </c>
      <c r="J92" s="35" t="s">
        <v>140</v>
      </c>
      <c r="K92" s="52">
        <v>1.3854</v>
      </c>
      <c r="L92" s="120">
        <v>5.3936858120958515</v>
      </c>
      <c r="M92" s="35" t="s">
        <v>131</v>
      </c>
      <c r="N92" s="118">
        <v>0.14949999999999999</v>
      </c>
      <c r="O92" s="119">
        <v>-0.33333333333333365</v>
      </c>
      <c r="Q92" s="16"/>
    </row>
    <row r="93" spans="1:243" ht="15" customHeight="1" x14ac:dyDescent="0.25">
      <c r="A93" s="35" t="s">
        <v>93</v>
      </c>
      <c r="B93" s="117">
        <v>4.5124040000000001</v>
      </c>
      <c r="C93" s="117"/>
      <c r="D93" s="117">
        <v>2.2695831437103418</v>
      </c>
      <c r="E93" s="35" t="s">
        <v>45</v>
      </c>
      <c r="F93" s="118">
        <v>38.999499999999998</v>
      </c>
      <c r="G93" s="118"/>
      <c r="H93" s="119">
        <v>-1.2820512820574037E-3</v>
      </c>
      <c r="J93" s="35" t="s">
        <v>142</v>
      </c>
      <c r="K93" s="52">
        <v>0.45</v>
      </c>
      <c r="L93" s="120">
        <v>2.880658436213992</v>
      </c>
      <c r="M93" s="35" t="s">
        <v>123</v>
      </c>
      <c r="N93" s="118">
        <v>0.2278</v>
      </c>
      <c r="O93" s="119">
        <v>-0.21901007446342552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iXHZR/afskrFf40Tbf9eTVcFx2i5R7XP+mZD9y86UtbQRT6ZrZkRLmlbIGHOhQYssQ0hkAAGbqwvUkPLE43TxQ==" saltValue="4YwgKRnJIvDQspld120nxQ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2026-09-11T13:14:00Z</dcterms:created>
  <dcterms:modified xsi:type="dcterms:W3CDTF">2026-09-11T13:16:08Z</dcterms:modified>
</cp:coreProperties>
</file>