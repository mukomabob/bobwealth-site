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02.09.26/"/>
    </mc:Choice>
  </mc:AlternateContent>
  <xr:revisionPtr revIDLastSave="3" documentId="8_{F5225C34-1B16-4CFD-8994-94DA3F727E21}" xr6:coauthVersionLast="47" xr6:coauthVersionMax="47" xr10:uidLastSave="{06D004D7-B28B-408B-8B4B-110720FAF94C}"/>
  <bookViews>
    <workbookView xWindow="-108" yWindow="-108" windowWidth="23256" windowHeight="12456" xr2:uid="{B34DEF9E-11A4-478E-8DD5-DC4AE1BB5B8C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P84" i="1"/>
  <c r="M84" i="1"/>
  <c r="L84" i="1"/>
  <c r="K84" i="1"/>
  <c r="J84" i="1"/>
  <c r="E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5" i="1"/>
  <c r="P75" i="1"/>
  <c r="M75" i="1"/>
  <c r="L75" i="1"/>
  <c r="J75" i="1"/>
  <c r="K75" i="1" s="1"/>
  <c r="E75" i="1" s="1"/>
  <c r="D75" i="1"/>
  <c r="O73" i="1"/>
  <c r="N73" i="1"/>
  <c r="Q72" i="1"/>
  <c r="P72" i="1"/>
  <c r="M72" i="1"/>
  <c r="L72" i="1"/>
  <c r="J72" i="1"/>
  <c r="K72" i="1" s="1"/>
  <c r="E72" i="1" s="1"/>
  <c r="D72" i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P65" i="1" s="1"/>
  <c r="D65" i="1"/>
  <c r="Q64" i="1"/>
  <c r="M64" i="1"/>
  <c r="L64" i="1"/>
  <c r="J64" i="1"/>
  <c r="P64" i="1" s="1"/>
  <c r="D64" i="1"/>
  <c r="M63" i="1"/>
  <c r="L63" i="1"/>
  <c r="J63" i="1"/>
  <c r="Q63" i="1" s="1"/>
  <c r="D63" i="1"/>
  <c r="Q62" i="1"/>
  <c r="M62" i="1"/>
  <c r="L62" i="1"/>
  <c r="J62" i="1"/>
  <c r="P62" i="1" s="1"/>
  <c r="D62" i="1"/>
  <c r="M61" i="1"/>
  <c r="L61" i="1"/>
  <c r="J61" i="1"/>
  <c r="Q61" i="1" s="1"/>
  <c r="D61" i="1"/>
  <c r="Q60" i="1"/>
  <c r="M60" i="1"/>
  <c r="L60" i="1"/>
  <c r="J60" i="1"/>
  <c r="P60" i="1" s="1"/>
  <c r="D60" i="1"/>
  <c r="M59" i="1"/>
  <c r="L59" i="1"/>
  <c r="J59" i="1"/>
  <c r="Q59" i="1" s="1"/>
  <c r="D59" i="1"/>
  <c r="Q58" i="1"/>
  <c r="M58" i="1"/>
  <c r="L58" i="1"/>
  <c r="J58" i="1"/>
  <c r="P58" i="1" s="1"/>
  <c r="D58" i="1"/>
  <c r="M57" i="1"/>
  <c r="L57" i="1"/>
  <c r="J57" i="1"/>
  <c r="Q57" i="1" s="1"/>
  <c r="D57" i="1"/>
  <c r="Q56" i="1"/>
  <c r="M56" i="1"/>
  <c r="L56" i="1"/>
  <c r="J56" i="1"/>
  <c r="P56" i="1" s="1"/>
  <c r="D56" i="1"/>
  <c r="M55" i="1"/>
  <c r="L55" i="1"/>
  <c r="J55" i="1"/>
  <c r="Q55" i="1" s="1"/>
  <c r="D55" i="1"/>
  <c r="Q54" i="1"/>
  <c r="M54" i="1"/>
  <c r="L54" i="1"/>
  <c r="J54" i="1"/>
  <c r="P54" i="1" s="1"/>
  <c r="D54" i="1"/>
  <c r="M53" i="1"/>
  <c r="L53" i="1"/>
  <c r="J53" i="1"/>
  <c r="Q53" i="1" s="1"/>
  <c r="D53" i="1"/>
  <c r="Q52" i="1"/>
  <c r="M52" i="1"/>
  <c r="L52" i="1"/>
  <c r="J52" i="1"/>
  <c r="D52" i="1"/>
  <c r="M51" i="1"/>
  <c r="L51" i="1"/>
  <c r="J51" i="1"/>
  <c r="Q51" i="1" s="1"/>
  <c r="D51" i="1"/>
  <c r="Q50" i="1"/>
  <c r="P50" i="1"/>
  <c r="M50" i="1"/>
  <c r="L50" i="1"/>
  <c r="J50" i="1"/>
  <c r="D50" i="1"/>
  <c r="O47" i="1"/>
  <c r="N47" i="1"/>
  <c r="Q45" i="1"/>
  <c r="M45" i="1"/>
  <c r="L45" i="1"/>
  <c r="K45" i="1"/>
  <c r="E45" i="1" s="1"/>
  <c r="J45" i="1"/>
  <c r="D45" i="1" s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E42" i="1" s="1"/>
  <c r="J42" i="1"/>
  <c r="D42" i="1" s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E40" i="1" s="1"/>
  <c r="J40" i="1"/>
  <c r="D40" i="1"/>
  <c r="Q39" i="1"/>
  <c r="M39" i="1"/>
  <c r="L39" i="1"/>
  <c r="K39" i="1"/>
  <c r="J39" i="1"/>
  <c r="D39" i="1" s="1"/>
  <c r="E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E35" i="1" s="1"/>
  <c r="J35" i="1"/>
  <c r="P35" i="1" s="1"/>
  <c r="D35" i="1"/>
  <c r="Q34" i="1"/>
  <c r="P34" i="1"/>
  <c r="M34" i="1"/>
  <c r="L34" i="1"/>
  <c r="K34" i="1"/>
  <c r="J34" i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P31" i="1"/>
  <c r="M31" i="1"/>
  <c r="L31" i="1"/>
  <c r="K31" i="1"/>
  <c r="J31" i="1"/>
  <c r="E31" i="1"/>
  <c r="D31" i="1"/>
  <c r="K30" i="1"/>
  <c r="J30" i="1"/>
  <c r="E30" i="1"/>
  <c r="D30" i="1"/>
  <c r="Q29" i="1"/>
  <c r="P29" i="1"/>
  <c r="M29" i="1"/>
  <c r="L29" i="1"/>
  <c r="K29" i="1"/>
  <c r="J29" i="1"/>
  <c r="E29" i="1"/>
  <c r="D29" i="1"/>
  <c r="Q28" i="1"/>
  <c r="M28" i="1"/>
  <c r="L28" i="1"/>
  <c r="K28" i="1"/>
  <c r="E28" i="1" s="1"/>
  <c r="J28" i="1"/>
  <c r="P28" i="1" s="1"/>
  <c r="D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J26" i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J23" i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J16" i="1"/>
  <c r="E16" i="1"/>
  <c r="D16" i="1"/>
  <c r="Q15" i="1"/>
  <c r="M15" i="1"/>
  <c r="L15" i="1"/>
  <c r="K15" i="1"/>
  <c r="J15" i="1"/>
  <c r="D15" i="1" s="1"/>
  <c r="E15" i="1"/>
  <c r="Q14" i="1"/>
  <c r="M14" i="1"/>
  <c r="L14" i="1"/>
  <c r="K14" i="1"/>
  <c r="E14" i="1" s="1"/>
  <c r="J14" i="1"/>
  <c r="P14" i="1" s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J12" i="1"/>
  <c r="D12" i="1" s="1"/>
  <c r="E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Q9" i="1"/>
  <c r="M9" i="1"/>
  <c r="L9" i="1"/>
  <c r="K9" i="1"/>
  <c r="E9" i="1" s="1"/>
  <c r="J9" i="1"/>
  <c r="D9" i="1" s="1"/>
  <c r="P12" i="1" l="1"/>
  <c r="P53" i="1"/>
  <c r="P59" i="1"/>
  <c r="P51" i="1"/>
  <c r="Q65" i="1"/>
  <c r="K71" i="1"/>
  <c r="E71" i="1" s="1"/>
  <c r="P15" i="1"/>
  <c r="P42" i="1"/>
  <c r="P55" i="1"/>
  <c r="P61" i="1"/>
  <c r="P63" i="1"/>
  <c r="P71" i="1"/>
  <c r="P9" i="1"/>
  <c r="P39" i="1"/>
  <c r="P57" i="1"/>
</calcChain>
</file>

<file path=xl/sharedStrings.xml><?xml version="1.0" encoding="utf-8"?>
<sst xmlns="http://schemas.openxmlformats.org/spreadsheetml/2006/main" count="270" uniqueCount="185">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</sst>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4" fontId="15" fillId="5" borderId="0" xfId="5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166" fontId="15" fillId="5" borderId="0" xfId="5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43" fontId="4" fillId="3" borderId="0" xfId="2" applyNumberFormat="1" applyFont="1" applyFill="1" applyAlignment="1"/>
  </cellXfs>
  <cellStyles count="9">
    <cellStyle name="Comma 2 2 2 2 2 2 2 2 2 2 2 2 2" xfId="3" xr:uid="{D6A8C0BB-D627-4F19-AD08-A8C03AFB32BF}"/>
    <cellStyle name="Comma 5 2 2 2 2 2 2 2 2 2 2 2" xfId="4" xr:uid="{638DE312-4EF2-4B55-9286-D0575E3D1F90}"/>
    <cellStyle name="Comma 6 2 2 2 2 2 2" xfId="5" xr:uid="{F4E7395E-9316-4705-BD96-7F625CDC6953}"/>
    <cellStyle name="Hyperlink 2" xfId="8" xr:uid="{832E42D9-CE24-4522-904B-720B77039CC1}"/>
    <cellStyle name="Normal" xfId="0" builtinId="0"/>
    <cellStyle name="Normal 2" xfId="2" xr:uid="{745D750E-59AB-46DE-9AB9-5AEE697C0237}"/>
    <cellStyle name="Normal 20" xfId="7" xr:uid="{8CB7F574-4BF4-44BB-ADFC-2BD0A09F34F2}"/>
    <cellStyle name="Percent" xfId="1" builtinId="5"/>
    <cellStyle name="Percent 3" xfId="6" xr:uid="{732F4B1F-C03E-4AFC-B552-BF7240B32805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2D7E567A-03F6-4B4C-A0A7-4693BE643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64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1D22B15C-FC5E-465E-9D0D-DD7777E86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227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C944-3406-4825-9969-A8281C0B6E93}">
  <dimension ref="A1:II107"/>
  <sheetViews>
    <sheetView tabSelected="1" topLeftCell="A54" zoomScale="60" zoomScaleNormal="60" workbookViewId="0">
      <selection activeCell="J85" sqref="J85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26.7164</v>
      </c>
      <c r="K5" s="22"/>
      <c r="L5" s="147" t="s">
        <v>12</v>
      </c>
      <c r="M5" s="148"/>
      <c r="N5" s="23" t="s">
        <v>13</v>
      </c>
      <c r="O5" s="24"/>
      <c r="P5" s="24"/>
      <c r="Q5" s="25"/>
    </row>
    <row r="6" spans="1:19" ht="6.6" customHeight="1" x14ac:dyDescent="0.3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81376760.070593342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0.64567082391340147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240</v>
      </c>
      <c r="O9" s="37">
        <v>4140</v>
      </c>
      <c r="P9" s="48">
        <f t="shared" ref="P9:P17" si="5">(R9)/J9</f>
        <v>2.3231652173913046E-2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2995980.9309817189</v>
      </c>
      <c r="E10" s="39">
        <f t="shared" si="1"/>
        <v>2501307.0295150001</v>
      </c>
      <c r="F10" s="40" t="s">
        <v>34</v>
      </c>
      <c r="G10" s="41">
        <v>3.1600000000000003E-2</v>
      </c>
      <c r="H10" s="42">
        <v>5.0332999999999996E-2</v>
      </c>
      <c r="I10" s="43">
        <v>4.9183999999999999E-2</v>
      </c>
      <c r="J10" s="44">
        <f t="shared" ref="J10:J17" si="7">I10/$J$5</f>
        <v>1.8409665972960428E-3</v>
      </c>
      <c r="K10" s="45">
        <f t="shared" si="2"/>
        <v>1.537E-3</v>
      </c>
      <c r="L10" s="46">
        <f t="shared" si="3"/>
        <v>-1.1489999999999972E-3</v>
      </c>
      <c r="M10" s="46">
        <f t="shared" si="4"/>
        <v>-2.2827965748117482</v>
      </c>
      <c r="N10" s="51">
        <v>30800</v>
      </c>
      <c r="O10" s="37">
        <v>1514.88</v>
      </c>
      <c r="P10" s="52">
        <f t="shared" si="5"/>
        <v>0</v>
      </c>
      <c r="Q10" s="49">
        <f t="shared" si="6"/>
        <v>0.55645569620253155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3925475.2197152311</v>
      </c>
      <c r="E11" s="39">
        <f t="shared" si="1"/>
        <v>3277330.1924999999</v>
      </c>
      <c r="F11" s="40" t="s">
        <v>39</v>
      </c>
      <c r="G11" s="41">
        <v>7.8E-2</v>
      </c>
      <c r="H11" s="42">
        <v>0.24</v>
      </c>
      <c r="I11" s="43">
        <v>0.24</v>
      </c>
      <c r="J11" s="44">
        <f t="shared" si="7"/>
        <v>8.9832462457516728E-3</v>
      </c>
      <c r="K11" s="45">
        <f t="shared" si="2"/>
        <v>7.4999999999999997E-3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2.0769230769230766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139016586.93691891</v>
      </c>
      <c r="E12" s="39">
        <f t="shared" si="1"/>
        <v>116063210.72629689</v>
      </c>
      <c r="F12" s="40" t="s">
        <v>34</v>
      </c>
      <c r="G12" s="41">
        <v>97.381</v>
      </c>
      <c r="H12" s="42">
        <v>180</v>
      </c>
      <c r="I12" s="43">
        <v>179.99950000000001</v>
      </c>
      <c r="J12" s="44">
        <f t="shared" si="7"/>
        <v>6.7374159692174098</v>
      </c>
      <c r="K12" s="45">
        <f t="shared" si="2"/>
        <v>5.6249843750000004</v>
      </c>
      <c r="L12" s="46">
        <f t="shared" si="3"/>
        <v>-4.9999999998817657E-4</v>
      </c>
      <c r="M12" s="46">
        <f t="shared" si="4"/>
        <v>-2.7777777777120919E-4</v>
      </c>
      <c r="N12" s="51">
        <v>725</v>
      </c>
      <c r="O12" s="37">
        <v>130499.6375</v>
      </c>
      <c r="P12" s="52">
        <f t="shared" si="5"/>
        <v>0</v>
      </c>
      <c r="Q12" s="49">
        <f t="shared" si="6"/>
        <v>0.84840471960649411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8173919.3903370211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0.93575481726579923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1500</v>
      </c>
      <c r="O13" s="37">
        <v>37500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939039328.65206385</v>
      </c>
      <c r="E14" s="39">
        <f t="shared" si="1"/>
        <v>783992197.5</v>
      </c>
      <c r="F14" s="40" t="s">
        <v>47</v>
      </c>
      <c r="G14" s="41">
        <v>11.5</v>
      </c>
      <c r="H14" s="42">
        <v>41.872799999999998</v>
      </c>
      <c r="I14" s="43">
        <v>48</v>
      </c>
      <c r="J14" s="44">
        <f t="shared" si="7"/>
        <v>1.7966492491503345</v>
      </c>
      <c r="K14" s="45">
        <f t="shared" si="2"/>
        <v>1.5</v>
      </c>
      <c r="L14" s="46">
        <f t="shared" si="3"/>
        <v>6.127200000000002</v>
      </c>
      <c r="M14" s="46">
        <f t="shared" si="4"/>
        <v>14.632888175617589</v>
      </c>
      <c r="N14" s="51">
        <v>5000</v>
      </c>
      <c r="O14" s="37">
        <v>240000</v>
      </c>
      <c r="P14" s="52">
        <f t="shared" si="5"/>
        <v>0</v>
      </c>
      <c r="Q14" s="49">
        <f t="shared" si="6"/>
        <v>3.1739130434782608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27386999.651899207</v>
      </c>
      <c r="E15" s="39">
        <f t="shared" si="1"/>
        <v>22865063.671875</v>
      </c>
      <c r="F15" s="40" t="s">
        <v>34</v>
      </c>
      <c r="G15" s="41">
        <v>5.39</v>
      </c>
      <c r="H15" s="42">
        <v>6.9</v>
      </c>
      <c r="I15" s="43">
        <v>6.9</v>
      </c>
      <c r="J15" s="44">
        <f t="shared" si="7"/>
        <v>0.25826832956536061</v>
      </c>
      <c r="K15" s="45">
        <f t="shared" si="2"/>
        <v>0.21562500000000001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0.28014842300556597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76916235.904538035</v>
      </c>
      <c r="E16" s="39">
        <f t="shared" si="1"/>
        <v>64216403.903750002</v>
      </c>
      <c r="F16" s="40" t="s">
        <v>34</v>
      </c>
      <c r="G16" s="41">
        <v>1.9</v>
      </c>
      <c r="H16" s="42">
        <v>5</v>
      </c>
      <c r="I16" s="43">
        <v>5.74</v>
      </c>
      <c r="J16" s="44">
        <f t="shared" si="7"/>
        <v>0.21484930604422753</v>
      </c>
      <c r="K16" s="45">
        <f t="shared" si="2"/>
        <v>0.17937500000000001</v>
      </c>
      <c r="L16" s="46">
        <f t="shared" si="3"/>
        <v>0.74000000000000021</v>
      </c>
      <c r="M16" s="46">
        <f t="shared" si="4"/>
        <v>14.800000000000004</v>
      </c>
      <c r="N16" s="51">
        <v>1327</v>
      </c>
      <c r="O16" s="37">
        <v>7597</v>
      </c>
      <c r="P16" s="52">
        <f t="shared" si="5"/>
        <v>0.2327212543554007</v>
      </c>
      <c r="Q16" s="49">
        <f t="shared" si="6"/>
        <v>2.0210526315789474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1504184096.5928979</v>
      </c>
      <c r="E17" s="39">
        <f t="shared" si="1"/>
        <v>1255824499.9442031</v>
      </c>
      <c r="F17" s="40" t="s">
        <v>34</v>
      </c>
      <c r="G17" s="41">
        <v>20.701700000000002</v>
      </c>
      <c r="H17" s="42">
        <v>31.606199999999998</v>
      </c>
      <c r="I17" s="43">
        <v>29.8171</v>
      </c>
      <c r="J17" s="44">
        <f t="shared" si="7"/>
        <v>1.1160597984758425</v>
      </c>
      <c r="K17" s="45">
        <f t="shared" si="2"/>
        <v>0.931784375</v>
      </c>
      <c r="L17" s="46">
        <f t="shared" si="3"/>
        <v>-1.7890999999999977</v>
      </c>
      <c r="M17" s="46">
        <f t="shared" si="4"/>
        <v>-5.6605982370547476</v>
      </c>
      <c r="N17" s="51">
        <v>33675</v>
      </c>
      <c r="O17" s="37">
        <v>1005957.2984999999</v>
      </c>
      <c r="P17" s="48">
        <f t="shared" si="5"/>
        <v>0</v>
      </c>
      <c r="Q17" s="49">
        <f t="shared" si="6"/>
        <v>0.44032132626789089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337307977.90804148</v>
      </c>
      <c r="E19" s="39">
        <f t="shared" si="1"/>
        <v>281614214.40569997</v>
      </c>
      <c r="F19" s="40" t="s">
        <v>47</v>
      </c>
      <c r="G19" s="41">
        <v>12.45</v>
      </c>
      <c r="H19" s="42">
        <v>13.411199999999999</v>
      </c>
      <c r="I19" s="43">
        <v>13.411199999999999</v>
      </c>
      <c r="J19" s="44">
        <f t="shared" ref="J19:J45" si="8">I19/$J$5</f>
        <v>0.50198380021260347</v>
      </c>
      <c r="K19" s="45">
        <f t="shared" ref="K19:K45" si="9">I19/$K$4</f>
        <v>0.41909999999999997</v>
      </c>
      <c r="L19" s="46">
        <f t="shared" ref="L19:L29" si="10">I19-H19</f>
        <v>0</v>
      </c>
      <c r="M19" s="46">
        <f>((I19-H19)/H19)*100</f>
        <v>0</v>
      </c>
      <c r="N19" s="51">
        <v>0</v>
      </c>
      <c r="O19" s="37">
        <v>0</v>
      </c>
      <c r="P19" s="52">
        <f>(R19)/J19</f>
        <v>0</v>
      </c>
      <c r="Q19" s="49">
        <f t="shared" ref="Q19:Q29" si="11">I19/G19-1</f>
        <v>7.7204819277108427E-2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3750858.1889775568</v>
      </c>
      <c r="E20" s="39">
        <f t="shared" si="1"/>
        <v>3131544.61625</v>
      </c>
      <c r="F20" s="40" t="s">
        <v>47</v>
      </c>
      <c r="G20" s="41">
        <v>0.35</v>
      </c>
      <c r="H20" s="42">
        <v>0.92</v>
      </c>
      <c r="I20" s="43">
        <v>0.92</v>
      </c>
      <c r="J20" s="44">
        <f t="shared" si="8"/>
        <v>3.4435777275381413E-2</v>
      </c>
      <c r="K20" s="45">
        <f t="shared" si="9"/>
        <v>2.8750000000000001E-2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1.628571428571429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86537828.861672983</v>
      </c>
      <c r="E21" s="39">
        <f t="shared" si="1"/>
        <v>72249351.59375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8"/>
        <v>0.1253911455136171</v>
      </c>
      <c r="K21" s="45">
        <f t="shared" si="9"/>
        <v>0.1046875</v>
      </c>
      <c r="L21" s="46">
        <f t="shared" si="10"/>
        <v>0</v>
      </c>
      <c r="M21" s="46">
        <f>((I21-H21)/H21)*100</f>
        <v>0</v>
      </c>
      <c r="N21" s="51">
        <v>0</v>
      </c>
      <c r="O21" s="37">
        <v>0</v>
      </c>
      <c r="P21" s="52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1727276.9376862152</v>
      </c>
      <c r="E23" s="39">
        <f t="shared" si="1"/>
        <v>1442081.9243124998</v>
      </c>
      <c r="F23" s="40" t="s">
        <v>44</v>
      </c>
      <c r="G23" s="41">
        <v>0.1</v>
      </c>
      <c r="H23" s="42">
        <v>8.8000000000000009E-2</v>
      </c>
      <c r="I23" s="43">
        <v>8.5999999999999993E-2</v>
      </c>
      <c r="J23" s="44">
        <f t="shared" si="8"/>
        <v>3.2189965713943494E-3</v>
      </c>
      <c r="K23" s="45">
        <f t="shared" si="9"/>
        <v>2.6874999999999998E-3</v>
      </c>
      <c r="L23" s="46">
        <f t="shared" si="10"/>
        <v>-2.0000000000000157E-3</v>
      </c>
      <c r="M23" s="46">
        <f t="shared" ref="M23:M29" si="12">((I23-H23)/H23)*100</f>
        <v>-2.2727272727272902</v>
      </c>
      <c r="N23" s="51">
        <v>31400</v>
      </c>
      <c r="O23" s="37">
        <v>2700.4</v>
      </c>
      <c r="P23" s="52">
        <f t="shared" ref="P23:P29" si="13">(R23)/J23</f>
        <v>0</v>
      </c>
      <c r="Q23" s="49">
        <f t="shared" si="11"/>
        <v>-0.14000000000000012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77184672.762093693</v>
      </c>
      <c r="E24" s="39">
        <f t="shared" si="1"/>
        <v>64440518.480662495</v>
      </c>
      <c r="F24" s="40" t="s">
        <v>34</v>
      </c>
      <c r="G24" s="41">
        <v>8.1687659999999997</v>
      </c>
      <c r="H24" s="42">
        <v>10.602499999999999</v>
      </c>
      <c r="I24" s="43">
        <v>10.683299999999999</v>
      </c>
      <c r="J24" s="44">
        <f t="shared" si="8"/>
        <v>0.39987797757182852</v>
      </c>
      <c r="K24" s="45">
        <f t="shared" si="9"/>
        <v>0.33385312499999997</v>
      </c>
      <c r="L24" s="46">
        <f t="shared" si="10"/>
        <v>8.0799999999999983E-2</v>
      </c>
      <c r="M24" s="46">
        <f t="shared" si="12"/>
        <v>0.76208441405328919</v>
      </c>
      <c r="N24" s="51">
        <v>382</v>
      </c>
      <c r="O24" s="37">
        <v>4082.4</v>
      </c>
      <c r="P24" s="48">
        <f t="shared" si="13"/>
        <v>3.7511443093426189E-2</v>
      </c>
      <c r="Q24" s="49">
        <f t="shared" si="11"/>
        <v>0.30782299309344885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107383210.88544863</v>
      </c>
      <c r="E25" s="39">
        <f t="shared" si="1"/>
        <v>89652900.478124991</v>
      </c>
      <c r="F25" s="40" t="s">
        <v>66</v>
      </c>
      <c r="G25" s="41">
        <v>1.6675</v>
      </c>
      <c r="H25" s="42">
        <v>1.7022699999999999</v>
      </c>
      <c r="I25" s="43">
        <v>1.7</v>
      </c>
      <c r="J25" s="44">
        <f t="shared" si="8"/>
        <v>6.3631327574074345E-2</v>
      </c>
      <c r="K25" s="45">
        <f t="shared" si="9"/>
        <v>5.3124999999999999E-2</v>
      </c>
      <c r="L25" s="46">
        <f t="shared" si="10"/>
        <v>-2.2699999999999942E-3</v>
      </c>
      <c r="M25" s="46">
        <f t="shared" si="12"/>
        <v>-0.1333513484934819</v>
      </c>
      <c r="N25" s="51">
        <v>3000</v>
      </c>
      <c r="O25" s="37">
        <v>5100</v>
      </c>
      <c r="P25" s="52">
        <f t="shared" si="13"/>
        <v>0</v>
      </c>
      <c r="Q25" s="49">
        <f t="shared" si="11"/>
        <v>1.9490254872563728E-2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23217243.24073891</v>
      </c>
      <c r="E26" s="39">
        <f t="shared" si="1"/>
        <v>19383786.166152406</v>
      </c>
      <c r="F26" s="40" t="s">
        <v>44</v>
      </c>
      <c r="G26" s="41">
        <v>1.7994999999999999</v>
      </c>
      <c r="H26" s="42">
        <v>2.6</v>
      </c>
      <c r="I26" s="43">
        <v>2.5911110000000002</v>
      </c>
      <c r="J26" s="44">
        <f t="shared" si="8"/>
        <v>9.6985784012816101E-2</v>
      </c>
      <c r="K26" s="45">
        <f t="shared" si="9"/>
        <v>8.0972218750000005E-2</v>
      </c>
      <c r="L26" s="46">
        <f t="shared" si="10"/>
        <v>-8.8889999999999247E-3</v>
      </c>
      <c r="M26" s="46">
        <f t="shared" si="12"/>
        <v>-0.34188461538461246</v>
      </c>
      <c r="N26" s="51">
        <v>1866</v>
      </c>
      <c r="O26" s="37">
        <v>4834.28</v>
      </c>
      <c r="P26" s="52">
        <f t="shared" si="13"/>
        <v>0</v>
      </c>
      <c r="Q26" s="49">
        <f t="shared" si="11"/>
        <v>0.43990608502361783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23202407.256217156</v>
      </c>
      <c r="E27" s="39">
        <f t="shared" si="1"/>
        <v>19371399.788125001</v>
      </c>
      <c r="F27" s="40" t="s">
        <v>34</v>
      </c>
      <c r="G27" s="41">
        <v>3.1361369999999997</v>
      </c>
      <c r="H27" s="42">
        <v>2.4204970000000001</v>
      </c>
      <c r="I27" s="43">
        <v>2.42</v>
      </c>
      <c r="J27" s="44">
        <f t="shared" si="8"/>
        <v>9.0581066311329367E-2</v>
      </c>
      <c r="K27" s="45">
        <f t="shared" si="9"/>
        <v>7.5624999999999998E-2</v>
      </c>
      <c r="L27" s="46">
        <f t="shared" si="10"/>
        <v>-4.9700000000019173E-4</v>
      </c>
      <c r="M27" s="46">
        <f t="shared" si="12"/>
        <v>-2.0532973186919535E-2</v>
      </c>
      <c r="N27" s="51">
        <v>441</v>
      </c>
      <c r="O27" s="37">
        <v>1067.22</v>
      </c>
      <c r="P27" s="52">
        <f t="shared" si="13"/>
        <v>0</v>
      </c>
      <c r="Q27" s="49">
        <f t="shared" si="11"/>
        <v>-0.22835003700412315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24682843.415893495</v>
      </c>
      <c r="E28" s="39">
        <f t="shared" si="1"/>
        <v>20607397.432386782</v>
      </c>
      <c r="F28" s="40" t="s">
        <v>44</v>
      </c>
      <c r="G28" s="41">
        <v>0.8</v>
      </c>
      <c r="H28" s="42">
        <v>0.86499999999999999</v>
      </c>
      <c r="I28" s="43">
        <v>0.87267700000000004</v>
      </c>
      <c r="J28" s="44">
        <f t="shared" si="8"/>
        <v>3.2664468266682636E-2</v>
      </c>
      <c r="K28" s="45">
        <f t="shared" si="9"/>
        <v>2.7271156250000001E-2</v>
      </c>
      <c r="L28" s="46">
        <f t="shared" si="10"/>
        <v>7.6770000000000449E-3</v>
      </c>
      <c r="M28" s="46">
        <f t="shared" si="12"/>
        <v>0.88751445086705727</v>
      </c>
      <c r="N28" s="51">
        <v>9981</v>
      </c>
      <c r="O28" s="37">
        <v>8711.5475000000006</v>
      </c>
      <c r="P28" s="52">
        <f t="shared" si="13"/>
        <v>0</v>
      </c>
      <c r="Q28" s="49">
        <f t="shared" si="11"/>
        <v>9.0846250000000017E-2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100066113.85729693</v>
      </c>
      <c r="E29" s="39">
        <f t="shared" si="1"/>
        <v>83543947.633033991</v>
      </c>
      <c r="F29" s="40" t="s">
        <v>47</v>
      </c>
      <c r="G29" s="41">
        <v>5.15</v>
      </c>
      <c r="H29" s="42">
        <v>5.95</v>
      </c>
      <c r="I29" s="43">
        <v>5.9524159999999995</v>
      </c>
      <c r="J29" s="44">
        <f t="shared" si="8"/>
        <v>0.22280007785480077</v>
      </c>
      <c r="K29" s="45">
        <f t="shared" si="9"/>
        <v>0.18601299999999998</v>
      </c>
      <c r="L29" s="46">
        <f t="shared" si="10"/>
        <v>2.4159999999993076E-3</v>
      </c>
      <c r="M29" s="46">
        <f t="shared" si="12"/>
        <v>4.0605042016795087E-2</v>
      </c>
      <c r="N29" s="51">
        <v>34605</v>
      </c>
      <c r="O29" s="37">
        <v>205983.35100000002</v>
      </c>
      <c r="P29" s="52">
        <f t="shared" si="13"/>
        <v>0</v>
      </c>
      <c r="Q29" s="49">
        <f t="shared" si="11"/>
        <v>0.15580893203883472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15011760.195157656</v>
      </c>
      <c r="E31" s="39">
        <f t="shared" si="1"/>
        <v>12533130.939934688</v>
      </c>
      <c r="F31" s="40" t="s">
        <v>39</v>
      </c>
      <c r="G31" s="41">
        <v>1.4</v>
      </c>
      <c r="H31" s="42">
        <v>1.53</v>
      </c>
      <c r="I31" s="43">
        <v>1.5433330000000001</v>
      </c>
      <c r="J31" s="44">
        <f t="shared" si="8"/>
        <v>5.7767251575811113E-2</v>
      </c>
      <c r="K31" s="45">
        <f t="shared" si="9"/>
        <v>4.8229156250000002E-2</v>
      </c>
      <c r="L31" s="46">
        <f t="shared" ref="L31:L45" si="14">I31-H31</f>
        <v>1.3333000000000039E-2</v>
      </c>
      <c r="M31" s="46">
        <f t="shared" ref="M31:M45" si="15">((I31-H31)/H31)*100</f>
        <v>0.87143790849673453</v>
      </c>
      <c r="N31" s="51">
        <v>1911</v>
      </c>
      <c r="O31" s="37">
        <v>2950.63</v>
      </c>
      <c r="P31" s="52">
        <f t="shared" ref="P31:P36" si="16">(R31)/J31</f>
        <v>0</v>
      </c>
      <c r="Q31" s="49">
        <f t="shared" ref="Q31:Q45" si="17">I31/G31-1</f>
        <v>0.10238071428571449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4476234.844514979</v>
      </c>
      <c r="E32" s="39">
        <f t="shared" si="1"/>
        <v>3737152.5187499998</v>
      </c>
      <c r="F32" s="40" t="s">
        <v>39</v>
      </c>
      <c r="G32" s="41">
        <v>0.65</v>
      </c>
      <c r="H32" s="42">
        <v>0.98</v>
      </c>
      <c r="I32" s="43">
        <v>0.98</v>
      </c>
      <c r="J32" s="44">
        <f t="shared" si="8"/>
        <v>3.668158883681933E-2</v>
      </c>
      <c r="K32" s="45">
        <f t="shared" si="9"/>
        <v>3.0624999999999999E-2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0.50769230769230766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154121350.40462038</v>
      </c>
      <c r="E33" s="39">
        <f t="shared" si="1"/>
        <v>128673988.93593749</v>
      </c>
      <c r="F33" s="40" t="s">
        <v>92</v>
      </c>
      <c r="G33" s="41">
        <v>1.44</v>
      </c>
      <c r="H33" s="42">
        <v>1.65</v>
      </c>
      <c r="I33" s="43">
        <v>1.65</v>
      </c>
      <c r="J33" s="44">
        <f t="shared" si="8"/>
        <v>6.1759817939542751E-2</v>
      </c>
      <c r="K33" s="45">
        <f t="shared" si="9"/>
        <v>5.1562499999999997E-2</v>
      </c>
      <c r="L33" s="46">
        <f t="shared" si="14"/>
        <v>0</v>
      </c>
      <c r="M33" s="46">
        <f t="shared" si="15"/>
        <v>0</v>
      </c>
      <c r="N33" s="51">
        <v>19</v>
      </c>
      <c r="O33" s="37">
        <v>31.047499999999999</v>
      </c>
      <c r="P33" s="52">
        <f t="shared" si="16"/>
        <v>0</v>
      </c>
      <c r="Q33" s="49">
        <f t="shared" si="17"/>
        <v>0.14583333333333326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46505236.816128187</v>
      </c>
      <c r="E34" s="39">
        <f t="shared" si="1"/>
        <v>38826640.90232522</v>
      </c>
      <c r="F34" s="40" t="s">
        <v>34</v>
      </c>
      <c r="G34" s="41">
        <v>3.6056249999999999</v>
      </c>
      <c r="H34" s="42">
        <v>4.9091810000000002</v>
      </c>
      <c r="I34" s="43">
        <v>4.9013290000000005</v>
      </c>
      <c r="J34" s="44">
        <f t="shared" si="8"/>
        <v>0.18345768891018252</v>
      </c>
      <c r="K34" s="45">
        <f t="shared" si="9"/>
        <v>0.15316653125000002</v>
      </c>
      <c r="L34" s="46">
        <f t="shared" si="14"/>
        <v>-7.8519999999997481E-3</v>
      </c>
      <c r="M34" s="46">
        <f t="shared" si="15"/>
        <v>-0.15994521285729224</v>
      </c>
      <c r="N34" s="51">
        <v>50570</v>
      </c>
      <c r="O34" s="37">
        <v>247862.35</v>
      </c>
      <c r="P34" s="52">
        <f t="shared" si="16"/>
        <v>0</v>
      </c>
      <c r="Q34" s="49">
        <f t="shared" si="17"/>
        <v>0.35935628358467686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7941892.7145872945</v>
      </c>
      <c r="E35" s="39">
        <f t="shared" si="1"/>
        <v>6630586.9537499994</v>
      </c>
      <c r="F35" s="40" t="s">
        <v>34</v>
      </c>
      <c r="G35" s="41">
        <v>2.5099999999999997E-2</v>
      </c>
      <c r="H35" s="42">
        <v>4.0781999999999999E-2</v>
      </c>
      <c r="I35" s="43">
        <v>4.4999999999999998E-2</v>
      </c>
      <c r="J35" s="44">
        <f t="shared" si="8"/>
        <v>1.6843586710784386E-3</v>
      </c>
      <c r="K35" s="45">
        <f t="shared" si="9"/>
        <v>1.4062499999999999E-3</v>
      </c>
      <c r="L35" s="46">
        <f t="shared" si="14"/>
        <v>4.2179999999999995E-3</v>
      </c>
      <c r="M35" s="46">
        <f t="shared" si="15"/>
        <v>10.342798293364719</v>
      </c>
      <c r="N35" s="51">
        <v>3000</v>
      </c>
      <c r="O35" s="37">
        <v>135</v>
      </c>
      <c r="P35" s="52">
        <f t="shared" si="16"/>
        <v>0</v>
      </c>
      <c r="Q35" s="49">
        <f t="shared" si="17"/>
        <v>0.79282868525896433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81630674.388378263</v>
      </c>
      <c r="E36" s="39">
        <f t="shared" si="1"/>
        <v>68152429.663427159</v>
      </c>
      <c r="F36" s="40" t="s">
        <v>92</v>
      </c>
      <c r="G36" s="41">
        <v>0.61</v>
      </c>
      <c r="H36" s="42">
        <v>4.1500000000000004</v>
      </c>
      <c r="I36" s="43">
        <v>4.1533329999999999</v>
      </c>
      <c r="J36" s="44">
        <f t="shared" si="8"/>
        <v>0.15546005449836056</v>
      </c>
      <c r="K36" s="45">
        <f t="shared" si="9"/>
        <v>0.12979165625</v>
      </c>
      <c r="L36" s="46">
        <f t="shared" si="14"/>
        <v>3.3329999999995863E-3</v>
      </c>
      <c r="M36" s="46">
        <f t="shared" si="15"/>
        <v>8.0313253012038219E-2</v>
      </c>
      <c r="N36" s="51">
        <v>1500</v>
      </c>
      <c r="O36" s="37">
        <v>6230</v>
      </c>
      <c r="P36" s="52">
        <f t="shared" si="16"/>
        <v>0</v>
      </c>
      <c r="Q36" s="49">
        <f t="shared" si="17"/>
        <v>5.8087426229508194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46289677.734876856</v>
      </c>
      <c r="E37" s="39">
        <f t="shared" si="1"/>
        <v>38646673.319877006</v>
      </c>
      <c r="F37" s="40" t="s">
        <v>56</v>
      </c>
      <c r="G37" s="41">
        <v>0.11650199999999999</v>
      </c>
      <c r="H37" s="42">
        <v>0.30037900000000001</v>
      </c>
      <c r="I37" s="43">
        <v>0.29481600000000002</v>
      </c>
      <c r="J37" s="44">
        <f t="shared" si="8"/>
        <v>1.1035019688281356E-2</v>
      </c>
      <c r="K37" s="45">
        <f t="shared" si="9"/>
        <v>9.2130000000000007E-3</v>
      </c>
      <c r="L37" s="46">
        <f t="shared" si="14"/>
        <v>-5.5629999999999846E-3</v>
      </c>
      <c r="M37" s="46">
        <f t="shared" si="15"/>
        <v>-1.8519936480246568</v>
      </c>
      <c r="N37" s="51">
        <v>16407</v>
      </c>
      <c r="O37" s="37">
        <v>4837.8535000000002</v>
      </c>
      <c r="P37" s="52">
        <v>0</v>
      </c>
      <c r="Q37" s="49">
        <f t="shared" si="17"/>
        <v>1.5305659988669724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22615386.424069114</v>
      </c>
      <c r="E38" s="39">
        <f t="shared" si="1"/>
        <v>18881303.433125</v>
      </c>
      <c r="F38" s="40" t="s">
        <v>39</v>
      </c>
      <c r="G38" s="41">
        <v>0.1</v>
      </c>
      <c r="H38" s="42">
        <v>0.14000000000000001</v>
      </c>
      <c r="I38" s="43">
        <v>0.14000000000000001</v>
      </c>
      <c r="J38" s="44">
        <f t="shared" si="8"/>
        <v>5.2402269766884764E-3</v>
      </c>
      <c r="K38" s="45">
        <f t="shared" si="9"/>
        <v>4.3750000000000004E-3</v>
      </c>
      <c r="L38" s="46">
        <f t="shared" si="14"/>
        <v>0</v>
      </c>
      <c r="M38" s="46">
        <f t="shared" si="15"/>
        <v>0</v>
      </c>
      <c r="N38" s="51">
        <v>0</v>
      </c>
      <c r="O38" s="37">
        <v>0</v>
      </c>
      <c r="P38" s="52">
        <f t="shared" ref="P38:P44" si="18">(R38)/J38</f>
        <v>0</v>
      </c>
      <c r="Q38" s="49">
        <f t="shared" si="17"/>
        <v>0.40000000000000013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7970702.4149960317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7.4860385381263939E-2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0</v>
      </c>
      <c r="O39" s="37">
        <v>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4684387.2869871696</v>
      </c>
      <c r="E40" s="39">
        <f t="shared" si="1"/>
        <v>3910936.3910645004</v>
      </c>
      <c r="F40" s="40" t="s">
        <v>39</v>
      </c>
      <c r="G40" s="41">
        <v>0.03</v>
      </c>
      <c r="H40" s="42">
        <v>7.0140000000000008E-2</v>
      </c>
      <c r="I40" s="43">
        <v>7.0388000000000006E-2</v>
      </c>
      <c r="J40" s="44">
        <f t="shared" si="8"/>
        <v>2.6346364031082036E-3</v>
      </c>
      <c r="K40" s="45">
        <f t="shared" si="9"/>
        <v>2.1996250000000002E-3</v>
      </c>
      <c r="L40" s="46">
        <f t="shared" si="14"/>
        <v>2.4799999999999822E-4</v>
      </c>
      <c r="M40" s="46">
        <f t="shared" si="15"/>
        <v>0.35357855717136893</v>
      </c>
      <c r="N40" s="51">
        <v>1610</v>
      </c>
      <c r="O40" s="37">
        <v>113.322</v>
      </c>
      <c r="P40" s="52">
        <f t="shared" si="18"/>
        <v>0</v>
      </c>
      <c r="Q40" s="49">
        <f t="shared" si="17"/>
        <v>1.3462666666666672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44656026.71093411</v>
      </c>
      <c r="E41" s="39">
        <f t="shared" si="1"/>
        <v>37282758.500624999</v>
      </c>
      <c r="F41" s="40" t="s">
        <v>47</v>
      </c>
      <c r="G41" s="41">
        <v>4.5</v>
      </c>
      <c r="H41" s="42">
        <v>6.8</v>
      </c>
      <c r="I41" s="43">
        <v>6.81</v>
      </c>
      <c r="J41" s="44">
        <f t="shared" si="8"/>
        <v>0.25489961222320373</v>
      </c>
      <c r="K41" s="45">
        <f t="shared" si="9"/>
        <v>0.21281249999999999</v>
      </c>
      <c r="L41" s="46">
        <f t="shared" si="14"/>
        <v>9.9999999999997868E-3</v>
      </c>
      <c r="M41" s="46">
        <f t="shared" si="15"/>
        <v>0.14705882352940863</v>
      </c>
      <c r="N41" s="51">
        <v>200</v>
      </c>
      <c r="O41" s="37">
        <v>1362</v>
      </c>
      <c r="P41" s="52">
        <f t="shared" si="18"/>
        <v>0</v>
      </c>
      <c r="Q41" s="49">
        <f t="shared" si="17"/>
        <v>0.5133333333333332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312.17072277702084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6.7374346843137549E-7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1552304.9512658895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2.6949738737255024E-3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47495660.797261901</v>
      </c>
      <c r="E44" s="39">
        <f t="shared" si="1"/>
        <v>39653533.503873996</v>
      </c>
      <c r="F44" s="40" t="s">
        <v>47</v>
      </c>
      <c r="G44" s="41">
        <v>0.9998999999999999</v>
      </c>
      <c r="H44" s="42">
        <v>0.76966699999999999</v>
      </c>
      <c r="I44" s="43">
        <v>0.69788799999999995</v>
      </c>
      <c r="J44" s="44">
        <f t="shared" si="8"/>
        <v>2.6122082316479764E-2</v>
      </c>
      <c r="K44" s="45">
        <f t="shared" si="9"/>
        <v>2.1808999999999999E-2</v>
      </c>
      <c r="L44" s="46">
        <f t="shared" si="14"/>
        <v>-7.1779000000000037E-2</v>
      </c>
      <c r="M44" s="46">
        <f t="shared" si="15"/>
        <v>-9.3259812360410468</v>
      </c>
      <c r="N44" s="51">
        <v>108200</v>
      </c>
      <c r="O44" s="37">
        <v>75511.5</v>
      </c>
      <c r="P44" s="52">
        <f t="shared" si="18"/>
        <v>0</v>
      </c>
      <c r="Q44" s="49">
        <f t="shared" si="17"/>
        <v>-0.30204220422042205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12821572.300160201</v>
      </c>
      <c r="E45" s="39">
        <f t="shared" si="1"/>
        <v>10704570.44375</v>
      </c>
      <c r="F45" s="40" t="s">
        <v>47</v>
      </c>
      <c r="G45" s="41">
        <v>1.4503460000000001</v>
      </c>
      <c r="H45" s="42">
        <v>3.335</v>
      </c>
      <c r="I45" s="43">
        <v>3.335</v>
      </c>
      <c r="J45" s="44">
        <f t="shared" si="8"/>
        <v>0.12482969262325762</v>
      </c>
      <c r="K45" s="45">
        <f t="shared" si="9"/>
        <v>0.10421875</v>
      </c>
      <c r="L45" s="46">
        <f t="shared" si="14"/>
        <v>0</v>
      </c>
      <c r="M45" s="46">
        <f t="shared" si="15"/>
        <v>0</v>
      </c>
      <c r="N45" s="51">
        <v>10</v>
      </c>
      <c r="O45" s="37">
        <v>38</v>
      </c>
      <c r="P45" s="52">
        <v>0</v>
      </c>
      <c r="Q45" s="49">
        <f t="shared" si="17"/>
        <v>1.2994513033441675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4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338369</v>
      </c>
      <c r="O47" s="62">
        <f>SUM(O9:O45)</f>
        <v>1998759.7174999998</v>
      </c>
      <c r="P47" s="63"/>
      <c r="Q47" s="64"/>
    </row>
    <row r="48" spans="1:18" ht="13.5" customHeight="1" x14ac:dyDescent="0.35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3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 t="shared" ref="D50:D65" si="19">C50*J50</f>
        <v>77688843.120000005</v>
      </c>
      <c r="E50" s="39">
        <v>0</v>
      </c>
      <c r="F50" s="40" t="s">
        <v>92</v>
      </c>
      <c r="G50" s="71">
        <v>0.1</v>
      </c>
      <c r="H50" s="42">
        <v>0.1328</v>
      </c>
      <c r="I50" s="42">
        <v>0.14000000000000001</v>
      </c>
      <c r="J50" s="44">
        <f t="shared" ref="J50:J65" si="20">I50</f>
        <v>0.14000000000000001</v>
      </c>
      <c r="K50" s="39">
        <v>0</v>
      </c>
      <c r="L50" s="46">
        <f t="shared" ref="L50:L65" si="21">I50-H50</f>
        <v>7.2000000000000119E-3</v>
      </c>
      <c r="M50" s="46">
        <f t="shared" ref="M50:M65" si="22">((I50-H50)/H50)*100</f>
        <v>5.4216867469879606</v>
      </c>
      <c r="N50" s="51">
        <v>2125</v>
      </c>
      <c r="O50" s="37">
        <v>297.5</v>
      </c>
      <c r="P50" s="72">
        <f>(R50)/J50</f>
        <v>0</v>
      </c>
      <c r="Q50" s="49">
        <f t="shared" ref="Q50:Q65" si="23">J50/G50-1</f>
        <v>0.40000000000000013</v>
      </c>
      <c r="T50" s="53"/>
    </row>
    <row r="51" spans="1:20" ht="12" customHeight="1" x14ac:dyDescent="0.25">
      <c r="A51" s="35" t="s">
        <v>121</v>
      </c>
      <c r="B51" s="36" t="s">
        <v>122</v>
      </c>
      <c r="C51" s="40">
        <v>1057685</v>
      </c>
      <c r="D51" s="38">
        <f t="shared" si="19"/>
        <v>42307400</v>
      </c>
      <c r="E51" s="39">
        <v>0</v>
      </c>
      <c r="F51" s="40" t="s">
        <v>39</v>
      </c>
      <c r="G51" s="71">
        <v>39.9</v>
      </c>
      <c r="H51" s="42">
        <v>36.1</v>
      </c>
      <c r="I51" s="42">
        <v>40</v>
      </c>
      <c r="J51" s="44">
        <f t="shared" si="20"/>
        <v>40</v>
      </c>
      <c r="K51" s="39">
        <v>0</v>
      </c>
      <c r="L51" s="46">
        <f t="shared" si="21"/>
        <v>3.8999999999999986</v>
      </c>
      <c r="M51" s="46">
        <f t="shared" si="22"/>
        <v>10.803324099722987</v>
      </c>
      <c r="N51" s="51">
        <v>51</v>
      </c>
      <c r="O51" s="37">
        <v>2040</v>
      </c>
      <c r="P51" s="73">
        <f>(R51)/J51</f>
        <v>1.4000000000000002E-2</v>
      </c>
      <c r="Q51" s="49">
        <f t="shared" si="23"/>
        <v>2.5062656641603454E-3</v>
      </c>
      <c r="R51" s="53">
        <v>0.56000000000000005</v>
      </c>
      <c r="T51" s="53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672937504.35469997</v>
      </c>
      <c r="E52" s="39"/>
      <c r="F52" s="40" t="s">
        <v>56</v>
      </c>
      <c r="G52" s="71">
        <v>0.33</v>
      </c>
      <c r="H52" s="42">
        <v>0.22800000000000001</v>
      </c>
      <c r="I52" s="42">
        <v>0.22489999999999999</v>
      </c>
      <c r="J52" s="44">
        <f t="shared" si="20"/>
        <v>0.22489999999999999</v>
      </c>
      <c r="K52" s="39">
        <v>0</v>
      </c>
      <c r="L52" s="46">
        <f t="shared" si="21"/>
        <v>-3.1000000000000194E-3</v>
      </c>
      <c r="M52" s="46">
        <f t="shared" si="22"/>
        <v>-1.359649122807026</v>
      </c>
      <c r="N52" s="51">
        <v>46228</v>
      </c>
      <c r="O52" s="37">
        <v>10396.719999999999</v>
      </c>
      <c r="P52" s="72">
        <v>0</v>
      </c>
      <c r="Q52" s="49">
        <f t="shared" si="23"/>
        <v>-0.31848484848484859</v>
      </c>
      <c r="R52" s="53"/>
      <c r="T52" s="53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16036186.800900001</v>
      </c>
      <c r="E53" s="39">
        <v>0</v>
      </c>
      <c r="F53" s="40" t="s">
        <v>34</v>
      </c>
      <c r="G53" s="71">
        <v>2.3E-2</v>
      </c>
      <c r="H53" s="42">
        <v>2.4E-2</v>
      </c>
      <c r="I53" s="42">
        <v>2.63E-2</v>
      </c>
      <c r="J53" s="44">
        <f t="shared" si="20"/>
        <v>2.63E-2</v>
      </c>
      <c r="K53" s="39">
        <v>0</v>
      </c>
      <c r="L53" s="46">
        <f t="shared" si="21"/>
        <v>2.3E-3</v>
      </c>
      <c r="M53" s="46">
        <f t="shared" si="22"/>
        <v>9.5833333333333321</v>
      </c>
      <c r="N53" s="51">
        <v>43308</v>
      </c>
      <c r="O53" s="37">
        <v>1138.3800000000001</v>
      </c>
      <c r="P53" s="72">
        <f t="shared" ref="P53:P65" si="24">(R53)/J53</f>
        <v>0</v>
      </c>
      <c r="Q53" s="49">
        <f t="shared" si="23"/>
        <v>0.14347826086956528</v>
      </c>
      <c r="T53" s="53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325269467.7216</v>
      </c>
      <c r="E54" s="39">
        <v>0</v>
      </c>
      <c r="F54" s="40" t="s">
        <v>47</v>
      </c>
      <c r="G54" s="71">
        <v>9.0200000000000002E-2</v>
      </c>
      <c r="H54" s="42">
        <v>0.15029999999999999</v>
      </c>
      <c r="I54" s="42">
        <v>0.15040000000000001</v>
      </c>
      <c r="J54" s="44">
        <f t="shared" si="20"/>
        <v>0.15040000000000001</v>
      </c>
      <c r="K54" s="39">
        <v>0</v>
      </c>
      <c r="L54" s="46">
        <f t="shared" si="21"/>
        <v>1.0000000000001674E-4</v>
      </c>
      <c r="M54" s="74">
        <f t="shared" si="22"/>
        <v>6.6533599467742358E-2</v>
      </c>
      <c r="N54" s="51">
        <v>406658</v>
      </c>
      <c r="O54" s="37">
        <v>61145.11</v>
      </c>
      <c r="P54" s="72">
        <f t="shared" si="24"/>
        <v>0</v>
      </c>
      <c r="Q54" s="49">
        <f t="shared" si="23"/>
        <v>0.66740576496674064</v>
      </c>
      <c r="R54" s="53"/>
      <c r="T54" s="53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870512829.17500007</v>
      </c>
      <c r="E55" s="39">
        <v>0</v>
      </c>
      <c r="F55" s="40" t="s">
        <v>34</v>
      </c>
      <c r="G55" s="71">
        <v>0.95750000000000002</v>
      </c>
      <c r="H55" s="42">
        <v>1.5068999999999999</v>
      </c>
      <c r="I55" s="42">
        <v>1.5115000000000001</v>
      </c>
      <c r="J55" s="44">
        <f t="shared" si="20"/>
        <v>1.5115000000000001</v>
      </c>
      <c r="K55" s="39">
        <v>0</v>
      </c>
      <c r="L55" s="46">
        <f t="shared" si="21"/>
        <v>4.6000000000001595E-3</v>
      </c>
      <c r="M55" s="46">
        <f t="shared" si="22"/>
        <v>0.30526245935365054</v>
      </c>
      <c r="N55" s="51">
        <v>14624</v>
      </c>
      <c r="O55" s="37">
        <v>22103.85</v>
      </c>
      <c r="P55" s="73">
        <f t="shared" si="24"/>
        <v>3.1094938802514058E-2</v>
      </c>
      <c r="Q55" s="49">
        <f t="shared" si="23"/>
        <v>0.57859007832898168</v>
      </c>
      <c r="R55" s="53">
        <v>4.7E-2</v>
      </c>
      <c r="T55" s="53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22118847.503399998</v>
      </c>
      <c r="E56" s="39">
        <v>0</v>
      </c>
      <c r="F56" s="40" t="s">
        <v>34</v>
      </c>
      <c r="G56" s="71">
        <v>0.1595</v>
      </c>
      <c r="H56" s="42">
        <v>0.13469999999999999</v>
      </c>
      <c r="I56" s="42">
        <v>0.13469999999999999</v>
      </c>
      <c r="J56" s="44">
        <f t="shared" si="20"/>
        <v>0.13469999999999999</v>
      </c>
      <c r="K56" s="39">
        <v>0</v>
      </c>
      <c r="L56" s="46">
        <f t="shared" si="21"/>
        <v>0</v>
      </c>
      <c r="M56" s="46">
        <f t="shared" si="22"/>
        <v>0</v>
      </c>
      <c r="N56" s="51">
        <v>0</v>
      </c>
      <c r="O56" s="37">
        <v>0</v>
      </c>
      <c r="P56" s="72">
        <f t="shared" si="24"/>
        <v>0</v>
      </c>
      <c r="Q56" s="49">
        <f t="shared" si="23"/>
        <v>-0.15548589341692798</v>
      </c>
      <c r="T56" s="53"/>
    </row>
    <row r="57" spans="1:20" ht="12" customHeight="1" x14ac:dyDescent="0.25">
      <c r="A57" s="35" t="s">
        <v>133</v>
      </c>
      <c r="B57" s="36" t="s">
        <v>134</v>
      </c>
      <c r="C57" s="40">
        <v>953802800</v>
      </c>
      <c r="D57" s="38">
        <f t="shared" si="19"/>
        <v>20983661.599999998</v>
      </c>
      <c r="E57" s="39">
        <v>0</v>
      </c>
      <c r="F57" s="40" t="s">
        <v>92</v>
      </c>
      <c r="G57" s="71">
        <v>1.6799999999999999E-2</v>
      </c>
      <c r="H57" s="42">
        <v>2.07E-2</v>
      </c>
      <c r="I57" s="42">
        <v>2.1999999999999999E-2</v>
      </c>
      <c r="J57" s="44">
        <f t="shared" si="20"/>
        <v>2.1999999999999999E-2</v>
      </c>
      <c r="K57" s="39">
        <v>0</v>
      </c>
      <c r="L57" s="46">
        <f t="shared" si="21"/>
        <v>1.2999999999999991E-3</v>
      </c>
      <c r="M57" s="74">
        <f t="shared" si="22"/>
        <v>6.2801932367149718</v>
      </c>
      <c r="N57" s="51">
        <v>466399</v>
      </c>
      <c r="O57" s="37">
        <v>10256.780000000001</v>
      </c>
      <c r="P57" s="72">
        <f t="shared" si="24"/>
        <v>0</v>
      </c>
      <c r="Q57" s="49">
        <f t="shared" si="23"/>
        <v>0.30952380952380953</v>
      </c>
      <c r="R57" s="53"/>
      <c r="T57" s="53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2354295.5085999998</v>
      </c>
      <c r="E58" s="39">
        <v>0</v>
      </c>
      <c r="F58" s="40" t="s">
        <v>137</v>
      </c>
      <c r="G58" s="71">
        <v>19.5</v>
      </c>
      <c r="H58" s="42">
        <v>14.5982</v>
      </c>
      <c r="I58" s="42">
        <v>14.5982</v>
      </c>
      <c r="J58" s="44">
        <f t="shared" si="20"/>
        <v>14.5982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-0.251374358974359</v>
      </c>
      <c r="T58" s="53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4078370402.6826997</v>
      </c>
      <c r="E59" s="39">
        <v>0</v>
      </c>
      <c r="F59" s="40" t="s">
        <v>47</v>
      </c>
      <c r="G59" s="71">
        <v>0.78169999999999995</v>
      </c>
      <c r="H59" s="52">
        <v>0.9</v>
      </c>
      <c r="I59" s="42">
        <v>0.90669999999999995</v>
      </c>
      <c r="J59" s="44">
        <f t="shared" si="20"/>
        <v>0.90669999999999995</v>
      </c>
      <c r="K59" s="39">
        <v>0</v>
      </c>
      <c r="L59" s="46">
        <f t="shared" si="21"/>
        <v>6.6999999999999282E-3</v>
      </c>
      <c r="M59" s="46">
        <f t="shared" si="22"/>
        <v>0.74444444444443647</v>
      </c>
      <c r="N59" s="75">
        <v>5610</v>
      </c>
      <c r="O59" s="76">
        <v>5086.66</v>
      </c>
      <c r="P59" s="72">
        <f t="shared" si="24"/>
        <v>0</v>
      </c>
      <c r="Q59" s="49">
        <f t="shared" si="23"/>
        <v>0.15990789305360109</v>
      </c>
      <c r="R59" s="53"/>
      <c r="S59" s="149"/>
      <c r="T59" s="53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1049998966.1942</v>
      </c>
      <c r="E60" s="39">
        <v>0</v>
      </c>
      <c r="F60" s="40" t="s">
        <v>92</v>
      </c>
      <c r="G60" s="71">
        <v>0.59499999999999997</v>
      </c>
      <c r="H60" s="42">
        <v>1.2988</v>
      </c>
      <c r="I60" s="42">
        <v>1.3042</v>
      </c>
      <c r="J60" s="44">
        <f t="shared" si="20"/>
        <v>1.3042</v>
      </c>
      <c r="K60" s="39">
        <v>0</v>
      </c>
      <c r="L60" s="46">
        <f t="shared" si="21"/>
        <v>5.4000000000000714E-3</v>
      </c>
      <c r="M60" s="46">
        <f t="shared" si="22"/>
        <v>0.41576840160148382</v>
      </c>
      <c r="N60" s="51">
        <v>311774</v>
      </c>
      <c r="O60" s="37">
        <v>406612.77</v>
      </c>
      <c r="P60" s="72">
        <f t="shared" si="24"/>
        <v>0</v>
      </c>
      <c r="Q60" s="49">
        <f t="shared" si="23"/>
        <v>1.1919327731092437</v>
      </c>
      <c r="T60" s="53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109630454.81899999</v>
      </c>
      <c r="E61" s="39">
        <v>0</v>
      </c>
      <c r="F61" s="40" t="s">
        <v>34</v>
      </c>
      <c r="G61" s="71">
        <v>0.22600000000000001</v>
      </c>
      <c r="H61" s="42">
        <v>0.4451</v>
      </c>
      <c r="I61" s="42">
        <v>0.42049999999999998</v>
      </c>
      <c r="J61" s="44">
        <f t="shared" si="20"/>
        <v>0.42049999999999998</v>
      </c>
      <c r="K61" s="39">
        <v>0</v>
      </c>
      <c r="L61" s="46">
        <f t="shared" si="21"/>
        <v>-2.4600000000000011E-2</v>
      </c>
      <c r="M61" s="46">
        <f t="shared" si="22"/>
        <v>-5.5268478993484642</v>
      </c>
      <c r="N61" s="51">
        <v>23763</v>
      </c>
      <c r="O61" s="37">
        <v>9991.2199999999993</v>
      </c>
      <c r="P61" s="72">
        <f t="shared" si="24"/>
        <v>0</v>
      </c>
      <c r="Q61" s="49">
        <f t="shared" si="23"/>
        <v>0.86061946902654851</v>
      </c>
      <c r="T61" s="53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419164977.93279999</v>
      </c>
      <c r="E62" s="39">
        <v>0</v>
      </c>
      <c r="F62" s="40" t="s">
        <v>34</v>
      </c>
      <c r="G62" s="71">
        <v>0.49440000000000001</v>
      </c>
      <c r="H62" s="42">
        <v>0.74660000000000004</v>
      </c>
      <c r="I62" s="42">
        <v>0.74560000000000004</v>
      </c>
      <c r="J62" s="44">
        <f t="shared" si="20"/>
        <v>0.74560000000000004</v>
      </c>
      <c r="K62" s="39">
        <v>0</v>
      </c>
      <c r="L62" s="46">
        <f t="shared" si="21"/>
        <v>-1.0000000000000009E-3</v>
      </c>
      <c r="M62" s="46">
        <f t="shared" si="22"/>
        <v>-0.13394053040450052</v>
      </c>
      <c r="N62" s="51">
        <v>11999</v>
      </c>
      <c r="O62" s="37">
        <v>8946.73</v>
      </c>
      <c r="P62" s="72">
        <f t="shared" si="24"/>
        <v>0</v>
      </c>
      <c r="Q62" s="49">
        <f t="shared" si="23"/>
        <v>0.50809061488673146</v>
      </c>
      <c r="R62" s="53"/>
      <c r="T62" s="53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77388877.230499998</v>
      </c>
      <c r="E63" s="39">
        <v>0</v>
      </c>
      <c r="F63" s="40" t="s">
        <v>34</v>
      </c>
      <c r="G63" s="71">
        <v>0.25950000000000001</v>
      </c>
      <c r="H63" s="42">
        <v>0.24</v>
      </c>
      <c r="I63" s="42">
        <v>0.21229999999999999</v>
      </c>
      <c r="J63" s="44">
        <f t="shared" si="20"/>
        <v>0.21229999999999999</v>
      </c>
      <c r="K63" s="39">
        <v>0</v>
      </c>
      <c r="L63" s="46">
        <f t="shared" si="21"/>
        <v>-2.7700000000000002E-2</v>
      </c>
      <c r="M63" s="46">
        <f t="shared" si="22"/>
        <v>-11.541666666666668</v>
      </c>
      <c r="N63" s="51">
        <v>5271</v>
      </c>
      <c r="O63" s="37">
        <v>1118.8699999999999</v>
      </c>
      <c r="P63" s="72">
        <f t="shared" si="24"/>
        <v>0</v>
      </c>
      <c r="Q63" s="49">
        <f t="shared" si="23"/>
        <v>-0.18188824662813108</v>
      </c>
      <c r="R63" s="53"/>
      <c r="T63" s="53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38972052.966600001</v>
      </c>
      <c r="E65" s="39">
        <v>0</v>
      </c>
      <c r="F65" s="40" t="s">
        <v>44</v>
      </c>
      <c r="G65" s="71">
        <v>4.2999999999999997E-2</v>
      </c>
      <c r="H65" s="42">
        <v>0.1119</v>
      </c>
      <c r="I65" s="42">
        <v>0.11310000000000001</v>
      </c>
      <c r="J65" s="44">
        <f t="shared" si="20"/>
        <v>0.11310000000000001</v>
      </c>
      <c r="K65" s="39">
        <v>0</v>
      </c>
      <c r="L65" s="46">
        <f t="shared" si="21"/>
        <v>1.2000000000000066E-3</v>
      </c>
      <c r="M65" s="46">
        <f t="shared" si="22"/>
        <v>1.0723860589812391</v>
      </c>
      <c r="N65" s="51">
        <v>4002</v>
      </c>
      <c r="O65" s="37">
        <v>452.44</v>
      </c>
      <c r="P65" s="72">
        <f t="shared" si="24"/>
        <v>0</v>
      </c>
      <c r="Q65" s="49">
        <f t="shared" si="23"/>
        <v>1.6302325581395354</v>
      </c>
      <c r="T65" s="53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1341812</v>
      </c>
      <c r="O66" s="63">
        <f>SUM(O50:O65)</f>
        <v>539587.02999999991</v>
      </c>
      <c r="P66" s="80"/>
      <c r="Q66" s="64"/>
    </row>
    <row r="67" spans="1:20" ht="12.6" hidden="1" x14ac:dyDescent="0.3">
      <c r="A67" s="137" t="s">
        <v>152</v>
      </c>
      <c r="B67" s="138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40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6" x14ac:dyDescent="0.3">
      <c r="A70" s="137" t="s">
        <v>156</v>
      </c>
      <c r="B70" s="138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40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39408136.062299997</v>
      </c>
      <c r="E71" s="39">
        <f>C71*K71</f>
        <v>39408136.062299997</v>
      </c>
      <c r="F71" s="92" t="s">
        <v>159</v>
      </c>
      <c r="G71" s="92">
        <v>0.24</v>
      </c>
      <c r="H71" s="93">
        <v>0.33</v>
      </c>
      <c r="I71" s="93">
        <v>0.28289999999999998</v>
      </c>
      <c r="J71" s="94">
        <f>I71</f>
        <v>0.28289999999999998</v>
      </c>
      <c r="K71" s="94">
        <f>J71</f>
        <v>0.28289999999999998</v>
      </c>
      <c r="L71" s="46">
        <f>I71-H71</f>
        <v>-4.7100000000000031E-2</v>
      </c>
      <c r="M71" s="46">
        <f>((I71-H71)/H71)*100</f>
        <v>-14.27272727272728</v>
      </c>
      <c r="N71" s="95">
        <v>3220</v>
      </c>
      <c r="O71" s="96">
        <v>910.85</v>
      </c>
      <c r="P71" s="72">
        <f>(R71)/J71</f>
        <v>0</v>
      </c>
      <c r="Q71" s="49">
        <f>J71/G71-1</f>
        <v>0.17874999999999996</v>
      </c>
      <c r="T71" s="53"/>
    </row>
    <row r="72" spans="1:20" x14ac:dyDescent="0.25">
      <c r="A72" s="35" t="s">
        <v>160</v>
      </c>
      <c r="B72" s="91" t="s">
        <v>161</v>
      </c>
      <c r="C72" s="92">
        <v>471351750</v>
      </c>
      <c r="D72" s="38">
        <f>C72*J72</f>
        <v>65517893.250000007</v>
      </c>
      <c r="E72" s="39">
        <f>C72*K72</f>
        <v>65517893.250000007</v>
      </c>
      <c r="F72" s="92" t="s">
        <v>159</v>
      </c>
      <c r="G72" s="92">
        <v>0.1</v>
      </c>
      <c r="H72" s="93">
        <v>0.1391</v>
      </c>
      <c r="I72" s="93">
        <v>0.13900000000000001</v>
      </c>
      <c r="J72" s="94">
        <f>I72</f>
        <v>0.13900000000000001</v>
      </c>
      <c r="K72" s="94">
        <f>J72</f>
        <v>0.13900000000000001</v>
      </c>
      <c r="L72" s="46">
        <f>I72-H72</f>
        <v>-9.9999999999988987E-5</v>
      </c>
      <c r="M72" s="46">
        <f>((I72-H72)/H72)*100</f>
        <v>-7.1890726096325644E-2</v>
      </c>
      <c r="N72" s="51">
        <v>2123</v>
      </c>
      <c r="O72" s="96">
        <v>295.19</v>
      </c>
      <c r="P72" s="97">
        <f>(R72)/J72</f>
        <v>2.7280575539568343E-2</v>
      </c>
      <c r="Q72" s="49">
        <f>J72/G72-1</f>
        <v>0.39000000000000012</v>
      </c>
      <c r="R72" s="5">
        <v>3.7919999999999998E-3</v>
      </c>
      <c r="T72" s="53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5343</v>
      </c>
      <c r="O73" s="63">
        <f>SUM(O71:O72)</f>
        <v>1206.04</v>
      </c>
      <c r="P73" s="90"/>
      <c r="Q73" s="64"/>
    </row>
    <row r="74" spans="1:20" ht="12.6" x14ac:dyDescent="0.3">
      <c r="A74" s="137" t="s">
        <v>162</v>
      </c>
      <c r="B74" s="138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40"/>
    </row>
    <row r="75" spans="1:20" x14ac:dyDescent="0.25">
      <c r="A75" s="35" t="s">
        <v>163</v>
      </c>
      <c r="B75" s="91" t="s">
        <v>164</v>
      </c>
      <c r="C75" s="92">
        <v>20819695</v>
      </c>
      <c r="D75" s="38">
        <f>C75*J75</f>
        <v>2194395.8529999997</v>
      </c>
      <c r="E75" s="39">
        <f>C75*K75</f>
        <v>2194395.8529999997</v>
      </c>
      <c r="F75" s="92" t="s">
        <v>137</v>
      </c>
      <c r="G75" s="92">
        <v>0.1394</v>
      </c>
      <c r="H75" s="93">
        <v>0.11</v>
      </c>
      <c r="I75" s="93">
        <v>0.10539999999999999</v>
      </c>
      <c r="J75" s="94">
        <f>I75</f>
        <v>0.10539999999999999</v>
      </c>
      <c r="K75" s="94">
        <f>J75</f>
        <v>0.10539999999999999</v>
      </c>
      <c r="L75" s="46">
        <f>I75-H75</f>
        <v>-4.6000000000000069E-3</v>
      </c>
      <c r="M75" s="46">
        <f>((I75-H75)/H75)*100</f>
        <v>-4.1818181818181879</v>
      </c>
      <c r="N75" s="95">
        <v>15961</v>
      </c>
      <c r="O75" s="96">
        <v>1682.4</v>
      </c>
      <c r="P75" s="72">
        <f>(R75)/J75</f>
        <v>0</v>
      </c>
      <c r="Q75" s="49">
        <f>J75/G75-1</f>
        <v>-0.24390243902439024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6" x14ac:dyDescent="0.3">
      <c r="A77" s="133" t="s">
        <v>165</v>
      </c>
      <c r="B77" s="134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6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160198.81589585423</v>
      </c>
      <c r="E78" s="39">
        <f>C78*K78</f>
        <v>133747.98890625002</v>
      </c>
      <c r="F78" s="40" t="s">
        <v>137</v>
      </c>
      <c r="G78" s="71">
        <v>0.105</v>
      </c>
      <c r="H78" s="42">
        <v>0.13500000000000001</v>
      </c>
      <c r="I78" s="42">
        <v>0.13500000000000001</v>
      </c>
      <c r="J78" s="44">
        <f>I78/$J$5</f>
        <v>5.0530760132353166E-3</v>
      </c>
      <c r="K78" s="45">
        <f>I78/$K$4</f>
        <v>4.2187500000000003E-3</v>
      </c>
      <c r="L78" s="46">
        <f>I78-H78</f>
        <v>0</v>
      </c>
      <c r="M78" s="98">
        <f>((I78-H78)/H78)*100</f>
        <v>0</v>
      </c>
      <c r="N78" s="37">
        <v>1500</v>
      </c>
      <c r="O78" s="37">
        <v>202.5</v>
      </c>
      <c r="P78" s="40">
        <v>0</v>
      </c>
      <c r="Q78" s="49">
        <f>I78/G78-1</f>
        <v>0.28571428571428581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433208.60669850733</v>
      </c>
      <c r="E79" s="39">
        <f>C79*K79</f>
        <v>361680.450625</v>
      </c>
      <c r="F79" s="40" t="s">
        <v>137</v>
      </c>
      <c r="G79" s="71">
        <v>4.2500000000000003E-2</v>
      </c>
      <c r="H79" s="42">
        <v>0.08</v>
      </c>
      <c r="I79" s="42">
        <v>8.5000000000000006E-2</v>
      </c>
      <c r="J79" s="44">
        <f>I79/$J$5</f>
        <v>3.1815663787037179E-3</v>
      </c>
      <c r="K79" s="45">
        <f>I79/$K$4</f>
        <v>2.6562500000000002E-3</v>
      </c>
      <c r="L79" s="46">
        <f>I79-H79</f>
        <v>5.0000000000000044E-3</v>
      </c>
      <c r="M79" s="98">
        <f>((I79-H79)/H79)*100</f>
        <v>6.2500000000000053</v>
      </c>
      <c r="N79" s="37">
        <v>1000</v>
      </c>
      <c r="O79" s="37">
        <v>85</v>
      </c>
      <c r="P79" s="40">
        <v>0</v>
      </c>
      <c r="Q79" s="49">
        <f>I79/G79-1</f>
        <v>1</v>
      </c>
    </row>
    <row r="80" spans="1:20" x14ac:dyDescent="0.25">
      <c r="A80" s="35" t="s">
        <v>170</v>
      </c>
      <c r="B80" s="36" t="s">
        <v>171</v>
      </c>
      <c r="C80" s="40">
        <v>6677853</v>
      </c>
      <c r="D80" s="38">
        <f>C80*J80</f>
        <v>29994.398945965771</v>
      </c>
      <c r="E80" s="39">
        <f>C80*K80</f>
        <v>25041.94875</v>
      </c>
      <c r="F80" s="40" t="s">
        <v>137</v>
      </c>
      <c r="G80" s="71">
        <v>6.0499999999999998E-2</v>
      </c>
      <c r="H80" s="42">
        <v>0.12</v>
      </c>
      <c r="I80" s="42">
        <v>0.12</v>
      </c>
      <c r="J80" s="44">
        <f>I80/$J$5</f>
        <v>4.4916231228758364E-3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3500</v>
      </c>
      <c r="O80" s="37">
        <v>420</v>
      </c>
      <c r="P80" s="40">
        <v>0</v>
      </c>
      <c r="Q80" s="49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494417400</v>
      </c>
      <c r="D81" s="38">
        <f>C81*J81</f>
        <v>31460435.537722144</v>
      </c>
      <c r="E81" s="39">
        <f>C81*K81</f>
        <v>26265924.375</v>
      </c>
      <c r="F81" s="40" t="s">
        <v>137</v>
      </c>
      <c r="G81" s="71">
        <v>1.85</v>
      </c>
      <c r="H81" s="42">
        <v>1.7</v>
      </c>
      <c r="I81" s="42">
        <v>1.7</v>
      </c>
      <c r="J81" s="44">
        <f>I81/$J$5</f>
        <v>6.3631327574074345E-2</v>
      </c>
      <c r="K81" s="45">
        <f>I81/$K$4</f>
        <v>5.3124999999999999E-2</v>
      </c>
      <c r="L81" s="46">
        <f>I81-H81</f>
        <v>0</v>
      </c>
      <c r="M81" s="98">
        <f>((I81-H81)/H81)*100</f>
        <v>0</v>
      </c>
      <c r="N81" s="37">
        <v>300</v>
      </c>
      <c r="O81" s="37">
        <v>510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6300</v>
      </c>
      <c r="O82" s="63">
        <f>SUM(O78:O81)</f>
        <v>1217.5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7" t="s">
        <v>174</v>
      </c>
      <c r="B83" s="138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40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29399758.774760067</v>
      </c>
      <c r="E84" s="39">
        <f>C84*K84</f>
        <v>24545491.104062498</v>
      </c>
      <c r="F84" s="40" t="s">
        <v>177</v>
      </c>
      <c r="G84" s="40">
        <v>1.3</v>
      </c>
      <c r="H84" s="42">
        <v>2.1324999999999998</v>
      </c>
      <c r="I84" s="42">
        <v>2.1324999999999998</v>
      </c>
      <c r="J84" s="44">
        <f>I84/$J$5</f>
        <v>7.981988591277267E-2</v>
      </c>
      <c r="K84" s="45">
        <f>I84/$K$4</f>
        <v>6.6640624999999995E-2</v>
      </c>
      <c r="L84" s="46">
        <f>I84-H84</f>
        <v>0</v>
      </c>
      <c r="M84" s="46">
        <f>((I84-H84)/H84*100)</f>
        <v>0</v>
      </c>
      <c r="N84" s="108">
        <v>0</v>
      </c>
      <c r="O84" s="109">
        <v>0</v>
      </c>
      <c r="P84" s="52">
        <f>(R84)/J84</f>
        <v>0</v>
      </c>
      <c r="Q84" s="49">
        <f>I84/G84-1</f>
        <v>0.64038461538461511</v>
      </c>
      <c r="R84" s="53"/>
    </row>
    <row r="85" spans="1:243" s="110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74434079.83074066</v>
      </c>
      <c r="E85" s="39">
        <f>C85*K85</f>
        <v>62144082.824687496</v>
      </c>
      <c r="F85" s="40" t="s">
        <v>177</v>
      </c>
      <c r="G85" s="40">
        <v>1.44347</v>
      </c>
      <c r="H85" s="42">
        <v>1.080006</v>
      </c>
      <c r="I85" s="42">
        <v>1.0801179999999999</v>
      </c>
      <c r="J85" s="44">
        <f>I85/$J$5</f>
        <v>4.0429024868620017E-2</v>
      </c>
      <c r="K85" s="45">
        <f>I85/$K$4</f>
        <v>3.3753687499999997E-2</v>
      </c>
      <c r="L85" s="46">
        <f>I85-H85</f>
        <v>1.1199999999988997E-4</v>
      </c>
      <c r="M85" s="46">
        <f>((I85-H85)/H85*100)</f>
        <v>1.0370312757511529E-2</v>
      </c>
      <c r="N85" s="109">
        <v>40352</v>
      </c>
      <c r="O85" s="109">
        <v>43602.232000000004</v>
      </c>
      <c r="P85" s="48">
        <f>(R85)/J85</f>
        <v>5.3822717888230738E-2</v>
      </c>
      <c r="Q85" s="49">
        <f>I85/G85-1</f>
        <v>-0.25172119960927497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1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2"/>
      <c r="B87" s="113"/>
      <c r="C87" s="113"/>
      <c r="D87" s="113"/>
      <c r="E87" s="113"/>
      <c r="F87" s="114"/>
      <c r="G87" s="114"/>
      <c r="H87" s="60"/>
      <c r="M87" s="115"/>
      <c r="N87" s="115"/>
      <c r="O87" s="60"/>
      <c r="P87" s="60"/>
      <c r="Q87" s="116"/>
    </row>
    <row r="88" spans="1:243" ht="15" customHeight="1" thickBot="1" x14ac:dyDescent="0.3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3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5">
      <c r="A89" s="35" t="s">
        <v>50</v>
      </c>
      <c r="B89" s="117">
        <v>5.74</v>
      </c>
      <c r="D89" s="117">
        <v>14.800000000000004</v>
      </c>
      <c r="E89" s="35" t="s">
        <v>113</v>
      </c>
      <c r="F89" s="118">
        <v>0.69788799999999995</v>
      </c>
      <c r="H89" s="119">
        <v>-9.3259812360410468</v>
      </c>
      <c r="J89" s="35" t="s">
        <v>121</v>
      </c>
      <c r="K89" s="52">
        <v>40</v>
      </c>
      <c r="L89" s="120">
        <v>10.803324099722987</v>
      </c>
      <c r="M89" s="60" t="s">
        <v>146</v>
      </c>
      <c r="N89" s="118">
        <v>0.21229999999999999</v>
      </c>
      <c r="O89" s="119">
        <v>-11.541666666666668</v>
      </c>
      <c r="Q89" s="16"/>
    </row>
    <row r="90" spans="1:243" ht="15" customHeight="1" x14ac:dyDescent="0.25">
      <c r="A90" s="35" t="s">
        <v>45</v>
      </c>
      <c r="B90" s="117">
        <v>48</v>
      </c>
      <c r="D90" s="117">
        <v>14.632888175617589</v>
      </c>
      <c r="E90" s="35" t="s">
        <v>52</v>
      </c>
      <c r="F90" s="118">
        <v>29.8171</v>
      </c>
      <c r="H90" s="119">
        <v>-5.6605982370547476</v>
      </c>
      <c r="J90" s="35" t="s">
        <v>125</v>
      </c>
      <c r="K90" s="52">
        <v>2.63E-2</v>
      </c>
      <c r="L90" s="120">
        <v>9.5833333333333321</v>
      </c>
      <c r="M90" s="35" t="s">
        <v>142</v>
      </c>
      <c r="N90" s="118">
        <v>0.42049999999999998</v>
      </c>
      <c r="O90" s="119">
        <v>-5.5268478993484642</v>
      </c>
      <c r="Q90" s="16"/>
    </row>
    <row r="91" spans="1:243" ht="15" customHeight="1" x14ac:dyDescent="0.25">
      <c r="A91" s="35" t="s">
        <v>95</v>
      </c>
      <c r="B91" s="117">
        <v>4.4999999999999998E-2</v>
      </c>
      <c r="C91" s="117"/>
      <c r="D91" s="117">
        <v>10.342798293364719</v>
      </c>
      <c r="E91" s="35" t="s">
        <v>35</v>
      </c>
      <c r="F91" s="118">
        <v>4.9183999999999999E-2</v>
      </c>
      <c r="H91" s="119">
        <v>-2.2827965748117482</v>
      </c>
      <c r="J91" s="35" t="s">
        <v>133</v>
      </c>
      <c r="K91" s="52">
        <v>2.1999999999999999E-2</v>
      </c>
      <c r="L91" s="120">
        <v>6.2801932367149718</v>
      </c>
      <c r="M91" s="35" t="s">
        <v>123</v>
      </c>
      <c r="N91" s="118">
        <v>0.22489999999999999</v>
      </c>
      <c r="O91" s="119">
        <v>-1.359649122807026</v>
      </c>
      <c r="Q91" s="16"/>
    </row>
    <row r="92" spans="1:243" ht="15" customHeight="1" x14ac:dyDescent="0.25">
      <c r="A92" s="35" t="s">
        <v>79</v>
      </c>
      <c r="B92" s="117">
        <v>0.87267700000000004</v>
      </c>
      <c r="C92" s="117"/>
      <c r="D92" s="117">
        <v>0.88751445086705727</v>
      </c>
      <c r="E92" s="35" t="s">
        <v>68</v>
      </c>
      <c r="F92" s="118">
        <v>8.5999999999999993E-2</v>
      </c>
      <c r="H92" s="119">
        <v>-2.2727272727272902</v>
      </c>
      <c r="J92" s="35" t="s">
        <v>119</v>
      </c>
      <c r="K92" s="52">
        <v>0.14000000000000001</v>
      </c>
      <c r="L92" s="120">
        <v>5.4216867469879606</v>
      </c>
      <c r="M92" s="35" t="s">
        <v>144</v>
      </c>
      <c r="N92" s="118">
        <v>0.74560000000000004</v>
      </c>
      <c r="O92" s="119">
        <v>-0.13394053040450052</v>
      </c>
      <c r="Q92" s="16"/>
    </row>
    <row r="93" spans="1:243" ht="15" customHeight="1" x14ac:dyDescent="0.25">
      <c r="A93" s="35" t="s">
        <v>86</v>
      </c>
      <c r="B93" s="117">
        <v>1.5433330000000001</v>
      </c>
      <c r="C93" s="117"/>
      <c r="D93" s="117">
        <v>0.87143790849673453</v>
      </c>
      <c r="E93" s="35" t="s">
        <v>99</v>
      </c>
      <c r="F93" s="118">
        <v>0.29481600000000002</v>
      </c>
      <c r="G93" s="118"/>
      <c r="H93" s="119">
        <v>-1.8519936480246568</v>
      </c>
      <c r="J93" s="35" t="s">
        <v>138</v>
      </c>
      <c r="K93" s="52">
        <v>0.90669999999999995</v>
      </c>
      <c r="L93" s="120">
        <v>0.74444444444443647</v>
      </c>
      <c r="M93" s="35"/>
      <c r="N93" s="118"/>
      <c r="O93" s="119"/>
      <c r="Q93" s="16"/>
    </row>
    <row r="94" spans="1:243" ht="15.75" customHeight="1" thickBot="1" x14ac:dyDescent="0.3">
      <c r="A94" s="121"/>
      <c r="B94" s="122"/>
      <c r="C94" s="122"/>
      <c r="D94" s="122"/>
      <c r="E94" s="121"/>
      <c r="F94" s="122"/>
      <c r="G94" s="122"/>
      <c r="H94" s="123"/>
      <c r="J94" s="121"/>
      <c r="K94" s="122"/>
      <c r="L94" s="123"/>
      <c r="M94" s="122"/>
      <c r="N94" s="122"/>
      <c r="O94" s="123"/>
      <c r="Q94" s="16"/>
    </row>
    <row r="95" spans="1:243" x14ac:dyDescent="0.25">
      <c r="A95" s="124"/>
      <c r="B95" s="125"/>
      <c r="C95" s="125"/>
      <c r="D95" s="125"/>
      <c r="E95" s="115"/>
      <c r="F95" s="115"/>
      <c r="G95" s="115"/>
      <c r="H95" s="115"/>
      <c r="I95" s="115"/>
      <c r="J95" s="115"/>
      <c r="K95" s="115"/>
      <c r="L95" s="115"/>
      <c r="M95" s="125"/>
      <c r="Q95" s="16"/>
    </row>
    <row r="96" spans="1:243" x14ac:dyDescent="0.25">
      <c r="A96" s="12" t="s">
        <v>184</v>
      </c>
      <c r="B96" s="126"/>
      <c r="C96" s="126"/>
      <c r="D96" s="126"/>
      <c r="E96" s="126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4"/>
      <c r="B97" s="125"/>
      <c r="C97" s="125"/>
      <c r="D97" s="125"/>
      <c r="E97" s="125"/>
      <c r="F97" s="115"/>
      <c r="G97" s="115"/>
      <c r="H97" s="125"/>
      <c r="I97" s="115"/>
      <c r="J97" s="115"/>
      <c r="K97" s="115"/>
      <c r="L97" s="115"/>
      <c r="M97" s="125"/>
      <c r="Q97" s="16"/>
    </row>
    <row r="98" spans="1:17" ht="12.6" thickBot="1" x14ac:dyDescent="0.3">
      <c r="A98" s="127"/>
      <c r="B98" s="128"/>
      <c r="C98" s="128"/>
      <c r="D98" s="128"/>
      <c r="E98" s="128"/>
      <c r="F98" s="129"/>
      <c r="G98" s="129"/>
      <c r="H98" s="129"/>
      <c r="I98" s="130"/>
      <c r="J98" s="130"/>
      <c r="K98" s="130"/>
      <c r="L98" s="130"/>
      <c r="M98" s="130"/>
      <c r="N98" s="130"/>
      <c r="O98" s="130"/>
      <c r="P98" s="130"/>
      <c r="Q98" s="131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2"/>
      <c r="J102" s="132"/>
      <c r="K102" s="132"/>
      <c r="O102" s="132"/>
      <c r="P102" s="132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2"/>
      <c r="J105" s="132"/>
      <c r="K105" s="132"/>
      <c r="O105" s="132"/>
      <c r="P105" s="132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2"/>
      <c r="J107" s="132"/>
      <c r="K107" s="132"/>
      <c r="O107" s="132"/>
      <c r="P107" s="132"/>
    </row>
  </sheetData>
  <sheetProtection algorithmName="SHA-512" hashValue="9F/FRzGNAnzW9c6mbtm/sxwzfpqjKBv+MgMmfpXPeOQq/hsr6zAvqYEkioKcr4tD5EN6/sUeuj1HziZjrEJXBg==" saltValue="gbvUnQTG6qFm8im87LLZ5w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cp:lastPrinted>2026-09-02T14:04:29Z</cp:lastPrinted>
  <dcterms:created xsi:type="dcterms:W3CDTF">2026-09-02T14:01:38Z</dcterms:created>
  <dcterms:modified xsi:type="dcterms:W3CDTF">2026-09-02T14:06:29Z</dcterms:modified>
</cp:coreProperties>
</file>