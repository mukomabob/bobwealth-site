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Feb/23.03.26/"/>
    </mc:Choice>
  </mc:AlternateContent>
  <xr:revisionPtr revIDLastSave="0" documentId="8_{E0D53C95-F6D0-42DB-8AD4-20D3748D0437}" xr6:coauthVersionLast="47" xr6:coauthVersionMax="47" xr10:uidLastSave="{00000000-0000-0000-0000-000000000000}"/>
  <bookViews>
    <workbookView xWindow="-108" yWindow="-108" windowWidth="23256" windowHeight="12456" xr2:uid="{2135128D-D958-4844-A1FC-4BED9B8F59C6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" l="1"/>
  <c r="N83" i="1"/>
  <c r="Q82" i="1"/>
  <c r="M82" i="1"/>
  <c r="L82" i="1"/>
  <c r="K82" i="1"/>
  <c r="J82" i="1"/>
  <c r="P82" i="1" s="1"/>
  <c r="E82" i="1"/>
  <c r="D82" i="1"/>
  <c r="Q81" i="1"/>
  <c r="P81" i="1"/>
  <c r="M81" i="1"/>
  <c r="L81" i="1"/>
  <c r="K81" i="1"/>
  <c r="E81" i="1" s="1"/>
  <c r="J81" i="1"/>
  <c r="D81" i="1"/>
  <c r="O79" i="1"/>
  <c r="N79" i="1"/>
  <c r="Q78" i="1"/>
  <c r="M78" i="1"/>
  <c r="L78" i="1"/>
  <c r="K78" i="1"/>
  <c r="E78" i="1" s="1"/>
  <c r="J78" i="1"/>
  <c r="D78" i="1"/>
  <c r="Q77" i="1"/>
  <c r="M77" i="1"/>
  <c r="L77" i="1"/>
  <c r="K77" i="1"/>
  <c r="J77" i="1"/>
  <c r="E77" i="1"/>
  <c r="D77" i="1"/>
  <c r="Q76" i="1"/>
  <c r="M76" i="1"/>
  <c r="L76" i="1"/>
  <c r="K76" i="1"/>
  <c r="E76" i="1" s="1"/>
  <c r="J76" i="1"/>
  <c r="D76" i="1" s="1"/>
  <c r="Q75" i="1"/>
  <c r="M75" i="1"/>
  <c r="L75" i="1"/>
  <c r="K75" i="1"/>
  <c r="J75" i="1"/>
  <c r="E75" i="1"/>
  <c r="D75" i="1"/>
  <c r="O73" i="1"/>
  <c r="N73" i="1"/>
  <c r="Q72" i="1"/>
  <c r="M72" i="1"/>
  <c r="L72" i="1"/>
  <c r="J72" i="1"/>
  <c r="K72" i="1" s="1"/>
  <c r="E72" i="1" s="1"/>
  <c r="D72" i="1"/>
  <c r="Q71" i="1"/>
  <c r="M71" i="1"/>
  <c r="L71" i="1"/>
  <c r="J71" i="1"/>
  <c r="K71" i="1" s="1"/>
  <c r="E71" i="1" s="1"/>
  <c r="M68" i="1"/>
  <c r="L68" i="1"/>
  <c r="D68" i="1"/>
  <c r="O66" i="1"/>
  <c r="N66" i="1"/>
  <c r="Q65" i="1"/>
  <c r="P65" i="1"/>
  <c r="M65" i="1"/>
  <c r="L65" i="1"/>
  <c r="J65" i="1"/>
  <c r="D65" i="1"/>
  <c r="M64" i="1"/>
  <c r="L64" i="1"/>
  <c r="J64" i="1"/>
  <c r="Q64" i="1" s="1"/>
  <c r="D64" i="1"/>
  <c r="Q63" i="1"/>
  <c r="P63" i="1"/>
  <c r="M63" i="1"/>
  <c r="L63" i="1"/>
  <c r="J63" i="1"/>
  <c r="D63" i="1"/>
  <c r="M62" i="1"/>
  <c r="L62" i="1"/>
  <c r="J62" i="1"/>
  <c r="Q62" i="1" s="1"/>
  <c r="D62" i="1"/>
  <c r="Q61" i="1"/>
  <c r="P61" i="1"/>
  <c r="M61" i="1"/>
  <c r="L61" i="1"/>
  <c r="J61" i="1"/>
  <c r="D61" i="1"/>
  <c r="M60" i="1"/>
  <c r="L60" i="1"/>
  <c r="J60" i="1"/>
  <c r="Q60" i="1" s="1"/>
  <c r="D60" i="1"/>
  <c r="Q59" i="1"/>
  <c r="P59" i="1"/>
  <c r="M59" i="1"/>
  <c r="L59" i="1"/>
  <c r="J59" i="1"/>
  <c r="D59" i="1"/>
  <c r="M58" i="1"/>
  <c r="L58" i="1"/>
  <c r="J58" i="1"/>
  <c r="Q58" i="1" s="1"/>
  <c r="D58" i="1"/>
  <c r="Q57" i="1"/>
  <c r="P57" i="1"/>
  <c r="M57" i="1"/>
  <c r="L57" i="1"/>
  <c r="J57" i="1"/>
  <c r="D57" i="1"/>
  <c r="M56" i="1"/>
  <c r="L56" i="1"/>
  <c r="J56" i="1"/>
  <c r="Q56" i="1" s="1"/>
  <c r="D56" i="1"/>
  <c r="Q55" i="1"/>
  <c r="P55" i="1"/>
  <c r="M55" i="1"/>
  <c r="L55" i="1"/>
  <c r="J55" i="1"/>
  <c r="D55" i="1"/>
  <c r="M54" i="1"/>
  <c r="L54" i="1"/>
  <c r="J54" i="1"/>
  <c r="Q54" i="1" s="1"/>
  <c r="D54" i="1"/>
  <c r="Q53" i="1"/>
  <c r="P53" i="1"/>
  <c r="M53" i="1"/>
  <c r="L53" i="1"/>
  <c r="J53" i="1"/>
  <c r="D53" i="1"/>
  <c r="M52" i="1"/>
  <c r="L52" i="1"/>
  <c r="J52" i="1"/>
  <c r="Q52" i="1" s="1"/>
  <c r="E52" i="1"/>
  <c r="D52" i="1"/>
  <c r="O49" i="1"/>
  <c r="N49" i="1"/>
  <c r="Q48" i="1"/>
  <c r="M48" i="1"/>
  <c r="L48" i="1"/>
  <c r="K48" i="1"/>
  <c r="E48" i="1" s="1"/>
  <c r="J48" i="1"/>
  <c r="D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D46" i="1"/>
  <c r="Q45" i="1"/>
  <c r="P45" i="1"/>
  <c r="M45" i="1"/>
  <c r="L45" i="1"/>
  <c r="K45" i="1"/>
  <c r="E45" i="1" s="1"/>
  <c r="J45" i="1"/>
  <c r="D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E42" i="1" s="1"/>
  <c r="J42" i="1"/>
  <c r="D42" i="1"/>
  <c r="T41" i="1"/>
  <c r="U41" i="1" s="1"/>
  <c r="Q41" i="1"/>
  <c r="P41" i="1"/>
  <c r="M41" i="1"/>
  <c r="L41" i="1"/>
  <c r="K41" i="1"/>
  <c r="E41" i="1" s="1"/>
  <c r="J41" i="1"/>
  <c r="D41" i="1" s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E39" i="1"/>
  <c r="D39" i="1"/>
  <c r="U38" i="1"/>
  <c r="Q38" i="1"/>
  <c r="P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D37" i="1"/>
  <c r="Q36" i="1"/>
  <c r="P36" i="1"/>
  <c r="M36" i="1"/>
  <c r="L36" i="1"/>
  <c r="K36" i="1"/>
  <c r="J36" i="1"/>
  <c r="E36" i="1"/>
  <c r="D36" i="1"/>
  <c r="Q35" i="1"/>
  <c r="P35" i="1"/>
  <c r="M35" i="1"/>
  <c r="L35" i="1"/>
  <c r="K35" i="1"/>
  <c r="E35" i="1" s="1"/>
  <c r="J35" i="1"/>
  <c r="D35" i="1" s="1"/>
  <c r="Q34" i="1"/>
  <c r="M34" i="1"/>
  <c r="L34" i="1"/>
  <c r="K34" i="1"/>
  <c r="J34" i="1"/>
  <c r="P34" i="1" s="1"/>
  <c r="E34" i="1"/>
  <c r="D34" i="1"/>
  <c r="Q33" i="1"/>
  <c r="P33" i="1"/>
  <c r="M33" i="1"/>
  <c r="L33" i="1"/>
  <c r="K33" i="1"/>
  <c r="J33" i="1"/>
  <c r="E33" i="1"/>
  <c r="D33" i="1"/>
  <c r="Q32" i="1"/>
  <c r="P32" i="1"/>
  <c r="M32" i="1"/>
  <c r="L32" i="1"/>
  <c r="K32" i="1"/>
  <c r="E32" i="1" s="1"/>
  <c r="J32" i="1"/>
  <c r="D32" i="1" s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J29" i="1"/>
  <c r="E29" i="1"/>
  <c r="D29" i="1"/>
  <c r="Q28" i="1"/>
  <c r="P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E26" i="1"/>
  <c r="D26" i="1"/>
  <c r="Q25" i="1"/>
  <c r="P25" i="1"/>
  <c r="M25" i="1"/>
  <c r="L25" i="1"/>
  <c r="K25" i="1"/>
  <c r="E25" i="1" s="1"/>
  <c r="J25" i="1"/>
  <c r="D25" i="1" s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J23" i="1"/>
  <c r="E23" i="1"/>
  <c r="D23" i="1"/>
  <c r="Q22" i="1"/>
  <c r="P22" i="1"/>
  <c r="M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J20" i="1"/>
  <c r="E20" i="1"/>
  <c r="D20" i="1"/>
  <c r="Q19" i="1"/>
  <c r="P19" i="1"/>
  <c r="M19" i="1"/>
  <c r="L19" i="1"/>
  <c r="K19" i="1"/>
  <c r="E19" i="1" s="1"/>
  <c r="J19" i="1"/>
  <c r="D19" i="1" s="1"/>
  <c r="Q18" i="1"/>
  <c r="M18" i="1"/>
  <c r="L18" i="1"/>
  <c r="K18" i="1"/>
  <c r="J18" i="1"/>
  <c r="P18" i="1" s="1"/>
  <c r="E18" i="1"/>
  <c r="D18" i="1"/>
  <c r="Q17" i="1"/>
  <c r="P17" i="1"/>
  <c r="M17" i="1"/>
  <c r="L17" i="1"/>
  <c r="K17" i="1"/>
  <c r="J17" i="1"/>
  <c r="E17" i="1"/>
  <c r="D17" i="1"/>
  <c r="Q16" i="1"/>
  <c r="P16" i="1"/>
  <c r="M16" i="1"/>
  <c r="L16" i="1"/>
  <c r="K16" i="1"/>
  <c r="E16" i="1" s="1"/>
  <c r="J16" i="1"/>
  <c r="D16" i="1" s="1"/>
  <c r="U15" i="1"/>
  <c r="Q15" i="1"/>
  <c r="M15" i="1"/>
  <c r="L15" i="1"/>
  <c r="K15" i="1"/>
  <c r="J15" i="1"/>
  <c r="D15" i="1" s="1"/>
  <c r="E15" i="1"/>
  <c r="U14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E13" i="1" s="1"/>
  <c r="J13" i="1"/>
  <c r="D13" i="1"/>
  <c r="Q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E10" i="1" s="1"/>
  <c r="J10" i="1"/>
  <c r="D10" i="1"/>
  <c r="P12" i="1" l="1"/>
  <c r="P44" i="1"/>
  <c r="P47" i="1"/>
  <c r="P15" i="1"/>
  <c r="P54" i="1"/>
  <c r="P56" i="1"/>
  <c r="P58" i="1"/>
  <c r="P60" i="1"/>
  <c r="P62" i="1"/>
  <c r="P64" i="1"/>
  <c r="D71" i="1"/>
</calcChain>
</file>

<file path=xl/sharedStrings.xml><?xml version="1.0" encoding="utf-8"?>
<sst xmlns="http://schemas.openxmlformats.org/spreadsheetml/2006/main" count="280" uniqueCount="196">
  <si>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</si>
  <si>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</si>
  <si>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</si>
  <si>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</si>
  <si>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</si>
  <si>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</si>
  <si>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</si>
  <si>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</si>
  <si>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</si>
  <si>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</si>
  <si>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</si>
  <si>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</si>
  <si>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</si>
  <si>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</si>
  <si>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</si>
  <si>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</si>
  <si>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</si>
  <si>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</si>
  <si>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</si>
  <si>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</si>
  <si>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</si>
  <si>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</si>
  <si>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</si>
  <si>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</si>
  <si>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</si>
  <si>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</si>
  <si>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</si>
  <si>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</si>
  <si>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</si>
  <si>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Yield-FY25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</si>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</sst>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2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9" fontId="16" fillId="5" borderId="0" xfId="6" applyFont="1" applyFill="1" applyAlignment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16" fillId="5" borderId="0" xfId="5" applyFont="1" applyFill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9" fontId="16" fillId="5" borderId="0" xfId="7" applyFont="1" applyFill="1"/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4" fontId="18" fillId="5" borderId="5" xfId="3" applyFont="1" applyFill="1" applyBorder="1" applyAlignment="1">
      <alignment horizontal="left"/>
    </xf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8" applyFont="1" applyFill="1" applyBorder="1" applyAlignment="1">
      <alignment horizontal="center"/>
    </xf>
    <xf numFmtId="0" fontId="27" fillId="2" borderId="8" xfId="8" applyFont="1" applyFill="1" applyBorder="1" applyAlignment="1">
      <alignment horizontal="center"/>
    </xf>
    <xf numFmtId="0" fontId="27" fillId="2" borderId="10" xfId="8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9" applyFont="1" applyFill="1" applyAlignment="1" applyProtection="1"/>
    <xf numFmtId="165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0" fontId="24" fillId="2" borderId="16" xfId="8" applyFont="1" applyFill="1" applyBorder="1" applyAlignment="1">
      <alignment horizontal="center"/>
    </xf>
    <xf numFmtId="0" fontId="24" fillId="2" borderId="3" xfId="8" applyFont="1" applyFill="1" applyBorder="1" applyAlignment="1">
      <alignment horizontal="center"/>
    </xf>
    <xf numFmtId="0" fontId="24" fillId="2" borderId="17" xfId="8" applyFont="1" applyFill="1" applyBorder="1" applyAlignment="1">
      <alignment horizontal="center"/>
    </xf>
    <xf numFmtId="0" fontId="25" fillId="2" borderId="16" xfId="8" applyFont="1" applyFill="1" applyBorder="1" applyAlignment="1">
      <alignment horizontal="center"/>
    </xf>
    <xf numFmtId="0" fontId="25" fillId="2" borderId="3" xfId="8" applyFont="1" applyFill="1" applyBorder="1" applyAlignment="1">
      <alignment horizontal="center"/>
    </xf>
    <xf numFmtId="0" fontId="25" fillId="2" borderId="17" xfId="8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</cellXfs>
  <cellStyles count="10">
    <cellStyle name="Comma" xfId="1" builtinId="3"/>
    <cellStyle name="Comma 2 2 2 2 2 2 2" xfId="3" xr:uid="{A090CFE3-4341-49A2-B7DB-01951275C2D7}"/>
    <cellStyle name="Comma 5 2 2 2 2 2" xfId="4" xr:uid="{8315F3CC-4603-4CC4-98F8-46F211D607BA}"/>
    <cellStyle name="Comma 6" xfId="5" xr:uid="{C3113986-A6CC-4007-A96A-D1F648EC381A}"/>
    <cellStyle name="Hyperlink 2" xfId="9" xr:uid="{AA7E3606-A25C-4879-B90A-0FAB4A54AF52}"/>
    <cellStyle name="Normal" xfId="0" builtinId="0"/>
    <cellStyle name="Normal 2" xfId="2" xr:uid="{73E092AA-76A7-4DBF-96FE-28F47D9762CA}"/>
    <cellStyle name="Normal 20" xfId="8" xr:uid="{D6BF93B0-1B09-44F1-96E5-37AF73CBCF70}"/>
    <cellStyle name="Percent 3" xfId="6" xr:uid="{04050CCE-3E7D-4CB1-A9BC-9472F4520012}"/>
    <cellStyle name="Percent 4" xfId="7" xr:uid="{DB0F2A99-6569-4F57-83BE-DDF63F1EC377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ADD7687F-E6F0-434B-AD28-F5036397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5</xdr:col>
      <xdr:colOff>1175657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94467552-9B00-47A4-AA9D-18F0EFF0D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47758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BFC7-FAD9-4259-80F1-92297337EC94}">
  <dimension ref="A1:IO104"/>
  <sheetViews>
    <sheetView tabSelected="1" zoomScale="70" zoomScaleNormal="70" workbookViewId="0">
      <pane ySplit="7" topLeftCell="A16" activePane="bottomLeft" state="frozen"/>
      <selection pane="bottomLeft" activeCell="A89" sqref="A89"/>
    </sheetView>
  </sheetViews>
  <sheetFormatPr defaultRowHeight="12" x14ac:dyDescent="0.25"/>
  <cols>
    <col min="1" max="1" width="19.44140625" style="5" customWidth="1"/>
    <col min="2" max="2" width="15.21875" style="5" bestFit="1" customWidth="1"/>
    <col min="3" max="3" width="15.21875" style="5" hidden="1" customWidth="1"/>
    <col min="4" max="4" width="23" style="5" bestFit="1" customWidth="1"/>
    <col min="5" max="5" width="20.77734375" style="5" customWidth="1"/>
    <col min="6" max="6" width="17.2187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77734375" style="5" customWidth="1"/>
    <col min="16" max="16" width="15" style="5" customWidth="1"/>
    <col min="17" max="17" width="15.21875" style="5" customWidth="1"/>
    <col min="18" max="21" width="0" style="5" hidden="1" customWidth="1"/>
    <col min="22" max="22" width="13.44140625" style="5" customWidth="1"/>
    <col min="23" max="23" width="9.21875" style="5" customWidth="1"/>
    <col min="24" max="24" width="10" style="5" bestFit="1" customWidth="1"/>
    <col min="25" max="250" width="9.2187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77734375" style="5" customWidth="1"/>
    <col min="258" max="258" width="22.2187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21875" style="5" customWidth="1"/>
    <col min="270" max="281" width="0" style="5" hidden="1" customWidth="1"/>
    <col min="282" max="506" width="9.2187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77734375" style="5" customWidth="1"/>
    <col min="514" max="514" width="22.2187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21875" style="5" customWidth="1"/>
    <col min="526" max="537" width="0" style="5" hidden="1" customWidth="1"/>
    <col min="538" max="762" width="9.2187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77734375" style="5" customWidth="1"/>
    <col min="770" max="770" width="22.2187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21875" style="5" customWidth="1"/>
    <col min="782" max="793" width="0" style="5" hidden="1" customWidth="1"/>
    <col min="794" max="1018" width="9.2187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77734375" style="5" customWidth="1"/>
    <col min="1026" max="1026" width="22.2187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21875" style="5" customWidth="1"/>
    <col min="1038" max="1049" width="0" style="5" hidden="1" customWidth="1"/>
    <col min="1050" max="1274" width="9.2187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77734375" style="5" customWidth="1"/>
    <col min="1282" max="1282" width="22.2187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21875" style="5" customWidth="1"/>
    <col min="1294" max="1305" width="0" style="5" hidden="1" customWidth="1"/>
    <col min="1306" max="1530" width="9.2187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77734375" style="5" customWidth="1"/>
    <col min="1538" max="1538" width="22.2187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21875" style="5" customWidth="1"/>
    <col min="1550" max="1561" width="0" style="5" hidden="1" customWidth="1"/>
    <col min="1562" max="1786" width="9.2187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77734375" style="5" customWidth="1"/>
    <col min="1794" max="1794" width="22.2187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21875" style="5" customWidth="1"/>
    <col min="1806" max="1817" width="0" style="5" hidden="1" customWidth="1"/>
    <col min="1818" max="2042" width="9.2187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77734375" style="5" customWidth="1"/>
    <col min="2050" max="2050" width="22.2187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21875" style="5" customWidth="1"/>
    <col min="2062" max="2073" width="0" style="5" hidden="1" customWidth="1"/>
    <col min="2074" max="2298" width="9.2187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77734375" style="5" customWidth="1"/>
    <col min="2306" max="2306" width="22.2187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21875" style="5" customWidth="1"/>
    <col min="2318" max="2329" width="0" style="5" hidden="1" customWidth="1"/>
    <col min="2330" max="2554" width="9.2187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77734375" style="5" customWidth="1"/>
    <col min="2562" max="2562" width="22.2187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21875" style="5" customWidth="1"/>
    <col min="2574" max="2585" width="0" style="5" hidden="1" customWidth="1"/>
    <col min="2586" max="2810" width="9.2187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77734375" style="5" customWidth="1"/>
    <col min="2818" max="2818" width="22.2187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21875" style="5" customWidth="1"/>
    <col min="2830" max="2841" width="0" style="5" hidden="1" customWidth="1"/>
    <col min="2842" max="3066" width="9.2187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77734375" style="5" customWidth="1"/>
    <col min="3074" max="3074" width="22.2187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21875" style="5" customWidth="1"/>
    <col min="3086" max="3097" width="0" style="5" hidden="1" customWidth="1"/>
    <col min="3098" max="3322" width="9.2187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77734375" style="5" customWidth="1"/>
    <col min="3330" max="3330" width="22.2187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21875" style="5" customWidth="1"/>
    <col min="3342" max="3353" width="0" style="5" hidden="1" customWidth="1"/>
    <col min="3354" max="3578" width="9.2187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77734375" style="5" customWidth="1"/>
    <col min="3586" max="3586" width="22.2187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21875" style="5" customWidth="1"/>
    <col min="3598" max="3609" width="0" style="5" hidden="1" customWidth="1"/>
    <col min="3610" max="3834" width="9.2187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77734375" style="5" customWidth="1"/>
    <col min="3842" max="3842" width="22.2187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21875" style="5" customWidth="1"/>
    <col min="3854" max="3865" width="0" style="5" hidden="1" customWidth="1"/>
    <col min="3866" max="4090" width="9.2187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77734375" style="5" customWidth="1"/>
    <col min="4098" max="4098" width="22.2187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21875" style="5" customWidth="1"/>
    <col min="4110" max="4121" width="0" style="5" hidden="1" customWidth="1"/>
    <col min="4122" max="4346" width="9.2187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77734375" style="5" customWidth="1"/>
    <col min="4354" max="4354" width="22.2187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21875" style="5" customWidth="1"/>
    <col min="4366" max="4377" width="0" style="5" hidden="1" customWidth="1"/>
    <col min="4378" max="4602" width="9.2187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77734375" style="5" customWidth="1"/>
    <col min="4610" max="4610" width="22.2187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21875" style="5" customWidth="1"/>
    <col min="4622" max="4633" width="0" style="5" hidden="1" customWidth="1"/>
    <col min="4634" max="4858" width="9.2187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77734375" style="5" customWidth="1"/>
    <col min="4866" max="4866" width="22.2187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21875" style="5" customWidth="1"/>
    <col min="4878" max="4889" width="0" style="5" hidden="1" customWidth="1"/>
    <col min="4890" max="5114" width="9.2187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77734375" style="5" customWidth="1"/>
    <col min="5122" max="5122" width="22.2187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21875" style="5" customWidth="1"/>
    <col min="5134" max="5145" width="0" style="5" hidden="1" customWidth="1"/>
    <col min="5146" max="5370" width="9.2187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77734375" style="5" customWidth="1"/>
    <col min="5378" max="5378" width="22.2187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21875" style="5" customWidth="1"/>
    <col min="5390" max="5401" width="0" style="5" hidden="1" customWidth="1"/>
    <col min="5402" max="5626" width="9.2187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77734375" style="5" customWidth="1"/>
    <col min="5634" max="5634" width="22.2187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21875" style="5" customWidth="1"/>
    <col min="5646" max="5657" width="0" style="5" hidden="1" customWidth="1"/>
    <col min="5658" max="5882" width="9.2187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77734375" style="5" customWidth="1"/>
    <col min="5890" max="5890" width="22.2187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21875" style="5" customWidth="1"/>
    <col min="5902" max="5913" width="0" style="5" hidden="1" customWidth="1"/>
    <col min="5914" max="6138" width="9.2187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77734375" style="5" customWidth="1"/>
    <col min="6146" max="6146" width="22.2187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21875" style="5" customWidth="1"/>
    <col min="6158" max="6169" width="0" style="5" hidden="1" customWidth="1"/>
    <col min="6170" max="6394" width="9.2187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77734375" style="5" customWidth="1"/>
    <col min="6402" max="6402" width="22.2187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21875" style="5" customWidth="1"/>
    <col min="6414" max="6425" width="0" style="5" hidden="1" customWidth="1"/>
    <col min="6426" max="6650" width="9.2187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77734375" style="5" customWidth="1"/>
    <col min="6658" max="6658" width="22.2187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21875" style="5" customWidth="1"/>
    <col min="6670" max="6681" width="0" style="5" hidden="1" customWidth="1"/>
    <col min="6682" max="6906" width="9.2187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77734375" style="5" customWidth="1"/>
    <col min="6914" max="6914" width="22.2187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21875" style="5" customWidth="1"/>
    <col min="6926" max="6937" width="0" style="5" hidden="1" customWidth="1"/>
    <col min="6938" max="7162" width="9.2187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77734375" style="5" customWidth="1"/>
    <col min="7170" max="7170" width="22.2187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21875" style="5" customWidth="1"/>
    <col min="7182" max="7193" width="0" style="5" hidden="1" customWidth="1"/>
    <col min="7194" max="7418" width="9.2187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77734375" style="5" customWidth="1"/>
    <col min="7426" max="7426" width="22.2187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21875" style="5" customWidth="1"/>
    <col min="7438" max="7449" width="0" style="5" hidden="1" customWidth="1"/>
    <col min="7450" max="7674" width="9.2187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77734375" style="5" customWidth="1"/>
    <col min="7682" max="7682" width="22.2187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21875" style="5" customWidth="1"/>
    <col min="7694" max="7705" width="0" style="5" hidden="1" customWidth="1"/>
    <col min="7706" max="7930" width="9.2187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77734375" style="5" customWidth="1"/>
    <col min="7938" max="7938" width="22.2187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21875" style="5" customWidth="1"/>
    <col min="7950" max="7961" width="0" style="5" hidden="1" customWidth="1"/>
    <col min="7962" max="8186" width="9.2187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77734375" style="5" customWidth="1"/>
    <col min="8194" max="8194" width="22.2187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21875" style="5" customWidth="1"/>
    <col min="8206" max="8217" width="0" style="5" hidden="1" customWidth="1"/>
    <col min="8218" max="8442" width="9.2187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77734375" style="5" customWidth="1"/>
    <col min="8450" max="8450" width="22.2187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21875" style="5" customWidth="1"/>
    <col min="8462" max="8473" width="0" style="5" hidden="1" customWidth="1"/>
    <col min="8474" max="8698" width="9.2187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77734375" style="5" customWidth="1"/>
    <col min="8706" max="8706" width="22.2187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21875" style="5" customWidth="1"/>
    <col min="8718" max="8729" width="0" style="5" hidden="1" customWidth="1"/>
    <col min="8730" max="8954" width="9.2187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77734375" style="5" customWidth="1"/>
    <col min="8962" max="8962" width="22.2187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21875" style="5" customWidth="1"/>
    <col min="8974" max="8985" width="0" style="5" hidden="1" customWidth="1"/>
    <col min="8986" max="9210" width="9.2187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77734375" style="5" customWidth="1"/>
    <col min="9218" max="9218" width="22.2187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21875" style="5" customWidth="1"/>
    <col min="9230" max="9241" width="0" style="5" hidden="1" customWidth="1"/>
    <col min="9242" max="9466" width="9.2187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77734375" style="5" customWidth="1"/>
    <col min="9474" max="9474" width="22.2187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21875" style="5" customWidth="1"/>
    <col min="9486" max="9497" width="0" style="5" hidden="1" customWidth="1"/>
    <col min="9498" max="9722" width="9.2187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77734375" style="5" customWidth="1"/>
    <col min="9730" max="9730" width="22.2187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21875" style="5" customWidth="1"/>
    <col min="9742" max="9753" width="0" style="5" hidden="1" customWidth="1"/>
    <col min="9754" max="9978" width="9.2187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77734375" style="5" customWidth="1"/>
    <col min="9986" max="9986" width="22.2187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21875" style="5" customWidth="1"/>
    <col min="9998" max="10009" width="0" style="5" hidden="1" customWidth="1"/>
    <col min="10010" max="10234" width="9.2187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77734375" style="5" customWidth="1"/>
    <col min="10242" max="10242" width="22.2187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21875" style="5" customWidth="1"/>
    <col min="10254" max="10265" width="0" style="5" hidden="1" customWidth="1"/>
    <col min="10266" max="10490" width="9.2187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77734375" style="5" customWidth="1"/>
    <col min="10498" max="10498" width="22.2187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21875" style="5" customWidth="1"/>
    <col min="10510" max="10521" width="0" style="5" hidden="1" customWidth="1"/>
    <col min="10522" max="10746" width="9.2187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77734375" style="5" customWidth="1"/>
    <col min="10754" max="10754" width="22.2187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21875" style="5" customWidth="1"/>
    <col min="10766" max="10777" width="0" style="5" hidden="1" customWidth="1"/>
    <col min="10778" max="11002" width="9.2187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77734375" style="5" customWidth="1"/>
    <col min="11010" max="11010" width="22.2187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21875" style="5" customWidth="1"/>
    <col min="11022" max="11033" width="0" style="5" hidden="1" customWidth="1"/>
    <col min="11034" max="11258" width="9.2187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77734375" style="5" customWidth="1"/>
    <col min="11266" max="11266" width="22.2187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21875" style="5" customWidth="1"/>
    <col min="11278" max="11289" width="0" style="5" hidden="1" customWidth="1"/>
    <col min="11290" max="11514" width="9.2187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77734375" style="5" customWidth="1"/>
    <col min="11522" max="11522" width="22.2187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21875" style="5" customWidth="1"/>
    <col min="11534" max="11545" width="0" style="5" hidden="1" customWidth="1"/>
    <col min="11546" max="11770" width="9.2187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77734375" style="5" customWidth="1"/>
    <col min="11778" max="11778" width="22.2187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21875" style="5" customWidth="1"/>
    <col min="11790" max="11801" width="0" style="5" hidden="1" customWidth="1"/>
    <col min="11802" max="12026" width="9.2187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77734375" style="5" customWidth="1"/>
    <col min="12034" max="12034" width="22.2187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21875" style="5" customWidth="1"/>
    <col min="12046" max="12057" width="0" style="5" hidden="1" customWidth="1"/>
    <col min="12058" max="12282" width="9.2187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77734375" style="5" customWidth="1"/>
    <col min="12290" max="12290" width="22.2187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21875" style="5" customWidth="1"/>
    <col min="12302" max="12313" width="0" style="5" hidden="1" customWidth="1"/>
    <col min="12314" max="12538" width="9.2187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77734375" style="5" customWidth="1"/>
    <col min="12546" max="12546" width="22.2187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21875" style="5" customWidth="1"/>
    <col min="12558" max="12569" width="0" style="5" hidden="1" customWidth="1"/>
    <col min="12570" max="12794" width="9.2187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77734375" style="5" customWidth="1"/>
    <col min="12802" max="12802" width="22.2187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21875" style="5" customWidth="1"/>
    <col min="12814" max="12825" width="0" style="5" hidden="1" customWidth="1"/>
    <col min="12826" max="13050" width="9.2187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77734375" style="5" customWidth="1"/>
    <col min="13058" max="13058" width="22.2187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21875" style="5" customWidth="1"/>
    <col min="13070" max="13081" width="0" style="5" hidden="1" customWidth="1"/>
    <col min="13082" max="13306" width="9.2187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77734375" style="5" customWidth="1"/>
    <col min="13314" max="13314" width="22.2187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21875" style="5" customWidth="1"/>
    <col min="13326" max="13337" width="0" style="5" hidden="1" customWidth="1"/>
    <col min="13338" max="13562" width="9.2187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77734375" style="5" customWidth="1"/>
    <col min="13570" max="13570" width="22.2187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21875" style="5" customWidth="1"/>
    <col min="13582" max="13593" width="0" style="5" hidden="1" customWidth="1"/>
    <col min="13594" max="13818" width="9.2187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77734375" style="5" customWidth="1"/>
    <col min="13826" max="13826" width="22.2187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21875" style="5" customWidth="1"/>
    <col min="13838" max="13849" width="0" style="5" hidden="1" customWidth="1"/>
    <col min="13850" max="14074" width="9.2187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77734375" style="5" customWidth="1"/>
    <col min="14082" max="14082" width="22.2187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21875" style="5" customWidth="1"/>
    <col min="14094" max="14105" width="0" style="5" hidden="1" customWidth="1"/>
    <col min="14106" max="14330" width="9.2187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77734375" style="5" customWidth="1"/>
    <col min="14338" max="14338" width="22.2187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21875" style="5" customWidth="1"/>
    <col min="14350" max="14361" width="0" style="5" hidden="1" customWidth="1"/>
    <col min="14362" max="14586" width="9.2187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77734375" style="5" customWidth="1"/>
    <col min="14594" max="14594" width="22.2187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21875" style="5" customWidth="1"/>
    <col min="14606" max="14617" width="0" style="5" hidden="1" customWidth="1"/>
    <col min="14618" max="14842" width="9.2187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77734375" style="5" customWidth="1"/>
    <col min="14850" max="14850" width="22.2187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21875" style="5" customWidth="1"/>
    <col min="14862" max="14873" width="0" style="5" hidden="1" customWidth="1"/>
    <col min="14874" max="15098" width="9.2187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77734375" style="5" customWidth="1"/>
    <col min="15106" max="15106" width="22.2187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21875" style="5" customWidth="1"/>
    <col min="15118" max="15129" width="0" style="5" hidden="1" customWidth="1"/>
    <col min="15130" max="15354" width="9.2187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77734375" style="5" customWidth="1"/>
    <col min="15362" max="15362" width="22.2187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21875" style="5" customWidth="1"/>
    <col min="15374" max="15385" width="0" style="5" hidden="1" customWidth="1"/>
    <col min="15386" max="15610" width="9.2187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77734375" style="5" customWidth="1"/>
    <col min="15618" max="15618" width="22.2187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21875" style="5" customWidth="1"/>
    <col min="15630" max="15641" width="0" style="5" hidden="1" customWidth="1"/>
    <col min="15642" max="15866" width="9.2187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77734375" style="5" customWidth="1"/>
    <col min="15874" max="15874" width="22.2187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21875" style="5" customWidth="1"/>
    <col min="15886" max="15897" width="0" style="5" hidden="1" customWidth="1"/>
    <col min="15898" max="16122" width="9.2187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77734375" style="5" customWidth="1"/>
    <col min="16130" max="16130" width="22.2187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21875" style="5" customWidth="1"/>
    <col min="16142" max="16153" width="0" style="5" hidden="1" customWidth="1"/>
    <col min="16154" max="16378" width="9.21875" style="5" customWidth="1"/>
    <col min="16379" max="16384" width="8.886718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25.302499999999998</v>
      </c>
      <c r="K5" s="23"/>
      <c r="L5" s="156" t="s">
        <v>12</v>
      </c>
      <c r="M5" s="157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6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9"/>
      <c r="S6" s="28"/>
      <c r="T6" s="13"/>
      <c r="U6" s="9"/>
      <c r="V6" s="9"/>
    </row>
    <row r="7" spans="1:22" s="35" customFormat="1" ht="28.05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05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05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55" customHeight="1" x14ac:dyDescent="0.3">
      <c r="A10" s="36" t="s">
        <v>33</v>
      </c>
      <c r="B10" s="37" t="s">
        <v>34</v>
      </c>
      <c r="C10" s="38">
        <v>124748059</v>
      </c>
      <c r="D10" s="39">
        <f t="shared" ref="D10:D30" si="0">C10*J10</f>
        <v>67048168.313751616</v>
      </c>
      <c r="E10" s="40">
        <f t="shared" ref="E10:E30" si="1">C10*K10</f>
        <v>56549542.625290006</v>
      </c>
      <c r="F10" s="41" t="s">
        <v>35</v>
      </c>
      <c r="G10" s="42">
        <v>8.9894999999999996</v>
      </c>
      <c r="H10" s="43">
        <v>13.6</v>
      </c>
      <c r="I10" s="43">
        <v>13.599300000000001</v>
      </c>
      <c r="J10" s="44">
        <f>(I10/$J$5)</f>
        <v>0.53746862958205721</v>
      </c>
      <c r="K10" s="45">
        <f t="shared" ref="K10:K30" si="2">I10/$K$4</f>
        <v>0.45331000000000005</v>
      </c>
      <c r="L10" s="46">
        <f t="shared" ref="L10:L30" si="3">I10-H10</f>
        <v>-6.9999999999836859E-4</v>
      </c>
      <c r="M10" s="46">
        <f t="shared" ref="M10:M30" si="4">((I10-H10)/H10)*100</f>
        <v>-5.1470588235174161E-3</v>
      </c>
      <c r="N10" s="47">
        <v>82800</v>
      </c>
      <c r="O10" s="38">
        <v>1126020</v>
      </c>
      <c r="P10" s="48">
        <f t="shared" ref="P10:P30" si="5">(R10)/J10</f>
        <v>1.8605737059995731E-2</v>
      </c>
      <c r="Q10" s="49">
        <f t="shared" ref="Q10:Q30" si="6">I10/G10-1</f>
        <v>0.51279826464208256</v>
      </c>
      <c r="R10" s="50">
        <v>0.01</v>
      </c>
      <c r="T10" s="51"/>
      <c r="U10" s="51"/>
    </row>
    <row r="11" spans="1:22" ht="14.4" customHeight="1" x14ac:dyDescent="0.3">
      <c r="A11" s="36" t="s">
        <v>36</v>
      </c>
      <c r="B11" s="37" t="s">
        <v>37</v>
      </c>
      <c r="C11" s="38">
        <v>1627395595</v>
      </c>
      <c r="D11" s="39">
        <f t="shared" si="0"/>
        <v>2185575.7223078748</v>
      </c>
      <c r="E11" s="40">
        <f t="shared" si="1"/>
        <v>1843350.9904564999</v>
      </c>
      <c r="F11" s="41" t="s">
        <v>35</v>
      </c>
      <c r="G11" s="42">
        <v>3.1600000000000003E-2</v>
      </c>
      <c r="H11" s="43">
        <v>3.3980999999999997E-2</v>
      </c>
      <c r="I11" s="43">
        <v>3.3980999999999997E-2</v>
      </c>
      <c r="J11" s="44">
        <f t="shared" ref="J11:J30" si="7">I11/$J$5</f>
        <v>1.342989823140006E-3</v>
      </c>
      <c r="K11" s="45">
        <f t="shared" si="2"/>
        <v>1.1326999999999999E-3</v>
      </c>
      <c r="L11" s="46">
        <f t="shared" si="3"/>
        <v>0</v>
      </c>
      <c r="M11" s="46">
        <f t="shared" si="4"/>
        <v>0</v>
      </c>
      <c r="N11" s="47">
        <v>0</v>
      </c>
      <c r="O11" s="38">
        <v>0</v>
      </c>
      <c r="P11" s="41">
        <f t="shared" si="5"/>
        <v>0</v>
      </c>
      <c r="Q11" s="49">
        <f t="shared" si="6"/>
        <v>7.5348101265822587E-2</v>
      </c>
      <c r="R11" s="50">
        <v>0</v>
      </c>
      <c r="T11" s="52" t="s">
        <v>38</v>
      </c>
      <c r="U11" s="52" t="s">
        <v>39</v>
      </c>
    </row>
    <row r="12" spans="1:22" ht="14.4" customHeight="1" x14ac:dyDescent="0.3">
      <c r="A12" s="36" t="s">
        <v>40</v>
      </c>
      <c r="B12" s="37" t="s">
        <v>41</v>
      </c>
      <c r="C12" s="38">
        <v>436977359</v>
      </c>
      <c r="D12" s="39">
        <f t="shared" si="0"/>
        <v>4274356.1447485425</v>
      </c>
      <c r="E12" s="40">
        <f t="shared" si="1"/>
        <v>3605063.2117500002</v>
      </c>
      <c r="F12" s="41" t="s">
        <v>42</v>
      </c>
      <c r="G12" s="42">
        <v>7.8E-2</v>
      </c>
      <c r="H12" s="43">
        <v>0.2475</v>
      </c>
      <c r="I12" s="43">
        <v>0.2475</v>
      </c>
      <c r="J12" s="44">
        <f t="shared" si="7"/>
        <v>9.7816421302242863E-3</v>
      </c>
      <c r="K12" s="45">
        <f t="shared" si="2"/>
        <v>8.2500000000000004E-3</v>
      </c>
      <c r="L12" s="46">
        <f t="shared" si="3"/>
        <v>0</v>
      </c>
      <c r="M12" s="46">
        <f t="shared" si="4"/>
        <v>0</v>
      </c>
      <c r="N12" s="47">
        <v>0</v>
      </c>
      <c r="O12" s="38">
        <v>0</v>
      </c>
      <c r="P12" s="41">
        <f t="shared" si="5"/>
        <v>0</v>
      </c>
      <c r="Q12" s="49">
        <f t="shared" si="6"/>
        <v>2.1730769230769229</v>
      </c>
      <c r="R12" s="50">
        <v>0</v>
      </c>
      <c r="T12" s="53" t="s">
        <v>43</v>
      </c>
      <c r="U12" s="54">
        <v>0.01</v>
      </c>
    </row>
    <row r="13" spans="1:22" ht="14.4" customHeight="1" x14ac:dyDescent="0.3">
      <c r="A13" s="36" t="s">
        <v>44</v>
      </c>
      <c r="B13" s="37" t="s">
        <v>45</v>
      </c>
      <c r="C13" s="38">
        <v>20633517</v>
      </c>
      <c r="D13" s="39">
        <f t="shared" si="0"/>
        <v>174102929.46097815</v>
      </c>
      <c r="E13" s="40">
        <f t="shared" si="1"/>
        <v>146841312.42287999</v>
      </c>
      <c r="F13" s="41" t="s">
        <v>35</v>
      </c>
      <c r="G13" s="42">
        <v>97.381</v>
      </c>
      <c r="H13" s="43">
        <v>213.49919600000001</v>
      </c>
      <c r="I13" s="43">
        <v>213.49919999999997</v>
      </c>
      <c r="J13" s="44">
        <f t="shared" si="7"/>
        <v>8.4378697757138621</v>
      </c>
      <c r="K13" s="45">
        <f t="shared" si="2"/>
        <v>7.1166399999999994</v>
      </c>
      <c r="L13" s="46">
        <f t="shared" si="3"/>
        <v>3.9999999614792614E-6</v>
      </c>
      <c r="M13" s="46">
        <f t="shared" si="4"/>
        <v>1.8735433371277242E-6</v>
      </c>
      <c r="N13" s="47">
        <v>0</v>
      </c>
      <c r="O13" s="38">
        <v>0</v>
      </c>
      <c r="P13" s="55">
        <f t="shared" si="5"/>
        <v>0</v>
      </c>
      <c r="Q13" s="49">
        <f t="shared" si="6"/>
        <v>1.1924112506546449</v>
      </c>
      <c r="R13" s="50">
        <v>0</v>
      </c>
      <c r="T13" s="53" t="s">
        <v>46</v>
      </c>
      <c r="U13" s="54">
        <v>0.4</v>
      </c>
    </row>
    <row r="14" spans="1:22" ht="14.55" customHeight="1" x14ac:dyDescent="0.3">
      <c r="A14" s="36" t="s">
        <v>47</v>
      </c>
      <c r="B14" s="37" t="s">
        <v>48</v>
      </c>
      <c r="C14" s="38">
        <v>8735108</v>
      </c>
      <c r="D14" s="39">
        <f t="shared" si="0"/>
        <v>4487951.9415077558</v>
      </c>
      <c r="E14" s="40">
        <f t="shared" si="1"/>
        <v>3785213.4666666668</v>
      </c>
      <c r="F14" s="41" t="s">
        <v>49</v>
      </c>
      <c r="G14" s="42">
        <v>13.6</v>
      </c>
      <c r="H14" s="43">
        <v>13</v>
      </c>
      <c r="I14" s="43">
        <v>13</v>
      </c>
      <c r="J14" s="44">
        <f t="shared" si="7"/>
        <v>0.51378322300167967</v>
      </c>
      <c r="K14" s="45">
        <f t="shared" si="2"/>
        <v>0.43333333333333335</v>
      </c>
      <c r="L14" s="46">
        <f t="shared" si="3"/>
        <v>0</v>
      </c>
      <c r="M14" s="46">
        <f t="shared" si="4"/>
        <v>0</v>
      </c>
      <c r="N14" s="47">
        <v>0</v>
      </c>
      <c r="O14" s="38">
        <v>0</v>
      </c>
      <c r="P14" s="55">
        <f t="shared" si="5"/>
        <v>0</v>
      </c>
      <c r="Q14" s="49">
        <f t="shared" si="6"/>
        <v>-4.4117647058823484E-2</v>
      </c>
      <c r="R14" s="50">
        <v>0</v>
      </c>
      <c r="T14" s="53" t="s">
        <v>50</v>
      </c>
      <c r="U14" s="54">
        <f>3.3/100</f>
        <v>3.3000000000000002E-2</v>
      </c>
    </row>
    <row r="15" spans="1:22" ht="14.4" customHeight="1" x14ac:dyDescent="0.3">
      <c r="A15" s="36" t="s">
        <v>51</v>
      </c>
      <c r="B15" s="37" t="s">
        <v>52</v>
      </c>
      <c r="C15" s="38">
        <v>522661465</v>
      </c>
      <c r="D15" s="39">
        <f t="shared" si="0"/>
        <v>291256858.27487403</v>
      </c>
      <c r="E15" s="40">
        <f t="shared" si="1"/>
        <v>245650888.54999998</v>
      </c>
      <c r="F15" s="41" t="s">
        <v>53</v>
      </c>
      <c r="G15" s="42">
        <v>11.5</v>
      </c>
      <c r="H15" s="43">
        <v>15.9</v>
      </c>
      <c r="I15" s="43">
        <v>14.1</v>
      </c>
      <c r="J15" s="44">
        <f t="shared" si="7"/>
        <v>0.55725718802489876</v>
      </c>
      <c r="K15" s="45">
        <f t="shared" si="2"/>
        <v>0.47</v>
      </c>
      <c r="L15" s="46">
        <f t="shared" si="3"/>
        <v>-1.8000000000000007</v>
      </c>
      <c r="M15" s="46">
        <f t="shared" si="4"/>
        <v>-11.320754716981137</v>
      </c>
      <c r="N15" s="47">
        <v>150500</v>
      </c>
      <c r="O15" s="38">
        <v>2122050</v>
      </c>
      <c r="P15" s="48">
        <f t="shared" si="5"/>
        <v>1.4356028368794325E-2</v>
      </c>
      <c r="Q15" s="49">
        <f t="shared" si="6"/>
        <v>0.22608695652173916</v>
      </c>
      <c r="R15" s="50">
        <v>8.0000000000000002E-3</v>
      </c>
      <c r="T15" s="53" t="s">
        <v>54</v>
      </c>
      <c r="U15" s="54">
        <f>((0.63+0.6)/100)*2</f>
        <v>2.46E-2</v>
      </c>
      <c r="V15" s="56"/>
    </row>
    <row r="16" spans="1:22" ht="14.4" customHeight="1" x14ac:dyDescent="0.3">
      <c r="A16" s="36" t="s">
        <v>55</v>
      </c>
      <c r="B16" s="37" t="s">
        <v>56</v>
      </c>
      <c r="C16" s="38">
        <v>106040875</v>
      </c>
      <c r="D16" s="39">
        <f t="shared" si="0"/>
        <v>25941824.572670687</v>
      </c>
      <c r="E16" s="40">
        <f t="shared" si="1"/>
        <v>21879767.208333336</v>
      </c>
      <c r="F16" s="41" t="s">
        <v>35</v>
      </c>
      <c r="G16" s="42">
        <v>5.39</v>
      </c>
      <c r="H16" s="43">
        <v>6.19</v>
      </c>
      <c r="I16" s="43">
        <v>6.19</v>
      </c>
      <c r="J16" s="44">
        <f t="shared" si="7"/>
        <v>0.24463985772156904</v>
      </c>
      <c r="K16" s="45">
        <f t="shared" si="2"/>
        <v>0.20633333333333334</v>
      </c>
      <c r="L16" s="46">
        <f t="shared" si="3"/>
        <v>0</v>
      </c>
      <c r="M16" s="46">
        <f t="shared" si="4"/>
        <v>0</v>
      </c>
      <c r="N16" s="47">
        <v>0</v>
      </c>
      <c r="O16" s="38">
        <v>0</v>
      </c>
      <c r="P16" s="41">
        <f t="shared" si="5"/>
        <v>0</v>
      </c>
      <c r="Q16" s="49">
        <f t="shared" si="6"/>
        <v>0.14842300556586285</v>
      </c>
      <c r="R16" s="50">
        <v>0</v>
      </c>
      <c r="T16" s="53" t="s">
        <v>57</v>
      </c>
      <c r="U16" s="54">
        <v>0.32</v>
      </c>
    </row>
    <row r="17" spans="1:25" ht="14.4" customHeight="1" x14ac:dyDescent="0.3">
      <c r="A17" s="36" t="s">
        <v>58</v>
      </c>
      <c r="B17" s="37" t="s">
        <v>59</v>
      </c>
      <c r="C17" s="38">
        <v>358000858</v>
      </c>
      <c r="D17" s="39">
        <f t="shared" si="0"/>
        <v>37501751.848445885</v>
      </c>
      <c r="E17" s="40">
        <f t="shared" si="1"/>
        <v>31629602.538176734</v>
      </c>
      <c r="F17" s="41" t="s">
        <v>35</v>
      </c>
      <c r="G17" s="42">
        <v>1.9</v>
      </c>
      <c r="H17" s="43">
        <v>2.75</v>
      </c>
      <c r="I17" s="43">
        <v>2.6505190000000001</v>
      </c>
      <c r="J17" s="44">
        <f t="shared" si="7"/>
        <v>0.10475324572670686</v>
      </c>
      <c r="K17" s="45">
        <f t="shared" si="2"/>
        <v>8.8350633333333331E-2</v>
      </c>
      <c r="L17" s="46">
        <f t="shared" si="3"/>
        <v>-9.9480999999999931E-2</v>
      </c>
      <c r="M17" s="46">
        <f t="shared" si="4"/>
        <v>-3.6174909090909062</v>
      </c>
      <c r="N17" s="47">
        <v>38500</v>
      </c>
      <c r="O17" s="38">
        <v>102045</v>
      </c>
      <c r="P17" s="41">
        <f t="shared" si="5"/>
        <v>0</v>
      </c>
      <c r="Q17" s="49">
        <f t="shared" si="6"/>
        <v>0.39501000000000008</v>
      </c>
      <c r="R17" s="50">
        <v>0</v>
      </c>
      <c r="T17" s="53" t="s">
        <v>60</v>
      </c>
      <c r="U17" s="54">
        <v>0.16400000000000001</v>
      </c>
      <c r="W17" s="57"/>
    </row>
    <row r="18" spans="1:25" ht="14.4" x14ac:dyDescent="0.3">
      <c r="A18" s="36" t="s">
        <v>50</v>
      </c>
      <c r="B18" s="37" t="s">
        <v>61</v>
      </c>
      <c r="C18" s="38">
        <v>1341613815</v>
      </c>
      <c r="D18" s="39">
        <f t="shared" si="0"/>
        <v>1423629752.1224978</v>
      </c>
      <c r="E18" s="40">
        <f t="shared" si="1"/>
        <v>1200713060.1026499</v>
      </c>
      <c r="F18" s="41" t="s">
        <v>35</v>
      </c>
      <c r="G18" s="42">
        <v>20.701700000000002</v>
      </c>
      <c r="H18" s="43">
        <v>26.717341999999999</v>
      </c>
      <c r="I18" s="43">
        <v>26.849299999999999</v>
      </c>
      <c r="J18" s="44">
        <f t="shared" si="7"/>
        <v>1.061132299179923</v>
      </c>
      <c r="K18" s="45">
        <f t="shared" si="2"/>
        <v>0.89497666666666664</v>
      </c>
      <c r="L18" s="46">
        <f t="shared" si="3"/>
        <v>0.13195800000000091</v>
      </c>
      <c r="M18" s="46">
        <f t="shared" si="4"/>
        <v>0.49390392202937294</v>
      </c>
      <c r="N18" s="47">
        <v>116400</v>
      </c>
      <c r="O18" s="38">
        <v>3125259.8</v>
      </c>
      <c r="P18" s="48">
        <f t="shared" si="5"/>
        <v>3.769558238017378E-2</v>
      </c>
      <c r="Q18" s="49">
        <f t="shared" si="6"/>
        <v>0.29696111913514334</v>
      </c>
      <c r="R18" s="50">
        <v>0.04</v>
      </c>
      <c r="T18" s="53" t="s">
        <v>62</v>
      </c>
      <c r="U18" s="54">
        <v>2.3702520000000001E-2</v>
      </c>
      <c r="W18" s="57"/>
    </row>
    <row r="19" spans="1:25" ht="14.4" customHeight="1" x14ac:dyDescent="0.3">
      <c r="A19" s="36" t="s">
        <v>54</v>
      </c>
      <c r="B19" s="37" t="s">
        <v>63</v>
      </c>
      <c r="C19" s="38">
        <v>2992163203</v>
      </c>
      <c r="D19" s="39">
        <f t="shared" si="0"/>
        <v>1182556349.3725917</v>
      </c>
      <c r="E19" s="40">
        <f t="shared" si="1"/>
        <v>997387734.33333325</v>
      </c>
      <c r="F19" s="41" t="s">
        <v>64</v>
      </c>
      <c r="G19" s="42">
        <v>6.1399460000000001</v>
      </c>
      <c r="H19" s="43">
        <v>10.004389</v>
      </c>
      <c r="I19" s="43">
        <v>10</v>
      </c>
      <c r="J19" s="44">
        <f t="shared" si="7"/>
        <v>0.39521786384744595</v>
      </c>
      <c r="K19" s="45">
        <f t="shared" si="2"/>
        <v>0.33333333333333331</v>
      </c>
      <c r="L19" s="46">
        <f t="shared" si="3"/>
        <v>-4.3889999999997542E-3</v>
      </c>
      <c r="M19" s="46">
        <f t="shared" si="4"/>
        <v>-4.3870745129960004E-2</v>
      </c>
      <c r="N19" s="47">
        <v>79983721</v>
      </c>
      <c r="O19" s="38">
        <v>691387763.14999998</v>
      </c>
      <c r="P19" s="48">
        <f t="shared" si="5"/>
        <v>6.2244149999999991E-2</v>
      </c>
      <c r="Q19" s="49">
        <f t="shared" si="6"/>
        <v>0.62867881899938527</v>
      </c>
      <c r="R19" s="50">
        <v>2.46E-2</v>
      </c>
      <c r="S19" s="56"/>
      <c r="T19" s="53" t="s">
        <v>65</v>
      </c>
      <c r="U19" s="54">
        <v>0</v>
      </c>
      <c r="W19" s="57"/>
    </row>
    <row r="20" spans="1:25" ht="14.4" x14ac:dyDescent="0.3">
      <c r="A20" s="36" t="s">
        <v>66</v>
      </c>
      <c r="B20" s="37" t="s">
        <v>67</v>
      </c>
      <c r="C20" s="38">
        <v>671949927</v>
      </c>
      <c r="D20" s="39">
        <f t="shared" si="0"/>
        <v>265566614.76138726</v>
      </c>
      <c r="E20" s="40">
        <f t="shared" si="1"/>
        <v>223983309</v>
      </c>
      <c r="F20" s="41" t="s">
        <v>53</v>
      </c>
      <c r="G20" s="42">
        <v>12.45</v>
      </c>
      <c r="H20" s="43">
        <v>10</v>
      </c>
      <c r="I20" s="43">
        <v>10</v>
      </c>
      <c r="J20" s="44">
        <f t="shared" si="7"/>
        <v>0.39521786384744595</v>
      </c>
      <c r="K20" s="45">
        <f t="shared" si="2"/>
        <v>0.33333333333333331</v>
      </c>
      <c r="L20" s="46">
        <f t="shared" si="3"/>
        <v>0</v>
      </c>
      <c r="M20" s="46">
        <f t="shared" si="4"/>
        <v>0</v>
      </c>
      <c r="N20" s="47">
        <v>0</v>
      </c>
      <c r="O20" s="38">
        <v>0</v>
      </c>
      <c r="P20" s="48">
        <f t="shared" si="5"/>
        <v>1.6193599999999999E-2</v>
      </c>
      <c r="Q20" s="49">
        <f t="shared" si="6"/>
        <v>-0.19678714859437751</v>
      </c>
      <c r="R20" s="50">
        <v>6.4000000000000003E-3</v>
      </c>
      <c r="T20" s="53" t="s">
        <v>68</v>
      </c>
      <c r="U20" s="54">
        <v>1.5</v>
      </c>
      <c r="W20" s="58"/>
    </row>
    <row r="21" spans="1:25" ht="14.4" x14ac:dyDescent="0.3">
      <c r="A21" s="36" t="s">
        <v>69</v>
      </c>
      <c r="B21" s="37" t="s">
        <v>70</v>
      </c>
      <c r="C21" s="38">
        <v>108923291</v>
      </c>
      <c r="D21" s="39">
        <f t="shared" si="0"/>
        <v>2574296.1374567733</v>
      </c>
      <c r="E21" s="40">
        <f t="shared" si="1"/>
        <v>2171204.267266667</v>
      </c>
      <c r="F21" s="41" t="s">
        <v>53</v>
      </c>
      <c r="G21" s="42">
        <v>0.35</v>
      </c>
      <c r="H21" s="43">
        <v>0.59799999999999998</v>
      </c>
      <c r="I21" s="43">
        <v>0.59799999999999998</v>
      </c>
      <c r="J21" s="44">
        <f t="shared" si="7"/>
        <v>2.3634028258077266E-2</v>
      </c>
      <c r="K21" s="45">
        <f t="shared" si="2"/>
        <v>1.9933333333333334E-2</v>
      </c>
      <c r="L21" s="46">
        <f t="shared" si="3"/>
        <v>0</v>
      </c>
      <c r="M21" s="46">
        <f t="shared" si="4"/>
        <v>0</v>
      </c>
      <c r="N21" s="47">
        <v>0</v>
      </c>
      <c r="O21" s="38">
        <v>0</v>
      </c>
      <c r="P21" s="55">
        <f t="shared" si="5"/>
        <v>0</v>
      </c>
      <c r="Q21" s="49">
        <f t="shared" si="6"/>
        <v>0.70857142857142863</v>
      </c>
      <c r="R21" s="50">
        <v>0</v>
      </c>
      <c r="T21" s="53" t="s">
        <v>71</v>
      </c>
      <c r="U21" s="54">
        <v>0.53</v>
      </c>
    </row>
    <row r="22" spans="1:25" ht="14.4" x14ac:dyDescent="0.3">
      <c r="A22" s="36" t="s">
        <v>60</v>
      </c>
      <c r="B22" s="37" t="s">
        <v>72</v>
      </c>
      <c r="C22" s="38">
        <v>690143060</v>
      </c>
      <c r="D22" s="39">
        <f t="shared" si="0"/>
        <v>114004187.24956034</v>
      </c>
      <c r="E22" s="40">
        <f t="shared" si="1"/>
        <v>96153031.596066684</v>
      </c>
      <c r="F22" s="41" t="s">
        <v>53</v>
      </c>
      <c r="G22" s="42">
        <v>2.85</v>
      </c>
      <c r="H22" s="43">
        <v>4.1797000000000004</v>
      </c>
      <c r="I22" s="43">
        <v>4.1797000000000004</v>
      </c>
      <c r="J22" s="44">
        <f t="shared" si="7"/>
        <v>0.165189210552317</v>
      </c>
      <c r="K22" s="45">
        <f t="shared" si="2"/>
        <v>0.13932333333333335</v>
      </c>
      <c r="L22" s="46">
        <f t="shared" si="3"/>
        <v>0</v>
      </c>
      <c r="M22" s="46">
        <f t="shared" si="4"/>
        <v>0</v>
      </c>
      <c r="N22" s="47">
        <v>0</v>
      </c>
      <c r="O22" s="38">
        <v>0</v>
      </c>
      <c r="P22" s="55">
        <f t="shared" si="5"/>
        <v>0</v>
      </c>
      <c r="Q22" s="49">
        <f t="shared" si="6"/>
        <v>0.46656140350877195</v>
      </c>
      <c r="R22" s="50">
        <v>0</v>
      </c>
      <c r="T22" s="53" t="s">
        <v>73</v>
      </c>
      <c r="U22" s="54">
        <v>7.8354158426806306E-2</v>
      </c>
    </row>
    <row r="23" spans="1:25" ht="14.4" x14ac:dyDescent="0.3">
      <c r="A23" s="36" t="s">
        <v>74</v>
      </c>
      <c r="B23" s="37" t="s">
        <v>75</v>
      </c>
      <c r="C23" s="38">
        <v>1236075493</v>
      </c>
      <c r="D23" s="39">
        <f t="shared" si="0"/>
        <v>52760064.516944975</v>
      </c>
      <c r="E23" s="40">
        <f t="shared" si="1"/>
        <v>44498717.748000003</v>
      </c>
      <c r="F23" s="41" t="s">
        <v>76</v>
      </c>
      <c r="G23" s="42">
        <v>0.88420599999999994</v>
      </c>
      <c r="H23" s="43">
        <v>1.08</v>
      </c>
      <c r="I23" s="43">
        <v>1.08</v>
      </c>
      <c r="J23" s="44">
        <f t="shared" si="7"/>
        <v>4.2683529295524165E-2</v>
      </c>
      <c r="K23" s="45">
        <f t="shared" si="2"/>
        <v>3.6000000000000004E-2</v>
      </c>
      <c r="L23" s="46">
        <f t="shared" si="3"/>
        <v>0</v>
      </c>
      <c r="M23" s="46">
        <f t="shared" si="4"/>
        <v>0</v>
      </c>
      <c r="N23" s="47">
        <v>0</v>
      </c>
      <c r="O23" s="38">
        <v>0</v>
      </c>
      <c r="P23" s="41">
        <f t="shared" si="5"/>
        <v>0</v>
      </c>
      <c r="Q23" s="49">
        <f t="shared" si="6"/>
        <v>0.22143482401159931</v>
      </c>
      <c r="R23" s="50">
        <v>0</v>
      </c>
      <c r="T23" s="53" t="s">
        <v>77</v>
      </c>
      <c r="U23" s="54">
        <v>0</v>
      </c>
    </row>
    <row r="24" spans="1:25" ht="14.4" x14ac:dyDescent="0.3">
      <c r="A24" s="36" t="s">
        <v>78</v>
      </c>
      <c r="B24" s="37" t="s">
        <v>79</v>
      </c>
      <c r="C24" s="38">
        <v>536588623</v>
      </c>
      <c r="D24" s="39">
        <f t="shared" si="0"/>
        <v>2131297.5639363704</v>
      </c>
      <c r="E24" s="40">
        <f t="shared" si="1"/>
        <v>1797571.88705</v>
      </c>
      <c r="F24" s="41" t="s">
        <v>49</v>
      </c>
      <c r="G24" s="42">
        <v>0.1</v>
      </c>
      <c r="H24" s="43">
        <v>0.10050000000000001</v>
      </c>
      <c r="I24" s="43">
        <v>0.10050000000000001</v>
      </c>
      <c r="J24" s="44">
        <f t="shared" si="7"/>
        <v>3.9719395316668319E-3</v>
      </c>
      <c r="K24" s="45">
        <f t="shared" si="2"/>
        <v>3.3500000000000001E-3</v>
      </c>
      <c r="L24" s="46">
        <f t="shared" si="3"/>
        <v>0</v>
      </c>
      <c r="M24" s="46">
        <f t="shared" si="4"/>
        <v>0</v>
      </c>
      <c r="N24" s="47">
        <v>0</v>
      </c>
      <c r="O24" s="38">
        <v>0</v>
      </c>
      <c r="P24" s="41">
        <f t="shared" si="5"/>
        <v>0</v>
      </c>
      <c r="Q24" s="49">
        <f t="shared" si="6"/>
        <v>4.9999999999998934E-3</v>
      </c>
      <c r="R24" s="50">
        <v>0</v>
      </c>
      <c r="T24" s="59" t="s">
        <v>80</v>
      </c>
      <c r="U24" s="60">
        <v>0.02</v>
      </c>
    </row>
    <row r="25" spans="1:25" ht="14.4" x14ac:dyDescent="0.3">
      <c r="A25" s="36" t="s">
        <v>81</v>
      </c>
      <c r="B25" s="37" t="s">
        <v>82</v>
      </c>
      <c r="C25" s="38">
        <v>193020564</v>
      </c>
      <c r="D25" s="39">
        <f t="shared" si="0"/>
        <v>56912554.795850217</v>
      </c>
      <c r="E25" s="40">
        <f t="shared" si="1"/>
        <v>48000997.257399999</v>
      </c>
      <c r="F25" s="41" t="s">
        <v>35</v>
      </c>
      <c r="G25" s="42">
        <v>8.1687659999999997</v>
      </c>
      <c r="H25" s="43">
        <v>7.4604999999999997</v>
      </c>
      <c r="I25" s="43">
        <v>7.4604999999999997</v>
      </c>
      <c r="J25" s="44">
        <f t="shared" si="7"/>
        <v>0.29485228732338703</v>
      </c>
      <c r="K25" s="45">
        <f t="shared" si="2"/>
        <v>0.24868333333333331</v>
      </c>
      <c r="L25" s="46">
        <f t="shared" si="3"/>
        <v>0</v>
      </c>
      <c r="M25" s="46">
        <f t="shared" si="4"/>
        <v>0</v>
      </c>
      <c r="N25" s="47">
        <v>13700</v>
      </c>
      <c r="O25" s="38">
        <v>102208.85</v>
      </c>
      <c r="P25" s="41">
        <f t="shared" si="5"/>
        <v>0</v>
      </c>
      <c r="Q25" s="49">
        <f t="shared" si="6"/>
        <v>-8.6704160701873478E-2</v>
      </c>
      <c r="R25" s="50">
        <v>0</v>
      </c>
      <c r="T25" s="54" t="s">
        <v>83</v>
      </c>
      <c r="U25" s="54">
        <v>0.13517000000000001</v>
      </c>
      <c r="Y25" s="5" t="s">
        <v>84</v>
      </c>
    </row>
    <row r="26" spans="1:25" ht="14.4" customHeight="1" x14ac:dyDescent="0.3">
      <c r="A26" s="36" t="s">
        <v>85</v>
      </c>
      <c r="B26" s="37" t="s">
        <v>86</v>
      </c>
      <c r="C26" s="38">
        <v>1687584009</v>
      </c>
      <c r="D26" s="39">
        <f t="shared" si="0"/>
        <v>79935557.149945661</v>
      </c>
      <c r="E26" s="40">
        <f t="shared" si="1"/>
        <v>67418981.159549996</v>
      </c>
      <c r="F26" s="41" t="s">
        <v>76</v>
      </c>
      <c r="G26" s="42">
        <v>1.6675</v>
      </c>
      <c r="H26" s="43">
        <v>1.1984999999999999</v>
      </c>
      <c r="I26" s="43">
        <v>1.1984999999999999</v>
      </c>
      <c r="J26" s="44">
        <f t="shared" si="7"/>
        <v>4.7366860982116392E-2</v>
      </c>
      <c r="K26" s="45">
        <f t="shared" si="2"/>
        <v>3.9949999999999999E-2</v>
      </c>
      <c r="L26" s="46">
        <f t="shared" si="3"/>
        <v>0</v>
      </c>
      <c r="M26" s="46">
        <f t="shared" si="4"/>
        <v>0</v>
      </c>
      <c r="N26" s="47">
        <v>0</v>
      </c>
      <c r="O26" s="38">
        <v>0</v>
      </c>
      <c r="P26" s="55">
        <f t="shared" si="5"/>
        <v>0</v>
      </c>
      <c r="Q26" s="49">
        <f t="shared" si="6"/>
        <v>-0.2812593703148426</v>
      </c>
      <c r="R26" s="50">
        <v>0</v>
      </c>
      <c r="T26" s="54" t="s">
        <v>87</v>
      </c>
      <c r="U26" s="54">
        <v>3.7499999999999999E-2</v>
      </c>
    </row>
    <row r="27" spans="1:25" ht="13.2" customHeight="1" x14ac:dyDescent="0.25">
      <c r="A27" s="36" t="s">
        <v>88</v>
      </c>
      <c r="B27" s="37" t="s">
        <v>89</v>
      </c>
      <c r="C27" s="38">
        <v>239388107</v>
      </c>
      <c r="D27" s="39">
        <f t="shared" si="0"/>
        <v>17337366.113131113</v>
      </c>
      <c r="E27" s="40">
        <f t="shared" si="1"/>
        <v>14622623.535916667</v>
      </c>
      <c r="F27" s="41" t="s">
        <v>49</v>
      </c>
      <c r="G27" s="42">
        <v>1.7994999999999999</v>
      </c>
      <c r="H27" s="43">
        <v>1.8325</v>
      </c>
      <c r="I27" s="43">
        <v>1.8325</v>
      </c>
      <c r="J27" s="44">
        <f t="shared" si="7"/>
        <v>7.2423673550044462E-2</v>
      </c>
      <c r="K27" s="45">
        <f t="shared" si="2"/>
        <v>6.1083333333333337E-2</v>
      </c>
      <c r="L27" s="46">
        <f t="shared" si="3"/>
        <v>0</v>
      </c>
      <c r="M27" s="46">
        <f t="shared" si="4"/>
        <v>0</v>
      </c>
      <c r="N27" s="47">
        <v>0</v>
      </c>
      <c r="O27" s="38">
        <v>0</v>
      </c>
      <c r="P27" s="55">
        <f t="shared" si="5"/>
        <v>0</v>
      </c>
      <c r="Q27" s="49">
        <f t="shared" si="6"/>
        <v>1.8338427340928165E-2</v>
      </c>
      <c r="R27" s="50">
        <v>0</v>
      </c>
      <c r="T27" s="61" t="s">
        <v>44</v>
      </c>
      <c r="U27" s="61">
        <v>0.2</v>
      </c>
    </row>
    <row r="28" spans="1:25" ht="13.2" customHeight="1" x14ac:dyDescent="0.25">
      <c r="A28" s="36" t="s">
        <v>68</v>
      </c>
      <c r="B28" s="37" t="s">
        <v>90</v>
      </c>
      <c r="C28" s="38">
        <v>256150741</v>
      </c>
      <c r="D28" s="39">
        <f t="shared" si="0"/>
        <v>30370604.604288116</v>
      </c>
      <c r="E28" s="40">
        <f t="shared" si="1"/>
        <v>25615074.100000001</v>
      </c>
      <c r="F28" s="41" t="s">
        <v>35</v>
      </c>
      <c r="G28" s="42">
        <v>3.1361369999999997</v>
      </c>
      <c r="H28" s="43">
        <v>3</v>
      </c>
      <c r="I28" s="43">
        <v>3</v>
      </c>
      <c r="J28" s="44">
        <f t="shared" si="7"/>
        <v>0.11856535915423377</v>
      </c>
      <c r="K28" s="45">
        <f t="shared" si="2"/>
        <v>0.1</v>
      </c>
      <c r="L28" s="46">
        <f t="shared" si="3"/>
        <v>0</v>
      </c>
      <c r="M28" s="46">
        <f t="shared" si="4"/>
        <v>0</v>
      </c>
      <c r="N28" s="47">
        <v>300</v>
      </c>
      <c r="O28" s="38">
        <v>900</v>
      </c>
      <c r="P28" s="48">
        <f t="shared" si="5"/>
        <v>0.1265125</v>
      </c>
      <c r="Q28" s="49">
        <f t="shared" si="6"/>
        <v>-4.3409136781970892E-2</v>
      </c>
      <c r="R28" s="50">
        <v>1.4999999999999999E-2</v>
      </c>
      <c r="T28" s="61"/>
      <c r="U28" s="61"/>
    </row>
    <row r="29" spans="1:25" ht="13.2" customHeight="1" x14ac:dyDescent="0.25">
      <c r="A29" s="36" t="s">
        <v>91</v>
      </c>
      <c r="B29" s="37" t="s">
        <v>92</v>
      </c>
      <c r="C29" s="38">
        <v>755648101</v>
      </c>
      <c r="D29" s="39">
        <f t="shared" si="0"/>
        <v>22398422.122319929</v>
      </c>
      <c r="E29" s="40">
        <f t="shared" si="1"/>
        <v>18891202.525000002</v>
      </c>
      <c r="F29" s="41" t="s">
        <v>49</v>
      </c>
      <c r="G29" s="42">
        <v>0.8</v>
      </c>
      <c r="H29" s="43">
        <v>0.75</v>
      </c>
      <c r="I29" s="43">
        <v>0.75</v>
      </c>
      <c r="J29" s="44">
        <f t="shared" si="7"/>
        <v>2.9641339788558443E-2</v>
      </c>
      <c r="K29" s="45">
        <f t="shared" si="2"/>
        <v>2.5000000000000001E-2</v>
      </c>
      <c r="L29" s="46">
        <f t="shared" si="3"/>
        <v>0</v>
      </c>
      <c r="M29" s="46">
        <f t="shared" si="4"/>
        <v>0</v>
      </c>
      <c r="N29" s="47">
        <v>100</v>
      </c>
      <c r="O29" s="38">
        <v>75</v>
      </c>
      <c r="P29" s="41">
        <f t="shared" si="5"/>
        <v>0</v>
      </c>
      <c r="Q29" s="49">
        <f t="shared" si="6"/>
        <v>-6.25E-2</v>
      </c>
      <c r="R29" s="50">
        <v>0</v>
      </c>
      <c r="T29" s="61"/>
      <c r="U29" s="61"/>
    </row>
    <row r="30" spans="1:25" ht="14.4" customHeight="1" x14ac:dyDescent="0.3">
      <c r="A30" s="36" t="s">
        <v>93</v>
      </c>
      <c r="B30" s="37" t="s">
        <v>94</v>
      </c>
      <c r="C30" s="38">
        <v>404171689</v>
      </c>
      <c r="D30" s="39">
        <f t="shared" si="0"/>
        <v>80187407.520205513</v>
      </c>
      <c r="E30" s="40">
        <f t="shared" si="1"/>
        <v>67631395.959333315</v>
      </c>
      <c r="F30" s="41" t="s">
        <v>53</v>
      </c>
      <c r="G30" s="42">
        <v>5.15</v>
      </c>
      <c r="H30" s="43">
        <v>5</v>
      </c>
      <c r="I30" s="43">
        <v>5.0199999999999996</v>
      </c>
      <c r="J30" s="44">
        <f t="shared" si="7"/>
        <v>0.19839936765141783</v>
      </c>
      <c r="K30" s="45">
        <f t="shared" si="2"/>
        <v>0.16733333333333331</v>
      </c>
      <c r="L30" s="46">
        <f t="shared" si="3"/>
        <v>1.9999999999999574E-2</v>
      </c>
      <c r="M30" s="46">
        <f t="shared" si="4"/>
        <v>0.39999999999999153</v>
      </c>
      <c r="N30" s="47">
        <v>100</v>
      </c>
      <c r="O30" s="38">
        <v>502</v>
      </c>
      <c r="P30" s="55">
        <f t="shared" si="5"/>
        <v>0</v>
      </c>
      <c r="Q30" s="49">
        <f t="shared" si="6"/>
        <v>-2.5242718446602086E-2</v>
      </c>
      <c r="R30" s="50">
        <v>0</v>
      </c>
      <c r="T30" s="54" t="s">
        <v>95</v>
      </c>
      <c r="U30" s="54">
        <v>2.65</v>
      </c>
    </row>
    <row r="31" spans="1:25" ht="14.4" hidden="1" x14ac:dyDescent="0.3">
      <c r="A31" s="36"/>
      <c r="B31" s="37" t="s">
        <v>96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55"/>
      <c r="Q31" s="49"/>
      <c r="R31" s="50"/>
      <c r="T31" s="54"/>
      <c r="U31" s="54"/>
    </row>
    <row r="32" spans="1:25" ht="14.4" customHeight="1" x14ac:dyDescent="0.3">
      <c r="A32" s="36" t="s">
        <v>97</v>
      </c>
      <c r="B32" s="37" t="s">
        <v>98</v>
      </c>
      <c r="C32" s="38">
        <v>3171161098</v>
      </c>
      <c r="D32" s="39">
        <f t="shared" ref="D32:D48" si="8">C32*J32</f>
        <v>14249263.506610494</v>
      </c>
      <c r="E32" s="40">
        <f t="shared" ref="E32:E48" si="9">C32*K32</f>
        <v>12018066.3292004</v>
      </c>
      <c r="F32" s="41" t="s">
        <v>35</v>
      </c>
      <c r="G32" s="42">
        <v>0.13000100000000001</v>
      </c>
      <c r="H32" s="43">
        <v>0.113694</v>
      </c>
      <c r="I32" s="43">
        <v>0.113694</v>
      </c>
      <c r="J32" s="44">
        <f t="shared" ref="J32:J48" si="10">I32/$J$5</f>
        <v>4.493389981227152E-3</v>
      </c>
      <c r="K32" s="45">
        <f t="shared" ref="K32:K48" si="11">I32/$K$4</f>
        <v>3.7898000000000003E-3</v>
      </c>
      <c r="L32" s="46">
        <f t="shared" ref="L32:L48" si="12">I32-H32</f>
        <v>0</v>
      </c>
      <c r="M32" s="46">
        <f t="shared" ref="M32:M48" si="13">((I32-H32)/H32)*100</f>
        <v>0</v>
      </c>
      <c r="N32" s="47">
        <v>0</v>
      </c>
      <c r="O32" s="38">
        <v>0</v>
      </c>
      <c r="P32" s="41">
        <f t="shared" ref="P32:P38" si="14">(R32)/J32</f>
        <v>0</v>
      </c>
      <c r="Q32" s="49">
        <f t="shared" ref="Q32:Q48" si="15">I32/G32-1</f>
        <v>-0.12543749663464132</v>
      </c>
      <c r="R32" s="50">
        <v>0</v>
      </c>
      <c r="T32" s="54" t="s">
        <v>99</v>
      </c>
      <c r="U32" s="54">
        <v>0.66100000000000003</v>
      </c>
    </row>
    <row r="33" spans="1:22" ht="14.4" customHeight="1" x14ac:dyDescent="0.3">
      <c r="A33" s="36" t="s">
        <v>100</v>
      </c>
      <c r="B33" s="37" t="s">
        <v>101</v>
      </c>
      <c r="C33" s="38">
        <v>259866270</v>
      </c>
      <c r="D33" s="39">
        <f t="shared" si="8"/>
        <v>13055459.56460903</v>
      </c>
      <c r="E33" s="40">
        <f t="shared" si="9"/>
        <v>11011192.187783999</v>
      </c>
      <c r="F33" s="41" t="s">
        <v>42</v>
      </c>
      <c r="G33" s="42">
        <v>1.4</v>
      </c>
      <c r="H33" s="43">
        <v>1.25</v>
      </c>
      <c r="I33" s="43">
        <v>1.2711759999999999</v>
      </c>
      <c r="J33" s="44">
        <f t="shared" si="10"/>
        <v>5.0239146329414085E-2</v>
      </c>
      <c r="K33" s="45">
        <f t="shared" si="11"/>
        <v>4.237253333333333E-2</v>
      </c>
      <c r="L33" s="46">
        <f t="shared" si="12"/>
        <v>2.1175999999999862E-2</v>
      </c>
      <c r="M33" s="46">
        <f t="shared" si="13"/>
        <v>1.6940799999999887</v>
      </c>
      <c r="N33" s="47">
        <v>1700</v>
      </c>
      <c r="O33" s="38">
        <v>2161</v>
      </c>
      <c r="P33" s="55">
        <f t="shared" si="14"/>
        <v>0</v>
      </c>
      <c r="Q33" s="49">
        <f t="shared" si="15"/>
        <v>-9.2017142857142908E-2</v>
      </c>
      <c r="R33" s="50">
        <v>0</v>
      </c>
      <c r="T33" s="54" t="s">
        <v>102</v>
      </c>
      <c r="U33" s="54">
        <v>1.06</v>
      </c>
    </row>
    <row r="34" spans="1:22" ht="14.4" customHeight="1" x14ac:dyDescent="0.3">
      <c r="A34" s="36" t="s">
        <v>103</v>
      </c>
      <c r="B34" s="37" t="s">
        <v>104</v>
      </c>
      <c r="C34" s="38">
        <v>122029470</v>
      </c>
      <c r="D34" s="39">
        <f t="shared" si="8"/>
        <v>3617116.9844876989</v>
      </c>
      <c r="E34" s="40">
        <f t="shared" si="9"/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 t="shared" si="10"/>
        <v>2.9641339788558443E-2</v>
      </c>
      <c r="K34" s="45">
        <f t="shared" si="11"/>
        <v>2.5000000000000001E-2</v>
      </c>
      <c r="L34" s="46">
        <f t="shared" si="12"/>
        <v>0</v>
      </c>
      <c r="M34" s="46">
        <f t="shared" si="13"/>
        <v>0</v>
      </c>
      <c r="N34" s="47">
        <v>0</v>
      </c>
      <c r="O34" s="38">
        <v>0</v>
      </c>
      <c r="P34" s="41">
        <f t="shared" si="14"/>
        <v>0</v>
      </c>
      <c r="Q34" s="49">
        <f t="shared" si="15"/>
        <v>0.15384615384615374</v>
      </c>
      <c r="R34" s="50">
        <v>0</v>
      </c>
      <c r="T34" s="54" t="s">
        <v>105</v>
      </c>
      <c r="U34" s="54">
        <v>6.71</v>
      </c>
    </row>
    <row r="35" spans="1:22" ht="14.4" customHeight="1" x14ac:dyDescent="0.3">
      <c r="A35" s="36" t="s">
        <v>106</v>
      </c>
      <c r="B35" s="37" t="s">
        <v>107</v>
      </c>
      <c r="C35" s="38">
        <v>2495495543</v>
      </c>
      <c r="D35" s="39">
        <f t="shared" si="8"/>
        <v>147939662.66179231</v>
      </c>
      <c r="E35" s="40">
        <f t="shared" si="9"/>
        <v>124774777.15000001</v>
      </c>
      <c r="F35" s="41" t="s">
        <v>108</v>
      </c>
      <c r="G35" s="42">
        <v>1.44</v>
      </c>
      <c r="H35" s="43">
        <v>1.3103849999999999</v>
      </c>
      <c r="I35" s="43">
        <v>1.5</v>
      </c>
      <c r="J35" s="44">
        <f t="shared" si="10"/>
        <v>5.9282679577116887E-2</v>
      </c>
      <c r="K35" s="45">
        <f t="shared" si="11"/>
        <v>0.05</v>
      </c>
      <c r="L35" s="46">
        <f t="shared" si="12"/>
        <v>0.18961500000000009</v>
      </c>
      <c r="M35" s="46">
        <f t="shared" si="13"/>
        <v>14.470174795956922</v>
      </c>
      <c r="N35" s="47">
        <v>7400</v>
      </c>
      <c r="O35" s="38">
        <v>11100</v>
      </c>
      <c r="P35" s="55">
        <f t="shared" si="14"/>
        <v>0</v>
      </c>
      <c r="Q35" s="49">
        <f t="shared" si="15"/>
        <v>4.1666666666666741E-2</v>
      </c>
      <c r="R35" s="50">
        <v>0</v>
      </c>
      <c r="T35" s="54" t="s">
        <v>109</v>
      </c>
      <c r="U35" s="54">
        <v>0.10181000000000001</v>
      </c>
    </row>
    <row r="36" spans="1:22" ht="14.4" customHeight="1" x14ac:dyDescent="0.3">
      <c r="A36" s="36" t="s">
        <v>110</v>
      </c>
      <c r="B36" s="37" t="s">
        <v>111</v>
      </c>
      <c r="C36" s="38">
        <v>253492983</v>
      </c>
      <c r="D36" s="39">
        <f t="shared" si="8"/>
        <v>43079530.753878079</v>
      </c>
      <c r="E36" s="40">
        <f t="shared" si="9"/>
        <v>36333994.230000004</v>
      </c>
      <c r="F36" s="41" t="s">
        <v>35</v>
      </c>
      <c r="G36" s="42">
        <v>3.6056249999999999</v>
      </c>
      <c r="H36" s="43">
        <v>4.266667</v>
      </c>
      <c r="I36" s="43">
        <v>4.3</v>
      </c>
      <c r="J36" s="44">
        <f t="shared" si="10"/>
        <v>0.16994368145440175</v>
      </c>
      <c r="K36" s="45">
        <f t="shared" si="11"/>
        <v>0.14333333333333334</v>
      </c>
      <c r="L36" s="46">
        <f t="shared" si="12"/>
        <v>3.3332999999999835E-2</v>
      </c>
      <c r="M36" s="46">
        <f t="shared" si="13"/>
        <v>0.78124212646545499</v>
      </c>
      <c r="N36" s="47">
        <v>39600</v>
      </c>
      <c r="O36" s="38">
        <v>170280</v>
      </c>
      <c r="P36" s="62">
        <f t="shared" si="14"/>
        <v>5.3547151162790699E-2</v>
      </c>
      <c r="Q36" s="49">
        <f t="shared" si="15"/>
        <v>0.19258103657479642</v>
      </c>
      <c r="R36" s="50">
        <v>9.1000000000000004E-3</v>
      </c>
      <c r="T36" s="54" t="s">
        <v>112</v>
      </c>
      <c r="U36" s="54">
        <v>0.56000000000000005</v>
      </c>
    </row>
    <row r="37" spans="1:22" x14ac:dyDescent="0.25">
      <c r="A37" s="36" t="s">
        <v>113</v>
      </c>
      <c r="B37" s="37" t="s">
        <v>114</v>
      </c>
      <c r="C37" s="38">
        <v>4715084056</v>
      </c>
      <c r="D37" s="39">
        <f t="shared" si="8"/>
        <v>6535057.1192516144</v>
      </c>
      <c r="E37" s="40">
        <f t="shared" si="9"/>
        <v>5511776.0919954665</v>
      </c>
      <c r="F37" s="41" t="s">
        <v>35</v>
      </c>
      <c r="G37" s="42">
        <v>2.5099999999999997E-2</v>
      </c>
      <c r="H37" s="43">
        <v>3.6000000000000004E-2</v>
      </c>
      <c r="I37" s="43">
        <v>3.5068999999999996E-2</v>
      </c>
      <c r="J37" s="44">
        <f t="shared" si="10"/>
        <v>1.3859895267266079E-3</v>
      </c>
      <c r="K37" s="45">
        <f t="shared" si="11"/>
        <v>1.1689666666666665E-3</v>
      </c>
      <c r="L37" s="46">
        <f t="shared" si="12"/>
        <v>-9.3100000000000821E-4</v>
      </c>
      <c r="M37" s="46">
        <f t="shared" si="13"/>
        <v>-2.5861111111111335</v>
      </c>
      <c r="N37" s="47">
        <v>3200</v>
      </c>
      <c r="O37" s="38">
        <v>112.22</v>
      </c>
      <c r="P37" s="41">
        <f t="shared" si="14"/>
        <v>0</v>
      </c>
      <c r="Q37" s="49">
        <f t="shared" si="15"/>
        <v>0.39717131474103584</v>
      </c>
      <c r="R37" s="50">
        <v>0</v>
      </c>
      <c r="T37" s="5" t="s">
        <v>115</v>
      </c>
      <c r="U37" s="5">
        <v>83.33</v>
      </c>
    </row>
    <row r="38" spans="1:22" x14ac:dyDescent="0.25">
      <c r="A38" s="36" t="s">
        <v>116</v>
      </c>
      <c r="B38" s="37" t="s">
        <v>117</v>
      </c>
      <c r="C38" s="38">
        <v>261064590</v>
      </c>
      <c r="D38" s="39">
        <f t="shared" si="8"/>
        <v>10317738.958600929</v>
      </c>
      <c r="E38" s="40">
        <f t="shared" si="9"/>
        <v>8702153</v>
      </c>
      <c r="F38" s="41" t="s">
        <v>108</v>
      </c>
      <c r="G38" s="42">
        <v>0.61</v>
      </c>
      <c r="H38" s="43">
        <v>1</v>
      </c>
      <c r="I38" s="43">
        <v>1</v>
      </c>
      <c r="J38" s="44">
        <f t="shared" si="10"/>
        <v>3.9521786384744594E-2</v>
      </c>
      <c r="K38" s="45">
        <f t="shared" si="11"/>
        <v>3.3333333333333333E-2</v>
      </c>
      <c r="L38" s="46">
        <f t="shared" si="12"/>
        <v>0</v>
      </c>
      <c r="M38" s="46">
        <f t="shared" si="13"/>
        <v>0</v>
      </c>
      <c r="N38" s="47">
        <v>300</v>
      </c>
      <c r="O38" s="38">
        <v>300</v>
      </c>
      <c r="P38" s="41">
        <f t="shared" si="14"/>
        <v>0</v>
      </c>
      <c r="Q38" s="49">
        <f t="shared" si="15"/>
        <v>0.63934426229508201</v>
      </c>
      <c r="R38" s="50">
        <v>0</v>
      </c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118</v>
      </c>
      <c r="B39" s="37" t="s">
        <v>119</v>
      </c>
      <c r="C39" s="38">
        <v>4194797929</v>
      </c>
      <c r="D39" s="39">
        <f t="shared" si="8"/>
        <v>20498432.768828221</v>
      </c>
      <c r="E39" s="40">
        <f t="shared" si="9"/>
        <v>17288719.837775867</v>
      </c>
      <c r="F39" s="41" t="s">
        <v>64</v>
      </c>
      <c r="G39" s="42">
        <v>0.11650199999999999</v>
      </c>
      <c r="H39" s="43">
        <v>0.125</v>
      </c>
      <c r="I39" s="43">
        <v>0.123644</v>
      </c>
      <c r="J39" s="44">
        <f t="shared" si="10"/>
        <v>4.8866317557553609E-3</v>
      </c>
      <c r="K39" s="45">
        <f t="shared" si="11"/>
        <v>4.121466666666667E-3</v>
      </c>
      <c r="L39" s="46">
        <f t="shared" si="12"/>
        <v>-1.3559999999999961E-3</v>
      </c>
      <c r="M39" s="46">
        <f t="shared" si="13"/>
        <v>-1.0847999999999969</v>
      </c>
      <c r="N39" s="47">
        <v>5900</v>
      </c>
      <c r="O39" s="38">
        <v>729.5</v>
      </c>
      <c r="P39" s="41">
        <v>0</v>
      </c>
      <c r="Q39" s="49">
        <f t="shared" si="15"/>
        <v>6.1303668606547568E-2</v>
      </c>
      <c r="R39" s="50"/>
    </row>
    <row r="40" spans="1:22" ht="12" customHeight="1" x14ac:dyDescent="0.25">
      <c r="A40" s="36" t="s">
        <v>120</v>
      </c>
      <c r="B40" s="37" t="s">
        <v>121</v>
      </c>
      <c r="C40" s="38">
        <v>362927587</v>
      </c>
      <c r="D40" s="39">
        <f t="shared" si="8"/>
        <v>47333703.669597864</v>
      </c>
      <c r="E40" s="40">
        <f t="shared" si="9"/>
        <v>39922034.57</v>
      </c>
      <c r="F40" s="41" t="s">
        <v>35</v>
      </c>
      <c r="G40" s="42">
        <v>2.6005000000000003</v>
      </c>
      <c r="H40" s="43">
        <v>3.3</v>
      </c>
      <c r="I40" s="43">
        <v>3.3</v>
      </c>
      <c r="J40" s="44">
        <f t="shared" si="10"/>
        <v>0.13042189506965715</v>
      </c>
      <c r="K40" s="45">
        <f t="shared" si="11"/>
        <v>0.11</v>
      </c>
      <c r="L40" s="46">
        <f t="shared" si="12"/>
        <v>0</v>
      </c>
      <c r="M40" s="46">
        <f t="shared" si="13"/>
        <v>0</v>
      </c>
      <c r="N40" s="47">
        <v>0</v>
      </c>
      <c r="O40" s="38">
        <v>0</v>
      </c>
      <c r="P40" s="62">
        <f t="shared" ref="P40:P47" si="16">(R40)/J40</f>
        <v>9.911679318181818E-2</v>
      </c>
      <c r="Q40" s="49">
        <f t="shared" si="15"/>
        <v>0.26898673332051515</v>
      </c>
      <c r="R40" s="50">
        <v>1.2926999999999999E-2</v>
      </c>
    </row>
    <row r="41" spans="1:22" ht="12" customHeight="1" x14ac:dyDescent="0.25">
      <c r="A41" s="36" t="s">
        <v>122</v>
      </c>
      <c r="B41" s="37" t="s">
        <v>123</v>
      </c>
      <c r="C41" s="38">
        <v>4315726499</v>
      </c>
      <c r="D41" s="39">
        <f t="shared" si="8"/>
        <v>17056522.078845967</v>
      </c>
      <c r="E41" s="40">
        <f t="shared" si="9"/>
        <v>14385754.996666668</v>
      </c>
      <c r="F41" s="41" t="s">
        <v>42</v>
      </c>
      <c r="G41" s="42">
        <v>0.1</v>
      </c>
      <c r="H41" s="43">
        <v>9.9000000000000005E-2</v>
      </c>
      <c r="I41" s="43">
        <v>0.1</v>
      </c>
      <c r="J41" s="44">
        <f t="shared" si="10"/>
        <v>3.9521786384744597E-3</v>
      </c>
      <c r="K41" s="45">
        <f t="shared" si="11"/>
        <v>3.3333333333333335E-3</v>
      </c>
      <c r="L41" s="46">
        <f t="shared" si="12"/>
        <v>1.0000000000000009E-3</v>
      </c>
      <c r="M41" s="46">
        <f t="shared" si="13"/>
        <v>1.0101010101010108</v>
      </c>
      <c r="N41" s="47">
        <v>5900</v>
      </c>
      <c r="O41" s="38">
        <v>590</v>
      </c>
      <c r="P41" s="41">
        <f t="shared" si="16"/>
        <v>0</v>
      </c>
      <c r="Q41" s="49">
        <f t="shared" si="15"/>
        <v>0</v>
      </c>
      <c r="R41" s="50">
        <v>0</v>
      </c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124</v>
      </c>
      <c r="B42" s="37" t="s">
        <v>125</v>
      </c>
      <c r="C42" s="38">
        <v>106474237</v>
      </c>
      <c r="D42" s="39">
        <f t="shared" si="8"/>
        <v>13213283.437604981</v>
      </c>
      <c r="E42" s="40">
        <f t="shared" si="9"/>
        <v>11144303.472666668</v>
      </c>
      <c r="F42" s="41" t="s">
        <v>49</v>
      </c>
      <c r="G42" s="42">
        <v>1.7452379999999998</v>
      </c>
      <c r="H42" s="43">
        <v>3.14</v>
      </c>
      <c r="I42" s="43">
        <v>3.14</v>
      </c>
      <c r="J42" s="44">
        <f t="shared" si="10"/>
        <v>0.12409840924809802</v>
      </c>
      <c r="K42" s="45">
        <f t="shared" si="11"/>
        <v>0.10466666666666667</v>
      </c>
      <c r="L42" s="46">
        <f t="shared" si="12"/>
        <v>0</v>
      </c>
      <c r="M42" s="46">
        <f t="shared" si="13"/>
        <v>0</v>
      </c>
      <c r="N42" s="47">
        <v>0</v>
      </c>
      <c r="O42" s="38">
        <v>0</v>
      </c>
      <c r="P42" s="55">
        <f t="shared" si="16"/>
        <v>0</v>
      </c>
      <c r="Q42" s="49">
        <f t="shared" si="15"/>
        <v>0.7991815442936725</v>
      </c>
      <c r="R42" s="50">
        <v>0</v>
      </c>
    </row>
    <row r="43" spans="1:22" ht="12" customHeight="1" x14ac:dyDescent="0.25">
      <c r="A43" s="36" t="s">
        <v>126</v>
      </c>
      <c r="B43" s="37" t="s">
        <v>127</v>
      </c>
      <c r="C43" s="38">
        <v>1778001428</v>
      </c>
      <c r="D43" s="39">
        <f t="shared" si="8"/>
        <v>2108093.7788756052</v>
      </c>
      <c r="E43" s="40">
        <f t="shared" si="9"/>
        <v>1778001.4280000001</v>
      </c>
      <c r="F43" s="41" t="s">
        <v>42</v>
      </c>
      <c r="G43" s="42">
        <v>0.03</v>
      </c>
      <c r="H43" s="43">
        <v>0.03</v>
      </c>
      <c r="I43" s="43">
        <v>0.03</v>
      </c>
      <c r="J43" s="44">
        <f t="shared" si="10"/>
        <v>1.1856535915423377E-3</v>
      </c>
      <c r="K43" s="45">
        <f t="shared" si="11"/>
        <v>1E-3</v>
      </c>
      <c r="L43" s="46">
        <f t="shared" si="12"/>
        <v>0</v>
      </c>
      <c r="M43" s="46">
        <f t="shared" si="13"/>
        <v>0</v>
      </c>
      <c r="N43" s="47">
        <v>3700</v>
      </c>
      <c r="O43" s="38">
        <v>111</v>
      </c>
      <c r="P43" s="41">
        <f t="shared" si="16"/>
        <v>0</v>
      </c>
      <c r="Q43" s="49">
        <f t="shared" si="15"/>
        <v>0</v>
      </c>
      <c r="R43" s="50">
        <v>0</v>
      </c>
    </row>
    <row r="44" spans="1:22" ht="12" customHeight="1" x14ac:dyDescent="0.25">
      <c r="A44" s="36" t="s">
        <v>128</v>
      </c>
      <c r="B44" s="37" t="s">
        <v>129</v>
      </c>
      <c r="C44" s="38">
        <v>175190642</v>
      </c>
      <c r="D44" s="39">
        <f t="shared" si="8"/>
        <v>31157312.08378619</v>
      </c>
      <c r="E44" s="40">
        <f t="shared" si="9"/>
        <v>26278596.300000001</v>
      </c>
      <c r="F44" s="41" t="s">
        <v>53</v>
      </c>
      <c r="G44" s="42">
        <v>4.5</v>
      </c>
      <c r="H44" s="43">
        <v>4.5</v>
      </c>
      <c r="I44" s="43">
        <v>4.5</v>
      </c>
      <c r="J44" s="44">
        <f t="shared" si="10"/>
        <v>0.17784803873135066</v>
      </c>
      <c r="K44" s="45">
        <f t="shared" si="11"/>
        <v>0.15</v>
      </c>
      <c r="L44" s="46">
        <f t="shared" si="12"/>
        <v>0</v>
      </c>
      <c r="M44" s="46">
        <f t="shared" si="13"/>
        <v>0</v>
      </c>
      <c r="N44" s="47">
        <v>0</v>
      </c>
      <c r="O44" s="38">
        <v>0</v>
      </c>
      <c r="P44" s="55">
        <f t="shared" si="16"/>
        <v>0</v>
      </c>
      <c r="Q44" s="49">
        <f t="shared" si="15"/>
        <v>0</v>
      </c>
      <c r="R44" s="50">
        <v>0</v>
      </c>
    </row>
    <row r="45" spans="1:22" ht="12" customHeight="1" x14ac:dyDescent="0.25">
      <c r="A45" s="36" t="s">
        <v>130</v>
      </c>
      <c r="B45" s="37" t="s">
        <v>131</v>
      </c>
      <c r="C45" s="38">
        <v>463337661</v>
      </c>
      <c r="D45" s="39">
        <f t="shared" si="8"/>
        <v>329.6147771168857</v>
      </c>
      <c r="E45" s="40">
        <f t="shared" si="9"/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 t="shared" si="10"/>
        <v>7.1139215492540266E-7</v>
      </c>
      <c r="K45" s="45">
        <f t="shared" si="11"/>
        <v>5.9999999999999997E-7</v>
      </c>
      <c r="L45" s="46">
        <f t="shared" si="12"/>
        <v>0</v>
      </c>
      <c r="M45" s="46">
        <f t="shared" si="13"/>
        <v>0</v>
      </c>
      <c r="N45" s="47">
        <v>0</v>
      </c>
      <c r="O45" s="38">
        <v>0</v>
      </c>
      <c r="P45" s="41">
        <f t="shared" si="16"/>
        <v>0</v>
      </c>
      <c r="Q45" s="49">
        <f t="shared" si="15"/>
        <v>0</v>
      </c>
      <c r="R45" s="50">
        <v>0</v>
      </c>
      <c r="V45" s="63"/>
    </row>
    <row r="46" spans="1:22" ht="12" customHeight="1" x14ac:dyDescent="0.25">
      <c r="A46" s="36" t="s">
        <v>132</v>
      </c>
      <c r="B46" s="37" t="s">
        <v>133</v>
      </c>
      <c r="C46" s="38">
        <v>576000000</v>
      </c>
      <c r="D46" s="39">
        <f t="shared" si="8"/>
        <v>1821163.9166090309</v>
      </c>
      <c r="E46" s="40">
        <f t="shared" si="9"/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 t="shared" si="10"/>
        <v>3.1617429107795676E-3</v>
      </c>
      <c r="K46" s="45">
        <f t="shared" si="11"/>
        <v>2.6666666666666666E-3</v>
      </c>
      <c r="L46" s="46">
        <f t="shared" si="12"/>
        <v>0</v>
      </c>
      <c r="M46" s="46">
        <f t="shared" si="13"/>
        <v>0</v>
      </c>
      <c r="N46" s="47">
        <v>0</v>
      </c>
      <c r="O46" s="38">
        <v>0</v>
      </c>
      <c r="P46" s="41">
        <f t="shared" si="16"/>
        <v>0</v>
      </c>
      <c r="Q46" s="49">
        <f t="shared" si="15"/>
        <v>0.14285714285714279</v>
      </c>
      <c r="R46" s="50"/>
    </row>
    <row r="47" spans="1:22" ht="12" customHeight="1" x14ac:dyDescent="0.25">
      <c r="A47" s="36" t="s">
        <v>134</v>
      </c>
      <c r="B47" s="37" t="s">
        <v>135</v>
      </c>
      <c r="C47" s="38">
        <v>1818218786</v>
      </c>
      <c r="D47" s="39">
        <f t="shared" si="8"/>
        <v>53894440.845766231</v>
      </c>
      <c r="E47" s="40">
        <f t="shared" si="9"/>
        <v>45455469.650000006</v>
      </c>
      <c r="F47" s="41" t="s">
        <v>53</v>
      </c>
      <c r="G47" s="42">
        <v>0.9998999999999999</v>
      </c>
      <c r="H47" s="43">
        <v>0.69</v>
      </c>
      <c r="I47" s="43">
        <v>0.75</v>
      </c>
      <c r="J47" s="44">
        <f t="shared" si="10"/>
        <v>2.9641339788558443E-2</v>
      </c>
      <c r="K47" s="45">
        <f t="shared" si="11"/>
        <v>2.5000000000000001E-2</v>
      </c>
      <c r="L47" s="46">
        <f t="shared" si="12"/>
        <v>6.0000000000000053E-2</v>
      </c>
      <c r="M47" s="46">
        <f t="shared" si="13"/>
        <v>8.6956521739130519</v>
      </c>
      <c r="N47" s="47">
        <v>100</v>
      </c>
      <c r="O47" s="38">
        <v>75</v>
      </c>
      <c r="P47" s="55">
        <f t="shared" si="16"/>
        <v>0</v>
      </c>
      <c r="Q47" s="49">
        <f t="shared" si="15"/>
        <v>-0.24992499249924982</v>
      </c>
      <c r="R47" s="50">
        <v>0</v>
      </c>
    </row>
    <row r="48" spans="1:22" ht="12" customHeight="1" x14ac:dyDescent="0.25">
      <c r="A48" s="36" t="s">
        <v>136</v>
      </c>
      <c r="B48" s="37" t="s">
        <v>137</v>
      </c>
      <c r="C48" s="38">
        <v>102712520</v>
      </c>
      <c r="D48" s="39">
        <f t="shared" si="8"/>
        <v>4528240.9271811089</v>
      </c>
      <c r="E48" s="40">
        <f t="shared" si="9"/>
        <v>3819193.8686666666</v>
      </c>
      <c r="F48" s="41" t="s">
        <v>53</v>
      </c>
      <c r="G48" s="42">
        <v>1.4503460000000001</v>
      </c>
      <c r="H48" s="43">
        <v>0.97</v>
      </c>
      <c r="I48" s="43">
        <v>1.1154999999999999</v>
      </c>
      <c r="J48" s="44">
        <f t="shared" si="10"/>
        <v>4.4086552712182592E-2</v>
      </c>
      <c r="K48" s="45">
        <f t="shared" si="11"/>
        <v>3.7183333333333332E-2</v>
      </c>
      <c r="L48" s="46">
        <f t="shared" si="12"/>
        <v>0.14549999999999996</v>
      </c>
      <c r="M48" s="46">
        <f t="shared" si="13"/>
        <v>14.999999999999996</v>
      </c>
      <c r="N48" s="47">
        <v>100</v>
      </c>
      <c r="O48" s="38">
        <v>111.55</v>
      </c>
      <c r="P48" s="41">
        <v>0</v>
      </c>
      <c r="Q48" s="49">
        <f t="shared" si="15"/>
        <v>-0.23087318474350271</v>
      </c>
      <c r="R48" s="50"/>
    </row>
    <row r="49" spans="1:26" ht="13.8" thickBot="1" x14ac:dyDescent="0.4">
      <c r="A49" s="64"/>
      <c r="B49" s="65" t="s">
        <v>96</v>
      </c>
      <c r="C49" s="66"/>
      <c r="D49" s="67"/>
      <c r="E49" s="67"/>
      <c r="F49" s="68"/>
      <c r="G49" s="68"/>
      <c r="H49" s="46"/>
      <c r="I49" s="46"/>
      <c r="J49" s="46"/>
      <c r="K49" s="46"/>
      <c r="L49" s="46"/>
      <c r="M49" s="46"/>
      <c r="N49" s="68">
        <f>SUM(N10:N48)</f>
        <v>80454021</v>
      </c>
      <c r="O49" s="69">
        <f>SUM(O10:O48)</f>
        <v>698152394.06999993</v>
      </c>
      <c r="P49" s="69"/>
      <c r="Q49" s="70"/>
    </row>
    <row r="50" spans="1:26" ht="13.2" x14ac:dyDescent="0.35">
      <c r="A50" s="71"/>
      <c r="B50" s="72" t="s">
        <v>96</v>
      </c>
      <c r="C50" s="73"/>
      <c r="D50" s="73"/>
      <c r="E50" s="73"/>
      <c r="F50" s="74"/>
      <c r="G50" s="74"/>
      <c r="H50" s="75"/>
      <c r="I50" s="75"/>
      <c r="J50" s="75"/>
      <c r="K50" s="75"/>
      <c r="L50" s="75"/>
      <c r="M50" s="75"/>
      <c r="N50" s="74"/>
      <c r="O50" s="74"/>
      <c r="P50" s="74"/>
      <c r="Q50" s="76"/>
    </row>
    <row r="51" spans="1:26" ht="12.6" x14ac:dyDescent="0.3">
      <c r="A51" s="158" t="s">
        <v>138</v>
      </c>
      <c r="B51" s="159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26" x14ac:dyDescent="0.25">
      <c r="A52" s="36" t="s">
        <v>109</v>
      </c>
      <c r="B52" s="37" t="s">
        <v>139</v>
      </c>
      <c r="C52" s="41">
        <v>14779932</v>
      </c>
      <c r="D52" s="39">
        <f t="shared" ref="D52:D65" si="17">C52*J52</f>
        <v>69122785.977600008</v>
      </c>
      <c r="E52" s="40">
        <f>C52*K52</f>
        <v>0</v>
      </c>
      <c r="F52" s="41" t="s">
        <v>108</v>
      </c>
      <c r="G52" s="77">
        <v>4</v>
      </c>
      <c r="H52" s="43">
        <v>4.6768000000000001</v>
      </c>
      <c r="I52" s="43">
        <v>4.6768000000000001</v>
      </c>
      <c r="J52" s="44">
        <f t="shared" ref="J52:J65" si="18">I52</f>
        <v>4.6768000000000001</v>
      </c>
      <c r="K52" s="40">
        <v>0</v>
      </c>
      <c r="L52" s="46">
        <f t="shared" ref="L52:L65" si="19">I52-H52</f>
        <v>0</v>
      </c>
      <c r="M52" s="46">
        <f t="shared" ref="M52:M65" si="20">((I52-H52)/H52)*100</f>
        <v>0</v>
      </c>
      <c r="N52" s="47">
        <v>0</v>
      </c>
      <c r="O52" s="38">
        <v>0</v>
      </c>
      <c r="P52" s="55">
        <v>0</v>
      </c>
      <c r="Q52" s="49">
        <f t="shared" ref="Q52:Q65" si="21">J52/G52-1</f>
        <v>0.16920000000000002</v>
      </c>
      <c r="R52" s="56">
        <v>1.0181000000000001E-3</v>
      </c>
      <c r="X52" s="56"/>
      <c r="Z52" s="56"/>
    </row>
    <row r="53" spans="1:26" x14ac:dyDescent="0.25">
      <c r="A53" s="36" t="s">
        <v>140</v>
      </c>
      <c r="B53" s="37" t="s">
        <v>141</v>
      </c>
      <c r="C53" s="41">
        <v>554920933</v>
      </c>
      <c r="D53" s="39">
        <f t="shared" si="17"/>
        <v>71140863.61060001</v>
      </c>
      <c r="E53" s="40">
        <v>0</v>
      </c>
      <c r="F53" s="41" t="s">
        <v>108</v>
      </c>
      <c r="G53" s="77">
        <v>0.1</v>
      </c>
      <c r="H53" s="43">
        <v>0.12620000000000001</v>
      </c>
      <c r="I53" s="43">
        <v>0.12820000000000001</v>
      </c>
      <c r="J53" s="44">
        <f t="shared" si="18"/>
        <v>0.12820000000000001</v>
      </c>
      <c r="K53" s="40">
        <v>0</v>
      </c>
      <c r="L53" s="46">
        <f t="shared" si="19"/>
        <v>2.0000000000000018E-3</v>
      </c>
      <c r="M53" s="46">
        <f t="shared" si="20"/>
        <v>1.5847860538827272</v>
      </c>
      <c r="N53" s="47">
        <v>301881</v>
      </c>
      <c r="O53" s="38">
        <v>38696.28</v>
      </c>
      <c r="P53" s="41">
        <f t="shared" ref="P53:P65" si="22">(R53)/J53</f>
        <v>0</v>
      </c>
      <c r="Q53" s="49">
        <f t="shared" si="21"/>
        <v>0.28200000000000003</v>
      </c>
      <c r="X53" s="56"/>
      <c r="Z53" s="56"/>
    </row>
    <row r="54" spans="1:26" x14ac:dyDescent="0.25">
      <c r="A54" s="36" t="s">
        <v>112</v>
      </c>
      <c r="B54" s="37" t="s">
        <v>142</v>
      </c>
      <c r="C54" s="41">
        <v>1049554</v>
      </c>
      <c r="D54" s="39">
        <f t="shared" si="17"/>
        <v>72387739.379999995</v>
      </c>
      <c r="E54" s="40">
        <v>0</v>
      </c>
      <c r="F54" s="41" t="s">
        <v>42</v>
      </c>
      <c r="G54" s="77">
        <v>39.9</v>
      </c>
      <c r="H54" s="43">
        <v>68.693100000000001</v>
      </c>
      <c r="I54" s="43">
        <v>68.97</v>
      </c>
      <c r="J54" s="44">
        <f t="shared" si="18"/>
        <v>68.97</v>
      </c>
      <c r="K54" s="40">
        <v>0</v>
      </c>
      <c r="L54" s="46">
        <f t="shared" si="19"/>
        <v>0.2768999999999977</v>
      </c>
      <c r="M54" s="46">
        <f t="shared" si="20"/>
        <v>0.40309725430938148</v>
      </c>
      <c r="N54" s="47">
        <v>10</v>
      </c>
      <c r="O54" s="38">
        <v>689.7</v>
      </c>
      <c r="P54" s="48">
        <f t="shared" si="22"/>
        <v>8.1194722343047717E-5</v>
      </c>
      <c r="Q54" s="49">
        <f t="shared" si="21"/>
        <v>0.72857142857142865</v>
      </c>
      <c r="R54" s="56">
        <v>5.6000000000000008E-3</v>
      </c>
      <c r="X54" s="56"/>
      <c r="Z54" s="56"/>
    </row>
    <row r="55" spans="1:26" x14ac:dyDescent="0.25">
      <c r="A55" s="36" t="s">
        <v>143</v>
      </c>
      <c r="B55" s="37" t="s">
        <v>144</v>
      </c>
      <c r="C55" s="41">
        <v>609740943</v>
      </c>
      <c r="D55" s="39">
        <f t="shared" si="17"/>
        <v>18292228.289999999</v>
      </c>
      <c r="E55" s="40">
        <v>0</v>
      </c>
      <c r="F55" s="41" t="s">
        <v>35</v>
      </c>
      <c r="G55" s="77">
        <v>2.3E-2</v>
      </c>
      <c r="H55" s="43">
        <v>2.5100000000000001E-2</v>
      </c>
      <c r="I55" s="43">
        <v>0.03</v>
      </c>
      <c r="J55" s="44">
        <f t="shared" si="18"/>
        <v>0.03</v>
      </c>
      <c r="K55" s="40">
        <v>0</v>
      </c>
      <c r="L55" s="46">
        <f t="shared" si="19"/>
        <v>4.8999999999999981E-3</v>
      </c>
      <c r="M55" s="46">
        <f t="shared" si="20"/>
        <v>19.521912350597599</v>
      </c>
      <c r="N55" s="47">
        <v>32408</v>
      </c>
      <c r="O55" s="38">
        <v>970.94</v>
      </c>
      <c r="P55" s="41">
        <f t="shared" si="22"/>
        <v>0</v>
      </c>
      <c r="Q55" s="49">
        <f t="shared" si="21"/>
        <v>0.30434782608695654</v>
      </c>
      <c r="X55" s="56"/>
      <c r="Z55" s="56"/>
    </row>
    <row r="56" spans="1:26" x14ac:dyDescent="0.25">
      <c r="A56" s="36" t="s">
        <v>145</v>
      </c>
      <c r="B56" s="37" t="s">
        <v>146</v>
      </c>
      <c r="C56" s="41">
        <v>2162005813</v>
      </c>
      <c r="D56" s="39">
        <f t="shared" si="17"/>
        <v>209930764.44230002</v>
      </c>
      <c r="E56" s="40">
        <v>0</v>
      </c>
      <c r="F56" s="41" t="s">
        <v>53</v>
      </c>
      <c r="G56" s="77">
        <v>9.0200000000000002E-2</v>
      </c>
      <c r="H56" s="43">
        <v>9.6699999999999994E-2</v>
      </c>
      <c r="I56" s="43">
        <v>9.7100000000000006E-2</v>
      </c>
      <c r="J56" s="44">
        <f t="shared" si="18"/>
        <v>9.7100000000000006E-2</v>
      </c>
      <c r="K56" s="40">
        <v>0</v>
      </c>
      <c r="L56" s="46">
        <f t="shared" si="19"/>
        <v>4.0000000000001146E-4</v>
      </c>
      <c r="M56" s="78">
        <f t="shared" si="20"/>
        <v>0.41365046535678546</v>
      </c>
      <c r="N56" s="47">
        <v>748574</v>
      </c>
      <c r="O56" s="38">
        <v>72666.63</v>
      </c>
      <c r="P56" s="48">
        <f t="shared" si="22"/>
        <v>6.323377960865087E-2</v>
      </c>
      <c r="Q56" s="49">
        <f t="shared" si="21"/>
        <v>7.6496674057649594E-2</v>
      </c>
      <c r="R56" s="56">
        <v>6.1399999999999996E-3</v>
      </c>
      <c r="X56" s="56"/>
      <c r="Z56" s="56"/>
    </row>
    <row r="57" spans="1:26" x14ac:dyDescent="0.25">
      <c r="A57" s="36" t="s">
        <v>147</v>
      </c>
      <c r="B57" s="37" t="s">
        <v>148</v>
      </c>
      <c r="C57" s="41">
        <v>575927100</v>
      </c>
      <c r="D57" s="39">
        <f t="shared" si="17"/>
        <v>749050786.25999999</v>
      </c>
      <c r="E57" s="40">
        <v>0</v>
      </c>
      <c r="F57" s="41" t="s">
        <v>35</v>
      </c>
      <c r="G57" s="77">
        <v>0.95750000000000002</v>
      </c>
      <c r="H57" s="43">
        <v>1.3</v>
      </c>
      <c r="I57" s="43">
        <v>1.3006</v>
      </c>
      <c r="J57" s="44">
        <f t="shared" si="18"/>
        <v>1.3006</v>
      </c>
      <c r="K57" s="40">
        <v>0</v>
      </c>
      <c r="L57" s="46">
        <f t="shared" si="19"/>
        <v>5.9999999999993392E-4</v>
      </c>
      <c r="M57" s="46">
        <f t="shared" si="20"/>
        <v>4.615384615384107E-2</v>
      </c>
      <c r="N57" s="47">
        <v>24924</v>
      </c>
      <c r="O57" s="38">
        <v>32416.05</v>
      </c>
      <c r="P57" s="48">
        <f t="shared" si="22"/>
        <v>2.2681839151161003E-2</v>
      </c>
      <c r="Q57" s="49">
        <f t="shared" si="21"/>
        <v>0.35832898172323757</v>
      </c>
      <c r="R57" s="56">
        <v>2.9499999999999998E-2</v>
      </c>
      <c r="X57" s="56"/>
      <c r="Z57" s="56"/>
    </row>
    <row r="58" spans="1:26" x14ac:dyDescent="0.25">
      <c r="A58" s="36" t="s">
        <v>149</v>
      </c>
      <c r="B58" s="37" t="s">
        <v>150</v>
      </c>
      <c r="C58" s="41">
        <v>164208222</v>
      </c>
      <c r="D58" s="39">
        <f t="shared" si="17"/>
        <v>25107437.143800002</v>
      </c>
      <c r="E58" s="40">
        <v>0</v>
      </c>
      <c r="F58" s="41" t="s">
        <v>35</v>
      </c>
      <c r="G58" s="77">
        <v>0.1595</v>
      </c>
      <c r="H58" s="43">
        <v>0.155</v>
      </c>
      <c r="I58" s="43">
        <v>0.15290000000000001</v>
      </c>
      <c r="J58" s="44">
        <f t="shared" si="18"/>
        <v>0.15290000000000001</v>
      </c>
      <c r="K58" s="40">
        <v>0</v>
      </c>
      <c r="L58" s="46">
        <f t="shared" si="19"/>
        <v>-2.0999999999999908E-3</v>
      </c>
      <c r="M58" s="46">
        <f t="shared" si="20"/>
        <v>-1.3548387096774135</v>
      </c>
      <c r="N58" s="47">
        <v>4633</v>
      </c>
      <c r="O58" s="38">
        <v>708.26</v>
      </c>
      <c r="P58" s="41">
        <f t="shared" si="22"/>
        <v>0</v>
      </c>
      <c r="Q58" s="49">
        <f t="shared" si="21"/>
        <v>-4.1379310344827558E-2</v>
      </c>
      <c r="X58" s="56"/>
      <c r="Z58" s="56"/>
    </row>
    <row r="59" spans="1:26" x14ac:dyDescent="0.25">
      <c r="A59" s="36" t="s">
        <v>151</v>
      </c>
      <c r="B59" s="37" t="s">
        <v>152</v>
      </c>
      <c r="C59" s="41">
        <v>370573735</v>
      </c>
      <c r="D59" s="39">
        <f t="shared" si="17"/>
        <v>12154818.508000001</v>
      </c>
      <c r="E59" s="40">
        <v>0</v>
      </c>
      <c r="F59" s="41" t="s">
        <v>108</v>
      </c>
      <c r="G59" s="77">
        <v>1.6799999999999999E-2</v>
      </c>
      <c r="H59" s="43">
        <v>3.6900000000000002E-2</v>
      </c>
      <c r="I59" s="43">
        <v>3.2800000000000003E-2</v>
      </c>
      <c r="J59" s="44">
        <f t="shared" si="18"/>
        <v>3.2800000000000003E-2</v>
      </c>
      <c r="K59" s="40">
        <v>0</v>
      </c>
      <c r="L59" s="46">
        <f t="shared" si="19"/>
        <v>-4.0999999999999995E-3</v>
      </c>
      <c r="M59" s="78">
        <f t="shared" si="20"/>
        <v>-11.111111111111109</v>
      </c>
      <c r="N59" s="47">
        <v>99285</v>
      </c>
      <c r="O59" s="38">
        <v>3255.93</v>
      </c>
      <c r="P59" s="55">
        <f t="shared" si="22"/>
        <v>0</v>
      </c>
      <c r="Q59" s="49">
        <f t="shared" si="21"/>
        <v>0.95238095238095277</v>
      </c>
      <c r="X59" s="56"/>
      <c r="Z59" s="56"/>
    </row>
    <row r="60" spans="1:26" x14ac:dyDescent="0.25">
      <c r="A60" s="36" t="s">
        <v>153</v>
      </c>
      <c r="B60" s="37" t="s">
        <v>154</v>
      </c>
      <c r="C60" s="41">
        <v>161273</v>
      </c>
      <c r="D60" s="39">
        <f t="shared" si="17"/>
        <v>2096549</v>
      </c>
      <c r="E60" s="40">
        <v>0</v>
      </c>
      <c r="F60" s="41" t="s">
        <v>155</v>
      </c>
      <c r="G60" s="77">
        <v>19.5</v>
      </c>
      <c r="H60" s="43">
        <v>13</v>
      </c>
      <c r="I60" s="43">
        <v>13</v>
      </c>
      <c r="J60" s="44">
        <f t="shared" si="18"/>
        <v>13</v>
      </c>
      <c r="K60" s="40">
        <v>0</v>
      </c>
      <c r="L60" s="46">
        <f t="shared" si="19"/>
        <v>0</v>
      </c>
      <c r="M60" s="46">
        <f t="shared" si="20"/>
        <v>0</v>
      </c>
      <c r="N60" s="47">
        <v>0</v>
      </c>
      <c r="O60" s="38">
        <v>0</v>
      </c>
      <c r="P60" s="41">
        <f t="shared" si="22"/>
        <v>0</v>
      </c>
      <c r="Q60" s="49">
        <f t="shared" si="21"/>
        <v>-0.33333333333333337</v>
      </c>
      <c r="X60" s="56"/>
      <c r="Z60" s="56"/>
    </row>
    <row r="61" spans="1:26" x14ac:dyDescent="0.25">
      <c r="A61" s="36" t="s">
        <v>102</v>
      </c>
      <c r="B61" s="37" t="s">
        <v>156</v>
      </c>
      <c r="C61" s="41">
        <v>805091101</v>
      </c>
      <c r="D61" s="39">
        <f t="shared" si="17"/>
        <v>784078223.26390004</v>
      </c>
      <c r="E61" s="40">
        <v>0</v>
      </c>
      <c r="F61" s="41" t="s">
        <v>108</v>
      </c>
      <c r="G61" s="77">
        <v>0.59499999999999997</v>
      </c>
      <c r="H61" s="43">
        <v>1.0007999999999999</v>
      </c>
      <c r="I61" s="43">
        <v>0.97389999999999999</v>
      </c>
      <c r="J61" s="44">
        <f t="shared" si="18"/>
        <v>0.97389999999999999</v>
      </c>
      <c r="K61" s="40">
        <v>0</v>
      </c>
      <c r="L61" s="46">
        <f t="shared" si="19"/>
        <v>-2.6899999999999924E-2</v>
      </c>
      <c r="M61" s="46">
        <f t="shared" si="20"/>
        <v>-2.6878497202238139</v>
      </c>
      <c r="N61" s="47">
        <v>99219</v>
      </c>
      <c r="O61" s="38">
        <v>96630.63</v>
      </c>
      <c r="P61" s="62">
        <f t="shared" si="22"/>
        <v>2.3616387719478386E-2</v>
      </c>
      <c r="Q61" s="49">
        <f t="shared" si="21"/>
        <v>0.63680672268907568</v>
      </c>
      <c r="R61" s="56">
        <v>2.3E-2</v>
      </c>
      <c r="X61" s="56"/>
      <c r="Z61" s="56"/>
    </row>
    <row r="62" spans="1:26" x14ac:dyDescent="0.25">
      <c r="A62" s="36" t="s">
        <v>157</v>
      </c>
      <c r="B62" s="37" t="s">
        <v>158</v>
      </c>
      <c r="C62" s="41">
        <v>260714518</v>
      </c>
      <c r="D62" s="39">
        <f t="shared" si="17"/>
        <v>83532931.567200005</v>
      </c>
      <c r="E62" s="40">
        <v>0</v>
      </c>
      <c r="F62" s="41" t="s">
        <v>35</v>
      </c>
      <c r="G62" s="77">
        <v>0.22600000000000001</v>
      </c>
      <c r="H62" s="43">
        <v>0.30559999999999998</v>
      </c>
      <c r="I62" s="43">
        <v>0.32040000000000002</v>
      </c>
      <c r="J62" s="44">
        <f t="shared" si="18"/>
        <v>0.32040000000000002</v>
      </c>
      <c r="K62" s="40">
        <v>0</v>
      </c>
      <c r="L62" s="46">
        <f t="shared" si="19"/>
        <v>1.4800000000000035E-2</v>
      </c>
      <c r="M62" s="46">
        <f t="shared" si="20"/>
        <v>4.8429319371727866</v>
      </c>
      <c r="N62" s="47">
        <v>1973</v>
      </c>
      <c r="O62" s="38">
        <v>632.17999999999995</v>
      </c>
      <c r="P62" s="62">
        <f t="shared" si="22"/>
        <v>2.247191011235955E-2</v>
      </c>
      <c r="Q62" s="49">
        <f t="shared" si="21"/>
        <v>0.41769911504424773</v>
      </c>
      <c r="R62" s="5">
        <v>7.1999999999999998E-3</v>
      </c>
      <c r="X62" s="56"/>
      <c r="Z62" s="56"/>
    </row>
    <row r="63" spans="1:26" x14ac:dyDescent="0.25">
      <c r="A63" s="36" t="s">
        <v>159</v>
      </c>
      <c r="B63" s="37" t="s">
        <v>160</v>
      </c>
      <c r="C63" s="41">
        <v>562184788</v>
      </c>
      <c r="D63" s="39">
        <f t="shared" si="17"/>
        <v>414330188.75599998</v>
      </c>
      <c r="E63" s="40">
        <v>0</v>
      </c>
      <c r="F63" s="41" t="s">
        <v>35</v>
      </c>
      <c r="G63" s="77">
        <v>0.49440000000000001</v>
      </c>
      <c r="H63" s="43">
        <v>0.73080000000000001</v>
      </c>
      <c r="I63" s="43">
        <v>0.73699999999999999</v>
      </c>
      <c r="J63" s="44">
        <f t="shared" si="18"/>
        <v>0.73699999999999999</v>
      </c>
      <c r="K63" s="40">
        <v>0</v>
      </c>
      <c r="L63" s="46">
        <f t="shared" si="19"/>
        <v>6.1999999999999833E-3</v>
      </c>
      <c r="M63" s="46">
        <f t="shared" si="20"/>
        <v>0.84838533114394954</v>
      </c>
      <c r="N63" s="47">
        <v>10693</v>
      </c>
      <c r="O63" s="38">
        <v>7880.88</v>
      </c>
      <c r="P63" s="48">
        <f t="shared" si="22"/>
        <v>1.682496607869742E-2</v>
      </c>
      <c r="Q63" s="49">
        <f t="shared" si="21"/>
        <v>0.49069579288025889</v>
      </c>
      <c r="R63" s="56">
        <v>1.24E-2</v>
      </c>
      <c r="X63" s="56"/>
      <c r="Z63" s="56"/>
    </row>
    <row r="64" spans="1:26" x14ac:dyDescent="0.25">
      <c r="A64" s="36" t="s">
        <v>161</v>
      </c>
      <c r="B64" s="37" t="s">
        <v>162</v>
      </c>
      <c r="C64" s="41">
        <v>30000000</v>
      </c>
      <c r="D64" s="39">
        <f t="shared" si="17"/>
        <v>300000000</v>
      </c>
      <c r="E64" s="40">
        <v>0</v>
      </c>
      <c r="F64" s="41" t="s">
        <v>76</v>
      </c>
      <c r="G64" s="77">
        <v>10</v>
      </c>
      <c r="H64" s="43">
        <v>10</v>
      </c>
      <c r="I64" s="43">
        <v>10</v>
      </c>
      <c r="J64" s="44">
        <f t="shared" si="18"/>
        <v>10</v>
      </c>
      <c r="K64" s="40">
        <v>0</v>
      </c>
      <c r="L64" s="46">
        <f t="shared" si="19"/>
        <v>0</v>
      </c>
      <c r="M64" s="46">
        <f t="shared" si="20"/>
        <v>0</v>
      </c>
      <c r="N64" s="47">
        <v>0</v>
      </c>
      <c r="O64" s="38">
        <v>0</v>
      </c>
      <c r="P64" s="55">
        <f t="shared" si="22"/>
        <v>0</v>
      </c>
      <c r="Q64" s="49">
        <f t="shared" si="21"/>
        <v>0</v>
      </c>
      <c r="R64" s="5">
        <v>0</v>
      </c>
      <c r="X64" s="56"/>
      <c r="Z64" s="56"/>
    </row>
    <row r="65" spans="1:249" x14ac:dyDescent="0.25">
      <c r="A65" s="36" t="s">
        <v>163</v>
      </c>
      <c r="B65" s="37" t="s">
        <v>164</v>
      </c>
      <c r="C65" s="41">
        <v>344580486</v>
      </c>
      <c r="D65" s="39">
        <f t="shared" si="17"/>
        <v>16677695.522399999</v>
      </c>
      <c r="E65" s="40">
        <v>0</v>
      </c>
      <c r="F65" s="41" t="s">
        <v>49</v>
      </c>
      <c r="G65" s="77">
        <v>4.2999999999999997E-2</v>
      </c>
      <c r="H65" s="43">
        <v>4.5600000000000002E-2</v>
      </c>
      <c r="I65" s="43">
        <v>4.8399999999999999E-2</v>
      </c>
      <c r="J65" s="44">
        <f t="shared" si="18"/>
        <v>4.8399999999999999E-2</v>
      </c>
      <c r="K65" s="40">
        <v>0</v>
      </c>
      <c r="L65" s="46">
        <f t="shared" si="19"/>
        <v>2.7999999999999969E-3</v>
      </c>
      <c r="M65" s="46">
        <f t="shared" si="20"/>
        <v>6.1403508771929749</v>
      </c>
      <c r="N65" s="47">
        <v>2361</v>
      </c>
      <c r="O65" s="38">
        <v>114.16</v>
      </c>
      <c r="P65" s="41">
        <f t="shared" si="22"/>
        <v>0</v>
      </c>
      <c r="Q65" s="49">
        <f t="shared" si="21"/>
        <v>0.12558139534883717</v>
      </c>
      <c r="X65" s="56"/>
      <c r="Z65" s="56"/>
    </row>
    <row r="66" spans="1:249" ht="13.2" x14ac:dyDescent="0.35">
      <c r="A66" s="79"/>
      <c r="B66" s="37" t="s">
        <v>96</v>
      </c>
      <c r="C66" s="41"/>
      <c r="D66" s="80"/>
      <c r="E66" s="80"/>
      <c r="F66" s="41"/>
      <c r="G66" s="41"/>
      <c r="H66" s="43"/>
      <c r="I66" s="43"/>
      <c r="J66" s="43"/>
      <c r="K66" s="43"/>
      <c r="L66" s="46"/>
      <c r="M66" s="81"/>
      <c r="N66" s="68">
        <f>SUM(N52:N65)</f>
        <v>1325961</v>
      </c>
      <c r="O66" s="69">
        <f>SUM(O52:O65)</f>
        <v>254661.64</v>
      </c>
      <c r="P66" s="82"/>
      <c r="Q66" s="70"/>
    </row>
    <row r="67" spans="1:249" ht="12.6" hidden="1" x14ac:dyDescent="0.3">
      <c r="A67" s="146" t="s">
        <v>165</v>
      </c>
      <c r="B67" s="147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9"/>
    </row>
    <row r="68" spans="1:249" ht="12.6" hidden="1" thickBot="1" x14ac:dyDescent="0.3">
      <c r="A68" s="83" t="s">
        <v>166</v>
      </c>
      <c r="B68" s="84" t="s">
        <v>167</v>
      </c>
      <c r="C68" s="85">
        <v>20000</v>
      </c>
      <c r="D68" s="86">
        <f>C68*J68</f>
        <v>0</v>
      </c>
      <c r="E68" s="86"/>
      <c r="F68" s="85" t="s">
        <v>168</v>
      </c>
      <c r="G68" s="85"/>
      <c r="H68" s="87">
        <v>100</v>
      </c>
      <c r="I68" s="87"/>
      <c r="J68" s="87"/>
      <c r="K68" s="87"/>
      <c r="L68" s="88">
        <f>I68-H68</f>
        <v>-100</v>
      </c>
      <c r="M68" s="89">
        <f>((I68-H68)/H68)*100</f>
        <v>-100</v>
      </c>
      <c r="N68" s="90" t="s">
        <v>169</v>
      </c>
      <c r="O68" s="90" t="s">
        <v>169</v>
      </c>
      <c r="P68" s="90"/>
      <c r="Q68" s="91">
        <v>100</v>
      </c>
    </row>
    <row r="69" spans="1:249" ht="12.6" thickBot="1" x14ac:dyDescent="0.3">
      <c r="A69" s="36"/>
      <c r="B69" s="37" t="s">
        <v>96</v>
      </c>
      <c r="C69" s="41"/>
      <c r="D69" s="38"/>
      <c r="E69" s="38"/>
      <c r="F69" s="41"/>
      <c r="G69" s="41"/>
      <c r="H69" s="43"/>
      <c r="I69" s="43"/>
      <c r="J69" s="43"/>
      <c r="K69" s="43"/>
      <c r="L69" s="46"/>
      <c r="M69" s="81"/>
      <c r="N69" s="92"/>
      <c r="O69" s="92"/>
      <c r="P69" s="92"/>
      <c r="Q69" s="70"/>
    </row>
    <row r="70" spans="1:249" ht="12.6" x14ac:dyDescent="0.3">
      <c r="A70" s="146" t="s">
        <v>170</v>
      </c>
      <c r="B70" s="147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</row>
    <row r="71" spans="1:249" x14ac:dyDescent="0.25">
      <c r="A71" s="93" t="s">
        <v>171</v>
      </c>
      <c r="B71" s="94" t="s">
        <v>172</v>
      </c>
      <c r="C71" s="95">
        <v>139300587</v>
      </c>
      <c r="D71" s="96">
        <f>C71*J71</f>
        <v>51680517.777000003</v>
      </c>
      <c r="E71" s="97">
        <f>C71*K71</f>
        <v>51680517.777000003</v>
      </c>
      <c r="F71" s="95" t="s">
        <v>173</v>
      </c>
      <c r="G71" s="95">
        <v>0.24</v>
      </c>
      <c r="H71" s="98">
        <v>0.36</v>
      </c>
      <c r="I71" s="98">
        <v>0.371</v>
      </c>
      <c r="J71" s="99">
        <f>I71</f>
        <v>0.371</v>
      </c>
      <c r="K71" s="99">
        <f>J71</f>
        <v>0.371</v>
      </c>
      <c r="L71" s="100">
        <f>I71-H71</f>
        <v>1.100000000000001E-2</v>
      </c>
      <c r="M71" s="100">
        <f>((I71-H71)/H71)*100</f>
        <v>3.055555555555558</v>
      </c>
      <c r="N71" s="101">
        <v>1099</v>
      </c>
      <c r="O71" s="102">
        <v>407.75</v>
      </c>
      <c r="P71" s="103">
        <v>0</v>
      </c>
      <c r="Q71" s="104">
        <f>J71/G71-1</f>
        <v>0.54583333333333339</v>
      </c>
      <c r="Z71" s="56"/>
    </row>
    <row r="72" spans="1:249" x14ac:dyDescent="0.25">
      <c r="A72" s="93" t="s">
        <v>174</v>
      </c>
      <c r="B72" s="94" t="s">
        <v>175</v>
      </c>
      <c r="C72" s="95">
        <v>471351750</v>
      </c>
      <c r="D72" s="96">
        <f>C72*J72</f>
        <v>68911625.849999994</v>
      </c>
      <c r="E72" s="97">
        <f>C72*K72</f>
        <v>68911625.849999994</v>
      </c>
      <c r="F72" s="95" t="s">
        <v>173</v>
      </c>
      <c r="G72" s="95">
        <v>0.1</v>
      </c>
      <c r="H72" s="98">
        <v>0.13980000000000001</v>
      </c>
      <c r="I72" s="98">
        <v>0.1462</v>
      </c>
      <c r="J72" s="99">
        <f>I72</f>
        <v>0.1462</v>
      </c>
      <c r="K72" s="99">
        <f>J72</f>
        <v>0.1462</v>
      </c>
      <c r="L72" s="100">
        <f>I72-H72</f>
        <v>6.399999999999989E-3</v>
      </c>
      <c r="M72" s="100">
        <f>((I72-H72)/H72)*100</f>
        <v>4.5779685264663721</v>
      </c>
      <c r="N72" s="47">
        <v>5535</v>
      </c>
      <c r="O72" s="102">
        <v>809.31</v>
      </c>
      <c r="P72" s="103">
        <v>0</v>
      </c>
      <c r="Q72" s="104">
        <f>J72/G72-1</f>
        <v>0.46199999999999997</v>
      </c>
      <c r="Z72" s="56"/>
    </row>
    <row r="73" spans="1:249" ht="13.2" x14ac:dyDescent="0.35">
      <c r="A73" s="93"/>
      <c r="B73" s="105" t="s">
        <v>96</v>
      </c>
      <c r="C73" s="106"/>
      <c r="D73" s="107"/>
      <c r="E73" s="107"/>
      <c r="F73" s="106"/>
      <c r="G73" s="106"/>
      <c r="H73" s="108"/>
      <c r="I73" s="108"/>
      <c r="J73" s="108"/>
      <c r="K73" s="108"/>
      <c r="L73" s="100"/>
      <c r="M73" s="109"/>
      <c r="N73" s="68">
        <f>SUM(N71:N72)</f>
        <v>6634</v>
      </c>
      <c r="O73" s="69">
        <f>SUM(O71:O72)</f>
        <v>1217.06</v>
      </c>
      <c r="P73" s="110"/>
      <c r="Q73" s="100"/>
    </row>
    <row r="74" spans="1:249" ht="12.6" x14ac:dyDescent="0.3">
      <c r="A74" s="158" t="s">
        <v>176</v>
      </c>
      <c r="B74" s="159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</row>
    <row r="75" spans="1:249" x14ac:dyDescent="0.25">
      <c r="A75" s="36" t="s">
        <v>177</v>
      </c>
      <c r="B75" s="37" t="s">
        <v>178</v>
      </c>
      <c r="C75" s="41">
        <v>45396463</v>
      </c>
      <c r="D75" s="39">
        <f>C75*J75</f>
        <v>134561.19849817213</v>
      </c>
      <c r="E75" s="40">
        <f>C75*K75</f>
        <v>113491.1575</v>
      </c>
      <c r="F75" s="41" t="s">
        <v>155</v>
      </c>
      <c r="G75" s="77">
        <v>0.105</v>
      </c>
      <c r="H75" s="43">
        <v>7.0000000000000007E-2</v>
      </c>
      <c r="I75" s="43">
        <v>7.4999999999999997E-2</v>
      </c>
      <c r="J75" s="44">
        <f>I75/$J$5</f>
        <v>2.9641339788558443E-3</v>
      </c>
      <c r="K75" s="45">
        <f>I75/$K$4</f>
        <v>2.5000000000000001E-3</v>
      </c>
      <c r="L75" s="46">
        <f>I75-H75</f>
        <v>4.9999999999999906E-3</v>
      </c>
      <c r="M75" s="111">
        <f>((I75-H75)/H75)*100</f>
        <v>7.1428571428571281</v>
      </c>
      <c r="N75" s="38">
        <v>20000</v>
      </c>
      <c r="O75" s="38">
        <v>1500</v>
      </c>
      <c r="P75" s="41">
        <v>0</v>
      </c>
      <c r="Q75" s="49">
        <f>I75/G75-1</f>
        <v>-0.2857142857142857</v>
      </c>
    </row>
    <row r="76" spans="1:249" x14ac:dyDescent="0.25">
      <c r="A76" s="36" t="s">
        <v>179</v>
      </c>
      <c r="B76" s="37" t="s">
        <v>180</v>
      </c>
      <c r="C76" s="41">
        <v>136162052</v>
      </c>
      <c r="D76" s="39">
        <f>C76*J76</f>
        <v>376695.72729967401</v>
      </c>
      <c r="E76" s="40">
        <f>C76*K76</f>
        <v>317711.45466666669</v>
      </c>
      <c r="F76" s="41" t="s">
        <v>155</v>
      </c>
      <c r="G76" s="77">
        <v>4.2500000000000003E-2</v>
      </c>
      <c r="H76" s="43">
        <v>6.8358000000000002E-2</v>
      </c>
      <c r="I76" s="43">
        <v>7.0000000000000007E-2</v>
      </c>
      <c r="J76" s="44">
        <f>I76/$J$5</f>
        <v>2.766525046932122E-3</v>
      </c>
      <c r="K76" s="45">
        <f>I76/$K$4</f>
        <v>2.3333333333333335E-3</v>
      </c>
      <c r="L76" s="46">
        <f>I76-H76</f>
        <v>1.6420000000000046E-3</v>
      </c>
      <c r="M76" s="111">
        <f>((I76-H76)/H76)*100</f>
        <v>2.4020597442874347</v>
      </c>
      <c r="N76" s="38">
        <v>30000</v>
      </c>
      <c r="O76" s="38">
        <v>2100</v>
      </c>
      <c r="P76" s="41">
        <v>0</v>
      </c>
      <c r="Q76" s="49">
        <f>I76/G76-1</f>
        <v>0.64705882352941191</v>
      </c>
    </row>
    <row r="77" spans="1:249" x14ac:dyDescent="0.25">
      <c r="A77" s="36" t="s">
        <v>181</v>
      </c>
      <c r="B77" s="37" t="s">
        <v>182</v>
      </c>
      <c r="C77" s="41">
        <v>494417400</v>
      </c>
      <c r="D77" s="39">
        <f>C77*J77</f>
        <v>1367818.1207390577</v>
      </c>
      <c r="E77" s="40">
        <f>C77*K77</f>
        <v>1153640.6000000001</v>
      </c>
      <c r="F77" s="41" t="s">
        <v>155</v>
      </c>
      <c r="G77" s="77">
        <v>6.0499999999999998E-2</v>
      </c>
      <c r="H77" s="43">
        <v>7.0000000000000007E-2</v>
      </c>
      <c r="I77" s="43">
        <v>7.0000000000000007E-2</v>
      </c>
      <c r="J77" s="44">
        <f>I77/$J$5</f>
        <v>2.766525046932122E-3</v>
      </c>
      <c r="K77" s="45">
        <f>I77/$K$4</f>
        <v>2.3333333333333335E-3</v>
      </c>
      <c r="L77" s="46">
        <f>I77-H77</f>
        <v>0</v>
      </c>
      <c r="M77" s="111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0.1570247933884299</v>
      </c>
    </row>
    <row r="78" spans="1:249" x14ac:dyDescent="0.25">
      <c r="A78" s="36" t="s">
        <v>183</v>
      </c>
      <c r="B78" s="37" t="s">
        <v>184</v>
      </c>
      <c r="C78" s="38">
        <v>41156692</v>
      </c>
      <c r="D78" s="39">
        <f>C78*J78</f>
        <v>2879057.2014623061</v>
      </c>
      <c r="E78" s="40">
        <f>C78*K78</f>
        <v>2428244.8280000002</v>
      </c>
      <c r="F78" s="41" t="s">
        <v>155</v>
      </c>
      <c r="G78" s="77">
        <v>1.85</v>
      </c>
      <c r="H78" s="43">
        <v>1.7704550000000001</v>
      </c>
      <c r="I78" s="43">
        <v>1.77</v>
      </c>
      <c r="J78" s="44">
        <f>I78/$J$5</f>
        <v>6.9953561900997926E-2</v>
      </c>
      <c r="K78" s="45">
        <f>I78/$K$4</f>
        <v>5.9000000000000004E-2</v>
      </c>
      <c r="L78" s="46">
        <f>I78-H78</f>
        <v>-4.5500000000009422E-4</v>
      </c>
      <c r="M78" s="111">
        <f>((I78-H78)/H78)*100</f>
        <v>-2.5699608292788813E-2</v>
      </c>
      <c r="N78" s="38">
        <v>500</v>
      </c>
      <c r="O78" s="38">
        <v>885</v>
      </c>
      <c r="P78" s="41">
        <v>0</v>
      </c>
      <c r="Q78" s="49">
        <f>I78/G78-1</f>
        <v>-4.3243243243243246E-2</v>
      </c>
    </row>
    <row r="79" spans="1:249" ht="13.8" thickBot="1" x14ac:dyDescent="0.4">
      <c r="A79" s="36"/>
      <c r="B79" s="37" t="s">
        <v>96</v>
      </c>
      <c r="C79" s="38"/>
      <c r="D79" s="38"/>
      <c r="E79" s="38"/>
      <c r="F79" s="41"/>
      <c r="G79" s="41"/>
      <c r="H79" s="43"/>
      <c r="I79" s="43"/>
      <c r="J79" s="43"/>
      <c r="K79" s="43"/>
      <c r="L79" s="46"/>
      <c r="M79" s="46"/>
      <c r="N79" s="68">
        <f>SUM(N75:N78)</f>
        <v>50500</v>
      </c>
      <c r="O79" s="69">
        <f>SUM(O75:O78)</f>
        <v>4485</v>
      </c>
      <c r="P79" s="82"/>
      <c r="Q79" s="70"/>
      <c r="EA79" s="112"/>
      <c r="EB79" s="112"/>
      <c r="EC79" s="113"/>
      <c r="ED79" s="114"/>
      <c r="EE79" s="114"/>
      <c r="EF79" s="115"/>
      <c r="EG79" s="115"/>
      <c r="EH79" s="116"/>
      <c r="EI79" s="116"/>
      <c r="EJ79" s="117"/>
      <c r="EK79" s="117"/>
      <c r="EL79" s="115"/>
      <c r="EM79" s="118"/>
      <c r="EN79" s="119"/>
      <c r="EO79" s="113"/>
      <c r="EP79" s="112"/>
      <c r="EQ79" s="112"/>
      <c r="ER79" s="113"/>
      <c r="ES79" s="114"/>
      <c r="ET79" s="114"/>
      <c r="EU79" s="115"/>
      <c r="EV79" s="115"/>
      <c r="EW79" s="116"/>
      <c r="EX79" s="116"/>
      <c r="EY79" s="117"/>
      <c r="EZ79" s="117"/>
      <c r="FA79" s="115"/>
      <c r="FB79" s="118"/>
      <c r="FC79" s="119"/>
      <c r="FD79" s="113"/>
      <c r="FE79" s="112"/>
      <c r="FF79" s="112"/>
      <c r="FG79" s="113"/>
      <c r="FH79" s="114"/>
      <c r="FI79" s="114"/>
      <c r="FJ79" s="115"/>
      <c r="FK79" s="115"/>
      <c r="FL79" s="116"/>
      <c r="FM79" s="116"/>
      <c r="FN79" s="117"/>
      <c r="FO79" s="117"/>
      <c r="FP79" s="115"/>
      <c r="FQ79" s="118"/>
      <c r="FR79" s="119"/>
      <c r="FS79" s="113"/>
      <c r="FT79" s="112"/>
      <c r="FU79" s="112"/>
      <c r="FV79" s="113"/>
      <c r="FW79" s="114"/>
      <c r="FX79" s="114"/>
      <c r="FY79" s="115"/>
      <c r="FZ79" s="115"/>
      <c r="GA79" s="116"/>
      <c r="GB79" s="116"/>
      <c r="GC79" s="117"/>
      <c r="GD79" s="117"/>
      <c r="GE79" s="115"/>
      <c r="GF79" s="118"/>
      <c r="GG79" s="119"/>
      <c r="GH79" s="113"/>
      <c r="GI79" s="112"/>
      <c r="GJ79" s="112"/>
      <c r="GK79" s="113"/>
      <c r="GL79" s="114"/>
      <c r="GM79" s="114"/>
      <c r="GN79" s="115"/>
      <c r="GO79" s="115"/>
      <c r="GP79" s="116"/>
      <c r="GQ79" s="116"/>
      <c r="GR79" s="117"/>
      <c r="GS79" s="117"/>
      <c r="GT79" s="115"/>
      <c r="GU79" s="118"/>
      <c r="GV79" s="119"/>
      <c r="GW79" s="113"/>
      <c r="GX79" s="112"/>
      <c r="GY79" s="112"/>
      <c r="GZ79" s="113"/>
      <c r="HA79" s="114"/>
      <c r="HB79" s="114"/>
      <c r="HC79" s="115"/>
      <c r="HD79" s="115"/>
      <c r="HE79" s="116"/>
      <c r="HF79" s="116"/>
      <c r="HG79" s="117"/>
      <c r="HH79" s="117"/>
      <c r="HI79" s="115"/>
      <c r="HJ79" s="118"/>
      <c r="HK79" s="119"/>
      <c r="HL79" s="113"/>
      <c r="HM79" s="112"/>
      <c r="HN79" s="112"/>
      <c r="HO79" s="113"/>
      <c r="HP79" s="114"/>
      <c r="HQ79" s="114"/>
      <c r="HR79" s="115"/>
      <c r="HS79" s="115"/>
      <c r="HT79" s="116"/>
      <c r="HU79" s="116"/>
      <c r="HV79" s="117"/>
      <c r="HW79" s="117"/>
      <c r="HX79" s="115"/>
      <c r="HY79" s="118"/>
      <c r="HZ79" s="119"/>
      <c r="IA79" s="113"/>
      <c r="IB79" s="112"/>
      <c r="IC79" s="112"/>
      <c r="ID79" s="113"/>
      <c r="IE79" s="114"/>
      <c r="IF79" s="114"/>
      <c r="IG79" s="115"/>
      <c r="IH79" s="115"/>
      <c r="II79" s="116"/>
      <c r="IJ79" s="116"/>
      <c r="IK79" s="117"/>
      <c r="IL79" s="117"/>
      <c r="IM79" s="115"/>
      <c r="IN79" s="118"/>
      <c r="IO79" s="119"/>
    </row>
    <row r="80" spans="1:249" ht="13.2" thickTop="1" x14ac:dyDescent="0.3">
      <c r="A80" s="146" t="s">
        <v>185</v>
      </c>
      <c r="B80" s="147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9"/>
    </row>
    <row r="81" spans="1:44" x14ac:dyDescent="0.25">
      <c r="A81" s="36" t="s">
        <v>186</v>
      </c>
      <c r="B81" s="37" t="s">
        <v>187</v>
      </c>
      <c r="C81" s="41">
        <v>368326244</v>
      </c>
      <c r="D81" s="39">
        <f>C81*J81</f>
        <v>30715082.495405592</v>
      </c>
      <c r="E81" s="40">
        <f>C81*K81</f>
        <v>25905612.494666666</v>
      </c>
      <c r="F81" s="41" t="s">
        <v>188</v>
      </c>
      <c r="G81" s="41">
        <v>1.3</v>
      </c>
      <c r="H81" s="43">
        <v>2.11</v>
      </c>
      <c r="I81" s="43">
        <v>2.11</v>
      </c>
      <c r="J81" s="44">
        <f>I81/$J$5</f>
        <v>8.3390969271811083E-2</v>
      </c>
      <c r="K81" s="45">
        <f>I81/$K$4</f>
        <v>7.0333333333333331E-2</v>
      </c>
      <c r="L81" s="46">
        <f>I81-H81</f>
        <v>0</v>
      </c>
      <c r="M81" s="46">
        <f>((I81-H81)/H81*100)</f>
        <v>0</v>
      </c>
      <c r="N81" s="120">
        <v>0</v>
      </c>
      <c r="O81" s="38">
        <v>0</v>
      </c>
      <c r="P81" s="55">
        <f>(R81)/J81</f>
        <v>0</v>
      </c>
      <c r="Q81" s="49">
        <f>I81/G81-1</f>
        <v>0.62307692307692286</v>
      </c>
      <c r="R81" s="56">
        <v>0</v>
      </c>
    </row>
    <row r="82" spans="1:44" s="122" customFormat="1" ht="12.6" thickBot="1" x14ac:dyDescent="0.3">
      <c r="A82" s="36" t="s">
        <v>189</v>
      </c>
      <c r="B82" s="37" t="s">
        <v>190</v>
      </c>
      <c r="C82" s="41">
        <v>1841105000</v>
      </c>
      <c r="D82" s="39">
        <f>C82*J82</f>
        <v>82202382.222310051</v>
      </c>
      <c r="E82" s="40">
        <f>C82*K82</f>
        <v>69330859.205999985</v>
      </c>
      <c r="F82" s="41" t="s">
        <v>188</v>
      </c>
      <c r="G82" s="41">
        <v>1.44347</v>
      </c>
      <c r="H82" s="43">
        <v>1.1437330000000001</v>
      </c>
      <c r="I82" s="43">
        <v>1.1297159999999999</v>
      </c>
      <c r="J82" s="44">
        <f>I82/$J$5</f>
        <v>4.4648394427428122E-2</v>
      </c>
      <c r="K82" s="45">
        <f>I82/$K$4</f>
        <v>3.7657199999999995E-2</v>
      </c>
      <c r="L82" s="46">
        <f>I82-H82</f>
        <v>-1.4017000000000168E-2</v>
      </c>
      <c r="M82" s="46">
        <f>((I82-H82)/H82*100)</f>
        <v>-1.2255482704442529</v>
      </c>
      <c r="N82" s="121">
        <v>21597</v>
      </c>
      <c r="O82" s="38">
        <v>24371.4</v>
      </c>
      <c r="P82" s="48">
        <f>(R82)/J82</f>
        <v>4.2621913383540641E-2</v>
      </c>
      <c r="Q82" s="49">
        <f>I82/G82-1</f>
        <v>-0.21736094272828677</v>
      </c>
      <c r="R82" s="56">
        <v>1.903E-3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3.8" thickBot="1" x14ac:dyDescent="0.4">
      <c r="A83" s="83"/>
      <c r="B83" s="84" t="s">
        <v>96</v>
      </c>
      <c r="C83" s="85"/>
      <c r="D83" s="123"/>
      <c r="E83" s="86"/>
      <c r="F83" s="85"/>
      <c r="G83" s="85"/>
      <c r="H83" s="87"/>
      <c r="I83" s="87"/>
      <c r="J83" s="87"/>
      <c r="K83" s="87"/>
      <c r="L83" s="88"/>
      <c r="M83" s="88"/>
      <c r="N83" s="68">
        <f>SUM(N81:N82)</f>
        <v>21597</v>
      </c>
      <c r="O83" s="69">
        <f>SUM(O81:O82)</f>
        <v>24371.4</v>
      </c>
      <c r="P83" s="124"/>
      <c r="Q83" s="91"/>
    </row>
    <row r="84" spans="1:44" ht="12.6" thickBot="1" x14ac:dyDescent="0.3">
      <c r="A84" s="125"/>
      <c r="B84" s="126"/>
      <c r="C84" s="126"/>
      <c r="D84" s="126"/>
      <c r="E84" s="126"/>
      <c r="F84" s="127"/>
      <c r="G84" s="127"/>
      <c r="H84" s="66"/>
      <c r="M84" s="128"/>
      <c r="N84" s="128"/>
      <c r="O84" s="66"/>
      <c r="P84" s="66"/>
      <c r="Q84" s="129"/>
    </row>
    <row r="85" spans="1:44" ht="12.6" thickBot="1" x14ac:dyDescent="0.3">
      <c r="A85" s="150" t="s">
        <v>191</v>
      </c>
      <c r="B85" s="151"/>
      <c r="C85" s="151"/>
      <c r="D85" s="151"/>
      <c r="E85" s="150" t="s">
        <v>192</v>
      </c>
      <c r="F85" s="151"/>
      <c r="G85" s="151"/>
      <c r="H85" s="152"/>
      <c r="L85" s="153" t="s">
        <v>193</v>
      </c>
      <c r="M85" s="154"/>
      <c r="N85" s="155"/>
      <c r="O85" s="153" t="s">
        <v>194</v>
      </c>
      <c r="P85" s="154"/>
      <c r="Q85" s="155"/>
    </row>
    <row r="86" spans="1:44" x14ac:dyDescent="0.25">
      <c r="A86" s="36" t="s">
        <v>136</v>
      </c>
      <c r="B86" s="130">
        <v>1.1154999999999999</v>
      </c>
      <c r="C86" s="130"/>
      <c r="D86" s="130">
        <v>14.999999999999996</v>
      </c>
      <c r="E86" s="36" t="s">
        <v>51</v>
      </c>
      <c r="F86" s="131">
        <v>14.1</v>
      </c>
      <c r="G86" s="131"/>
      <c r="H86" s="132">
        <v>-11.320754716981137</v>
      </c>
      <c r="L86" s="36" t="s">
        <v>143</v>
      </c>
      <c r="M86" s="130">
        <v>0.03</v>
      </c>
      <c r="N86" s="133">
        <v>19.521912350597599</v>
      </c>
      <c r="O86" s="36" t="s">
        <v>151</v>
      </c>
      <c r="P86" s="131">
        <v>3.2800000000000003E-2</v>
      </c>
      <c r="Q86" s="132">
        <v>-11.111111111111109</v>
      </c>
    </row>
    <row r="87" spans="1:44" x14ac:dyDescent="0.25">
      <c r="A87" s="36" t="s">
        <v>106</v>
      </c>
      <c r="B87" s="130">
        <v>1.5</v>
      </c>
      <c r="C87" s="130"/>
      <c r="D87" s="130">
        <v>14.470174795956922</v>
      </c>
      <c r="E87" s="36" t="s">
        <v>58</v>
      </c>
      <c r="F87" s="131">
        <v>2.6505190000000001</v>
      </c>
      <c r="G87" s="131"/>
      <c r="H87" s="132">
        <v>-3.6174909090909062</v>
      </c>
      <c r="L87" s="36" t="s">
        <v>163</v>
      </c>
      <c r="M87" s="130">
        <v>4.8399999999999999E-2</v>
      </c>
      <c r="N87" s="133">
        <v>6.1403508771929749</v>
      </c>
      <c r="O87" s="36" t="s">
        <v>102</v>
      </c>
      <c r="P87" s="131">
        <v>0.97389999999999999</v>
      </c>
      <c r="Q87" s="132">
        <v>-2.6878497202238139</v>
      </c>
    </row>
    <row r="88" spans="1:44" x14ac:dyDescent="0.25">
      <c r="A88" s="36" t="s">
        <v>134</v>
      </c>
      <c r="B88" s="130">
        <v>0.75</v>
      </c>
      <c r="C88" s="130"/>
      <c r="D88" s="130">
        <v>8.6956521739130519</v>
      </c>
      <c r="E88" s="36" t="s">
        <v>113</v>
      </c>
      <c r="F88" s="131">
        <v>3.5068999999999996E-2</v>
      </c>
      <c r="G88" s="131"/>
      <c r="H88" s="132">
        <v>-2.5861111111111335</v>
      </c>
      <c r="L88" s="36" t="s">
        <v>157</v>
      </c>
      <c r="M88" s="130">
        <v>0.32040000000000002</v>
      </c>
      <c r="N88" s="133">
        <v>4.8429319371727866</v>
      </c>
      <c r="O88" s="36" t="s">
        <v>149</v>
      </c>
      <c r="P88" s="131">
        <v>0.15290000000000001</v>
      </c>
      <c r="Q88" s="132">
        <v>-1.3548387096774135</v>
      </c>
    </row>
    <row r="89" spans="1:44" x14ac:dyDescent="0.25">
      <c r="A89" s="36" t="s">
        <v>100</v>
      </c>
      <c r="B89" s="130">
        <v>1.2711759999999999</v>
      </c>
      <c r="C89" s="130"/>
      <c r="D89" s="130">
        <v>1.6940799999999887</v>
      </c>
      <c r="E89" s="36" t="s">
        <v>118</v>
      </c>
      <c r="F89" s="131">
        <v>0.123644</v>
      </c>
      <c r="G89" s="131"/>
      <c r="H89" s="132">
        <v>-1.0847999999999969</v>
      </c>
      <c r="L89" s="36" t="s">
        <v>140</v>
      </c>
      <c r="M89" s="130">
        <v>0.12820000000000001</v>
      </c>
      <c r="N89" s="133">
        <v>1.5847860538827272</v>
      </c>
      <c r="O89" s="36"/>
      <c r="P89" s="131"/>
      <c r="Q89" s="132"/>
    </row>
    <row r="90" spans="1:44" x14ac:dyDescent="0.25">
      <c r="A90" s="36" t="s">
        <v>122</v>
      </c>
      <c r="B90" s="130">
        <v>0.1</v>
      </c>
      <c r="C90" s="130"/>
      <c r="D90" s="130">
        <v>1.0101010101010108</v>
      </c>
      <c r="E90" s="36" t="s">
        <v>54</v>
      </c>
      <c r="F90" s="131">
        <v>10</v>
      </c>
      <c r="G90" s="131"/>
      <c r="H90" s="132">
        <v>-4.3870745129960004E-2</v>
      </c>
      <c r="L90" s="36" t="s">
        <v>159</v>
      </c>
      <c r="M90" s="130">
        <v>0.73699999999999999</v>
      </c>
      <c r="N90" s="133">
        <v>0.84838533114394954</v>
      </c>
      <c r="O90" s="36"/>
      <c r="P90" s="131"/>
      <c r="Q90" s="134"/>
    </row>
    <row r="91" spans="1:44" ht="12.6" thickBot="1" x14ac:dyDescent="0.3">
      <c r="A91" s="135"/>
      <c r="B91" s="136"/>
      <c r="C91" s="136"/>
      <c r="D91" s="136"/>
      <c r="E91" s="135"/>
      <c r="F91" s="136"/>
      <c r="G91" s="136"/>
      <c r="H91" s="137"/>
      <c r="L91" s="135"/>
      <c r="M91" s="136"/>
      <c r="N91" s="137"/>
      <c r="O91" s="136"/>
      <c r="P91" s="136"/>
      <c r="Q91" s="137"/>
    </row>
    <row r="92" spans="1:44" x14ac:dyDescent="0.25">
      <c r="A92" s="138"/>
      <c r="B92" s="139"/>
      <c r="C92" s="139"/>
      <c r="D92" s="139"/>
      <c r="E92" s="128"/>
      <c r="F92" s="128"/>
      <c r="G92" s="128"/>
      <c r="H92" s="128"/>
      <c r="I92" s="128"/>
      <c r="J92" s="128"/>
      <c r="K92" s="128"/>
      <c r="L92" s="128"/>
      <c r="M92" s="139"/>
      <c r="Q92" s="16"/>
    </row>
    <row r="93" spans="1:44" x14ac:dyDescent="0.25">
      <c r="A93" s="12" t="s">
        <v>195</v>
      </c>
      <c r="B93" s="27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Q93" s="16"/>
    </row>
    <row r="94" spans="1:44" x14ac:dyDescent="0.25">
      <c r="A94" s="138"/>
      <c r="B94" s="139"/>
      <c r="C94" s="139"/>
      <c r="D94" s="139"/>
      <c r="E94" s="139"/>
      <c r="F94" s="128"/>
      <c r="G94" s="128"/>
      <c r="H94" s="139"/>
      <c r="I94" s="128"/>
      <c r="J94" s="128"/>
      <c r="K94" s="128"/>
      <c r="L94" s="128"/>
      <c r="M94" s="139"/>
      <c r="Q94" s="16"/>
    </row>
    <row r="95" spans="1:44" ht="12.6" thickBot="1" x14ac:dyDescent="0.3">
      <c r="A95" s="140"/>
      <c r="B95" s="141"/>
      <c r="C95" s="141"/>
      <c r="D95" s="141"/>
      <c r="E95" s="141"/>
      <c r="F95" s="142"/>
      <c r="G95" s="142"/>
      <c r="H95" s="142"/>
      <c r="I95" s="143"/>
      <c r="J95" s="143"/>
      <c r="K95" s="143"/>
      <c r="L95" s="143"/>
      <c r="M95" s="143"/>
      <c r="N95" s="143"/>
      <c r="O95" s="143"/>
      <c r="P95" s="143"/>
      <c r="Q95" s="144"/>
    </row>
    <row r="96" spans="1:44" x14ac:dyDescent="0.25">
      <c r="I96" s="35"/>
      <c r="J96" s="35"/>
      <c r="K96" s="35"/>
      <c r="L96" s="35"/>
      <c r="M96" s="35"/>
      <c r="N96" s="35"/>
      <c r="O96" s="35"/>
      <c r="P96" s="35"/>
    </row>
    <row r="97" spans="9:16" x14ac:dyDescent="0.25">
      <c r="I97" s="35"/>
      <c r="J97" s="35"/>
      <c r="K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145"/>
      <c r="J99" s="145"/>
      <c r="K99" s="145"/>
      <c r="O99" s="145"/>
      <c r="P99" s="145"/>
    </row>
    <row r="101" spans="9:16" x14ac:dyDescent="0.25">
      <c r="I101" s="35"/>
      <c r="J101" s="35"/>
      <c r="K101" s="35"/>
      <c r="O101" s="35"/>
      <c r="P101" s="35"/>
    </row>
    <row r="102" spans="9:16" x14ac:dyDescent="0.25">
      <c r="I102" s="145"/>
      <c r="J102" s="145"/>
      <c r="K102" s="145"/>
      <c r="O102" s="145"/>
      <c r="P102" s="145"/>
    </row>
    <row r="103" spans="9:16" x14ac:dyDescent="0.25">
      <c r="I103" s="35"/>
      <c r="J103" s="35"/>
      <c r="K103" s="35"/>
      <c r="O103" s="35"/>
      <c r="P103" s="35"/>
    </row>
    <row r="104" spans="9:16" x14ac:dyDescent="0.25">
      <c r="I104" s="145"/>
      <c r="J104" s="145"/>
      <c r="K104" s="145"/>
      <c r="O104" s="145"/>
      <c r="P104" s="145"/>
    </row>
  </sheetData>
  <sheetProtection algorithmName="SHA-512" hashValue="r+gDimDXpc4g3E+fB1xaA47/xMdNhmA2Msbf9bknfn2onxzdsyvGfkn80ikw0jegzrsH2dYkQLI1Ow8aJAXSLw==" saltValue="lPwcydNT7Cd0xUqVY22U+A==" spinCount="100000" sheet="1"/>
  <mergeCells count="11">
    <mergeCell ref="A74:Q74"/>
    <mergeCell ref="L5:M5"/>
    <mergeCell ref="A6:Q6"/>
    <mergeCell ref="A51:Q51"/>
    <mergeCell ref="A67:Q67"/>
    <mergeCell ref="A70:Q70"/>
    <mergeCell ref="A80:Q80"/>
    <mergeCell ref="A85:D85"/>
    <mergeCell ref="E85:H85"/>
    <mergeCell ref="L85:N85"/>
    <mergeCell ref="O85:Q85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6:A88">
    <cfRule type="duplicateValues" dxfId="35" priority="23" stopIfTrue="1"/>
  </conditionalFormatting>
  <conditionalFormatting sqref="L10:M27 L29:M48 L52:M65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2:M65 L10:M27 L29:M48">
    <cfRule type="cellIs" dxfId="27" priority="38" stopIfTrue="1" operator="lessThan">
      <formula>0</formula>
    </cfRule>
  </conditionalFormatting>
  <conditionalFormatting sqref="L52:M65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1:M72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5:M78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1:M82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2:Q65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1:Q72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5:Q78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81:Q82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2026-03-23T13:21:19Z</dcterms:created>
  <dcterms:modified xsi:type="dcterms:W3CDTF">2026-03-23T13:23:14Z</dcterms:modified>
</cp:coreProperties>
</file>