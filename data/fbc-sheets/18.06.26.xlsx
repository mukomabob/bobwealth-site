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8.06.26/"/>
    </mc:Choice>
  </mc:AlternateContent>
  <xr:revisionPtr revIDLastSave="0" documentId="8_{0ED5E3D3-CC89-4249-83B9-CBF30C930450}" xr6:coauthVersionLast="47" xr6:coauthVersionMax="47" xr10:uidLastSave="{00000000-0000-0000-0000-000000000000}"/>
  <bookViews>
    <workbookView xWindow="-108" yWindow="-108" windowWidth="23256" windowHeight="12456" xr2:uid="{F2D01038-B687-4F46-AAF6-6EF4B4619172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8" i="1" l="1"/>
  <c r="N48" i="1"/>
  <c r="O85" i="1"/>
  <c r="N85" i="1"/>
  <c r="Q84" i="1"/>
  <c r="M84" i="1"/>
  <c r="L84" i="1"/>
  <c r="K84" i="1"/>
  <c r="J84" i="1"/>
  <c r="P84" i="1" s="1"/>
  <c r="E84" i="1"/>
  <c r="Q83" i="1"/>
  <c r="M83" i="1"/>
  <c r="L83" i="1"/>
  <c r="K83" i="1"/>
  <c r="E83" i="1" s="1"/>
  <c r="J83" i="1"/>
  <c r="P83" i="1" s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Q74" i="1" s="1"/>
  <c r="O72" i="1"/>
  <c r="N72" i="1"/>
  <c r="M71" i="1"/>
  <c r="L71" i="1"/>
  <c r="J71" i="1"/>
  <c r="Q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D51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D46" i="1"/>
  <c r="Q45" i="1"/>
  <c r="M45" i="1"/>
  <c r="L45" i="1"/>
  <c r="K45" i="1"/>
  <c r="E45" i="1" s="1"/>
  <c r="J45" i="1"/>
  <c r="D45" i="1" s="1"/>
  <c r="Q44" i="1"/>
  <c r="M44" i="1"/>
  <c r="L44" i="1"/>
  <c r="K44" i="1"/>
  <c r="J44" i="1"/>
  <c r="D44" i="1" s="1"/>
  <c r="E44" i="1"/>
  <c r="Q43" i="1"/>
  <c r="M43" i="1"/>
  <c r="L43" i="1"/>
  <c r="K43" i="1"/>
  <c r="E43" i="1" s="1"/>
  <c r="J43" i="1"/>
  <c r="D43" i="1" s="1"/>
  <c r="Q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D40" i="1"/>
  <c r="Q39" i="1"/>
  <c r="M39" i="1"/>
  <c r="L39" i="1"/>
  <c r="K39" i="1"/>
  <c r="E39" i="1" s="1"/>
  <c r="J39" i="1"/>
  <c r="D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P32" i="1" s="1"/>
  <c r="K31" i="1"/>
  <c r="E31" i="1" s="1"/>
  <c r="J31" i="1"/>
  <c r="D31" i="1" s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P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D21" i="1" s="1"/>
  <c r="Q20" i="1"/>
  <c r="M20" i="1"/>
  <c r="L20" i="1"/>
  <c r="K20" i="1"/>
  <c r="J20" i="1"/>
  <c r="P20" i="1" s="1"/>
  <c r="E20" i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84" i="1" l="1"/>
  <c r="P23" i="1"/>
  <c r="D20" i="1"/>
  <c r="P45" i="1"/>
  <c r="P43" i="1"/>
  <c r="D71" i="1"/>
  <c r="D26" i="1"/>
  <c r="D32" i="1"/>
  <c r="P21" i="1"/>
  <c r="D9" i="1"/>
  <c r="D11" i="1"/>
  <c r="D29" i="1"/>
  <c r="P33" i="1"/>
  <c r="P35" i="1"/>
  <c r="P55" i="1"/>
  <c r="D12" i="1"/>
  <c r="D14" i="1"/>
  <c r="D53" i="1"/>
  <c r="K71" i="1"/>
  <c r="E71" i="1" s="1"/>
  <c r="P51" i="1"/>
  <c r="P57" i="1"/>
  <c r="D15" i="1"/>
  <c r="P24" i="1"/>
  <c r="P71" i="1"/>
  <c r="P17" i="1"/>
  <c r="P59" i="1"/>
  <c r="P27" i="1"/>
  <c r="D52" i="1"/>
  <c r="P61" i="1"/>
  <c r="P64" i="1"/>
  <c r="P39" i="1"/>
  <c r="P42" i="1"/>
  <c r="K70" i="1"/>
  <c r="E70" i="1" s="1"/>
  <c r="P36" i="1"/>
  <c r="P54" i="1"/>
  <c r="P56" i="1"/>
  <c r="P58" i="1"/>
  <c r="P60" i="1"/>
  <c r="P62" i="1"/>
  <c r="P10" i="1"/>
  <c r="P13" i="1"/>
  <c r="P16" i="1"/>
  <c r="D19" i="1"/>
  <c r="D22" i="1"/>
  <c r="D25" i="1"/>
  <c r="D28" i="1"/>
  <c r="D34" i="1"/>
  <c r="D37" i="1"/>
  <c r="P52" i="1"/>
  <c r="Q54" i="1"/>
  <c r="Q56" i="1"/>
  <c r="Q58" i="1"/>
  <c r="Q60" i="1"/>
  <c r="Q62" i="1"/>
  <c r="Q64" i="1"/>
  <c r="P70" i="1"/>
  <c r="D74" i="1"/>
  <c r="P41" i="1"/>
  <c r="P44" i="1"/>
  <c r="D55" i="1"/>
  <c r="D57" i="1"/>
  <c r="D59" i="1"/>
  <c r="D61" i="1"/>
  <c r="D63" i="1"/>
  <c r="Q70" i="1"/>
  <c r="K74" i="1"/>
  <c r="E74" i="1" s="1"/>
  <c r="P63" i="1"/>
  <c r="P74" i="1"/>
</calcChain>
</file>

<file path=xl/sharedStrings.xml><?xml version="1.0" encoding="utf-8"?>
<sst xmlns="http://schemas.openxmlformats.org/spreadsheetml/2006/main" count="264" uniqueCount="182">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</sst>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E7486EED-6DC1-48E3-8A4B-3EFEDBCB300E}"/>
    <cellStyle name="Comma 5 2 2 2 2 2 2 2 2" xfId="4" xr:uid="{30BD910D-C2E7-4C70-8B0A-1FF6AD26F386}"/>
    <cellStyle name="Comma 6 2 2 2" xfId="5" xr:uid="{0C359EEE-257C-4E6D-B6A9-C996E60425D8}"/>
    <cellStyle name="Hyperlink 2" xfId="8" xr:uid="{2DDB2F77-4C1D-41D1-AEC3-3E80C3192896}"/>
    <cellStyle name="Normal" xfId="0" builtinId="0"/>
    <cellStyle name="Normal 2" xfId="2" xr:uid="{6708F83B-2F71-4057-AA47-FCE9BD18AD06}"/>
    <cellStyle name="Normal 20" xfId="7" xr:uid="{2B6D44DA-F60F-4661-870F-6D0F239AA5BA}"/>
    <cellStyle name="Percent" xfId="1" builtinId="5"/>
    <cellStyle name="Percent 3" xfId="6" xr:uid="{21D84C4D-029F-4C9E-BA93-8C742A78F14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31A1478-7AC1-4B41-B022-AF15D0968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7C1C4CC6-3DB7-4824-B3E4-640C37CB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03F6-AC6D-470F-BD87-ED2603D615EA}">
  <dimension ref="A1:II106"/>
  <sheetViews>
    <sheetView tabSelected="1" zoomScale="73" zoomScaleNormal="60" workbookViewId="0">
      <selection activeCell="T90" sqref="T9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26.750499999999999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73681588.463767037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0.59064316554830754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2.5396044303797466E-2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3950451.7805992407</v>
      </c>
      <c r="E10" s="39">
        <f>C10*K10</f>
        <v>3354811.4399022222</v>
      </c>
      <c r="F10" s="40" t="s">
        <v>34</v>
      </c>
      <c r="G10" s="41">
        <v>3.1600000000000003E-2</v>
      </c>
      <c r="H10" s="42">
        <v>6.8379999999999996E-2</v>
      </c>
      <c r="I10" s="42">
        <v>6.4935999999999994E-2</v>
      </c>
      <c r="J10" s="43">
        <f>I10/$J$5</f>
        <v>2.4274686454458794E-3</v>
      </c>
      <c r="K10" s="44">
        <f>I10/$K$4</f>
        <v>2.0614603174603174E-3</v>
      </c>
      <c r="L10" s="45">
        <f>I10-H10</f>
        <v>-3.4440000000000026E-3</v>
      </c>
      <c r="M10" s="45">
        <f>((I10-H10)/H10)*100</f>
        <v>-5.0365603977771318</v>
      </c>
      <c r="N10" s="46">
        <v>289200</v>
      </c>
      <c r="O10" s="37">
        <v>18779.599999999999</v>
      </c>
      <c r="P10" s="50">
        <f>(R10)/J10</f>
        <v>0</v>
      </c>
      <c r="Q10" s="48">
        <f>I10/G10-1</f>
        <v>1.0549367088607591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3275227.0230276072</v>
      </c>
      <c r="E11" s="39">
        <f>C11*K11</f>
        <v>2781395.570777778</v>
      </c>
      <c r="F11" s="40" t="s">
        <v>39</v>
      </c>
      <c r="G11" s="41">
        <v>7.8E-2</v>
      </c>
      <c r="H11" s="42">
        <v>0.20050000000000001</v>
      </c>
      <c r="I11" s="42">
        <v>0.20050000000000001</v>
      </c>
      <c r="J11" s="43">
        <f>I11/$J$5</f>
        <v>7.4951870058503588E-3</v>
      </c>
      <c r="K11" s="44">
        <f>I11/$K$4</f>
        <v>6.3650793650793652E-3</v>
      </c>
      <c r="L11" s="45">
        <f>I11-H11</f>
        <v>0</v>
      </c>
      <c r="M11" s="45">
        <f>((I11-H11)/H11)*100</f>
        <v>0</v>
      </c>
      <c r="N11" s="46">
        <v>400</v>
      </c>
      <c r="O11" s="37">
        <v>80.2</v>
      </c>
      <c r="P11" s="50">
        <f>(R11)/J11</f>
        <v>0</v>
      </c>
      <c r="Q11" s="48">
        <f>I11/G11-1</f>
        <v>1.5705128205128207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161131257.40827277</v>
      </c>
      <c r="E12" s="39">
        <f>C12*K12</f>
        <v>136836244.48571429</v>
      </c>
      <c r="F12" s="40" t="s">
        <v>34</v>
      </c>
      <c r="G12" s="41">
        <v>97.381</v>
      </c>
      <c r="H12" s="42">
        <v>214.83070000000001</v>
      </c>
      <c r="I12" s="42">
        <v>208.9</v>
      </c>
      <c r="J12" s="43">
        <f>I12/$J$5</f>
        <v>7.8091998280405983</v>
      </c>
      <c r="K12" s="44">
        <f>I12/$K$4</f>
        <v>6.6317460317460322</v>
      </c>
      <c r="L12" s="45">
        <f>I12-H12</f>
        <v>-5.9307000000000016</v>
      </c>
      <c r="M12" s="45">
        <f>((I12-H12)/H12)*100</f>
        <v>-2.7606389589569837</v>
      </c>
      <c r="N12" s="46">
        <v>400</v>
      </c>
      <c r="O12" s="37">
        <v>83560</v>
      </c>
      <c r="P12" s="50">
        <f>(R12)/J12</f>
        <v>0</v>
      </c>
      <c r="Q12" s="48">
        <f>I12/G12-1</f>
        <v>1.1451823250942175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5257293.837498365</v>
      </c>
      <c r="E13" s="39">
        <f>C13*K13</f>
        <v>4464610.7555555562</v>
      </c>
      <c r="F13" s="40" t="s">
        <v>44</v>
      </c>
      <c r="G13" s="41">
        <v>13.6</v>
      </c>
      <c r="H13" s="42">
        <v>14</v>
      </c>
      <c r="I13" s="42">
        <v>16.100000000000001</v>
      </c>
      <c r="J13" s="43">
        <f>I13/$J$5</f>
        <v>0.60185790919795901</v>
      </c>
      <c r="K13" s="44">
        <f>I13/$K$4</f>
        <v>0.51111111111111118</v>
      </c>
      <c r="L13" s="45">
        <f>I13-H13</f>
        <v>2.1000000000000014</v>
      </c>
      <c r="M13" s="45">
        <f>((I13-H13)/H13)*100</f>
        <v>15.000000000000011</v>
      </c>
      <c r="N13" s="46">
        <v>100</v>
      </c>
      <c r="O13" s="37">
        <v>1610</v>
      </c>
      <c r="P13" s="50">
        <f>(R13)/J13</f>
        <v>0</v>
      </c>
      <c r="Q13" s="48">
        <f>I13/G13-1</f>
        <v>0.18382352941176494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432583666.37606776</v>
      </c>
      <c r="E14" s="39">
        <f>C14*K14</f>
        <v>367359662.45692062</v>
      </c>
      <c r="F14" s="40" t="s">
        <v>47</v>
      </c>
      <c r="G14" s="41">
        <v>11.5</v>
      </c>
      <c r="H14" s="42">
        <v>22.144000000000002</v>
      </c>
      <c r="I14" s="42">
        <v>22.1402</v>
      </c>
      <c r="J14" s="43">
        <f>I14/$J$5</f>
        <v>0.82765555784004041</v>
      </c>
      <c r="K14" s="44">
        <f>I14/$K$4</f>
        <v>0.70286349206349208</v>
      </c>
      <c r="L14" s="45">
        <f>I14-H14</f>
        <v>-3.8000000000018019E-3</v>
      </c>
      <c r="M14" s="45">
        <f>((I14-H14)/H14)*100</f>
        <v>-1.7160404624285593E-2</v>
      </c>
      <c r="N14" s="46">
        <v>18700</v>
      </c>
      <c r="O14" s="37">
        <v>414021</v>
      </c>
      <c r="P14" s="50">
        <f>(R14)/J14</f>
        <v>0</v>
      </c>
      <c r="Q14" s="48">
        <f>I14/G14-1</f>
        <v>0.92523478260869574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23784424.590194575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0.22429487299302817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1200</v>
      </c>
      <c r="O15" s="37">
        <v>7200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37472286.58903572</v>
      </c>
      <c r="E16" s="39">
        <f>C16*K16</f>
        <v>31822298.488888886</v>
      </c>
      <c r="F16" s="40" t="s">
        <v>34</v>
      </c>
      <c r="G16" s="41">
        <v>1.9</v>
      </c>
      <c r="H16" s="42">
        <v>3.0375860000000001</v>
      </c>
      <c r="I16" s="42">
        <v>2.8</v>
      </c>
      <c r="J16" s="43">
        <f>I16/$J$5</f>
        <v>0.10467094073007981</v>
      </c>
      <c r="K16" s="44">
        <f>I16/$K$4</f>
        <v>8.8888888888888878E-2</v>
      </c>
      <c r="L16" s="45">
        <f>I16-H16</f>
        <v>-0.2375860000000003</v>
      </c>
      <c r="M16" s="45">
        <f>((I16-H16)/H16)*100</f>
        <v>-7.8215398675132262</v>
      </c>
      <c r="N16" s="46">
        <v>700</v>
      </c>
      <c r="O16" s="37">
        <v>1960</v>
      </c>
      <c r="P16" s="50">
        <f>(R16)/J16</f>
        <v>0</v>
      </c>
      <c r="Q16" s="48">
        <f>I16/G16-1</f>
        <v>0.47368421052631571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1502138042.1236238</v>
      </c>
      <c r="E17" s="39">
        <f>C17*K17</f>
        <v>1275649006.2167618</v>
      </c>
      <c r="F17" s="40" t="s">
        <v>34</v>
      </c>
      <c r="G17" s="41">
        <v>20.701700000000002</v>
      </c>
      <c r="H17" s="42">
        <v>30.001100000000001</v>
      </c>
      <c r="I17" s="42">
        <v>29.9512</v>
      </c>
      <c r="J17" s="43">
        <f>I17/$J$5</f>
        <v>1.1196500999981309</v>
      </c>
      <c r="K17" s="44">
        <f>I17/$K$4</f>
        <v>0.95083174603174603</v>
      </c>
      <c r="L17" s="45">
        <f>I17-H17</f>
        <v>-4.9900000000000944E-2</v>
      </c>
      <c r="M17" s="45">
        <f>((I17-H17)/H17)*100</f>
        <v>-0.16632723466806532</v>
      </c>
      <c r="N17" s="46">
        <v>74600</v>
      </c>
      <c r="O17" s="37">
        <v>2234356.7000000002</v>
      </c>
      <c r="P17" s="47">
        <f>(R17)/J17</f>
        <v>4.465680840834424E-2</v>
      </c>
      <c r="Q17" s="48">
        <f>I17/G17-1</f>
        <v>0.44679905515006002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275197914.6271621</v>
      </c>
      <c r="E19" s="39">
        <f>C19*K19</f>
        <v>233704184.61059999</v>
      </c>
      <c r="F19" s="40" t="s">
        <v>47</v>
      </c>
      <c r="G19" s="41">
        <v>12.45</v>
      </c>
      <c r="H19" s="42">
        <v>11</v>
      </c>
      <c r="I19" s="42">
        <v>10.9557</v>
      </c>
      <c r="J19" s="43">
        <f>I19/$J$5</f>
        <v>0.40955122334161981</v>
      </c>
      <c r="K19" s="44">
        <f>I19/$K$4</f>
        <v>0.3478</v>
      </c>
      <c r="L19" s="45">
        <f>I19-H19</f>
        <v>-4.4299999999999784E-2</v>
      </c>
      <c r="M19" s="45">
        <f>((I19-H19)/H19)*100</f>
        <v>-0.40272727272727077</v>
      </c>
      <c r="N19" s="46">
        <v>26200</v>
      </c>
      <c r="O19" s="37">
        <v>287040</v>
      </c>
      <c r="P19" s="50">
        <f>(R19)/J19</f>
        <v>0</v>
      </c>
      <c r="Q19" s="48">
        <f>I19/G19-1</f>
        <v>-0.12002409638554212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2404411.2571914545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2.207435375039719E-2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56126080.106372602</v>
      </c>
      <c r="E21" s="39">
        <f>C21*K21</f>
        <v>47663514.472556196</v>
      </c>
      <c r="F21" s="40" t="s">
        <v>47</v>
      </c>
      <c r="G21" s="41">
        <v>2.85</v>
      </c>
      <c r="H21" s="42">
        <v>2.1754920000000002</v>
      </c>
      <c r="I21" s="42">
        <v>2.1754920000000002</v>
      </c>
      <c r="J21" s="43">
        <f>I21/$J$5</f>
        <v>8.1325283639558155E-2</v>
      </c>
      <c r="K21" s="44">
        <f>I21/$K$4</f>
        <v>6.9063238095238108E-2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-0.23666947368421043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43650762.70521415</v>
      </c>
      <c r="E22" s="39">
        <f>C22*K22</f>
        <v>37069197.706216857</v>
      </c>
      <c r="F22" s="40" t="s">
        <v>66</v>
      </c>
      <c r="G22" s="41">
        <v>0.88420599999999994</v>
      </c>
      <c r="H22" s="42">
        <v>1.0349999999999999</v>
      </c>
      <c r="I22" s="42">
        <v>0.94466700000000003</v>
      </c>
      <c r="J22" s="43">
        <f>I22/$J$5</f>
        <v>3.5313994130950828E-2</v>
      </c>
      <c r="K22" s="44">
        <f>I22/$K$4</f>
        <v>2.9989428571428573E-2</v>
      </c>
      <c r="L22" s="45">
        <f>I22-H22</f>
        <v>-9.0332999999999886E-2</v>
      </c>
      <c r="M22" s="45">
        <f>((I22-H22)/H22)*100</f>
        <v>-8.7278260869565116</v>
      </c>
      <c r="N22" s="46">
        <v>1500</v>
      </c>
      <c r="O22" s="37">
        <v>1417</v>
      </c>
      <c r="P22" s="50">
        <f>(R22)/J22</f>
        <v>0</v>
      </c>
      <c r="Q22" s="48">
        <f>I22/G22-1</f>
        <v>6.8378861939412339E-2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2256638.9445991665</v>
      </c>
      <c r="E23" s="39">
        <f>C23*K23</f>
        <v>1916387.9392857142</v>
      </c>
      <c r="F23" s="40" t="s">
        <v>44</v>
      </c>
      <c r="G23" s="41">
        <v>0.1</v>
      </c>
      <c r="H23" s="42">
        <v>0.1125</v>
      </c>
      <c r="I23" s="42">
        <v>0.1125</v>
      </c>
      <c r="J23" s="43">
        <f>I23/$J$5</f>
        <v>4.2055288686192781E-3</v>
      </c>
      <c r="K23" s="44">
        <f>I23/$K$4</f>
        <v>3.5714285714285713E-3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0.125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63550699.342603534</v>
      </c>
      <c r="E24" s="39">
        <f>C24*K24</f>
        <v>53968666.119502097</v>
      </c>
      <c r="F24" s="40" t="s">
        <v>34</v>
      </c>
      <c r="G24" s="41">
        <v>8.1687659999999997</v>
      </c>
      <c r="H24" s="42">
        <v>8.8074189999999994</v>
      </c>
      <c r="I24" s="42">
        <v>8.8074189999999994</v>
      </c>
      <c r="J24" s="43">
        <f>I24/$J$5</f>
        <v>0.32924315433356383</v>
      </c>
      <c r="K24" s="44">
        <f>I24/$K$4</f>
        <v>0.27960060317460317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7.8182310522788789E-2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93998249.50599055</v>
      </c>
      <c r="E25" s="39">
        <f>C25*K25</f>
        <v>79825402.330476195</v>
      </c>
      <c r="F25" s="40" t="s">
        <v>66</v>
      </c>
      <c r="G25" s="41">
        <v>1.6675</v>
      </c>
      <c r="H25" s="42">
        <v>1.664145</v>
      </c>
      <c r="I25" s="42">
        <v>1.49</v>
      </c>
      <c r="J25" s="43">
        <f>I25/$J$5</f>
        <v>5.5699893459935333E-2</v>
      </c>
      <c r="K25" s="44">
        <f>I25/$K$4</f>
        <v>4.7301587301587303E-2</v>
      </c>
      <c r="L25" s="45">
        <f>I25-H25</f>
        <v>-0.17414499999999999</v>
      </c>
      <c r="M25" s="45">
        <f>((I25-H25)/H25)*100</f>
        <v>-10.464532838184173</v>
      </c>
      <c r="N25" s="46">
        <v>300</v>
      </c>
      <c r="O25" s="37">
        <v>447</v>
      </c>
      <c r="P25" s="50">
        <f>(R25)/J25</f>
        <v>0</v>
      </c>
      <c r="Q25" s="48">
        <f>I25/G25-1</f>
        <v>-0.1064467766116941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23339948.917213138</v>
      </c>
      <c r="E26" s="39">
        <f>C26*K26</f>
        <v>19820803.286028888</v>
      </c>
      <c r="F26" s="40" t="s">
        <v>44</v>
      </c>
      <c r="G26" s="41">
        <v>1.7994999999999999</v>
      </c>
      <c r="H26" s="42">
        <v>2.6081300000000001</v>
      </c>
      <c r="I26" s="42">
        <v>2.6081300000000001</v>
      </c>
      <c r="J26" s="43">
        <f>I26/$J$5</f>
        <v>9.7498364516551098E-2</v>
      </c>
      <c r="K26" s="44">
        <f>I26/$K$4</f>
        <v>8.2797777777777776E-2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0.44936371214226178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26074221.705874663</v>
      </c>
      <c r="E27" s="39">
        <f>C27*K27</f>
        <v>22142808.499777779</v>
      </c>
      <c r="F27" s="40" t="s">
        <v>34</v>
      </c>
      <c r="G27" s="41">
        <v>3.1361369999999997</v>
      </c>
      <c r="H27" s="42">
        <v>2.7230000000000003</v>
      </c>
      <c r="I27" s="42">
        <v>2.7230000000000003</v>
      </c>
      <c r="J27" s="43">
        <f>I27/$J$5</f>
        <v>0.10179248986000264</v>
      </c>
      <c r="K27" s="44">
        <f>I27/$K$4</f>
        <v>8.6444444444444449E-2</v>
      </c>
      <c r="L27" s="45">
        <f>I27-H27</f>
        <v>0</v>
      </c>
      <c r="M27" s="45">
        <f>((I27-H27)/H27)*100</f>
        <v>0</v>
      </c>
      <c r="N27" s="46">
        <v>0</v>
      </c>
      <c r="O27" s="37">
        <v>0</v>
      </c>
      <c r="P27" s="50">
        <f>(R27)/J27</f>
        <v>0</v>
      </c>
      <c r="Q27" s="48">
        <f>I27/G27-1</f>
        <v>-0.13173435981910209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24295171.876516964</v>
      </c>
      <c r="E28" s="39">
        <f>C28*K28</f>
        <v>20631999.850246567</v>
      </c>
      <c r="F28" s="40" t="s">
        <v>44</v>
      </c>
      <c r="G28" s="41">
        <v>0.8</v>
      </c>
      <c r="H28" s="42">
        <v>0.86006699999999991</v>
      </c>
      <c r="I28" s="42">
        <v>0.86006699999999991</v>
      </c>
      <c r="J28" s="43">
        <f>I28/$J$5</f>
        <v>3.2151436421749127E-2</v>
      </c>
      <c r="K28" s="44">
        <f>I28/$K$4</f>
        <v>2.7303714285714282E-2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7.5083749999999894E-2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82948078.451243907</v>
      </c>
      <c r="E29" s="39">
        <f>C29*K29</f>
        <v>70441351.51142858</v>
      </c>
      <c r="F29" s="40" t="s">
        <v>47</v>
      </c>
      <c r="G29" s="41">
        <v>5.15</v>
      </c>
      <c r="H29" s="42">
        <v>5.48</v>
      </c>
      <c r="I29" s="42">
        <v>5.49</v>
      </c>
      <c r="J29" s="43">
        <f>I29/$J$5</f>
        <v>0.20522980878862079</v>
      </c>
      <c r="K29" s="44">
        <f>I29/$K$4</f>
        <v>0.17428571428571429</v>
      </c>
      <c r="L29" s="45">
        <f>I29-H29</f>
        <v>9.9999999999997868E-3</v>
      </c>
      <c r="M29" s="45">
        <f>((I29-H29)/H29)*100</f>
        <v>0.1824817518248136</v>
      </c>
      <c r="N29" s="46">
        <v>100</v>
      </c>
      <c r="O29" s="37">
        <v>549</v>
      </c>
      <c r="P29" s="50">
        <f>(R29)/J29</f>
        <v>0</v>
      </c>
      <c r="Q29" s="48">
        <f>I29/G29-1</f>
        <v>6.6019417475728037E-2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12571589.99900974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4.837715182893778E-2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3877499.4672996765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3.1775107007345656E-2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139931713.96796322</v>
      </c>
      <c r="E34" s="39">
        <f>C34*K34</f>
        <v>118833121.09523809</v>
      </c>
      <c r="F34" s="40" t="s">
        <v>92</v>
      </c>
      <c r="G34" s="41">
        <v>1.44</v>
      </c>
      <c r="H34" s="42">
        <v>1.7</v>
      </c>
      <c r="I34" s="42">
        <v>1.5</v>
      </c>
      <c r="J34" s="43">
        <f>I34/$J$5</f>
        <v>5.6073718248257041E-2</v>
      </c>
      <c r="K34" s="44">
        <f>I34/$K$4</f>
        <v>4.7619047619047616E-2</v>
      </c>
      <c r="L34" s="45">
        <f>I34-H34</f>
        <v>-0.19999999999999996</v>
      </c>
      <c r="M34" s="45">
        <f>((I34-H34)/H34)*100</f>
        <v>-11.764705882352938</v>
      </c>
      <c r="N34" s="46">
        <v>1500</v>
      </c>
      <c r="O34" s="37">
        <v>2250</v>
      </c>
      <c r="P34" s="50">
        <f>(R34)/J34</f>
        <v>0</v>
      </c>
      <c r="Q34" s="48">
        <f>I34/G34-1</f>
        <v>4.1666666666666741E-2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37149844.172009453</v>
      </c>
      <c r="E35" s="39">
        <f>C35*K35</f>
        <v>31548473.222963143</v>
      </c>
      <c r="F35" s="40" t="s">
        <v>34</v>
      </c>
      <c r="G35" s="41">
        <v>3.6056249999999999</v>
      </c>
      <c r="H35" s="42">
        <v>3.9204950000000003</v>
      </c>
      <c r="I35" s="42">
        <v>3.9203329999999998</v>
      </c>
      <c r="J35" s="43">
        <f>I35/$J$5</f>
        <v>0.14655176538756284</v>
      </c>
      <c r="K35" s="44">
        <f>I35/$K$4</f>
        <v>0.12445501587301587</v>
      </c>
      <c r="L35" s="45">
        <f>I35-H35</f>
        <v>-1.6200000000043957E-4</v>
      </c>
      <c r="M35" s="45">
        <f>((I35-H35)/H35)*100</f>
        <v>-4.1321312742508163E-3</v>
      </c>
      <c r="N35" s="46">
        <v>1500</v>
      </c>
      <c r="O35" s="37">
        <v>5880.5</v>
      </c>
      <c r="P35" s="50">
        <f>(R35)/J35</f>
        <v>0</v>
      </c>
      <c r="Q35" s="48">
        <f>I35/G35-1</f>
        <v>8.7282509967065325E-2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7050461.1966131479</v>
      </c>
      <c r="E36" s="39">
        <f>C36*K36</f>
        <v>5987408.3250793647</v>
      </c>
      <c r="F36" s="40" t="s">
        <v>34</v>
      </c>
      <c r="G36" s="41">
        <v>2.5099999999999997E-2</v>
      </c>
      <c r="H36" s="42">
        <v>3.9867E-2</v>
      </c>
      <c r="I36" s="42">
        <v>0.04</v>
      </c>
      <c r="J36" s="43">
        <f>I36/$J$5</f>
        <v>1.4952991532868546E-3</v>
      </c>
      <c r="K36" s="44">
        <f>I36/$K$4</f>
        <v>1.2698412698412698E-3</v>
      </c>
      <c r="L36" s="45">
        <f>I36-H36</f>
        <v>1.3300000000000117E-4</v>
      </c>
      <c r="M36" s="45">
        <f>((I36-H36)/H36)*100</f>
        <v>0.3336092507587759</v>
      </c>
      <c r="N36" s="46">
        <v>6900</v>
      </c>
      <c r="O36" s="37">
        <v>276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40500852.264443658</v>
      </c>
      <c r="E37" s="39">
        <f>C37*K37</f>
        <v>34394223.761904761</v>
      </c>
      <c r="F37" s="40" t="s">
        <v>92</v>
      </c>
      <c r="G37" s="41">
        <v>0.61</v>
      </c>
      <c r="H37" s="42">
        <v>4.88</v>
      </c>
      <c r="I37" s="42">
        <v>4.1500000000000004</v>
      </c>
      <c r="J37" s="43">
        <f>I37/$J$5</f>
        <v>0.15513728715351116</v>
      </c>
      <c r="K37" s="44">
        <f>I37/$K$4</f>
        <v>0.13174603174603175</v>
      </c>
      <c r="L37" s="45">
        <f>I37-H37</f>
        <v>-0.72999999999999954</v>
      </c>
      <c r="M37" s="45">
        <f>((I37-H37)/H37)*100</f>
        <v>-14.959016393442614</v>
      </c>
      <c r="N37" s="46">
        <v>200</v>
      </c>
      <c r="O37" s="37">
        <v>830</v>
      </c>
      <c r="P37" s="50">
        <f>(R37)/J37</f>
        <v>0</v>
      </c>
      <c r="Q37" s="48">
        <f>I37/G37-1</f>
        <v>5.8032786885245908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23326560.846653149</v>
      </c>
      <c r="E38" s="39">
        <f>C38*K38</f>
        <v>19809433.838996667</v>
      </c>
      <c r="F38" s="40" t="s">
        <v>56</v>
      </c>
      <c r="G38" s="41">
        <v>0.11650199999999999</v>
      </c>
      <c r="H38" s="42">
        <v>0.13056800000000002</v>
      </c>
      <c r="I38" s="42">
        <v>0.148755</v>
      </c>
      <c r="J38" s="43">
        <f>I38/$J$5</f>
        <v>5.5608306386796509E-3</v>
      </c>
      <c r="K38" s="44">
        <f>I38/$K$4</f>
        <v>4.7223809523809527E-3</v>
      </c>
      <c r="L38" s="45">
        <f>I38-H38</f>
        <v>1.8186999999999981E-2</v>
      </c>
      <c r="M38" s="45">
        <f>((I38-H38)/H38)*100</f>
        <v>13.929140371300761</v>
      </c>
      <c r="N38" s="46">
        <v>50600</v>
      </c>
      <c r="O38" s="37">
        <v>7527</v>
      </c>
      <c r="P38" s="50">
        <v>0</v>
      </c>
      <c r="Q38" s="48">
        <f>I38/G38-1</f>
        <v>0.27684503270330119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100939468.31947067</v>
      </c>
      <c r="E39" s="39">
        <f>C39*K39</f>
        <v>85720039.596190482</v>
      </c>
      <c r="F39" s="40" t="s">
        <v>34</v>
      </c>
      <c r="G39" s="41">
        <v>2.6005000000000003</v>
      </c>
      <c r="H39" s="42">
        <v>7.45</v>
      </c>
      <c r="I39" s="42">
        <v>7.44</v>
      </c>
      <c r="J39" s="43">
        <f>I39/$J$5</f>
        <v>0.27812564251135496</v>
      </c>
      <c r="K39" s="44">
        <f>I39/$K$4</f>
        <v>0.2361904761904762</v>
      </c>
      <c r="L39" s="45">
        <f>I39-H39</f>
        <v>-9.9999999999997868E-3</v>
      </c>
      <c r="M39" s="45">
        <f>((I39-H39)/H39)*100</f>
        <v>-0.13422818791946023</v>
      </c>
      <c r="N39" s="46">
        <v>5500</v>
      </c>
      <c r="O39" s="37">
        <v>40920</v>
      </c>
      <c r="P39" s="50">
        <f>(R39)/J39</f>
        <v>0</v>
      </c>
      <c r="Q39" s="48">
        <f>I39/G39-1</f>
        <v>1.8609882714862525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17746580.99437394</v>
      </c>
      <c r="E40" s="39">
        <f>C40*K40</f>
        <v>15070790.948888889</v>
      </c>
      <c r="F40" s="40" t="s">
        <v>39</v>
      </c>
      <c r="G40" s="41">
        <v>0.1</v>
      </c>
      <c r="H40" s="42">
        <v>0.100366</v>
      </c>
      <c r="I40" s="42">
        <v>0.11</v>
      </c>
      <c r="J40" s="43">
        <f>I40/$J$5</f>
        <v>4.1120726715388502E-3</v>
      </c>
      <c r="K40" s="44">
        <f>I40/$K$4</f>
        <v>3.4920634920634921E-3</v>
      </c>
      <c r="L40" s="45">
        <f>I40-H40</f>
        <v>9.6340000000000037E-3</v>
      </c>
      <c r="M40" s="45">
        <f>((I40-H40)/H40)*100</f>
        <v>9.5988681425980946</v>
      </c>
      <c r="N40" s="46">
        <v>24000</v>
      </c>
      <c r="O40" s="37">
        <v>2640</v>
      </c>
      <c r="P40" s="50">
        <f>(R40)/J40</f>
        <v>0</v>
      </c>
      <c r="Q40" s="48">
        <f>I40/G40-1</f>
        <v>9.9999999999999867E-2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5970406.3662361447</v>
      </c>
      <c r="E41" s="39">
        <f>C41*K41</f>
        <v>5070201.7619047612</v>
      </c>
      <c r="F41" s="40" t="s">
        <v>44</v>
      </c>
      <c r="G41" s="41">
        <v>1.7452379999999998</v>
      </c>
      <c r="H41" s="42">
        <v>1.6</v>
      </c>
      <c r="I41" s="42">
        <v>1.5</v>
      </c>
      <c r="J41" s="43">
        <f>I41/$J$5</f>
        <v>5.6073718248257041E-2</v>
      </c>
      <c r="K41" s="44">
        <f>I41/$K$4</f>
        <v>4.7619047619047616E-2</v>
      </c>
      <c r="L41" s="45">
        <f>I41-H41</f>
        <v>-0.10000000000000009</v>
      </c>
      <c r="M41" s="45">
        <f>((I41-H41)/H41)*100</f>
        <v>-6.2500000000000053</v>
      </c>
      <c r="N41" s="46">
        <v>300</v>
      </c>
      <c r="O41" s="37">
        <v>450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3336598.2574381786</v>
      </c>
      <c r="E42" s="39">
        <f>C42*K42</f>
        <v>2833513.3868444441</v>
      </c>
      <c r="F42" s="40" t="s">
        <v>39</v>
      </c>
      <c r="G42" s="41">
        <v>0.03</v>
      </c>
      <c r="H42" s="42">
        <v>4.5100000000000001E-2</v>
      </c>
      <c r="I42" s="42">
        <v>5.0199999999999995E-2</v>
      </c>
      <c r="J42" s="43">
        <f>I42/$J$5</f>
        <v>1.8766004373750023E-3</v>
      </c>
      <c r="K42" s="44">
        <f>I42/$K$4</f>
        <v>1.5936507936507936E-3</v>
      </c>
      <c r="L42" s="45">
        <f>I42-H42</f>
        <v>5.0999999999999934E-3</v>
      </c>
      <c r="M42" s="45">
        <f>((I42-H42)/H42)*100</f>
        <v>11.308203991130805</v>
      </c>
      <c r="N42" s="46">
        <v>2000</v>
      </c>
      <c r="O42" s="37">
        <v>100.4</v>
      </c>
      <c r="P42" s="50">
        <f>(R42)/J42</f>
        <v>0</v>
      </c>
      <c r="Q42" s="48">
        <f>I42/G42-1</f>
        <v>0.67333333333333312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34055114.424029462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0.19438888992729109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311.77278548064527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6.7288461897908459E-7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1511568.0080746154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2.6242500140184295E-3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11800</v>
      </c>
      <c r="O45" s="37">
        <v>828.36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45065630.437757127</v>
      </c>
      <c r="E46" s="39">
        <f>C46*K46</f>
        <v>38270734.82619752</v>
      </c>
      <c r="F46" s="40" t="s">
        <v>47</v>
      </c>
      <c r="G46" s="41">
        <v>0.9998999999999999</v>
      </c>
      <c r="H46" s="42">
        <v>0.75</v>
      </c>
      <c r="I46" s="42">
        <v>0.66302700000000003</v>
      </c>
      <c r="J46" s="43">
        <f>I46/$J$5</f>
        <v>2.4785592792658084E-2</v>
      </c>
      <c r="K46" s="44">
        <f>I46/$K$4</f>
        <v>2.104847619047619E-2</v>
      </c>
      <c r="L46" s="45">
        <f>I46-H46</f>
        <v>-8.6972999999999967E-2</v>
      </c>
      <c r="M46" s="45">
        <f>((I46-H46)/H46)*100</f>
        <v>-11.596399999999996</v>
      </c>
      <c r="N46" s="46">
        <v>44600</v>
      </c>
      <c r="O46" s="37">
        <v>29571</v>
      </c>
      <c r="P46" s="50">
        <f>(R46)/J46</f>
        <v>0</v>
      </c>
      <c r="Q46" s="48">
        <f>I46/G46-1</f>
        <v>-0.33690669066906676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5164327.373320125</v>
      </c>
      <c r="E47" s="39">
        <f>C47*K47</f>
        <v>4385661.5682539688</v>
      </c>
      <c r="F47" s="40" t="s">
        <v>47</v>
      </c>
      <c r="G47" s="41">
        <v>1.4503460000000001</v>
      </c>
      <c r="H47" s="42">
        <v>1.35</v>
      </c>
      <c r="I47" s="42">
        <v>1.345</v>
      </c>
      <c r="J47" s="43">
        <f>I47/$J$5</f>
        <v>5.027943402927048E-2</v>
      </c>
      <c r="K47" s="44">
        <f>I47/$K$4</f>
        <v>4.2698412698412701E-2</v>
      </c>
      <c r="L47" s="45">
        <f>I47-H47</f>
        <v>-5.0000000000001155E-3</v>
      </c>
      <c r="M47" s="45">
        <f>((I47-H47)/H47)*100</f>
        <v>-0.3703703703703789</v>
      </c>
      <c r="N47" s="46">
        <v>50000</v>
      </c>
      <c r="O47" s="37">
        <v>67250</v>
      </c>
      <c r="P47" s="50">
        <v>0</v>
      </c>
      <c r="Q47" s="48">
        <f>I47/G47-1</f>
        <v>-7.2635081559848547E-2</v>
      </c>
      <c r="R47" s="49"/>
    </row>
    <row r="48" spans="1:18" ht="13.8" thickBot="1" x14ac:dyDescent="0.4">
      <c r="A48" s="55"/>
      <c r="B48" s="56"/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612300</v>
      </c>
      <c r="O48" s="59">
        <f>SUM(O9:O47)</f>
        <v>3209543.76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67034373.2064</v>
      </c>
      <c r="E51" s="39">
        <v>0</v>
      </c>
      <c r="F51" s="40" t="s">
        <v>92</v>
      </c>
      <c r="G51" s="68">
        <v>0.1</v>
      </c>
      <c r="H51" s="42">
        <v>0.14899999999999999</v>
      </c>
      <c r="I51" s="42">
        <v>0.1208</v>
      </c>
      <c r="J51" s="43">
        <f>I51</f>
        <v>0.1208</v>
      </c>
      <c r="K51" s="39">
        <v>0</v>
      </c>
      <c r="L51" s="45">
        <f>I51-H51</f>
        <v>-2.8199999999999989E-2</v>
      </c>
      <c r="M51" s="45">
        <f>((I51-H51)/H51)*100</f>
        <v>-18.926174496644286</v>
      </c>
      <c r="N51" s="46">
        <v>559315</v>
      </c>
      <c r="O51" s="37">
        <v>67538.490000000005</v>
      </c>
      <c r="P51" s="69">
        <f>(R51)/J51</f>
        <v>0</v>
      </c>
      <c r="Q51" s="48">
        <f>J51/G51-1</f>
        <v>0.20799999999999996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58270405.093999997</v>
      </c>
      <c r="E52" s="39">
        <v>0</v>
      </c>
      <c r="F52" s="40" t="s">
        <v>39</v>
      </c>
      <c r="G52" s="68">
        <v>39.9</v>
      </c>
      <c r="H52" s="42">
        <v>54.310299999999998</v>
      </c>
      <c r="I52" s="42">
        <v>55.092399999999998</v>
      </c>
      <c r="J52" s="43">
        <f>I52</f>
        <v>55.092399999999998</v>
      </c>
      <c r="K52" s="39">
        <v>0</v>
      </c>
      <c r="L52" s="45">
        <f>I52-H52</f>
        <v>0.7820999999999998</v>
      </c>
      <c r="M52" s="45">
        <f>((I52-H52)/H52)*100</f>
        <v>1.4400583314767177</v>
      </c>
      <c r="N52" s="46">
        <v>1125</v>
      </c>
      <c r="O52" s="37">
        <v>61979</v>
      </c>
      <c r="P52" s="70">
        <f>(R52)/J52</f>
        <v>1.0164741416238902E-2</v>
      </c>
      <c r="Q52" s="48">
        <f>J52/G52-1</f>
        <v>0.38076190476190486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718119168.72000003</v>
      </c>
      <c r="E53" s="39"/>
      <c r="F53" s="40" t="s">
        <v>56</v>
      </c>
      <c r="G53" s="68">
        <v>0.33</v>
      </c>
      <c r="H53" s="42">
        <v>0.246</v>
      </c>
      <c r="I53" s="42">
        <v>0.24</v>
      </c>
      <c r="J53" s="43">
        <f>I53</f>
        <v>0.24</v>
      </c>
      <c r="K53" s="39">
        <v>0</v>
      </c>
      <c r="L53" s="45">
        <f>I53-H53</f>
        <v>-6.0000000000000053E-3</v>
      </c>
      <c r="M53" s="45">
        <f>((I53-H53)/H53)*100</f>
        <v>-2.4390243902439046</v>
      </c>
      <c r="N53" s="46">
        <v>8586</v>
      </c>
      <c r="O53" s="37">
        <v>2060.64</v>
      </c>
      <c r="P53" s="69">
        <v>0</v>
      </c>
      <c r="Q53" s="48">
        <f>J53/G53-1</f>
        <v>-0.27272727272727282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16584953.649599999</v>
      </c>
      <c r="E54" s="39">
        <v>0</v>
      </c>
      <c r="F54" s="40" t="s">
        <v>34</v>
      </c>
      <c r="G54" s="68">
        <v>2.3E-2</v>
      </c>
      <c r="H54" s="42">
        <v>2.8799999999999999E-2</v>
      </c>
      <c r="I54" s="42">
        <v>2.7199999999999998E-2</v>
      </c>
      <c r="J54" s="43">
        <f>I54</f>
        <v>2.7199999999999998E-2</v>
      </c>
      <c r="K54" s="39">
        <v>0</v>
      </c>
      <c r="L54" s="45">
        <f>I54-H54</f>
        <v>-1.6000000000000007E-3</v>
      </c>
      <c r="M54" s="45">
        <f>((I54-H54)/H54)*100</f>
        <v>-5.555555555555558</v>
      </c>
      <c r="N54" s="46">
        <v>38852</v>
      </c>
      <c r="O54" s="37">
        <v>1056.44</v>
      </c>
      <c r="P54" s="69">
        <f>(R54)/J54</f>
        <v>0</v>
      </c>
      <c r="Q54" s="48">
        <f>J54/G54-1</f>
        <v>0.18260869565217397</v>
      </c>
      <c r="T54" s="51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271418339.08950001</v>
      </c>
      <c r="E55" s="39">
        <v>0</v>
      </c>
      <c r="F55" s="40" t="s">
        <v>47</v>
      </c>
      <c r="G55" s="68">
        <v>9.0200000000000002E-2</v>
      </c>
      <c r="H55" s="42">
        <v>0.12239999999999999</v>
      </c>
      <c r="I55" s="42">
        <v>0.1255</v>
      </c>
      <c r="J55" s="43">
        <f>I55</f>
        <v>0.1255</v>
      </c>
      <c r="K55" s="39">
        <v>0</v>
      </c>
      <c r="L55" s="45">
        <f>I55-H55</f>
        <v>3.1000000000000055E-3</v>
      </c>
      <c r="M55" s="71">
        <f>((I55-H55)/H55)*100</f>
        <v>2.5326797385620958</v>
      </c>
      <c r="N55" s="46">
        <v>528404</v>
      </c>
      <c r="O55" s="37">
        <v>66320.399999999994</v>
      </c>
      <c r="P55" s="69">
        <f>(R55)/J55</f>
        <v>0</v>
      </c>
      <c r="Q55" s="48">
        <f>J55/G55-1</f>
        <v>0.39135254988913526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807852031.41500008</v>
      </c>
      <c r="E56" s="39">
        <v>0</v>
      </c>
      <c r="F56" s="40" t="s">
        <v>34</v>
      </c>
      <c r="G56" s="68">
        <v>0.95750000000000002</v>
      </c>
      <c r="H56" s="42">
        <v>1.3134999999999999</v>
      </c>
      <c r="I56" s="42">
        <v>1.4027000000000001</v>
      </c>
      <c r="J56" s="43">
        <f>I56</f>
        <v>1.4027000000000001</v>
      </c>
      <c r="K56" s="39">
        <v>0</v>
      </c>
      <c r="L56" s="45">
        <f>I56-H56</f>
        <v>8.9200000000000168E-2</v>
      </c>
      <c r="M56" s="45">
        <f>((I56-H56)/H56)*100</f>
        <v>6.79101636848117</v>
      </c>
      <c r="N56" s="46">
        <v>90484</v>
      </c>
      <c r="O56" s="37">
        <v>126925.69</v>
      </c>
      <c r="P56" s="70">
        <f>(R56)/J56</f>
        <v>3.3506808298281884E-2</v>
      </c>
      <c r="Q56" s="48">
        <f>J56/G56-1</f>
        <v>0.46496083550913836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68">
        <v>0.1595</v>
      </c>
      <c r="H57" s="42">
        <v>0.15</v>
      </c>
      <c r="I57" s="42">
        <v>0.15</v>
      </c>
      <c r="J57" s="43">
        <f>I57</f>
        <v>0.15</v>
      </c>
      <c r="K57" s="39">
        <v>0</v>
      </c>
      <c r="L57" s="45">
        <f>I57-H57</f>
        <v>0</v>
      </c>
      <c r="M57" s="45">
        <f>((I57-H57)/H57)*100</f>
        <v>0</v>
      </c>
      <c r="N57" s="46">
        <v>545</v>
      </c>
      <c r="O57" s="37">
        <v>81.75</v>
      </c>
      <c r="P57" s="69">
        <f>(R57)/J57</f>
        <v>0</v>
      </c>
      <c r="Q57" s="48">
        <f>J57/G57-1</f>
        <v>-5.9561128526645857E-2</v>
      </c>
      <c r="T57" s="51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11052</v>
      </c>
      <c r="O58" s="37">
        <v>221.04</v>
      </c>
      <c r="P58" s="69">
        <f>(R58)/J58</f>
        <v>0</v>
      </c>
      <c r="Q58" s="48">
        <f>J58/G58-1</f>
        <v>0.19047619047619047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2112676.2999999998</v>
      </c>
      <c r="E59" s="39">
        <v>0</v>
      </c>
      <c r="F59" s="40" t="s">
        <v>138</v>
      </c>
      <c r="G59" s="68">
        <v>19.5</v>
      </c>
      <c r="H59" s="42">
        <v>13.1</v>
      </c>
      <c r="I59" s="42">
        <v>13.1</v>
      </c>
      <c r="J59" s="43">
        <f>I59</f>
        <v>13.1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9">
        <f>(R59)/J59</f>
        <v>0</v>
      </c>
      <c r="Q59" s="48">
        <f>J59/G59-1</f>
        <v>-0.32820512820512826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822399895.69650006</v>
      </c>
      <c r="E60" s="39">
        <v>0</v>
      </c>
      <c r="F60" s="40" t="s">
        <v>92</v>
      </c>
      <c r="G60" s="68">
        <v>0.59499999999999997</v>
      </c>
      <c r="H60" s="42">
        <v>1.0327</v>
      </c>
      <c r="I60" s="42">
        <v>1.0215000000000001</v>
      </c>
      <c r="J60" s="43">
        <f>I60</f>
        <v>1.0215000000000001</v>
      </c>
      <c r="K60" s="39">
        <v>0</v>
      </c>
      <c r="L60" s="45">
        <f>I60-H60</f>
        <v>-1.1199999999999877E-2</v>
      </c>
      <c r="M60" s="45">
        <f>((I60-H60)/H60)*100</f>
        <v>-1.084535683160635</v>
      </c>
      <c r="N60" s="46">
        <v>50179</v>
      </c>
      <c r="O60" s="37">
        <v>51260.3</v>
      </c>
      <c r="P60" s="69">
        <f>(R60)/J60</f>
        <v>0</v>
      </c>
      <c r="Q60" s="48">
        <f>J60/G60-1</f>
        <v>0.71680672268907575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78214355.399999991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0.3</v>
      </c>
      <c r="J61" s="43">
        <f>I61</f>
        <v>0.3</v>
      </c>
      <c r="K61" s="39">
        <v>0</v>
      </c>
      <c r="L61" s="45">
        <f>I61-H61</f>
        <v>0</v>
      </c>
      <c r="M61" s="45">
        <f>((I61-H61)/H61)*100</f>
        <v>0</v>
      </c>
      <c r="N61" s="46">
        <v>1038</v>
      </c>
      <c r="O61" s="37">
        <v>311.39999999999998</v>
      </c>
      <c r="P61" s="69">
        <f>(R61)/J61</f>
        <v>0</v>
      </c>
      <c r="Q61" s="48">
        <f>J61/G61-1</f>
        <v>0.32743362831858391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340065578.26120001</v>
      </c>
      <c r="E62" s="39">
        <v>0</v>
      </c>
      <c r="F62" s="40" t="s">
        <v>34</v>
      </c>
      <c r="G62" s="68">
        <v>0.49440000000000001</v>
      </c>
      <c r="H62" s="42">
        <v>0.57999999999999996</v>
      </c>
      <c r="I62" s="42">
        <v>0.60489999999999999</v>
      </c>
      <c r="J62" s="43">
        <f>I62</f>
        <v>0.60489999999999999</v>
      </c>
      <c r="K62" s="39">
        <v>0</v>
      </c>
      <c r="L62" s="45">
        <f>I62-H62</f>
        <v>2.4900000000000033E-2</v>
      </c>
      <c r="M62" s="45">
        <f>((I62-H62)/H62)*100</f>
        <v>4.2931034482758683</v>
      </c>
      <c r="N62" s="46">
        <v>146835</v>
      </c>
      <c r="O62" s="37">
        <v>88819.37</v>
      </c>
      <c r="P62" s="69">
        <f>(R62)/J62</f>
        <v>0</v>
      </c>
      <c r="Q62" s="48">
        <f>J62/G62-1</f>
        <v>0.22350323624595458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32045985.197999999</v>
      </c>
      <c r="E64" s="39">
        <v>0</v>
      </c>
      <c r="F64" s="40" t="s">
        <v>44</v>
      </c>
      <c r="G64" s="68">
        <v>4.2999999999999997E-2</v>
      </c>
      <c r="H64" s="42">
        <v>7.7899999999999997E-2</v>
      </c>
      <c r="I64" s="42">
        <v>9.2999999999999999E-2</v>
      </c>
      <c r="J64" s="43">
        <f>I64</f>
        <v>9.2999999999999999E-2</v>
      </c>
      <c r="K64" s="39">
        <v>0</v>
      </c>
      <c r="L64" s="45">
        <f>I64-H64</f>
        <v>1.5100000000000002E-2</v>
      </c>
      <c r="M64" s="45">
        <f>((I64-H64)/H64)*100</f>
        <v>19.383825417201546</v>
      </c>
      <c r="N64" s="46">
        <v>200</v>
      </c>
      <c r="O64" s="37">
        <v>18.600000000000001</v>
      </c>
      <c r="P64" s="69">
        <f>(R64)/J64</f>
        <v>0</v>
      </c>
      <c r="Q64" s="48">
        <f>J64/G64-1</f>
        <v>1.1627906976744189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1436615</v>
      </c>
      <c r="O65" s="60">
        <f>SUM(O51:O64)</f>
        <v>466593.12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211</v>
      </c>
      <c r="O70" s="91">
        <v>75.959999999999994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70702762.5</v>
      </c>
      <c r="E71" s="39">
        <f>C71*K71</f>
        <v>70702762.5</v>
      </c>
      <c r="F71" s="87" t="s">
        <v>156</v>
      </c>
      <c r="G71" s="87">
        <v>0.1</v>
      </c>
      <c r="H71" s="88">
        <v>0.15</v>
      </c>
      <c r="I71" s="88">
        <v>0.15</v>
      </c>
      <c r="J71" s="89">
        <f>I71</f>
        <v>0.15</v>
      </c>
      <c r="K71" s="89">
        <f>J71</f>
        <v>0.15</v>
      </c>
      <c r="L71" s="45">
        <f>I71-H71</f>
        <v>0</v>
      </c>
      <c r="M71" s="45">
        <f>((I71-H71)/H71)*100</f>
        <v>0</v>
      </c>
      <c r="N71" s="46">
        <v>142009</v>
      </c>
      <c r="O71" s="91">
        <v>21306.65</v>
      </c>
      <c r="P71" s="92">
        <f>(R71)/J71</f>
        <v>2.528E-2</v>
      </c>
      <c r="Q71" s="48">
        <f>J71/G71-1</f>
        <v>0.49999999999999978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142220</v>
      </c>
      <c r="O72" s="60">
        <f>SUM(O70:O71)</f>
        <v>21382.61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2875199.8794999998</v>
      </c>
      <c r="E74" s="39">
        <f>C74*K74</f>
        <v>2875199.8794999998</v>
      </c>
      <c r="F74" s="87" t="s">
        <v>138</v>
      </c>
      <c r="G74" s="87">
        <v>0.1394</v>
      </c>
      <c r="H74" s="88">
        <v>0.13830000000000001</v>
      </c>
      <c r="I74" s="88">
        <v>0.1381</v>
      </c>
      <c r="J74" s="89">
        <f>I74</f>
        <v>0.1381</v>
      </c>
      <c r="K74" s="89">
        <f>J74</f>
        <v>0.1381</v>
      </c>
      <c r="L74" s="45">
        <f>I74-H74</f>
        <v>-2.0000000000000573E-4</v>
      </c>
      <c r="M74" s="45">
        <f>((I74-H74)/H74)*100</f>
        <v>-0.14461315979754572</v>
      </c>
      <c r="N74" s="90">
        <v>3392</v>
      </c>
      <c r="O74" s="91">
        <v>468.53</v>
      </c>
      <c r="P74" s="69">
        <f>(R74)/J74</f>
        <v>0</v>
      </c>
      <c r="Q74" s="48">
        <f>J74/G74-1</f>
        <v>-9.3256814921089948E-3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127956.23671333244</v>
      </c>
      <c r="E77" s="39">
        <f>C77*K77</f>
        <v>108663.27968888887</v>
      </c>
      <c r="F77" s="40" t="s">
        <v>138</v>
      </c>
      <c r="G77" s="68">
        <v>0.105</v>
      </c>
      <c r="H77" s="42">
        <v>7.5399999999999995E-2</v>
      </c>
      <c r="I77" s="42">
        <v>7.5399999999999995E-2</v>
      </c>
      <c r="J77" s="43">
        <f>I77/$J$5</f>
        <v>2.8186389039457204E-3</v>
      </c>
      <c r="K77" s="44">
        <f>I77/$K$4</f>
        <v>2.3936507936507933E-3</v>
      </c>
      <c r="L77" s="45">
        <f>I77-H77</f>
        <v>0</v>
      </c>
      <c r="M77" s="93">
        <f>((I77-H77)/H77)*100</f>
        <v>0</v>
      </c>
      <c r="N77" s="37">
        <v>300</v>
      </c>
      <c r="O77" s="37">
        <v>22.62</v>
      </c>
      <c r="P77" s="40">
        <v>0</v>
      </c>
      <c r="Q77" s="48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305404.50159810099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2.2429487299302818E-3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1940667.5389245059</v>
      </c>
      <c r="E79" s="39">
        <f>C79*K79</f>
        <v>1648058</v>
      </c>
      <c r="F79" s="40" t="s">
        <v>138</v>
      </c>
      <c r="G79" s="68">
        <v>6.0499999999999998E-2</v>
      </c>
      <c r="H79" s="42">
        <v>0.1</v>
      </c>
      <c r="I79" s="42">
        <v>0.105</v>
      </c>
      <c r="J79" s="43">
        <f>I79/$J$5</f>
        <v>3.9251602773779926E-3</v>
      </c>
      <c r="K79" s="44">
        <f>I79/$K$4</f>
        <v>3.3333333333333331E-3</v>
      </c>
      <c r="L79" s="45">
        <f>I79-H79</f>
        <v>4.9999999999999906E-3</v>
      </c>
      <c r="M79" s="93">
        <f>((I79-H79)/H79)*100</f>
        <v>4.9999999999999902</v>
      </c>
      <c r="N79" s="37">
        <v>1200</v>
      </c>
      <c r="O79" s="37">
        <v>126</v>
      </c>
      <c r="P79" s="40">
        <v>0</v>
      </c>
      <c r="Q79" s="48">
        <f>I79/G79-1</f>
        <v>0.73553719008264462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2384735.7096129046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5.7942842189865618E-2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1500</v>
      </c>
      <c r="O81" s="60">
        <f>SUM(O77:O80)</f>
        <v>148.62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26161001.237360049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3">
        <f>I83/$J$5</f>
        <v>7.1026709781125588E-2</v>
      </c>
      <c r="K83" s="44">
        <f>I83/$K$4</f>
        <v>6.0317460317460311E-2</v>
      </c>
      <c r="L83" s="45">
        <f>I83-H83</f>
        <v>0</v>
      </c>
      <c r="M83" s="45">
        <f>((I83-H83)/H83*100)</f>
        <v>0</v>
      </c>
      <c r="N83" s="50">
        <v>302</v>
      </c>
      <c r="O83" s="37">
        <v>573.79999999999995</v>
      </c>
      <c r="P83" s="50">
        <f>(R83)/J83</f>
        <v>0</v>
      </c>
      <c r="Q83" s="48">
        <f>I83/G83-1</f>
        <v>0.46153846153846145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70222699.36019887</v>
      </c>
      <c r="E84" s="39">
        <f>C84*K84</f>
        <v>59634676.801111095</v>
      </c>
      <c r="F84" s="40" t="s">
        <v>174</v>
      </c>
      <c r="G84" s="40">
        <v>1.44347</v>
      </c>
      <c r="H84" s="42">
        <v>1.092908</v>
      </c>
      <c r="I84" s="42">
        <v>1.0203069999999999</v>
      </c>
      <c r="J84" s="43">
        <f>I84/$J$5</f>
        <v>3.814160482981626E-2</v>
      </c>
      <c r="K84" s="44">
        <f>I84/$K$4</f>
        <v>3.2390698412698406E-2</v>
      </c>
      <c r="L84" s="45">
        <f>I84-H84</f>
        <v>-7.2601000000000138E-2</v>
      </c>
      <c r="M84" s="45">
        <f>((I84-H84)/H84*100)</f>
        <v>-6.6429196236096848</v>
      </c>
      <c r="N84" s="50">
        <v>120228</v>
      </c>
      <c r="O84" s="37">
        <v>122674.62</v>
      </c>
      <c r="P84" s="47">
        <f>(R84)/J84</f>
        <v>5.7050562232739764E-2</v>
      </c>
      <c r="Q84" s="48">
        <f>I84/G84-1</f>
        <v>-0.29315676806584146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120530</v>
      </c>
      <c r="O85" s="60">
        <f>SUM(O83:O84)</f>
        <v>123248.42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42</v>
      </c>
      <c r="B88" s="110">
        <v>16.100000000000001</v>
      </c>
      <c r="D88" s="110">
        <v>15.000000000000011</v>
      </c>
      <c r="E88" s="35" t="s">
        <v>97</v>
      </c>
      <c r="F88" s="111">
        <v>4.1500000000000004</v>
      </c>
      <c r="H88" s="112">
        <v>-14.959016393442614</v>
      </c>
      <c r="L88" s="35" t="s">
        <v>147</v>
      </c>
      <c r="M88" s="50">
        <v>9.2999999999999999E-2</v>
      </c>
      <c r="N88" s="113">
        <v>19.383825417201546</v>
      </c>
      <c r="O88" s="35" t="s">
        <v>120</v>
      </c>
      <c r="P88" s="111">
        <v>0.1208</v>
      </c>
      <c r="Q88" s="114">
        <v>-18.926174496644286</v>
      </c>
    </row>
    <row r="89" spans="1:243" x14ac:dyDescent="0.25">
      <c r="A89" s="35" t="s">
        <v>99</v>
      </c>
      <c r="B89" s="110">
        <v>0.148755</v>
      </c>
      <c r="D89" s="110">
        <v>13.929140371300761</v>
      </c>
      <c r="E89" s="35" t="s">
        <v>90</v>
      </c>
      <c r="F89" s="111">
        <v>1.5</v>
      </c>
      <c r="H89" s="112">
        <v>-11.764705882352938</v>
      </c>
      <c r="L89" s="35" t="s">
        <v>130</v>
      </c>
      <c r="M89" s="50">
        <v>1.4027000000000001</v>
      </c>
      <c r="N89" s="113">
        <v>6.79101636848117</v>
      </c>
      <c r="O89" s="35" t="s">
        <v>126</v>
      </c>
      <c r="P89" s="111">
        <v>2.7199999999999998E-2</v>
      </c>
      <c r="Q89" s="114">
        <v>-5.555555555555558</v>
      </c>
    </row>
    <row r="90" spans="1:243" x14ac:dyDescent="0.25">
      <c r="A90" s="35" t="s">
        <v>107</v>
      </c>
      <c r="B90" s="110">
        <v>5.0199999999999995E-2</v>
      </c>
      <c r="C90" s="110"/>
      <c r="D90" s="110">
        <v>11.308203991130805</v>
      </c>
      <c r="E90" s="35" t="s">
        <v>115</v>
      </c>
      <c r="F90" s="111">
        <v>0.66302700000000003</v>
      </c>
      <c r="H90" s="112">
        <v>-11.596399999999996</v>
      </c>
      <c r="L90" s="35" t="s">
        <v>143</v>
      </c>
      <c r="M90" s="50">
        <v>0.60489999999999999</v>
      </c>
      <c r="N90" s="113">
        <v>4.2931034482758683</v>
      </c>
      <c r="O90" s="35" t="s">
        <v>124</v>
      </c>
      <c r="P90" s="111">
        <v>0.24</v>
      </c>
      <c r="Q90" s="114">
        <v>-2.4390243902439046</v>
      </c>
    </row>
    <row r="91" spans="1:243" x14ac:dyDescent="0.25">
      <c r="A91" s="35" t="s">
        <v>103</v>
      </c>
      <c r="B91" s="110">
        <v>0.11</v>
      </c>
      <c r="C91" s="110"/>
      <c r="D91" s="110">
        <v>9.5988681425980946</v>
      </c>
      <c r="E91" s="35" t="s">
        <v>72</v>
      </c>
      <c r="F91" s="111">
        <v>1.49</v>
      </c>
      <c r="G91" s="111"/>
      <c r="H91" s="112">
        <v>-10.464532838184173</v>
      </c>
      <c r="L91" s="35" t="s">
        <v>128</v>
      </c>
      <c r="M91" s="50">
        <v>0.1255</v>
      </c>
      <c r="N91" s="113">
        <v>2.5326797385620958</v>
      </c>
      <c r="O91" s="35" t="s">
        <v>139</v>
      </c>
      <c r="P91" s="111">
        <v>1.0215000000000001</v>
      </c>
      <c r="Q91" s="114">
        <v>-1.084535683160635</v>
      </c>
    </row>
    <row r="92" spans="1:243" x14ac:dyDescent="0.25">
      <c r="A92" s="35" t="s">
        <v>95</v>
      </c>
      <c r="B92" s="110">
        <v>0.04</v>
      </c>
      <c r="C92" s="110"/>
      <c r="D92" s="110">
        <v>0.3336092507587759</v>
      </c>
      <c r="E92" s="35" t="s">
        <v>64</v>
      </c>
      <c r="F92" s="111">
        <v>0.94466700000000003</v>
      </c>
      <c r="G92" s="111"/>
      <c r="H92" s="112">
        <v>-8.7278260869565116</v>
      </c>
      <c r="L92" s="35" t="s">
        <v>122</v>
      </c>
      <c r="M92" s="50">
        <v>55.092399999999998</v>
      </c>
      <c r="N92" s="113">
        <v>1.4400583314767177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d9EeJLJJKpdpRIYQw1afhHQcg2sbefiXuKs6/VD39w6qvog5A8879ZQ3CkECVtQzybMAuRQaV8AKf+udb+BTGQ==" saltValue="mNBhxkpO2UTbRMvluloZGQ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2026-06-18T12:18:17Z</dcterms:created>
  <dcterms:modified xsi:type="dcterms:W3CDTF">2026-06-18T12:27:15Z</dcterms:modified>
</cp:coreProperties>
</file>