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5.06.26/"/>
    </mc:Choice>
  </mc:AlternateContent>
  <xr:revisionPtr revIDLastSave="0" documentId="8_{0363D40E-D382-4AB5-9FE3-C45B79F0F4D7}" xr6:coauthVersionLast="47" xr6:coauthVersionMax="47" xr10:uidLastSave="{00000000-0000-0000-0000-000000000000}"/>
  <bookViews>
    <workbookView xWindow="-108" yWindow="-108" windowWidth="23256" windowHeight="12456" xr2:uid="{AFA3DA7B-AA1C-4C9E-95EA-5EEDF0994DAE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P74" i="1"/>
  <c r="M74" i="1"/>
  <c r="L74" i="1"/>
  <c r="J74" i="1"/>
  <c r="Q74" i="1" s="1"/>
  <c r="D74" i="1"/>
  <c r="O72" i="1"/>
  <c r="N72" i="1"/>
  <c r="M71" i="1"/>
  <c r="L71" i="1"/>
  <c r="J71" i="1"/>
  <c r="Q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Q59" i="1"/>
  <c r="P59" i="1"/>
  <c r="M59" i="1"/>
  <c r="L59" i="1"/>
  <c r="J59" i="1"/>
  <c r="D59" i="1"/>
  <c r="M58" i="1"/>
  <c r="L58" i="1"/>
  <c r="J58" i="1"/>
  <c r="D58" i="1" s="1"/>
  <c r="M57" i="1"/>
  <c r="L57" i="1"/>
  <c r="J57" i="1"/>
  <c r="D57" i="1" s="1"/>
  <c r="M56" i="1"/>
  <c r="L56" i="1"/>
  <c r="J56" i="1"/>
  <c r="D56" i="1" s="1"/>
  <c r="M55" i="1"/>
  <c r="L55" i="1"/>
  <c r="J55" i="1"/>
  <c r="D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P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D33" i="1"/>
  <c r="Q32" i="1"/>
  <c r="M32" i="1"/>
  <c r="L32" i="1"/>
  <c r="K32" i="1"/>
  <c r="E32" i="1" s="1"/>
  <c r="J32" i="1"/>
  <c r="D32" i="1" s="1"/>
  <c r="K31" i="1"/>
  <c r="E31" i="1" s="1"/>
  <c r="J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P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P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45" i="1" l="1"/>
  <c r="D21" i="1"/>
  <c r="D28" i="1"/>
  <c r="P57" i="1"/>
  <c r="Q57" i="1"/>
  <c r="D52" i="1"/>
  <c r="D14" i="1"/>
  <c r="D9" i="1"/>
  <c r="P16" i="1"/>
  <c r="D22" i="1"/>
  <c r="D43" i="1"/>
  <c r="P51" i="1"/>
  <c r="P71" i="1"/>
  <c r="D44" i="1"/>
  <c r="D53" i="1"/>
  <c r="D63" i="1"/>
  <c r="D15" i="1"/>
  <c r="D24" i="1"/>
  <c r="D51" i="1"/>
  <c r="D71" i="1"/>
  <c r="D12" i="1"/>
  <c r="D17" i="1"/>
  <c r="D41" i="1"/>
  <c r="D46" i="1"/>
  <c r="D61" i="1"/>
  <c r="D84" i="1"/>
  <c r="P10" i="1"/>
  <c r="P42" i="1"/>
  <c r="P63" i="1"/>
  <c r="Q55" i="1"/>
  <c r="D34" i="1"/>
  <c r="P61" i="1"/>
  <c r="K71" i="1"/>
  <c r="E71" i="1" s="1"/>
  <c r="D40" i="1"/>
  <c r="P55" i="1"/>
  <c r="D19" i="1"/>
  <c r="D25" i="1"/>
  <c r="P54" i="1"/>
  <c r="P56" i="1"/>
  <c r="P58" i="1"/>
  <c r="P60" i="1"/>
  <c r="P62" i="1"/>
  <c r="P64" i="1"/>
  <c r="K70" i="1"/>
  <c r="E70" i="1" s="1"/>
  <c r="P20" i="1"/>
  <c r="P23" i="1"/>
  <c r="P26" i="1"/>
  <c r="P32" i="1"/>
  <c r="P35" i="1"/>
  <c r="P52" i="1"/>
  <c r="Q54" i="1"/>
  <c r="Q56" i="1"/>
  <c r="Q58" i="1"/>
  <c r="Q60" i="1"/>
  <c r="Q62" i="1"/>
  <c r="Q64" i="1"/>
  <c r="P70" i="1"/>
  <c r="Q70" i="1"/>
  <c r="K74" i="1"/>
  <c r="E74" i="1" s="1"/>
  <c r="P29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<sst xmlns="http://schemas.openxmlformats.org/spreadsheetml/2006/main" count="265" uniqueCount="182">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</sst>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AACCC248-EF62-4C17-B20A-CAD89B8C8595}"/>
    <cellStyle name="Comma 5 2 2 2 2 2 2 2 2" xfId="4" xr:uid="{2ED7C08A-FDB2-4919-B9A3-C43BF7EBD09A}"/>
    <cellStyle name="Comma 6 2 2 2" xfId="5" xr:uid="{3A3A236D-19C5-4FAD-8204-91DF2CB7251E}"/>
    <cellStyle name="Hyperlink 2" xfId="8" xr:uid="{1A5C2C47-649B-479E-948A-9323600A2A7B}"/>
    <cellStyle name="Normal" xfId="0" builtinId="0"/>
    <cellStyle name="Normal 2" xfId="2" xr:uid="{95D559A6-A29E-4006-97DF-73BE5CEB9833}"/>
    <cellStyle name="Normal 20" xfId="7" xr:uid="{FB335E41-7880-415D-A908-09086FD2CDFC}"/>
    <cellStyle name="Percent" xfId="1" builtinId="5"/>
    <cellStyle name="Percent 3" xfId="6" xr:uid="{F442640B-1967-4AFE-ACF6-909318C96C9E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AB039DE-4DEE-4A63-A6D6-8EBA42B23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0ED3443-B7BF-48FA-B776-7F6A96FD0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857E-E2CE-4C9B-8D88-7CC13DD0BF1F}">
  <dimension ref="A1:II106"/>
  <sheetViews>
    <sheetView tabSelected="1" zoomScale="73" zoomScaleNormal="60" workbookViewId="0">
      <selection activeCell="K31" sqref="K3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26.7851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73586409.317120343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0.58988019458579588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2.5428892405063287E-2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3827418.4343916951</v>
      </c>
      <c r="E10" s="39">
        <f>C10*K10</f>
        <v>3254532.8732388886</v>
      </c>
      <c r="F10" s="40" t="s">
        <v>34</v>
      </c>
      <c r="G10" s="41">
        <v>3.1600000000000003E-2</v>
      </c>
      <c r="H10" s="42">
        <v>6.3442999999999999E-2</v>
      </c>
      <c r="I10" s="42">
        <v>6.2994999999999995E-2</v>
      </c>
      <c r="J10" s="43">
        <f>I10/$J$5</f>
        <v>2.3518672694893801E-3</v>
      </c>
      <c r="K10" s="44">
        <f>I10/$K$4</f>
        <v>1.9998412698412696E-3</v>
      </c>
      <c r="L10" s="45">
        <f>I10-H10</f>
        <v>-4.4800000000000395E-4</v>
      </c>
      <c r="M10" s="45">
        <f>((I10-H10)/H10)*100</f>
        <v>-0.70614567406964357</v>
      </c>
      <c r="N10" s="46">
        <v>44000</v>
      </c>
      <c r="O10" s="37">
        <v>2771.76</v>
      </c>
      <c r="P10" s="50">
        <f>(R10)/J10</f>
        <v>0</v>
      </c>
      <c r="Q10" s="48">
        <f>I10/G10-1</f>
        <v>0.99351265822784773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3589123.0191412396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8.2135216967642467E-3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118555916.70870607</v>
      </c>
      <c r="E12" s="39">
        <f>C12*K12</f>
        <v>100810542.36934485</v>
      </c>
      <c r="F12" s="40" t="s">
        <v>34</v>
      </c>
      <c r="G12" s="41">
        <v>97.381</v>
      </c>
      <c r="H12" s="42">
        <v>177.11458299999998</v>
      </c>
      <c r="I12" s="42">
        <v>153.90163899999999</v>
      </c>
      <c r="J12" s="43">
        <f>I12/$J$5</f>
        <v>5.7457929595185382</v>
      </c>
      <c r="K12" s="44">
        <f>I12/$K$4</f>
        <v>4.885766317460317</v>
      </c>
      <c r="L12" s="45">
        <f>I12-H12</f>
        <v>-23.212943999999993</v>
      </c>
      <c r="M12" s="45">
        <f>((I12-H12)/H12)*100</f>
        <v>-13.106173194106773</v>
      </c>
      <c r="N12" s="46">
        <v>12200</v>
      </c>
      <c r="O12" s="37">
        <v>1877600</v>
      </c>
      <c r="P12" s="50">
        <f>(R12)/J12</f>
        <v>0</v>
      </c>
      <c r="Q12" s="48">
        <f>I12/G12-1</f>
        <v>0.58040725603557153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4728876.6349201603</v>
      </c>
      <c r="E13" s="39">
        <f>C13*K13</f>
        <v>4021061.3826666665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0.54136441529059065</v>
      </c>
      <c r="K13" s="44">
        <f>I13/$K$4</f>
        <v>0.46033333333333332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331766326.71005654</v>
      </c>
      <c r="E14" s="39">
        <f>C14*K14</f>
        <v>282107753.57338208</v>
      </c>
      <c r="F14" s="40" t="s">
        <v>47</v>
      </c>
      <c r="G14" s="41">
        <v>11.5</v>
      </c>
      <c r="H14" s="42">
        <v>17.8</v>
      </c>
      <c r="I14" s="42">
        <v>17.002199000000001</v>
      </c>
      <c r="J14" s="43">
        <f>I14/$J$5</f>
        <v>0.63476331990546986</v>
      </c>
      <c r="K14" s="44">
        <f>I14/$K$4</f>
        <v>0.53975234920634929</v>
      </c>
      <c r="L14" s="45">
        <f>I14-H14</f>
        <v>-0.79780099999999976</v>
      </c>
      <c r="M14" s="45">
        <f>((I14-H14)/H14)*100</f>
        <v>-4.4820280898876383</v>
      </c>
      <c r="N14" s="46">
        <v>110300</v>
      </c>
      <c r="O14" s="37">
        <v>1875342.5</v>
      </c>
      <c r="P14" s="50">
        <f>(R14)/J14</f>
        <v>0</v>
      </c>
      <c r="Q14" s="48">
        <f>I14/G14-1</f>
        <v>0.47845208695652186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23753700.751537234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0.22400513718447942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39364563.469269931</v>
      </c>
      <c r="E16" s="39">
        <f>C16*K16</f>
        <v>33472500.60256324</v>
      </c>
      <c r="F16" s="40" t="s">
        <v>34</v>
      </c>
      <c r="G16" s="41">
        <v>1.9</v>
      </c>
      <c r="H16" s="42">
        <v>2.9451990000000001</v>
      </c>
      <c r="I16" s="42">
        <v>2.9451990000000001</v>
      </c>
      <c r="J16" s="43">
        <f>I16/$J$5</f>
        <v>0.10995661767176527</v>
      </c>
      <c r="K16" s="44">
        <f>I16/$K$4</f>
        <v>9.3498380952380958E-2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0.55010473684210548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1438096500.1083519</v>
      </c>
      <c r="E17" s="39">
        <f>C17*K17</f>
        <v>1222843129.0492766</v>
      </c>
      <c r="F17" s="40" t="s">
        <v>34</v>
      </c>
      <c r="G17" s="41">
        <v>20.701700000000002</v>
      </c>
      <c r="H17" s="42">
        <v>29.35408</v>
      </c>
      <c r="I17" s="42">
        <v>28.711361</v>
      </c>
      <c r="J17" s="43">
        <f>I17/$J$5</f>
        <v>1.0719153932596854</v>
      </c>
      <c r="K17" s="44">
        <f>I17/$K$4</f>
        <v>0.91147177777777777</v>
      </c>
      <c r="L17" s="45">
        <f>I17-H17</f>
        <v>-0.6427189999999996</v>
      </c>
      <c r="M17" s="45">
        <f>((I17-H17)/H17)*100</f>
        <v>-2.1895388988515383</v>
      </c>
      <c r="N17" s="46">
        <v>235300</v>
      </c>
      <c r="O17" s="37">
        <v>6755783.2000000002</v>
      </c>
      <c r="P17" s="47">
        <f>(R17)/J17</f>
        <v>4.6645472501286166E-2</v>
      </c>
      <c r="Q17" s="48">
        <f>I17/G17-1</f>
        <v>0.38690836984402233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287242782.89608771</v>
      </c>
      <c r="E19" s="39">
        <f>C19*K19</f>
        <v>244248465.52857143</v>
      </c>
      <c r="F19" s="40" t="s">
        <v>47</v>
      </c>
      <c r="G19" s="41">
        <v>12.45</v>
      </c>
      <c r="H19" s="42">
        <v>11.443439000000001</v>
      </c>
      <c r="I19" s="42">
        <v>11.45</v>
      </c>
      <c r="J19" s="43">
        <f>I19/$J$5</f>
        <v>0.4274764701270482</v>
      </c>
      <c r="K19" s="44">
        <f>I19/$K$4</f>
        <v>0.36349206349206348</v>
      </c>
      <c r="L19" s="45">
        <f>I19-H19</f>
        <v>6.5609999999978186E-3</v>
      </c>
      <c r="M19" s="45">
        <f>((I19-H19)/H19)*100</f>
        <v>5.7334163270305522E-2</v>
      </c>
      <c r="N19" s="46">
        <v>100</v>
      </c>
      <c r="O19" s="37">
        <v>1145</v>
      </c>
      <c r="P19" s="50">
        <f>(R19)/J19</f>
        <v>0</v>
      </c>
      <c r="Q19" s="48">
        <f>I19/G19-1</f>
        <v>-8.0321285140562249E-2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2401305.327794184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2.204583891790585E-2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55970148.427940905</v>
      </c>
      <c r="E21" s="39">
        <f>C21*K21</f>
        <v>47592572.147848889</v>
      </c>
      <c r="F21" s="40" t="s">
        <v>47</v>
      </c>
      <c r="G21" s="41">
        <v>2.85</v>
      </c>
      <c r="H21" s="42">
        <v>2.1722540000000001</v>
      </c>
      <c r="I21" s="42">
        <v>2.1722540000000001</v>
      </c>
      <c r="J21" s="43">
        <f>I21/$J$5</f>
        <v>8.1099342544922362E-2</v>
      </c>
      <c r="K21" s="44">
        <f>I21/$K$4</f>
        <v>6.8960444444444449E-2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-0.23780561403508771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41533089.056975707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3.3600770577671912E-2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8500</v>
      </c>
      <c r="O22" s="37">
        <v>7650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2103475.6418680535</v>
      </c>
      <c r="E23" s="39">
        <f>C23*K23</f>
        <v>1788628.7433333332</v>
      </c>
      <c r="F23" s="40" t="s">
        <v>44</v>
      </c>
      <c r="G23" s="41">
        <v>0.1</v>
      </c>
      <c r="H23" s="42">
        <v>0.105</v>
      </c>
      <c r="I23" s="42">
        <v>0.105</v>
      </c>
      <c r="J23" s="43">
        <f>I23/$J$5</f>
        <v>3.9200899007283902E-3</v>
      </c>
      <c r="K23" s="44">
        <f>I23/$K$4</f>
        <v>3.3333333333333331E-3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4.9999999999999822E-2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78545233.015360624</v>
      </c>
      <c r="E24" s="39">
        <f>C24*K24</f>
        <v>66788632.40761067</v>
      </c>
      <c r="F24" s="40" t="s">
        <v>34</v>
      </c>
      <c r="G24" s="41">
        <v>8.1687659999999997</v>
      </c>
      <c r="H24" s="42">
        <v>10.899573999999999</v>
      </c>
      <c r="I24" s="42">
        <v>10.899573999999999</v>
      </c>
      <c r="J24" s="43">
        <f>I24/$J$5</f>
        <v>0.40692676152039753</v>
      </c>
      <c r="K24" s="44">
        <f>I24/$K$4</f>
        <v>0.34601822222222223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0.33429871782347531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105749220.3245063</v>
      </c>
      <c r="E25" s="39">
        <f>C25*K25</f>
        <v>89920744.168696284</v>
      </c>
      <c r="F25" s="40" t="s">
        <v>66</v>
      </c>
      <c r="G25" s="41">
        <v>1.6675</v>
      </c>
      <c r="H25" s="42">
        <v>1.6784370000000002</v>
      </c>
      <c r="I25" s="42">
        <v>1.6784370000000002</v>
      </c>
      <c r="J25" s="43">
        <f>I25/$J$5</f>
        <v>6.2663085073417696E-2</v>
      </c>
      <c r="K25" s="44">
        <f>I25/$K$4</f>
        <v>5.3283714285714288E-2</v>
      </c>
      <c r="L25" s="45">
        <f>I25-H25</f>
        <v>0</v>
      </c>
      <c r="M25" s="45">
        <f>((I25-H25)/H25)*100</f>
        <v>0</v>
      </c>
      <c r="N25" s="46">
        <v>0</v>
      </c>
      <c r="O25" s="37">
        <v>0</v>
      </c>
      <c r="P25" s="50">
        <f>(R25)/J25</f>
        <v>0</v>
      </c>
      <c r="Q25" s="48">
        <f>I25/G25-1</f>
        <v>6.5589205397302841E-3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26812082.87443392</v>
      </c>
      <c r="E26" s="39">
        <f>C26*K26</f>
        <v>22798867.333333332</v>
      </c>
      <c r="F26" s="40" t="s">
        <v>44</v>
      </c>
      <c r="G26" s="41">
        <v>1.7994999999999999</v>
      </c>
      <c r="H26" s="42">
        <v>3.025204</v>
      </c>
      <c r="I26" s="42">
        <v>3</v>
      </c>
      <c r="J26" s="43">
        <f>I26/$J$5</f>
        <v>0.11200256859223971</v>
      </c>
      <c r="K26" s="44">
        <f>I26/$K$4</f>
        <v>9.5238095238095233E-2</v>
      </c>
      <c r="L26" s="45">
        <f>I26-H26</f>
        <v>-2.5204000000000004E-2</v>
      </c>
      <c r="M26" s="45">
        <f>((I26-H26)/H26)*100</f>
        <v>-0.83313389774706126</v>
      </c>
      <c r="N26" s="46">
        <v>1200</v>
      </c>
      <c r="O26" s="37">
        <v>3600</v>
      </c>
      <c r="P26" s="50">
        <f>(R26)/J26</f>
        <v>0</v>
      </c>
      <c r="Q26" s="48">
        <f>I26/G26-1</f>
        <v>0.66712975826618526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28152386.663808279</v>
      </c>
      <c r="E27" s="39">
        <f>C27*K27</f>
        <v>23938555.302500669</v>
      </c>
      <c r="F27" s="40" t="s">
        <v>34</v>
      </c>
      <c r="G27" s="41">
        <v>3.1361369999999997</v>
      </c>
      <c r="H27" s="42">
        <v>3</v>
      </c>
      <c r="I27" s="42">
        <v>2.9438310000000003</v>
      </c>
      <c r="J27" s="43">
        <f>I27/$J$5</f>
        <v>0.10990554450048723</v>
      </c>
      <c r="K27" s="44">
        <f>I27/$K$4</f>
        <v>9.3454952380952389E-2</v>
      </c>
      <c r="L27" s="45">
        <f>I27-H27</f>
        <v>-5.6168999999999691E-2</v>
      </c>
      <c r="M27" s="45">
        <f>((I27-H27)/H27)*100</f>
        <v>-1.8722999999999896</v>
      </c>
      <c r="N27" s="46">
        <v>20100</v>
      </c>
      <c r="O27" s="37">
        <v>59171</v>
      </c>
      <c r="P27" s="50">
        <f>(R27)/J27</f>
        <v>0</v>
      </c>
      <c r="Q27" s="48">
        <f>I27/G27-1</f>
        <v>-6.13193875140019E-2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24332426.875856355</v>
      </c>
      <c r="E28" s="39">
        <f>C28*K28</f>
        <v>20690364.670238096</v>
      </c>
      <c r="F28" s="40" t="s">
        <v>44</v>
      </c>
      <c r="G28" s="41">
        <v>0.8</v>
      </c>
      <c r="H28" s="42">
        <v>0.86</v>
      </c>
      <c r="I28" s="42">
        <v>0.86250000000000004</v>
      </c>
      <c r="J28" s="43">
        <f>I28/$J$5</f>
        <v>3.2200738470268921E-2</v>
      </c>
      <c r="K28" s="44">
        <f>I28/$K$4</f>
        <v>2.7380952380952381E-2</v>
      </c>
      <c r="L28" s="45">
        <f>I28-H28</f>
        <v>2.5000000000000577E-3</v>
      </c>
      <c r="M28" s="45">
        <f>((I28-H28)/H28)*100</f>
        <v>0.29069767441861138</v>
      </c>
      <c r="N28" s="46">
        <v>200</v>
      </c>
      <c r="O28" s="37">
        <v>172.5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80728410.054470569</v>
      </c>
      <c r="E29" s="39">
        <f>C29*K29</f>
        <v>68645032.893650785</v>
      </c>
      <c r="F29" s="40" t="s">
        <v>47</v>
      </c>
      <c r="G29" s="41">
        <v>5.15</v>
      </c>
      <c r="H29" s="42">
        <v>5.35</v>
      </c>
      <c r="I29" s="42">
        <v>5.35</v>
      </c>
      <c r="J29" s="43">
        <f>I29/$J$5</f>
        <v>0.19973791398949414</v>
      </c>
      <c r="K29" s="44">
        <f>I29/$K$4</f>
        <v>0.16984126984126982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3.883495145631044E-2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12555350.484728824</v>
      </c>
      <c r="E32" s="39">
        <f>C32*K32</f>
        <v>10676073.595825713</v>
      </c>
      <c r="F32" s="40" t="s">
        <v>39</v>
      </c>
      <c r="G32" s="41">
        <v>1.4</v>
      </c>
      <c r="H32" s="42">
        <v>1.2006459999999999</v>
      </c>
      <c r="I32" s="42">
        <v>1.2941130000000001</v>
      </c>
      <c r="J32" s="43">
        <f>I32/$J$5</f>
        <v>4.8314660016203041E-2</v>
      </c>
      <c r="K32" s="44">
        <f>I32/$K$4</f>
        <v>4.108295238095238E-2</v>
      </c>
      <c r="L32" s="45">
        <f>I32-H32</f>
        <v>9.3467000000000189E-2</v>
      </c>
      <c r="M32" s="45">
        <f>((I32-H32)/H32)*100</f>
        <v>7.7847258892296471</v>
      </c>
      <c r="N32" s="46">
        <v>120600</v>
      </c>
      <c r="O32" s="37">
        <v>156070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3416903.5209874148</v>
      </c>
      <c r="E33" s="39">
        <f>C33*K33</f>
        <v>2905463.5714285714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2.8000642148059928E-2</v>
      </c>
      <c r="K33" s="44">
        <f>I33/$K$4</f>
        <v>2.3809523809523808E-2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158384416.07834208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6.3468122202269175E-2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37851088.310609259</v>
      </c>
      <c r="E35" s="39">
        <f>C35*K35</f>
        <v>32185561.444714282</v>
      </c>
      <c r="F35" s="40" t="s">
        <v>34</v>
      </c>
      <c r="G35" s="41">
        <v>3.6056249999999999</v>
      </c>
      <c r="H35" s="42">
        <v>4</v>
      </c>
      <c r="I35" s="42">
        <v>3.9994999999999998</v>
      </c>
      <c r="J35" s="43">
        <f>I35/$J$5</f>
        <v>0.14931809102822091</v>
      </c>
      <c r="K35" s="44">
        <f>I35/$K$4</f>
        <v>0.12696825396825395</v>
      </c>
      <c r="L35" s="45">
        <f>I35-H35</f>
        <v>-5.0000000000016698E-4</v>
      </c>
      <c r="M35" s="45">
        <f>((I35-H35)/H35)*100</f>
        <v>-1.2500000000004174E-2</v>
      </c>
      <c r="N35" s="46">
        <v>900</v>
      </c>
      <c r="O35" s="37">
        <v>3599.55</v>
      </c>
      <c r="P35" s="50">
        <f>(R35)/J35</f>
        <v>0</v>
      </c>
      <c r="Q35" s="48">
        <f>I35/G35-1</f>
        <v>0.1092390362281157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7041353.6720042108</v>
      </c>
      <c r="E36" s="39">
        <f>C36*K36</f>
        <v>5987408.3250793647</v>
      </c>
      <c r="F36" s="40" t="s">
        <v>34</v>
      </c>
      <c r="G36" s="41">
        <v>2.5099999999999997E-2</v>
      </c>
      <c r="H36" s="42">
        <v>0.04</v>
      </c>
      <c r="I36" s="42">
        <v>0.04</v>
      </c>
      <c r="J36" s="43">
        <f>I36/$J$5</f>
        <v>1.4933675812298629E-3</v>
      </c>
      <c r="K36" s="44">
        <f>I36/$K$4</f>
        <v>1.2698412698412698E-3</v>
      </c>
      <c r="L36" s="45">
        <f>I36-H36</f>
        <v>0</v>
      </c>
      <c r="M36" s="45">
        <f>((I36-H36)/H36)*100</f>
        <v>0</v>
      </c>
      <c r="N36" s="46">
        <v>125500</v>
      </c>
      <c r="O36" s="37">
        <v>5020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52562208.154295862</v>
      </c>
      <c r="E37" s="39">
        <f>C37*K37</f>
        <v>44694730.210591428</v>
      </c>
      <c r="F37" s="40" t="s">
        <v>92</v>
      </c>
      <c r="G37" s="41">
        <v>0.61</v>
      </c>
      <c r="H37" s="42">
        <v>5.5496509999999999</v>
      </c>
      <c r="I37" s="42">
        <v>5.3928570000000002</v>
      </c>
      <c r="J37" s="43">
        <f>I37/$J$5</f>
        <v>0.20133794535021338</v>
      </c>
      <c r="K37" s="44">
        <f>I37/$K$4</f>
        <v>0.17120180952380953</v>
      </c>
      <c r="L37" s="45">
        <f>I37-H37</f>
        <v>-0.15679399999999966</v>
      </c>
      <c r="M37" s="45">
        <f>((I37-H37)/H37)*100</f>
        <v>-2.8252947797978587</v>
      </c>
      <c r="N37" s="46">
        <v>700</v>
      </c>
      <c r="O37" s="37">
        <v>3775</v>
      </c>
      <c r="P37" s="50">
        <f>(R37)/J37</f>
        <v>0</v>
      </c>
      <c r="Q37" s="48">
        <f>I37/G37-1</f>
        <v>7.8407491803278688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22708360.234048035</v>
      </c>
      <c r="E38" s="39">
        <f>C38*K38</f>
        <v>19309387.29222222</v>
      </c>
      <c r="F38" s="40" t="s">
        <v>56</v>
      </c>
      <c r="G38" s="41">
        <v>0.11650199999999999</v>
      </c>
      <c r="H38" s="42">
        <v>0.140129</v>
      </c>
      <c r="I38" s="42">
        <v>0.14499999999999999</v>
      </c>
      <c r="J38" s="43">
        <f>I38/$J$5</f>
        <v>5.4134574819582528E-3</v>
      </c>
      <c r="K38" s="44">
        <f>I38/$K$4</f>
        <v>4.603174603174603E-3</v>
      </c>
      <c r="L38" s="45">
        <f>I38-H38</f>
        <v>4.8709999999999865E-3</v>
      </c>
      <c r="M38" s="45">
        <f>((I38-H38)/H38)*100</f>
        <v>3.4760827523210658</v>
      </c>
      <c r="N38" s="46">
        <v>31900</v>
      </c>
      <c r="O38" s="37">
        <v>4625.5</v>
      </c>
      <c r="P38" s="50">
        <v>0</v>
      </c>
      <c r="Q38" s="48">
        <f>I38/G38-1</f>
        <v>0.2446138263720794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92137329.769162714</v>
      </c>
      <c r="E39" s="39">
        <f>C39*K39</f>
        <v>78346272.749206349</v>
      </c>
      <c r="F39" s="40" t="s">
        <v>34</v>
      </c>
      <c r="G39" s="41">
        <v>2.6005000000000003</v>
      </c>
      <c r="H39" s="42">
        <v>6.7960400000000005</v>
      </c>
      <c r="I39" s="42">
        <v>6.8</v>
      </c>
      <c r="J39" s="43">
        <f>I39/$J$5</f>
        <v>0.2538724888090767</v>
      </c>
      <c r="K39" s="44">
        <f>I39/$K$4</f>
        <v>0.21587301587301586</v>
      </c>
      <c r="L39" s="45">
        <f>I39-H39</f>
        <v>3.9599999999992974E-3</v>
      </c>
      <c r="M39" s="45">
        <f>((I39-H39)/H39)*100</f>
        <v>5.8269227373577807E-2</v>
      </c>
      <c r="N39" s="46">
        <v>1700</v>
      </c>
      <c r="O39" s="37">
        <v>11560</v>
      </c>
      <c r="P39" s="50">
        <f>(R39)/J39</f>
        <v>0</v>
      </c>
      <c r="Q39" s="48">
        <f>I39/G39-1</f>
        <v>1.6148817535089401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14533398.427103128</v>
      </c>
      <c r="E40" s="39">
        <f>C40*K40</f>
        <v>12358048.578088889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3.3675438956733408E-3</v>
      </c>
      <c r="K40" s="44">
        <f>I40/$K$4</f>
        <v>2.8634920634920636E-3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5962694.016449444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5.6001284296119856E-2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2655209.6919556023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1.4933675812298629E-3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505000</v>
      </c>
      <c r="O42" s="37">
        <v>20200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34011123.288694091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0.19413778555988218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900</v>
      </c>
      <c r="O43" s="37">
        <v>4680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311.37004894512245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6.7201541155343829E-7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1509615.4205136439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2.6208601050584095E-3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46838390.087772675</v>
      </c>
      <c r="E46" s="39">
        <f>C46*K46</f>
        <v>39827649.598095231</v>
      </c>
      <c r="F46" s="40" t="s">
        <v>47</v>
      </c>
      <c r="G46" s="41">
        <v>0.9998999999999999</v>
      </c>
      <c r="H46" s="42">
        <v>0.69</v>
      </c>
      <c r="I46" s="42">
        <v>0.69</v>
      </c>
      <c r="J46" s="43">
        <f>I46/$J$5</f>
        <v>2.5760590776215134E-2</v>
      </c>
      <c r="K46" s="44">
        <f>I46/$K$4</f>
        <v>2.1904761904761903E-2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-0.30993099309930994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4909732.1587165995</v>
      </c>
      <c r="E47" s="39">
        <f>C47*K47</f>
        <v>4174846.5664901584</v>
      </c>
      <c r="F47" s="40" t="s">
        <v>47</v>
      </c>
      <c r="G47" s="41">
        <v>1.4503460000000001</v>
      </c>
      <c r="H47" s="42">
        <v>1.2</v>
      </c>
      <c r="I47" s="42">
        <v>1.2803469999999999</v>
      </c>
      <c r="J47" s="43">
        <f>I47/$J$5</f>
        <v>4.7800717563122777E-2</v>
      </c>
      <c r="K47" s="44">
        <f>I47/$K$4</f>
        <v>4.0645936507936506E-2</v>
      </c>
      <c r="L47" s="45">
        <f>I47-H47</f>
        <v>8.0346999999999946E-2</v>
      </c>
      <c r="M47" s="45">
        <f>((I47-H47)/H47)*100</f>
        <v>6.6955833333333299</v>
      </c>
      <c r="N47" s="46">
        <v>20200</v>
      </c>
      <c r="O47" s="37">
        <v>25863</v>
      </c>
      <c r="P47" s="50">
        <v>0</v>
      </c>
      <c r="Q47" s="48">
        <f>I47/G47-1</f>
        <v>-0.11721272027502416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1239300</v>
      </c>
      <c r="O48" s="60">
        <f>SUM(O9:O47)</f>
        <v>10818629.010000002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76357034.380799994</v>
      </c>
      <c r="E51" s="39">
        <v>0</v>
      </c>
      <c r="F51" s="40" t="s">
        <v>92</v>
      </c>
      <c r="G51" s="68">
        <v>0.1</v>
      </c>
      <c r="H51" s="42">
        <v>0.1394</v>
      </c>
      <c r="I51" s="42">
        <v>0.1376</v>
      </c>
      <c r="J51" s="43">
        <f>I51</f>
        <v>0.1376</v>
      </c>
      <c r="K51" s="39">
        <v>0</v>
      </c>
      <c r="L51" s="45">
        <f>I51-H51</f>
        <v>-1.799999999999996E-3</v>
      </c>
      <c r="M51" s="45">
        <f>((I51-H51)/H51)*100</f>
        <v>-1.2912482065997104</v>
      </c>
      <c r="N51" s="46">
        <v>3219</v>
      </c>
      <c r="O51" s="37">
        <v>442.97</v>
      </c>
      <c r="P51" s="69">
        <f>(R51)/J51</f>
        <v>0</v>
      </c>
      <c r="Q51" s="48">
        <f>J51/G51-1</f>
        <v>0.37599999999999989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49336457.204499997</v>
      </c>
      <c r="E52" s="39">
        <v>0</v>
      </c>
      <c r="F52" s="40" t="s">
        <v>39</v>
      </c>
      <c r="G52" s="68">
        <v>39.9</v>
      </c>
      <c r="H52" s="42">
        <v>51.297199999999997</v>
      </c>
      <c r="I52" s="42">
        <v>46.645699999999998</v>
      </c>
      <c r="J52" s="43">
        <f>I52</f>
        <v>46.645699999999998</v>
      </c>
      <c r="K52" s="39">
        <v>0</v>
      </c>
      <c r="L52" s="45">
        <f>I52-H52</f>
        <v>-4.6514999999999986</v>
      </c>
      <c r="M52" s="45">
        <f>((I52-H52)/H52)*100</f>
        <v>-9.067746387717067</v>
      </c>
      <c r="N52" s="46">
        <v>599</v>
      </c>
      <c r="O52" s="37">
        <v>27940.799999999999</v>
      </c>
      <c r="P52" s="70">
        <f>(R52)/J52</f>
        <v>1.2005393851952057E-2</v>
      </c>
      <c r="Q52" s="48">
        <f>J52/G52-1</f>
        <v>0.16906516290726814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756718074.03869998</v>
      </c>
      <c r="E53" s="39"/>
      <c r="F53" s="40" t="s">
        <v>56</v>
      </c>
      <c r="G53" s="68">
        <v>0.33</v>
      </c>
      <c r="H53" s="42">
        <v>0.24809999999999999</v>
      </c>
      <c r="I53" s="42">
        <v>0.25290000000000001</v>
      </c>
      <c r="J53" s="43">
        <f>I53</f>
        <v>0.25290000000000001</v>
      </c>
      <c r="K53" s="39">
        <v>0</v>
      </c>
      <c r="L53" s="45">
        <f>I53-H53</f>
        <v>4.8000000000000265E-3</v>
      </c>
      <c r="M53" s="45">
        <f>((I53-H53)/H53)*100</f>
        <v>1.9347037484885234</v>
      </c>
      <c r="N53" s="46">
        <v>64310</v>
      </c>
      <c r="O53" s="37">
        <v>16265.37</v>
      </c>
      <c r="P53" s="69">
        <v>0</v>
      </c>
      <c r="Q53" s="48">
        <f>J53/G53-1</f>
        <v>-0.23363636363636364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15365471.763599999</v>
      </c>
      <c r="E54" s="39">
        <v>0</v>
      </c>
      <c r="F54" s="40" t="s">
        <v>34</v>
      </c>
      <c r="G54" s="68">
        <v>2.3E-2</v>
      </c>
      <c r="H54" s="42">
        <v>2.52E-2</v>
      </c>
      <c r="I54" s="42">
        <v>2.52E-2</v>
      </c>
      <c r="J54" s="43">
        <f>I54</f>
        <v>2.52E-2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9.5652173913043592E-2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254236609.25039998</v>
      </c>
      <c r="E55" s="39">
        <v>0</v>
      </c>
      <c r="F55" s="40" t="s">
        <v>47</v>
      </c>
      <c r="G55" s="68">
        <v>9.0200000000000002E-2</v>
      </c>
      <c r="H55" s="42">
        <v>0.11609999999999999</v>
      </c>
      <c r="I55" s="42">
        <v>0.1176</v>
      </c>
      <c r="J55" s="43">
        <f>I55</f>
        <v>0.1176</v>
      </c>
      <c r="K55" s="39">
        <v>0</v>
      </c>
      <c r="L55" s="45">
        <f>I55-H55</f>
        <v>1.5000000000000013E-3</v>
      </c>
      <c r="M55" s="71">
        <f>((I55-H55)/H55)*100</f>
        <v>1.2919896640826884</v>
      </c>
      <c r="N55" s="46">
        <v>7952</v>
      </c>
      <c r="O55" s="37">
        <v>935.09</v>
      </c>
      <c r="P55" s="69">
        <f>(R55)/J55</f>
        <v>0</v>
      </c>
      <c r="Q55" s="48">
        <f>J55/G55-1</f>
        <v>0.30376940133037689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748531607.06500006</v>
      </c>
      <c r="E56" s="39">
        <v>0</v>
      </c>
      <c r="F56" s="40" t="s">
        <v>34</v>
      </c>
      <c r="G56" s="68">
        <v>0.95750000000000002</v>
      </c>
      <c r="H56" s="42">
        <v>1.2906</v>
      </c>
      <c r="I56" s="42">
        <v>1.2997000000000001</v>
      </c>
      <c r="J56" s="43">
        <f>I56</f>
        <v>1.2997000000000001</v>
      </c>
      <c r="K56" s="39">
        <v>0</v>
      </c>
      <c r="L56" s="45">
        <f>I56-H56</f>
        <v>9.100000000000108E-3</v>
      </c>
      <c r="M56" s="45">
        <f>((I56-H56)/H56)*100</f>
        <v>0.70509840384318212</v>
      </c>
      <c r="N56" s="46">
        <v>2081</v>
      </c>
      <c r="O56" s="37">
        <v>2704.7</v>
      </c>
      <c r="P56" s="70">
        <f>(R56)/J56</f>
        <v>3.6162191274909591E-2</v>
      </c>
      <c r="Q56" s="48">
        <f>J56/G56-1</f>
        <v>0.35738903394255872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24680495.766599998</v>
      </c>
      <c r="E57" s="39">
        <v>0</v>
      </c>
      <c r="F57" s="40" t="s">
        <v>34</v>
      </c>
      <c r="G57" s="68">
        <v>0.1595</v>
      </c>
      <c r="H57" s="42">
        <v>0.151</v>
      </c>
      <c r="I57" s="42">
        <v>0.15029999999999999</v>
      </c>
      <c r="J57" s="43">
        <f>I57</f>
        <v>0.15029999999999999</v>
      </c>
      <c r="K57" s="39">
        <v>0</v>
      </c>
      <c r="L57" s="45">
        <f>I57-H57</f>
        <v>-7.0000000000000617E-4</v>
      </c>
      <c r="M57" s="45">
        <f>((I57-H57)/H57)*100</f>
        <v>-0.46357615894040149</v>
      </c>
      <c r="N57" s="46">
        <v>5800</v>
      </c>
      <c r="O57" s="37">
        <v>871.75</v>
      </c>
      <c r="P57" s="69">
        <f>(R57)/J57</f>
        <v>0</v>
      </c>
      <c r="Q57" s="48">
        <f>J57/G57-1</f>
        <v>-5.7680250783699094E-2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15971080.431600001</v>
      </c>
      <c r="E58" s="39">
        <v>0</v>
      </c>
      <c r="F58" s="40" t="s">
        <v>92</v>
      </c>
      <c r="G58" s="68">
        <v>1.6799999999999999E-2</v>
      </c>
      <c r="H58" s="42">
        <v>1.9800000000000002E-2</v>
      </c>
      <c r="I58" s="42">
        <v>2.01E-2</v>
      </c>
      <c r="J58" s="43">
        <f>I58</f>
        <v>2.01E-2</v>
      </c>
      <c r="K58" s="39">
        <v>0</v>
      </c>
      <c r="L58" s="45">
        <f>I58-H58</f>
        <v>2.9999999999999818E-4</v>
      </c>
      <c r="M58" s="71">
        <f>((I58-H58)/H58)*100</f>
        <v>1.5151515151515058</v>
      </c>
      <c r="N58" s="46">
        <v>150660</v>
      </c>
      <c r="O58" s="37">
        <v>3022.08</v>
      </c>
      <c r="P58" s="69">
        <f>(R58)/J58</f>
        <v>0</v>
      </c>
      <c r="Q58" s="48">
        <f>J58/G58-1</f>
        <v>0.1964285714285714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2580368</v>
      </c>
      <c r="E59" s="39">
        <v>0</v>
      </c>
      <c r="F59" s="40" t="s">
        <v>138</v>
      </c>
      <c r="G59" s="68">
        <v>19.5</v>
      </c>
      <c r="H59" s="42">
        <v>16</v>
      </c>
      <c r="I59" s="42">
        <v>16</v>
      </c>
      <c r="J59" s="43">
        <f>I59</f>
        <v>16</v>
      </c>
      <c r="K59" s="39">
        <v>0</v>
      </c>
      <c r="L59" s="45">
        <f>I59-H59</f>
        <v>0</v>
      </c>
      <c r="M59" s="45">
        <f>((I59-H59)/H59)*100</f>
        <v>0</v>
      </c>
      <c r="N59" s="46">
        <v>4</v>
      </c>
      <c r="O59" s="37">
        <v>64</v>
      </c>
      <c r="P59" s="69">
        <f>(R59)/J59</f>
        <v>0</v>
      </c>
      <c r="Q59" s="48">
        <f>J59/G59-1</f>
        <v>-0.17948717948717952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805492996.22549999</v>
      </c>
      <c r="E60" s="39">
        <v>0</v>
      </c>
      <c r="F60" s="40" t="s">
        <v>92</v>
      </c>
      <c r="G60" s="68">
        <v>0.59499999999999997</v>
      </c>
      <c r="H60" s="42">
        <v>1.0858000000000001</v>
      </c>
      <c r="I60" s="42">
        <v>1.0004999999999999</v>
      </c>
      <c r="J60" s="43">
        <f>I60</f>
        <v>1.0004999999999999</v>
      </c>
      <c r="K60" s="39">
        <v>0</v>
      </c>
      <c r="L60" s="45">
        <f>I60-H60</f>
        <v>-8.5300000000000153E-2</v>
      </c>
      <c r="M60" s="45">
        <f>((I60-H60)/H60)*100</f>
        <v>-7.8559587400994797</v>
      </c>
      <c r="N60" s="46">
        <v>20715</v>
      </c>
      <c r="O60" s="37">
        <v>20726.32</v>
      </c>
      <c r="P60" s="69">
        <f>(R60)/J60</f>
        <v>0</v>
      </c>
      <c r="Q60" s="48">
        <f>J60/G60-1</f>
        <v>0.68151260504201683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74851138.117800012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0.28710000000000002</v>
      </c>
      <c r="J61" s="43">
        <f>I61</f>
        <v>0.28710000000000002</v>
      </c>
      <c r="K61" s="39">
        <v>0</v>
      </c>
      <c r="L61" s="45">
        <f>I61-H61</f>
        <v>-1.2899999999999967E-2</v>
      </c>
      <c r="M61" s="45">
        <f>((I61-H61)/H61)*100</f>
        <v>-4.2999999999999892</v>
      </c>
      <c r="N61" s="46">
        <v>13585</v>
      </c>
      <c r="O61" s="37">
        <v>3899.89</v>
      </c>
      <c r="P61" s="69">
        <f>(R61)/J61</f>
        <v>0</v>
      </c>
      <c r="Q61" s="48">
        <f>J61/G61-1</f>
        <v>0.27035398230088492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389144310.2536</v>
      </c>
      <c r="E62" s="39">
        <v>0</v>
      </c>
      <c r="F62" s="40" t="s">
        <v>34</v>
      </c>
      <c r="G62" s="68">
        <v>0.49440000000000001</v>
      </c>
      <c r="H62" s="42">
        <v>0.69850000000000001</v>
      </c>
      <c r="I62" s="42">
        <v>0.69220000000000004</v>
      </c>
      <c r="J62" s="43">
        <f>I62</f>
        <v>0.69220000000000004</v>
      </c>
      <c r="K62" s="39">
        <v>0</v>
      </c>
      <c r="L62" s="45">
        <f>I62-H62</f>
        <v>-6.2999999999999723E-3</v>
      </c>
      <c r="M62" s="45">
        <f>((I62-H62)/H62)*100</f>
        <v>-0.90193271295633104</v>
      </c>
      <c r="N62" s="46">
        <v>891</v>
      </c>
      <c r="O62" s="37">
        <v>616.74</v>
      </c>
      <c r="P62" s="69">
        <f>(R62)/J62</f>
        <v>0</v>
      </c>
      <c r="Q62" s="48">
        <f>J62/G62-1</f>
        <v>0.40008090614886727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27015110.102399997</v>
      </c>
      <c r="E64" s="39">
        <v>0</v>
      </c>
      <c r="F64" s="40" t="s">
        <v>44</v>
      </c>
      <c r="G64" s="68">
        <v>4.2999999999999997E-2</v>
      </c>
      <c r="H64" s="42">
        <v>8.4599999999999995E-2</v>
      </c>
      <c r="I64" s="42">
        <v>7.8399999999999997E-2</v>
      </c>
      <c r="J64" s="43">
        <f>I64</f>
        <v>7.8399999999999997E-2</v>
      </c>
      <c r="K64" s="39">
        <v>0</v>
      </c>
      <c r="L64" s="45">
        <f>I64-H64</f>
        <v>-6.1999999999999972E-3</v>
      </c>
      <c r="M64" s="45">
        <f>((I64-H64)/H64)*100</f>
        <v>-7.3286052009456233</v>
      </c>
      <c r="N64" s="46">
        <v>3480</v>
      </c>
      <c r="O64" s="37">
        <v>272.93</v>
      </c>
      <c r="P64" s="69">
        <f>(R64)/J64</f>
        <v>0</v>
      </c>
      <c r="Q64" s="48">
        <f>J64/G64-1</f>
        <v>0.82325581395348846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273296</v>
      </c>
      <c r="O65" s="60">
        <f>SUM(O51:O64)</f>
        <v>77762.639999999985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0.3599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9.9999999999988987E-5</v>
      </c>
      <c r="M70" s="45">
        <f>((I70-H70)/H70)*100</f>
        <v>2.7785495971100024E-2</v>
      </c>
      <c r="N70" s="90">
        <v>108</v>
      </c>
      <c r="O70" s="91">
        <v>38.880000000000003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70938438.375</v>
      </c>
      <c r="E71" s="39">
        <f>C71*K71</f>
        <v>70938438.375</v>
      </c>
      <c r="F71" s="87" t="s">
        <v>156</v>
      </c>
      <c r="G71" s="87">
        <v>0.1</v>
      </c>
      <c r="H71" s="88">
        <v>0.14899999999999999</v>
      </c>
      <c r="I71" s="88">
        <v>0.15049999999999999</v>
      </c>
      <c r="J71" s="89">
        <f>I71</f>
        <v>0.15049999999999999</v>
      </c>
      <c r="K71" s="89">
        <f>J71</f>
        <v>0.15049999999999999</v>
      </c>
      <c r="L71" s="45">
        <f>I71-H71</f>
        <v>1.5000000000000013E-3</v>
      </c>
      <c r="M71" s="45">
        <f>((I71-H71)/H71)*100</f>
        <v>1.0067114093959741</v>
      </c>
      <c r="N71" s="46">
        <v>750</v>
      </c>
      <c r="O71" s="91">
        <v>112.84</v>
      </c>
      <c r="P71" s="92">
        <f>(R71)/J71</f>
        <v>2.5196013289036544E-2</v>
      </c>
      <c r="Q71" s="48">
        <f>J71/G71-1</f>
        <v>0.50499999999999989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858</v>
      </c>
      <c r="O72" s="60">
        <f>SUM(O70:O71)</f>
        <v>151.72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2812740.7944999998</v>
      </c>
      <c r="E74" s="39">
        <f>C74*K74</f>
        <v>2812740.7944999998</v>
      </c>
      <c r="F74" s="87" t="s">
        <v>138</v>
      </c>
      <c r="G74" s="87">
        <v>0.1394</v>
      </c>
      <c r="H74" s="88">
        <v>0.13969999999999999</v>
      </c>
      <c r="I74" s="88">
        <v>0.1351</v>
      </c>
      <c r="J74" s="89">
        <f>I74</f>
        <v>0.1351</v>
      </c>
      <c r="K74" s="89">
        <f>J74</f>
        <v>0.1351</v>
      </c>
      <c r="L74" s="45">
        <f>I74-H74</f>
        <v>-4.599999999999993E-3</v>
      </c>
      <c r="M74" s="45">
        <f>((I74-H74)/H74)*100</f>
        <v>-3.2927702219040755</v>
      </c>
      <c r="N74" s="90">
        <v>139244</v>
      </c>
      <c r="O74" s="91">
        <v>18807.490000000002</v>
      </c>
      <c r="P74" s="69">
        <f>(R74)/J74</f>
        <v>0</v>
      </c>
      <c r="Q74" s="48">
        <f>J74/G74-1</f>
        <v>-3.0846484935437624E-2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111181.51408058956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2.4491228332169748E-3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305009.9913758022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2.2400513718447944E-3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1845867.2918898941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3.7334189530746575E-3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2381655.1963591697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5.7867993772657188E-2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0</v>
      </c>
      <c r="O81" s="60">
        <f>SUM(O77:O80)</f>
        <v>0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27940641.887747291</v>
      </c>
      <c r="E83" s="39">
        <f>C83*K83</f>
        <v>23758504.350079361</v>
      </c>
      <c r="F83" s="40" t="s">
        <v>174</v>
      </c>
      <c r="G83" s="40">
        <v>1.3</v>
      </c>
      <c r="H83" s="42">
        <v>2.0318749999999999</v>
      </c>
      <c r="I83" s="42">
        <v>2.0318749999999999</v>
      </c>
      <c r="J83" s="43">
        <f>I83/$J$5</f>
        <v>7.5858406352785693E-2</v>
      </c>
      <c r="K83" s="44">
        <f>I83/$K$4</f>
        <v>6.4503968253968244E-2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0.56298076923076912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70878806.689540073</v>
      </c>
      <c r="E84" s="39">
        <f>C84*K84</f>
        <v>60269711.906666666</v>
      </c>
      <c r="F84" s="40" t="s">
        <v>174</v>
      </c>
      <c r="G84" s="40">
        <v>1.44347</v>
      </c>
      <c r="H84" s="42">
        <v>1.036578</v>
      </c>
      <c r="I84" s="42">
        <v>1.031172</v>
      </c>
      <c r="J84" s="43">
        <f>I84/$J$5</f>
        <v>3.8497970886799002E-2</v>
      </c>
      <c r="K84" s="44">
        <f>I84/$K$4</f>
        <v>3.2735619047619048E-2</v>
      </c>
      <c r="L84" s="45">
        <f>I84-H84</f>
        <v>-5.4060000000000219E-3</v>
      </c>
      <c r="M84" s="45">
        <f>((I84-H84)/H84*100)</f>
        <v>-0.52152370588610042</v>
      </c>
      <c r="N84" s="50">
        <v>16671311</v>
      </c>
      <c r="O84" s="37">
        <v>17190995.5</v>
      </c>
      <c r="P84" s="47">
        <f>(R84)/J84</f>
        <v>5.6522459492693751E-2</v>
      </c>
      <c r="Q84" s="48">
        <f>I84/G84-1</f>
        <v>-0.28562976715830601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16671311</v>
      </c>
      <c r="O85" s="60">
        <f>SUM(O83:O84)</f>
        <v>17190995.5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86</v>
      </c>
      <c r="B88" s="110">
        <v>1.2941130000000001</v>
      </c>
      <c r="D88" s="110">
        <v>7.7847258892296471</v>
      </c>
      <c r="E88" s="35" t="s">
        <v>40</v>
      </c>
      <c r="F88" s="111">
        <v>153.90163899999999</v>
      </c>
      <c r="H88" s="112">
        <v>-13.106173194106773</v>
      </c>
      <c r="L88" s="35" t="s">
        <v>124</v>
      </c>
      <c r="M88" s="50">
        <v>0.25290000000000001</v>
      </c>
      <c r="N88" s="113">
        <v>1.9347037484885234</v>
      </c>
      <c r="O88" s="35" t="s">
        <v>122</v>
      </c>
      <c r="P88" s="111">
        <v>46.645699999999998</v>
      </c>
      <c r="Q88" s="114">
        <v>-9.067746387717067</v>
      </c>
    </row>
    <row r="89" spans="1:243" x14ac:dyDescent="0.25">
      <c r="A89" s="35" t="s">
        <v>117</v>
      </c>
      <c r="B89" s="110">
        <v>1.2803469999999999</v>
      </c>
      <c r="D89" s="110">
        <v>6.6955833333333299</v>
      </c>
      <c r="E89" s="35" t="s">
        <v>45</v>
      </c>
      <c r="F89" s="111">
        <v>17.002199000000001</v>
      </c>
      <c r="H89" s="112">
        <v>-4.4820280898876383</v>
      </c>
      <c r="L89" s="35" t="s">
        <v>134</v>
      </c>
      <c r="M89" s="50">
        <v>2.01E-2</v>
      </c>
      <c r="N89" s="113">
        <v>1.5151515151515058</v>
      </c>
      <c r="O89" s="35" t="s">
        <v>139</v>
      </c>
      <c r="P89" s="111">
        <v>1.0004999999999999</v>
      </c>
      <c r="Q89" s="114">
        <v>-7.8559587400994797</v>
      </c>
    </row>
    <row r="90" spans="1:243" x14ac:dyDescent="0.25">
      <c r="A90" s="35" t="s">
        <v>99</v>
      </c>
      <c r="B90" s="110">
        <v>0.14499999999999999</v>
      </c>
      <c r="C90" s="110"/>
      <c r="D90" s="110">
        <v>3.4760827523210658</v>
      </c>
      <c r="E90" s="35" t="s">
        <v>97</v>
      </c>
      <c r="F90" s="111">
        <v>5.3928570000000002</v>
      </c>
      <c r="H90" s="112">
        <v>-2.8252947797978587</v>
      </c>
      <c r="L90" s="35" t="s">
        <v>128</v>
      </c>
      <c r="M90" s="50">
        <v>0.1176</v>
      </c>
      <c r="N90" s="113">
        <v>1.2919896640826884</v>
      </c>
      <c r="O90" s="35" t="s">
        <v>147</v>
      </c>
      <c r="P90" s="111">
        <v>7.8399999999999997E-2</v>
      </c>
      <c r="Q90" s="114">
        <v>-7.3286052009456233</v>
      </c>
    </row>
    <row r="91" spans="1:243" x14ac:dyDescent="0.25">
      <c r="A91" s="35" t="s">
        <v>78</v>
      </c>
      <c r="B91" s="110">
        <v>0.86250000000000004</v>
      </c>
      <c r="C91" s="110"/>
      <c r="D91" s="110">
        <v>0.29069767441861138</v>
      </c>
      <c r="E91" s="35" t="s">
        <v>52</v>
      </c>
      <c r="F91" s="111">
        <v>28.711361</v>
      </c>
      <c r="G91" s="111"/>
      <c r="H91" s="112">
        <v>-2.1895388988515383</v>
      </c>
      <c r="L91" s="35" t="s">
        <v>130</v>
      </c>
      <c r="M91" s="50">
        <v>1.2997000000000001</v>
      </c>
      <c r="N91" s="113">
        <v>0.70509840384318212</v>
      </c>
      <c r="O91" s="35" t="s">
        <v>141</v>
      </c>
      <c r="P91" s="111">
        <v>0.28710000000000002</v>
      </c>
      <c r="Q91" s="114">
        <v>-4.2999999999999892</v>
      </c>
    </row>
    <row r="92" spans="1:243" x14ac:dyDescent="0.25">
      <c r="A92" s="35" t="s">
        <v>101</v>
      </c>
      <c r="B92" s="110">
        <v>6.8</v>
      </c>
      <c r="C92" s="110"/>
      <c r="D92" s="110">
        <v>5.8269227373577807E-2</v>
      </c>
      <c r="E92" s="35" t="s">
        <v>76</v>
      </c>
      <c r="F92" s="111">
        <v>2.9438310000000003</v>
      </c>
      <c r="G92" s="111"/>
      <c r="H92" s="112">
        <v>-1.8722999999999896</v>
      </c>
      <c r="L92" s="35"/>
      <c r="M92" s="50"/>
      <c r="N92" s="113"/>
      <c r="O92" s="35" t="s">
        <v>120</v>
      </c>
      <c r="P92" s="111">
        <v>0.1376</v>
      </c>
      <c r="Q92" s="114">
        <v>-1.2912482065997104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T9oF7/6nK1QrJCn79WBFNyTu76OLfHXWfmtDzZLUv827Bpmhp6W9cIMgy22vqLNd/BAhafPT1Otmqcp/61J6eA==" saltValue="mACM/2fz4TvdZ0Db1gOh7w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2026-06-05T13:37:58Z</dcterms:created>
  <dcterms:modified xsi:type="dcterms:W3CDTF">2026-06-05T13:47:26Z</dcterms:modified>
</cp:coreProperties>
</file>