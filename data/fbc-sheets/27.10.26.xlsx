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27.10.26/"/>
    </mc:Choice>
  </mc:AlternateContent>
  <xr:revisionPtr revIDLastSave="0" documentId="8_{E06B5712-0494-4985-AD2A-ACDD6EC539D7}" xr6:coauthVersionLast="47" xr6:coauthVersionMax="47" xr10:uidLastSave="{00000000-0000-0000-0000-000000000000}"/>
  <bookViews>
    <workbookView xWindow="-108" yWindow="-108" windowWidth="23256" windowHeight="12456" xr2:uid="{1CB09AEC-6F71-4795-B51D-BD991A75594A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M62" i="1"/>
  <c r="L62" i="1"/>
  <c r="J62" i="1"/>
  <c r="M61" i="1"/>
  <c r="L61" i="1"/>
  <c r="J61" i="1"/>
  <c r="D61" i="1"/>
  <c r="M60" i="1"/>
  <c r="L60" i="1"/>
  <c r="J60" i="1"/>
  <c r="M59" i="1"/>
  <c r="L59" i="1"/>
  <c r="J59" i="1"/>
  <c r="D59" i="1"/>
  <c r="M58" i="1"/>
  <c r="L58" i="1"/>
  <c r="J58" i="1"/>
  <c r="M57" i="1"/>
  <c r="L57" i="1"/>
  <c r="J57" i="1"/>
  <c r="M56" i="1"/>
  <c r="L56" i="1"/>
  <c r="J56" i="1"/>
  <c r="D56" i="1"/>
  <c r="M55" i="1"/>
  <c r="L55" i="1"/>
  <c r="J55" i="1"/>
  <c r="D55" i="1"/>
  <c r="Q54" i="1"/>
  <c r="P54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E35" i="1"/>
  <c r="Q34" i="1"/>
  <c r="M34" i="1"/>
  <c r="L34" i="1"/>
  <c r="K34" i="1"/>
  <c r="J34" i="1"/>
  <c r="E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E21" i="1"/>
  <c r="Q20" i="1"/>
  <c r="M20" i="1"/>
  <c r="L20" i="1"/>
  <c r="K20" i="1"/>
  <c r="J20" i="1"/>
  <c r="E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35" i="1" l="1"/>
  <c r="D35" i="1"/>
  <c r="P34" i="1"/>
  <c r="D34" i="1"/>
  <c r="P21" i="1"/>
  <c r="D21" i="1"/>
  <c r="P20" i="1"/>
  <c r="D20" i="1"/>
  <c r="K75" i="1"/>
  <c r="E75" i="1" s="1"/>
  <c r="Q75" i="1"/>
  <c r="P75" i="1"/>
  <c r="Q72" i="1"/>
  <c r="K72" i="1"/>
  <c r="E72" i="1" s="1"/>
  <c r="P72" i="1"/>
  <c r="Q71" i="1"/>
  <c r="K71" i="1"/>
  <c r="E71" i="1" s="1"/>
  <c r="P71" i="1"/>
  <c r="P65" i="1"/>
  <c r="Q65" i="1"/>
  <c r="P64" i="1"/>
  <c r="Q64" i="1"/>
  <c r="D63" i="1"/>
  <c r="P63" i="1"/>
  <c r="Q63" i="1"/>
  <c r="P62" i="1"/>
  <c r="Q62" i="1"/>
  <c r="D62" i="1"/>
  <c r="P61" i="1"/>
  <c r="Q61" i="1"/>
  <c r="D60" i="1"/>
  <c r="P60" i="1"/>
  <c r="Q60" i="1"/>
  <c r="P59" i="1"/>
  <c r="Q59" i="1"/>
  <c r="P58" i="1"/>
  <c r="D58" i="1"/>
  <c r="Q58" i="1"/>
  <c r="P57" i="1"/>
  <c r="D57" i="1"/>
  <c r="Q57" i="1"/>
  <c r="P56" i="1"/>
  <c r="Q56" i="1"/>
  <c r="P55" i="1"/>
  <c r="Q55" i="1"/>
  <c r="Q51" i="1"/>
  <c r="P51" i="1"/>
  <c r="Q50" i="1"/>
  <c r="P50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<sst xmlns="http://schemas.openxmlformats.org/spreadsheetml/2006/main" count="271" uniqueCount="185">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</sst>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EC08F49C-A226-41D6-9DAC-D3277604EC17}"/>
    <cellStyle name="Comma 5 2 2 2 2 2 2 2 2 2 2 2 2 2" xfId="4" xr:uid="{582C6A04-9914-46B1-8320-0EC3B352EC57}"/>
    <cellStyle name="Comma 6 2 2 2 2 2 2 2 2" xfId="6" xr:uid="{9F4139C5-BEC6-44FC-BCFC-2D204320A470}"/>
    <cellStyle name="Hyperlink 2" xfId="8" xr:uid="{07F57E37-61A9-4E98-83AC-8280F0FA41F3}"/>
    <cellStyle name="Normal" xfId="0" builtinId="0"/>
    <cellStyle name="Normal 2" xfId="2" xr:uid="{67E44751-EB60-4FC7-84FE-E6D584E21F57}"/>
    <cellStyle name="Normal 20" xfId="7" xr:uid="{E3BF9CB8-0EA0-48A3-A9B2-EA85FB1D045A}"/>
    <cellStyle name="Percent" xfId="1" builtinId="5"/>
    <cellStyle name="Percent 3" xfId="5" xr:uid="{40981EF8-DB61-40B1-B58C-6B23C8B2C075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B8CBD0A-359E-4F4A-9E80-18B1F1E6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6C86EFA-CAB1-45F2-9A7B-6E0971B0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2584-5796-48B7-A048-97AF9BC8FCE3}">
  <dimension ref="A1:II107"/>
  <sheetViews>
    <sheetView tabSelected="1" zoomScale="70" zoomScaleNormal="70" workbookViewId="0">
      <selection activeCell="K61" sqref="K6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26.5703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90125227.829569116</v>
      </c>
      <c r="E9" s="39">
        <f t="shared" ref="E9:E45" si="1">C9*K9</f>
        <v>74832948.15625</v>
      </c>
      <c r="F9" s="40" t="s">
        <v>34</v>
      </c>
      <c r="G9" s="41">
        <v>8.9894999999999996</v>
      </c>
      <c r="H9" s="42">
        <v>19</v>
      </c>
      <c r="I9" s="43">
        <v>19</v>
      </c>
      <c r="J9" s="44">
        <f>(I9/$J$5)</f>
        <v>0.71508413529391845</v>
      </c>
      <c r="K9" s="45">
        <f t="shared" ref="K9:K17" si="2">I9/$K$4</f>
        <v>0.59375</v>
      </c>
      <c r="L9" s="46">
        <f t="shared" ref="L9:L17" si="3">I9-H9</f>
        <v>0</v>
      </c>
      <c r="M9" s="46">
        <f t="shared" ref="M9:M17" si="4">((I9-H9)/H9)*100</f>
        <v>0</v>
      </c>
      <c r="N9" s="37">
        <v>100</v>
      </c>
      <c r="O9" s="37">
        <v>1900</v>
      </c>
      <c r="P9" s="47">
        <f t="shared" ref="P9:P17" si="5">(R9)/J9</f>
        <v>2.0976552631578944E-2</v>
      </c>
      <c r="Q9" s="48">
        <f t="shared" ref="Q9:Q17" si="6">I9/G9-1</f>
        <v>1.113576950887146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8388373.1500517493</v>
      </c>
      <c r="E10" s="39">
        <f t="shared" si="1"/>
        <v>6965049.7221506247</v>
      </c>
      <c r="F10" s="40" t="s">
        <v>34</v>
      </c>
      <c r="G10" s="41">
        <v>3.1600000000000003E-2</v>
      </c>
      <c r="H10" s="42">
        <v>0.13810600000000001</v>
      </c>
      <c r="I10" s="43">
        <v>0.13695599999999999</v>
      </c>
      <c r="J10" s="44">
        <f t="shared" ref="J10:J17" si="7">I10/$J$5</f>
        <v>5.1544769912270465E-3</v>
      </c>
      <c r="K10" s="45">
        <f t="shared" si="2"/>
        <v>4.2798749999999998E-3</v>
      </c>
      <c r="L10" s="46">
        <f t="shared" si="3"/>
        <v>-1.1500000000000121E-3</v>
      </c>
      <c r="M10" s="46">
        <f t="shared" si="4"/>
        <v>-0.83269372800603303</v>
      </c>
      <c r="N10" s="50">
        <v>124100</v>
      </c>
      <c r="O10" s="37">
        <v>16996.3</v>
      </c>
      <c r="P10" s="51">
        <f t="shared" si="5"/>
        <v>0</v>
      </c>
      <c r="Q10" s="48">
        <f t="shared" si="6"/>
        <v>3.3340506329113921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2960294.9390861224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6.7744812817318581E-3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147547006.62017366</v>
      </c>
      <c r="E12" s="39">
        <f t="shared" si="1"/>
        <v>122511507.1875</v>
      </c>
      <c r="F12" s="40" t="s">
        <v>34</v>
      </c>
      <c r="G12" s="41">
        <v>97.381</v>
      </c>
      <c r="H12" s="42">
        <v>190.99</v>
      </c>
      <c r="I12" s="43">
        <v>190</v>
      </c>
      <c r="J12" s="44">
        <f t="shared" si="7"/>
        <v>7.1508413529391843</v>
      </c>
      <c r="K12" s="45">
        <f t="shared" si="2"/>
        <v>5.9375</v>
      </c>
      <c r="L12" s="46">
        <f t="shared" si="3"/>
        <v>-0.99000000000000909</v>
      </c>
      <c r="M12" s="46">
        <f t="shared" si="4"/>
        <v>-0.51835174616472535</v>
      </c>
      <c r="N12" s="50">
        <v>5000</v>
      </c>
      <c r="O12" s="37">
        <v>950000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9862637.6066510361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1.1290802136219764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629447137.20390856</v>
      </c>
      <c r="E14" s="39">
        <f t="shared" si="1"/>
        <v>522643727.17653155</v>
      </c>
      <c r="F14" s="40" t="s">
        <v>47</v>
      </c>
      <c r="G14" s="41">
        <v>11.5</v>
      </c>
      <c r="H14" s="42">
        <v>30</v>
      </c>
      <c r="I14" s="43">
        <v>31.998913999999999</v>
      </c>
      <c r="J14" s="44">
        <f t="shared" si="7"/>
        <v>1.2043113551597084</v>
      </c>
      <c r="K14" s="45">
        <f t="shared" si="2"/>
        <v>0.99996606249999997</v>
      </c>
      <c r="L14" s="46">
        <f t="shared" si="3"/>
        <v>1.9989139999999992</v>
      </c>
      <c r="M14" s="46">
        <f t="shared" si="4"/>
        <v>6.6630466666666637</v>
      </c>
      <c r="N14" s="50">
        <v>3500</v>
      </c>
      <c r="O14" s="37">
        <v>111996.2</v>
      </c>
      <c r="P14" s="51">
        <f t="shared" si="5"/>
        <v>0</v>
      </c>
      <c r="Q14" s="48">
        <f t="shared" si="6"/>
        <v>1.782514260869565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31648274.153848466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0.29845353646740908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68715986.488673449</v>
      </c>
      <c r="E16" s="39">
        <f t="shared" si="1"/>
        <v>57056386.743749999</v>
      </c>
      <c r="F16" s="40" t="s">
        <v>34</v>
      </c>
      <c r="G16" s="41">
        <v>1.9</v>
      </c>
      <c r="H16" s="42">
        <v>6</v>
      </c>
      <c r="I16" s="43">
        <v>5.0999999999999996</v>
      </c>
      <c r="J16" s="44">
        <f t="shared" si="7"/>
        <v>0.19194363631573599</v>
      </c>
      <c r="K16" s="45">
        <f t="shared" si="2"/>
        <v>0.15937499999999999</v>
      </c>
      <c r="L16" s="46">
        <f t="shared" si="3"/>
        <v>-0.90000000000000036</v>
      </c>
      <c r="M16" s="46">
        <f t="shared" si="4"/>
        <v>-15.000000000000005</v>
      </c>
      <c r="N16" s="50">
        <v>300</v>
      </c>
      <c r="O16" s="37">
        <v>1530</v>
      </c>
      <c r="P16" s="51">
        <f t="shared" si="5"/>
        <v>0.26049313725490197</v>
      </c>
      <c r="Q16" s="48">
        <f t="shared" si="6"/>
        <v>1.6842105263157894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1879380558.8090448</v>
      </c>
      <c r="E17" s="39">
        <f t="shared" si="1"/>
        <v>1560490789.4288738</v>
      </c>
      <c r="F17" s="40" t="s">
        <v>34</v>
      </c>
      <c r="G17" s="41">
        <v>20.701700000000002</v>
      </c>
      <c r="H17" s="42">
        <v>33.228388000000002</v>
      </c>
      <c r="I17" s="43">
        <v>37.050805999999994</v>
      </c>
      <c r="J17" s="44">
        <f t="shared" si="7"/>
        <v>1.39444439844488</v>
      </c>
      <c r="K17" s="45">
        <f t="shared" si="2"/>
        <v>1.1578376874999998</v>
      </c>
      <c r="L17" s="46">
        <f t="shared" si="3"/>
        <v>3.8224179999999919</v>
      </c>
      <c r="M17" s="46">
        <f t="shared" si="4"/>
        <v>11.503471068172164</v>
      </c>
      <c r="N17" s="50">
        <v>107800</v>
      </c>
      <c r="O17" s="37">
        <v>3994076.85</v>
      </c>
      <c r="P17" s="47">
        <f t="shared" si="5"/>
        <v>0</v>
      </c>
      <c r="Q17" s="48">
        <f t="shared" si="6"/>
        <v>0.78974702560659216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297649112.33649528</v>
      </c>
      <c r="E19" s="39">
        <f t="shared" si="1"/>
        <v>247144569.04732442</v>
      </c>
      <c r="F19" s="40" t="s">
        <v>47</v>
      </c>
      <c r="G19" s="41">
        <v>12.45</v>
      </c>
      <c r="H19" s="42">
        <v>12</v>
      </c>
      <c r="I19" s="43">
        <v>11.769665999999999</v>
      </c>
      <c r="J19" s="44">
        <f t="shared" ref="J19:J45" si="8">I19/$J$5</f>
        <v>0.44296323338464372</v>
      </c>
      <c r="K19" s="45">
        <f t="shared" ref="K19:K45" si="9">I19/$K$4</f>
        <v>0.36780206249999997</v>
      </c>
      <c r="L19" s="46">
        <f t="shared" ref="L19:L29" si="10">I19-H19</f>
        <v>-0.23033400000000093</v>
      </c>
      <c r="M19" s="46">
        <f>((I19-H19)/H19)*100</f>
        <v>-1.9194500000000077</v>
      </c>
      <c r="N19" s="50">
        <v>185600</v>
      </c>
      <c r="O19" s="37">
        <v>2184450</v>
      </c>
      <c r="P19" s="51">
        <f>(R19)/J19</f>
        <v>0</v>
      </c>
      <c r="Q19" s="48">
        <f t="shared" ref="Q19:Q29" si="11">I19/G19-1</f>
        <v>-5.4645301204819252E-2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3812477.1127913501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3.5001486622281273E-2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96104647.745791361</v>
      </c>
      <c r="E21" s="39">
        <f t="shared" si="1"/>
        <v>79797791.3125</v>
      </c>
      <c r="F21" s="40" t="s">
        <v>47</v>
      </c>
      <c r="G21" s="41">
        <v>2.85</v>
      </c>
      <c r="H21" s="42">
        <v>3.3</v>
      </c>
      <c r="I21" s="43">
        <v>3.7</v>
      </c>
      <c r="J21" s="44">
        <f t="shared" si="8"/>
        <v>0.13925322634671045</v>
      </c>
      <c r="K21" s="45">
        <f t="shared" si="9"/>
        <v>0.11562500000000001</v>
      </c>
      <c r="L21" s="46">
        <f t="shared" si="10"/>
        <v>0.40000000000000036</v>
      </c>
      <c r="M21" s="46">
        <f>((I21-H21)/H21)*100</f>
        <v>12.121212121212132</v>
      </c>
      <c r="N21" s="50">
        <v>12400</v>
      </c>
      <c r="O21" s="37">
        <v>45880</v>
      </c>
      <c r="P21" s="51">
        <f>(R21)/J21</f>
        <v>0</v>
      </c>
      <c r="Q21" s="48">
        <f t="shared" si="11"/>
        <v>0.29824561403508776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1973218.2615959921</v>
      </c>
      <c r="E23" s="39">
        <f t="shared" si="1"/>
        <v>1638406.2867526249</v>
      </c>
      <c r="F23" s="40" t="s">
        <v>44</v>
      </c>
      <c r="G23" s="41">
        <v>0.1</v>
      </c>
      <c r="H23" s="42">
        <v>0.10666700000000001</v>
      </c>
      <c r="I23" s="43">
        <v>9.7707999999999989E-2</v>
      </c>
      <c r="J23" s="44">
        <f t="shared" si="8"/>
        <v>3.6773389837525352E-3</v>
      </c>
      <c r="K23" s="45">
        <f t="shared" si="9"/>
        <v>3.0533749999999997E-3</v>
      </c>
      <c r="L23" s="46">
        <f t="shared" si="10"/>
        <v>-8.9590000000000225E-3</v>
      </c>
      <c r="M23" s="46">
        <f t="shared" ref="M23:M29" si="12">((I23-H23)/H23)*100</f>
        <v>-8.3990362530117295</v>
      </c>
      <c r="N23" s="50">
        <v>2400</v>
      </c>
      <c r="O23" s="37">
        <v>234.5</v>
      </c>
      <c r="P23" s="51">
        <f t="shared" ref="P23:P29" si="13">(R23)/J23</f>
        <v>0</v>
      </c>
      <c r="Q23" s="48">
        <f t="shared" si="11"/>
        <v>-2.2920000000000162E-2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74264422.814569652</v>
      </c>
      <c r="E24" s="39">
        <f t="shared" si="1"/>
        <v>61663374.797186248</v>
      </c>
      <c r="F24" s="40" t="s">
        <v>34</v>
      </c>
      <c r="G24" s="41">
        <v>8.1687659999999997</v>
      </c>
      <c r="H24" s="42">
        <v>10.22289</v>
      </c>
      <c r="I24" s="43">
        <v>10.22289</v>
      </c>
      <c r="J24" s="44">
        <f t="shared" si="8"/>
        <v>0.38474876083446552</v>
      </c>
      <c r="K24" s="45">
        <f t="shared" si="9"/>
        <v>0.31946531249999999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3.8986480339708245E-2</v>
      </c>
      <c r="Q24" s="48">
        <f t="shared" si="11"/>
        <v>0.25146074694758047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109216701.42753898</v>
      </c>
      <c r="E25" s="39">
        <f t="shared" si="1"/>
        <v>90685016.310629338</v>
      </c>
      <c r="F25" s="40" t="s">
        <v>66</v>
      </c>
      <c r="G25" s="41">
        <v>1.6675</v>
      </c>
      <c r="H25" s="42">
        <v>1.72</v>
      </c>
      <c r="I25" s="43">
        <v>1.719571</v>
      </c>
      <c r="J25" s="44">
        <f t="shared" si="8"/>
        <v>6.4717786400605187E-2</v>
      </c>
      <c r="K25" s="45">
        <f t="shared" si="9"/>
        <v>5.3736593749999999E-2</v>
      </c>
      <c r="L25" s="46">
        <f t="shared" si="10"/>
        <v>-4.290000000000127E-4</v>
      </c>
      <c r="M25" s="46">
        <f t="shared" si="12"/>
        <v>-2.4941860465117018E-2</v>
      </c>
      <c r="N25" s="50">
        <v>16300</v>
      </c>
      <c r="O25" s="37">
        <v>28029</v>
      </c>
      <c r="P25" s="51">
        <f t="shared" si="13"/>
        <v>0</v>
      </c>
      <c r="Q25" s="48">
        <f t="shared" si="11"/>
        <v>3.1226986506746712E-2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24325953.749110851</v>
      </c>
      <c r="E26" s="39">
        <f t="shared" si="1"/>
        <v>20198371.528125003</v>
      </c>
      <c r="F26" s="40" t="s">
        <v>44</v>
      </c>
      <c r="G26" s="41">
        <v>1.7994999999999999</v>
      </c>
      <c r="H26" s="42">
        <v>2.7005169999999996</v>
      </c>
      <c r="I26" s="43">
        <v>2.7</v>
      </c>
      <c r="J26" s="44">
        <f t="shared" si="8"/>
        <v>0.10161721922597788</v>
      </c>
      <c r="K26" s="45">
        <f t="shared" si="9"/>
        <v>8.4375000000000006E-2</v>
      </c>
      <c r="L26" s="46">
        <f t="shared" si="10"/>
        <v>-5.1699999999943458E-4</v>
      </c>
      <c r="M26" s="46">
        <f t="shared" si="12"/>
        <v>-1.9144482334287644E-2</v>
      </c>
      <c r="N26" s="50">
        <v>200</v>
      </c>
      <c r="O26" s="37">
        <v>540</v>
      </c>
      <c r="P26" s="51">
        <f t="shared" si="13"/>
        <v>0</v>
      </c>
      <c r="Q26" s="48">
        <f t="shared" si="11"/>
        <v>0.50041678243956667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23980721.641739082</v>
      </c>
      <c r="E27" s="39">
        <f t="shared" si="1"/>
        <v>19911717.757421874</v>
      </c>
      <c r="F27" s="40" t="s">
        <v>34</v>
      </c>
      <c r="G27" s="41">
        <v>3.1361369999999997</v>
      </c>
      <c r="H27" s="42">
        <v>2.486923</v>
      </c>
      <c r="I27" s="43">
        <v>2.4874999999999998</v>
      </c>
      <c r="J27" s="44">
        <f t="shared" si="8"/>
        <v>9.3619567712822205E-2</v>
      </c>
      <c r="K27" s="45">
        <f t="shared" si="9"/>
        <v>7.7734374999999994E-2</v>
      </c>
      <c r="L27" s="46">
        <f t="shared" si="10"/>
        <v>5.7699999999982765E-4</v>
      </c>
      <c r="M27" s="46">
        <f t="shared" si="12"/>
        <v>2.3201361682682883E-2</v>
      </c>
      <c r="N27" s="50">
        <v>1400</v>
      </c>
      <c r="O27" s="37">
        <v>3482.5</v>
      </c>
      <c r="P27" s="51">
        <f t="shared" si="13"/>
        <v>0</v>
      </c>
      <c r="Q27" s="48">
        <f t="shared" si="11"/>
        <v>-0.20682674258171752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32705513.906504631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4.3281408188842428E-2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121366738.69847159</v>
      </c>
      <c r="E29" s="39">
        <f t="shared" si="1"/>
        <v>100773458.03874999</v>
      </c>
      <c r="F29" s="40" t="s">
        <v>47</v>
      </c>
      <c r="G29" s="41">
        <v>5.15</v>
      </c>
      <c r="H29" s="42">
        <v>7.1757140000000001</v>
      </c>
      <c r="I29" s="43">
        <v>7.18</v>
      </c>
      <c r="J29" s="44">
        <f t="shared" si="8"/>
        <v>0.27022653112685968</v>
      </c>
      <c r="K29" s="45">
        <f t="shared" si="9"/>
        <v>0.22437499999999999</v>
      </c>
      <c r="L29" s="46">
        <f t="shared" si="10"/>
        <v>4.2859999999995679E-3</v>
      </c>
      <c r="M29" s="46">
        <f t="shared" si="12"/>
        <v>5.9729247849058191E-2</v>
      </c>
      <c r="N29" s="50">
        <v>300</v>
      </c>
      <c r="O29" s="37">
        <v>2154</v>
      </c>
      <c r="P29" s="51">
        <f t="shared" si="13"/>
        <v>0</v>
      </c>
      <c r="Q29" s="48">
        <f t="shared" si="11"/>
        <v>0.39417475728155327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11247378.106381938</v>
      </c>
      <c r="E31" s="39">
        <f t="shared" si="1"/>
        <v>9338944.078125</v>
      </c>
      <c r="F31" s="40" t="s">
        <v>39</v>
      </c>
      <c r="G31" s="41">
        <v>1.4</v>
      </c>
      <c r="H31" s="42">
        <v>1.3230000000000002</v>
      </c>
      <c r="I31" s="43">
        <v>1.1499999999999999</v>
      </c>
      <c r="J31" s="44">
        <f t="shared" si="8"/>
        <v>4.3281408188842428E-2</v>
      </c>
      <c r="K31" s="45">
        <f t="shared" si="9"/>
        <v>3.5937499999999997E-2</v>
      </c>
      <c r="L31" s="46">
        <f t="shared" ref="L31:L45" si="14">I31-H31</f>
        <v>-0.17300000000000026</v>
      </c>
      <c r="M31" s="46">
        <f t="shared" ref="M31:M45" si="15">((I31-H31)/H31)*100</f>
        <v>-13.076341647770237</v>
      </c>
      <c r="N31" s="50">
        <v>200</v>
      </c>
      <c r="O31" s="37">
        <v>230</v>
      </c>
      <c r="P31" s="51">
        <f t="shared" ref="P31:P36" si="16">(R31)/J31</f>
        <v>0</v>
      </c>
      <c r="Q31" s="48">
        <f t="shared" ref="Q31:Q45" si="17">I31/G31-1</f>
        <v>-0.1785714285714286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4363066.9017662583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3.5754206764695921E-2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93920488.026104331</v>
      </c>
      <c r="E33" s="39">
        <f t="shared" si="1"/>
        <v>77984235.71875</v>
      </c>
      <c r="F33" s="40" t="s">
        <v>92</v>
      </c>
      <c r="G33" s="41">
        <v>1.44</v>
      </c>
      <c r="H33" s="42">
        <v>0.94109100000000001</v>
      </c>
      <c r="I33" s="43">
        <v>1</v>
      </c>
      <c r="J33" s="44">
        <f t="shared" si="8"/>
        <v>3.7636007120732548E-2</v>
      </c>
      <c r="K33" s="45">
        <f t="shared" si="9"/>
        <v>3.125E-2</v>
      </c>
      <c r="L33" s="46">
        <f t="shared" si="14"/>
        <v>5.8908999999999989E-2</v>
      </c>
      <c r="M33" s="46">
        <f t="shared" si="15"/>
        <v>6.2596497044387824</v>
      </c>
      <c r="N33" s="50">
        <v>100</v>
      </c>
      <c r="O33" s="37">
        <v>100</v>
      </c>
      <c r="P33" s="51">
        <f t="shared" si="16"/>
        <v>0</v>
      </c>
      <c r="Q33" s="48">
        <f t="shared" si="17"/>
        <v>-0.30555555555555558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35162571.573123939</v>
      </c>
      <c r="E34" s="39">
        <f t="shared" si="1"/>
        <v>29196252.358417969</v>
      </c>
      <c r="F34" s="40" t="s">
        <v>34</v>
      </c>
      <c r="G34" s="41">
        <v>3.6056249999999999</v>
      </c>
      <c r="H34" s="42">
        <v>3.7030000000000003</v>
      </c>
      <c r="I34" s="43">
        <v>3.6856249999999999</v>
      </c>
      <c r="J34" s="44">
        <f t="shared" si="8"/>
        <v>0.13871220874434989</v>
      </c>
      <c r="K34" s="45">
        <f t="shared" si="9"/>
        <v>0.11517578125</v>
      </c>
      <c r="L34" s="46">
        <f t="shared" si="14"/>
        <v>-1.7375000000000362E-2</v>
      </c>
      <c r="M34" s="46">
        <f t="shared" si="15"/>
        <v>-0.46921415068864059</v>
      </c>
      <c r="N34" s="50">
        <v>1600</v>
      </c>
      <c r="O34" s="37">
        <v>5897</v>
      </c>
      <c r="P34" s="51">
        <f t="shared" si="16"/>
        <v>0</v>
      </c>
      <c r="Q34" s="48">
        <f t="shared" si="17"/>
        <v>2.2187554168833445E-2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10647416.22638811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2.2581604272439528E-3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45300</v>
      </c>
      <c r="O35" s="37">
        <v>2718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69168149.230531827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0.13172602492256391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0">
        <v>4600</v>
      </c>
      <c r="O36" s="37">
        <v>16100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132096121.23203424</v>
      </c>
      <c r="E37" s="39">
        <f t="shared" si="1"/>
        <v>109682299.06160997</v>
      </c>
      <c r="F37" s="40" t="s">
        <v>56</v>
      </c>
      <c r="G37" s="41">
        <v>0.11650199999999999</v>
      </c>
      <c r="H37" s="42">
        <v>0.84397699999999998</v>
      </c>
      <c r="I37" s="43">
        <v>0.83671099999999998</v>
      </c>
      <c r="J37" s="44">
        <f t="shared" si="8"/>
        <v>3.1490461153995251E-2</v>
      </c>
      <c r="K37" s="45">
        <f t="shared" si="9"/>
        <v>2.6147218749999999E-2</v>
      </c>
      <c r="L37" s="46">
        <f t="shared" si="14"/>
        <v>-7.2659999999999947E-3</v>
      </c>
      <c r="M37" s="46">
        <f t="shared" si="15"/>
        <v>-0.86092393513093302</v>
      </c>
      <c r="N37" s="50">
        <v>7600</v>
      </c>
      <c r="O37" s="37">
        <v>6359</v>
      </c>
      <c r="P37" s="51">
        <v>0</v>
      </c>
      <c r="Q37" s="48">
        <f t="shared" si="17"/>
        <v>6.1819453743283379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22820953.211273495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5.2878590004629238E-3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0.40500000000000003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9477182.0606090259</v>
      </c>
      <c r="E39" s="39">
        <f t="shared" si="1"/>
        <v>7869111.5782812508</v>
      </c>
      <c r="F39" s="40" t="s">
        <v>44</v>
      </c>
      <c r="G39" s="41">
        <v>1.7452379999999998</v>
      </c>
      <c r="H39" s="42">
        <v>2.3629630000000001</v>
      </c>
      <c r="I39" s="43">
        <v>2.3650000000000002</v>
      </c>
      <c r="J39" s="44">
        <f t="shared" si="8"/>
        <v>8.9009156840532483E-2</v>
      </c>
      <c r="K39" s="45">
        <f t="shared" si="9"/>
        <v>7.3906250000000007E-2</v>
      </c>
      <c r="L39" s="46">
        <f t="shared" si="14"/>
        <v>2.0370000000000665E-3</v>
      </c>
      <c r="M39" s="46">
        <f t="shared" si="15"/>
        <v>8.6205327802427137E-2</v>
      </c>
      <c r="N39" s="50">
        <v>3000</v>
      </c>
      <c r="O39" s="37">
        <v>7095</v>
      </c>
      <c r="P39" s="51">
        <f t="shared" si="18"/>
        <v>0</v>
      </c>
      <c r="Q39" s="48">
        <f t="shared" si="17"/>
        <v>0.35511603574985218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3347851.226476178</v>
      </c>
      <c r="E40" s="39">
        <f t="shared" si="1"/>
        <v>2779794.1075887498</v>
      </c>
      <c r="F40" s="40" t="s">
        <v>39</v>
      </c>
      <c r="G40" s="41">
        <v>0.03</v>
      </c>
      <c r="H40" s="42">
        <v>5.3600000000000002E-2</v>
      </c>
      <c r="I40" s="43">
        <v>5.0029999999999998E-2</v>
      </c>
      <c r="J40" s="44">
        <f t="shared" si="8"/>
        <v>1.8829294362502492E-3</v>
      </c>
      <c r="K40" s="45">
        <f t="shared" si="9"/>
        <v>1.5634374999999999E-3</v>
      </c>
      <c r="L40" s="46">
        <f t="shared" si="14"/>
        <v>-3.5700000000000037E-3</v>
      </c>
      <c r="M40" s="46">
        <f t="shared" si="15"/>
        <v>-6.6604477611940371</v>
      </c>
      <c r="N40" s="50">
        <v>100000</v>
      </c>
      <c r="O40" s="37">
        <v>5003</v>
      </c>
      <c r="P40" s="51">
        <f t="shared" si="18"/>
        <v>0</v>
      </c>
      <c r="Q40" s="48">
        <f t="shared" si="17"/>
        <v>0.66766666666666663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49253267.585988872</v>
      </c>
      <c r="E41" s="39">
        <f t="shared" si="1"/>
        <v>40896065.491875</v>
      </c>
      <c r="F41" s="40" t="s">
        <v>47</v>
      </c>
      <c r="G41" s="41">
        <v>4.5</v>
      </c>
      <c r="H41" s="42">
        <v>7.46</v>
      </c>
      <c r="I41" s="43">
        <v>7.47</v>
      </c>
      <c r="J41" s="44">
        <f t="shared" si="8"/>
        <v>0.28114097319187215</v>
      </c>
      <c r="K41" s="45">
        <f t="shared" si="9"/>
        <v>0.23343749999999999</v>
      </c>
      <c r="L41" s="46">
        <f t="shared" si="14"/>
        <v>9.9999999999997868E-3</v>
      </c>
      <c r="M41" s="46">
        <f t="shared" si="15"/>
        <v>0.1340482573726513</v>
      </c>
      <c r="N41" s="50">
        <v>200</v>
      </c>
      <c r="O41" s="37">
        <v>1494</v>
      </c>
      <c r="P41" s="51">
        <f t="shared" si="18"/>
        <v>0</v>
      </c>
      <c r="Q41" s="48">
        <f t="shared" si="17"/>
        <v>0.65999999999999992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313.88723115659218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6.774481281731859E-7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1560840.4873110203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2.7097925126927437E-3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200</v>
      </c>
      <c r="O43" s="37">
        <v>14.4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50148125.072006635</v>
      </c>
      <c r="E44" s="39">
        <f t="shared" si="1"/>
        <v>41639085.237523057</v>
      </c>
      <c r="F44" s="40" t="s">
        <v>47</v>
      </c>
      <c r="G44" s="41">
        <v>0.9998999999999999</v>
      </c>
      <c r="H44" s="42">
        <v>0.8</v>
      </c>
      <c r="I44" s="43">
        <v>0.73283299999999996</v>
      </c>
      <c r="J44" s="44">
        <f t="shared" si="8"/>
        <v>2.7580908006307792E-2</v>
      </c>
      <c r="K44" s="45">
        <f t="shared" si="9"/>
        <v>2.2901031249999999E-2</v>
      </c>
      <c r="L44" s="46">
        <f t="shared" si="14"/>
        <v>-6.7167000000000088E-2</v>
      </c>
      <c r="M44" s="46">
        <f t="shared" si="15"/>
        <v>-8.3958750000000109</v>
      </c>
      <c r="N44" s="50">
        <v>1500</v>
      </c>
      <c r="O44" s="37">
        <v>1099.25</v>
      </c>
      <c r="P44" s="51">
        <f t="shared" si="18"/>
        <v>0</v>
      </c>
      <c r="Q44" s="48">
        <f t="shared" si="17"/>
        <v>-0.26709370937093702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17395601.10348773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4.541245</v>
      </c>
      <c r="I45" s="43">
        <v>4.5</v>
      </c>
      <c r="J45" s="44">
        <f t="shared" si="8"/>
        <v>0.16936203204329647</v>
      </c>
      <c r="K45" s="45">
        <f t="shared" si="9"/>
        <v>0.140625</v>
      </c>
      <c r="L45" s="46">
        <f t="shared" si="14"/>
        <v>-4.1244999999999976E-2</v>
      </c>
      <c r="M45" s="46">
        <f t="shared" si="15"/>
        <v>-0.9082311128335947</v>
      </c>
      <c r="N45" s="50">
        <v>100</v>
      </c>
      <c r="O45" s="37">
        <v>450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623800</v>
      </c>
      <c r="O47" s="61">
        <f>SUM(O9:O45)</f>
        <v>7387829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97403492.327999994</v>
      </c>
      <c r="E50" s="39">
        <v>0</v>
      </c>
      <c r="F50" s="40" t="s">
        <v>92</v>
      </c>
      <c r="G50" s="70">
        <v>0.1</v>
      </c>
      <c r="H50" s="42">
        <v>0.16020000000000001</v>
      </c>
      <c r="I50" s="42">
        <v>0.17199999999999999</v>
      </c>
      <c r="J50" s="44">
        <f t="shared" ref="J50:J65" si="20">I50</f>
        <v>0.17199999999999999</v>
      </c>
      <c r="K50" s="39">
        <v>0</v>
      </c>
      <c r="L50" s="46">
        <f t="shared" ref="L50:L65" si="21">I50-H50</f>
        <v>1.1799999999999977E-2</v>
      </c>
      <c r="M50" s="46">
        <f t="shared" ref="M50:M65" si="22">((I50-H50)/H50)*100</f>
        <v>7.3657927590511711</v>
      </c>
      <c r="N50" s="50">
        <v>199</v>
      </c>
      <c r="O50" s="37">
        <v>34.229999999999997</v>
      </c>
      <c r="P50" s="71">
        <f>(R50)/J50</f>
        <v>0</v>
      </c>
      <c r="Q50" s="48">
        <f t="shared" ref="Q50:Q65" si="23">J50/G50-1</f>
        <v>0.71999999999999975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36921839.4454</v>
      </c>
      <c r="E51" s="39">
        <v>0</v>
      </c>
      <c r="F51" s="40" t="s">
        <v>39</v>
      </c>
      <c r="G51" s="70">
        <v>39.9</v>
      </c>
      <c r="H51" s="42">
        <v>33.029600000000002</v>
      </c>
      <c r="I51" s="42">
        <v>33.2059</v>
      </c>
      <c r="J51" s="44">
        <f t="shared" si="20"/>
        <v>33.2059</v>
      </c>
      <c r="K51" s="39">
        <v>0</v>
      </c>
      <c r="L51" s="46">
        <f t="shared" si="21"/>
        <v>0.17629999999999768</v>
      </c>
      <c r="M51" s="46">
        <f t="shared" si="22"/>
        <v>0.53376365441905949</v>
      </c>
      <c r="N51" s="50">
        <v>17</v>
      </c>
      <c r="O51" s="37">
        <v>564.5</v>
      </c>
      <c r="P51" s="72">
        <f>(R51)/J51</f>
        <v>1.6864472879819552E-2</v>
      </c>
      <c r="Q51" s="48">
        <f t="shared" si="23"/>
        <v>-0.16777192982456135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671740639.07350004</v>
      </c>
      <c r="E52" s="39"/>
      <c r="F52" s="40" t="s">
        <v>56</v>
      </c>
      <c r="G52" s="70">
        <v>0.33</v>
      </c>
      <c r="H52" s="42">
        <v>0.22520000000000001</v>
      </c>
      <c r="I52" s="42">
        <v>0.22450000000000001</v>
      </c>
      <c r="J52" s="44">
        <f t="shared" si="20"/>
        <v>0.22450000000000001</v>
      </c>
      <c r="K52" s="39">
        <v>0</v>
      </c>
      <c r="L52" s="46">
        <f t="shared" si="21"/>
        <v>-7.0000000000000617E-4</v>
      </c>
      <c r="M52" s="46">
        <f t="shared" si="22"/>
        <v>-0.31083481349911463</v>
      </c>
      <c r="N52" s="50">
        <v>8194699</v>
      </c>
      <c r="O52" s="37">
        <v>1839693.54</v>
      </c>
      <c r="P52" s="71">
        <v>0</v>
      </c>
      <c r="Q52" s="48">
        <f t="shared" si="23"/>
        <v>-0.3196969696969697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348626583.75480002</v>
      </c>
      <c r="E54" s="39">
        <v>0</v>
      </c>
      <c r="F54" s="40" t="s">
        <v>47</v>
      </c>
      <c r="G54" s="70">
        <v>9.0200000000000002E-2</v>
      </c>
      <c r="H54" s="42">
        <v>0.1605</v>
      </c>
      <c r="I54" s="42">
        <v>0.16120000000000001</v>
      </c>
      <c r="J54" s="44">
        <f t="shared" si="20"/>
        <v>0.16120000000000001</v>
      </c>
      <c r="K54" s="39">
        <v>0</v>
      </c>
      <c r="L54" s="46">
        <f t="shared" si="21"/>
        <v>7.0000000000000617E-4</v>
      </c>
      <c r="M54" s="74">
        <f t="shared" si="22"/>
        <v>0.43613707165109417</v>
      </c>
      <c r="N54" s="50">
        <v>1349453</v>
      </c>
      <c r="O54" s="37">
        <v>217583.61</v>
      </c>
      <c r="P54" s="71">
        <f t="shared" si="24"/>
        <v>0</v>
      </c>
      <c r="Q54" s="48">
        <f t="shared" si="23"/>
        <v>0.78713968957871394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869015420.40499997</v>
      </c>
      <c r="E55" s="39">
        <v>0</v>
      </c>
      <c r="F55" s="40" t="s">
        <v>34</v>
      </c>
      <c r="G55" s="70">
        <v>0.95750000000000002</v>
      </c>
      <c r="H55" s="42">
        <v>1.403</v>
      </c>
      <c r="I55" s="42">
        <v>1.5088999999999999</v>
      </c>
      <c r="J55" s="44">
        <f t="shared" si="20"/>
        <v>1.5088999999999999</v>
      </c>
      <c r="K55" s="39">
        <v>0</v>
      </c>
      <c r="L55" s="46">
        <f t="shared" si="21"/>
        <v>0.10589999999999988</v>
      </c>
      <c r="M55" s="46">
        <f t="shared" si="22"/>
        <v>7.5481111903064777</v>
      </c>
      <c r="N55" s="50">
        <v>5860</v>
      </c>
      <c r="O55" s="37">
        <v>8841.92</v>
      </c>
      <c r="P55" s="72">
        <f t="shared" si="24"/>
        <v>3.1148518788521443E-2</v>
      </c>
      <c r="Q55" s="48">
        <f t="shared" si="23"/>
        <v>0.57587467362924261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22480105.591800001</v>
      </c>
      <c r="E56" s="39">
        <v>0</v>
      </c>
      <c r="F56" s="40" t="s">
        <v>34</v>
      </c>
      <c r="G56" s="70">
        <v>0.1595</v>
      </c>
      <c r="H56" s="42">
        <v>0.1283</v>
      </c>
      <c r="I56" s="42">
        <v>0.13689999999999999</v>
      </c>
      <c r="J56" s="44">
        <f t="shared" si="20"/>
        <v>0.13689999999999999</v>
      </c>
      <c r="K56" s="39">
        <v>0</v>
      </c>
      <c r="L56" s="46">
        <f t="shared" si="21"/>
        <v>8.5999999999999965E-3</v>
      </c>
      <c r="M56" s="46">
        <f t="shared" si="22"/>
        <v>6.7030397505845647</v>
      </c>
      <c r="N56" s="50">
        <v>123</v>
      </c>
      <c r="O56" s="37">
        <v>16.84</v>
      </c>
      <c r="P56" s="71">
        <f t="shared" si="24"/>
        <v>0</v>
      </c>
      <c r="Q56" s="48">
        <f t="shared" si="23"/>
        <v>-0.14169278996865209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22164500.835000001</v>
      </c>
      <c r="E57" s="39">
        <v>0</v>
      </c>
      <c r="F57" s="40" t="s">
        <v>92</v>
      </c>
      <c r="G57" s="70">
        <v>1.6799999999999999E-2</v>
      </c>
      <c r="H57" s="42">
        <v>2.1499999999999998E-2</v>
      </c>
      <c r="I57" s="42">
        <v>2.2499999999999999E-2</v>
      </c>
      <c r="J57" s="44">
        <f t="shared" si="20"/>
        <v>2.2499999999999999E-2</v>
      </c>
      <c r="K57" s="39">
        <v>0</v>
      </c>
      <c r="L57" s="46">
        <f t="shared" si="21"/>
        <v>1.0000000000000009E-3</v>
      </c>
      <c r="M57" s="74">
        <f t="shared" si="22"/>
        <v>4.6511627906976791</v>
      </c>
      <c r="N57" s="50">
        <v>899094</v>
      </c>
      <c r="O57" s="37">
        <v>20229.16</v>
      </c>
      <c r="P57" s="71">
        <f t="shared" si="24"/>
        <v>0</v>
      </c>
      <c r="Q57" s="48">
        <f t="shared" si="23"/>
        <v>0.33928571428571441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2709386.4</v>
      </c>
      <c r="E58" s="39">
        <v>0</v>
      </c>
      <c r="F58" s="40" t="s">
        <v>137</v>
      </c>
      <c r="G58" s="70">
        <v>19.5</v>
      </c>
      <c r="H58" s="42">
        <v>16.8</v>
      </c>
      <c r="I58" s="42">
        <v>16.8</v>
      </c>
      <c r="J58" s="44">
        <f t="shared" si="20"/>
        <v>16.8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-0.13846153846153841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4025293562.7669001</v>
      </c>
      <c r="E59" s="39">
        <v>0</v>
      </c>
      <c r="F59" s="40" t="s">
        <v>47</v>
      </c>
      <c r="G59" s="70">
        <v>0.78169999999999995</v>
      </c>
      <c r="H59" s="51">
        <v>0.89459999999999995</v>
      </c>
      <c r="I59" s="42">
        <v>0.89490000000000003</v>
      </c>
      <c r="J59" s="44">
        <f t="shared" si="20"/>
        <v>0.89490000000000003</v>
      </c>
      <c r="K59" s="39">
        <v>0</v>
      </c>
      <c r="L59" s="46">
        <f t="shared" si="21"/>
        <v>3.0000000000007798E-4</v>
      </c>
      <c r="M59" s="46">
        <f t="shared" si="22"/>
        <v>3.3534540576802815E-2</v>
      </c>
      <c r="N59" s="75">
        <v>221050</v>
      </c>
      <c r="O59" s="76">
        <v>197808.35</v>
      </c>
      <c r="P59" s="71">
        <f t="shared" si="24"/>
        <v>0</v>
      </c>
      <c r="Q59" s="48">
        <f t="shared" si="23"/>
        <v>0.14481258794934138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1288064212.5549002</v>
      </c>
      <c r="E60" s="39">
        <v>0</v>
      </c>
      <c r="F60" s="40" t="s">
        <v>92</v>
      </c>
      <c r="G60" s="70">
        <v>0.59499999999999997</v>
      </c>
      <c r="H60" s="42">
        <v>1.5595000000000001</v>
      </c>
      <c r="I60" s="42">
        <v>1.5999000000000001</v>
      </c>
      <c r="J60" s="44">
        <f t="shared" si="20"/>
        <v>1.5999000000000001</v>
      </c>
      <c r="K60" s="39">
        <v>0</v>
      </c>
      <c r="L60" s="46">
        <f t="shared" si="21"/>
        <v>4.0399999999999991E-2</v>
      </c>
      <c r="M60" s="46">
        <f t="shared" si="22"/>
        <v>2.5905739018916312</v>
      </c>
      <c r="N60" s="50">
        <v>368472</v>
      </c>
      <c r="O60" s="37">
        <v>589520.84</v>
      </c>
      <c r="P60" s="71">
        <f t="shared" si="24"/>
        <v>0</v>
      </c>
      <c r="Q60" s="48">
        <f t="shared" si="23"/>
        <v>1.6889075630252104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104155449.941</v>
      </c>
      <c r="E61" s="39">
        <v>0</v>
      </c>
      <c r="F61" s="40" t="s">
        <v>34</v>
      </c>
      <c r="G61" s="70">
        <v>0.22600000000000001</v>
      </c>
      <c r="H61" s="42">
        <v>0.39639999999999997</v>
      </c>
      <c r="I61" s="42">
        <v>0.39950000000000002</v>
      </c>
      <c r="J61" s="44">
        <f t="shared" si="20"/>
        <v>0.39950000000000002</v>
      </c>
      <c r="K61" s="39">
        <v>0</v>
      </c>
      <c r="L61" s="46">
        <f t="shared" si="21"/>
        <v>3.1000000000000472E-3</v>
      </c>
      <c r="M61" s="46">
        <f t="shared" si="22"/>
        <v>0.78203834510596548</v>
      </c>
      <c r="N61" s="50">
        <v>126611</v>
      </c>
      <c r="O61" s="37">
        <v>50580.11</v>
      </c>
      <c r="P61" s="71">
        <f t="shared" si="24"/>
        <v>0</v>
      </c>
      <c r="Q61" s="48">
        <f t="shared" si="23"/>
        <v>0.76769911504424782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412474978.95560002</v>
      </c>
      <c r="E62" s="39">
        <v>0</v>
      </c>
      <c r="F62" s="40" t="s">
        <v>34</v>
      </c>
      <c r="G62" s="70">
        <v>0.49440000000000001</v>
      </c>
      <c r="H62" s="42">
        <v>0.73450000000000004</v>
      </c>
      <c r="I62" s="42">
        <v>0.73370000000000002</v>
      </c>
      <c r="J62" s="44">
        <f t="shared" si="20"/>
        <v>0.73370000000000002</v>
      </c>
      <c r="K62" s="39">
        <v>0</v>
      </c>
      <c r="L62" s="46">
        <f t="shared" si="21"/>
        <v>-8.0000000000002292E-4</v>
      </c>
      <c r="M62" s="46">
        <f t="shared" si="22"/>
        <v>-0.10891763104152798</v>
      </c>
      <c r="N62" s="50">
        <v>86687</v>
      </c>
      <c r="O62" s="37">
        <v>63600.54</v>
      </c>
      <c r="P62" s="71">
        <f t="shared" si="24"/>
        <v>0</v>
      </c>
      <c r="Q62" s="48">
        <f t="shared" si="23"/>
        <v>0.48402103559870557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87486248.399999991</v>
      </c>
      <c r="E63" s="39">
        <v>0</v>
      </c>
      <c r="F63" s="40" t="s">
        <v>34</v>
      </c>
      <c r="G63" s="70">
        <v>0.25950000000000001</v>
      </c>
      <c r="H63" s="42">
        <v>0.245</v>
      </c>
      <c r="I63" s="42">
        <v>0.24</v>
      </c>
      <c r="J63" s="44">
        <f t="shared" si="20"/>
        <v>0.24</v>
      </c>
      <c r="K63" s="39">
        <v>0</v>
      </c>
      <c r="L63" s="46">
        <f t="shared" si="21"/>
        <v>-5.0000000000000044E-3</v>
      </c>
      <c r="M63" s="46">
        <f t="shared" si="22"/>
        <v>-2.0408163265306141</v>
      </c>
      <c r="N63" s="50">
        <v>6634</v>
      </c>
      <c r="O63" s="37">
        <v>1592.31</v>
      </c>
      <c r="P63" s="71">
        <f t="shared" si="24"/>
        <v>0</v>
      </c>
      <c r="Q63" s="48">
        <f t="shared" si="23"/>
        <v>-7.5144508670520249E-2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36146492.981399998</v>
      </c>
      <c r="E65" s="39">
        <v>0</v>
      </c>
      <c r="F65" s="40" t="s">
        <v>44</v>
      </c>
      <c r="G65" s="70">
        <v>4.2999999999999997E-2</v>
      </c>
      <c r="H65" s="42">
        <v>0.11</v>
      </c>
      <c r="I65" s="42">
        <v>0.10489999999999999</v>
      </c>
      <c r="J65" s="44">
        <f t="shared" si="20"/>
        <v>0.10489999999999999</v>
      </c>
      <c r="K65" s="39">
        <v>0</v>
      </c>
      <c r="L65" s="46">
        <f t="shared" si="21"/>
        <v>-5.1000000000000073E-3</v>
      </c>
      <c r="M65" s="46">
        <f t="shared" si="22"/>
        <v>-4.6363636363636429</v>
      </c>
      <c r="N65" s="50">
        <v>3360</v>
      </c>
      <c r="O65" s="37">
        <v>352.3</v>
      </c>
      <c r="P65" s="71">
        <f t="shared" si="24"/>
        <v>0</v>
      </c>
      <c r="Q65" s="48">
        <f t="shared" si="23"/>
        <v>1.4395348837209303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11262259</v>
      </c>
      <c r="O66" s="62">
        <f>SUM(O50:O65)</f>
        <v>2990418.2499999995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78</v>
      </c>
      <c r="O71" s="96">
        <v>27.3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78409003.75</v>
      </c>
      <c r="E72" s="39">
        <f>C72*K72</f>
        <v>78409003.75</v>
      </c>
      <c r="F72" s="92" t="s">
        <v>159</v>
      </c>
      <c r="G72" s="92">
        <v>0.1</v>
      </c>
      <c r="H72" s="93">
        <v>0.14710000000000001</v>
      </c>
      <c r="I72" s="93">
        <v>0.14499999999999999</v>
      </c>
      <c r="J72" s="94">
        <f>I72</f>
        <v>0.14499999999999999</v>
      </c>
      <c r="K72" s="94">
        <f>J72</f>
        <v>0.14499999999999999</v>
      </c>
      <c r="L72" s="46">
        <f>I72-H72</f>
        <v>-2.1000000000000185E-3</v>
      </c>
      <c r="M72" s="46">
        <f>((I72-H72)/H72)*100</f>
        <v>-1.4276002719238738</v>
      </c>
      <c r="N72" s="50">
        <v>414137</v>
      </c>
      <c r="O72" s="96">
        <v>60068.82</v>
      </c>
      <c r="P72" s="97">
        <f>(R72)/J72</f>
        <v>2.6151724137931036E-2</v>
      </c>
      <c r="Q72" s="48">
        <f>J72/G72-1</f>
        <v>0.44999999999999973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414215</v>
      </c>
      <c r="O73" s="62">
        <f>SUM(O71:O72)</f>
        <v>60096.12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7497152.3816999998</v>
      </c>
      <c r="E75" s="39">
        <f>C75*K75</f>
        <v>7497152.3816999998</v>
      </c>
      <c r="F75" s="92" t="s">
        <v>137</v>
      </c>
      <c r="G75" s="92">
        <v>0.1394</v>
      </c>
      <c r="H75" s="93">
        <v>0.1188</v>
      </c>
      <c r="I75" s="93">
        <v>0.1167</v>
      </c>
      <c r="J75" s="94">
        <f>I75</f>
        <v>0.1167</v>
      </c>
      <c r="K75" s="94">
        <f>J75</f>
        <v>0.1167</v>
      </c>
      <c r="L75" s="46">
        <f>I75-H75</f>
        <v>-2.1000000000000046E-3</v>
      </c>
      <c r="M75" s="46">
        <f>((I75-H75)/H75)*100</f>
        <v>-1.7676767676767715</v>
      </c>
      <c r="N75" s="95">
        <v>3465</v>
      </c>
      <c r="O75" s="96">
        <v>404.33</v>
      </c>
      <c r="P75" s="71">
        <f>(R75)/J75</f>
        <v>0</v>
      </c>
      <c r="Q75" s="48">
        <f>J75/G75-1</f>
        <v>-0.16284074605451937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119318.28771222004</v>
      </c>
      <c r="E78" s="39">
        <f>C78*K78</f>
        <v>99072.584375000006</v>
      </c>
      <c r="F78" s="40" t="s">
        <v>137</v>
      </c>
      <c r="G78" s="70">
        <v>0.105</v>
      </c>
      <c r="H78" s="42">
        <v>0.1</v>
      </c>
      <c r="I78" s="42">
        <v>0.1</v>
      </c>
      <c r="J78" s="44">
        <f>I78/$J$5</f>
        <v>3.7636007120732552E-3</v>
      </c>
      <c r="K78" s="45">
        <f>I78/$K$4</f>
        <v>3.1250000000000002E-3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-4.7619047619047561E-2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461213.63627809996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3.387240640865929E-3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1595892.1788613603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4.8926809256952314E-3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424743.85197005677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6.3604852034037998E-2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26338425.369679682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7.1508413529391843E-2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100</v>
      </c>
      <c r="O84" s="76">
        <v>190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71884741.576120704</v>
      </c>
      <c r="E85" s="39">
        <f>C85*K85</f>
        <v>59687473.409374997</v>
      </c>
      <c r="F85" s="40" t="s">
        <v>177</v>
      </c>
      <c r="G85" s="40">
        <v>1.44347</v>
      </c>
      <c r="H85" s="42">
        <v>1.0988309999999999</v>
      </c>
      <c r="I85" s="42">
        <v>1.03742</v>
      </c>
      <c r="J85" s="44">
        <f>I85/$J$5</f>
        <v>3.904434650719036E-2</v>
      </c>
      <c r="K85" s="45">
        <f>I85/$K$4</f>
        <v>3.2419375E-2</v>
      </c>
      <c r="L85" s="46">
        <f>I85-H85</f>
        <v>-6.1410999999999882E-2</v>
      </c>
      <c r="M85" s="46">
        <f>((I85-H85)/H85*100)</f>
        <v>-5.5887575068413513</v>
      </c>
      <c r="N85" s="76">
        <v>110527</v>
      </c>
      <c r="O85" s="76">
        <v>114702.375</v>
      </c>
      <c r="P85" s="47">
        <f>(R85)/J85</f>
        <v>5.5731500067475084E-2</v>
      </c>
      <c r="Q85" s="48">
        <f>I85/G85-1</f>
        <v>-0.28130130865206759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62</v>
      </c>
      <c r="B89" s="116">
        <v>3.7</v>
      </c>
      <c r="D89" s="116">
        <v>12.121212121212132</v>
      </c>
      <c r="E89" s="35" t="s">
        <v>50</v>
      </c>
      <c r="F89" s="117">
        <v>5.0999999999999996</v>
      </c>
      <c r="H89" s="118">
        <v>-15.000000000000005</v>
      </c>
      <c r="J89" s="35" t="s">
        <v>129</v>
      </c>
      <c r="K89" s="51">
        <v>1.5088999999999999</v>
      </c>
      <c r="L89" s="119">
        <v>7.5481111903064777</v>
      </c>
      <c r="M89" s="35" t="s">
        <v>146</v>
      </c>
      <c r="N89" s="117">
        <v>0.24</v>
      </c>
      <c r="O89" s="118">
        <v>-2.0408163265306141</v>
      </c>
      <c r="P89" s="118">
        <v>-1.3931214627775275</v>
      </c>
      <c r="Q89" s="16"/>
    </row>
    <row r="90" spans="1:243" ht="15" customHeight="1" x14ac:dyDescent="0.25">
      <c r="A90" s="35" t="s">
        <v>52</v>
      </c>
      <c r="B90" s="116">
        <v>37.050805999999994</v>
      </c>
      <c r="D90" s="116">
        <v>11.503471068172164</v>
      </c>
      <c r="E90" s="35" t="s">
        <v>86</v>
      </c>
      <c r="F90" s="117">
        <v>1.1499999999999999</v>
      </c>
      <c r="H90" s="118">
        <v>-13.076341647770237</v>
      </c>
      <c r="J90" s="35" t="s">
        <v>119</v>
      </c>
      <c r="K90" s="51">
        <v>0.17199999999999999</v>
      </c>
      <c r="L90" s="119">
        <v>7.3657927590511711</v>
      </c>
      <c r="M90" s="35" t="s">
        <v>123</v>
      </c>
      <c r="N90" s="117">
        <v>0.22450000000000001</v>
      </c>
      <c r="O90" s="118">
        <v>-0.31083481349911463</v>
      </c>
      <c r="P90" s="118">
        <v>-0.80321285140561771</v>
      </c>
      <c r="Q90" s="16"/>
    </row>
    <row r="91" spans="1:243" ht="15" customHeight="1" x14ac:dyDescent="0.25">
      <c r="A91" s="35" t="s">
        <v>45</v>
      </c>
      <c r="B91" s="116">
        <v>31.998913999999999</v>
      </c>
      <c r="C91" s="116"/>
      <c r="D91" s="116">
        <v>6.6630466666666637</v>
      </c>
      <c r="E91" s="120" t="s">
        <v>68</v>
      </c>
      <c r="F91" s="117">
        <v>9.7707999999999989E-2</v>
      </c>
      <c r="G91" s="121"/>
      <c r="H91" s="118">
        <v>-8.3990362530117295</v>
      </c>
      <c r="J91" s="35" t="s">
        <v>131</v>
      </c>
      <c r="K91" s="51">
        <v>0.13689999999999999</v>
      </c>
      <c r="L91" s="119">
        <v>6.7030397505845647</v>
      </c>
      <c r="M91" s="35" t="s">
        <v>144</v>
      </c>
      <c r="N91" s="117">
        <v>0.73370000000000002</v>
      </c>
      <c r="O91" s="118">
        <v>-0.10891763104152798</v>
      </c>
      <c r="P91" s="118">
        <v>-0.77994428969359408</v>
      </c>
      <c r="Q91" s="16"/>
    </row>
    <row r="92" spans="1:243" ht="15" customHeight="1" x14ac:dyDescent="0.25">
      <c r="A92" s="35" t="s">
        <v>90</v>
      </c>
      <c r="B92" s="116">
        <v>1</v>
      </c>
      <c r="C92" s="116"/>
      <c r="D92" s="116">
        <v>6.2596497044387824</v>
      </c>
      <c r="E92" s="120" t="s">
        <v>113</v>
      </c>
      <c r="F92" s="117">
        <v>0.73283299999999996</v>
      </c>
      <c r="G92" s="121"/>
      <c r="H92" s="118">
        <v>-8.3958750000000109</v>
      </c>
      <c r="J92" s="35" t="s">
        <v>133</v>
      </c>
      <c r="K92" s="51">
        <v>2.2499999999999999E-2</v>
      </c>
      <c r="L92" s="119">
        <v>4.6511627906976791</v>
      </c>
      <c r="M92" s="35"/>
      <c r="N92" s="117"/>
      <c r="O92" s="118"/>
      <c r="P92" s="118">
        <v>-0.56417489421721045</v>
      </c>
      <c r="Q92" s="16"/>
    </row>
    <row r="93" spans="1:243" ht="15" customHeight="1" x14ac:dyDescent="0.25">
      <c r="A93" s="35" t="s">
        <v>107</v>
      </c>
      <c r="B93" s="116">
        <v>7.47</v>
      </c>
      <c r="C93" s="116"/>
      <c r="D93" s="116">
        <v>0.1340482573726513</v>
      </c>
      <c r="E93" s="120" t="s">
        <v>105</v>
      </c>
      <c r="F93" s="117">
        <v>5.0029999999999998E-2</v>
      </c>
      <c r="G93" s="121"/>
      <c r="H93" s="118">
        <v>-6.6604477611940371</v>
      </c>
      <c r="J93" s="120" t="s">
        <v>140</v>
      </c>
      <c r="K93" s="121">
        <v>1.5999000000000001</v>
      </c>
      <c r="L93" s="119">
        <v>2.5905739018916312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7+9+MjF8+mBNfvF2yM5PI0hbzVjZ0PMhkI6HeEWaQPc/CwzxJblGF+pKwt0e3BLRAVz5rz8MFQao8M/3n+Fv9w==" saltValue="Vab8z/iTVblV7dQ1i/eZ3g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2026-10-27T13:12:26Z</dcterms:created>
  <dcterms:modified xsi:type="dcterms:W3CDTF">2026-10-27T13:15:21Z</dcterms:modified>
</cp:coreProperties>
</file>