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Sept/21.09.26/"/>
    </mc:Choice>
  </mc:AlternateContent>
  <xr:revisionPtr revIDLastSave="0" documentId="8_{9D1F426C-239F-4222-80DC-0CAC09ED9BE0}" xr6:coauthVersionLast="47" xr6:coauthVersionMax="47" xr10:uidLastSave="{00000000-0000-0000-0000-000000000000}"/>
  <bookViews>
    <workbookView xWindow="-108" yWindow="-108" windowWidth="23256" windowHeight="12456" xr2:uid="{3F2D3168-25C5-48DC-BA4B-32354FE44B38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P84" i="1"/>
  <c r="M84" i="1"/>
  <c r="L84" i="1"/>
  <c r="K84" i="1"/>
  <c r="E84" i="1" s="1"/>
  <c r="J84" i="1"/>
  <c r="D84" i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/>
  <c r="Q78" i="1"/>
  <c r="M78" i="1"/>
  <c r="L78" i="1"/>
  <c r="K78" i="1"/>
  <c r="J78" i="1"/>
  <c r="D78" i="1" s="1"/>
  <c r="E78" i="1"/>
  <c r="Q75" i="1"/>
  <c r="P75" i="1"/>
  <c r="M75" i="1"/>
  <c r="L75" i="1"/>
  <c r="J75" i="1"/>
  <c r="K75" i="1" s="1"/>
  <c r="E75" i="1" s="1"/>
  <c r="D75" i="1"/>
  <c r="O73" i="1"/>
  <c r="N73" i="1"/>
  <c r="Q72" i="1"/>
  <c r="P72" i="1"/>
  <c r="M72" i="1"/>
  <c r="L72" i="1"/>
  <c r="J72" i="1"/>
  <c r="K72" i="1" s="1"/>
  <c r="E72" i="1" s="1"/>
  <c r="D72" i="1"/>
  <c r="M71" i="1"/>
  <c r="L71" i="1"/>
  <c r="K71" i="1"/>
  <c r="J71" i="1"/>
  <c r="Q71" i="1" s="1"/>
  <c r="E71" i="1"/>
  <c r="D71" i="1"/>
  <c r="M68" i="1"/>
  <c r="L68" i="1"/>
  <c r="D68" i="1"/>
  <c r="O66" i="1"/>
  <c r="N66" i="1"/>
  <c r="P65" i="1"/>
  <c r="M65" i="1"/>
  <c r="L65" i="1"/>
  <c r="J65" i="1"/>
  <c r="Q65" i="1" s="1"/>
  <c r="D65" i="1"/>
  <c r="Q64" i="1"/>
  <c r="M64" i="1"/>
  <c r="L64" i="1"/>
  <c r="J64" i="1"/>
  <c r="P64" i="1" s="1"/>
  <c r="D64" i="1"/>
  <c r="P63" i="1"/>
  <c r="M63" i="1"/>
  <c r="L63" i="1"/>
  <c r="J63" i="1"/>
  <c r="Q63" i="1" s="1"/>
  <c r="D63" i="1"/>
  <c r="Q62" i="1"/>
  <c r="M62" i="1"/>
  <c r="L62" i="1"/>
  <c r="J62" i="1"/>
  <c r="P62" i="1" s="1"/>
  <c r="D62" i="1"/>
  <c r="P61" i="1"/>
  <c r="M61" i="1"/>
  <c r="L61" i="1"/>
  <c r="J61" i="1"/>
  <c r="Q61" i="1" s="1"/>
  <c r="D61" i="1"/>
  <c r="Q60" i="1"/>
  <c r="M60" i="1"/>
  <c r="L60" i="1"/>
  <c r="J60" i="1"/>
  <c r="P60" i="1" s="1"/>
  <c r="D60" i="1"/>
  <c r="P59" i="1"/>
  <c r="M59" i="1"/>
  <c r="L59" i="1"/>
  <c r="J59" i="1"/>
  <c r="Q59" i="1" s="1"/>
  <c r="D59" i="1"/>
  <c r="Q58" i="1"/>
  <c r="M58" i="1"/>
  <c r="L58" i="1"/>
  <c r="J58" i="1"/>
  <c r="P58" i="1" s="1"/>
  <c r="D58" i="1"/>
  <c r="P57" i="1"/>
  <c r="M57" i="1"/>
  <c r="L57" i="1"/>
  <c r="J57" i="1"/>
  <c r="Q57" i="1" s="1"/>
  <c r="D57" i="1"/>
  <c r="Q56" i="1"/>
  <c r="M56" i="1"/>
  <c r="L56" i="1"/>
  <c r="J56" i="1"/>
  <c r="P56" i="1" s="1"/>
  <c r="D56" i="1"/>
  <c r="P55" i="1"/>
  <c r="M55" i="1"/>
  <c r="L55" i="1"/>
  <c r="J55" i="1"/>
  <c r="Q55" i="1" s="1"/>
  <c r="D55" i="1"/>
  <c r="Q54" i="1"/>
  <c r="M54" i="1"/>
  <c r="L54" i="1"/>
  <c r="J54" i="1"/>
  <c r="P54" i="1" s="1"/>
  <c r="D54" i="1"/>
  <c r="P53" i="1"/>
  <c r="M53" i="1"/>
  <c r="L53" i="1"/>
  <c r="J53" i="1"/>
  <c r="Q53" i="1" s="1"/>
  <c r="D53" i="1"/>
  <c r="Q52" i="1"/>
  <c r="M52" i="1"/>
  <c r="L52" i="1"/>
  <c r="J52" i="1"/>
  <c r="D52" i="1" s="1"/>
  <c r="M51" i="1"/>
  <c r="L51" i="1"/>
  <c r="J51" i="1"/>
  <c r="Q51" i="1" s="1"/>
  <c r="Q50" i="1"/>
  <c r="P50" i="1"/>
  <c r="M50" i="1"/>
  <c r="L50" i="1"/>
  <c r="J50" i="1"/>
  <c r="D50" i="1" s="1"/>
  <c r="O47" i="1"/>
  <c r="N47" i="1"/>
  <c r="Q45" i="1"/>
  <c r="M45" i="1"/>
  <c r="L45" i="1"/>
  <c r="K45" i="1"/>
  <c r="J45" i="1"/>
  <c r="D45" i="1" s="1"/>
  <c r="E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E43" i="1" s="1"/>
  <c r="J43" i="1"/>
  <c r="D43" i="1"/>
  <c r="Q42" i="1"/>
  <c r="M42" i="1"/>
  <c r="L42" i="1"/>
  <c r="K42" i="1"/>
  <c r="J42" i="1"/>
  <c r="D42" i="1" s="1"/>
  <c r="E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J40" i="1"/>
  <c r="E40" i="1"/>
  <c r="D40" i="1"/>
  <c r="Q39" i="1"/>
  <c r="M39" i="1"/>
  <c r="L39" i="1"/>
  <c r="K39" i="1"/>
  <c r="J39" i="1"/>
  <c r="D39" i="1" s="1"/>
  <c r="E39" i="1"/>
  <c r="Q38" i="1"/>
  <c r="M38" i="1"/>
  <c r="L38" i="1"/>
  <c r="K38" i="1"/>
  <c r="J38" i="1"/>
  <c r="P38" i="1" s="1"/>
  <c r="E38" i="1"/>
  <c r="D38" i="1"/>
  <c r="Q37" i="1"/>
  <c r="M37" i="1"/>
  <c r="L37" i="1"/>
  <c r="K37" i="1"/>
  <c r="E37" i="1" s="1"/>
  <c r="J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P34" i="1"/>
  <c r="M34" i="1"/>
  <c r="L34" i="1"/>
  <c r="K34" i="1"/>
  <c r="E34" i="1" s="1"/>
  <c r="J34" i="1"/>
  <c r="D34" i="1" s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P31" i="1"/>
  <c r="M31" i="1"/>
  <c r="L31" i="1"/>
  <c r="K31" i="1"/>
  <c r="E31" i="1" s="1"/>
  <c r="J31" i="1"/>
  <c r="D31" i="1" s="1"/>
  <c r="K30" i="1"/>
  <c r="J30" i="1"/>
  <c r="E30" i="1"/>
  <c r="D30" i="1"/>
  <c r="Q29" i="1"/>
  <c r="P29" i="1"/>
  <c r="M29" i="1"/>
  <c r="L29" i="1"/>
  <c r="K29" i="1"/>
  <c r="E29" i="1" s="1"/>
  <c r="J29" i="1"/>
  <c r="D29" i="1" s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J26" i="1"/>
  <c r="D26" i="1" s="1"/>
  <c r="E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P23" i="1"/>
  <c r="M23" i="1"/>
  <c r="L23" i="1"/>
  <c r="K23" i="1"/>
  <c r="J23" i="1"/>
  <c r="E23" i="1"/>
  <c r="D23" i="1"/>
  <c r="Q22" i="1"/>
  <c r="L22" i="1"/>
  <c r="K22" i="1"/>
  <c r="E22" i="1" s="1"/>
  <c r="J22" i="1"/>
  <c r="D22" i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E20" i="1" s="1"/>
  <c r="J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E16" i="1" s="1"/>
  <c r="J16" i="1"/>
  <c r="D16" i="1"/>
  <c r="Q15" i="1"/>
  <c r="M15" i="1"/>
  <c r="L15" i="1"/>
  <c r="K15" i="1"/>
  <c r="J15" i="1"/>
  <c r="D15" i="1" s="1"/>
  <c r="E15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E13" i="1" s="1"/>
  <c r="J13" i="1"/>
  <c r="D13" i="1"/>
  <c r="Q12" i="1"/>
  <c r="M12" i="1"/>
  <c r="L12" i="1"/>
  <c r="K12" i="1"/>
  <c r="J12" i="1"/>
  <c r="D12" i="1" s="1"/>
  <c r="E12" i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E10" i="1" s="1"/>
  <c r="J10" i="1"/>
  <c r="D10" i="1"/>
  <c r="Q9" i="1"/>
  <c r="M9" i="1"/>
  <c r="L9" i="1"/>
  <c r="K9" i="1"/>
  <c r="J9" i="1"/>
  <c r="D9" i="1" s="1"/>
  <c r="E9" i="1"/>
  <c r="D51" i="1" l="1"/>
  <c r="P15" i="1"/>
  <c r="P9" i="1"/>
  <c r="P42" i="1"/>
  <c r="P51" i="1"/>
  <c r="P71" i="1"/>
  <c r="P12" i="1"/>
  <c r="P39" i="1"/>
</calcChain>
</file>

<file path=xl/sharedStrings.xml><?xml version="1.0" encoding="utf-8"?>
<sst xmlns="http://schemas.openxmlformats.org/spreadsheetml/2006/main" count="269" uniqueCount="185">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</sst>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9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5" applyNumberFormat="1" applyFont="1" applyFill="1" applyBorder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5" applyNumberFormat="1" applyFont="1" applyFill="1" applyBorder="1"/>
    <xf numFmtId="164" fontId="15" fillId="5" borderId="0" xfId="5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166" fontId="15" fillId="5" borderId="0" xfId="5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5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3BF1901D-D278-47DE-A3A7-A76A106F9047}"/>
    <cellStyle name="Comma 5 2 2 2 2 2 2 2 2 2 2 2 2 2" xfId="4" xr:uid="{3A605028-933C-4E0D-AF81-0D98696562FB}"/>
    <cellStyle name="Comma 6 2 2 2 2 2 2 2 2" xfId="5" xr:uid="{7927D992-1200-408E-9938-E2D9896EB5FF}"/>
    <cellStyle name="Hyperlink 2" xfId="8" xr:uid="{F59B6BC4-A654-4636-9AB6-9A3FA81C1AC8}"/>
    <cellStyle name="Normal" xfId="0" builtinId="0"/>
    <cellStyle name="Normal 2" xfId="2" xr:uid="{D545E9DB-619A-46BD-B3DD-D0FD31DA93E1}"/>
    <cellStyle name="Normal 20" xfId="7" xr:uid="{0A21C3AE-634F-48AB-8AA0-A22B9271C8C4}"/>
    <cellStyle name="Percent" xfId="1" builtinId="5"/>
    <cellStyle name="Percent 3" xfId="6" xr:uid="{EE143D37-C918-4582-9F09-C55D38B3CF4E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C0FB25DB-F1E9-4D95-8766-868FABB30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648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6B32B4D3-702E-4CAB-8D70-70C76DFDD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52272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EC1F5-98CF-4C19-B212-246D32B9D58B}">
  <dimension ref="A1:II107"/>
  <sheetViews>
    <sheetView tabSelected="1" zoomScale="70" zoomScaleNormal="70" workbookViewId="0">
      <selection activeCell="I92" sqref="I92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26.6328</v>
      </c>
      <c r="K5" s="22"/>
      <c r="L5" s="147" t="s">
        <v>12</v>
      </c>
      <c r="M5" s="148"/>
      <c r="N5" s="23" t="s">
        <v>13</v>
      </c>
      <c r="O5" s="24"/>
      <c r="P5" s="24"/>
      <c r="Q5" s="25"/>
    </row>
    <row r="6" spans="1:19" ht="6.6" customHeight="1" x14ac:dyDescent="0.3">
      <c r="A6" s="137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40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81632200.622916102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0.64769757592142019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2.3158956521739129E-2</v>
      </c>
      <c r="Q9" s="49">
        <f t="shared" ref="Q9:Q17" si="6">I9/G9-1</f>
        <v>0.91890538962122492</v>
      </c>
      <c r="R9" s="50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3677050.7541347514</v>
      </c>
      <c r="E10" s="39">
        <f t="shared" si="1"/>
        <v>3060317.4163974999</v>
      </c>
      <c r="F10" s="40" t="s">
        <v>34</v>
      </c>
      <c r="G10" s="41">
        <v>3.1600000000000003E-2</v>
      </c>
      <c r="H10" s="42">
        <v>6.1829000000000002E-2</v>
      </c>
      <c r="I10" s="43">
        <v>6.0176E-2</v>
      </c>
      <c r="J10" s="44">
        <f t="shared" ref="J10:J17" si="7">I10/$J$5</f>
        <v>2.259469526298399E-3</v>
      </c>
      <c r="K10" s="45">
        <f t="shared" si="2"/>
        <v>1.8805E-3</v>
      </c>
      <c r="L10" s="46">
        <f t="shared" si="3"/>
        <v>-1.6530000000000017E-3</v>
      </c>
      <c r="M10" s="46">
        <f t="shared" si="4"/>
        <v>-2.6735027252583765</v>
      </c>
      <c r="N10" s="51">
        <v>81900</v>
      </c>
      <c r="O10" s="37">
        <v>4928.3999999999996</v>
      </c>
      <c r="P10" s="52">
        <f t="shared" si="5"/>
        <v>0</v>
      </c>
      <c r="Q10" s="49">
        <f t="shared" si="6"/>
        <v>0.90430379746835432</v>
      </c>
      <c r="R10" s="50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3289701.4388085371</v>
      </c>
      <c r="E11" s="39">
        <f t="shared" si="1"/>
        <v>2737936.2649843753</v>
      </c>
      <c r="F11" s="40" t="s">
        <v>39</v>
      </c>
      <c r="G11" s="41">
        <v>7.8E-2</v>
      </c>
      <c r="H11" s="42">
        <v>0.20050000000000001</v>
      </c>
      <c r="I11" s="43">
        <v>0.20050000000000001</v>
      </c>
      <c r="J11" s="44">
        <f t="shared" si="7"/>
        <v>7.5283109549127399E-3</v>
      </c>
      <c r="K11" s="45">
        <f t="shared" si="2"/>
        <v>6.2656250000000004E-3</v>
      </c>
      <c r="L11" s="46">
        <f t="shared" si="3"/>
        <v>0</v>
      </c>
      <c r="M11" s="46">
        <f t="shared" si="4"/>
        <v>0</v>
      </c>
      <c r="N11" s="51">
        <v>0</v>
      </c>
      <c r="O11" s="37">
        <v>0</v>
      </c>
      <c r="P11" s="52">
        <f t="shared" si="5"/>
        <v>0</v>
      </c>
      <c r="Q11" s="49">
        <f t="shared" si="6"/>
        <v>1.5705128205128207</v>
      </c>
      <c r="R11" s="50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112394593.07900785</v>
      </c>
      <c r="E12" s="39">
        <f t="shared" si="1"/>
        <v>93543209.954831257</v>
      </c>
      <c r="F12" s="40" t="s">
        <v>34</v>
      </c>
      <c r="G12" s="41">
        <v>97.381</v>
      </c>
      <c r="H12" s="42">
        <v>145.07380000000001</v>
      </c>
      <c r="I12" s="43">
        <v>145.07380000000001</v>
      </c>
      <c r="J12" s="44">
        <f t="shared" si="7"/>
        <v>5.4471854254903729</v>
      </c>
      <c r="K12" s="45">
        <f t="shared" si="2"/>
        <v>4.5335562500000002</v>
      </c>
      <c r="L12" s="46">
        <f t="shared" si="3"/>
        <v>0</v>
      </c>
      <c r="M12" s="46">
        <f t="shared" si="4"/>
        <v>0</v>
      </c>
      <c r="N12" s="51">
        <v>0</v>
      </c>
      <c r="O12" s="37">
        <v>0</v>
      </c>
      <c r="P12" s="52">
        <f t="shared" si="5"/>
        <v>0</v>
      </c>
      <c r="Q12" s="49">
        <f t="shared" si="6"/>
        <v>0.48975467493658931</v>
      </c>
      <c r="R12" s="50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8199577.2130605867</v>
      </c>
      <c r="E13" s="39">
        <f t="shared" si="1"/>
        <v>6824303.125</v>
      </c>
      <c r="F13" s="40" t="s">
        <v>44</v>
      </c>
      <c r="G13" s="41">
        <v>13.6</v>
      </c>
      <c r="H13" s="42">
        <v>25</v>
      </c>
      <c r="I13" s="43">
        <v>25</v>
      </c>
      <c r="J13" s="44">
        <f t="shared" si="7"/>
        <v>0.93869213901655102</v>
      </c>
      <c r="K13" s="45">
        <f t="shared" si="2"/>
        <v>0.78125</v>
      </c>
      <c r="L13" s="46">
        <f t="shared" si="3"/>
        <v>0</v>
      </c>
      <c r="M13" s="46">
        <f t="shared" si="4"/>
        <v>0</v>
      </c>
      <c r="N13" s="51">
        <v>0</v>
      </c>
      <c r="O13" s="37">
        <v>0</v>
      </c>
      <c r="P13" s="52">
        <f t="shared" si="5"/>
        <v>0</v>
      </c>
      <c r="Q13" s="49">
        <f t="shared" si="6"/>
        <v>0.83823529411764719</v>
      </c>
      <c r="R13" s="50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763235122.33214307</v>
      </c>
      <c r="E14" s="39">
        <f t="shared" si="1"/>
        <v>635221511.43898439</v>
      </c>
      <c r="F14" s="40" t="s">
        <v>47</v>
      </c>
      <c r="G14" s="41">
        <v>11.5</v>
      </c>
      <c r="H14" s="42">
        <v>38.424999999999997</v>
      </c>
      <c r="I14" s="43">
        <v>38.891500000000001</v>
      </c>
      <c r="J14" s="44">
        <f t="shared" si="7"/>
        <v>1.4602858129824878</v>
      </c>
      <c r="K14" s="45">
        <f t="shared" si="2"/>
        <v>1.215359375</v>
      </c>
      <c r="L14" s="46">
        <f t="shared" si="3"/>
        <v>0.46650000000000347</v>
      </c>
      <c r="M14" s="46">
        <f t="shared" si="4"/>
        <v>1.2140533506831581</v>
      </c>
      <c r="N14" s="51">
        <v>1800</v>
      </c>
      <c r="O14" s="37">
        <v>70004.649999999994</v>
      </c>
      <c r="P14" s="52">
        <f t="shared" si="5"/>
        <v>0</v>
      </c>
      <c r="Q14" s="49">
        <f t="shared" si="6"/>
        <v>2.3818695652173916</v>
      </c>
      <c r="R14" s="50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31574004.188444328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0.29775314649605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1">
        <v>0</v>
      </c>
      <c r="O15" s="37">
        <v>0</v>
      </c>
      <c r="P15" s="52">
        <f t="shared" si="5"/>
        <v>0</v>
      </c>
      <c r="Q15" s="49">
        <f t="shared" si="6"/>
        <v>0.4712430426716141</v>
      </c>
      <c r="R15" s="50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73931570.05647172</v>
      </c>
      <c r="E16" s="39">
        <f t="shared" si="1"/>
        <v>61531397.46875</v>
      </c>
      <c r="F16" s="40" t="s">
        <v>34</v>
      </c>
      <c r="G16" s="41">
        <v>1.9</v>
      </c>
      <c r="H16" s="42">
        <v>5.5</v>
      </c>
      <c r="I16" s="43">
        <v>5.5</v>
      </c>
      <c r="J16" s="44">
        <f t="shared" si="7"/>
        <v>0.20651227058364122</v>
      </c>
      <c r="K16" s="45">
        <f t="shared" si="2"/>
        <v>0.171875</v>
      </c>
      <c r="L16" s="46">
        <f t="shared" si="3"/>
        <v>0</v>
      </c>
      <c r="M16" s="46">
        <f t="shared" si="4"/>
        <v>0</v>
      </c>
      <c r="N16" s="51">
        <v>0</v>
      </c>
      <c r="O16" s="37">
        <v>0</v>
      </c>
      <c r="P16" s="52">
        <f t="shared" si="5"/>
        <v>0.24211636363636366</v>
      </c>
      <c r="Q16" s="49">
        <f t="shared" si="6"/>
        <v>1.8947368421052633</v>
      </c>
      <c r="R16" s="50">
        <v>0.05</v>
      </c>
      <c r="S16" s="53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1426808600.3509207</v>
      </c>
      <c r="E17" s="39">
        <f t="shared" si="1"/>
        <v>1187497127.8570626</v>
      </c>
      <c r="F17" s="40" t="s">
        <v>34</v>
      </c>
      <c r="G17" s="41">
        <v>20.701700000000002</v>
      </c>
      <c r="H17" s="42">
        <v>28.194000000000003</v>
      </c>
      <c r="I17" s="43">
        <v>28.194800000000001</v>
      </c>
      <c r="J17" s="44">
        <f t="shared" si="7"/>
        <v>1.0586494848457542</v>
      </c>
      <c r="K17" s="45">
        <f t="shared" si="2"/>
        <v>0.88108750000000002</v>
      </c>
      <c r="L17" s="46">
        <f t="shared" si="3"/>
        <v>7.9999999999813554E-4</v>
      </c>
      <c r="M17" s="46">
        <f t="shared" si="4"/>
        <v>2.8374831524371688E-3</v>
      </c>
      <c r="N17" s="51">
        <v>158300</v>
      </c>
      <c r="O17" s="37">
        <v>4463231.7</v>
      </c>
      <c r="P17" s="48">
        <f t="shared" si="5"/>
        <v>0</v>
      </c>
      <c r="Q17" s="49">
        <f t="shared" si="6"/>
        <v>0.36195578140925622</v>
      </c>
      <c r="R17" s="50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330093812.13838196</v>
      </c>
      <c r="E19" s="39">
        <f t="shared" si="1"/>
        <v>274728827.49747187</v>
      </c>
      <c r="F19" s="40" t="s">
        <v>47</v>
      </c>
      <c r="G19" s="41">
        <v>12.45</v>
      </c>
      <c r="H19" s="42">
        <v>13.499500000000001</v>
      </c>
      <c r="I19" s="43">
        <v>13.083299999999999</v>
      </c>
      <c r="J19" s="44">
        <f t="shared" ref="J19:J45" si="8">I19/$J$5</f>
        <v>0.49124763449580966</v>
      </c>
      <c r="K19" s="45">
        <f t="shared" ref="K19:K45" si="9">I19/$K$4</f>
        <v>0.40885312499999998</v>
      </c>
      <c r="L19" s="46">
        <f t="shared" ref="L19:L29" si="10">I19-H19</f>
        <v>-0.41620000000000168</v>
      </c>
      <c r="M19" s="46">
        <f>((I19-H19)/H19)*100</f>
        <v>-3.0830771510056048</v>
      </c>
      <c r="N19" s="51">
        <v>600</v>
      </c>
      <c r="O19" s="37">
        <v>7849.95</v>
      </c>
      <c r="P19" s="52">
        <f>(R19)/J19</f>
        <v>0</v>
      </c>
      <c r="Q19" s="49">
        <f t="shared" ref="Q19:Q29" si="11">I19/G19-1</f>
        <v>5.0867469879518179E-2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3803530.2570514558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3.4919347571415703E-2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1.6571428571428575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86204835.502876908</v>
      </c>
      <c r="E21" s="39">
        <f t="shared" si="1"/>
        <v>71746129.468156874</v>
      </c>
      <c r="F21" s="40" t="s">
        <v>47</v>
      </c>
      <c r="G21" s="41">
        <v>2.85</v>
      </c>
      <c r="H21" s="42">
        <v>3.326667</v>
      </c>
      <c r="I21" s="43">
        <v>3.326667</v>
      </c>
      <c r="J21" s="44">
        <f t="shared" si="8"/>
        <v>0.12490864648103091</v>
      </c>
      <c r="K21" s="45">
        <f t="shared" si="9"/>
        <v>0.10395834375</v>
      </c>
      <c r="L21" s="46">
        <f t="shared" si="10"/>
        <v>0</v>
      </c>
      <c r="M21" s="46">
        <f>((I21-H21)/H21)*100</f>
        <v>0</v>
      </c>
      <c r="N21" s="51">
        <v>0</v>
      </c>
      <c r="O21" s="37">
        <v>0</v>
      </c>
      <c r="P21" s="52">
        <f>(R21)/J21</f>
        <v>0</v>
      </c>
      <c r="Q21" s="49">
        <f t="shared" si="11"/>
        <v>0.16725157894736831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1816815.3209210073</v>
      </c>
      <c r="E23" s="39">
        <f t="shared" si="1"/>
        <v>1512089.9712195313</v>
      </c>
      <c r="F23" s="40" t="s">
        <v>44</v>
      </c>
      <c r="G23" s="41">
        <v>0.1</v>
      </c>
      <c r="H23" s="42">
        <v>9.0175000000000005E-2</v>
      </c>
      <c r="I23" s="43">
        <v>9.0175000000000005E-2</v>
      </c>
      <c r="J23" s="44">
        <f t="shared" si="8"/>
        <v>3.3858625454326998E-3</v>
      </c>
      <c r="K23" s="45">
        <f t="shared" si="9"/>
        <v>2.8179687500000002E-3</v>
      </c>
      <c r="L23" s="46">
        <f t="shared" si="10"/>
        <v>0</v>
      </c>
      <c r="M23" s="46">
        <f t="shared" ref="M23:M29" si="12">((I23-H23)/H23)*100</f>
        <v>0</v>
      </c>
      <c r="N23" s="51">
        <v>0</v>
      </c>
      <c r="O23" s="37">
        <v>0</v>
      </c>
      <c r="P23" s="52">
        <f t="shared" ref="P23:P29" si="13">(R23)/J23</f>
        <v>0</v>
      </c>
      <c r="Q23" s="49">
        <f t="shared" si="11"/>
        <v>-9.8249999999999948E-2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66676774.083085522</v>
      </c>
      <c r="E24" s="39">
        <f t="shared" si="1"/>
        <v>55493412.149999999</v>
      </c>
      <c r="F24" s="40" t="s">
        <v>34</v>
      </c>
      <c r="G24" s="41">
        <v>8.1687659999999997</v>
      </c>
      <c r="H24" s="42">
        <v>9.1908919999999998</v>
      </c>
      <c r="I24" s="43">
        <v>9.1999999999999993</v>
      </c>
      <c r="J24" s="44">
        <f t="shared" si="8"/>
        <v>0.34543870715809077</v>
      </c>
      <c r="K24" s="45">
        <f t="shared" si="9"/>
        <v>0.28749999999999998</v>
      </c>
      <c r="L24" s="46">
        <f t="shared" si="10"/>
        <v>9.1079999999994499E-3</v>
      </c>
      <c r="M24" s="46">
        <f t="shared" si="12"/>
        <v>9.9098107126048815E-2</v>
      </c>
      <c r="N24" s="51">
        <v>3000</v>
      </c>
      <c r="O24" s="37">
        <v>27600</v>
      </c>
      <c r="P24" s="48">
        <f t="shared" si="13"/>
        <v>4.342304347826087E-2</v>
      </c>
      <c r="Q24" s="49">
        <f t="shared" si="11"/>
        <v>0.12624109932883365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98215554.277056873</v>
      </c>
      <c r="E25" s="39">
        <f t="shared" si="1"/>
        <v>81742350.435937509</v>
      </c>
      <c r="F25" s="40" t="s">
        <v>66</v>
      </c>
      <c r="G25" s="41">
        <v>1.6675</v>
      </c>
      <c r="H25" s="42">
        <v>1.4630770000000002</v>
      </c>
      <c r="I25" s="43">
        <v>1.55</v>
      </c>
      <c r="J25" s="44">
        <f t="shared" si="8"/>
        <v>5.8198912619026169E-2</v>
      </c>
      <c r="K25" s="45">
        <f t="shared" si="9"/>
        <v>4.8437500000000001E-2</v>
      </c>
      <c r="L25" s="46">
        <f t="shared" si="10"/>
        <v>8.6922999999999861E-2</v>
      </c>
      <c r="M25" s="46">
        <f t="shared" si="12"/>
        <v>5.9411090462087675</v>
      </c>
      <c r="N25" s="51">
        <v>900</v>
      </c>
      <c r="O25" s="37">
        <v>1395</v>
      </c>
      <c r="P25" s="52">
        <f t="shared" si="13"/>
        <v>0</v>
      </c>
      <c r="Q25" s="49">
        <f t="shared" si="11"/>
        <v>-7.0464767616191915E-2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27172835.0134135</v>
      </c>
      <c r="E26" s="39">
        <f t="shared" si="1"/>
        <v>22615271.26078872</v>
      </c>
      <c r="F26" s="40" t="s">
        <v>44</v>
      </c>
      <c r="G26" s="41">
        <v>1.7994999999999999</v>
      </c>
      <c r="H26" s="42">
        <v>3.0230770000000002</v>
      </c>
      <c r="I26" s="43">
        <v>3.0230770000000002</v>
      </c>
      <c r="J26" s="44">
        <f t="shared" si="8"/>
        <v>0.11350954462166953</v>
      </c>
      <c r="K26" s="45">
        <f t="shared" si="9"/>
        <v>9.4471156250000007E-2</v>
      </c>
      <c r="L26" s="46">
        <f t="shared" si="10"/>
        <v>0</v>
      </c>
      <c r="M26" s="46">
        <f t="shared" si="12"/>
        <v>0</v>
      </c>
      <c r="N26" s="51">
        <v>0</v>
      </c>
      <c r="O26" s="37">
        <v>0</v>
      </c>
      <c r="P26" s="52">
        <f t="shared" si="13"/>
        <v>0</v>
      </c>
      <c r="Q26" s="49">
        <f t="shared" si="11"/>
        <v>0.67995387607668811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24046553.800022379</v>
      </c>
      <c r="E27" s="39">
        <f t="shared" si="1"/>
        <v>20013345.563913625</v>
      </c>
      <c r="F27" s="40" t="s">
        <v>34</v>
      </c>
      <c r="G27" s="41">
        <v>3.1361369999999997</v>
      </c>
      <c r="H27" s="42">
        <v>2.5</v>
      </c>
      <c r="I27" s="43">
        <v>2.5001959999999999</v>
      </c>
      <c r="J27" s="44">
        <f t="shared" si="8"/>
        <v>9.3876573248024994E-2</v>
      </c>
      <c r="K27" s="45">
        <f t="shared" si="9"/>
        <v>7.8131124999999996E-2</v>
      </c>
      <c r="L27" s="46">
        <f t="shared" si="10"/>
        <v>1.9599999999986295E-4</v>
      </c>
      <c r="M27" s="46">
        <f t="shared" si="12"/>
        <v>7.839999999994518E-3</v>
      </c>
      <c r="N27" s="51">
        <v>10200</v>
      </c>
      <c r="O27" s="37">
        <v>25502</v>
      </c>
      <c r="P27" s="52">
        <f t="shared" si="13"/>
        <v>0</v>
      </c>
      <c r="Q27" s="49">
        <f t="shared" si="11"/>
        <v>-0.20277845004857886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22710895.745281946</v>
      </c>
      <c r="E28" s="39">
        <f t="shared" si="1"/>
        <v>18901710.75640453</v>
      </c>
      <c r="F28" s="40" t="s">
        <v>44</v>
      </c>
      <c r="G28" s="41">
        <v>0.8</v>
      </c>
      <c r="H28" s="42">
        <v>0.80044499999999996</v>
      </c>
      <c r="I28" s="43">
        <v>0.80044499999999996</v>
      </c>
      <c r="J28" s="44">
        <f t="shared" si="8"/>
        <v>3.0054857168604128E-2</v>
      </c>
      <c r="K28" s="45">
        <f t="shared" si="9"/>
        <v>2.5013906249999999E-2</v>
      </c>
      <c r="L28" s="46">
        <f t="shared" si="10"/>
        <v>0</v>
      </c>
      <c r="M28" s="46">
        <f t="shared" si="12"/>
        <v>0</v>
      </c>
      <c r="N28" s="51">
        <v>0</v>
      </c>
      <c r="O28" s="37">
        <v>0</v>
      </c>
      <c r="P28" s="52">
        <f t="shared" si="13"/>
        <v>0</v>
      </c>
      <c r="Q28" s="49">
        <f t="shared" si="11"/>
        <v>5.5624999999981384E-4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111966613.39930207</v>
      </c>
      <c r="E29" s="39">
        <f t="shared" si="1"/>
        <v>93187013.166904122</v>
      </c>
      <c r="F29" s="40" t="s">
        <v>47</v>
      </c>
      <c r="G29" s="41">
        <v>5.15</v>
      </c>
      <c r="H29" s="42">
        <v>6.81</v>
      </c>
      <c r="I29" s="43">
        <v>6.6394739999999999</v>
      </c>
      <c r="J29" s="44">
        <f t="shared" si="8"/>
        <v>0.24929688204019104</v>
      </c>
      <c r="K29" s="45">
        <f t="shared" si="9"/>
        <v>0.2074835625</v>
      </c>
      <c r="L29" s="46">
        <f t="shared" si="10"/>
        <v>-0.17052599999999973</v>
      </c>
      <c r="M29" s="46">
        <f t="shared" si="12"/>
        <v>-2.5040528634361197</v>
      </c>
      <c r="N29" s="51">
        <v>1900</v>
      </c>
      <c r="O29" s="37">
        <v>12615</v>
      </c>
      <c r="P29" s="52">
        <f t="shared" si="13"/>
        <v>0</v>
      </c>
      <c r="Q29" s="49">
        <f t="shared" si="11"/>
        <v>0.28921825242718446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14148196.640984049</v>
      </c>
      <c r="E31" s="39">
        <f t="shared" si="1"/>
        <v>11775190.359375</v>
      </c>
      <c r="F31" s="40" t="s">
        <v>39</v>
      </c>
      <c r="G31" s="41">
        <v>1.4</v>
      </c>
      <c r="H31" s="42">
        <v>1.45</v>
      </c>
      <c r="I31" s="43">
        <v>1.45</v>
      </c>
      <c r="J31" s="44">
        <f t="shared" si="8"/>
        <v>5.4444144062959957E-2</v>
      </c>
      <c r="K31" s="45">
        <f t="shared" si="9"/>
        <v>4.5312499999999999E-2</v>
      </c>
      <c r="L31" s="46">
        <f t="shared" ref="L31:L45" si="14">I31-H31</f>
        <v>0</v>
      </c>
      <c r="M31" s="46">
        <f t="shared" ref="M31:M45" si="15">((I31-H31)/H31)*100</f>
        <v>0</v>
      </c>
      <c r="N31" s="51">
        <v>0</v>
      </c>
      <c r="O31" s="37">
        <v>0</v>
      </c>
      <c r="P31" s="52">
        <f t="shared" ref="P31:P36" si="16">(R31)/J31</f>
        <v>0</v>
      </c>
      <c r="Q31" s="49">
        <f t="shared" ref="Q31:Q45" si="17">I31/G31-1</f>
        <v>3.5714285714285809E-2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4123731.7518248176</v>
      </c>
      <c r="E32" s="39">
        <f t="shared" si="1"/>
        <v>3432078.84375</v>
      </c>
      <c r="F32" s="40" t="s">
        <v>39</v>
      </c>
      <c r="G32" s="41">
        <v>0.65</v>
      </c>
      <c r="H32" s="42">
        <v>0.9</v>
      </c>
      <c r="I32" s="43">
        <v>0.9</v>
      </c>
      <c r="J32" s="44">
        <f t="shared" si="8"/>
        <v>3.3792917004595836E-2</v>
      </c>
      <c r="K32" s="45">
        <f t="shared" si="9"/>
        <v>2.8125000000000001E-2</v>
      </c>
      <c r="L32" s="46">
        <f t="shared" si="14"/>
        <v>0</v>
      </c>
      <c r="M32" s="46">
        <f t="shared" si="15"/>
        <v>0</v>
      </c>
      <c r="N32" s="51">
        <v>400</v>
      </c>
      <c r="O32" s="37">
        <v>360</v>
      </c>
      <c r="P32" s="52">
        <f t="shared" si="16"/>
        <v>0</v>
      </c>
      <c r="Q32" s="49">
        <f t="shared" si="17"/>
        <v>0.38461538461538458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121995632.71887073</v>
      </c>
      <c r="E33" s="39">
        <f t="shared" si="1"/>
        <v>101533915.22109814</v>
      </c>
      <c r="F33" s="40" t="s">
        <v>92</v>
      </c>
      <c r="G33" s="41">
        <v>1.44</v>
      </c>
      <c r="H33" s="42">
        <v>1.3019800000000001</v>
      </c>
      <c r="I33" s="43">
        <v>1.3019800000000001</v>
      </c>
      <c r="J33" s="44">
        <f t="shared" si="8"/>
        <v>4.8886335646270769E-2</v>
      </c>
      <c r="K33" s="45">
        <f t="shared" si="9"/>
        <v>4.0686875000000004E-2</v>
      </c>
      <c r="L33" s="46">
        <f t="shared" si="14"/>
        <v>0</v>
      </c>
      <c r="M33" s="46">
        <f t="shared" si="15"/>
        <v>0</v>
      </c>
      <c r="N33" s="51">
        <v>0</v>
      </c>
      <c r="O33" s="37">
        <v>0</v>
      </c>
      <c r="P33" s="52">
        <f t="shared" si="16"/>
        <v>0</v>
      </c>
      <c r="Q33" s="49">
        <f t="shared" si="17"/>
        <v>-9.5847222222222084E-2</v>
      </c>
      <c r="R33" s="50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40637420.433394156</v>
      </c>
      <c r="E34" s="39">
        <f t="shared" si="1"/>
        <v>33821509.091203123</v>
      </c>
      <c r="F34" s="40" t="s">
        <v>34</v>
      </c>
      <c r="G34" s="41">
        <v>3.6056249999999999</v>
      </c>
      <c r="H34" s="42">
        <v>4.2728160000000006</v>
      </c>
      <c r="I34" s="43">
        <v>4.2694999999999999</v>
      </c>
      <c r="J34" s="44">
        <f t="shared" si="8"/>
        <v>0.16030984350124658</v>
      </c>
      <c r="K34" s="45">
        <f t="shared" si="9"/>
        <v>0.133421875</v>
      </c>
      <c r="L34" s="46">
        <f t="shared" si="14"/>
        <v>-3.3160000000007628E-3</v>
      </c>
      <c r="M34" s="46">
        <f t="shared" si="15"/>
        <v>-7.7606899056752318E-2</v>
      </c>
      <c r="N34" s="51">
        <v>2300</v>
      </c>
      <c r="O34" s="37">
        <v>9819.85</v>
      </c>
      <c r="P34" s="52">
        <f t="shared" si="16"/>
        <v>0</v>
      </c>
      <c r="Q34" s="49">
        <f t="shared" si="17"/>
        <v>0.18412203154792861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11088577.231062749</v>
      </c>
      <c r="E35" s="39">
        <f t="shared" si="1"/>
        <v>9228745.6149827484</v>
      </c>
      <c r="F35" s="40" t="s">
        <v>34</v>
      </c>
      <c r="G35" s="41">
        <v>2.5099999999999997E-2</v>
      </c>
      <c r="H35" s="42">
        <v>5.5E-2</v>
      </c>
      <c r="I35" s="43">
        <v>6.2632999999999994E-2</v>
      </c>
      <c r="J35" s="44">
        <f t="shared" si="8"/>
        <v>2.3517241897209455E-3</v>
      </c>
      <c r="K35" s="45">
        <f t="shared" si="9"/>
        <v>1.9572812499999998E-3</v>
      </c>
      <c r="L35" s="46">
        <f t="shared" si="14"/>
        <v>7.632999999999994E-3</v>
      </c>
      <c r="M35" s="46">
        <f t="shared" si="15"/>
        <v>13.878181818181806</v>
      </c>
      <c r="N35" s="51">
        <v>3886000</v>
      </c>
      <c r="O35" s="37">
        <v>243391.35999999999</v>
      </c>
      <c r="P35" s="52">
        <f t="shared" si="16"/>
        <v>0</v>
      </c>
      <c r="Q35" s="49">
        <f t="shared" si="17"/>
        <v>1.4953386454183266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67036955.887365729</v>
      </c>
      <c r="E36" s="39">
        <f t="shared" si="1"/>
        <v>55793182.461157314</v>
      </c>
      <c r="F36" s="40" t="s">
        <v>92</v>
      </c>
      <c r="G36" s="41">
        <v>0.61</v>
      </c>
      <c r="H36" s="42">
        <v>3.4</v>
      </c>
      <c r="I36" s="43">
        <v>3.4001380000000001</v>
      </c>
      <c r="J36" s="44">
        <f t="shared" si="8"/>
        <v>0.12766731248685831</v>
      </c>
      <c r="K36" s="45">
        <f t="shared" si="9"/>
        <v>0.1062543125</v>
      </c>
      <c r="L36" s="46">
        <f t="shared" si="14"/>
        <v>1.3800000000019352E-4</v>
      </c>
      <c r="M36" s="46">
        <f t="shared" si="15"/>
        <v>4.0588235294174565E-3</v>
      </c>
      <c r="N36" s="51">
        <v>14500</v>
      </c>
      <c r="O36" s="37">
        <v>49302</v>
      </c>
      <c r="P36" s="52">
        <f t="shared" si="16"/>
        <v>0</v>
      </c>
      <c r="Q36" s="49">
        <f t="shared" si="17"/>
        <v>4.5739967213114756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86632134.634436175</v>
      </c>
      <c r="E37" s="39">
        <f t="shared" si="1"/>
        <v>72101759.852875367</v>
      </c>
      <c r="F37" s="40" t="s">
        <v>56</v>
      </c>
      <c r="G37" s="41">
        <v>0.11650199999999999</v>
      </c>
      <c r="H37" s="42">
        <v>0.51280900000000007</v>
      </c>
      <c r="I37" s="43">
        <v>0.55002799999999996</v>
      </c>
      <c r="J37" s="44">
        <f t="shared" si="8"/>
        <v>2.065227839355982E-2</v>
      </c>
      <c r="K37" s="45">
        <f t="shared" si="9"/>
        <v>1.7188374999999999E-2</v>
      </c>
      <c r="L37" s="46">
        <f t="shared" si="14"/>
        <v>3.7218999999999891E-2</v>
      </c>
      <c r="M37" s="46">
        <f t="shared" si="15"/>
        <v>7.2578679391352114</v>
      </c>
      <c r="N37" s="51">
        <v>58700</v>
      </c>
      <c r="O37" s="37">
        <v>32286.65</v>
      </c>
      <c r="P37" s="52">
        <v>0</v>
      </c>
      <c r="Q37" s="49">
        <f t="shared" si="17"/>
        <v>3.721189335805394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22767398.587812774</v>
      </c>
      <c r="E38" s="39">
        <f t="shared" si="1"/>
        <v>18948736.659671877</v>
      </c>
      <c r="F38" s="40" t="s">
        <v>39</v>
      </c>
      <c r="G38" s="41">
        <v>0.1</v>
      </c>
      <c r="H38" s="42">
        <v>0.14050000000000001</v>
      </c>
      <c r="I38" s="43">
        <v>0.14050000000000001</v>
      </c>
      <c r="J38" s="44">
        <f t="shared" si="8"/>
        <v>5.2754498212730172E-3</v>
      </c>
      <c r="K38" s="45">
        <f t="shared" si="9"/>
        <v>4.3906250000000004E-3</v>
      </c>
      <c r="L38" s="46">
        <f t="shared" si="14"/>
        <v>0</v>
      </c>
      <c r="M38" s="46">
        <f t="shared" si="15"/>
        <v>0</v>
      </c>
      <c r="N38" s="51">
        <v>0</v>
      </c>
      <c r="O38" s="37">
        <v>0</v>
      </c>
      <c r="P38" s="52">
        <f t="shared" ref="P38:P44" si="18">(R38)/J38</f>
        <v>0</v>
      </c>
      <c r="Q38" s="49">
        <f t="shared" si="17"/>
        <v>0.40500000000000003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7995722.3423748165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7.5095371121324084E-2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1">
        <v>0</v>
      </c>
      <c r="O39" s="37">
        <v>0</v>
      </c>
      <c r="P39" s="52">
        <f t="shared" si="18"/>
        <v>0</v>
      </c>
      <c r="Q39" s="49">
        <f t="shared" si="17"/>
        <v>0.14597550591953667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4679797.9221625961</v>
      </c>
      <c r="E40" s="39">
        <f t="shared" si="1"/>
        <v>3894878.8156678746</v>
      </c>
      <c r="F40" s="40" t="s">
        <v>39</v>
      </c>
      <c r="G40" s="41">
        <v>0.03</v>
      </c>
      <c r="H40" s="42">
        <v>6.5407000000000007E-2</v>
      </c>
      <c r="I40" s="43">
        <v>7.0098999999999995E-2</v>
      </c>
      <c r="J40" s="44">
        <f t="shared" si="8"/>
        <v>2.6320552101168483E-3</v>
      </c>
      <c r="K40" s="45">
        <f t="shared" si="9"/>
        <v>2.1905937499999998E-3</v>
      </c>
      <c r="L40" s="46">
        <f t="shared" si="14"/>
        <v>4.6919999999999878E-3</v>
      </c>
      <c r="M40" s="46">
        <f t="shared" si="15"/>
        <v>7.1735441160731845</v>
      </c>
      <c r="N40" s="51">
        <v>88500</v>
      </c>
      <c r="O40" s="37">
        <v>6203.78</v>
      </c>
      <c r="P40" s="52">
        <f t="shared" si="18"/>
        <v>0</v>
      </c>
      <c r="Q40" s="49">
        <f t="shared" si="17"/>
        <v>1.3366333333333333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46046021.972905584</v>
      </c>
      <c r="E41" s="39">
        <f t="shared" si="1"/>
        <v>38322952.9375</v>
      </c>
      <c r="F41" s="40" t="s">
        <v>47</v>
      </c>
      <c r="G41" s="41">
        <v>4.5</v>
      </c>
      <c r="H41" s="42">
        <v>7</v>
      </c>
      <c r="I41" s="43">
        <v>7</v>
      </c>
      <c r="J41" s="44">
        <f t="shared" si="8"/>
        <v>0.26283379892463427</v>
      </c>
      <c r="K41" s="45">
        <f t="shared" si="9"/>
        <v>0.21875</v>
      </c>
      <c r="L41" s="46">
        <f t="shared" si="14"/>
        <v>0</v>
      </c>
      <c r="M41" s="46">
        <f t="shared" si="15"/>
        <v>0</v>
      </c>
      <c r="N41" s="51">
        <v>0</v>
      </c>
      <c r="O41" s="37">
        <v>0</v>
      </c>
      <c r="P41" s="52">
        <f t="shared" si="18"/>
        <v>0</v>
      </c>
      <c r="Q41" s="49">
        <f t="shared" si="17"/>
        <v>0.55555555555555558</v>
      </c>
      <c r="R41" s="50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313.15062246553123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6.7585834009191676E-7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1557177.6155717764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2.7034333603676674E-3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66904509.112072334</v>
      </c>
      <c r="E44" s="39">
        <f t="shared" si="1"/>
        <v>55682950.321249999</v>
      </c>
      <c r="F44" s="40" t="s">
        <v>47</v>
      </c>
      <c r="G44" s="41">
        <v>0.9998999999999999</v>
      </c>
      <c r="H44" s="42">
        <v>0.98</v>
      </c>
      <c r="I44" s="43">
        <v>0.98</v>
      </c>
      <c r="J44" s="44">
        <f t="shared" si="8"/>
        <v>3.6796731849448802E-2</v>
      </c>
      <c r="K44" s="45">
        <f t="shared" si="9"/>
        <v>3.0624999999999999E-2</v>
      </c>
      <c r="L44" s="46">
        <f t="shared" si="14"/>
        <v>0</v>
      </c>
      <c r="M44" s="46">
        <f t="shared" si="15"/>
        <v>0</v>
      </c>
      <c r="N44" s="51">
        <v>0</v>
      </c>
      <c r="O44" s="37">
        <v>0</v>
      </c>
      <c r="P44" s="52">
        <f t="shared" si="18"/>
        <v>0</v>
      </c>
      <c r="Q44" s="49">
        <f t="shared" si="17"/>
        <v>-1.9901990199019837E-2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13112499.173950918</v>
      </c>
      <c r="E45" s="39">
        <f t="shared" si="1"/>
        <v>10913205.25</v>
      </c>
      <c r="F45" s="40" t="s">
        <v>47</v>
      </c>
      <c r="G45" s="41">
        <v>1.4503460000000001</v>
      </c>
      <c r="H45" s="42">
        <v>3.4</v>
      </c>
      <c r="I45" s="43">
        <v>3.4</v>
      </c>
      <c r="J45" s="44">
        <f t="shared" si="8"/>
        <v>0.12766213090625095</v>
      </c>
      <c r="K45" s="45">
        <f t="shared" si="9"/>
        <v>0.10625</v>
      </c>
      <c r="L45" s="46">
        <f t="shared" si="14"/>
        <v>0</v>
      </c>
      <c r="M45" s="46">
        <f t="shared" si="15"/>
        <v>0</v>
      </c>
      <c r="N45" s="51">
        <v>30000</v>
      </c>
      <c r="O45" s="37">
        <v>102000</v>
      </c>
      <c r="P45" s="52">
        <v>0</v>
      </c>
      <c r="Q45" s="49">
        <f t="shared" si="17"/>
        <v>1.3442681953133939</v>
      </c>
      <c r="R45" s="50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4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4339000</v>
      </c>
      <c r="O47" s="62">
        <f>SUM(O9:O45)</f>
        <v>5056490.3400000008</v>
      </c>
      <c r="P47" s="63"/>
      <c r="Q47" s="64"/>
    </row>
    <row r="48" spans="1:18" ht="13.5" customHeight="1" x14ac:dyDescent="0.35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3">
      <c r="A49" s="133" t="s">
        <v>118</v>
      </c>
      <c r="B49" s="134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6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88059552.657000005</v>
      </c>
      <c r="E50" s="39">
        <v>0</v>
      </c>
      <c r="F50" s="40" t="s">
        <v>92</v>
      </c>
      <c r="G50" s="71">
        <v>0.1</v>
      </c>
      <c r="H50" s="42">
        <v>0.1555</v>
      </c>
      <c r="I50" s="42">
        <v>0.1555</v>
      </c>
      <c r="J50" s="44">
        <f t="shared" ref="J50:J65" si="20">I50</f>
        <v>0.1555</v>
      </c>
      <c r="K50" s="39">
        <v>0</v>
      </c>
      <c r="L50" s="46">
        <f t="shared" ref="L50:L65" si="21">I50-H50</f>
        <v>0</v>
      </c>
      <c r="M50" s="46">
        <f t="shared" ref="M50:M65" si="22">((I50-H50)/H50)*100</f>
        <v>0</v>
      </c>
      <c r="N50" s="51">
        <v>744</v>
      </c>
      <c r="O50" s="37">
        <v>115.68</v>
      </c>
      <c r="P50" s="72">
        <f>(R50)/J50</f>
        <v>0</v>
      </c>
      <c r="Q50" s="49">
        <f t="shared" ref="Q50:Q65" si="23">J50/G50-1</f>
        <v>0.55499999999999994</v>
      </c>
      <c r="T50" s="53"/>
    </row>
    <row r="51" spans="1:20" ht="12" customHeight="1" x14ac:dyDescent="0.25">
      <c r="A51" s="35" t="s">
        <v>121</v>
      </c>
      <c r="B51" s="36" t="s">
        <v>122</v>
      </c>
      <c r="C51" s="40">
        <v>1111906</v>
      </c>
      <c r="D51" s="38">
        <f t="shared" si="19"/>
        <v>36970874.5</v>
      </c>
      <c r="E51" s="39">
        <v>0</v>
      </c>
      <c r="F51" s="40" t="s">
        <v>39</v>
      </c>
      <c r="G51" s="71">
        <v>39.9</v>
      </c>
      <c r="H51" s="42">
        <v>33.1494</v>
      </c>
      <c r="I51" s="42">
        <v>33.25</v>
      </c>
      <c r="J51" s="44">
        <f t="shared" si="20"/>
        <v>33.25</v>
      </c>
      <c r="K51" s="39">
        <v>0</v>
      </c>
      <c r="L51" s="46">
        <f t="shared" si="21"/>
        <v>0.10060000000000002</v>
      </c>
      <c r="M51" s="46">
        <f t="shared" si="22"/>
        <v>0.30347457269211514</v>
      </c>
      <c r="N51" s="51">
        <v>15038</v>
      </c>
      <c r="O51" s="37">
        <v>500013.5</v>
      </c>
      <c r="P51" s="73">
        <f>(R51)/J51</f>
        <v>1.6842105263157898E-2</v>
      </c>
      <c r="Q51" s="49">
        <f t="shared" si="23"/>
        <v>-0.16666666666666663</v>
      </c>
      <c r="R51" s="53">
        <v>0.56000000000000005</v>
      </c>
      <c r="T51" s="53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594542828.43610001</v>
      </c>
      <c r="E52" s="39"/>
      <c r="F52" s="40" t="s">
        <v>56</v>
      </c>
      <c r="G52" s="71">
        <v>0.33</v>
      </c>
      <c r="H52" s="42">
        <v>0.22700000000000001</v>
      </c>
      <c r="I52" s="42">
        <v>0.19869999999999999</v>
      </c>
      <c r="J52" s="44">
        <f t="shared" si="20"/>
        <v>0.19869999999999999</v>
      </c>
      <c r="K52" s="39">
        <v>0</v>
      </c>
      <c r="L52" s="46">
        <f t="shared" si="21"/>
        <v>-2.830000000000002E-2</v>
      </c>
      <c r="M52" s="46">
        <f t="shared" si="22"/>
        <v>-12.466960352422916</v>
      </c>
      <c r="N52" s="51">
        <v>59346</v>
      </c>
      <c r="O52" s="37">
        <v>11792.31</v>
      </c>
      <c r="P52" s="72">
        <v>0</v>
      </c>
      <c r="Q52" s="49">
        <f t="shared" si="23"/>
        <v>-0.39787878787878794</v>
      </c>
      <c r="R52" s="53"/>
      <c r="T52" s="53"/>
    </row>
    <row r="53" spans="1:20" ht="12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15243523.575000001</v>
      </c>
      <c r="E53" s="39">
        <v>0</v>
      </c>
      <c r="F53" s="40" t="s">
        <v>34</v>
      </c>
      <c r="G53" s="71">
        <v>2.3E-2</v>
      </c>
      <c r="H53" s="42">
        <v>2.4799999999999999E-2</v>
      </c>
      <c r="I53" s="42">
        <v>2.5000000000000001E-2</v>
      </c>
      <c r="J53" s="44">
        <f t="shared" si="20"/>
        <v>2.5000000000000001E-2</v>
      </c>
      <c r="K53" s="39">
        <v>0</v>
      </c>
      <c r="L53" s="46">
        <f t="shared" si="21"/>
        <v>2.0000000000000226E-4</v>
      </c>
      <c r="M53" s="46">
        <f t="shared" si="22"/>
        <v>0.80645161290323497</v>
      </c>
      <c r="N53" s="51">
        <v>20</v>
      </c>
      <c r="O53" s="37">
        <v>0.5</v>
      </c>
      <c r="P53" s="72">
        <f t="shared" ref="P53:P65" si="24">(R53)/J53</f>
        <v>0</v>
      </c>
      <c r="Q53" s="49">
        <f t="shared" si="23"/>
        <v>8.6956521739130599E-2</v>
      </c>
      <c r="T53" s="53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347328966.19739997</v>
      </c>
      <c r="E54" s="39">
        <v>0</v>
      </c>
      <c r="F54" s="40" t="s">
        <v>47</v>
      </c>
      <c r="G54" s="71">
        <v>9.0200000000000002E-2</v>
      </c>
      <c r="H54" s="42">
        <v>0.16009999999999999</v>
      </c>
      <c r="I54" s="42">
        <v>0.16059999999999999</v>
      </c>
      <c r="J54" s="44">
        <f t="shared" si="20"/>
        <v>0.16059999999999999</v>
      </c>
      <c r="K54" s="39">
        <v>0</v>
      </c>
      <c r="L54" s="46">
        <f t="shared" si="21"/>
        <v>5.0000000000000044E-4</v>
      </c>
      <c r="M54" s="74">
        <f t="shared" si="22"/>
        <v>0.31230480949406647</v>
      </c>
      <c r="N54" s="51">
        <v>15408</v>
      </c>
      <c r="O54" s="37">
        <v>2474.41</v>
      </c>
      <c r="P54" s="72">
        <f t="shared" si="24"/>
        <v>0</v>
      </c>
      <c r="Q54" s="49">
        <f t="shared" si="23"/>
        <v>0.78048780487804859</v>
      </c>
      <c r="R54" s="53"/>
      <c r="T54" s="53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863832082.35500002</v>
      </c>
      <c r="E55" s="39">
        <v>0</v>
      </c>
      <c r="F55" s="40" t="s">
        <v>34</v>
      </c>
      <c r="G55" s="71">
        <v>0.95750000000000002</v>
      </c>
      <c r="H55" s="42">
        <v>1.4976</v>
      </c>
      <c r="I55" s="42">
        <v>1.4999</v>
      </c>
      <c r="J55" s="44">
        <f t="shared" si="20"/>
        <v>1.4999</v>
      </c>
      <c r="K55" s="39">
        <v>0</v>
      </c>
      <c r="L55" s="46">
        <f t="shared" si="21"/>
        <v>2.2999999999999687E-3</v>
      </c>
      <c r="M55" s="46">
        <f t="shared" si="22"/>
        <v>0.15357905982905776</v>
      </c>
      <c r="N55" s="51">
        <v>9475</v>
      </c>
      <c r="O55" s="37">
        <v>14211.95</v>
      </c>
      <c r="P55" s="73">
        <f t="shared" si="24"/>
        <v>3.1335422361490763E-2</v>
      </c>
      <c r="Q55" s="49">
        <f t="shared" si="23"/>
        <v>0.56647519582245431</v>
      </c>
      <c r="R55" s="53">
        <v>4.7E-2</v>
      </c>
      <c r="T55" s="53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1">
        <v>0.1595</v>
      </c>
      <c r="H56" s="42">
        <v>0.14949999999999999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5.0000000000000044E-4</v>
      </c>
      <c r="M56" s="46">
        <f t="shared" si="22"/>
        <v>0.33444816053511733</v>
      </c>
      <c r="N56" s="51">
        <v>1540</v>
      </c>
      <c r="O56" s="37">
        <v>231</v>
      </c>
      <c r="P56" s="72">
        <f t="shared" si="24"/>
        <v>0</v>
      </c>
      <c r="Q56" s="49">
        <f t="shared" si="23"/>
        <v>-5.9561128526645857E-2</v>
      </c>
      <c r="T56" s="53"/>
    </row>
    <row r="57" spans="1:20" ht="12" customHeight="1" x14ac:dyDescent="0.25">
      <c r="A57" s="35" t="s">
        <v>133</v>
      </c>
      <c r="B57" s="36" t="s">
        <v>134</v>
      </c>
      <c r="C57" s="40">
        <v>985088926</v>
      </c>
      <c r="D57" s="38">
        <f t="shared" si="19"/>
        <v>24430205.364799999</v>
      </c>
      <c r="E57" s="39">
        <v>0</v>
      </c>
      <c r="F57" s="40" t="s">
        <v>92</v>
      </c>
      <c r="G57" s="71">
        <v>1.6799999999999999E-2</v>
      </c>
      <c r="H57" s="42">
        <v>2.2499999999999999E-2</v>
      </c>
      <c r="I57" s="42">
        <v>2.4799999999999999E-2</v>
      </c>
      <c r="J57" s="44">
        <f t="shared" si="20"/>
        <v>2.4799999999999999E-2</v>
      </c>
      <c r="K57" s="39">
        <v>0</v>
      </c>
      <c r="L57" s="46">
        <f t="shared" si="21"/>
        <v>2.3E-3</v>
      </c>
      <c r="M57" s="74">
        <f t="shared" si="22"/>
        <v>10.222222222222223</v>
      </c>
      <c r="N57" s="51">
        <v>20</v>
      </c>
      <c r="O57" s="37">
        <v>0.49</v>
      </c>
      <c r="P57" s="72">
        <f t="shared" si="24"/>
        <v>0</v>
      </c>
      <c r="Q57" s="49">
        <f t="shared" si="23"/>
        <v>0.47619047619047628</v>
      </c>
      <c r="R57" s="53"/>
      <c r="T57" s="53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1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1">
        <v>2</v>
      </c>
      <c r="O58" s="37">
        <v>34</v>
      </c>
      <c r="P58" s="72">
        <f t="shared" si="24"/>
        <v>0</v>
      </c>
      <c r="Q58" s="49">
        <f t="shared" si="23"/>
        <v>-0.12820512820512819</v>
      </c>
      <c r="T58" s="53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4075221776.586</v>
      </c>
      <c r="E59" s="39">
        <v>0</v>
      </c>
      <c r="F59" s="40" t="s">
        <v>47</v>
      </c>
      <c r="G59" s="71">
        <v>0.78169999999999995</v>
      </c>
      <c r="H59" s="52">
        <v>0.93959999999999999</v>
      </c>
      <c r="I59" s="42">
        <v>0.90600000000000003</v>
      </c>
      <c r="J59" s="44">
        <f t="shared" si="20"/>
        <v>0.90600000000000003</v>
      </c>
      <c r="K59" s="39">
        <v>0</v>
      </c>
      <c r="L59" s="46">
        <f t="shared" si="21"/>
        <v>-3.3599999999999963E-2</v>
      </c>
      <c r="M59" s="46">
        <f t="shared" si="22"/>
        <v>-3.5759897828863312</v>
      </c>
      <c r="N59" s="75">
        <v>3689</v>
      </c>
      <c r="O59" s="76">
        <v>3342.1</v>
      </c>
      <c r="P59" s="72">
        <f t="shared" si="24"/>
        <v>0</v>
      </c>
      <c r="Q59" s="49">
        <f t="shared" si="23"/>
        <v>0.15901240885250112</v>
      </c>
      <c r="R59" s="53"/>
      <c r="S59" s="53"/>
      <c r="T59" s="53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1127287649.4901998</v>
      </c>
      <c r="E60" s="39">
        <v>0</v>
      </c>
      <c r="F60" s="40" t="s">
        <v>92</v>
      </c>
      <c r="G60" s="71">
        <v>0.59499999999999997</v>
      </c>
      <c r="H60" s="42">
        <v>1.4115</v>
      </c>
      <c r="I60" s="42">
        <v>1.4001999999999999</v>
      </c>
      <c r="J60" s="44">
        <f t="shared" si="20"/>
        <v>1.4001999999999999</v>
      </c>
      <c r="K60" s="39">
        <v>0</v>
      </c>
      <c r="L60" s="46">
        <f t="shared" si="21"/>
        <v>-1.1300000000000088E-2</v>
      </c>
      <c r="M60" s="46">
        <f t="shared" si="22"/>
        <v>-0.8005667729365985</v>
      </c>
      <c r="N60" s="51">
        <v>26752</v>
      </c>
      <c r="O60" s="37">
        <v>37458.720000000001</v>
      </c>
      <c r="P60" s="72">
        <f t="shared" si="24"/>
        <v>0</v>
      </c>
      <c r="Q60" s="49">
        <f t="shared" si="23"/>
        <v>1.3532773109243696</v>
      </c>
      <c r="T60" s="53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130357259</v>
      </c>
      <c r="E61" s="39">
        <v>0</v>
      </c>
      <c r="F61" s="40" t="s">
        <v>34</v>
      </c>
      <c r="G61" s="71">
        <v>0.22600000000000001</v>
      </c>
      <c r="H61" s="42">
        <v>0.5</v>
      </c>
      <c r="I61" s="42">
        <v>0.5</v>
      </c>
      <c r="J61" s="44">
        <f t="shared" si="20"/>
        <v>0.5</v>
      </c>
      <c r="K61" s="39">
        <v>0</v>
      </c>
      <c r="L61" s="46">
        <f t="shared" si="21"/>
        <v>0</v>
      </c>
      <c r="M61" s="46">
        <f t="shared" si="22"/>
        <v>0</v>
      </c>
      <c r="N61" s="51">
        <v>0</v>
      </c>
      <c r="O61" s="37">
        <v>0</v>
      </c>
      <c r="P61" s="72">
        <f t="shared" si="24"/>
        <v>0</v>
      </c>
      <c r="Q61" s="49">
        <f t="shared" si="23"/>
        <v>1.2123893805309733</v>
      </c>
      <c r="T61" s="53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395328342.92160004</v>
      </c>
      <c r="E62" s="39">
        <v>0</v>
      </c>
      <c r="F62" s="40" t="s">
        <v>34</v>
      </c>
      <c r="G62" s="71">
        <v>0.49440000000000001</v>
      </c>
      <c r="H62" s="42">
        <v>0.7</v>
      </c>
      <c r="I62" s="42">
        <v>0.70320000000000005</v>
      </c>
      <c r="J62" s="44">
        <f t="shared" si="20"/>
        <v>0.70320000000000005</v>
      </c>
      <c r="K62" s="39">
        <v>0</v>
      </c>
      <c r="L62" s="46">
        <f t="shared" si="21"/>
        <v>3.2000000000000917E-3</v>
      </c>
      <c r="M62" s="46">
        <f t="shared" si="22"/>
        <v>0.45714285714287028</v>
      </c>
      <c r="N62" s="51">
        <v>117</v>
      </c>
      <c r="O62" s="37">
        <v>82.27</v>
      </c>
      <c r="P62" s="72">
        <f t="shared" si="24"/>
        <v>0</v>
      </c>
      <c r="Q62" s="49">
        <f t="shared" si="23"/>
        <v>0.42233009708737868</v>
      </c>
      <c r="R62" s="53"/>
      <c r="T62" s="53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79029244.387999997</v>
      </c>
      <c r="E63" s="39">
        <v>0</v>
      </c>
      <c r="F63" s="40" t="s">
        <v>34</v>
      </c>
      <c r="G63" s="71">
        <v>0.25950000000000001</v>
      </c>
      <c r="H63" s="42">
        <v>0.25</v>
      </c>
      <c r="I63" s="42">
        <v>0.21679999999999999</v>
      </c>
      <c r="J63" s="44">
        <f t="shared" si="20"/>
        <v>0.21679999999999999</v>
      </c>
      <c r="K63" s="39">
        <v>0</v>
      </c>
      <c r="L63" s="46">
        <f t="shared" si="21"/>
        <v>-3.3200000000000007E-2</v>
      </c>
      <c r="M63" s="46">
        <f t="shared" si="22"/>
        <v>-13.280000000000003</v>
      </c>
      <c r="N63" s="51">
        <v>5958</v>
      </c>
      <c r="O63" s="37">
        <v>1291.5</v>
      </c>
      <c r="P63" s="72">
        <f t="shared" si="24"/>
        <v>0</v>
      </c>
      <c r="Q63" s="49">
        <f t="shared" si="23"/>
        <v>-0.16454720616570329</v>
      </c>
      <c r="R63" s="53"/>
      <c r="T63" s="53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0</v>
      </c>
      <c r="O64" s="37">
        <v>0</v>
      </c>
      <c r="P64" s="72">
        <f t="shared" si="24"/>
        <v>0</v>
      </c>
      <c r="Q64" s="49">
        <f t="shared" si="23"/>
        <v>0</v>
      </c>
      <c r="T64" s="53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37628189.071199998</v>
      </c>
      <c r="E65" s="39">
        <v>0</v>
      </c>
      <c r="F65" s="40" t="s">
        <v>44</v>
      </c>
      <c r="G65" s="71">
        <v>4.2999999999999997E-2</v>
      </c>
      <c r="H65" s="42">
        <v>0.12</v>
      </c>
      <c r="I65" s="42">
        <v>0.10920000000000001</v>
      </c>
      <c r="J65" s="44">
        <f t="shared" si="20"/>
        <v>0.10920000000000001</v>
      </c>
      <c r="K65" s="39">
        <v>0</v>
      </c>
      <c r="L65" s="46">
        <f t="shared" si="21"/>
        <v>-1.079999999999999E-2</v>
      </c>
      <c r="M65" s="46">
        <f t="shared" si="22"/>
        <v>-8.9999999999999929</v>
      </c>
      <c r="N65" s="51">
        <v>764</v>
      </c>
      <c r="O65" s="37">
        <v>83.46</v>
      </c>
      <c r="P65" s="72">
        <f t="shared" si="24"/>
        <v>0</v>
      </c>
      <c r="Q65" s="49">
        <f t="shared" si="23"/>
        <v>1.5395348837209304</v>
      </c>
      <c r="T65" s="53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2">
        <f>SUM(N50:N65)</f>
        <v>138873</v>
      </c>
      <c r="O66" s="63">
        <f>SUM(O50:O65)</f>
        <v>571131.8899999999</v>
      </c>
      <c r="P66" s="80"/>
      <c r="Q66" s="64"/>
    </row>
    <row r="67" spans="1:20" ht="12.6" hidden="1" x14ac:dyDescent="0.3">
      <c r="A67" s="137" t="s">
        <v>152</v>
      </c>
      <c r="B67" s="138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40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4"/>
    </row>
    <row r="70" spans="1:20" ht="12.6" x14ac:dyDescent="0.3">
      <c r="A70" s="137" t="s">
        <v>156</v>
      </c>
      <c r="B70" s="138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40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45551291.949000001</v>
      </c>
      <c r="E71" s="39">
        <f>C71*K71</f>
        <v>45551291.949000001</v>
      </c>
      <c r="F71" s="92" t="s">
        <v>159</v>
      </c>
      <c r="G71" s="92">
        <v>0.24</v>
      </c>
      <c r="H71" s="93">
        <v>0.32700000000000001</v>
      </c>
      <c r="I71" s="93">
        <v>0.32700000000000001</v>
      </c>
      <c r="J71" s="94">
        <f>I71</f>
        <v>0.32700000000000001</v>
      </c>
      <c r="K71" s="94">
        <f>J71</f>
        <v>0.32700000000000001</v>
      </c>
      <c r="L71" s="46">
        <f>I71-H71</f>
        <v>0</v>
      </c>
      <c r="M71" s="46">
        <f>((I71-H71)/H71)*100</f>
        <v>0</v>
      </c>
      <c r="N71" s="95">
        <v>33</v>
      </c>
      <c r="O71" s="96">
        <v>10.79</v>
      </c>
      <c r="P71" s="72">
        <f>(R71)/J71</f>
        <v>0</v>
      </c>
      <c r="Q71" s="49">
        <f>J71/G71-1</f>
        <v>0.36250000000000004</v>
      </c>
      <c r="T71" s="53"/>
    </row>
    <row r="72" spans="1:20" x14ac:dyDescent="0.25">
      <c r="A72" s="35" t="s">
        <v>160</v>
      </c>
      <c r="B72" s="91" t="s">
        <v>161</v>
      </c>
      <c r="C72" s="92">
        <v>540751750</v>
      </c>
      <c r="D72" s="38">
        <f>C72*J72</f>
        <v>81112762.5</v>
      </c>
      <c r="E72" s="39">
        <f>C72*K72</f>
        <v>81112762.5</v>
      </c>
      <c r="F72" s="92" t="s">
        <v>159</v>
      </c>
      <c r="G72" s="92">
        <v>0.1</v>
      </c>
      <c r="H72" s="93">
        <v>0.15010000000000001</v>
      </c>
      <c r="I72" s="93">
        <v>0.15</v>
      </c>
      <c r="J72" s="94">
        <f>I72</f>
        <v>0.15</v>
      </c>
      <c r="K72" s="94">
        <f>J72</f>
        <v>0.15</v>
      </c>
      <c r="L72" s="46">
        <f>I72-H72</f>
        <v>-1.0000000000001674E-4</v>
      </c>
      <c r="M72" s="46">
        <f>((I72-H72)/H72)*100</f>
        <v>-6.6622251832123072E-2</v>
      </c>
      <c r="N72" s="51">
        <v>5145</v>
      </c>
      <c r="O72" s="96">
        <v>771.75</v>
      </c>
      <c r="P72" s="97">
        <f>(R72)/J72</f>
        <v>2.528E-2</v>
      </c>
      <c r="Q72" s="49">
        <f>J72/G72-1</f>
        <v>0.49999999999999978</v>
      </c>
      <c r="R72" s="5">
        <v>3.7919999999999998E-3</v>
      </c>
      <c r="T72" s="53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2">
        <f>SUM(N71:N72)</f>
        <v>5178</v>
      </c>
      <c r="O73" s="63">
        <f>SUM(O71:O72)</f>
        <v>782.54</v>
      </c>
      <c r="P73" s="90"/>
      <c r="Q73" s="64"/>
    </row>
    <row r="74" spans="1:20" ht="12.6" x14ac:dyDescent="0.3">
      <c r="A74" s="137" t="s">
        <v>162</v>
      </c>
      <c r="B74" s="138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40"/>
    </row>
    <row r="75" spans="1:20" x14ac:dyDescent="0.25">
      <c r="A75" s="35" t="s">
        <v>163</v>
      </c>
      <c r="B75" s="91" t="s">
        <v>164</v>
      </c>
      <c r="C75" s="92">
        <v>64242951</v>
      </c>
      <c r="D75" s="38">
        <f>C75*J75</f>
        <v>7574243.9229000006</v>
      </c>
      <c r="E75" s="39">
        <f>C75*K75</f>
        <v>7574243.9229000006</v>
      </c>
      <c r="F75" s="92" t="s">
        <v>137</v>
      </c>
      <c r="G75" s="92">
        <v>0.1394</v>
      </c>
      <c r="H75" s="93">
        <v>0.1201</v>
      </c>
      <c r="I75" s="93">
        <v>0.1179</v>
      </c>
      <c r="J75" s="94">
        <f>I75</f>
        <v>0.1179</v>
      </c>
      <c r="K75" s="94">
        <f>J75</f>
        <v>0.1179</v>
      </c>
      <c r="L75" s="46">
        <f>I75-H75</f>
        <v>-2.1999999999999936E-3</v>
      </c>
      <c r="M75" s="46">
        <f>((I75-H75)/H75)*100</f>
        <v>-1.8318068276436248</v>
      </c>
      <c r="N75" s="95">
        <v>4216</v>
      </c>
      <c r="O75" s="96">
        <v>496.92</v>
      </c>
      <c r="P75" s="72">
        <f>(R75)/J75</f>
        <v>0</v>
      </c>
      <c r="Q75" s="49">
        <f>J75/G75-1</f>
        <v>-0.1542324246771879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2"/>
      <c r="O76" s="63"/>
      <c r="P76" s="90"/>
      <c r="Q76" s="64"/>
    </row>
    <row r="77" spans="1:20" ht="12.6" x14ac:dyDescent="0.3">
      <c r="A77" s="133" t="s">
        <v>165</v>
      </c>
      <c r="B77" s="134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6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154749.76382505783</v>
      </c>
      <c r="E78" s="39">
        <f>C78*K78</f>
        <v>128794.35968750001</v>
      </c>
      <c r="F78" s="40" t="s">
        <v>137</v>
      </c>
      <c r="G78" s="71">
        <v>0.105</v>
      </c>
      <c r="H78" s="42">
        <v>0.137188</v>
      </c>
      <c r="I78" s="42">
        <v>0.13</v>
      </c>
      <c r="J78" s="44">
        <f>I78/$J$5</f>
        <v>4.8811991228860652E-3</v>
      </c>
      <c r="K78" s="45">
        <f>I78/$K$4</f>
        <v>4.0625000000000001E-3</v>
      </c>
      <c r="L78" s="46">
        <f>I78-H78</f>
        <v>-7.1879999999999999E-3</v>
      </c>
      <c r="M78" s="98">
        <f>((I78-H78)/H78)*100</f>
        <v>-5.2395253229145409</v>
      </c>
      <c r="N78" s="37">
        <v>1000</v>
      </c>
      <c r="O78" s="37">
        <v>130</v>
      </c>
      <c r="P78" s="40">
        <v>0</v>
      </c>
      <c r="Q78" s="49">
        <f>I78/G78-1</f>
        <v>0.23809523809523814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409005.59310324112</v>
      </c>
      <c r="E79" s="39">
        <f>C79*K79</f>
        <v>340405.13</v>
      </c>
      <c r="F79" s="40" t="s">
        <v>137</v>
      </c>
      <c r="G79" s="71">
        <v>4.2500000000000003E-2</v>
      </c>
      <c r="H79" s="42">
        <v>0.08</v>
      </c>
      <c r="I79" s="42">
        <v>0.08</v>
      </c>
      <c r="J79" s="44">
        <f>I79/$J$5</f>
        <v>3.0038148448529632E-3</v>
      </c>
      <c r="K79" s="45">
        <f>I79/$K$4</f>
        <v>2.5000000000000001E-3</v>
      </c>
      <c r="L79" s="46">
        <f>I79-H79</f>
        <v>0</v>
      </c>
      <c r="M79" s="98">
        <f>((I79-H79)/H79)*100</f>
        <v>0</v>
      </c>
      <c r="N79" s="37">
        <v>51400</v>
      </c>
      <c r="O79" s="37">
        <v>4112</v>
      </c>
      <c r="P79" s="40">
        <v>0</v>
      </c>
      <c r="Q79" s="49">
        <f>I79/G79-1</f>
        <v>0.88235294117647056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1469674.2002342974</v>
      </c>
      <c r="E80" s="39">
        <f>C80*K80</f>
        <v>1223173.095</v>
      </c>
      <c r="F80" s="40" t="s">
        <v>137</v>
      </c>
      <c r="G80" s="71">
        <v>6.0499999999999998E-2</v>
      </c>
      <c r="H80" s="42">
        <v>0.12</v>
      </c>
      <c r="I80" s="42">
        <v>0.12</v>
      </c>
      <c r="J80" s="44">
        <f>I80/$J$5</f>
        <v>4.5057222672794444E-3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0.98347107438016534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426254.47192935029</v>
      </c>
      <c r="E81" s="39">
        <f>C81*K81</f>
        <v>354760.94062499999</v>
      </c>
      <c r="F81" s="40" t="s">
        <v>137</v>
      </c>
      <c r="G81" s="71">
        <v>1.85</v>
      </c>
      <c r="H81" s="42">
        <v>1.7</v>
      </c>
      <c r="I81" s="42">
        <v>1.7</v>
      </c>
      <c r="J81" s="44">
        <f>I81/$J$5</f>
        <v>6.3831065453125474E-2</v>
      </c>
      <c r="K81" s="45">
        <f>I81/$K$4</f>
        <v>5.3124999999999999E-2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-8.1081081081081141E-2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52400</v>
      </c>
      <c r="O82" s="63">
        <f>SUM(O78:O81)</f>
        <v>4242</v>
      </c>
      <c r="P82" s="80"/>
      <c r="Q82" s="64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7" t="s">
        <v>174</v>
      </c>
      <c r="B83" s="138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40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29492044.221035711</v>
      </c>
      <c r="E84" s="39">
        <f>C84*K84</f>
        <v>24545491.104062498</v>
      </c>
      <c r="F84" s="40" t="s">
        <v>177</v>
      </c>
      <c r="G84" s="40">
        <v>1.3</v>
      </c>
      <c r="H84" s="42">
        <v>2.1324999999999998</v>
      </c>
      <c r="I84" s="42">
        <v>2.1324999999999998</v>
      </c>
      <c r="J84" s="44">
        <f>I84/$J$5</f>
        <v>8.0070439458111792E-2</v>
      </c>
      <c r="K84" s="45">
        <f>I84/$K$4</f>
        <v>6.6640624999999995E-2</v>
      </c>
      <c r="L84" s="46">
        <f>I84-H84</f>
        <v>0</v>
      </c>
      <c r="M84" s="46">
        <f>((I84-H84)/H84*100)</f>
        <v>0</v>
      </c>
      <c r="N84" s="108">
        <v>151</v>
      </c>
      <c r="O84" s="109">
        <v>322.13499999999999</v>
      </c>
      <c r="P84" s="52">
        <f>(R84)/J84</f>
        <v>0</v>
      </c>
      <c r="Q84" s="49">
        <f>I84/G84-1</f>
        <v>0.64038461538461511</v>
      </c>
      <c r="R84" s="53"/>
    </row>
    <row r="85" spans="1:243" s="110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79474282.878255397</v>
      </c>
      <c r="E85" s="39">
        <f>C85*K85</f>
        <v>66144458.782499999</v>
      </c>
      <c r="F85" s="40" t="s">
        <v>177</v>
      </c>
      <c r="G85" s="40">
        <v>1.44347</v>
      </c>
      <c r="H85" s="42">
        <v>1.1483029999999999</v>
      </c>
      <c r="I85" s="42">
        <v>1.149648</v>
      </c>
      <c r="J85" s="44">
        <f>I85/$J$5</f>
        <v>4.3166621609443998E-2</v>
      </c>
      <c r="K85" s="45">
        <f>I85/$K$4</f>
        <v>3.59265E-2</v>
      </c>
      <c r="L85" s="46">
        <f>I85-H85</f>
        <v>1.3450000000001516E-3</v>
      </c>
      <c r="M85" s="46">
        <f>((I85-H85)/H85*100)</f>
        <v>0.11712936393967026</v>
      </c>
      <c r="N85" s="109">
        <v>41673</v>
      </c>
      <c r="O85" s="109">
        <v>47913.050799999997</v>
      </c>
      <c r="P85" s="48">
        <f>(R85)/J85</f>
        <v>5.0409319026345448E-2</v>
      </c>
      <c r="Q85" s="49">
        <f>I85/G85-1</f>
        <v>-0.20355255045134291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1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2"/>
      <c r="B87" s="113"/>
      <c r="C87" s="113"/>
      <c r="D87" s="113"/>
      <c r="E87" s="113"/>
      <c r="F87" s="114"/>
      <c r="G87" s="114"/>
      <c r="H87" s="60"/>
      <c r="M87" s="115"/>
      <c r="N87" s="115"/>
      <c r="O87" s="60"/>
      <c r="P87" s="60"/>
      <c r="Q87" s="116"/>
    </row>
    <row r="88" spans="1:243" ht="15" customHeight="1" thickBot="1" x14ac:dyDescent="0.3">
      <c r="A88" s="141" t="s">
        <v>180</v>
      </c>
      <c r="B88" s="142"/>
      <c r="C88" s="142"/>
      <c r="D88" s="143"/>
      <c r="E88" s="141" t="s">
        <v>181</v>
      </c>
      <c r="F88" s="142"/>
      <c r="G88" s="142"/>
      <c r="H88" s="143"/>
      <c r="I88" s="53"/>
      <c r="J88" s="144" t="s">
        <v>182</v>
      </c>
      <c r="K88" s="145"/>
      <c r="L88" s="146"/>
      <c r="M88" s="144" t="s">
        <v>183</v>
      </c>
      <c r="N88" s="145"/>
      <c r="O88" s="146"/>
      <c r="Q88" s="16"/>
    </row>
    <row r="89" spans="1:243" ht="15" customHeight="1" x14ac:dyDescent="0.25">
      <c r="A89" s="35" t="s">
        <v>95</v>
      </c>
      <c r="B89" s="117">
        <v>6.2632999999999994E-2</v>
      </c>
      <c r="D89" s="117">
        <v>13.878181818181806</v>
      </c>
      <c r="E89" s="35" t="s">
        <v>58</v>
      </c>
      <c r="F89" s="118">
        <v>13.083299999999999</v>
      </c>
      <c r="H89" s="119">
        <v>-3.0830771510056048</v>
      </c>
      <c r="J89" s="35" t="s">
        <v>133</v>
      </c>
      <c r="K89" s="52">
        <v>2.4799999999999999E-2</v>
      </c>
      <c r="L89" s="120">
        <v>10.222222222222223</v>
      </c>
      <c r="M89" s="60" t="s">
        <v>146</v>
      </c>
      <c r="N89" s="118">
        <v>0.21679999999999999</v>
      </c>
      <c r="O89" s="119">
        <v>-13.280000000000003</v>
      </c>
      <c r="Q89" s="16"/>
    </row>
    <row r="90" spans="1:243" ht="15" customHeight="1" x14ac:dyDescent="0.25">
      <c r="A90" s="35" t="s">
        <v>99</v>
      </c>
      <c r="B90" s="117">
        <v>0.55002799999999996</v>
      </c>
      <c r="D90" s="117">
        <v>7.2578679391352114</v>
      </c>
      <c r="E90" s="35" t="s">
        <v>35</v>
      </c>
      <c r="F90" s="118">
        <v>6.0176E-2</v>
      </c>
      <c r="H90" s="119">
        <v>-2.6735027252583765</v>
      </c>
      <c r="J90" s="35" t="s">
        <v>125</v>
      </c>
      <c r="K90" s="52">
        <v>2.5000000000000001E-2</v>
      </c>
      <c r="L90" s="120">
        <v>0.80645161290323497</v>
      </c>
      <c r="M90" s="35" t="s">
        <v>123</v>
      </c>
      <c r="N90" s="118">
        <v>0.19869999999999999</v>
      </c>
      <c r="O90" s="119">
        <v>-12.466960352422916</v>
      </c>
      <c r="Q90" s="16"/>
    </row>
    <row r="91" spans="1:243" ht="15" customHeight="1" x14ac:dyDescent="0.25">
      <c r="A91" s="35" t="s">
        <v>105</v>
      </c>
      <c r="B91" s="117">
        <v>7.0098999999999995E-2</v>
      </c>
      <c r="C91" s="117"/>
      <c r="D91" s="117">
        <v>7.1735441160731845</v>
      </c>
      <c r="E91" s="35" t="s">
        <v>81</v>
      </c>
      <c r="F91" s="118">
        <v>6.6394739999999999</v>
      </c>
      <c r="H91" s="119">
        <v>-2.5040528634361197</v>
      </c>
      <c r="J91" s="35" t="s">
        <v>144</v>
      </c>
      <c r="K91" s="52">
        <v>0.70320000000000005</v>
      </c>
      <c r="L91" s="120">
        <v>0.45714285714287028</v>
      </c>
      <c r="M91" s="35" t="s">
        <v>138</v>
      </c>
      <c r="N91" s="118">
        <v>0.90600000000000003</v>
      </c>
      <c r="O91" s="119">
        <v>-3.5759897828863312</v>
      </c>
      <c r="Q91" s="16"/>
    </row>
    <row r="92" spans="1:243" ht="15" customHeight="1" x14ac:dyDescent="0.25">
      <c r="A92" s="35" t="s">
        <v>73</v>
      </c>
      <c r="B92" s="117">
        <v>1.55</v>
      </c>
      <c r="C92" s="117"/>
      <c r="D92" s="117">
        <v>5.9411090462087675</v>
      </c>
      <c r="E92" s="35" t="s">
        <v>93</v>
      </c>
      <c r="F92" s="118">
        <v>4.2694999999999999</v>
      </c>
      <c r="H92" s="119">
        <v>-7.7606899056752318E-2</v>
      </c>
      <c r="J92" s="35" t="s">
        <v>131</v>
      </c>
      <c r="K92" s="52">
        <v>0.15</v>
      </c>
      <c r="L92" s="120">
        <v>0.33444816053511733</v>
      </c>
      <c r="M92" s="35" t="s">
        <v>140</v>
      </c>
      <c r="N92" s="118">
        <v>1.4001999999999999</v>
      </c>
      <c r="O92" s="119">
        <v>-0.8005667729365985</v>
      </c>
      <c r="Q92" s="16"/>
    </row>
    <row r="93" spans="1:243" ht="15" customHeight="1" x14ac:dyDescent="0.25">
      <c r="A93" s="35" t="s">
        <v>45</v>
      </c>
      <c r="B93" s="117">
        <v>38.891500000000001</v>
      </c>
      <c r="C93" s="117"/>
      <c r="D93" s="117">
        <v>1.2140533506831581</v>
      </c>
      <c r="E93" s="35"/>
      <c r="F93" s="118"/>
      <c r="G93" s="118"/>
      <c r="H93" s="119"/>
      <c r="J93" s="35" t="s">
        <v>127</v>
      </c>
      <c r="K93" s="52">
        <v>0.16059999999999999</v>
      </c>
      <c r="L93" s="120">
        <v>0.31230480949406647</v>
      </c>
      <c r="M93" s="35"/>
      <c r="N93" s="118"/>
      <c r="O93" s="119"/>
      <c r="Q93" s="16"/>
    </row>
    <row r="94" spans="1:243" ht="15.75" customHeight="1" thickBot="1" x14ac:dyDescent="0.3">
      <c r="A94" s="121"/>
      <c r="B94" s="122"/>
      <c r="C94" s="122"/>
      <c r="D94" s="122"/>
      <c r="E94" s="121"/>
      <c r="F94" s="122"/>
      <c r="G94" s="122"/>
      <c r="H94" s="123"/>
      <c r="J94" s="121"/>
      <c r="K94" s="122"/>
      <c r="L94" s="123"/>
      <c r="M94" s="122"/>
      <c r="N94" s="122"/>
      <c r="O94" s="123"/>
      <c r="Q94" s="16"/>
    </row>
    <row r="95" spans="1:243" x14ac:dyDescent="0.25">
      <c r="A95" s="124"/>
      <c r="B95" s="125"/>
      <c r="C95" s="125"/>
      <c r="D95" s="125"/>
      <c r="E95" s="115"/>
      <c r="F95" s="115"/>
      <c r="G95" s="115"/>
      <c r="H95" s="115"/>
      <c r="I95" s="115"/>
      <c r="J95" s="115"/>
      <c r="K95" s="115"/>
      <c r="L95" s="115"/>
      <c r="M95" s="125"/>
      <c r="Q95" s="16"/>
    </row>
    <row r="96" spans="1:243" x14ac:dyDescent="0.25">
      <c r="A96" s="12" t="s">
        <v>184</v>
      </c>
      <c r="B96" s="126"/>
      <c r="C96" s="126"/>
      <c r="D96" s="126"/>
      <c r="E96" s="126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4"/>
      <c r="B97" s="125"/>
      <c r="C97" s="125"/>
      <c r="D97" s="125"/>
      <c r="E97" s="125"/>
      <c r="F97" s="115"/>
      <c r="G97" s="115"/>
      <c r="H97" s="125"/>
      <c r="I97" s="115"/>
      <c r="J97" s="115"/>
      <c r="K97" s="115"/>
      <c r="L97" s="115"/>
      <c r="M97" s="125"/>
      <c r="Q97" s="16"/>
    </row>
    <row r="98" spans="1:17" ht="12.6" thickBot="1" x14ac:dyDescent="0.3">
      <c r="A98" s="127"/>
      <c r="B98" s="128"/>
      <c r="C98" s="128"/>
      <c r="D98" s="128"/>
      <c r="E98" s="128"/>
      <c r="F98" s="129"/>
      <c r="G98" s="129"/>
      <c r="H98" s="129"/>
      <c r="I98" s="130"/>
      <c r="J98" s="130"/>
      <c r="K98" s="130"/>
      <c r="L98" s="130"/>
      <c r="M98" s="130"/>
      <c r="N98" s="130"/>
      <c r="O98" s="130"/>
      <c r="P98" s="130"/>
      <c r="Q98" s="131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2"/>
      <c r="J102" s="132"/>
      <c r="K102" s="132"/>
      <c r="O102" s="132"/>
      <c r="P102" s="132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2"/>
      <c r="J105" s="132"/>
      <c r="K105" s="132"/>
      <c r="O105" s="132"/>
      <c r="P105" s="132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2"/>
      <c r="J107" s="132"/>
      <c r="K107" s="132"/>
      <c r="O107" s="132"/>
      <c r="P107" s="132"/>
    </row>
  </sheetData>
  <sheetProtection algorithmName="SHA-512" hashValue="y52uThBGQNVz7I2uteQpjt7IHlk9xC42MaSOrWLECyXRSC+lrt2vzrcr7ha2+gaztY436IzR5rls3XM7kLuQ7g==" saltValue="komgokcLC/8qDY21YgcaNA==" spinCount="100000" sheet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2026-09-21T13:22:48Z</dcterms:created>
  <dcterms:modified xsi:type="dcterms:W3CDTF">2026-09-21T13:25:07Z</dcterms:modified>
</cp:coreProperties>
</file>