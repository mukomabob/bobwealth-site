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91D1F4C6-AC1F-4080-88A3-ACC4F8E8086B}" xr6:coauthVersionLast="47" xr6:coauthVersionMax="47" xr10:uidLastSave="{00000000-0000-0000-0000-000000000000}"/>
  <bookViews>
    <workbookView xWindow="-108" yWindow="-108" windowWidth="23256" windowHeight="12456" xr2:uid="{A806871E-7924-414C-BAB7-CF265681FA45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K72" i="1"/>
  <c r="J72" i="1"/>
  <c r="E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Q63" i="1" s="1"/>
  <c r="D63" i="1"/>
  <c r="Q62" i="1"/>
  <c r="M62" i="1"/>
  <c r="L62" i="1"/>
  <c r="J62" i="1"/>
  <c r="P62" i="1" s="1"/>
  <c r="M61" i="1"/>
  <c r="L61" i="1"/>
  <c r="J61" i="1"/>
  <c r="Q61" i="1" s="1"/>
  <c r="D61" i="1"/>
  <c r="Q60" i="1"/>
  <c r="M60" i="1"/>
  <c r="L60" i="1"/>
  <c r="J60" i="1"/>
  <c r="P60" i="1" s="1"/>
  <c r="M59" i="1"/>
  <c r="L59" i="1"/>
  <c r="J59" i="1"/>
  <c r="Q59" i="1" s="1"/>
  <c r="D59" i="1"/>
  <c r="Q58" i="1"/>
  <c r="M58" i="1"/>
  <c r="L58" i="1"/>
  <c r="J58" i="1"/>
  <c r="P58" i="1" s="1"/>
  <c r="M57" i="1"/>
  <c r="L57" i="1"/>
  <c r="J57" i="1"/>
  <c r="Q57" i="1" s="1"/>
  <c r="D57" i="1"/>
  <c r="Q56" i="1"/>
  <c r="M56" i="1"/>
  <c r="L56" i="1"/>
  <c r="J56" i="1"/>
  <c r="P56" i="1" s="1"/>
  <c r="M55" i="1"/>
  <c r="L55" i="1"/>
  <c r="J55" i="1"/>
  <c r="Q55" i="1" s="1"/>
  <c r="Q54" i="1"/>
  <c r="M54" i="1"/>
  <c r="L54" i="1"/>
  <c r="J54" i="1"/>
  <c r="P54" i="1" s="1"/>
  <c r="L53" i="1"/>
  <c r="J53" i="1"/>
  <c r="P53" i="1" s="1"/>
  <c r="D53" i="1"/>
  <c r="Q52" i="1"/>
  <c r="M52" i="1"/>
  <c r="L52" i="1"/>
  <c r="J52" i="1"/>
  <c r="D52" i="1" s="1"/>
  <c r="Q51" i="1"/>
  <c r="P51" i="1"/>
  <c r="M51" i="1"/>
  <c r="L51" i="1"/>
  <c r="J51" i="1"/>
  <c r="D51" i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P41" i="1" s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P38" i="1" s="1"/>
  <c r="Q37" i="1"/>
  <c r="M37" i="1"/>
  <c r="L37" i="1"/>
  <c r="K37" i="1"/>
  <c r="E37" i="1" s="1"/>
  <c r="J37" i="1"/>
  <c r="D37" i="1" s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P33" i="1"/>
  <c r="M33" i="1"/>
  <c r="L33" i="1"/>
  <c r="K33" i="1"/>
  <c r="J33" i="1"/>
  <c r="E33" i="1"/>
  <c r="D33" i="1"/>
  <c r="Q32" i="1"/>
  <c r="P32" i="1"/>
  <c r="M32" i="1"/>
  <c r="L32" i="1"/>
  <c r="K32" i="1"/>
  <c r="E32" i="1" s="1"/>
  <c r="J32" i="1"/>
  <c r="D32" i="1" s="1"/>
  <c r="Q31" i="1"/>
  <c r="M31" i="1"/>
  <c r="L31" i="1"/>
  <c r="K31" i="1"/>
  <c r="E31" i="1" s="1"/>
  <c r="J31" i="1"/>
  <c r="D31" i="1" s="1"/>
  <c r="K30" i="1"/>
  <c r="E30" i="1" s="1"/>
  <c r="J30" i="1"/>
  <c r="D30" i="1" s="1"/>
  <c r="Q29" i="1"/>
  <c r="M29" i="1"/>
  <c r="L29" i="1"/>
  <c r="K29" i="1"/>
  <c r="E29" i="1" s="1"/>
  <c r="J29" i="1"/>
  <c r="D29" i="1" s="1"/>
  <c r="Q28" i="1"/>
  <c r="P28" i="1"/>
  <c r="M28" i="1"/>
  <c r="L28" i="1"/>
  <c r="K28" i="1"/>
  <c r="J28" i="1"/>
  <c r="E28" i="1"/>
  <c r="D28" i="1"/>
  <c r="Q27" i="1"/>
  <c r="P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P25" i="1"/>
  <c r="M25" i="1"/>
  <c r="L25" i="1"/>
  <c r="K25" i="1"/>
  <c r="J25" i="1"/>
  <c r="E25" i="1"/>
  <c r="D25" i="1"/>
  <c r="R24" i="1"/>
  <c r="P24" i="1" s="1"/>
  <c r="Q24" i="1"/>
  <c r="M24" i="1"/>
  <c r="L24" i="1"/>
  <c r="K24" i="1"/>
  <c r="E24" i="1" s="1"/>
  <c r="J24" i="1"/>
  <c r="D24" i="1" s="1"/>
  <c r="Q23" i="1"/>
  <c r="P23" i="1"/>
  <c r="M23" i="1"/>
  <c r="L23" i="1"/>
  <c r="K23" i="1"/>
  <c r="E23" i="1" s="1"/>
  <c r="J23" i="1"/>
  <c r="D23" i="1"/>
  <c r="Q22" i="1"/>
  <c r="L22" i="1"/>
  <c r="K22" i="1"/>
  <c r="J22" i="1"/>
  <c r="E22" i="1"/>
  <c r="D22" i="1"/>
  <c r="Q21" i="1"/>
  <c r="P21" i="1"/>
  <c r="M21" i="1"/>
  <c r="L21" i="1"/>
  <c r="K21" i="1"/>
  <c r="J21" i="1"/>
  <c r="D21" i="1" s="1"/>
  <c r="E21" i="1"/>
  <c r="Q20" i="1"/>
  <c r="M20" i="1"/>
  <c r="L20" i="1"/>
  <c r="K20" i="1"/>
  <c r="J20" i="1"/>
  <c r="D20" i="1" s="1"/>
  <c r="E20" i="1"/>
  <c r="Q19" i="1"/>
  <c r="P19" i="1"/>
  <c r="M19" i="1"/>
  <c r="L19" i="1"/>
  <c r="K19" i="1"/>
  <c r="J19" i="1"/>
  <c r="E19" i="1"/>
  <c r="D19" i="1"/>
  <c r="E18" i="1"/>
  <c r="D18" i="1"/>
  <c r="Q17" i="1"/>
  <c r="M17" i="1"/>
  <c r="L17" i="1"/>
  <c r="K17" i="1"/>
  <c r="E17" i="1" s="1"/>
  <c r="J17" i="1"/>
  <c r="P17" i="1" s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P11" i="1" s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P9" i="1" s="1"/>
  <c r="E9" i="1"/>
  <c r="D9" i="1"/>
  <c r="P26" i="1" l="1"/>
  <c r="P29" i="1"/>
  <c r="P31" i="1"/>
  <c r="P34" i="1"/>
  <c r="D85" i="1"/>
  <c r="D11" i="1"/>
  <c r="D14" i="1"/>
  <c r="D17" i="1"/>
  <c r="P20" i="1"/>
  <c r="D38" i="1"/>
  <c r="D41" i="1"/>
  <c r="D44" i="1"/>
  <c r="P55" i="1"/>
  <c r="P57" i="1"/>
  <c r="P59" i="1"/>
  <c r="P61" i="1"/>
  <c r="P63" i="1"/>
  <c r="P65" i="1"/>
  <c r="D55" i="1"/>
  <c r="K71" i="1"/>
  <c r="E71" i="1" s="1"/>
  <c r="P71" i="1"/>
  <c r="D75" i="1"/>
  <c r="D54" i="1"/>
  <c r="D56" i="1"/>
  <c r="D58" i="1"/>
  <c r="D60" i="1"/>
  <c r="D62" i="1"/>
  <c r="D64" i="1"/>
</calcChain>
</file>

<file path=xl/sharedStrings.xml><?xml version="1.0" encoding="utf-8"?>
<sst xmlns="http://schemas.openxmlformats.org/spreadsheetml/2006/main" count="272" uniqueCount="185">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</sst>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 2" xfId="3" xr:uid="{D6660C44-91C9-439D-9CCC-54E6C59B9B81}"/>
    <cellStyle name="Comma 5 2 2 2 2 2 2 2 2 2 2 2 2 2" xfId="4" xr:uid="{5F599867-A273-42BE-A2E2-98A1CE136894}"/>
    <cellStyle name="Comma 6 2 2 2 2 2 2 2 2" xfId="6" xr:uid="{324353B1-FB9F-4778-B4D8-1EEF85A7D538}"/>
    <cellStyle name="Hyperlink 2" xfId="8" xr:uid="{E6776D6C-9998-47C2-A107-522E661DBF3C}"/>
    <cellStyle name="Normal" xfId="0" builtinId="0"/>
    <cellStyle name="Normal 2" xfId="2" xr:uid="{5D6937A9-A54F-4ABF-90C7-9A2CA105C097}"/>
    <cellStyle name="Normal 20" xfId="7" xr:uid="{EF635166-A4D9-4384-B62A-52A3C2A81B44}"/>
    <cellStyle name="Percent" xfId="1" builtinId="5"/>
    <cellStyle name="Percent 3" xfId="5" xr:uid="{721CD92C-5099-4370-82B5-41968D6D98D4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829797B-C29C-4F36-9A78-09C7D4DE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D43A291-E9F1-4AF4-9CD6-3D3E44C9B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1BEC-5393-4170-A2AE-9805C548DA71}">
  <dimension ref="A1:II107"/>
  <sheetViews>
    <sheetView tabSelected="1" zoomScale="70" zoomScaleNormal="70" workbookViewId="0">
      <selection activeCell="T45" sqref="T4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26.7653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9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81228085.347446129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0.64449118821758022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2.3274173913043476E-2</v>
      </c>
      <c r="Q9" s="48">
        <f t="shared" ref="Q9:Q17" si="6">I9/G9-1</f>
        <v>0.91890538962122492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5759511.2977016885</v>
      </c>
      <c r="E10" s="39">
        <f t="shared" si="1"/>
        <v>4817345.2417617189</v>
      </c>
      <c r="F10" s="40" t="s">
        <v>34</v>
      </c>
      <c r="G10" s="41">
        <v>3.1600000000000003E-2</v>
      </c>
      <c r="H10" s="42">
        <v>9.4725000000000004E-2</v>
      </c>
      <c r="I10" s="43">
        <v>9.4725000000000004E-2</v>
      </c>
      <c r="J10" s="44">
        <f t="shared" ref="J10:J17" si="7">I10/$J$5</f>
        <v>3.5390972639947993E-3</v>
      </c>
      <c r="K10" s="45">
        <f t="shared" si="2"/>
        <v>2.9601562500000001E-3</v>
      </c>
      <c r="L10" s="46">
        <f t="shared" si="3"/>
        <v>0</v>
      </c>
      <c r="M10" s="46">
        <f t="shared" si="4"/>
        <v>0</v>
      </c>
      <c r="N10" s="50">
        <v>0</v>
      </c>
      <c r="O10" s="37">
        <v>0</v>
      </c>
      <c r="P10" s="51">
        <f t="shared" si="5"/>
        <v>0</v>
      </c>
      <c r="Q10" s="48">
        <f t="shared" si="6"/>
        <v>1.9976265822784809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3330557.8953346307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7.6218088345731223E-3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1.6153846153846154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136561129.84889391</v>
      </c>
      <c r="E12" s="39">
        <f t="shared" si="1"/>
        <v>114221862.77326874</v>
      </c>
      <c r="F12" s="40" t="s">
        <v>34</v>
      </c>
      <c r="G12" s="41">
        <v>97.381</v>
      </c>
      <c r="H12" s="42">
        <v>177.1438</v>
      </c>
      <c r="I12" s="43">
        <v>177.1438</v>
      </c>
      <c r="J12" s="44">
        <f t="shared" si="7"/>
        <v>6.6184126462247761</v>
      </c>
      <c r="K12" s="45">
        <f t="shared" si="2"/>
        <v>5.53574375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0.81907969727154173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8811704.5577669591</v>
      </c>
      <c r="E13" s="39">
        <f t="shared" si="1"/>
        <v>7370247.375</v>
      </c>
      <c r="F13" s="40" t="s">
        <v>44</v>
      </c>
      <c r="G13" s="41">
        <v>13.6</v>
      </c>
      <c r="H13" s="42">
        <v>26.964286000000001</v>
      </c>
      <c r="I13" s="43">
        <v>27</v>
      </c>
      <c r="J13" s="44">
        <f t="shared" si="7"/>
        <v>1.0087688163405604</v>
      </c>
      <c r="K13" s="45">
        <f t="shared" si="2"/>
        <v>0.84375</v>
      </c>
      <c r="L13" s="46">
        <f t="shared" si="3"/>
        <v>3.5713999999998691E-2</v>
      </c>
      <c r="M13" s="46">
        <f t="shared" si="4"/>
        <v>0.13244927011973798</v>
      </c>
      <c r="N13" s="50">
        <v>100</v>
      </c>
      <c r="O13" s="37">
        <v>2700</v>
      </c>
      <c r="P13" s="51">
        <f t="shared" si="5"/>
        <v>0</v>
      </c>
      <c r="Q13" s="48">
        <f t="shared" si="6"/>
        <v>0.98529411764705888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663937628.57132185</v>
      </c>
      <c r="E14" s="39">
        <f t="shared" si="1"/>
        <v>555327806.5625</v>
      </c>
      <c r="F14" s="40" t="s">
        <v>47</v>
      </c>
      <c r="G14" s="41">
        <v>11.5</v>
      </c>
      <c r="H14" s="42">
        <v>35.997375000000005</v>
      </c>
      <c r="I14" s="43">
        <v>34</v>
      </c>
      <c r="J14" s="44">
        <f t="shared" si="7"/>
        <v>1.2703014724288537</v>
      </c>
      <c r="K14" s="45">
        <f t="shared" si="2"/>
        <v>1.0625</v>
      </c>
      <c r="L14" s="46">
        <f t="shared" si="3"/>
        <v>-1.9973750000000052</v>
      </c>
      <c r="M14" s="46">
        <f t="shared" si="4"/>
        <v>-5.5486684792988514</v>
      </c>
      <c r="N14" s="50">
        <v>100</v>
      </c>
      <c r="O14" s="37">
        <v>3400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31417698.988989476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0.29627913754002383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80253355.949681118</v>
      </c>
      <c r="E16" s="39">
        <f t="shared" si="1"/>
        <v>67125160.875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0.22417084807568008</v>
      </c>
      <c r="K16" s="45">
        <f t="shared" si="2"/>
        <v>0.1875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0.22304416666666668</v>
      </c>
      <c r="Q16" s="48">
        <f t="shared" si="6"/>
        <v>2.1578947368421053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1740102904.3431606</v>
      </c>
      <c r="E17" s="39">
        <f t="shared" si="1"/>
        <v>1455449258.3004999</v>
      </c>
      <c r="F17" s="40" t="s">
        <v>34</v>
      </c>
      <c r="G17" s="41">
        <v>20.701700000000002</v>
      </c>
      <c r="H17" s="42">
        <v>32.416862000000002</v>
      </c>
      <c r="I17" s="43">
        <v>34.556799999999996</v>
      </c>
      <c r="J17" s="44">
        <f t="shared" si="7"/>
        <v>1.2911045271302768</v>
      </c>
      <c r="K17" s="45">
        <f t="shared" si="2"/>
        <v>1.0798999999999999</v>
      </c>
      <c r="L17" s="46">
        <f t="shared" si="3"/>
        <v>2.1399379999999937</v>
      </c>
      <c r="M17" s="46">
        <f t="shared" si="4"/>
        <v>6.6013113792445228</v>
      </c>
      <c r="N17" s="50">
        <v>54300</v>
      </c>
      <c r="O17" s="37">
        <v>1876435</v>
      </c>
      <c r="P17" s="47">
        <f t="shared" si="5"/>
        <v>0</v>
      </c>
      <c r="Q17" s="48">
        <f t="shared" si="6"/>
        <v>0.66927353792200606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338921066.24995798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0.50438440817028019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0">
        <v>100</v>
      </c>
      <c r="O19" s="37">
        <v>1350</v>
      </c>
      <c r="P19" s="51">
        <f>(R19)/J19</f>
        <v>0</v>
      </c>
      <c r="Q19" s="48">
        <f t="shared" ref="Q19:Q29" si="11">I19/G19-1</f>
        <v>8.4337349397590522E-2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3784701.1103929342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3.4746481451730413E-2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74840940.757249117</v>
      </c>
      <c r="E21" s="39">
        <f t="shared" si="1"/>
        <v>62598132.239062496</v>
      </c>
      <c r="F21" s="40" t="s">
        <v>47</v>
      </c>
      <c r="G21" s="41">
        <v>2.85</v>
      </c>
      <c r="H21" s="42">
        <v>2.9024999999999999</v>
      </c>
      <c r="I21" s="43">
        <v>2.9024999999999999</v>
      </c>
      <c r="J21" s="44">
        <f t="shared" si="8"/>
        <v>0.10844264775661024</v>
      </c>
      <c r="K21" s="45">
        <f t="shared" si="9"/>
        <v>9.0703124999999996E-2</v>
      </c>
      <c r="L21" s="46">
        <f t="shared" si="10"/>
        <v>0</v>
      </c>
      <c r="M21" s="46">
        <f>((I21-H21)/H21)*100</f>
        <v>0</v>
      </c>
      <c r="N21" s="50">
        <v>800</v>
      </c>
      <c r="O21" s="37">
        <v>2322</v>
      </c>
      <c r="P21" s="51">
        <f>(R21)/J21</f>
        <v>0</v>
      </c>
      <c r="Q21" s="48">
        <f t="shared" si="11"/>
        <v>1.8421052631578894E-2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1984744.1903135779</v>
      </c>
      <c r="E23" s="39">
        <f t="shared" si="1"/>
        <v>1660071.05240625</v>
      </c>
      <c r="F23" s="40" t="s">
        <v>44</v>
      </c>
      <c r="G23" s="41">
        <v>0.1</v>
      </c>
      <c r="H23" s="42">
        <v>9.9000000000000005E-2</v>
      </c>
      <c r="I23" s="43">
        <v>9.9000000000000005E-2</v>
      </c>
      <c r="J23" s="44">
        <f t="shared" si="8"/>
        <v>3.6988189932487215E-3</v>
      </c>
      <c r="K23" s="45">
        <f t="shared" si="9"/>
        <v>3.0937500000000001E-3</v>
      </c>
      <c r="L23" s="46">
        <f t="shared" si="10"/>
        <v>0</v>
      </c>
      <c r="M23" s="46">
        <f t="shared" ref="M23:M29" si="12">((I23-H23)/H23)*100</f>
        <v>0</v>
      </c>
      <c r="N23" s="50">
        <v>3000</v>
      </c>
      <c r="O23" s="37">
        <v>297</v>
      </c>
      <c r="P23" s="51">
        <f t="shared" ref="P23:P29" si="13">(R23)/J23</f>
        <v>0</v>
      </c>
      <c r="Q23" s="48">
        <f t="shared" si="11"/>
        <v>-1.0000000000000009E-2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65629140.815981895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0.34001113381878778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4.4116202406461177E-2</v>
      </c>
      <c r="Q24" s="48">
        <f t="shared" si="11"/>
        <v>0.11406055700457096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107896348.45868531</v>
      </c>
      <c r="E25" s="39">
        <f t="shared" si="1"/>
        <v>90246191.731289059</v>
      </c>
      <c r="F25" s="40" t="s">
        <v>66</v>
      </c>
      <c r="G25" s="41">
        <v>1.6675</v>
      </c>
      <c r="H25" s="42">
        <v>1.700264</v>
      </c>
      <c r="I25" s="43">
        <v>1.7112499999999999</v>
      </c>
      <c r="J25" s="44">
        <f t="shared" si="8"/>
        <v>6.3935393961584583E-2</v>
      </c>
      <c r="K25" s="45">
        <f t="shared" si="9"/>
        <v>5.3476562499999998E-2</v>
      </c>
      <c r="L25" s="46">
        <f t="shared" si="10"/>
        <v>1.098599999999994E-2</v>
      </c>
      <c r="M25" s="46">
        <f t="shared" si="12"/>
        <v>0.64613495316021163</v>
      </c>
      <c r="N25" s="50">
        <v>200</v>
      </c>
      <c r="O25" s="37">
        <v>342.25</v>
      </c>
      <c r="P25" s="51">
        <f t="shared" si="13"/>
        <v>0</v>
      </c>
      <c r="Q25" s="48">
        <f t="shared" si="11"/>
        <v>2.6236881559220437E-2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22359931.235592354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9.3404520031533364E-2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0.38927479855515434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23930029.765783269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9.3421669101411142E-2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-0.20269458891623682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33314207.544096269</v>
      </c>
      <c r="E28" s="39">
        <f t="shared" si="1"/>
        <v>27864523.724374998</v>
      </c>
      <c r="F28" s="40" t="s">
        <v>44</v>
      </c>
      <c r="G28" s="41">
        <v>0.8</v>
      </c>
      <c r="H28" s="42">
        <v>1.18</v>
      </c>
      <c r="I28" s="43">
        <v>1.18</v>
      </c>
      <c r="J28" s="44">
        <f t="shared" si="8"/>
        <v>4.4086933454883744E-2</v>
      </c>
      <c r="K28" s="45">
        <f t="shared" si="9"/>
        <v>3.6874999999999998E-2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0.47499999999999987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98839307.800518498</v>
      </c>
      <c r="E29" s="39">
        <f t="shared" si="1"/>
        <v>82670741.408538058</v>
      </c>
      <c r="F29" s="40" t="s">
        <v>47</v>
      </c>
      <c r="G29" s="41">
        <v>5.15</v>
      </c>
      <c r="H29" s="42">
        <v>5.8902009999999994</v>
      </c>
      <c r="I29" s="43">
        <v>5.8902009999999994</v>
      </c>
      <c r="J29" s="44">
        <f t="shared" si="8"/>
        <v>0.22006855891770313</v>
      </c>
      <c r="K29" s="45">
        <f t="shared" si="9"/>
        <v>0.18406878124999998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0.14372834951456293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13893684.448521035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5.3464747266049703E-2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2.2142857142857242E-2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4103317.4670188637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3.362562721135201E-2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130530715.5234576</v>
      </c>
      <c r="E33" s="39">
        <f t="shared" si="1"/>
        <v>109177930.00624999</v>
      </c>
      <c r="F33" s="40" t="s">
        <v>92</v>
      </c>
      <c r="G33" s="41">
        <v>1.44</v>
      </c>
      <c r="H33" s="42">
        <v>1.4</v>
      </c>
      <c r="I33" s="43">
        <v>1.4</v>
      </c>
      <c r="J33" s="44">
        <f t="shared" si="8"/>
        <v>5.2306531217658679E-2</v>
      </c>
      <c r="K33" s="45">
        <f t="shared" si="9"/>
        <v>4.3749999999999997E-2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-2.777777777777779E-2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37883824.653562635</v>
      </c>
      <c r="E34" s="39">
        <f t="shared" si="1"/>
        <v>31686622.875</v>
      </c>
      <c r="F34" s="40" t="s">
        <v>34</v>
      </c>
      <c r="G34" s="41">
        <v>3.6056249999999999</v>
      </c>
      <c r="H34" s="42">
        <v>3.923</v>
      </c>
      <c r="I34" s="43">
        <v>4</v>
      </c>
      <c r="J34" s="44">
        <f t="shared" si="8"/>
        <v>0.14944723205045338</v>
      </c>
      <c r="K34" s="45">
        <f t="shared" si="9"/>
        <v>0.125</v>
      </c>
      <c r="L34" s="46">
        <f t="shared" si="14"/>
        <v>7.6999999999999957E-2</v>
      </c>
      <c r="M34" s="46">
        <f t="shared" si="15"/>
        <v>1.9627835839918419</v>
      </c>
      <c r="N34" s="50">
        <v>2100</v>
      </c>
      <c r="O34" s="37">
        <v>8400</v>
      </c>
      <c r="P34" s="51">
        <f t="shared" si="16"/>
        <v>0</v>
      </c>
      <c r="Q34" s="48">
        <f t="shared" si="17"/>
        <v>0.10937770844167094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11453306.70311336</v>
      </c>
      <c r="E35" s="39">
        <f t="shared" si="1"/>
        <v>9579724.6844012514</v>
      </c>
      <c r="F35" s="40" t="s">
        <v>34</v>
      </c>
      <c r="G35" s="41">
        <v>2.5099999999999997E-2</v>
      </c>
      <c r="H35" s="42">
        <v>6.6239999999999993E-2</v>
      </c>
      <c r="I35" s="43">
        <v>6.5015000000000003E-2</v>
      </c>
      <c r="J35" s="44">
        <f t="shared" si="8"/>
        <v>2.4290779479400567E-3</v>
      </c>
      <c r="K35" s="45">
        <f t="shared" si="9"/>
        <v>2.0317187500000001E-3</v>
      </c>
      <c r="L35" s="46">
        <f t="shared" si="14"/>
        <v>-1.22499999999999E-3</v>
      </c>
      <c r="M35" s="46">
        <f t="shared" si="15"/>
        <v>-1.8493357487922555</v>
      </c>
      <c r="N35" s="50">
        <v>1035800</v>
      </c>
      <c r="O35" s="37">
        <v>67342.559999999998</v>
      </c>
      <c r="P35" s="51">
        <f t="shared" si="16"/>
        <v>0</v>
      </c>
      <c r="Q35" s="48">
        <f t="shared" si="17"/>
        <v>1.5902390438247016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68891362.286877185</v>
      </c>
      <c r="E36" s="39">
        <f t="shared" si="1"/>
        <v>57621811.844279811</v>
      </c>
      <c r="F36" s="40" t="s">
        <v>92</v>
      </c>
      <c r="G36" s="41">
        <v>0.61</v>
      </c>
      <c r="H36" s="42">
        <v>3.5501299999999998</v>
      </c>
      <c r="I36" s="43">
        <v>3.5115780000000001</v>
      </c>
      <c r="J36" s="44">
        <f t="shared" si="8"/>
        <v>0.13119890305731674</v>
      </c>
      <c r="K36" s="45">
        <f t="shared" si="9"/>
        <v>0.1097368125</v>
      </c>
      <c r="L36" s="46">
        <f t="shared" si="14"/>
        <v>-3.8551999999999698E-2</v>
      </c>
      <c r="M36" s="46">
        <f t="shared" si="15"/>
        <v>-1.0859320644596029</v>
      </c>
      <c r="N36" s="50">
        <v>64200</v>
      </c>
      <c r="O36" s="37">
        <v>225443.3</v>
      </c>
      <c r="P36" s="51">
        <f t="shared" si="16"/>
        <v>0</v>
      </c>
      <c r="Q36" s="48">
        <f t="shared" si="17"/>
        <v>4.7566852459016395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134010419.68363196</v>
      </c>
      <c r="E37" s="39">
        <f t="shared" si="1"/>
        <v>112088408.93619733</v>
      </c>
      <c r="F37" s="40" t="s">
        <v>56</v>
      </c>
      <c r="G37" s="41">
        <v>0.11650199999999999</v>
      </c>
      <c r="H37" s="42">
        <v>0.85584999999999989</v>
      </c>
      <c r="I37" s="43">
        <v>0.8550660000000001</v>
      </c>
      <c r="J37" s="44">
        <f t="shared" si="8"/>
        <v>3.1946811730113246E-2</v>
      </c>
      <c r="K37" s="45">
        <f t="shared" si="9"/>
        <v>2.6720812500000003E-2</v>
      </c>
      <c r="L37" s="46">
        <f t="shared" si="14"/>
        <v>-7.8399999999978487E-4</v>
      </c>
      <c r="M37" s="46">
        <f t="shared" si="15"/>
        <v>-9.1604837296230063E-2</v>
      </c>
      <c r="N37" s="50">
        <v>22900</v>
      </c>
      <c r="O37" s="37">
        <v>19581</v>
      </c>
      <c r="P37" s="51">
        <v>0</v>
      </c>
      <c r="Q37" s="48">
        <f t="shared" si="17"/>
        <v>6.3394963176597843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22816739.518742364</v>
      </c>
      <c r="E38" s="39">
        <f t="shared" si="1"/>
        <v>19084277.445031092</v>
      </c>
      <c r="F38" s="40" t="s">
        <v>39</v>
      </c>
      <c r="G38" s="41">
        <v>0.1</v>
      </c>
      <c r="H38" s="42">
        <v>0.14099999999999999</v>
      </c>
      <c r="I38" s="43">
        <v>0.14150499999999999</v>
      </c>
      <c r="J38" s="44">
        <f t="shared" si="8"/>
        <v>5.2868826428248512E-3</v>
      </c>
      <c r="K38" s="45">
        <f t="shared" si="9"/>
        <v>4.4220312499999997E-3</v>
      </c>
      <c r="L38" s="46">
        <f t="shared" si="14"/>
        <v>5.0500000000000544E-4</v>
      </c>
      <c r="M38" s="46">
        <f t="shared" si="15"/>
        <v>0.35815602836879823</v>
      </c>
      <c r="N38" s="50">
        <v>64700</v>
      </c>
      <c r="O38" s="37">
        <v>9155.4</v>
      </c>
      <c r="P38" s="51">
        <f t="shared" ref="P38:P44" si="18">(R38)/J38</f>
        <v>0</v>
      </c>
      <c r="Q38" s="48">
        <f t="shared" si="17"/>
        <v>0.41504999999999992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7956140.0021669846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7.4723616025226688E-2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0.14597550591953667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4187241.092426538</v>
      </c>
      <c r="E40" s="39">
        <f t="shared" si="1"/>
        <v>3502273.8753476255</v>
      </c>
      <c r="F40" s="40" t="s">
        <v>39</v>
      </c>
      <c r="G40" s="41">
        <v>0.03</v>
      </c>
      <c r="H40" s="42">
        <v>6.3033000000000006E-2</v>
      </c>
      <c r="I40" s="43">
        <v>6.3033000000000006E-2</v>
      </c>
      <c r="J40" s="44">
        <f t="shared" si="8"/>
        <v>2.3550268444590574E-3</v>
      </c>
      <c r="K40" s="45">
        <f t="shared" si="9"/>
        <v>1.9697812500000002E-3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1.1011000000000002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47127161.750475429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0.26900501769081608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311.6003892353159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6.7251254422704029E-7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1549468.9018991007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2.6900501769081611E-3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48095814.374880902</v>
      </c>
      <c r="E44" s="39">
        <f t="shared" si="1"/>
        <v>40228090.640249997</v>
      </c>
      <c r="F44" s="40" t="s">
        <v>47</v>
      </c>
      <c r="G44" s="41">
        <v>0.9998999999999999</v>
      </c>
      <c r="H44" s="42">
        <v>0.70326899999999992</v>
      </c>
      <c r="I44" s="43">
        <v>0.70799999999999996</v>
      </c>
      <c r="J44" s="44">
        <f t="shared" si="8"/>
        <v>2.6452160072930248E-2</v>
      </c>
      <c r="K44" s="45">
        <f t="shared" si="9"/>
        <v>2.2124999999999999E-2</v>
      </c>
      <c r="L44" s="46">
        <f t="shared" si="14"/>
        <v>4.7310000000000407E-3</v>
      </c>
      <c r="M44" s="46">
        <f t="shared" si="15"/>
        <v>0.67271556118640818</v>
      </c>
      <c r="N44" s="50">
        <v>11000</v>
      </c>
      <c r="O44" s="37">
        <v>7788</v>
      </c>
      <c r="P44" s="51">
        <f t="shared" si="18"/>
        <v>0</v>
      </c>
      <c r="Q44" s="48">
        <f t="shared" si="17"/>
        <v>-0.29192919291929187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17268864.537292689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0.16812813605676005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300</v>
      </c>
      <c r="O45" s="37">
        <v>1350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1259600</v>
      </c>
      <c r="O47" s="61">
        <f>SUM(O9:O45)</f>
        <v>2225906.5099999998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40" t="s">
        <v>118</v>
      </c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3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93382766.772599995</v>
      </c>
      <c r="E50" s="39">
        <v>0</v>
      </c>
      <c r="F50" s="40" t="s">
        <v>92</v>
      </c>
      <c r="G50" s="70">
        <v>0.1</v>
      </c>
      <c r="H50" s="42">
        <v>0.16450000000000001</v>
      </c>
      <c r="I50" s="42">
        <v>0.16489999999999999</v>
      </c>
      <c r="J50" s="44">
        <f t="shared" ref="J50:J65" si="20">I50</f>
        <v>0.16489999999999999</v>
      </c>
      <c r="K50" s="39">
        <v>0</v>
      </c>
      <c r="L50" s="46">
        <f t="shared" ref="L50:L65" si="21">I50-H50</f>
        <v>3.999999999999837E-4</v>
      </c>
      <c r="M50" s="46">
        <f t="shared" ref="M50:M65" si="22">((I50-H50)/H50)*100</f>
        <v>0.24316109422491411</v>
      </c>
      <c r="N50" s="50">
        <v>5236</v>
      </c>
      <c r="O50" s="37">
        <v>863.59</v>
      </c>
      <c r="P50" s="71">
        <f>(R50)/J50</f>
        <v>0</v>
      </c>
      <c r="Q50" s="48">
        <f t="shared" ref="Q50:Q65" si="23">J50/G50-1</f>
        <v>0.6489999999999998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43696571.512800001</v>
      </c>
      <c r="E51" s="39">
        <v>0</v>
      </c>
      <c r="F51" s="40" t="s">
        <v>39</v>
      </c>
      <c r="G51" s="70">
        <v>39.9</v>
      </c>
      <c r="H51" s="42">
        <v>39.944000000000003</v>
      </c>
      <c r="I51" s="42">
        <v>39.2988</v>
      </c>
      <c r="J51" s="44">
        <f t="shared" si="20"/>
        <v>39.2988</v>
      </c>
      <c r="K51" s="39">
        <v>0</v>
      </c>
      <c r="L51" s="46">
        <f t="shared" si="21"/>
        <v>-0.64520000000000266</v>
      </c>
      <c r="M51" s="46">
        <f t="shared" si="22"/>
        <v>-1.6152613659122836</v>
      </c>
      <c r="N51" s="50">
        <v>10926</v>
      </c>
      <c r="O51" s="37">
        <v>429378.9</v>
      </c>
      <c r="P51" s="72">
        <f>(R51)/J51</f>
        <v>1.424979897605016E-2</v>
      </c>
      <c r="Q51" s="48">
        <f t="shared" si="23"/>
        <v>-1.5067669172932341E-2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677724965.47950006</v>
      </c>
      <c r="E52" s="39"/>
      <c r="F52" s="40" t="s">
        <v>56</v>
      </c>
      <c r="G52" s="70">
        <v>0.33</v>
      </c>
      <c r="H52" s="42">
        <v>0.22650000000000001</v>
      </c>
      <c r="I52" s="42">
        <v>0.22650000000000001</v>
      </c>
      <c r="J52" s="44">
        <f t="shared" si="20"/>
        <v>0.22650000000000001</v>
      </c>
      <c r="K52" s="39">
        <v>0</v>
      </c>
      <c r="L52" s="46">
        <f t="shared" si="21"/>
        <v>0</v>
      </c>
      <c r="M52" s="46">
        <f t="shared" si="22"/>
        <v>0</v>
      </c>
      <c r="N52" s="50">
        <v>3134660</v>
      </c>
      <c r="O52" s="37">
        <v>709967.59</v>
      </c>
      <c r="P52" s="71">
        <v>0</v>
      </c>
      <c r="Q52" s="48">
        <f t="shared" si="23"/>
        <v>-0.3136363636363636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338245643.2956</v>
      </c>
      <c r="E54" s="39">
        <v>0</v>
      </c>
      <c r="F54" s="40" t="s">
        <v>47</v>
      </c>
      <c r="G54" s="70">
        <v>9.0200000000000002E-2</v>
      </c>
      <c r="H54" s="42">
        <v>0.15459999999999999</v>
      </c>
      <c r="I54" s="42">
        <v>0.15640000000000001</v>
      </c>
      <c r="J54" s="44">
        <f t="shared" si="20"/>
        <v>0.15640000000000001</v>
      </c>
      <c r="K54" s="39">
        <v>0</v>
      </c>
      <c r="L54" s="46">
        <f t="shared" si="21"/>
        <v>1.8000000000000238E-3</v>
      </c>
      <c r="M54" s="74">
        <f t="shared" si="22"/>
        <v>1.1642949547218784</v>
      </c>
      <c r="N54" s="50">
        <v>2089</v>
      </c>
      <c r="O54" s="37">
        <v>326.7</v>
      </c>
      <c r="P54" s="71">
        <f t="shared" si="24"/>
        <v>0</v>
      </c>
      <c r="Q54" s="48">
        <f t="shared" si="23"/>
        <v>0.73392461197339265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863947267.64499998</v>
      </c>
      <c r="E55" s="39">
        <v>0</v>
      </c>
      <c r="F55" s="40" t="s">
        <v>34</v>
      </c>
      <c r="G55" s="70">
        <v>0.95750000000000002</v>
      </c>
      <c r="H55" s="42">
        <v>1.5005999999999999</v>
      </c>
      <c r="I55" s="42">
        <v>1.5001</v>
      </c>
      <c r="J55" s="44">
        <f t="shared" si="20"/>
        <v>1.5001</v>
      </c>
      <c r="K55" s="39">
        <v>0</v>
      </c>
      <c r="L55" s="46">
        <f t="shared" si="21"/>
        <v>-4.9999999999994493E-4</v>
      </c>
      <c r="M55" s="46">
        <f t="shared" si="22"/>
        <v>-3.3320005331197181E-2</v>
      </c>
      <c r="N55" s="50">
        <v>78890</v>
      </c>
      <c r="O55" s="37">
        <v>118340.51</v>
      </c>
      <c r="P55" s="72">
        <f t="shared" si="24"/>
        <v>3.133124458369442E-2</v>
      </c>
      <c r="Q55" s="48">
        <f t="shared" si="23"/>
        <v>0.56668407310704949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21560539.548599999</v>
      </c>
      <c r="E56" s="39">
        <v>0</v>
      </c>
      <c r="F56" s="40" t="s">
        <v>34</v>
      </c>
      <c r="G56" s="70">
        <v>0.1595</v>
      </c>
      <c r="H56" s="42">
        <v>0.13039999999999999</v>
      </c>
      <c r="I56" s="42">
        <v>0.1313</v>
      </c>
      <c r="J56" s="44">
        <f t="shared" si="20"/>
        <v>0.1313</v>
      </c>
      <c r="K56" s="39">
        <v>0</v>
      </c>
      <c r="L56" s="46">
        <f t="shared" si="21"/>
        <v>9.000000000000119E-4</v>
      </c>
      <c r="M56" s="46">
        <f t="shared" si="22"/>
        <v>0.69018404907976383</v>
      </c>
      <c r="N56" s="50">
        <v>4355</v>
      </c>
      <c r="O56" s="37">
        <v>571.70000000000005</v>
      </c>
      <c r="P56" s="71">
        <f t="shared" si="24"/>
        <v>0</v>
      </c>
      <c r="Q56" s="48">
        <f t="shared" si="23"/>
        <v>-0.17680250783699059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21474938.586800002</v>
      </c>
      <c r="E57" s="39">
        <v>0</v>
      </c>
      <c r="F57" s="40" t="s">
        <v>92</v>
      </c>
      <c r="G57" s="70">
        <v>1.6799999999999999E-2</v>
      </c>
      <c r="H57" s="42">
        <v>2.47E-2</v>
      </c>
      <c r="I57" s="42">
        <v>2.18E-2</v>
      </c>
      <c r="J57" s="44">
        <f t="shared" si="20"/>
        <v>2.18E-2</v>
      </c>
      <c r="K57" s="39">
        <v>0</v>
      </c>
      <c r="L57" s="46">
        <f t="shared" si="21"/>
        <v>-2.8999999999999998E-3</v>
      </c>
      <c r="M57" s="74">
        <f t="shared" si="22"/>
        <v>-11.740890688259109</v>
      </c>
      <c r="N57" s="50">
        <v>189260</v>
      </c>
      <c r="O57" s="37">
        <v>4133.43</v>
      </c>
      <c r="P57" s="71">
        <f t="shared" si="24"/>
        <v>0</v>
      </c>
      <c r="Q57" s="48">
        <f t="shared" si="23"/>
        <v>0.29761904761904767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4003253180.0900002</v>
      </c>
      <c r="E59" s="39">
        <v>0</v>
      </c>
      <c r="F59" s="40" t="s">
        <v>47</v>
      </c>
      <c r="G59" s="70">
        <v>0.78169999999999995</v>
      </c>
      <c r="H59" s="51">
        <v>0.89049999999999996</v>
      </c>
      <c r="I59" s="42">
        <v>0.89</v>
      </c>
      <c r="J59" s="44">
        <f t="shared" si="20"/>
        <v>0.89</v>
      </c>
      <c r="K59" s="39">
        <v>0</v>
      </c>
      <c r="L59" s="46">
        <f t="shared" si="21"/>
        <v>-4.9999999999994493E-4</v>
      </c>
      <c r="M59" s="46">
        <f t="shared" si="22"/>
        <v>-5.6148231330706906E-2</v>
      </c>
      <c r="N59" s="75">
        <v>596367</v>
      </c>
      <c r="O59" s="76">
        <v>530766.67000000004</v>
      </c>
      <c r="P59" s="71">
        <f t="shared" si="24"/>
        <v>0</v>
      </c>
      <c r="Q59" s="48">
        <f t="shared" si="23"/>
        <v>0.13854419854164002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1203851751.3803</v>
      </c>
      <c r="E60" s="39">
        <v>0</v>
      </c>
      <c r="F60" s="40" t="s">
        <v>92</v>
      </c>
      <c r="G60" s="70">
        <v>0.59499999999999997</v>
      </c>
      <c r="H60" s="42">
        <v>1.4992000000000001</v>
      </c>
      <c r="I60" s="42">
        <v>1.4953000000000001</v>
      </c>
      <c r="J60" s="44">
        <f t="shared" si="20"/>
        <v>1.4953000000000001</v>
      </c>
      <c r="K60" s="39">
        <v>0</v>
      </c>
      <c r="L60" s="46">
        <f t="shared" si="21"/>
        <v>-3.9000000000000146E-3</v>
      </c>
      <c r="M60" s="46">
        <f t="shared" si="22"/>
        <v>-0.26013874066168718</v>
      </c>
      <c r="N60" s="50">
        <v>15683</v>
      </c>
      <c r="O60" s="37">
        <v>23450.85</v>
      </c>
      <c r="P60" s="71">
        <f t="shared" si="24"/>
        <v>0</v>
      </c>
      <c r="Q60" s="48">
        <f t="shared" si="23"/>
        <v>1.5131092436974791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104416164.45900001</v>
      </c>
      <c r="E61" s="39">
        <v>0</v>
      </c>
      <c r="F61" s="40" t="s">
        <v>34</v>
      </c>
      <c r="G61" s="70">
        <v>0.22600000000000001</v>
      </c>
      <c r="H61" s="42">
        <v>0.36049999999999999</v>
      </c>
      <c r="I61" s="42">
        <v>0.40050000000000002</v>
      </c>
      <c r="J61" s="44">
        <f t="shared" si="20"/>
        <v>0.40050000000000002</v>
      </c>
      <c r="K61" s="39">
        <v>0</v>
      </c>
      <c r="L61" s="46">
        <f t="shared" si="21"/>
        <v>4.0000000000000036E-2</v>
      </c>
      <c r="M61" s="46">
        <f t="shared" si="22"/>
        <v>11.095700416088777</v>
      </c>
      <c r="N61" s="50">
        <v>72</v>
      </c>
      <c r="O61" s="37">
        <v>28.83</v>
      </c>
      <c r="P61" s="71">
        <f t="shared" si="24"/>
        <v>0</v>
      </c>
      <c r="Q61" s="48">
        <f t="shared" si="23"/>
        <v>0.77212389380530988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435018588.9544</v>
      </c>
      <c r="E62" s="39">
        <v>0</v>
      </c>
      <c r="F62" s="40" t="s">
        <v>34</v>
      </c>
      <c r="G62" s="70">
        <v>0.49440000000000001</v>
      </c>
      <c r="H62" s="42">
        <v>0.79710000000000003</v>
      </c>
      <c r="I62" s="42">
        <v>0.77380000000000004</v>
      </c>
      <c r="J62" s="44">
        <f t="shared" si="20"/>
        <v>0.77380000000000004</v>
      </c>
      <c r="K62" s="39">
        <v>0</v>
      </c>
      <c r="L62" s="46">
        <f t="shared" si="21"/>
        <v>-2.3299999999999987E-2</v>
      </c>
      <c r="M62" s="46">
        <f t="shared" si="22"/>
        <v>-2.9230962238113145</v>
      </c>
      <c r="N62" s="50">
        <v>201395</v>
      </c>
      <c r="O62" s="37">
        <v>155834.74</v>
      </c>
      <c r="P62" s="71">
        <f t="shared" si="24"/>
        <v>0</v>
      </c>
      <c r="Q62" s="48">
        <f t="shared" si="23"/>
        <v>0.5651294498381878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77097256.402500004</v>
      </c>
      <c r="E63" s="39">
        <v>0</v>
      </c>
      <c r="F63" s="40" t="s">
        <v>34</v>
      </c>
      <c r="G63" s="70">
        <v>0.25950000000000001</v>
      </c>
      <c r="H63" s="42">
        <v>0.21149999999999999</v>
      </c>
      <c r="I63" s="42">
        <v>0.21149999999999999</v>
      </c>
      <c r="J63" s="44">
        <f t="shared" si="20"/>
        <v>0.21149999999999999</v>
      </c>
      <c r="K63" s="39">
        <v>0</v>
      </c>
      <c r="L63" s="46">
        <f t="shared" si="21"/>
        <v>0</v>
      </c>
      <c r="M63" s="46">
        <f t="shared" si="22"/>
        <v>0</v>
      </c>
      <c r="N63" s="50">
        <v>14001</v>
      </c>
      <c r="O63" s="37">
        <v>2961.5</v>
      </c>
      <c r="P63" s="71">
        <f t="shared" si="24"/>
        <v>0</v>
      </c>
      <c r="Q63" s="48">
        <f t="shared" si="23"/>
        <v>-0.18497109826589597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12</v>
      </c>
      <c r="J64" s="44">
        <f t="shared" si="20"/>
        <v>12</v>
      </c>
      <c r="K64" s="39">
        <v>0</v>
      </c>
      <c r="L64" s="46">
        <f t="shared" si="21"/>
        <v>2</v>
      </c>
      <c r="M64" s="46">
        <f t="shared" si="22"/>
        <v>20</v>
      </c>
      <c r="N64" s="50">
        <v>1</v>
      </c>
      <c r="O64" s="37">
        <v>12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0.1196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3.9999999999999758E-4</v>
      </c>
      <c r="M65" s="46">
        <f t="shared" si="22"/>
        <v>0.33444816053511506</v>
      </c>
      <c r="N65" s="50">
        <v>560</v>
      </c>
      <c r="O65" s="37">
        <v>67.2</v>
      </c>
      <c r="P65" s="71">
        <f t="shared" si="24"/>
        <v>0</v>
      </c>
      <c r="Q65" s="48">
        <f t="shared" si="23"/>
        <v>1.7906976744186047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4253495</v>
      </c>
      <c r="O66" s="62">
        <f>SUM(O50:O65)</f>
        <v>1976704.21</v>
      </c>
      <c r="P66" s="80"/>
      <c r="Q66" s="63"/>
    </row>
    <row r="67" spans="1:20" ht="12.6" hidden="1" x14ac:dyDescent="0.3">
      <c r="A67" s="134" t="s">
        <v>152</v>
      </c>
      <c r="B67" s="135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7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4" t="s">
        <v>156</v>
      </c>
      <c r="B70" s="135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46038844.0035</v>
      </c>
      <c r="E71" s="39">
        <f>C71*K71</f>
        <v>46038844.0035</v>
      </c>
      <c r="F71" s="92" t="s">
        <v>159</v>
      </c>
      <c r="G71" s="92">
        <v>0.24</v>
      </c>
      <c r="H71" s="93">
        <v>0.34050000000000002</v>
      </c>
      <c r="I71" s="93">
        <v>0.33050000000000002</v>
      </c>
      <c r="J71" s="94">
        <f>I71</f>
        <v>0.33050000000000002</v>
      </c>
      <c r="K71" s="94">
        <f>J71</f>
        <v>0.33050000000000002</v>
      </c>
      <c r="L71" s="46">
        <f>I71-H71</f>
        <v>-1.0000000000000009E-2</v>
      </c>
      <c r="M71" s="46">
        <f>((I71-H71)/H71)*100</f>
        <v>-2.9368575624082256</v>
      </c>
      <c r="N71" s="95">
        <v>1786</v>
      </c>
      <c r="O71" s="96">
        <v>590.27</v>
      </c>
      <c r="P71" s="71">
        <f>(R71)/J71</f>
        <v>0</v>
      </c>
      <c r="Q71" s="48">
        <f>J71/G71-1</f>
        <v>0.37708333333333344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95604909.400000006</v>
      </c>
      <c r="E72" s="39">
        <f>C72*K72</f>
        <v>95604909.400000006</v>
      </c>
      <c r="F72" s="92" t="s">
        <v>159</v>
      </c>
      <c r="G72" s="92">
        <v>0.1</v>
      </c>
      <c r="H72" s="93">
        <v>0.19350000000000001</v>
      </c>
      <c r="I72" s="93">
        <v>0.17680000000000001</v>
      </c>
      <c r="J72" s="94">
        <f>I72</f>
        <v>0.17680000000000001</v>
      </c>
      <c r="K72" s="94">
        <f>J72</f>
        <v>0.17680000000000001</v>
      </c>
      <c r="L72" s="46">
        <f>I72-H72</f>
        <v>-1.6699999999999993E-2</v>
      </c>
      <c r="M72" s="46">
        <f>((I72-H72)/H72)*100</f>
        <v>-8.6304909560723484</v>
      </c>
      <c r="N72" s="50">
        <v>16031</v>
      </c>
      <c r="O72" s="96">
        <v>2833.7</v>
      </c>
      <c r="P72" s="97">
        <f>(R72)/J72</f>
        <v>2.1447963800904975E-2</v>
      </c>
      <c r="Q72" s="48">
        <f>J72/G72-1</f>
        <v>0.76800000000000002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17817</v>
      </c>
      <c r="O73" s="62">
        <f>SUM(O71:O72)</f>
        <v>3423.97</v>
      </c>
      <c r="P73" s="90"/>
      <c r="Q73" s="63"/>
    </row>
    <row r="74" spans="1:20" ht="12.6" x14ac:dyDescent="0.3">
      <c r="A74" s="134" t="s">
        <v>162</v>
      </c>
      <c r="B74" s="135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7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7098846.0855</v>
      </c>
      <c r="E75" s="39">
        <f>C75*K75</f>
        <v>7098846.0855</v>
      </c>
      <c r="F75" s="92" t="s">
        <v>137</v>
      </c>
      <c r="G75" s="92">
        <v>0.1394</v>
      </c>
      <c r="H75" s="93">
        <v>0.12</v>
      </c>
      <c r="I75" s="93">
        <v>0.1105</v>
      </c>
      <c r="J75" s="94">
        <f>I75</f>
        <v>0.1105</v>
      </c>
      <c r="K75" s="94">
        <f>J75</f>
        <v>0.1105</v>
      </c>
      <c r="L75" s="46">
        <f>I75-H75</f>
        <v>-9.4999999999999946E-3</v>
      </c>
      <c r="M75" s="46">
        <f>((I75-H75)/H75)*100</f>
        <v>-7.9166666666666625</v>
      </c>
      <c r="N75" s="95">
        <v>4026</v>
      </c>
      <c r="O75" s="96">
        <v>445.05</v>
      </c>
      <c r="P75" s="71">
        <f>(R75)/J75</f>
        <v>0</v>
      </c>
      <c r="Q75" s="48">
        <f>J75/G75-1</f>
        <v>-0.20731707317073167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40" t="s">
        <v>165</v>
      </c>
      <c r="B77" s="141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3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153983.68447205899</v>
      </c>
      <c r="E78" s="39">
        <f>C78*K78</f>
        <v>128794.35968750001</v>
      </c>
      <c r="F78" s="40" t="s">
        <v>137</v>
      </c>
      <c r="G78" s="70">
        <v>0.105</v>
      </c>
      <c r="H78" s="42">
        <v>0.13</v>
      </c>
      <c r="I78" s="42">
        <v>0.13</v>
      </c>
      <c r="J78" s="44">
        <f>I78/$J$5</f>
        <v>4.8570350416397351E-3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700</v>
      </c>
      <c r="O78" s="37">
        <v>91</v>
      </c>
      <c r="P78" s="40">
        <v>0</v>
      </c>
      <c r="Q78" s="48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412068.09607962554</v>
      </c>
      <c r="E79" s="39">
        <f>C79*K79</f>
        <v>344660.19412500004</v>
      </c>
      <c r="F79" s="40" t="s">
        <v>137</v>
      </c>
      <c r="G79" s="70">
        <v>4.2500000000000003E-2</v>
      </c>
      <c r="H79" s="42">
        <v>8.1000000000000003E-2</v>
      </c>
      <c r="I79" s="42">
        <v>8.1000000000000003E-2</v>
      </c>
      <c r="J79" s="44">
        <f>I79/$J$5</f>
        <v>3.0263064490216813E-3</v>
      </c>
      <c r="K79" s="45">
        <f>I79/$K$4</f>
        <v>2.5312500000000001E-3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0.90588235294117636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1462398.6669306899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4.483416961513601E-3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421649.35831094743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6.314145554131656E-2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200</v>
      </c>
      <c r="O81" s="37">
        <v>338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900</v>
      </c>
      <c r="O82" s="62">
        <f>SUM(O78:O81)</f>
        <v>429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4" t="s">
        <v>174</v>
      </c>
      <c r="B83" s="135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7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26146535.387236461</v>
      </c>
      <c r="E84" s="39">
        <f>C84*K84</f>
        <v>21869370.737500001</v>
      </c>
      <c r="F84" s="40" t="s">
        <v>177</v>
      </c>
      <c r="G84" s="40">
        <v>1.3</v>
      </c>
      <c r="H84" s="42">
        <v>2</v>
      </c>
      <c r="I84" s="42">
        <v>1.9</v>
      </c>
      <c r="J84" s="44">
        <f>I84/$J$5</f>
        <v>7.0987435223965362E-2</v>
      </c>
      <c r="K84" s="45">
        <f>I84/$K$4</f>
        <v>5.9374999999999997E-2</v>
      </c>
      <c r="L84" s="46">
        <f>I84-H84</f>
        <v>-0.10000000000000009</v>
      </c>
      <c r="M84" s="46">
        <f>((I84-H84)/H84*100)</f>
        <v>-5.0000000000000044</v>
      </c>
      <c r="N84" s="108">
        <v>100</v>
      </c>
      <c r="O84" s="76">
        <v>190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78107376.456830308</v>
      </c>
      <c r="E85" s="39">
        <f>C85*K85</f>
        <v>65330230.096250005</v>
      </c>
      <c r="F85" s="40" t="s">
        <v>177</v>
      </c>
      <c r="G85" s="40">
        <v>1.44347</v>
      </c>
      <c r="H85" s="42">
        <v>1.1331640000000001</v>
      </c>
      <c r="I85" s="42">
        <v>1.1354960000000001</v>
      </c>
      <c r="J85" s="44">
        <f>I85/$J$5</f>
        <v>4.2424183551090407E-2</v>
      </c>
      <c r="K85" s="45">
        <f>I85/$K$4</f>
        <v>3.5484250000000002E-2</v>
      </c>
      <c r="L85" s="46">
        <f>I85-H85</f>
        <v>2.3320000000000007E-3</v>
      </c>
      <c r="M85" s="46">
        <f>((I85-H85)/H85*100)</f>
        <v>0.20579545414432515</v>
      </c>
      <c r="N85" s="76">
        <v>2524664</v>
      </c>
      <c r="O85" s="76">
        <v>2866775.9350000001</v>
      </c>
      <c r="P85" s="47">
        <f>(R85)/J85</f>
        <v>5.129149974988903E-2</v>
      </c>
      <c r="Q85" s="48">
        <f>I85/G85-1</f>
        <v>-0.21335670294498665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4" t="s">
        <v>180</v>
      </c>
      <c r="B88" s="145"/>
      <c r="C88" s="145"/>
      <c r="D88" s="146"/>
      <c r="E88" s="144" t="s">
        <v>181</v>
      </c>
      <c r="F88" s="145"/>
      <c r="G88" s="145"/>
      <c r="H88" s="146"/>
      <c r="I88" s="52"/>
      <c r="J88" s="147" t="s">
        <v>182</v>
      </c>
      <c r="K88" s="148"/>
      <c r="L88" s="149"/>
      <c r="M88" s="147" t="s">
        <v>183</v>
      </c>
      <c r="N88" s="148"/>
      <c r="O88" s="149"/>
      <c r="P88" s="115"/>
      <c r="Q88" s="16"/>
    </row>
    <row r="89" spans="1:243" ht="15" customHeight="1" x14ac:dyDescent="0.25">
      <c r="A89" s="35" t="s">
        <v>52</v>
      </c>
      <c r="B89" s="116">
        <v>34.556799999999996</v>
      </c>
      <c r="D89" s="116">
        <v>6.6013113792445228</v>
      </c>
      <c r="E89" s="35" t="s">
        <v>45</v>
      </c>
      <c r="F89" s="117">
        <v>34</v>
      </c>
      <c r="H89" s="118">
        <v>-5.5486684792988514</v>
      </c>
      <c r="J89" s="35" t="s">
        <v>148</v>
      </c>
      <c r="K89" s="51">
        <v>12</v>
      </c>
      <c r="L89" s="119">
        <v>20</v>
      </c>
      <c r="M89" s="35" t="s">
        <v>133</v>
      </c>
      <c r="N89" s="117">
        <v>2.18E-2</v>
      </c>
      <c r="O89" s="118">
        <v>-11.740890688259109</v>
      </c>
      <c r="P89" s="118">
        <v>-1.3931214627775275</v>
      </c>
      <c r="Q89" s="16"/>
    </row>
    <row r="90" spans="1:243" ht="15" customHeight="1" x14ac:dyDescent="0.25">
      <c r="A90" s="35" t="s">
        <v>93</v>
      </c>
      <c r="B90" s="116">
        <v>4</v>
      </c>
      <c r="D90" s="116">
        <v>1.9627835839918419</v>
      </c>
      <c r="E90" s="35" t="s">
        <v>95</v>
      </c>
      <c r="F90" s="117">
        <v>6.5015000000000003E-2</v>
      </c>
      <c r="H90" s="118">
        <v>-1.8493357487922555</v>
      </c>
      <c r="J90" s="35" t="s">
        <v>142</v>
      </c>
      <c r="K90" s="51">
        <v>0.40050000000000002</v>
      </c>
      <c r="L90" s="119">
        <v>11.095700416088777</v>
      </c>
      <c r="M90" s="35" t="s">
        <v>144</v>
      </c>
      <c r="N90" s="117">
        <v>0.77380000000000004</v>
      </c>
      <c r="O90" s="118">
        <v>-2.9230962238113145</v>
      </c>
      <c r="P90" s="118">
        <v>-0.80321285140561771</v>
      </c>
      <c r="Q90" s="16"/>
    </row>
    <row r="91" spans="1:243" ht="15" customHeight="1" x14ac:dyDescent="0.25">
      <c r="A91" s="35" t="s">
        <v>113</v>
      </c>
      <c r="B91" s="116">
        <v>0.70799999999999996</v>
      </c>
      <c r="C91" s="116"/>
      <c r="D91" s="116">
        <v>0.67271556118640818</v>
      </c>
      <c r="E91" s="120" t="s">
        <v>97</v>
      </c>
      <c r="F91" s="117">
        <v>3.5115780000000001</v>
      </c>
      <c r="G91" s="121"/>
      <c r="H91" s="118">
        <v>-1.0859320644596029</v>
      </c>
      <c r="J91" s="35" t="s">
        <v>127</v>
      </c>
      <c r="K91" s="51">
        <v>0.15640000000000001</v>
      </c>
      <c r="L91" s="119">
        <v>1.1642949547218784</v>
      </c>
      <c r="M91" s="35" t="s">
        <v>121</v>
      </c>
      <c r="N91" s="117">
        <v>39.2988</v>
      </c>
      <c r="O91" s="118">
        <v>-1.6152613659122836</v>
      </c>
      <c r="P91" s="118">
        <v>-0.77994428969359408</v>
      </c>
      <c r="Q91" s="16"/>
    </row>
    <row r="92" spans="1:243" ht="15" customHeight="1" x14ac:dyDescent="0.25">
      <c r="A92" s="35" t="s">
        <v>73</v>
      </c>
      <c r="B92" s="116">
        <v>1.7112499999999999</v>
      </c>
      <c r="C92" s="116"/>
      <c r="D92" s="116">
        <v>0.64613495316021163</v>
      </c>
      <c r="E92" s="120" t="s">
        <v>99</v>
      </c>
      <c r="F92" s="117">
        <v>0.8550660000000001</v>
      </c>
      <c r="G92" s="121"/>
      <c r="H92" s="118">
        <v>-9.1604837296230063E-2</v>
      </c>
      <c r="J92" s="35" t="s">
        <v>131</v>
      </c>
      <c r="K92" s="51">
        <v>0.1313</v>
      </c>
      <c r="L92" s="119">
        <v>0.69018404907976383</v>
      </c>
      <c r="M92" s="35" t="s">
        <v>140</v>
      </c>
      <c r="N92" s="117">
        <v>1.4953000000000001</v>
      </c>
      <c r="O92" s="118">
        <v>-0.26013874066168718</v>
      </c>
      <c r="P92" s="118">
        <v>-0.56417489421721045</v>
      </c>
      <c r="Q92" s="16"/>
    </row>
    <row r="93" spans="1:243" ht="15" customHeight="1" x14ac:dyDescent="0.25">
      <c r="A93" s="35" t="s">
        <v>101</v>
      </c>
      <c r="B93" s="116">
        <v>0.14150499999999999</v>
      </c>
      <c r="C93" s="116"/>
      <c r="D93" s="116">
        <v>0.35815602836879823</v>
      </c>
      <c r="E93" s="120"/>
      <c r="F93" s="117"/>
      <c r="G93" s="121"/>
      <c r="H93" s="118"/>
      <c r="J93" s="120" t="s">
        <v>119</v>
      </c>
      <c r="K93" s="121">
        <v>0.16489999999999999</v>
      </c>
      <c r="L93" s="119">
        <v>0.24316109422491411</v>
      </c>
      <c r="M93" s="35" t="s">
        <v>138</v>
      </c>
      <c r="N93" s="117">
        <v>0.89</v>
      </c>
      <c r="O93" s="118">
        <v>-5.6148231330706906E-2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reNe53gTFV/9eJ71h3HNcSlIixAbOKYzJRkeTGjUDiOOXJVtGyjHls7t/gxVn8JU3U0n37SDN2D1Li1amFjkbQ==" saltValue="UqkIN0tmMI7tK8HBj5jidw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2026-10-05T13:25:43Z</dcterms:created>
  <dcterms:modified xsi:type="dcterms:W3CDTF">2026-10-05T13:46:11Z</dcterms:modified>
</cp:coreProperties>
</file>