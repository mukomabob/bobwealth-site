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ukarwae\Music\"/>
    </mc:Choice>
  </mc:AlternateContent>
  <xr:revisionPtr revIDLastSave="0" documentId="8_{0E175C9B-DD16-4D34-98FE-2622EE0747BF}" xr6:coauthVersionLast="47" xr6:coauthVersionMax="47" xr10:uidLastSave="{00000000-0000-0000-0000-000000000000}"/>
  <bookViews>
    <workbookView xWindow="-108" yWindow="-108" windowWidth="23256" windowHeight="12456" xr2:uid="{2F248DF1-6317-4DF3-A349-C920BD351139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6" i="1" l="1"/>
  <c r="N86" i="1"/>
  <c r="Q85" i="1"/>
  <c r="M85" i="1"/>
  <c r="L85" i="1"/>
  <c r="K85" i="1"/>
  <c r="J85" i="1"/>
  <c r="P85" i="1" s="1"/>
  <c r="E85" i="1"/>
  <c r="D85" i="1"/>
  <c r="Q84" i="1"/>
  <c r="P84" i="1"/>
  <c r="M84" i="1"/>
  <c r="L84" i="1"/>
  <c r="K84" i="1"/>
  <c r="E84" i="1" s="1"/>
  <c r="J84" i="1"/>
  <c r="D84" i="1"/>
  <c r="O82" i="1"/>
  <c r="N82" i="1"/>
  <c r="Q81" i="1"/>
  <c r="M81" i="1"/>
  <c r="L81" i="1"/>
  <c r="K81" i="1"/>
  <c r="E81" i="1" s="1"/>
  <c r="J81" i="1"/>
  <c r="D81" i="1" s="1"/>
  <c r="Q80" i="1"/>
  <c r="M80" i="1"/>
  <c r="L80" i="1"/>
  <c r="K80" i="1"/>
  <c r="J80" i="1"/>
  <c r="E80" i="1"/>
  <c r="D80" i="1"/>
  <c r="Q79" i="1"/>
  <c r="M79" i="1"/>
  <c r="L79" i="1"/>
  <c r="K79" i="1"/>
  <c r="E79" i="1" s="1"/>
  <c r="J79" i="1"/>
  <c r="D79" i="1" s="1"/>
  <c r="Q78" i="1"/>
  <c r="M78" i="1"/>
  <c r="L78" i="1"/>
  <c r="K78" i="1"/>
  <c r="J78" i="1"/>
  <c r="E78" i="1"/>
  <c r="D78" i="1"/>
  <c r="M75" i="1"/>
  <c r="L75" i="1"/>
  <c r="J75" i="1"/>
  <c r="P75" i="1" s="1"/>
  <c r="O73" i="1"/>
  <c r="N73" i="1"/>
  <c r="M72" i="1"/>
  <c r="L72" i="1"/>
  <c r="J72" i="1"/>
  <c r="K72" i="1" s="1"/>
  <c r="E72" i="1" s="1"/>
  <c r="D72" i="1"/>
  <c r="M71" i="1"/>
  <c r="L71" i="1"/>
  <c r="J71" i="1"/>
  <c r="D71" i="1" s="1"/>
  <c r="M68" i="1"/>
  <c r="L68" i="1"/>
  <c r="D68" i="1"/>
  <c r="O66" i="1"/>
  <c r="N66" i="1"/>
  <c r="M65" i="1"/>
  <c r="L65" i="1"/>
  <c r="J65" i="1"/>
  <c r="D65" i="1" s="1"/>
  <c r="M64" i="1"/>
  <c r="L64" i="1"/>
  <c r="J64" i="1"/>
  <c r="Q64" i="1" s="1"/>
  <c r="M63" i="1"/>
  <c r="L63" i="1"/>
  <c r="J63" i="1"/>
  <c r="D63" i="1" s="1"/>
  <c r="M62" i="1"/>
  <c r="L62" i="1"/>
  <c r="J62" i="1"/>
  <c r="Q62" i="1" s="1"/>
  <c r="M61" i="1"/>
  <c r="L61" i="1"/>
  <c r="J61" i="1"/>
  <c r="D61" i="1" s="1"/>
  <c r="M60" i="1"/>
  <c r="L60" i="1"/>
  <c r="J60" i="1"/>
  <c r="Q60" i="1" s="1"/>
  <c r="M59" i="1"/>
  <c r="L59" i="1"/>
  <c r="J59" i="1"/>
  <c r="D59" i="1" s="1"/>
  <c r="M58" i="1"/>
  <c r="L58" i="1"/>
  <c r="J58" i="1"/>
  <c r="Q58" i="1" s="1"/>
  <c r="M57" i="1"/>
  <c r="L57" i="1"/>
  <c r="J57" i="1"/>
  <c r="D57" i="1" s="1"/>
  <c r="M56" i="1"/>
  <c r="L56" i="1"/>
  <c r="J56" i="1"/>
  <c r="Q56" i="1" s="1"/>
  <c r="M55" i="1"/>
  <c r="L55" i="1"/>
  <c r="J55" i="1"/>
  <c r="D55" i="1" s="1"/>
  <c r="M54" i="1"/>
  <c r="L54" i="1"/>
  <c r="J54" i="1"/>
  <c r="Q54" i="1" s="1"/>
  <c r="M53" i="1"/>
  <c r="L53" i="1"/>
  <c r="J53" i="1"/>
  <c r="Q53" i="1" s="1"/>
  <c r="M52" i="1"/>
  <c r="L52" i="1"/>
  <c r="J52" i="1"/>
  <c r="P52" i="1" s="1"/>
  <c r="D52" i="1"/>
  <c r="M51" i="1"/>
  <c r="L51" i="1"/>
  <c r="J51" i="1"/>
  <c r="P51" i="1" s="1"/>
  <c r="D51" i="1"/>
  <c r="O48" i="1"/>
  <c r="N48" i="1"/>
  <c r="Q47" i="1"/>
  <c r="M47" i="1"/>
  <c r="L47" i="1"/>
  <c r="K47" i="1"/>
  <c r="E47" i="1" s="1"/>
  <c r="J47" i="1"/>
  <c r="D47" i="1"/>
  <c r="Q46" i="1"/>
  <c r="M46" i="1"/>
  <c r="L46" i="1"/>
  <c r="K46" i="1"/>
  <c r="E46" i="1" s="1"/>
  <c r="J46" i="1"/>
  <c r="P46" i="1" s="1"/>
  <c r="Q45" i="1"/>
  <c r="M45" i="1"/>
  <c r="L45" i="1"/>
  <c r="K45" i="1"/>
  <c r="J45" i="1"/>
  <c r="D45" i="1" s="1"/>
  <c r="E45" i="1"/>
  <c r="Q44" i="1"/>
  <c r="M44" i="1"/>
  <c r="L44" i="1"/>
  <c r="K44" i="1"/>
  <c r="E44" i="1" s="1"/>
  <c r="J44" i="1"/>
  <c r="P44" i="1" s="1"/>
  <c r="Q43" i="1"/>
  <c r="M43" i="1"/>
  <c r="L43" i="1"/>
  <c r="K43" i="1"/>
  <c r="J43" i="1"/>
  <c r="P43" i="1" s="1"/>
  <c r="E43" i="1"/>
  <c r="Q42" i="1"/>
  <c r="M42" i="1"/>
  <c r="L42" i="1"/>
  <c r="K42" i="1"/>
  <c r="E42" i="1" s="1"/>
  <c r="J42" i="1"/>
  <c r="D42" i="1" s="1"/>
  <c r="Q41" i="1"/>
  <c r="M41" i="1"/>
  <c r="L41" i="1"/>
  <c r="K41" i="1"/>
  <c r="J41" i="1"/>
  <c r="P41" i="1" s="1"/>
  <c r="E41" i="1"/>
  <c r="Q40" i="1"/>
  <c r="M40" i="1"/>
  <c r="L40" i="1"/>
  <c r="K40" i="1"/>
  <c r="E40" i="1" s="1"/>
  <c r="J40" i="1"/>
  <c r="P40" i="1" s="1"/>
  <c r="Q39" i="1"/>
  <c r="M39" i="1"/>
  <c r="L39" i="1"/>
  <c r="K39" i="1"/>
  <c r="J39" i="1"/>
  <c r="D39" i="1" s="1"/>
  <c r="E39" i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D37" i="1" s="1"/>
  <c r="Q36" i="1"/>
  <c r="M36" i="1"/>
  <c r="L36" i="1"/>
  <c r="K36" i="1"/>
  <c r="E36" i="1" s="1"/>
  <c r="J36" i="1"/>
  <c r="P36" i="1" s="1"/>
  <c r="Q35" i="1"/>
  <c r="M35" i="1"/>
  <c r="L35" i="1"/>
  <c r="K35" i="1"/>
  <c r="E35" i="1" s="1"/>
  <c r="J35" i="1"/>
  <c r="P35" i="1" s="1"/>
  <c r="D35" i="1"/>
  <c r="Q34" i="1"/>
  <c r="M34" i="1"/>
  <c r="L34" i="1"/>
  <c r="K34" i="1"/>
  <c r="E34" i="1" s="1"/>
  <c r="J34" i="1"/>
  <c r="D34" i="1" s="1"/>
  <c r="Q33" i="1"/>
  <c r="M33" i="1"/>
  <c r="L33" i="1"/>
  <c r="K33" i="1"/>
  <c r="E33" i="1" s="1"/>
  <c r="J33" i="1"/>
  <c r="P33" i="1" s="1"/>
  <c r="D33" i="1"/>
  <c r="Q32" i="1"/>
  <c r="M32" i="1"/>
  <c r="L32" i="1"/>
  <c r="K32" i="1"/>
  <c r="E32" i="1" s="1"/>
  <c r="J32" i="1"/>
  <c r="P32" i="1" s="1"/>
  <c r="K31" i="1"/>
  <c r="E31" i="1" s="1"/>
  <c r="J31" i="1"/>
  <c r="D31" i="1"/>
  <c r="Q29" i="1"/>
  <c r="M29" i="1"/>
  <c r="L29" i="1"/>
  <c r="K29" i="1"/>
  <c r="E29" i="1" s="1"/>
  <c r="J29" i="1"/>
  <c r="P29" i="1" s="1"/>
  <c r="Q28" i="1"/>
  <c r="M28" i="1"/>
  <c r="L28" i="1"/>
  <c r="K28" i="1"/>
  <c r="E28" i="1" s="1"/>
  <c r="J28" i="1"/>
  <c r="D28" i="1" s="1"/>
  <c r="Q27" i="1"/>
  <c r="M27" i="1"/>
  <c r="L27" i="1"/>
  <c r="K27" i="1"/>
  <c r="J27" i="1"/>
  <c r="P27" i="1" s="1"/>
  <c r="E27" i="1"/>
  <c r="Q26" i="1"/>
  <c r="M26" i="1"/>
  <c r="L26" i="1"/>
  <c r="K26" i="1"/>
  <c r="J26" i="1"/>
  <c r="P26" i="1" s="1"/>
  <c r="E26" i="1"/>
  <c r="D26" i="1"/>
  <c r="Q25" i="1"/>
  <c r="M25" i="1"/>
  <c r="L25" i="1"/>
  <c r="K25" i="1"/>
  <c r="E25" i="1" s="1"/>
  <c r="J25" i="1"/>
  <c r="D25" i="1" s="1"/>
  <c r="Q24" i="1"/>
  <c r="M24" i="1"/>
  <c r="L24" i="1"/>
  <c r="K24" i="1"/>
  <c r="J24" i="1"/>
  <c r="P24" i="1" s="1"/>
  <c r="E24" i="1"/>
  <c r="D24" i="1"/>
  <c r="Q23" i="1"/>
  <c r="M23" i="1"/>
  <c r="L23" i="1"/>
  <c r="K23" i="1"/>
  <c r="E23" i="1" s="1"/>
  <c r="J23" i="1"/>
  <c r="P23" i="1" s="1"/>
  <c r="Q22" i="1"/>
  <c r="M22" i="1"/>
  <c r="L22" i="1"/>
  <c r="K22" i="1"/>
  <c r="E22" i="1" s="1"/>
  <c r="J22" i="1"/>
  <c r="D22" i="1" s="1"/>
  <c r="Q21" i="1"/>
  <c r="M21" i="1"/>
  <c r="L21" i="1"/>
  <c r="K21" i="1"/>
  <c r="E21" i="1" s="1"/>
  <c r="J21" i="1"/>
  <c r="P21" i="1" s="1"/>
  <c r="Q20" i="1"/>
  <c r="M20" i="1"/>
  <c r="L20" i="1"/>
  <c r="K20" i="1"/>
  <c r="J20" i="1"/>
  <c r="P20" i="1" s="1"/>
  <c r="E20" i="1"/>
  <c r="D20" i="1"/>
  <c r="Q19" i="1"/>
  <c r="M19" i="1"/>
  <c r="L19" i="1"/>
  <c r="K19" i="1"/>
  <c r="E19" i="1" s="1"/>
  <c r="J19" i="1"/>
  <c r="D19" i="1" s="1"/>
  <c r="E18" i="1"/>
  <c r="D18" i="1"/>
  <c r="Q17" i="1"/>
  <c r="M17" i="1"/>
  <c r="L17" i="1"/>
  <c r="K17" i="1"/>
  <c r="J17" i="1"/>
  <c r="P17" i="1" s="1"/>
  <c r="E17" i="1"/>
  <c r="Q16" i="1"/>
  <c r="M16" i="1"/>
  <c r="L16" i="1"/>
  <c r="K16" i="1"/>
  <c r="E16" i="1" s="1"/>
  <c r="J16" i="1"/>
  <c r="P16" i="1" s="1"/>
  <c r="Q15" i="1"/>
  <c r="M15" i="1"/>
  <c r="L15" i="1"/>
  <c r="K15" i="1"/>
  <c r="E15" i="1" s="1"/>
  <c r="J15" i="1"/>
  <c r="P15" i="1" s="1"/>
  <c r="D15" i="1"/>
  <c r="Q14" i="1"/>
  <c r="M14" i="1"/>
  <c r="L14" i="1"/>
  <c r="K14" i="1"/>
  <c r="E14" i="1" s="1"/>
  <c r="J14" i="1"/>
  <c r="P14" i="1" s="1"/>
  <c r="Q13" i="1"/>
  <c r="M13" i="1"/>
  <c r="L13" i="1"/>
  <c r="K13" i="1"/>
  <c r="J13" i="1"/>
  <c r="P13" i="1" s="1"/>
  <c r="E13" i="1"/>
  <c r="D13" i="1"/>
  <c r="Q12" i="1"/>
  <c r="M12" i="1"/>
  <c r="L12" i="1"/>
  <c r="K12" i="1"/>
  <c r="E12" i="1" s="1"/>
  <c r="J12" i="1"/>
  <c r="P12" i="1" s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E10" i="1" s="1"/>
  <c r="J10" i="1"/>
  <c r="P10" i="1" s="1"/>
  <c r="Q9" i="1"/>
  <c r="M9" i="1"/>
  <c r="L9" i="1"/>
  <c r="K9" i="1"/>
  <c r="E9" i="1" s="1"/>
  <c r="J9" i="1"/>
  <c r="P9" i="1" s="1"/>
  <c r="D9" i="1"/>
  <c r="D53" i="1" l="1"/>
  <c r="D23" i="1"/>
  <c r="D32" i="1"/>
  <c r="D36" i="1"/>
  <c r="D40" i="1"/>
  <c r="D44" i="1"/>
  <c r="D21" i="1"/>
  <c r="D27" i="1"/>
  <c r="D29" i="1"/>
  <c r="D46" i="1"/>
  <c r="Q75" i="1"/>
  <c r="D14" i="1"/>
  <c r="D75" i="1"/>
  <c r="D16" i="1"/>
  <c r="D41" i="1"/>
  <c r="D43" i="1"/>
  <c r="P72" i="1"/>
  <c r="Q72" i="1"/>
  <c r="D10" i="1"/>
  <c r="D17" i="1"/>
  <c r="Q52" i="1"/>
  <c r="K71" i="1"/>
  <c r="E71" i="1" s="1"/>
  <c r="P37" i="1"/>
  <c r="P55" i="1"/>
  <c r="P42" i="1"/>
  <c r="P45" i="1"/>
  <c r="Q51" i="1"/>
  <c r="D54" i="1"/>
  <c r="D56" i="1"/>
  <c r="D58" i="1"/>
  <c r="D60" i="1"/>
  <c r="D62" i="1"/>
  <c r="D64" i="1"/>
  <c r="Q71" i="1"/>
  <c r="P25" i="1"/>
  <c r="P28" i="1"/>
  <c r="P34" i="1"/>
  <c r="P57" i="1"/>
  <c r="P59" i="1"/>
  <c r="P61" i="1"/>
  <c r="P63" i="1"/>
  <c r="P65" i="1"/>
  <c r="P19" i="1"/>
  <c r="Q55" i="1"/>
  <c r="Q57" i="1"/>
  <c r="Q59" i="1"/>
  <c r="Q61" i="1"/>
  <c r="Q63" i="1"/>
  <c r="Q65" i="1"/>
  <c r="P71" i="1"/>
  <c r="K75" i="1"/>
  <c r="E75" i="1" s="1"/>
  <c r="P54" i="1"/>
  <c r="P56" i="1"/>
  <c r="P58" i="1"/>
  <c r="P60" i="1"/>
  <c r="P62" i="1"/>
  <c r="P64" i="1"/>
</calcChain>
</file>

<file path=xl/sharedStrings.xml><?xml version="1.0" encoding="utf-8"?>
<sst xmlns="http://schemas.openxmlformats.org/spreadsheetml/2006/main" count="274" uniqueCount="184">
  <si>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</si>
  <si>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</si>
  <si>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</si>
  <si>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</si>
  <si>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</si>
  <si>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</si>
  <si>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</si>
  <si>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</si>
  <si>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</si>
  <si>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</si>
  <si>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</si>
  <si>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</si>
  <si>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</si>
  <si>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</si>
  <si>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</si>
  <si>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</si>
  <si>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</si>
  <si>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</si>
  <si>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</si>
  <si>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</si>
  <si>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</si>
  <si>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</si>
  <si>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</si>
  <si>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</si>
  <si>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</si>
  <si>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</si>
  <si>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</si>
  <si>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</si>
  <si>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</si>
  <si>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</si>
  <si>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</si>
  <si>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</si>
  <si>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</si>
  <si>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</si>
  <si>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</si>
  <si>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</si>
  <si>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</si>
  <si>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</si>
  <si>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</si>
  <si>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</si>
  <si>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</si>
  <si>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</si>
  <si>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</si>
  <si>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</si>
  <si>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</si>
  <si>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</si>
  <si>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</si>
  <si>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</si>
  <si>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</si>
  <si>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</si>
  <si>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</si>
  <si>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</si>
  <si>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</si>
  <si>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</si>
  <si>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</si>
  <si>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</si>
  <si>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</si>
  <si>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</si>
  <si>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</si>
  <si>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</si>
  <si>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</si>
  <si>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</si>
  <si>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</si>
  <si>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</si>
  <si>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</si>
  <si>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</si>
  <si>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</si>
  <si>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</si>
  <si>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</si>
  <si>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</si>
  <si>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</si>
  <si>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</si>
  <si>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</si>
  <si>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</si>
  <si>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</si>
  <si>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</si>
  <si>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</si>
  <si>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</si>
  <si>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</si>
  <si>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</si>
  <si>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</si>
  <si>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</si>
  <si>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</si>
  <si>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</si>
  <si>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</si>
  <si>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</si>
  <si>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</si>
  <si>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</si>
  <si>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</si>
  <si>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</si>
  <si>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</si>
  <si>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</si>
  <si>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</si>
  <si>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</si>
  <si>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</si>
  <si>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</si>
  <si>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</si>
  <si>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</si>
  <si>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</si>
  <si>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</si>
  <si>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</si>
  <si>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</si>
  <si>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</si>
  <si>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</si>
  <si>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</si>
  <si>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</si>
  <si>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</si>
  <si>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</si>
  <si>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</si>
  <si>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</si>
  <si>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</si>
  <si>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</si>
  <si>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</si>
  <si>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</si>
  <si>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</si>
  <si>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</si>
  <si>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</si>
  <si>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</si>
  <si>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</si>
  <si>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</si>
  <si>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</si>
  <si>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</si>
  <si>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</si>
  <si>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</si>
  <si>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</si>
  <si>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</si>
  <si>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</si>
  <si>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</si>
  <si>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</si>
  <si>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</si>
  <si>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</si>
  <si>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</si>
  <si>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</si>
  <si>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</si>
  <si>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</si>
  <si>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</si>
  <si>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</si>
  <si>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</si>
  <si>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</si>
  <si>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</si>
  <si>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</si>
  <si>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</si>
  <si>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</si>
  <si>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</si>
  <si>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</si>
  <si>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</si>
  <si>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</si>
  <si>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</si>
  <si>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</si>
  <si>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</si>
  <si>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</si>
  <si>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</si>
  <si>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</si>
  <si>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</si>
  <si>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</si>
  <si>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</si>
  <si>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</si>
  <si>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</si>
  <si>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</si>
  <si>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</si>
  <si>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</si>
  <si>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</si>
  <si>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</si>
  <si>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</si>
  <si>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</si>
  <si>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</si>
  <si>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</si>
  <si>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</si>
  <si>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</si>
  <si>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</si>
  <si>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</si>
  <si>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</si>
  <si>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</si>
  <si>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</si>
  <si>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</si>
  <si>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</si>
  <si>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</si>
  <si>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</si>
  <si>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</si>
  <si>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This Price Sheet is based on PROVISIONAL information obtained during trading. No liability is accepted by FBC Securities (Private) Limited for any errors in this report. </t>
  </si>
  <si>
    <t xml:space="preserve">VFEX Top Gainers		</t>
  </si>
  <si>
    <t xml:space="preserve">VFEX Top Losers		</t>
  </si>
  <si>
    <t xml:space="preserve">ZSE Top Gainers		</t>
  </si>
  <si>
    <t xml:space="preserve">ZSE Top Losers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</si>
</sst>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5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</cellXfs>
  <cellStyles count="9">
    <cellStyle name="Comma 2 2 2 2 2 2 2 2 2 2" xfId="3" xr:uid="{56E4F635-1EEE-4F21-8B4C-C461B7DFA7E8}"/>
    <cellStyle name="Comma 5 2 2 2 2 2 2 2 2" xfId="4" xr:uid="{1DB5C49B-FC01-48CA-B232-0ACA2B57181F}"/>
    <cellStyle name="Comma 6 2 2 2" xfId="5" xr:uid="{A39F98FC-FED1-4536-B975-5A1BE4C6885E}"/>
    <cellStyle name="Hyperlink 2" xfId="8" xr:uid="{0238ED98-6DB6-43FB-AE54-393C19384F80}"/>
    <cellStyle name="Normal" xfId="0" builtinId="0"/>
    <cellStyle name="Normal 2" xfId="2" xr:uid="{400CBD74-8043-471A-85E1-1D44C1D96415}"/>
    <cellStyle name="Normal 20" xfId="7" xr:uid="{5450FD95-1B12-4291-8282-91E961238A6E}"/>
    <cellStyle name="Percent" xfId="1" builtinId="5"/>
    <cellStyle name="Percent 3" xfId="6" xr:uid="{6324858B-8933-4002-B2C4-FF46443EF7CD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42E6A05D-9CBD-48CE-A750-7539FC822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81045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54BE2A92-E4C5-4B8D-B289-45943D034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58407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BE91-6F1A-4CBB-8CA8-FCE549B373D7}">
  <dimension ref="A1:II107"/>
  <sheetViews>
    <sheetView tabSelected="1" zoomScale="80" zoomScaleNormal="80" workbookViewId="0">
      <selection activeCell="I56" sqref="I56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bestFit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26.715900000000001</v>
      </c>
      <c r="K5" s="22"/>
      <c r="L5" s="139" t="s">
        <v>12</v>
      </c>
      <c r="M5" s="140"/>
      <c r="N5" s="23" t="s">
        <v>13</v>
      </c>
      <c r="O5" s="24"/>
      <c r="P5" s="24"/>
      <c r="Q5" s="25"/>
    </row>
    <row r="6" spans="1:18" ht="6.6" customHeight="1" x14ac:dyDescent="0.3">
      <c r="A6" s="129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2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126034439</v>
      </c>
      <c r="D9" s="38">
        <f t="shared" ref="D9:D29" si="0">C9*J9</f>
        <v>74537789.71324192</v>
      </c>
      <c r="E9" s="39">
        <f t="shared" ref="E9:E29" si="1"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0.59140811277179506</v>
      </c>
      <c r="K9" s="45">
        <f t="shared" ref="K9:K17" si="2">I9/$K$4</f>
        <v>0.50158730158730158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2.5363196202531645E-2</v>
      </c>
      <c r="Q9" s="49">
        <f t="shared" ref="Q9:Q17" si="6">I9/G9-1</f>
        <v>0.75760609600089013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 t="shared" si="0"/>
        <v>4276223.925415202</v>
      </c>
      <c r="E10" s="39">
        <f t="shared" si="1"/>
        <v>3626767.3260000004</v>
      </c>
      <c r="F10" s="40" t="s">
        <v>34</v>
      </c>
      <c r="G10" s="41">
        <v>3.1600000000000003E-2</v>
      </c>
      <c r="H10" s="42">
        <v>7.0000000000000007E-2</v>
      </c>
      <c r="I10" s="43">
        <v>7.0199999999999999E-2</v>
      </c>
      <c r="J10" s="44">
        <f t="shared" ref="J10:J17" si="7">I10/$J$5</f>
        <v>2.6276487035810136E-3</v>
      </c>
      <c r="K10" s="45">
        <f t="shared" si="2"/>
        <v>2.2285714285714287E-3</v>
      </c>
      <c r="L10" s="46">
        <f t="shared" si="3"/>
        <v>1.9999999999999185E-4</v>
      </c>
      <c r="M10" s="46">
        <f t="shared" si="4"/>
        <v>0.28571428571427404</v>
      </c>
      <c r="N10" s="47">
        <v>1700</v>
      </c>
      <c r="O10" s="37">
        <v>119.34</v>
      </c>
      <c r="P10" s="51">
        <f t="shared" si="5"/>
        <v>0</v>
      </c>
      <c r="Q10" s="49">
        <f t="shared" si="6"/>
        <v>1.221518987341772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 t="shared" si="0"/>
        <v>3598419.6295090187</v>
      </c>
      <c r="E11" s="39">
        <f t="shared" si="1"/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 t="shared" si="7"/>
        <v>8.2347965069490443E-3</v>
      </c>
      <c r="K11" s="45">
        <f t="shared" si="2"/>
        <v>6.9841269841269841E-3</v>
      </c>
      <c r="L11" s="46">
        <f t="shared" si="3"/>
        <v>0</v>
      </c>
      <c r="M11" s="46">
        <f t="shared" si="4"/>
        <v>0</v>
      </c>
      <c r="N11" s="47">
        <v>0</v>
      </c>
      <c r="O11" s="37">
        <v>0</v>
      </c>
      <c r="P11" s="51">
        <f t="shared" si="5"/>
        <v>0</v>
      </c>
      <c r="Q11" s="49">
        <f t="shared" si="6"/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 t="shared" si="0"/>
        <v>146665651.47721019</v>
      </c>
      <c r="E12" s="39">
        <f t="shared" si="1"/>
        <v>124390631.05714285</v>
      </c>
      <c r="F12" s="40" t="s">
        <v>34</v>
      </c>
      <c r="G12" s="41">
        <v>97.381</v>
      </c>
      <c r="H12" s="42">
        <v>189.9</v>
      </c>
      <c r="I12" s="43">
        <v>189.9</v>
      </c>
      <c r="J12" s="44">
        <f t="shared" si="7"/>
        <v>7.108126621225562</v>
      </c>
      <c r="K12" s="45">
        <f t="shared" si="2"/>
        <v>6.0285714285714285</v>
      </c>
      <c r="L12" s="46">
        <f t="shared" si="3"/>
        <v>0</v>
      </c>
      <c r="M12" s="46">
        <f t="shared" si="4"/>
        <v>0</v>
      </c>
      <c r="N12" s="47">
        <v>0</v>
      </c>
      <c r="O12" s="37">
        <v>0</v>
      </c>
      <c r="P12" s="51">
        <f t="shared" si="5"/>
        <v>0</v>
      </c>
      <c r="Q12" s="49">
        <f t="shared" si="6"/>
        <v>0.95007239605261806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 t="shared" si="0"/>
        <v>6212295.0003555929</v>
      </c>
      <c r="E13" s="39">
        <f t="shared" si="1"/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 t="shared" si="7"/>
        <v>0.7111869710546902</v>
      </c>
      <c r="K13" s="45">
        <f t="shared" si="2"/>
        <v>0.60317460317460314</v>
      </c>
      <c r="L13" s="46">
        <f t="shared" si="3"/>
        <v>0</v>
      </c>
      <c r="M13" s="46">
        <f t="shared" si="4"/>
        <v>0</v>
      </c>
      <c r="N13" s="47">
        <v>0</v>
      </c>
      <c r="O13" s="37">
        <v>0</v>
      </c>
      <c r="P13" s="51">
        <f t="shared" si="5"/>
        <v>0</v>
      </c>
      <c r="Q13" s="49">
        <f t="shared" si="6"/>
        <v>0.39705882352941191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 t="shared" si="0"/>
        <v>782547419.32706738</v>
      </c>
      <c r="E14" s="39">
        <f t="shared" si="1"/>
        <v>663697098.41269839</v>
      </c>
      <c r="F14" s="40" t="s">
        <v>47</v>
      </c>
      <c r="G14" s="41">
        <v>11.5</v>
      </c>
      <c r="H14" s="42">
        <v>40.432400000000001</v>
      </c>
      <c r="I14" s="43">
        <v>40</v>
      </c>
      <c r="J14" s="44">
        <f t="shared" si="7"/>
        <v>1.4972357285361899</v>
      </c>
      <c r="K14" s="45">
        <f t="shared" si="2"/>
        <v>1.2698412698412698</v>
      </c>
      <c r="L14" s="46">
        <f t="shared" si="3"/>
        <v>-0.43240000000000123</v>
      </c>
      <c r="M14" s="46">
        <f t="shared" si="4"/>
        <v>-1.0694393605128589</v>
      </c>
      <c r="N14" s="47">
        <v>100</v>
      </c>
      <c r="O14" s="37">
        <v>4000</v>
      </c>
      <c r="P14" s="51">
        <f t="shared" si="5"/>
        <v>0</v>
      </c>
      <c r="Q14" s="49">
        <f t="shared" si="6"/>
        <v>2.4782608695652173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 t="shared" si="0"/>
        <v>23815228.010286007</v>
      </c>
      <c r="E15" s="39">
        <f t="shared" si="1"/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 t="shared" si="7"/>
        <v>0.2245853592804285</v>
      </c>
      <c r="K15" s="45">
        <f t="shared" si="2"/>
        <v>0.19047619047619047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51">
        <f t="shared" si="5"/>
        <v>0</v>
      </c>
      <c r="Q15" s="49">
        <f t="shared" si="6"/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 t="shared" si="0"/>
        <v>77444065.692114279</v>
      </c>
      <c r="E16" s="39">
        <f t="shared" si="1"/>
        <v>65682156.019808121</v>
      </c>
      <c r="F16" s="40" t="s">
        <v>34</v>
      </c>
      <c r="G16" s="41">
        <v>1.9</v>
      </c>
      <c r="H16" s="42">
        <v>5.7715999999999994</v>
      </c>
      <c r="I16" s="43">
        <v>5.7792819999999994</v>
      </c>
      <c r="J16" s="44">
        <f t="shared" si="7"/>
        <v>0.21632368739215221</v>
      </c>
      <c r="K16" s="45">
        <f t="shared" si="2"/>
        <v>0.18346926984126982</v>
      </c>
      <c r="L16" s="46">
        <f t="shared" si="3"/>
        <v>7.6819999999999666E-3</v>
      </c>
      <c r="M16" s="46">
        <f t="shared" si="4"/>
        <v>0.13310000693048665</v>
      </c>
      <c r="N16" s="47">
        <v>1100</v>
      </c>
      <c r="O16" s="37">
        <v>6357.21</v>
      </c>
      <c r="P16" s="51">
        <f t="shared" si="5"/>
        <v>0</v>
      </c>
      <c r="Q16" s="49">
        <f t="shared" si="6"/>
        <v>2.0417273684210526</v>
      </c>
      <c r="R16" s="50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1527585903.6971946</v>
      </c>
      <c r="E17" s="39">
        <f t="shared" si="1"/>
        <v>1295581976.0185361</v>
      </c>
      <c r="F17" s="40" t="s">
        <v>34</v>
      </c>
      <c r="G17" s="41">
        <v>20.701700000000002</v>
      </c>
      <c r="H17" s="42">
        <v>30.2287</v>
      </c>
      <c r="I17" s="43">
        <v>30.280421999999998</v>
      </c>
      <c r="J17" s="44">
        <f t="shared" si="7"/>
        <v>1.1334232423388317</v>
      </c>
      <c r="K17" s="45">
        <f t="shared" si="2"/>
        <v>0.96128323809523808</v>
      </c>
      <c r="L17" s="46">
        <f t="shared" si="3"/>
        <v>5.1721999999998047E-2</v>
      </c>
      <c r="M17" s="46">
        <f t="shared" si="4"/>
        <v>0.17110229682387285</v>
      </c>
      <c r="N17" s="47">
        <v>10200</v>
      </c>
      <c r="O17" s="37">
        <v>308860.3</v>
      </c>
      <c r="P17" s="48">
        <f t="shared" si="5"/>
        <v>4.4114147418421061E-2</v>
      </c>
      <c r="Q17" s="49">
        <f t="shared" si="6"/>
        <v>0.46270219353966069</v>
      </c>
      <c r="R17" s="50">
        <v>0.05</v>
      </c>
      <c r="S17" s="52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226365173.66062903</v>
      </c>
      <c r="E19" s="39">
        <f t="shared" si="1"/>
        <v>191985693.4285714</v>
      </c>
      <c r="F19" s="40" t="s">
        <v>47</v>
      </c>
      <c r="G19" s="41">
        <v>12.45</v>
      </c>
      <c r="H19" s="42">
        <v>9.0000009999999993</v>
      </c>
      <c r="I19" s="43">
        <v>9</v>
      </c>
      <c r="J19" s="44">
        <f t="shared" ref="J19:J29" si="8">I19/$J$5</f>
        <v>0.33687803892064272</v>
      </c>
      <c r="K19" s="45">
        <f t="shared" ref="K19:K29" si="9">I19/$K$4</f>
        <v>0.2857142857142857</v>
      </c>
      <c r="L19" s="46">
        <f t="shared" ref="L19:L29" si="10">I19-H19</f>
        <v>-9.9999999925159955E-7</v>
      </c>
      <c r="M19" s="46">
        <f t="shared" ref="M19:M29" si="11">((I19-H19)/H19)*100</f>
        <v>-1.1111109868227789E-5</v>
      </c>
      <c r="N19" s="47">
        <v>85500</v>
      </c>
      <c r="O19" s="37">
        <v>769500</v>
      </c>
      <c r="P19" s="51">
        <f>(R19)/J19</f>
        <v>0</v>
      </c>
      <c r="Q19" s="49">
        <f t="shared" ref="Q19:Q29" si="12">I19/G19-1</f>
        <v>-0.27710843373493976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2853967.2517115274</v>
      </c>
      <c r="E20" s="39">
        <f t="shared" si="1"/>
        <v>2420517.5777777773</v>
      </c>
      <c r="F20" s="40" t="s">
        <v>47</v>
      </c>
      <c r="G20" s="41">
        <v>0.35</v>
      </c>
      <c r="H20" s="42">
        <v>0.7</v>
      </c>
      <c r="I20" s="43">
        <v>0.7</v>
      </c>
      <c r="J20" s="44">
        <f t="shared" si="8"/>
        <v>2.6201625249383322E-2</v>
      </c>
      <c r="K20" s="45">
        <f t="shared" si="9"/>
        <v>2.222222222222222E-2</v>
      </c>
      <c r="L20" s="46">
        <f t="shared" si="10"/>
        <v>0</v>
      </c>
      <c r="M20" s="46">
        <f t="shared" si="11"/>
        <v>0</v>
      </c>
      <c r="N20" s="47">
        <v>0</v>
      </c>
      <c r="O20" s="37">
        <v>0</v>
      </c>
      <c r="P20" s="51">
        <f>(R20)/J20</f>
        <v>0</v>
      </c>
      <c r="Q20" s="49">
        <f t="shared" si="12"/>
        <v>1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84729456.516832292</v>
      </c>
      <c r="E21" s="39">
        <f t="shared" si="1"/>
        <v>71861069.439937785</v>
      </c>
      <c r="F21" s="40" t="s">
        <v>47</v>
      </c>
      <c r="G21" s="41">
        <v>2.85</v>
      </c>
      <c r="H21" s="42">
        <v>3.2001400000000002</v>
      </c>
      <c r="I21" s="43">
        <v>3.2799339999999999</v>
      </c>
      <c r="J21" s="44">
        <f t="shared" si="8"/>
        <v>0.12277085930101549</v>
      </c>
      <c r="K21" s="45">
        <f t="shared" si="9"/>
        <v>0.10412488888888889</v>
      </c>
      <c r="L21" s="46">
        <f t="shared" si="10"/>
        <v>7.9793999999999699E-2</v>
      </c>
      <c r="M21" s="46">
        <f t="shared" si="11"/>
        <v>2.4934534114132409</v>
      </c>
      <c r="N21" s="47">
        <v>3800</v>
      </c>
      <c r="O21" s="37">
        <v>12463.75</v>
      </c>
      <c r="P21" s="51">
        <f>(R21)/J21</f>
        <v>0</v>
      </c>
      <c r="Q21" s="49">
        <f t="shared" si="12"/>
        <v>0.15085403508771922</v>
      </c>
      <c r="R21" s="50"/>
    </row>
    <row r="22" spans="1:19" hidden="1" x14ac:dyDescent="0.25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0.99</v>
      </c>
      <c r="I22" s="43"/>
      <c r="J22" s="44">
        <f t="shared" si="8"/>
        <v>0</v>
      </c>
      <c r="K22" s="45">
        <f t="shared" si="9"/>
        <v>0</v>
      </c>
      <c r="L22" s="46">
        <f t="shared" si="10"/>
        <v>-0.99</v>
      </c>
      <c r="M22" s="46">
        <f t="shared" si="11"/>
        <v>-100</v>
      </c>
      <c r="N22" s="53" t="s">
        <v>57</v>
      </c>
      <c r="O22" s="53" t="s">
        <v>57</v>
      </c>
      <c r="P22" s="53" t="s">
        <v>67</v>
      </c>
      <c r="Q22" s="49">
        <f t="shared" si="12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2470453.947986031</v>
      </c>
      <c r="E23" s="39">
        <f t="shared" si="1"/>
        <v>2095250.8136190479</v>
      </c>
      <c r="F23" s="40" t="s">
        <v>44</v>
      </c>
      <c r="G23" s="41">
        <v>0.1</v>
      </c>
      <c r="H23" s="42">
        <v>0.12300000000000001</v>
      </c>
      <c r="I23" s="43">
        <v>0.12300000000000001</v>
      </c>
      <c r="J23" s="44">
        <f t="shared" si="8"/>
        <v>4.6039998652487851E-3</v>
      </c>
      <c r="K23" s="45">
        <f t="shared" si="9"/>
        <v>3.9047619047619052E-3</v>
      </c>
      <c r="L23" s="46">
        <f t="shared" si="10"/>
        <v>0</v>
      </c>
      <c r="M23" s="46">
        <f t="shared" si="11"/>
        <v>0</v>
      </c>
      <c r="N23" s="47">
        <v>0</v>
      </c>
      <c r="O23" s="37">
        <v>0</v>
      </c>
      <c r="P23" s="51">
        <f t="shared" ref="P23:P29" si="13">(R23)/J23</f>
        <v>0</v>
      </c>
      <c r="Q23" s="49">
        <f t="shared" si="12"/>
        <v>0.22999999999999998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79474253.309826732</v>
      </c>
      <c r="E24" s="39">
        <f t="shared" si="1"/>
        <v>67404006.476190478</v>
      </c>
      <c r="F24" s="40" t="s">
        <v>34</v>
      </c>
      <c r="G24" s="41">
        <v>8.1687659999999997</v>
      </c>
      <c r="H24" s="42">
        <v>10.091799999999999</v>
      </c>
      <c r="I24" s="43">
        <v>11</v>
      </c>
      <c r="J24" s="44">
        <f t="shared" si="8"/>
        <v>0.41173982534745224</v>
      </c>
      <c r="K24" s="45">
        <f t="shared" si="9"/>
        <v>0.34920634920634919</v>
      </c>
      <c r="L24" s="46">
        <f t="shared" si="10"/>
        <v>0.90820000000000078</v>
      </c>
      <c r="M24" s="46">
        <f t="shared" si="11"/>
        <v>8.9993856398264018</v>
      </c>
      <c r="N24" s="47">
        <v>100</v>
      </c>
      <c r="O24" s="37">
        <v>1100</v>
      </c>
      <c r="P24" s="51">
        <f t="shared" si="13"/>
        <v>0</v>
      </c>
      <c r="Q24" s="49">
        <f t="shared" si="12"/>
        <v>0.34659261876273595</v>
      </c>
      <c r="R24" s="50"/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110543609.45167485</v>
      </c>
      <c r="E25" s="39">
        <f t="shared" si="1"/>
        <v>93754667.166666657</v>
      </c>
      <c r="F25" s="40" t="s">
        <v>66</v>
      </c>
      <c r="G25" s="41">
        <v>1.6675</v>
      </c>
      <c r="H25" s="42">
        <v>1.75</v>
      </c>
      <c r="I25" s="43">
        <v>1.75</v>
      </c>
      <c r="J25" s="44">
        <f t="shared" si="8"/>
        <v>6.5504063123458314E-2</v>
      </c>
      <c r="K25" s="45">
        <f t="shared" si="9"/>
        <v>5.5555555555555552E-2</v>
      </c>
      <c r="L25" s="46">
        <f t="shared" si="10"/>
        <v>0</v>
      </c>
      <c r="M25" s="46">
        <f t="shared" si="11"/>
        <v>0</v>
      </c>
      <c r="N25" s="47">
        <v>0</v>
      </c>
      <c r="O25" s="37">
        <v>0</v>
      </c>
      <c r="P25" s="51">
        <f t="shared" si="13"/>
        <v>0</v>
      </c>
      <c r="Q25" s="49">
        <f t="shared" si="12"/>
        <v>4.9475262368815498E-2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26881532.00902833</v>
      </c>
      <c r="E26" s="39">
        <f t="shared" si="1"/>
        <v>22798867.333333332</v>
      </c>
      <c r="F26" s="40" t="s">
        <v>44</v>
      </c>
      <c r="G26" s="41">
        <v>1.7994999999999999</v>
      </c>
      <c r="H26" s="42">
        <v>2.908598</v>
      </c>
      <c r="I26" s="43">
        <v>3</v>
      </c>
      <c r="J26" s="44">
        <f t="shared" si="8"/>
        <v>0.11229267964021425</v>
      </c>
      <c r="K26" s="45">
        <f t="shared" si="9"/>
        <v>9.5238095238095233E-2</v>
      </c>
      <c r="L26" s="46">
        <f t="shared" si="10"/>
        <v>9.1401999999999983E-2</v>
      </c>
      <c r="M26" s="46">
        <f t="shared" si="11"/>
        <v>3.1424762033116984</v>
      </c>
      <c r="N26" s="47">
        <v>500</v>
      </c>
      <c r="O26" s="37">
        <v>1500</v>
      </c>
      <c r="P26" s="51">
        <f t="shared" si="13"/>
        <v>0</v>
      </c>
      <c r="Q26" s="49">
        <f t="shared" si="12"/>
        <v>0.66712975826618526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23969877.582263742</v>
      </c>
      <c r="E27" s="39">
        <f t="shared" si="1"/>
        <v>20329423.888888888</v>
      </c>
      <c r="F27" s="40" t="s">
        <v>34</v>
      </c>
      <c r="G27" s="41">
        <v>3.1361369999999997</v>
      </c>
      <c r="H27" s="42">
        <v>2.5</v>
      </c>
      <c r="I27" s="43">
        <v>2.5</v>
      </c>
      <c r="J27" s="44">
        <f t="shared" si="8"/>
        <v>9.357723303351187E-2</v>
      </c>
      <c r="K27" s="45">
        <f t="shared" si="9"/>
        <v>7.9365079365079361E-2</v>
      </c>
      <c r="L27" s="46">
        <f t="shared" si="10"/>
        <v>0</v>
      </c>
      <c r="M27" s="46">
        <f t="shared" si="11"/>
        <v>0</v>
      </c>
      <c r="N27" s="47">
        <v>0</v>
      </c>
      <c r="O27" s="37">
        <v>0</v>
      </c>
      <c r="P27" s="51">
        <f t="shared" si="13"/>
        <v>0</v>
      </c>
      <c r="Q27" s="49">
        <f t="shared" si="12"/>
        <v>-0.20284094731830904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24324741.702881053</v>
      </c>
      <c r="E28" s="39">
        <f t="shared" si="1"/>
        <v>20630392.598730158</v>
      </c>
      <c r="F28" s="40" t="s">
        <v>44</v>
      </c>
      <c r="G28" s="41">
        <v>0.8</v>
      </c>
      <c r="H28" s="42">
        <v>0.75</v>
      </c>
      <c r="I28" s="43">
        <v>0.86</v>
      </c>
      <c r="J28" s="44">
        <f t="shared" si="8"/>
        <v>3.2190568163528083E-2</v>
      </c>
      <c r="K28" s="45">
        <f t="shared" si="9"/>
        <v>2.7301587301587302E-2</v>
      </c>
      <c r="L28" s="46">
        <f t="shared" si="10"/>
        <v>0.10999999999999999</v>
      </c>
      <c r="M28" s="46">
        <f t="shared" si="11"/>
        <v>14.666666666666664</v>
      </c>
      <c r="N28" s="47">
        <v>3000</v>
      </c>
      <c r="O28" s="37">
        <v>2580</v>
      </c>
      <c r="P28" s="51">
        <f t="shared" si="13"/>
        <v>0</v>
      </c>
      <c r="Q28" s="49">
        <f t="shared" si="12"/>
        <v>7.4999999999999956E-2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94143407.513877496</v>
      </c>
      <c r="E29" s="39">
        <f t="shared" si="1"/>
        <v>79845265.422222212</v>
      </c>
      <c r="F29" s="40" t="s">
        <v>47</v>
      </c>
      <c r="G29" s="41">
        <v>5.15</v>
      </c>
      <c r="H29" s="42">
        <v>5.6</v>
      </c>
      <c r="I29" s="43">
        <v>5.6</v>
      </c>
      <c r="J29" s="44">
        <f t="shared" si="8"/>
        <v>0.20961300199506658</v>
      </c>
      <c r="K29" s="45">
        <f t="shared" si="9"/>
        <v>0.17777777777777776</v>
      </c>
      <c r="L29" s="46">
        <f t="shared" si="10"/>
        <v>0</v>
      </c>
      <c r="M29" s="46">
        <f t="shared" si="11"/>
        <v>0</v>
      </c>
      <c r="N29" s="47">
        <v>0</v>
      </c>
      <c r="O29" s="37">
        <v>0</v>
      </c>
      <c r="P29" s="51">
        <f t="shared" si="13"/>
        <v>0</v>
      </c>
      <c r="Q29" s="49">
        <f t="shared" si="12"/>
        <v>8.737864077669899E-2</v>
      </c>
      <c r="R29" s="50"/>
    </row>
    <row r="30" spans="1:19" hidden="1" x14ac:dyDescent="0.25">
      <c r="A30" s="35"/>
      <c r="B30" s="36" t="s">
        <v>83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hidden="1" x14ac:dyDescent="0.25">
      <c r="A31" s="35" t="s">
        <v>84</v>
      </c>
      <c r="B31" s="36" t="s">
        <v>85</v>
      </c>
      <c r="C31" s="37">
        <v>3171161098</v>
      </c>
      <c r="D31" s="38">
        <f t="shared" ref="D31:D47" si="14">C31*J31</f>
        <v>0</v>
      </c>
      <c r="E31" s="39">
        <f t="shared" ref="E31:E47" si="15">C31*K31</f>
        <v>0</v>
      </c>
      <c r="F31" s="40" t="s">
        <v>34</v>
      </c>
      <c r="G31" s="41">
        <v>0.13000100000000001</v>
      </c>
      <c r="H31" s="51">
        <v>0</v>
      </c>
      <c r="I31" s="54"/>
      <c r="J31" s="55">
        <f t="shared" ref="J31:J47" si="16">I31/$J$5</f>
        <v>0</v>
      </c>
      <c r="K31" s="56">
        <f t="shared" ref="K31:K47" si="17">I31/$K$4</f>
        <v>0</v>
      </c>
      <c r="L31" s="46">
        <v>0</v>
      </c>
      <c r="M31" s="46">
        <v>0</v>
      </c>
      <c r="N31" s="53" t="s">
        <v>57</v>
      </c>
      <c r="O31" s="53" t="s">
        <v>57</v>
      </c>
      <c r="P31" s="53" t="s">
        <v>86</v>
      </c>
      <c r="Q31" s="49">
        <v>0</v>
      </c>
      <c r="R31" s="50"/>
    </row>
    <row r="32" spans="1:19" x14ac:dyDescent="0.25">
      <c r="A32" s="35" t="s">
        <v>87</v>
      </c>
      <c r="B32" s="36" t="s">
        <v>88</v>
      </c>
      <c r="C32" s="37">
        <v>259866270</v>
      </c>
      <c r="D32" s="38">
        <f t="shared" si="14"/>
        <v>11641645.883367207</v>
      </c>
      <c r="E32" s="39">
        <f t="shared" si="15"/>
        <v>9873557.0557285696</v>
      </c>
      <c r="F32" s="40" t="s">
        <v>39</v>
      </c>
      <c r="G32" s="41">
        <v>1.4</v>
      </c>
      <c r="H32" s="42">
        <v>1.1968349999999999</v>
      </c>
      <c r="I32" s="43">
        <v>1.1968349999999999</v>
      </c>
      <c r="J32" s="44">
        <f t="shared" si="16"/>
        <v>4.4798603079065268E-2</v>
      </c>
      <c r="K32" s="45">
        <f t="shared" si="17"/>
        <v>3.7994761904761899E-2</v>
      </c>
      <c r="L32" s="46">
        <f t="shared" ref="L32:L47" si="18">I32-H32</f>
        <v>0</v>
      </c>
      <c r="M32" s="46">
        <f t="shared" ref="M32:M47" si="19">((I32-H32)/H32)*100</f>
        <v>0</v>
      </c>
      <c r="N32" s="47">
        <v>0</v>
      </c>
      <c r="O32" s="37">
        <v>0</v>
      </c>
      <c r="P32" s="51">
        <f t="shared" ref="P32:P37" si="20">(R32)/J32</f>
        <v>0</v>
      </c>
      <c r="Q32" s="49">
        <f t="shared" ref="Q32:Q47" si="21">I32/G32-1</f>
        <v>-0.14511785714285719</v>
      </c>
      <c r="R32" s="50"/>
    </row>
    <row r="33" spans="1:18" x14ac:dyDescent="0.25">
      <c r="A33" s="35" t="s">
        <v>89</v>
      </c>
      <c r="B33" s="36" t="s">
        <v>90</v>
      </c>
      <c r="C33" s="37">
        <v>122029470</v>
      </c>
      <c r="D33" s="38">
        <f t="shared" si="14"/>
        <v>3882521.2513896213</v>
      </c>
      <c r="E33" s="39">
        <f t="shared" si="15"/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 t="shared" si="16"/>
        <v>3.1816259231394035E-2</v>
      </c>
      <c r="K33" s="45">
        <f t="shared" si="17"/>
        <v>2.6984126984126982E-2</v>
      </c>
      <c r="L33" s="46">
        <f t="shared" si="18"/>
        <v>0</v>
      </c>
      <c r="M33" s="46">
        <f t="shared" si="19"/>
        <v>0</v>
      </c>
      <c r="N33" s="47">
        <v>0</v>
      </c>
      <c r="O33" s="37">
        <v>0</v>
      </c>
      <c r="P33" s="51">
        <f t="shared" si="20"/>
        <v>0</v>
      </c>
      <c r="Q33" s="49">
        <f t="shared" si="21"/>
        <v>0.30769230769230771</v>
      </c>
      <c r="R33" s="50"/>
    </row>
    <row r="34" spans="1:18" x14ac:dyDescent="0.25">
      <c r="A34" s="35" t="s">
        <v>91</v>
      </c>
      <c r="B34" s="36" t="s">
        <v>92</v>
      </c>
      <c r="C34" s="37">
        <v>2495495543</v>
      </c>
      <c r="D34" s="38">
        <f t="shared" si="14"/>
        <v>116760783.98070063</v>
      </c>
      <c r="E34" s="39">
        <f t="shared" si="15"/>
        <v>99027600.912698403</v>
      </c>
      <c r="F34" s="40" t="s">
        <v>93</v>
      </c>
      <c r="G34" s="41">
        <v>1.44</v>
      </c>
      <c r="H34" s="42">
        <v>1.25</v>
      </c>
      <c r="I34" s="43">
        <v>1.25</v>
      </c>
      <c r="J34" s="44">
        <f t="shared" si="16"/>
        <v>4.6788616516755935E-2</v>
      </c>
      <c r="K34" s="45">
        <f t="shared" si="17"/>
        <v>3.968253968253968E-2</v>
      </c>
      <c r="L34" s="46">
        <f t="shared" si="18"/>
        <v>0</v>
      </c>
      <c r="M34" s="46">
        <f t="shared" si="19"/>
        <v>0</v>
      </c>
      <c r="N34" s="47">
        <v>10800</v>
      </c>
      <c r="O34" s="37">
        <v>13500</v>
      </c>
      <c r="P34" s="51">
        <f t="shared" si="20"/>
        <v>0</v>
      </c>
      <c r="Q34" s="49">
        <f t="shared" si="21"/>
        <v>-0.13194444444444442</v>
      </c>
      <c r="R34" s="50"/>
    </row>
    <row r="35" spans="1:18" x14ac:dyDescent="0.25">
      <c r="A35" s="35" t="s">
        <v>94</v>
      </c>
      <c r="B35" s="36" t="s">
        <v>95</v>
      </c>
      <c r="C35" s="37">
        <v>253492983</v>
      </c>
      <c r="D35" s="38">
        <f t="shared" si="14"/>
        <v>43765562.23400671</v>
      </c>
      <c r="E35" s="39">
        <f t="shared" si="15"/>
        <v>37118615.367857143</v>
      </c>
      <c r="F35" s="40" t="s">
        <v>34</v>
      </c>
      <c r="G35" s="41">
        <v>3.6056249999999999</v>
      </c>
      <c r="H35" s="42">
        <v>4.6100000000000003</v>
      </c>
      <c r="I35" s="43">
        <v>4.6124999999999998</v>
      </c>
      <c r="J35" s="44">
        <f t="shared" si="16"/>
        <v>0.17264999494682939</v>
      </c>
      <c r="K35" s="45">
        <f t="shared" si="17"/>
        <v>0.14642857142857144</v>
      </c>
      <c r="L35" s="46">
        <f t="shared" si="18"/>
        <v>2.4999999999995026E-3</v>
      </c>
      <c r="M35" s="46">
        <f t="shared" si="19"/>
        <v>5.4229934924067295E-2</v>
      </c>
      <c r="N35" s="47">
        <v>1200</v>
      </c>
      <c r="O35" s="37">
        <v>5535</v>
      </c>
      <c r="P35" s="51">
        <f t="shared" si="20"/>
        <v>0</v>
      </c>
      <c r="Q35" s="49">
        <f t="shared" si="21"/>
        <v>0.27925117004680189</v>
      </c>
      <c r="R35" s="50"/>
    </row>
    <row r="36" spans="1:18" x14ac:dyDescent="0.25">
      <c r="A36" s="35" t="s">
        <v>96</v>
      </c>
      <c r="B36" s="36" t="s">
        <v>97</v>
      </c>
      <c r="C36" s="37">
        <v>4715084056</v>
      </c>
      <c r="D36" s="38">
        <f t="shared" si="14"/>
        <v>7822204.7711653356</v>
      </c>
      <c r="E36" s="39">
        <f t="shared" si="15"/>
        <v>6634198.1093960637</v>
      </c>
      <c r="F36" s="40" t="s">
        <v>34</v>
      </c>
      <c r="G36" s="41">
        <v>2.5099999999999997E-2</v>
      </c>
      <c r="H36" s="42">
        <v>4.4999999999999998E-2</v>
      </c>
      <c r="I36" s="43">
        <v>4.4320999999999999E-2</v>
      </c>
      <c r="J36" s="44">
        <f t="shared" si="16"/>
        <v>1.6589746181113118E-3</v>
      </c>
      <c r="K36" s="45">
        <f t="shared" si="17"/>
        <v>1.4070158730158731E-3</v>
      </c>
      <c r="L36" s="46">
        <f t="shared" si="18"/>
        <v>-6.7899999999999905E-4</v>
      </c>
      <c r="M36" s="46">
        <f t="shared" si="19"/>
        <v>-1.5088888888888869</v>
      </c>
      <c r="N36" s="47">
        <v>18400</v>
      </c>
      <c r="O36" s="37">
        <v>815.5</v>
      </c>
      <c r="P36" s="51">
        <f t="shared" si="20"/>
        <v>0</v>
      </c>
      <c r="Q36" s="49">
        <f t="shared" si="21"/>
        <v>0.76577689243027902</v>
      </c>
      <c r="R36" s="50"/>
    </row>
    <row r="37" spans="1:18" x14ac:dyDescent="0.25">
      <c r="A37" s="35" t="s">
        <v>98</v>
      </c>
      <c r="B37" s="36" t="s">
        <v>99</v>
      </c>
      <c r="C37" s="37">
        <v>525090993</v>
      </c>
      <c r="D37" s="38">
        <f t="shared" si="14"/>
        <v>70756649.590693191</v>
      </c>
      <c r="E37" s="39">
        <f t="shared" si="15"/>
        <v>60010399.199999996</v>
      </c>
      <c r="F37" s="40" t="s">
        <v>93</v>
      </c>
      <c r="G37" s="41">
        <v>0.61</v>
      </c>
      <c r="H37" s="42">
        <v>3.5982989999999999</v>
      </c>
      <c r="I37" s="43">
        <v>3.6</v>
      </c>
      <c r="J37" s="44">
        <f t="shared" si="16"/>
        <v>0.13475121556825712</v>
      </c>
      <c r="K37" s="45">
        <f t="shared" si="17"/>
        <v>0.11428571428571428</v>
      </c>
      <c r="L37" s="46">
        <f t="shared" si="18"/>
        <v>1.7010000000001746E-3</v>
      </c>
      <c r="M37" s="46">
        <f t="shared" si="19"/>
        <v>4.7272336178849357E-2</v>
      </c>
      <c r="N37" s="47">
        <v>97200</v>
      </c>
      <c r="O37" s="37">
        <v>349920</v>
      </c>
      <c r="P37" s="51">
        <f t="shared" si="20"/>
        <v>0</v>
      </c>
      <c r="Q37" s="49">
        <f t="shared" si="21"/>
        <v>4.9016393442622954</v>
      </c>
      <c r="R37" s="50"/>
    </row>
    <row r="38" spans="1:18" x14ac:dyDescent="0.25">
      <c r="A38" s="35" t="s">
        <v>100</v>
      </c>
      <c r="B38" s="36" t="s">
        <v>101</v>
      </c>
      <c r="C38" s="37">
        <v>4194797929</v>
      </c>
      <c r="D38" s="38">
        <f t="shared" si="14"/>
        <v>32124333.729570255</v>
      </c>
      <c r="E38" s="39">
        <f t="shared" si="15"/>
        <v>27245412.301137332</v>
      </c>
      <c r="F38" s="40" t="s">
        <v>56</v>
      </c>
      <c r="G38" s="41">
        <v>0.11650199999999999</v>
      </c>
      <c r="H38" s="42">
        <v>0.20177100000000001</v>
      </c>
      <c r="I38" s="43">
        <v>0.204594</v>
      </c>
      <c r="J38" s="44">
        <f t="shared" si="16"/>
        <v>7.658136166103331E-3</v>
      </c>
      <c r="K38" s="45">
        <f t="shared" si="17"/>
        <v>6.495047619047619E-3</v>
      </c>
      <c r="L38" s="46">
        <f t="shared" si="18"/>
        <v>2.8229999999999922E-3</v>
      </c>
      <c r="M38" s="46">
        <f t="shared" si="19"/>
        <v>1.3991108732176536</v>
      </c>
      <c r="N38" s="47">
        <v>53200</v>
      </c>
      <c r="O38" s="37">
        <v>10884.4</v>
      </c>
      <c r="P38" s="51">
        <v>0</v>
      </c>
      <c r="Q38" s="49">
        <f t="shared" si="21"/>
        <v>0.75614152546737401</v>
      </c>
      <c r="R38" s="50"/>
    </row>
    <row r="39" spans="1:18" hidden="1" x14ac:dyDescent="0.25">
      <c r="A39" s="35" t="s">
        <v>102</v>
      </c>
      <c r="B39" s="36" t="s">
        <v>103</v>
      </c>
      <c r="C39" s="37">
        <v>362927587</v>
      </c>
      <c r="D39" s="38">
        <f t="shared" si="14"/>
        <v>0</v>
      </c>
      <c r="E39" s="39">
        <f t="shared" si="15"/>
        <v>0</v>
      </c>
      <c r="F39" s="40" t="s">
        <v>34</v>
      </c>
      <c r="G39" s="41">
        <v>2.6005000000000003</v>
      </c>
      <c r="H39" s="42">
        <v>6.9635580000000008</v>
      </c>
      <c r="I39" s="43"/>
      <c r="J39" s="44">
        <f t="shared" si="16"/>
        <v>0</v>
      </c>
      <c r="K39" s="45">
        <f t="shared" si="17"/>
        <v>0</v>
      </c>
      <c r="L39" s="46">
        <f t="shared" si="18"/>
        <v>-6.9635580000000008</v>
      </c>
      <c r="M39" s="46">
        <f t="shared" si="19"/>
        <v>-100</v>
      </c>
      <c r="N39" s="53" t="s">
        <v>57</v>
      </c>
      <c r="O39" s="53" t="s">
        <v>57</v>
      </c>
      <c r="P39" s="53" t="s">
        <v>86</v>
      </c>
      <c r="Q39" s="49">
        <f t="shared" si="21"/>
        <v>-1</v>
      </c>
      <c r="R39" s="50"/>
    </row>
    <row r="40" spans="1:18" x14ac:dyDescent="0.25">
      <c r="A40" s="35" t="s">
        <v>104</v>
      </c>
      <c r="B40" s="36" t="s">
        <v>105</v>
      </c>
      <c r="C40" s="37">
        <v>4315726499</v>
      </c>
      <c r="D40" s="38">
        <f t="shared" si="14"/>
        <v>18577918.404058855</v>
      </c>
      <c r="E40" s="39">
        <f t="shared" si="15"/>
        <v>15756374.929872891</v>
      </c>
      <c r="F40" s="40" t="s">
        <v>39</v>
      </c>
      <c r="G40" s="41">
        <v>0.1</v>
      </c>
      <c r="H40" s="42">
        <v>0.11500400000000001</v>
      </c>
      <c r="I40" s="43">
        <v>0.11500400000000001</v>
      </c>
      <c r="J40" s="44">
        <f t="shared" si="16"/>
        <v>4.3047024431143999E-3</v>
      </c>
      <c r="K40" s="45">
        <f t="shared" si="17"/>
        <v>3.6509206349206354E-3</v>
      </c>
      <c r="L40" s="46">
        <f t="shared" si="18"/>
        <v>0</v>
      </c>
      <c r="M40" s="46">
        <f t="shared" si="19"/>
        <v>0</v>
      </c>
      <c r="N40" s="47">
        <v>0</v>
      </c>
      <c r="O40" s="37">
        <v>0</v>
      </c>
      <c r="P40" s="51">
        <f t="shared" ref="P40:P46" si="22">(R40)/J40</f>
        <v>0</v>
      </c>
      <c r="Q40" s="49">
        <f t="shared" si="21"/>
        <v>0.15003999999999995</v>
      </c>
      <c r="R40" s="50"/>
    </row>
    <row r="41" spans="1:18" x14ac:dyDescent="0.25">
      <c r="A41" s="35" t="s">
        <v>106</v>
      </c>
      <c r="B41" s="36" t="s">
        <v>107</v>
      </c>
      <c r="C41" s="37">
        <v>106474237</v>
      </c>
      <c r="D41" s="38">
        <f t="shared" si="14"/>
        <v>7971162.453463519</v>
      </c>
      <c r="E41" s="39">
        <f t="shared" si="15"/>
        <v>6760532.6663646363</v>
      </c>
      <c r="F41" s="40" t="s">
        <v>44</v>
      </c>
      <c r="G41" s="41">
        <v>1.7452379999999998</v>
      </c>
      <c r="H41" s="42">
        <v>1.97</v>
      </c>
      <c r="I41" s="43">
        <v>2.0000780000000002</v>
      </c>
      <c r="J41" s="44">
        <f t="shared" si="16"/>
        <v>7.4864706036480155E-2</v>
      </c>
      <c r="K41" s="45">
        <f t="shared" si="17"/>
        <v>6.3494539682539694E-2</v>
      </c>
      <c r="L41" s="46">
        <f t="shared" si="18"/>
        <v>3.0078000000000271E-2</v>
      </c>
      <c r="M41" s="46">
        <f t="shared" si="19"/>
        <v>1.5268020304568666</v>
      </c>
      <c r="N41" s="47">
        <v>997600</v>
      </c>
      <c r="O41" s="37">
        <v>1995278</v>
      </c>
      <c r="P41" s="51">
        <f t="shared" si="22"/>
        <v>0</v>
      </c>
      <c r="Q41" s="49">
        <f t="shared" si="21"/>
        <v>0.14602019896426754</v>
      </c>
      <c r="R41" s="50">
        <v>0</v>
      </c>
    </row>
    <row r="42" spans="1:18" x14ac:dyDescent="0.25">
      <c r="A42" s="35" t="s">
        <v>108</v>
      </c>
      <c r="B42" s="36" t="s">
        <v>109</v>
      </c>
      <c r="C42" s="37">
        <v>1778001428</v>
      </c>
      <c r="D42" s="38">
        <f t="shared" si="14"/>
        <v>3979421.1456784909</v>
      </c>
      <c r="E42" s="39">
        <f t="shared" si="15"/>
        <v>3375041.8217724445</v>
      </c>
      <c r="F42" s="40" t="s">
        <v>39</v>
      </c>
      <c r="G42" s="41">
        <v>0.03</v>
      </c>
      <c r="H42" s="42">
        <v>0.06</v>
      </c>
      <c r="I42" s="43">
        <v>5.9794E-2</v>
      </c>
      <c r="J42" s="44">
        <f t="shared" si="16"/>
        <v>2.2381428288023235E-3</v>
      </c>
      <c r="K42" s="45">
        <f t="shared" si="17"/>
        <v>1.8982222222222222E-3</v>
      </c>
      <c r="L42" s="46">
        <f t="shared" si="18"/>
        <v>-2.0599999999999785E-4</v>
      </c>
      <c r="M42" s="46">
        <f t="shared" si="19"/>
        <v>-0.34333333333332977</v>
      </c>
      <c r="N42" s="47">
        <v>333500</v>
      </c>
      <c r="O42" s="37">
        <v>19941.23</v>
      </c>
      <c r="P42" s="51">
        <f t="shared" si="22"/>
        <v>0</v>
      </c>
      <c r="Q42" s="49">
        <f t="shared" si="21"/>
        <v>0.99313333333333342</v>
      </c>
      <c r="R42" s="50">
        <v>0</v>
      </c>
    </row>
    <row r="43" spans="1:18" x14ac:dyDescent="0.25">
      <c r="A43" s="35" t="s">
        <v>110</v>
      </c>
      <c r="B43" s="36" t="s">
        <v>111</v>
      </c>
      <c r="C43" s="37">
        <v>175190642</v>
      </c>
      <c r="D43" s="38">
        <f t="shared" si="14"/>
        <v>39345253.276138924</v>
      </c>
      <c r="E43" s="39">
        <f t="shared" si="15"/>
        <v>33369646.095238093</v>
      </c>
      <c r="F43" s="40" t="s">
        <v>47</v>
      </c>
      <c r="G43" s="41">
        <v>4.5</v>
      </c>
      <c r="H43" s="42">
        <v>5.5</v>
      </c>
      <c r="I43" s="43">
        <v>6</v>
      </c>
      <c r="J43" s="44">
        <f t="shared" si="16"/>
        <v>0.2245853592804285</v>
      </c>
      <c r="K43" s="45">
        <f t="shared" si="17"/>
        <v>0.19047619047619047</v>
      </c>
      <c r="L43" s="46">
        <f t="shared" si="18"/>
        <v>0.5</v>
      </c>
      <c r="M43" s="46">
        <f t="shared" si="19"/>
        <v>9.0909090909090917</v>
      </c>
      <c r="N43" s="47">
        <v>5000</v>
      </c>
      <c r="O43" s="37">
        <v>30000</v>
      </c>
      <c r="P43" s="51">
        <f t="shared" si="22"/>
        <v>0</v>
      </c>
      <c r="Q43" s="49">
        <f t="shared" si="21"/>
        <v>0.33333333333333326</v>
      </c>
      <c r="R43" s="50">
        <v>0</v>
      </c>
    </row>
    <row r="44" spans="1:18" x14ac:dyDescent="0.25">
      <c r="A44" s="35" t="s">
        <v>112</v>
      </c>
      <c r="B44" s="36" t="s">
        <v>113</v>
      </c>
      <c r="C44" s="37">
        <v>463337661</v>
      </c>
      <c r="D44" s="38">
        <f t="shared" si="14"/>
        <v>312.17656519151518</v>
      </c>
      <c r="E44" s="39">
        <f t="shared" si="15"/>
        <v>264.76437771428573</v>
      </c>
      <c r="F44" s="40" t="s">
        <v>44</v>
      </c>
      <c r="G44" s="41">
        <v>1.8E-5</v>
      </c>
      <c r="H44" s="42">
        <v>1.8E-5</v>
      </c>
      <c r="I44" s="43">
        <v>1.8E-5</v>
      </c>
      <c r="J44" s="44">
        <f t="shared" si="16"/>
        <v>6.7375607784128554E-7</v>
      </c>
      <c r="K44" s="45">
        <f t="shared" si="17"/>
        <v>5.7142857142857149E-7</v>
      </c>
      <c r="L44" s="46">
        <f t="shared" si="18"/>
        <v>0</v>
      </c>
      <c r="M44" s="46">
        <f t="shared" si="19"/>
        <v>0</v>
      </c>
      <c r="N44" s="47">
        <v>0</v>
      </c>
      <c r="O44" s="37">
        <v>0</v>
      </c>
      <c r="P44" s="51">
        <f t="shared" si="22"/>
        <v>0</v>
      </c>
      <c r="Q44" s="49">
        <f t="shared" si="21"/>
        <v>0</v>
      </c>
      <c r="R44" s="50">
        <v>0</v>
      </c>
    </row>
    <row r="45" spans="1:18" x14ac:dyDescent="0.25">
      <c r="A45" s="35" t="s">
        <v>114</v>
      </c>
      <c r="B45" s="36" t="s">
        <v>115</v>
      </c>
      <c r="C45" s="37">
        <v>576000000</v>
      </c>
      <c r="D45" s="38">
        <f t="shared" si="14"/>
        <v>1513525.6532626639</v>
      </c>
      <c r="E45" s="39">
        <f t="shared" si="15"/>
        <v>1283657.142857143</v>
      </c>
      <c r="F45" s="40" t="s">
        <v>56</v>
      </c>
      <c r="G45" s="41">
        <v>7.0000000000000007E-2</v>
      </c>
      <c r="H45" s="42">
        <v>7.0199999999999999E-2</v>
      </c>
      <c r="I45" s="43">
        <v>7.0199999999999999E-2</v>
      </c>
      <c r="J45" s="44">
        <f t="shared" si="16"/>
        <v>2.6276487035810136E-3</v>
      </c>
      <c r="K45" s="45">
        <f t="shared" si="17"/>
        <v>2.2285714285714287E-3</v>
      </c>
      <c r="L45" s="46">
        <f t="shared" si="18"/>
        <v>0</v>
      </c>
      <c r="M45" s="46">
        <f t="shared" si="19"/>
        <v>0</v>
      </c>
      <c r="N45" s="47">
        <v>17800</v>
      </c>
      <c r="O45" s="37">
        <v>1249.56</v>
      </c>
      <c r="P45" s="51">
        <f t="shared" si="22"/>
        <v>0</v>
      </c>
      <c r="Q45" s="49">
        <f t="shared" si="21"/>
        <v>2.8571428571426694E-3</v>
      </c>
      <c r="R45" s="50"/>
    </row>
    <row r="46" spans="1:18" x14ac:dyDescent="0.25">
      <c r="A46" s="35" t="s">
        <v>116</v>
      </c>
      <c r="B46" s="36" t="s">
        <v>117</v>
      </c>
      <c r="C46" s="37">
        <v>1818218786</v>
      </c>
      <c r="D46" s="38">
        <f t="shared" si="14"/>
        <v>47647773.583014607</v>
      </c>
      <c r="E46" s="39">
        <f t="shared" si="15"/>
        <v>40411211.246554285</v>
      </c>
      <c r="F46" s="40" t="s">
        <v>47</v>
      </c>
      <c r="G46" s="41">
        <v>0.9998999999999999</v>
      </c>
      <c r="H46" s="42">
        <v>0.72</v>
      </c>
      <c r="I46" s="43">
        <v>0.70011000000000001</v>
      </c>
      <c r="J46" s="44">
        <f t="shared" si="16"/>
        <v>2.6205742647636799E-2</v>
      </c>
      <c r="K46" s="45">
        <f t="shared" si="17"/>
        <v>2.2225714285714286E-2</v>
      </c>
      <c r="L46" s="46">
        <f t="shared" si="18"/>
        <v>-1.9889999999999963E-2</v>
      </c>
      <c r="M46" s="46">
        <f t="shared" si="19"/>
        <v>-2.7624999999999953</v>
      </c>
      <c r="N46" s="47">
        <v>36400</v>
      </c>
      <c r="O46" s="37">
        <v>25484</v>
      </c>
      <c r="P46" s="51">
        <f t="shared" si="22"/>
        <v>0</v>
      </c>
      <c r="Q46" s="49">
        <f t="shared" si="21"/>
        <v>-0.2998199819981997</v>
      </c>
      <c r="R46" s="50">
        <v>0</v>
      </c>
    </row>
    <row r="47" spans="1:18" x14ac:dyDescent="0.25">
      <c r="A47" s="35" t="s">
        <v>118</v>
      </c>
      <c r="B47" s="36" t="s">
        <v>119</v>
      </c>
      <c r="C47" s="37">
        <v>102712520</v>
      </c>
      <c r="D47" s="38">
        <f t="shared" si="14"/>
        <v>5805378.2653775467</v>
      </c>
      <c r="E47" s="39">
        <f t="shared" si="15"/>
        <v>4923679.5301587302</v>
      </c>
      <c r="F47" s="40" t="s">
        <v>47</v>
      </c>
      <c r="G47" s="41">
        <v>1.4503460000000001</v>
      </c>
      <c r="H47" s="42">
        <v>1.51</v>
      </c>
      <c r="I47" s="43">
        <v>1.51</v>
      </c>
      <c r="J47" s="44">
        <f t="shared" si="16"/>
        <v>5.6520648752241172E-2</v>
      </c>
      <c r="K47" s="45">
        <f t="shared" si="17"/>
        <v>4.7936507936507937E-2</v>
      </c>
      <c r="L47" s="46">
        <f t="shared" si="18"/>
        <v>0</v>
      </c>
      <c r="M47" s="46">
        <f t="shared" si="19"/>
        <v>0</v>
      </c>
      <c r="N47" s="47">
        <v>100</v>
      </c>
      <c r="O47" s="37">
        <v>151</v>
      </c>
      <c r="P47" s="51">
        <v>0</v>
      </c>
      <c r="Q47" s="49">
        <f t="shared" si="21"/>
        <v>4.1130874977419074E-2</v>
      </c>
      <c r="R47" s="50"/>
    </row>
    <row r="48" spans="1:18" ht="13.8" thickBot="1" x14ac:dyDescent="0.4">
      <c r="A48" s="57"/>
      <c r="B48" s="58" t="s">
        <v>83</v>
      </c>
      <c r="C48" s="59"/>
      <c r="D48" s="60"/>
      <c r="E48" s="60"/>
      <c r="F48" s="61"/>
      <c r="G48" s="61"/>
      <c r="H48" s="46"/>
      <c r="I48" s="46"/>
      <c r="J48" s="46"/>
      <c r="K48" s="46"/>
      <c r="L48" s="46"/>
      <c r="M48" s="46"/>
      <c r="N48" s="61">
        <f>SUM(N9:N47)</f>
        <v>1677200</v>
      </c>
      <c r="O48" s="61">
        <f>SUM(O9:O47)</f>
        <v>3559239.29</v>
      </c>
      <c r="P48" s="62"/>
      <c r="Q48" s="63"/>
    </row>
    <row r="49" spans="1:20" ht="13.2" x14ac:dyDescent="0.35">
      <c r="A49" s="64"/>
      <c r="B49" s="65" t="s">
        <v>83</v>
      </c>
      <c r="C49" s="66"/>
      <c r="D49" s="66"/>
      <c r="E49" s="66"/>
      <c r="F49" s="67"/>
      <c r="G49" s="67"/>
      <c r="H49" s="68"/>
      <c r="I49" s="68"/>
      <c r="J49" s="68"/>
      <c r="K49" s="68"/>
      <c r="L49" s="68"/>
      <c r="M49" s="68"/>
      <c r="N49" s="67"/>
      <c r="O49" s="67"/>
      <c r="P49" s="67"/>
      <c r="Q49" s="69"/>
    </row>
    <row r="50" spans="1:20" ht="12.6" x14ac:dyDescent="0.3">
      <c r="A50" s="141" t="s">
        <v>120</v>
      </c>
      <c r="B50" s="142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4"/>
    </row>
    <row r="51" spans="1:20" ht="11.4" customHeight="1" x14ac:dyDescent="0.25">
      <c r="A51" s="35" t="s">
        <v>121</v>
      </c>
      <c r="B51" s="36" t="s">
        <v>122</v>
      </c>
      <c r="C51" s="40">
        <v>554920308</v>
      </c>
      <c r="D51" s="38">
        <f t="shared" ref="D51:D65" si="23">C51*J51</f>
        <v>82516649.799600005</v>
      </c>
      <c r="E51" s="39">
        <v>0</v>
      </c>
      <c r="F51" s="40" t="s">
        <v>93</v>
      </c>
      <c r="G51" s="70">
        <v>0.1</v>
      </c>
      <c r="H51" s="42">
        <v>0.15</v>
      </c>
      <c r="I51" s="42">
        <v>0.1487</v>
      </c>
      <c r="J51" s="44">
        <f t="shared" ref="J51:J65" si="24">I51</f>
        <v>0.1487</v>
      </c>
      <c r="K51" s="39">
        <v>0</v>
      </c>
      <c r="L51" s="46">
        <f t="shared" ref="L51:L65" si="25">I51-H51</f>
        <v>-1.2999999999999956E-3</v>
      </c>
      <c r="M51" s="46">
        <f t="shared" ref="M51:M65" si="26">((I51-H51)/H51)*100</f>
        <v>-0.86666666666666381</v>
      </c>
      <c r="N51" s="47">
        <v>1347</v>
      </c>
      <c r="O51" s="37">
        <v>200.33</v>
      </c>
      <c r="P51" s="71">
        <f>(R51)/J51</f>
        <v>0</v>
      </c>
      <c r="Q51" s="49">
        <f t="shared" ref="Q51:Q65" si="27">J51/G51-1</f>
        <v>0.48699999999999988</v>
      </c>
      <c r="T51" s="52"/>
    </row>
    <row r="52" spans="1:20" x14ac:dyDescent="0.25">
      <c r="A52" s="35" t="s">
        <v>123</v>
      </c>
      <c r="B52" s="36" t="s">
        <v>124</v>
      </c>
      <c r="C52" s="40">
        <v>1057685</v>
      </c>
      <c r="D52" s="38">
        <f t="shared" si="23"/>
        <v>46436919.545500003</v>
      </c>
      <c r="E52" s="39">
        <v>0</v>
      </c>
      <c r="F52" s="40" t="s">
        <v>39</v>
      </c>
      <c r="G52" s="70">
        <v>39.9</v>
      </c>
      <c r="H52" s="42">
        <v>49.112900000000003</v>
      </c>
      <c r="I52" s="42">
        <v>43.904299999999999</v>
      </c>
      <c r="J52" s="44">
        <f t="shared" si="24"/>
        <v>43.904299999999999</v>
      </c>
      <c r="K52" s="39">
        <v>0</v>
      </c>
      <c r="L52" s="46">
        <f t="shared" si="25"/>
        <v>-5.2086000000000041</v>
      </c>
      <c r="M52" s="46">
        <f t="shared" si="26"/>
        <v>-10.605360302486726</v>
      </c>
      <c r="N52" s="47">
        <v>6384</v>
      </c>
      <c r="O52" s="37">
        <v>280285</v>
      </c>
      <c r="P52" s="72">
        <f>(R52)/J52</f>
        <v>1.2755014884646835E-2</v>
      </c>
      <c r="Q52" s="49">
        <f t="shared" si="27"/>
        <v>0.10035839598997498</v>
      </c>
      <c r="R52" s="52">
        <v>0.56000000000000005</v>
      </c>
      <c r="T52" s="52"/>
    </row>
    <row r="53" spans="1:20" x14ac:dyDescent="0.25">
      <c r="A53" s="35" t="s">
        <v>125</v>
      </c>
      <c r="B53" s="36" t="s">
        <v>126</v>
      </c>
      <c r="C53" s="40">
        <v>2992163203</v>
      </c>
      <c r="D53" s="38">
        <f t="shared" si="23"/>
        <v>728591739.93050003</v>
      </c>
      <c r="E53" s="39"/>
      <c r="F53" s="40" t="s">
        <v>56</v>
      </c>
      <c r="G53" s="70">
        <v>0.33</v>
      </c>
      <c r="H53" s="42">
        <v>0.23960000000000001</v>
      </c>
      <c r="I53" s="42">
        <v>0.24349999999999999</v>
      </c>
      <c r="J53" s="44">
        <f t="shared" si="24"/>
        <v>0.24349999999999999</v>
      </c>
      <c r="K53" s="39">
        <v>0</v>
      </c>
      <c r="L53" s="46">
        <f t="shared" si="25"/>
        <v>3.8999999999999868E-3</v>
      </c>
      <c r="M53" s="46">
        <f t="shared" si="26"/>
        <v>1.6277128547579245</v>
      </c>
      <c r="N53" s="47">
        <v>71407</v>
      </c>
      <c r="O53" s="37">
        <v>17389.18</v>
      </c>
      <c r="P53" s="71">
        <v>0</v>
      </c>
      <c r="Q53" s="49">
        <f t="shared" si="27"/>
        <v>-0.2621212121212122</v>
      </c>
      <c r="R53" s="52"/>
      <c r="T53" s="52"/>
    </row>
    <row r="54" spans="1:20" x14ac:dyDescent="0.25">
      <c r="A54" s="35" t="s">
        <v>127</v>
      </c>
      <c r="B54" s="36" t="s">
        <v>128</v>
      </c>
      <c r="C54" s="40">
        <v>609740943</v>
      </c>
      <c r="D54" s="38">
        <f t="shared" si="23"/>
        <v>18780021.044399999</v>
      </c>
      <c r="E54" s="39">
        <v>0</v>
      </c>
      <c r="F54" s="40" t="s">
        <v>34</v>
      </c>
      <c r="G54" s="70">
        <v>2.3E-2</v>
      </c>
      <c r="H54" s="42">
        <v>3.4000000000000002E-2</v>
      </c>
      <c r="I54" s="42">
        <v>3.0800000000000001E-2</v>
      </c>
      <c r="J54" s="44">
        <f t="shared" si="24"/>
        <v>3.0800000000000001E-2</v>
      </c>
      <c r="K54" s="39">
        <v>0</v>
      </c>
      <c r="L54" s="46">
        <f t="shared" si="25"/>
        <v>-3.2000000000000015E-3</v>
      </c>
      <c r="M54" s="46">
        <f t="shared" si="26"/>
        <v>-9.4117647058823568</v>
      </c>
      <c r="N54" s="47">
        <v>2900</v>
      </c>
      <c r="O54" s="37">
        <v>89.32</v>
      </c>
      <c r="P54" s="71">
        <f t="shared" ref="P54:P65" si="28">(R54)/J54</f>
        <v>0</v>
      </c>
      <c r="Q54" s="49">
        <f t="shared" si="27"/>
        <v>0.33913043478260874</v>
      </c>
      <c r="T54" s="52"/>
    </row>
    <row r="55" spans="1:20" x14ac:dyDescent="0.25">
      <c r="A55" s="35" t="s">
        <v>129</v>
      </c>
      <c r="B55" s="36" t="s">
        <v>130</v>
      </c>
      <c r="C55" s="40">
        <v>2162695929</v>
      </c>
      <c r="D55" s="38">
        <f t="shared" si="23"/>
        <v>293045298.37950003</v>
      </c>
      <c r="E55" s="39">
        <v>0</v>
      </c>
      <c r="F55" s="40" t="s">
        <v>47</v>
      </c>
      <c r="G55" s="70">
        <v>9.0200000000000002E-2</v>
      </c>
      <c r="H55" s="42">
        <v>0.1356</v>
      </c>
      <c r="I55" s="42">
        <v>0.13550000000000001</v>
      </c>
      <c r="J55" s="44">
        <f t="shared" si="24"/>
        <v>0.13550000000000001</v>
      </c>
      <c r="K55" s="39">
        <v>0</v>
      </c>
      <c r="L55" s="46">
        <f t="shared" si="25"/>
        <v>-9.9999999999988987E-5</v>
      </c>
      <c r="M55" s="73">
        <f t="shared" si="26"/>
        <v>-7.3746312684357662E-2</v>
      </c>
      <c r="N55" s="47">
        <v>58623</v>
      </c>
      <c r="O55" s="37">
        <v>7941.91</v>
      </c>
      <c r="P55" s="71">
        <f t="shared" si="28"/>
        <v>0</v>
      </c>
      <c r="Q55" s="49">
        <f t="shared" si="27"/>
        <v>0.50221729490022171</v>
      </c>
      <c r="R55" s="52"/>
      <c r="T55" s="52"/>
    </row>
    <row r="56" spans="1:20" x14ac:dyDescent="0.25">
      <c r="A56" s="35" t="s">
        <v>131</v>
      </c>
      <c r="B56" s="36" t="s">
        <v>132</v>
      </c>
      <c r="C56" s="40">
        <v>575926450</v>
      </c>
      <c r="D56" s="38">
        <f t="shared" si="23"/>
        <v>835323723.07999992</v>
      </c>
      <c r="E56" s="39">
        <v>0</v>
      </c>
      <c r="F56" s="40" t="s">
        <v>34</v>
      </c>
      <c r="G56" s="70">
        <v>0.95750000000000002</v>
      </c>
      <c r="H56" s="42">
        <v>1.4626999999999999</v>
      </c>
      <c r="I56" s="42">
        <v>1.4503999999999999</v>
      </c>
      <c r="J56" s="44">
        <f t="shared" si="24"/>
        <v>1.4503999999999999</v>
      </c>
      <c r="K56" s="39">
        <v>0</v>
      </c>
      <c r="L56" s="46">
        <f t="shared" si="25"/>
        <v>-1.2299999999999978E-2</v>
      </c>
      <c r="M56" s="46">
        <f t="shared" si="26"/>
        <v>-0.84091064469815957</v>
      </c>
      <c r="N56" s="47">
        <v>18760</v>
      </c>
      <c r="O56" s="37">
        <v>27209.96</v>
      </c>
      <c r="P56" s="72">
        <f t="shared" si="28"/>
        <v>3.2404853833425264E-2</v>
      </c>
      <c r="Q56" s="49">
        <f t="shared" si="27"/>
        <v>0.51477806788511726</v>
      </c>
      <c r="R56" s="52">
        <v>4.7E-2</v>
      </c>
      <c r="T56" s="52"/>
    </row>
    <row r="57" spans="1:20" x14ac:dyDescent="0.25">
      <c r="A57" s="35" t="s">
        <v>133</v>
      </c>
      <c r="B57" s="36" t="s">
        <v>134</v>
      </c>
      <c r="C57" s="40">
        <v>164208222</v>
      </c>
      <c r="D57" s="38">
        <f t="shared" si="23"/>
        <v>21347068.859999999</v>
      </c>
      <c r="E57" s="39">
        <v>0</v>
      </c>
      <c r="F57" s="40" t="s">
        <v>34</v>
      </c>
      <c r="G57" s="70">
        <v>0.1595</v>
      </c>
      <c r="H57" s="42">
        <v>0.13</v>
      </c>
      <c r="I57" s="42">
        <v>0.13</v>
      </c>
      <c r="J57" s="44">
        <f t="shared" si="24"/>
        <v>0.13</v>
      </c>
      <c r="K57" s="39">
        <v>0</v>
      </c>
      <c r="L57" s="46">
        <f t="shared" si="25"/>
        <v>0</v>
      </c>
      <c r="M57" s="46">
        <f t="shared" si="26"/>
        <v>0</v>
      </c>
      <c r="N57" s="47">
        <v>14639</v>
      </c>
      <c r="O57" s="37">
        <v>1903.07</v>
      </c>
      <c r="P57" s="71">
        <f t="shared" si="28"/>
        <v>0</v>
      </c>
      <c r="Q57" s="49">
        <f t="shared" si="27"/>
        <v>-0.1849529780564263</v>
      </c>
      <c r="T57" s="52"/>
    </row>
    <row r="58" spans="1:20" x14ac:dyDescent="0.25">
      <c r="A58" s="35" t="s">
        <v>135</v>
      </c>
      <c r="B58" s="36" t="s">
        <v>136</v>
      </c>
      <c r="C58" s="40">
        <v>953802800</v>
      </c>
      <c r="D58" s="38">
        <f t="shared" si="23"/>
        <v>18885295.440000001</v>
      </c>
      <c r="E58" s="39">
        <v>0</v>
      </c>
      <c r="F58" s="40" t="s">
        <v>93</v>
      </c>
      <c r="G58" s="70">
        <v>1.6799999999999999E-2</v>
      </c>
      <c r="H58" s="42">
        <v>1.7999999999999999E-2</v>
      </c>
      <c r="I58" s="42">
        <v>1.9800000000000002E-2</v>
      </c>
      <c r="J58" s="44">
        <f t="shared" si="24"/>
        <v>1.9800000000000002E-2</v>
      </c>
      <c r="K58" s="39">
        <v>0</v>
      </c>
      <c r="L58" s="46">
        <f t="shared" si="25"/>
        <v>1.800000000000003E-3</v>
      </c>
      <c r="M58" s="73">
        <f t="shared" si="26"/>
        <v>10.000000000000018</v>
      </c>
      <c r="N58" s="47">
        <v>16949</v>
      </c>
      <c r="O58" s="37">
        <v>336.35</v>
      </c>
      <c r="P58" s="71">
        <f t="shared" si="28"/>
        <v>0</v>
      </c>
      <c r="Q58" s="49">
        <f t="shared" si="27"/>
        <v>0.17857142857142883</v>
      </c>
      <c r="T58" s="52"/>
    </row>
    <row r="59" spans="1:20" x14ac:dyDescent="0.25">
      <c r="A59" s="35" t="s">
        <v>137</v>
      </c>
      <c r="B59" s="36" t="s">
        <v>138</v>
      </c>
      <c r="C59" s="40">
        <v>161273</v>
      </c>
      <c r="D59" s="38">
        <f t="shared" si="23"/>
        <v>2015912.5</v>
      </c>
      <c r="E59" s="39">
        <v>0</v>
      </c>
      <c r="F59" s="40" t="s">
        <v>139</v>
      </c>
      <c r="G59" s="70">
        <v>19.5</v>
      </c>
      <c r="H59" s="42">
        <v>12.505800000000001</v>
      </c>
      <c r="I59" s="42">
        <v>12.5</v>
      </c>
      <c r="J59" s="44">
        <f t="shared" si="24"/>
        <v>12.5</v>
      </c>
      <c r="K59" s="39">
        <v>0</v>
      </c>
      <c r="L59" s="46">
        <f t="shared" si="25"/>
        <v>-5.8000000000006935E-3</v>
      </c>
      <c r="M59" s="46">
        <f t="shared" si="26"/>
        <v>-4.6378480385106856E-2</v>
      </c>
      <c r="N59" s="47">
        <v>13</v>
      </c>
      <c r="O59" s="37">
        <v>162.5</v>
      </c>
      <c r="P59" s="71">
        <f t="shared" si="28"/>
        <v>0</v>
      </c>
      <c r="Q59" s="49">
        <f t="shared" si="27"/>
        <v>-0.35897435897435892</v>
      </c>
      <c r="T59" s="52"/>
    </row>
    <row r="60" spans="1:20" x14ac:dyDescent="0.25">
      <c r="A60" s="35" t="s">
        <v>140</v>
      </c>
      <c r="B60" s="36" t="s">
        <v>141</v>
      </c>
      <c r="C60" s="40">
        <v>805090451</v>
      </c>
      <c r="D60" s="38">
        <f t="shared" si="23"/>
        <v>888417312.67849994</v>
      </c>
      <c r="E60" s="39">
        <v>0</v>
      </c>
      <c r="F60" s="40" t="s">
        <v>93</v>
      </c>
      <c r="G60" s="70">
        <v>0.59499999999999997</v>
      </c>
      <c r="H60" s="42">
        <v>1.2249000000000001</v>
      </c>
      <c r="I60" s="42">
        <v>1.1034999999999999</v>
      </c>
      <c r="J60" s="44">
        <f t="shared" si="24"/>
        <v>1.1034999999999999</v>
      </c>
      <c r="K60" s="39">
        <v>0</v>
      </c>
      <c r="L60" s="46">
        <f t="shared" si="25"/>
        <v>-0.12140000000000017</v>
      </c>
      <c r="M60" s="46">
        <f t="shared" si="26"/>
        <v>-9.9110131439301306</v>
      </c>
      <c r="N60" s="47">
        <v>65332</v>
      </c>
      <c r="O60" s="37">
        <v>72091.61</v>
      </c>
      <c r="P60" s="71">
        <f t="shared" si="28"/>
        <v>0</v>
      </c>
      <c r="Q60" s="49">
        <f t="shared" si="27"/>
        <v>0.85462184873949565</v>
      </c>
      <c r="R60" s="52"/>
      <c r="T60" s="52"/>
    </row>
    <row r="61" spans="1:20" x14ac:dyDescent="0.25">
      <c r="A61" s="35" t="s">
        <v>142</v>
      </c>
      <c r="B61" s="36" t="s">
        <v>143</v>
      </c>
      <c r="C61" s="40">
        <v>260714518</v>
      </c>
      <c r="D61" s="38">
        <f t="shared" si="23"/>
        <v>97481158.280200005</v>
      </c>
      <c r="E61" s="39">
        <v>0</v>
      </c>
      <c r="F61" s="40" t="s">
        <v>34</v>
      </c>
      <c r="G61" s="70">
        <v>0.22600000000000001</v>
      </c>
      <c r="H61" s="42">
        <v>0.36770000000000003</v>
      </c>
      <c r="I61" s="42">
        <v>0.37390000000000001</v>
      </c>
      <c r="J61" s="44">
        <f t="shared" si="24"/>
        <v>0.37390000000000001</v>
      </c>
      <c r="K61" s="39">
        <v>0</v>
      </c>
      <c r="L61" s="46">
        <f t="shared" si="25"/>
        <v>6.1999999999999833E-3</v>
      </c>
      <c r="M61" s="46">
        <f t="shared" si="26"/>
        <v>1.686157193364151</v>
      </c>
      <c r="N61" s="47">
        <v>3785</v>
      </c>
      <c r="O61" s="37">
        <v>1415.09</v>
      </c>
      <c r="P61" s="71">
        <f t="shared" si="28"/>
        <v>0</v>
      </c>
      <c r="Q61" s="49">
        <f t="shared" si="27"/>
        <v>0.65442477876106198</v>
      </c>
      <c r="T61" s="52"/>
    </row>
    <row r="62" spans="1:20" x14ac:dyDescent="0.25">
      <c r="A62" s="35" t="s">
        <v>144</v>
      </c>
      <c r="B62" s="36" t="s">
        <v>145</v>
      </c>
      <c r="C62" s="40">
        <v>562184788</v>
      </c>
      <c r="D62" s="38">
        <f t="shared" si="23"/>
        <v>391617923.32080001</v>
      </c>
      <c r="E62" s="39">
        <v>0</v>
      </c>
      <c r="F62" s="40" t="s">
        <v>34</v>
      </c>
      <c r="G62" s="70">
        <v>0.49440000000000001</v>
      </c>
      <c r="H62" s="42">
        <v>0.68410000000000004</v>
      </c>
      <c r="I62" s="42">
        <v>0.6966</v>
      </c>
      <c r="J62" s="44">
        <f t="shared" si="24"/>
        <v>0.6966</v>
      </c>
      <c r="K62" s="39">
        <v>0</v>
      </c>
      <c r="L62" s="46">
        <f t="shared" si="25"/>
        <v>1.2499999999999956E-2</v>
      </c>
      <c r="M62" s="46">
        <f t="shared" si="26"/>
        <v>1.8272182429469308</v>
      </c>
      <c r="N62" s="47">
        <v>8805</v>
      </c>
      <c r="O62" s="37">
        <v>6133.42</v>
      </c>
      <c r="P62" s="71">
        <f t="shared" si="28"/>
        <v>0</v>
      </c>
      <c r="Q62" s="49">
        <f t="shared" si="27"/>
        <v>0.40898058252427183</v>
      </c>
      <c r="R62" s="52"/>
      <c r="T62" s="52"/>
    </row>
    <row r="63" spans="1:20" x14ac:dyDescent="0.25">
      <c r="A63" s="35" t="s">
        <v>102</v>
      </c>
      <c r="B63" s="36" t="s">
        <v>146</v>
      </c>
      <c r="C63" s="40">
        <v>364526035</v>
      </c>
      <c r="D63" s="38">
        <f t="shared" si="23"/>
        <v>91568939.991999999</v>
      </c>
      <c r="E63" s="39">
        <v>0</v>
      </c>
      <c r="F63" s="40" t="s">
        <v>34</v>
      </c>
      <c r="G63" s="70">
        <v>0.25950000000000001</v>
      </c>
      <c r="H63" s="42">
        <v>0.28120000000000001</v>
      </c>
      <c r="I63" s="42">
        <v>0.25119999999999998</v>
      </c>
      <c r="J63" s="44">
        <f t="shared" si="24"/>
        <v>0.25119999999999998</v>
      </c>
      <c r="K63" s="39">
        <v>0</v>
      </c>
      <c r="L63" s="46">
        <f t="shared" si="25"/>
        <v>-3.0000000000000027E-2</v>
      </c>
      <c r="M63" s="46">
        <f t="shared" si="26"/>
        <v>-10.668563300142257</v>
      </c>
      <c r="N63" s="47">
        <v>102779</v>
      </c>
      <c r="O63" s="37">
        <v>25816.43</v>
      </c>
      <c r="P63" s="71">
        <f t="shared" si="28"/>
        <v>0</v>
      </c>
      <c r="Q63" s="49">
        <f t="shared" si="27"/>
        <v>-3.1984585741811289E-2</v>
      </c>
      <c r="R63" s="52"/>
      <c r="T63" s="52"/>
    </row>
    <row r="64" spans="1:20" x14ac:dyDescent="0.25">
      <c r="A64" s="35" t="s">
        <v>147</v>
      </c>
      <c r="B64" s="36" t="s">
        <v>148</v>
      </c>
      <c r="C64" s="40">
        <v>30000000</v>
      </c>
      <c r="D64" s="38">
        <f t="shared" si="23"/>
        <v>300000000</v>
      </c>
      <c r="E64" s="39">
        <v>0</v>
      </c>
      <c r="F64" s="40" t="s">
        <v>66</v>
      </c>
      <c r="G64" s="70">
        <v>10</v>
      </c>
      <c r="H64" s="42">
        <v>10</v>
      </c>
      <c r="I64" s="42">
        <v>10</v>
      </c>
      <c r="J64" s="44">
        <f t="shared" si="24"/>
        <v>10</v>
      </c>
      <c r="K64" s="39">
        <v>0</v>
      </c>
      <c r="L64" s="46">
        <f t="shared" si="25"/>
        <v>0</v>
      </c>
      <c r="M64" s="46">
        <f t="shared" si="26"/>
        <v>0</v>
      </c>
      <c r="N64" s="47">
        <v>1</v>
      </c>
      <c r="O64" s="37">
        <v>10</v>
      </c>
      <c r="P64" s="71">
        <f t="shared" si="28"/>
        <v>0</v>
      </c>
      <c r="Q64" s="49">
        <f t="shared" si="27"/>
        <v>0</v>
      </c>
      <c r="T64" s="52"/>
    </row>
    <row r="65" spans="1:20" x14ac:dyDescent="0.25">
      <c r="A65" s="35" t="s">
        <v>149</v>
      </c>
      <c r="B65" s="36" t="s">
        <v>150</v>
      </c>
      <c r="C65" s="40">
        <v>344580486</v>
      </c>
      <c r="D65" s="38">
        <f t="shared" si="23"/>
        <v>51687072.899999999</v>
      </c>
      <c r="E65" s="39">
        <v>0</v>
      </c>
      <c r="F65" s="40" t="s">
        <v>44</v>
      </c>
      <c r="G65" s="70">
        <v>4.2999999999999997E-2</v>
      </c>
      <c r="H65" s="42">
        <v>0.1522</v>
      </c>
      <c r="I65" s="42">
        <v>0.15</v>
      </c>
      <c r="J65" s="44">
        <f t="shared" si="24"/>
        <v>0.15</v>
      </c>
      <c r="K65" s="39">
        <v>0</v>
      </c>
      <c r="L65" s="46">
        <f t="shared" si="25"/>
        <v>-2.2000000000000075E-3</v>
      </c>
      <c r="M65" s="46">
        <f t="shared" si="26"/>
        <v>-1.4454664914586119</v>
      </c>
      <c r="N65" s="47">
        <v>130</v>
      </c>
      <c r="O65" s="37">
        <v>19.5</v>
      </c>
      <c r="P65" s="71">
        <f t="shared" si="28"/>
        <v>0</v>
      </c>
      <c r="Q65" s="49">
        <f t="shared" si="27"/>
        <v>2.4883720930232558</v>
      </c>
      <c r="T65" s="52"/>
    </row>
    <row r="66" spans="1:20" ht="13.2" x14ac:dyDescent="0.35">
      <c r="A66" s="74"/>
      <c r="B66" s="36" t="s">
        <v>83</v>
      </c>
      <c r="C66" s="40"/>
      <c r="D66" s="75"/>
      <c r="E66" s="75"/>
      <c r="F66" s="40"/>
      <c r="G66" s="40"/>
      <c r="H66" s="42"/>
      <c r="I66" s="42"/>
      <c r="J66" s="42"/>
      <c r="K66" s="42"/>
      <c r="L66" s="46"/>
      <c r="M66" s="76"/>
      <c r="N66" s="61">
        <f>SUM(N51:N65)</f>
        <v>371854</v>
      </c>
      <c r="O66" s="62">
        <f>SUM(O51:O65)</f>
        <v>441003.67</v>
      </c>
      <c r="P66" s="77"/>
      <c r="Q66" s="63"/>
    </row>
    <row r="67" spans="1:20" ht="12.6" hidden="1" x14ac:dyDescent="0.3">
      <c r="A67" s="129" t="s">
        <v>151</v>
      </c>
      <c r="B67" s="130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2"/>
    </row>
    <row r="68" spans="1:20" ht="12.6" hidden="1" thickBot="1" x14ac:dyDescent="0.3">
      <c r="A68" s="78" t="s">
        <v>152</v>
      </c>
      <c r="B68" s="79" t="s">
        <v>153</v>
      </c>
      <c r="C68" s="80">
        <v>20000</v>
      </c>
      <c r="D68" s="81">
        <f>C68*J68</f>
        <v>0</v>
      </c>
      <c r="E68" s="81"/>
      <c r="F68" s="80" t="s">
        <v>154</v>
      </c>
      <c r="G68" s="80"/>
      <c r="H68" s="82">
        <v>100</v>
      </c>
      <c r="I68" s="82"/>
      <c r="J68" s="82"/>
      <c r="K68" s="82"/>
      <c r="L68" s="83">
        <f>I68-H68</f>
        <v>-100</v>
      </c>
      <c r="M68" s="84">
        <f>((I68-H68)/H68)*100</f>
        <v>-100</v>
      </c>
      <c r="N68" s="85" t="s">
        <v>57</v>
      </c>
      <c r="O68" s="85" t="s">
        <v>57</v>
      </c>
      <c r="P68" s="85"/>
      <c r="Q68" s="86">
        <v>100</v>
      </c>
    </row>
    <row r="69" spans="1:20" ht="12.6" thickBot="1" x14ac:dyDescent="0.3">
      <c r="A69" s="35"/>
      <c r="B69" s="36" t="s">
        <v>83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6"/>
      <c r="N69" s="87"/>
      <c r="O69" s="87"/>
      <c r="P69" s="87"/>
      <c r="Q69" s="63"/>
    </row>
    <row r="70" spans="1:20" ht="12.6" x14ac:dyDescent="0.3">
      <c r="A70" s="129" t="s">
        <v>155</v>
      </c>
      <c r="B70" s="130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2"/>
    </row>
    <row r="71" spans="1:20" x14ac:dyDescent="0.25">
      <c r="A71" s="35" t="s">
        <v>156</v>
      </c>
      <c r="B71" s="88" t="s">
        <v>157</v>
      </c>
      <c r="C71" s="89">
        <v>139300587</v>
      </c>
      <c r="D71" s="38">
        <f>C71*J71</f>
        <v>45676662.477300003</v>
      </c>
      <c r="E71" s="39">
        <f>C71*K71</f>
        <v>45676662.477300003</v>
      </c>
      <c r="F71" s="89" t="s">
        <v>158</v>
      </c>
      <c r="G71" s="89">
        <v>0.24</v>
      </c>
      <c r="H71" s="90">
        <v>0.33019999999999999</v>
      </c>
      <c r="I71" s="90">
        <v>0.32790000000000002</v>
      </c>
      <c r="J71" s="91">
        <f>I71</f>
        <v>0.32790000000000002</v>
      </c>
      <c r="K71" s="91">
        <f>J71</f>
        <v>0.32790000000000002</v>
      </c>
      <c r="L71" s="46">
        <f>I71-H71</f>
        <v>-2.2999999999999687E-3</v>
      </c>
      <c r="M71" s="46">
        <f>((I71-H71)/H71)*100</f>
        <v>-0.69654754694123833</v>
      </c>
      <c r="N71" s="92">
        <v>442</v>
      </c>
      <c r="O71" s="93">
        <v>144.94</v>
      </c>
      <c r="P71" s="71">
        <f>(R71)/J71</f>
        <v>0</v>
      </c>
      <c r="Q71" s="49">
        <f>J71/G71-1</f>
        <v>0.36625000000000019</v>
      </c>
      <c r="T71" s="52"/>
    </row>
    <row r="72" spans="1:20" x14ac:dyDescent="0.25">
      <c r="A72" s="35" t="s">
        <v>159</v>
      </c>
      <c r="B72" s="88" t="s">
        <v>160</v>
      </c>
      <c r="C72" s="89">
        <v>471351750</v>
      </c>
      <c r="D72" s="38">
        <f>C72*J72</f>
        <v>70655627.325000003</v>
      </c>
      <c r="E72" s="39">
        <f>C72*K72</f>
        <v>70655627.325000003</v>
      </c>
      <c r="F72" s="89" t="s">
        <v>158</v>
      </c>
      <c r="G72" s="89">
        <v>0.1</v>
      </c>
      <c r="H72" s="90">
        <v>0.14990000000000001</v>
      </c>
      <c r="I72" s="90">
        <v>0.14990000000000001</v>
      </c>
      <c r="J72" s="91">
        <f>I72</f>
        <v>0.14990000000000001</v>
      </c>
      <c r="K72" s="91">
        <f>J72</f>
        <v>0.14990000000000001</v>
      </c>
      <c r="L72" s="46">
        <f>I72-H72</f>
        <v>0</v>
      </c>
      <c r="M72" s="46">
        <f>((I72-H72)/H72)*100</f>
        <v>0</v>
      </c>
      <c r="N72" s="47">
        <v>8086</v>
      </c>
      <c r="O72" s="93">
        <v>1212.03</v>
      </c>
      <c r="P72" s="94">
        <f>(R72)/J72</f>
        <v>2.5296864576384255E-2</v>
      </c>
      <c r="Q72" s="49">
        <f>J72/G72-1</f>
        <v>0.49899999999999989</v>
      </c>
      <c r="R72" s="5">
        <v>3.7919999999999998E-3</v>
      </c>
      <c r="T72" s="52"/>
    </row>
    <row r="73" spans="1:20" ht="13.8" thickBot="1" x14ac:dyDescent="0.4">
      <c r="A73" s="35"/>
      <c r="B73" s="36" t="s">
        <v>83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6"/>
      <c r="N73" s="61">
        <f>SUM(N71:N72)</f>
        <v>8528</v>
      </c>
      <c r="O73" s="62">
        <f>SUM(O71:O72)</f>
        <v>1356.97</v>
      </c>
      <c r="P73" s="87"/>
      <c r="Q73" s="63"/>
    </row>
    <row r="74" spans="1:20" ht="12.6" x14ac:dyDescent="0.3">
      <c r="A74" s="129" t="s">
        <v>161</v>
      </c>
      <c r="B74" s="130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2"/>
    </row>
    <row r="75" spans="1:20" x14ac:dyDescent="0.25">
      <c r="A75" s="35" t="s">
        <v>162</v>
      </c>
      <c r="B75" s="88" t="s">
        <v>163</v>
      </c>
      <c r="C75" s="89">
        <v>20819695</v>
      </c>
      <c r="D75" s="38">
        <f>C75*J75</f>
        <v>2500445.3695</v>
      </c>
      <c r="E75" s="39">
        <f>C75*K75</f>
        <v>2500445.3695</v>
      </c>
      <c r="F75" s="89" t="s">
        <v>139</v>
      </c>
      <c r="G75" s="89">
        <v>0.1394</v>
      </c>
      <c r="H75" s="90">
        <v>0.13</v>
      </c>
      <c r="I75" s="90">
        <v>0.1201</v>
      </c>
      <c r="J75" s="91">
        <f>I75</f>
        <v>0.1201</v>
      </c>
      <c r="K75" s="91">
        <f>J75</f>
        <v>0.1201</v>
      </c>
      <c r="L75" s="46">
        <f>I75-H75</f>
        <v>-9.900000000000006E-3</v>
      </c>
      <c r="M75" s="46">
        <f>((I75-H75)/H75)*100</f>
        <v>-7.6153846153846194</v>
      </c>
      <c r="N75" s="92">
        <v>27948</v>
      </c>
      <c r="O75" s="93">
        <v>3356.85</v>
      </c>
      <c r="P75" s="71">
        <f>(R75)/J75</f>
        <v>0</v>
      </c>
      <c r="Q75" s="49">
        <f>J75/G75-1</f>
        <v>-0.13845050215208032</v>
      </c>
    </row>
    <row r="76" spans="1:20" ht="13.2" x14ac:dyDescent="0.35">
      <c r="A76" s="35"/>
      <c r="B76" s="36" t="s">
        <v>83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6"/>
      <c r="N76" s="61"/>
      <c r="O76" s="62"/>
      <c r="P76" s="87"/>
      <c r="Q76" s="63"/>
    </row>
    <row r="77" spans="1:20" ht="12.6" x14ac:dyDescent="0.3">
      <c r="A77" s="141" t="s">
        <v>164</v>
      </c>
      <c r="B77" s="142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4"/>
    </row>
    <row r="78" spans="1:20" x14ac:dyDescent="0.25">
      <c r="A78" s="35" t="s">
        <v>165</v>
      </c>
      <c r="B78" s="36" t="s">
        <v>166</v>
      </c>
      <c r="C78" s="40">
        <v>31703227</v>
      </c>
      <c r="D78" s="38">
        <f>C78*J78</f>
        <v>100867.80887037308</v>
      </c>
      <c r="E78" s="39">
        <f>C78*K78</f>
        <v>85548.390317460318</v>
      </c>
      <c r="F78" s="40" t="s">
        <v>139</v>
      </c>
      <c r="G78" s="70">
        <v>0.105</v>
      </c>
      <c r="H78" s="42">
        <v>8.5000000000000006E-2</v>
      </c>
      <c r="I78" s="42">
        <v>8.5000000000000006E-2</v>
      </c>
      <c r="J78" s="44">
        <f>I78/$J$5</f>
        <v>3.1816259231394039E-3</v>
      </c>
      <c r="K78" s="45">
        <f>I78/$K$4</f>
        <v>2.6984126984126986E-3</v>
      </c>
      <c r="L78" s="46">
        <f>I78-H78</f>
        <v>0</v>
      </c>
      <c r="M78" s="95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-0.19047619047619035</v>
      </c>
    </row>
    <row r="79" spans="1:20" x14ac:dyDescent="0.25">
      <c r="A79" s="35" t="s">
        <v>167</v>
      </c>
      <c r="B79" s="36" t="s">
        <v>168</v>
      </c>
      <c r="C79" s="40">
        <v>136162052</v>
      </c>
      <c r="D79" s="38">
        <f>C79*J79</f>
        <v>433216.71439105552</v>
      </c>
      <c r="E79" s="39">
        <f>C79*K79</f>
        <v>367421.41015873017</v>
      </c>
      <c r="F79" s="40" t="s">
        <v>139</v>
      </c>
      <c r="G79" s="70">
        <v>4.2500000000000003E-2</v>
      </c>
      <c r="H79" s="42">
        <v>0.08</v>
      </c>
      <c r="I79" s="42">
        <v>8.5000000000000006E-2</v>
      </c>
      <c r="J79" s="44">
        <f>I79/$J$5</f>
        <v>3.1816259231394039E-3</v>
      </c>
      <c r="K79" s="45">
        <f>I79/$K$4</f>
        <v>2.6984126984126986E-3</v>
      </c>
      <c r="L79" s="46">
        <f>I79-H79</f>
        <v>5.0000000000000044E-3</v>
      </c>
      <c r="M79" s="95">
        <f>((I79-H79)/H79)*100</f>
        <v>6.2500000000000053</v>
      </c>
      <c r="N79" s="37">
        <v>1000</v>
      </c>
      <c r="O79" s="37">
        <v>85</v>
      </c>
      <c r="P79" s="40">
        <v>0</v>
      </c>
      <c r="Q79" s="49">
        <f>I79/G79-1</f>
        <v>1</v>
      </c>
    </row>
    <row r="80" spans="1:20" x14ac:dyDescent="0.25">
      <c r="A80" s="35" t="s">
        <v>169</v>
      </c>
      <c r="B80" s="36" t="s">
        <v>170</v>
      </c>
      <c r="C80" s="40">
        <v>6677853</v>
      </c>
      <c r="D80" s="38">
        <f>C80*J80</f>
        <v>25745.674261394899</v>
      </c>
      <c r="E80" s="39">
        <f>C80*K80</f>
        <v>21835.519333333337</v>
      </c>
      <c r="F80" s="40" t="s">
        <v>139</v>
      </c>
      <c r="G80" s="70">
        <v>6.0499999999999998E-2</v>
      </c>
      <c r="H80" s="42">
        <v>0.10300000000000001</v>
      </c>
      <c r="I80" s="42">
        <v>0.10300000000000001</v>
      </c>
      <c r="J80" s="44">
        <f>I80/$J$5</f>
        <v>3.8553820009806896E-3</v>
      </c>
      <c r="K80" s="45">
        <f>I80/$K$4</f>
        <v>3.2698412698412703E-3</v>
      </c>
      <c r="L80" s="46">
        <f>I80-H80</f>
        <v>0</v>
      </c>
      <c r="M80" s="95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0.70247933884297531</v>
      </c>
    </row>
    <row r="81" spans="1:243" x14ac:dyDescent="0.25">
      <c r="A81" s="35" t="s">
        <v>171</v>
      </c>
      <c r="B81" s="36" t="s">
        <v>172</v>
      </c>
      <c r="C81" s="37">
        <v>494417400</v>
      </c>
      <c r="D81" s="38">
        <f>C81*J81</f>
        <v>28685051.598486293</v>
      </c>
      <c r="E81" s="39">
        <f>C81*K81</f>
        <v>24328475.238095239</v>
      </c>
      <c r="F81" s="40" t="s">
        <v>139</v>
      </c>
      <c r="G81" s="70">
        <v>1.85</v>
      </c>
      <c r="H81" s="42">
        <v>1.55</v>
      </c>
      <c r="I81" s="42">
        <v>1.55</v>
      </c>
      <c r="J81" s="44">
        <f>I81/$J$5</f>
        <v>5.8017884480777361E-2</v>
      </c>
      <c r="K81" s="45">
        <f>I81/$K$4</f>
        <v>4.9206349206349205E-2</v>
      </c>
      <c r="L81" s="46">
        <f>I81-H81</f>
        <v>0</v>
      </c>
      <c r="M81" s="95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-0.16216216216216217</v>
      </c>
    </row>
    <row r="82" spans="1:243" ht="13.8" thickBot="1" x14ac:dyDescent="0.4">
      <c r="A82" s="35"/>
      <c r="B82" s="36" t="s">
        <v>83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1000</v>
      </c>
      <c r="O82" s="62">
        <f>SUM(O78:O81)</f>
        <v>85</v>
      </c>
      <c r="P82" s="77"/>
      <c r="Q82" s="63"/>
      <c r="DU82" s="96"/>
      <c r="DV82" s="96"/>
      <c r="DW82" s="97"/>
      <c r="DX82" s="98"/>
      <c r="DY82" s="98"/>
      <c r="DZ82" s="99"/>
      <c r="EA82" s="99"/>
      <c r="EB82" s="100"/>
      <c r="EC82" s="100"/>
      <c r="ED82" s="101"/>
      <c r="EE82" s="101"/>
      <c r="EF82" s="99"/>
      <c r="EG82" s="102"/>
      <c r="EH82" s="103"/>
      <c r="EI82" s="97"/>
      <c r="EJ82" s="96"/>
      <c r="EK82" s="96"/>
      <c r="EL82" s="97"/>
      <c r="EM82" s="98"/>
      <c r="EN82" s="98"/>
      <c r="EO82" s="99"/>
      <c r="EP82" s="99"/>
      <c r="EQ82" s="100"/>
      <c r="ER82" s="100"/>
      <c r="ES82" s="101"/>
      <c r="ET82" s="101"/>
      <c r="EU82" s="99"/>
      <c r="EV82" s="102"/>
      <c r="EW82" s="103"/>
      <c r="EX82" s="97"/>
      <c r="EY82" s="96"/>
      <c r="EZ82" s="96"/>
      <c r="FA82" s="97"/>
      <c r="FB82" s="98"/>
      <c r="FC82" s="98"/>
      <c r="FD82" s="99"/>
      <c r="FE82" s="99"/>
      <c r="FF82" s="100"/>
      <c r="FG82" s="100"/>
      <c r="FH82" s="101"/>
      <c r="FI82" s="101"/>
      <c r="FJ82" s="99"/>
      <c r="FK82" s="102"/>
      <c r="FL82" s="103"/>
      <c r="FM82" s="97"/>
      <c r="FN82" s="96"/>
      <c r="FO82" s="96"/>
      <c r="FP82" s="97"/>
      <c r="FQ82" s="98"/>
      <c r="FR82" s="98"/>
      <c r="FS82" s="99"/>
      <c r="FT82" s="99"/>
      <c r="FU82" s="100"/>
      <c r="FV82" s="100"/>
      <c r="FW82" s="101"/>
      <c r="FX82" s="101"/>
      <c r="FY82" s="99"/>
      <c r="FZ82" s="102"/>
      <c r="GA82" s="103"/>
      <c r="GB82" s="97"/>
      <c r="GC82" s="96"/>
      <c r="GD82" s="96"/>
      <c r="GE82" s="97"/>
      <c r="GF82" s="98"/>
      <c r="GG82" s="98"/>
      <c r="GH82" s="99"/>
      <c r="GI82" s="99"/>
      <c r="GJ82" s="100"/>
      <c r="GK82" s="100"/>
      <c r="GL82" s="101"/>
      <c r="GM82" s="101"/>
      <c r="GN82" s="99"/>
      <c r="GO82" s="102"/>
      <c r="GP82" s="103"/>
      <c r="GQ82" s="97"/>
      <c r="GR82" s="96"/>
      <c r="GS82" s="96"/>
      <c r="GT82" s="97"/>
      <c r="GU82" s="98"/>
      <c r="GV82" s="98"/>
      <c r="GW82" s="99"/>
      <c r="GX82" s="99"/>
      <c r="GY82" s="100"/>
      <c r="GZ82" s="100"/>
      <c r="HA82" s="101"/>
      <c r="HB82" s="101"/>
      <c r="HC82" s="99"/>
      <c r="HD82" s="102"/>
      <c r="HE82" s="103"/>
      <c r="HF82" s="97"/>
      <c r="HG82" s="96"/>
      <c r="HH82" s="96"/>
      <c r="HI82" s="97"/>
      <c r="HJ82" s="98"/>
      <c r="HK82" s="98"/>
      <c r="HL82" s="99"/>
      <c r="HM82" s="99"/>
      <c r="HN82" s="100"/>
      <c r="HO82" s="100"/>
      <c r="HP82" s="101"/>
      <c r="HQ82" s="101"/>
      <c r="HR82" s="99"/>
      <c r="HS82" s="102"/>
      <c r="HT82" s="103"/>
      <c r="HU82" s="97"/>
      <c r="HV82" s="96"/>
      <c r="HW82" s="96"/>
      <c r="HX82" s="97"/>
      <c r="HY82" s="98"/>
      <c r="HZ82" s="98"/>
      <c r="IA82" s="99"/>
      <c r="IB82" s="99"/>
      <c r="IC82" s="100"/>
      <c r="ID82" s="100"/>
      <c r="IE82" s="101"/>
      <c r="IF82" s="101"/>
      <c r="IG82" s="99"/>
      <c r="IH82" s="102"/>
      <c r="II82" s="103"/>
    </row>
    <row r="83" spans="1:243" ht="13.2" thickTop="1" x14ac:dyDescent="0.3">
      <c r="A83" s="129" t="s">
        <v>173</v>
      </c>
      <c r="B83" s="130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2"/>
    </row>
    <row r="84" spans="1:243" x14ac:dyDescent="0.25">
      <c r="A84" s="35" t="s">
        <v>174</v>
      </c>
      <c r="B84" s="36" t="s">
        <v>175</v>
      </c>
      <c r="C84" s="40">
        <v>368326244</v>
      </c>
      <c r="D84" s="38">
        <f>C84*J84</f>
        <v>26194882.583031073</v>
      </c>
      <c r="E84" s="39">
        <f>C84*K84</f>
        <v>22216503.606349204</v>
      </c>
      <c r="F84" s="40" t="s">
        <v>176</v>
      </c>
      <c r="G84" s="40">
        <v>1.3</v>
      </c>
      <c r="H84" s="42">
        <v>1.9</v>
      </c>
      <c r="I84" s="42">
        <v>1.9</v>
      </c>
      <c r="J84" s="44">
        <f>I84/$J$5</f>
        <v>7.1118697105469017E-2</v>
      </c>
      <c r="K84" s="45">
        <f>I84/$K$4</f>
        <v>6.0317460317460311E-2</v>
      </c>
      <c r="L84" s="46">
        <f>I84-H84</f>
        <v>0</v>
      </c>
      <c r="M84" s="46">
        <f>((I84-H84)/H84*100)</f>
        <v>0</v>
      </c>
      <c r="N84" s="51">
        <v>350</v>
      </c>
      <c r="O84" s="37">
        <v>693.5</v>
      </c>
      <c r="P84" s="51">
        <f>(R84)/J84</f>
        <v>0</v>
      </c>
      <c r="Q84" s="49">
        <f>I84/G84-1</f>
        <v>0.46153846153846145</v>
      </c>
      <c r="R84" s="52"/>
    </row>
    <row r="85" spans="1:243" s="104" customFormat="1" ht="12.6" thickBot="1" x14ac:dyDescent="0.3">
      <c r="A85" s="35" t="s">
        <v>177</v>
      </c>
      <c r="B85" s="36" t="s">
        <v>178</v>
      </c>
      <c r="C85" s="40">
        <v>1841105000</v>
      </c>
      <c r="D85" s="38">
        <f>C85*J85</f>
        <v>89588466.044565231</v>
      </c>
      <c r="E85" s="39">
        <f>C85*K85</f>
        <v>75982111.111111104</v>
      </c>
      <c r="F85" s="40" t="s">
        <v>176</v>
      </c>
      <c r="G85" s="40">
        <v>1.44347</v>
      </c>
      <c r="H85" s="42">
        <v>1.3</v>
      </c>
      <c r="I85" s="42">
        <v>1.3</v>
      </c>
      <c r="J85" s="44">
        <f>I85/$J$5</f>
        <v>4.8660161177426178E-2</v>
      </c>
      <c r="K85" s="45">
        <f>I85/$K$4</f>
        <v>4.1269841269841269E-2</v>
      </c>
      <c r="L85" s="46">
        <f>I85-H85</f>
        <v>0</v>
      </c>
      <c r="M85" s="46">
        <f>((I85-H85)/H85*100)</f>
        <v>0</v>
      </c>
      <c r="N85" s="51">
        <v>14986</v>
      </c>
      <c r="O85" s="37">
        <v>19490.259999999998</v>
      </c>
      <c r="P85" s="48">
        <f>(R85)/J85</f>
        <v>4.471830646153846E-2</v>
      </c>
      <c r="Q85" s="49">
        <f>I85/G85-1</f>
        <v>-9.9392436282014884E-2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3.8" thickBot="1" x14ac:dyDescent="0.4">
      <c r="A86" s="78"/>
      <c r="B86" s="79" t="s">
        <v>83</v>
      </c>
      <c r="C86" s="80"/>
      <c r="D86" s="105"/>
      <c r="E86" s="81"/>
      <c r="F86" s="80"/>
      <c r="G86" s="80"/>
      <c r="H86" s="82"/>
      <c r="I86" s="82"/>
      <c r="J86" s="82"/>
      <c r="K86" s="82"/>
      <c r="L86" s="83"/>
      <c r="M86" s="83"/>
      <c r="N86" s="61">
        <f>SUM(N84:N85)</f>
        <v>15336</v>
      </c>
      <c r="O86" s="62">
        <f>SUM(O84:O85)</f>
        <v>20183.759999999998</v>
      </c>
      <c r="P86" s="106"/>
      <c r="Q86" s="86"/>
    </row>
    <row r="87" spans="1:243" ht="12.6" thickBot="1" x14ac:dyDescent="0.3">
      <c r="A87" s="107"/>
      <c r="B87" s="108"/>
      <c r="C87" s="108"/>
      <c r="D87" s="108"/>
      <c r="E87" s="108"/>
      <c r="F87" s="109"/>
      <c r="G87" s="109"/>
      <c r="H87" s="59"/>
      <c r="M87" s="110"/>
      <c r="N87" s="110"/>
      <c r="O87" s="59"/>
      <c r="P87" s="59"/>
      <c r="Q87" s="111"/>
    </row>
    <row r="88" spans="1:243" ht="12.6" thickBot="1" x14ac:dyDescent="0.3">
      <c r="A88" s="136" t="s">
        <v>182</v>
      </c>
      <c r="B88" s="137"/>
      <c r="C88" s="137"/>
      <c r="D88" s="138"/>
      <c r="E88" s="136" t="s">
        <v>183</v>
      </c>
      <c r="F88" s="137"/>
      <c r="G88" s="137"/>
      <c r="H88" s="138"/>
      <c r="I88" s="52"/>
      <c r="J88" s="52"/>
      <c r="K88" s="52"/>
      <c r="L88" s="133" t="s">
        <v>180</v>
      </c>
      <c r="M88" s="134"/>
      <c r="N88" s="135"/>
      <c r="O88" s="133" t="s">
        <v>181</v>
      </c>
      <c r="P88" s="134"/>
      <c r="Q88" s="135"/>
    </row>
    <row r="89" spans="1:243" x14ac:dyDescent="0.25">
      <c r="A89" s="35" t="s">
        <v>79</v>
      </c>
      <c r="B89" s="112">
        <v>0.86</v>
      </c>
      <c r="D89" s="112">
        <v>14.666666666666664</v>
      </c>
      <c r="E89" s="35" t="s">
        <v>116</v>
      </c>
      <c r="F89" s="113">
        <v>0.70011000000000001</v>
      </c>
      <c r="H89" s="114">
        <v>-2.7624999999999953</v>
      </c>
      <c r="L89" s="35" t="s">
        <v>135</v>
      </c>
      <c r="M89" s="51">
        <v>1.9800000000000002E-2</v>
      </c>
      <c r="N89" s="115">
        <v>10.000000000000018</v>
      </c>
      <c r="O89" s="59" t="s">
        <v>102</v>
      </c>
      <c r="P89" s="113">
        <v>0.25119999999999998</v>
      </c>
      <c r="Q89" s="116">
        <v>-10.668563300142257</v>
      </c>
    </row>
    <row r="90" spans="1:243" x14ac:dyDescent="0.25">
      <c r="A90" s="35" t="s">
        <v>110</v>
      </c>
      <c r="B90" s="112">
        <v>6</v>
      </c>
      <c r="D90" s="112">
        <v>9.0909090909090917</v>
      </c>
      <c r="E90" s="35" t="s">
        <v>96</v>
      </c>
      <c r="F90" s="113">
        <v>4.4320999999999999E-2</v>
      </c>
      <c r="H90" s="114">
        <v>-1.5088888888888869</v>
      </c>
      <c r="L90" s="35" t="s">
        <v>144</v>
      </c>
      <c r="M90" s="51">
        <v>0.6966</v>
      </c>
      <c r="N90" s="115">
        <v>1.8272182429469308</v>
      </c>
      <c r="O90" s="59" t="s">
        <v>123</v>
      </c>
      <c r="P90" s="113">
        <v>43.904299999999999</v>
      </c>
      <c r="Q90" s="116">
        <v>-10.605360302486726</v>
      </c>
    </row>
    <row r="91" spans="1:243" x14ac:dyDescent="0.25">
      <c r="A91" s="35" t="s">
        <v>70</v>
      </c>
      <c r="B91" s="112">
        <v>11</v>
      </c>
      <c r="C91" s="112"/>
      <c r="D91" s="112">
        <v>8.9993856398264018</v>
      </c>
      <c r="E91" s="35" t="s">
        <v>45</v>
      </c>
      <c r="F91" s="113">
        <v>40</v>
      </c>
      <c r="H91" s="114">
        <v>-1.0694393605128589</v>
      </c>
      <c r="L91" s="35" t="s">
        <v>142</v>
      </c>
      <c r="M91" s="51">
        <v>0.37390000000000001</v>
      </c>
      <c r="N91" s="115">
        <v>1.686157193364151</v>
      </c>
      <c r="O91" s="35" t="s">
        <v>140</v>
      </c>
      <c r="P91" s="113">
        <v>1.1034999999999999</v>
      </c>
      <c r="Q91" s="116">
        <v>-9.9110131439301306</v>
      </c>
    </row>
    <row r="92" spans="1:243" x14ac:dyDescent="0.25">
      <c r="A92" s="35" t="s">
        <v>75</v>
      </c>
      <c r="B92" s="112">
        <v>3</v>
      </c>
      <c r="C92" s="112"/>
      <c r="D92" s="112">
        <v>3.1424762033116984</v>
      </c>
      <c r="E92" s="35" t="s">
        <v>108</v>
      </c>
      <c r="F92" s="113">
        <v>5.9794E-2</v>
      </c>
      <c r="H92" s="114">
        <v>-0.34333333333332977</v>
      </c>
      <c r="L92" s="35" t="s">
        <v>125</v>
      </c>
      <c r="M92" s="51">
        <v>0.24349999999999999</v>
      </c>
      <c r="N92" s="115">
        <v>1.6277128547579245</v>
      </c>
      <c r="O92" s="35" t="s">
        <v>127</v>
      </c>
      <c r="P92" s="113">
        <v>3.0800000000000001E-2</v>
      </c>
      <c r="Q92" s="116">
        <v>-9.4117647058823568</v>
      </c>
    </row>
    <row r="93" spans="1:243" x14ac:dyDescent="0.25">
      <c r="A93" s="35" t="s">
        <v>62</v>
      </c>
      <c r="B93" s="112">
        <v>3.2799339999999999</v>
      </c>
      <c r="C93" s="112"/>
      <c r="D93" s="112">
        <v>2.4934534114132409</v>
      </c>
      <c r="E93" s="35" t="s">
        <v>58</v>
      </c>
      <c r="F93" s="113">
        <v>9</v>
      </c>
      <c r="G93" s="113"/>
      <c r="H93" s="114">
        <v>-1.1111109868227789E-5</v>
      </c>
      <c r="L93" s="35"/>
      <c r="M93" s="51"/>
      <c r="N93" s="115"/>
      <c r="O93" s="35" t="s">
        <v>149</v>
      </c>
      <c r="P93" s="113">
        <v>0.15</v>
      </c>
      <c r="Q93" s="116">
        <v>-1.4454664914586119</v>
      </c>
    </row>
    <row r="94" spans="1:243" ht="12.6" thickBot="1" x14ac:dyDescent="0.3">
      <c r="A94" s="117"/>
      <c r="B94" s="118"/>
      <c r="C94" s="118"/>
      <c r="D94" s="118"/>
      <c r="E94" s="117"/>
      <c r="F94" s="118"/>
      <c r="G94" s="118"/>
      <c r="H94" s="119"/>
      <c r="L94" s="117"/>
      <c r="M94" s="118"/>
      <c r="N94" s="119"/>
      <c r="O94" s="118"/>
      <c r="P94" s="118"/>
      <c r="Q94" s="119"/>
    </row>
    <row r="95" spans="1:243" x14ac:dyDescent="0.25">
      <c r="A95" s="120"/>
      <c r="B95" s="121"/>
      <c r="C95" s="121"/>
      <c r="D95" s="121"/>
      <c r="E95" s="110"/>
      <c r="F95" s="110"/>
      <c r="G95" s="110"/>
      <c r="H95" s="110"/>
      <c r="I95" s="110"/>
      <c r="J95" s="110"/>
      <c r="K95" s="110"/>
      <c r="L95" s="110"/>
      <c r="M95" s="121"/>
      <c r="Q95" s="16"/>
    </row>
    <row r="96" spans="1:243" x14ac:dyDescent="0.25">
      <c r="A96" s="12" t="s">
        <v>179</v>
      </c>
      <c r="B96" s="122"/>
      <c r="C96" s="122"/>
      <c r="D96" s="122"/>
      <c r="E96" s="122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0"/>
      <c r="B97" s="121"/>
      <c r="C97" s="121"/>
      <c r="D97" s="121"/>
      <c r="E97" s="121"/>
      <c r="F97" s="110"/>
      <c r="G97" s="110"/>
      <c r="H97" s="121"/>
      <c r="I97" s="110"/>
      <c r="J97" s="110"/>
      <c r="K97" s="110"/>
      <c r="L97" s="110"/>
      <c r="M97" s="121"/>
      <c r="Q97" s="16"/>
    </row>
    <row r="98" spans="1:17" ht="12.6" thickBot="1" x14ac:dyDescent="0.3">
      <c r="A98" s="123"/>
      <c r="B98" s="124"/>
      <c r="C98" s="124"/>
      <c r="D98" s="124"/>
      <c r="E98" s="124"/>
      <c r="F98" s="125"/>
      <c r="G98" s="125"/>
      <c r="H98" s="125"/>
      <c r="I98" s="126"/>
      <c r="J98" s="126"/>
      <c r="K98" s="126"/>
      <c r="L98" s="126"/>
      <c r="M98" s="126"/>
      <c r="N98" s="126"/>
      <c r="O98" s="126"/>
      <c r="P98" s="126"/>
      <c r="Q98" s="127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28"/>
      <c r="J102" s="128"/>
      <c r="K102" s="128"/>
      <c r="O102" s="128"/>
      <c r="P102" s="128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28"/>
      <c r="J105" s="128"/>
      <c r="K105" s="128"/>
      <c r="O105" s="128"/>
      <c r="P105" s="128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28"/>
      <c r="J107" s="128"/>
      <c r="K107" s="128"/>
      <c r="O107" s="128"/>
      <c r="P107" s="128"/>
    </row>
  </sheetData>
  <sheetProtection algorithmName="SHA-512" hashValue="ZLgvOsKTqCpBi8ma5w6uRopNBcR/qDEgSEEQKIVpf87bqksLlIhaAxLbw2t9LcsS48II5j+nqVC7+4qJOXfPQg==" saltValue="O9C5vRTSr1QLdZA3aLOj5Q==" spinCount="100000" sheet="1"/>
  <sortState xmlns:xlrd2="http://schemas.microsoft.com/office/spreadsheetml/2017/richdata2" ref="A51:II65">
    <sortCondition ref="A51:A65"/>
  </sortState>
  <mergeCells count="12">
    <mergeCell ref="L5:M5"/>
    <mergeCell ref="A6:Q6"/>
    <mergeCell ref="A50:Q50"/>
    <mergeCell ref="A67:Q67"/>
    <mergeCell ref="A70:Q70"/>
    <mergeCell ref="A74:Q74"/>
    <mergeCell ref="L88:N88"/>
    <mergeCell ref="O88:Q88"/>
    <mergeCell ref="A88:D88"/>
    <mergeCell ref="E88:H88"/>
    <mergeCell ref="A77:Q77"/>
    <mergeCell ref="A83:Q83"/>
  </mergeCells>
  <conditionalFormatting sqref="A9:A11">
    <cfRule type="duplicateValues" dxfId="41" priority="64" stopIfTrue="1"/>
  </conditionalFormatting>
  <conditionalFormatting sqref="A29:A34">
    <cfRule type="duplicateValues" dxfId="40" priority="65" stopIfTrue="1"/>
  </conditionalFormatting>
  <conditionalFormatting sqref="A92:A93">
    <cfRule type="duplicateValues" dxfId="39" priority="66" stopIfTrue="1"/>
  </conditionalFormatting>
  <conditionalFormatting sqref="E93">
    <cfRule type="duplicateValues" dxfId="38" priority="67" stopIfTrue="1"/>
  </conditionalFormatting>
  <conditionalFormatting sqref="L9:M26 L28:M47 L51:M65">
    <cfRule type="cellIs" dxfId="37" priority="61" stopIfTrue="1" operator="greaterThan">
      <formula>0</formula>
    </cfRule>
    <cfRule type="cellIs" priority="63" stopIfTrue="1" operator="greaterThan">
      <formula>0</formula>
    </cfRule>
    <cfRule type="cellIs" dxfId="36" priority="62" stopIfTrue="1" operator="greaterThan">
      <formula>0</formula>
    </cfRule>
    <cfRule type="cellIs" dxfId="35" priority="60" stopIfTrue="1" operator="lessThan">
      <formula>0</formula>
    </cfRule>
  </conditionalFormatting>
  <conditionalFormatting sqref="L9:M47 L51:M65">
    <cfRule type="cellIs" dxfId="34" priority="42" stopIfTrue="1" operator="greaterThan">
      <formula>0</formula>
    </cfRule>
    <cfRule type="cellIs" dxfId="33" priority="38" stopIfTrue="1" operator="lessThan">
      <formula>0</formula>
    </cfRule>
  </conditionalFormatting>
  <conditionalFormatting sqref="L27:M27">
    <cfRule type="cellIs" dxfId="32" priority="39" stopIfTrue="1" operator="greaterThan">
      <formula>0</formula>
    </cfRule>
    <cfRule type="cellIs" dxfId="31" priority="40" stopIfTrue="1" operator="lessThan">
      <formula>0</formula>
    </cfRule>
    <cfRule type="cellIs" dxfId="30" priority="41" stopIfTrue="1" operator="greaterThan">
      <formula>0</formula>
    </cfRule>
    <cfRule type="cellIs" priority="43" stopIfTrue="1" operator="greaterThan">
      <formula>0</formula>
    </cfRule>
  </conditionalFormatting>
  <conditionalFormatting sqref="L71:M72">
    <cfRule type="cellIs" dxfId="29" priority="32" stopIfTrue="1" operator="greaterThan">
      <formula>0</formula>
    </cfRule>
    <cfRule type="cellIs" dxfId="28" priority="28" stopIfTrue="1" operator="lessThan">
      <formula>0</formula>
    </cfRule>
    <cfRule type="cellIs" dxfId="27" priority="29" stopIfTrue="1" operator="greaterThan">
      <formula>0</formula>
    </cfRule>
    <cfRule type="cellIs" dxfId="26" priority="30" stopIfTrue="1" operator="lessThan">
      <formula>0</formula>
    </cfRule>
    <cfRule type="cellIs" dxfId="25" priority="31" stopIfTrue="1" operator="greaterThan">
      <formula>0</formula>
    </cfRule>
    <cfRule type="cellIs" priority="33" stopIfTrue="1" operator="greaterThan">
      <formula>0</formula>
    </cfRule>
  </conditionalFormatting>
  <conditionalFormatting sqref="L75:M75">
    <cfRule type="cellIs" dxfId="24" priority="22" stopIfTrue="1" operator="lessThan">
      <formula>0</formula>
    </cfRule>
    <cfRule type="cellIs" dxfId="23" priority="23" stopIfTrue="1" operator="greaterThan">
      <formula>0</formula>
    </cfRule>
    <cfRule type="cellIs" dxfId="22" priority="24" stopIfTrue="1" operator="greaterThan">
      <formula>0</formula>
    </cfRule>
    <cfRule type="cellIs" priority="25" stopIfTrue="1" operator="greaterThan">
      <formula>0</formula>
    </cfRule>
    <cfRule type="cellIs" dxfId="21" priority="20" stopIfTrue="1" operator="lessThan">
      <formula>0</formula>
    </cfRule>
    <cfRule type="cellIs" dxfId="20" priority="21" stopIfTrue="1" operator="greaterThan">
      <formula>0</formula>
    </cfRule>
  </conditionalFormatting>
  <conditionalFormatting sqref="L78:M81">
    <cfRule type="cellIs" dxfId="19" priority="54" stopIfTrue="1" operator="lessThan">
      <formula>0</formula>
    </cfRule>
    <cfRule type="cellIs" dxfId="18" priority="56" stopIfTrue="1" operator="lessThan">
      <formula>0</formula>
    </cfRule>
    <cfRule type="cellIs" dxfId="17" priority="57" stopIfTrue="1" operator="greaterThan">
      <formula>0</formula>
    </cfRule>
    <cfRule type="cellIs" dxfId="16" priority="58" stopIfTrue="1" operator="greaterThan">
      <formula>0</formula>
    </cfRule>
    <cfRule type="cellIs" priority="59" stopIfTrue="1" operator="greaterThan">
      <formula>0</formula>
    </cfRule>
    <cfRule type="cellIs" dxfId="15" priority="55" stopIfTrue="1" operator="greaterThan">
      <formula>0</formula>
    </cfRule>
  </conditionalFormatting>
  <conditionalFormatting sqref="L84:M85">
    <cfRule type="cellIs" dxfId="14" priority="48" stopIfTrue="1" operator="lessThan">
      <formula>0</formula>
    </cfRule>
    <cfRule type="cellIs" dxfId="13" priority="49" stopIfTrue="1" operator="greaterThan">
      <formula>0</formula>
    </cfRule>
    <cfRule type="cellIs" dxfId="12" priority="51" stopIfTrue="1" operator="greaterThan">
      <formula>0</formula>
    </cfRule>
    <cfRule type="cellIs" dxfId="11" priority="52" stopIfTrue="1" operator="greaterThan">
      <formula>0</formula>
    </cfRule>
    <cfRule type="cellIs" priority="53" stopIfTrue="1" operator="greaterThan">
      <formula>0</formula>
    </cfRule>
    <cfRule type="cellIs" dxfId="10" priority="50" stopIfTrue="1" operator="lessThan">
      <formula>0</formula>
    </cfRule>
  </conditionalFormatting>
  <conditionalFormatting sqref="Q9:Q47 Q51:Q65">
    <cfRule type="cellIs" dxfId="9" priority="37" stopIfTrue="1" operator="lessThan">
      <formula>0</formula>
    </cfRule>
    <cfRule type="cellIs" dxfId="8" priority="36" stopIfTrue="1" operator="greaterThan">
      <formula>0</formula>
    </cfRule>
  </conditionalFormatting>
  <conditionalFormatting sqref="Q71:Q72">
    <cfRule type="cellIs" dxfId="7" priority="35" stopIfTrue="1" operator="lessThan">
      <formula>0</formula>
    </cfRule>
    <cfRule type="cellIs" dxfId="6" priority="34" stopIfTrue="1" operator="greaterThan">
      <formula>0</formula>
    </cfRule>
  </conditionalFormatting>
  <conditionalFormatting sqref="Q75">
    <cfRule type="cellIs" dxfId="5" priority="26" stopIfTrue="1" operator="greaterThan">
      <formula>0</formula>
    </cfRule>
    <cfRule type="cellIs" dxfId="4" priority="27" stopIfTrue="1" operator="lessThan">
      <formula>0</formula>
    </cfRule>
  </conditionalFormatting>
  <conditionalFormatting sqref="Q78:Q81">
    <cfRule type="cellIs" dxfId="3" priority="46" stopIfTrue="1" operator="greaterThan">
      <formula>0</formula>
    </cfRule>
    <cfRule type="cellIs" dxfId="2" priority="47" stopIfTrue="1" operator="lessThan">
      <formula>0</formula>
    </cfRule>
  </conditionalFormatting>
  <conditionalFormatting sqref="Q84:Q85">
    <cfRule type="cellIs" dxfId="1" priority="44" stopIfTrue="1" operator="greaterThan">
      <formula>0</formula>
    </cfRule>
    <cfRule type="cellIs" dxfId="0" priority="45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T. Gachira</dc:creator>
  <cp:lastModifiedBy>Enock Rukarwa</cp:lastModifiedBy>
  <dcterms:created xsi:type="dcterms:W3CDTF">2026-07-13T14:13:55Z</dcterms:created>
  <dcterms:modified xsi:type="dcterms:W3CDTF">2026-07-13T14:29:38Z</dcterms:modified>
</cp:coreProperties>
</file>