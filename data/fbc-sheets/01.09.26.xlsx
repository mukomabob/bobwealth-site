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01.09.26/"/>
    </mc:Choice>
  </mc:AlternateContent>
  <xr:revisionPtr revIDLastSave="0" documentId="8_{6C8D21B4-4893-46AF-8690-B4DD3E536C82}" xr6:coauthVersionLast="47" xr6:coauthVersionMax="47" xr10:uidLastSave="{00000000-0000-0000-0000-000000000000}"/>
  <bookViews>
    <workbookView xWindow="-108" yWindow="-108" windowWidth="23256" windowHeight="12456" xr2:uid="{4AD4DA1D-0B90-43AB-8FCA-9EC5626FF32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J85" i="1"/>
  <c r="E85" i="1"/>
  <c r="D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M75" i="1"/>
  <c r="L75" i="1"/>
  <c r="J75" i="1"/>
  <c r="K75" i="1" s="1"/>
  <c r="E75" i="1" s="1"/>
  <c r="O73" i="1"/>
  <c r="N73" i="1"/>
  <c r="P72" i="1"/>
  <c r="M72" i="1"/>
  <c r="L72" i="1"/>
  <c r="J72" i="1"/>
  <c r="K72" i="1" s="1"/>
  <c r="E72" i="1" s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M64" i="1"/>
  <c r="L64" i="1"/>
  <c r="J64" i="1"/>
  <c r="P64" i="1" s="1"/>
  <c r="M63" i="1"/>
  <c r="L63" i="1"/>
  <c r="J63" i="1"/>
  <c r="Q63" i="1" s="1"/>
  <c r="D63" i="1"/>
  <c r="M62" i="1"/>
  <c r="L62" i="1"/>
  <c r="J62" i="1"/>
  <c r="P62" i="1" s="1"/>
  <c r="M61" i="1"/>
  <c r="L61" i="1"/>
  <c r="J61" i="1"/>
  <c r="Q61" i="1" s="1"/>
  <c r="D61" i="1"/>
  <c r="M60" i="1"/>
  <c r="L60" i="1"/>
  <c r="J60" i="1"/>
  <c r="P60" i="1" s="1"/>
  <c r="M59" i="1"/>
  <c r="L59" i="1"/>
  <c r="J59" i="1"/>
  <c r="Q59" i="1" s="1"/>
  <c r="D59" i="1"/>
  <c r="M58" i="1"/>
  <c r="L58" i="1"/>
  <c r="J58" i="1"/>
  <c r="P58" i="1" s="1"/>
  <c r="M57" i="1"/>
  <c r="L57" i="1"/>
  <c r="J57" i="1"/>
  <c r="Q57" i="1" s="1"/>
  <c r="D57" i="1"/>
  <c r="M56" i="1"/>
  <c r="L56" i="1"/>
  <c r="J56" i="1"/>
  <c r="P56" i="1" s="1"/>
  <c r="M55" i="1"/>
  <c r="L55" i="1"/>
  <c r="J55" i="1"/>
  <c r="Q55" i="1" s="1"/>
  <c r="D55" i="1"/>
  <c r="M54" i="1"/>
  <c r="L54" i="1"/>
  <c r="J54" i="1"/>
  <c r="P54" i="1" s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P44" i="1"/>
  <c r="M44" i="1"/>
  <c r="L44" i="1"/>
  <c r="K44" i="1"/>
  <c r="J44" i="1"/>
  <c r="E44" i="1"/>
  <c r="D44" i="1"/>
  <c r="Q43" i="1"/>
  <c r="P43" i="1"/>
  <c r="M43" i="1"/>
  <c r="L43" i="1"/>
  <c r="K43" i="1"/>
  <c r="J43" i="1"/>
  <c r="D43" i="1" s="1"/>
  <c r="E43" i="1"/>
  <c r="Q42" i="1"/>
  <c r="M42" i="1"/>
  <c r="L42" i="1"/>
  <c r="K42" i="1"/>
  <c r="J42" i="1"/>
  <c r="D42" i="1" s="1"/>
  <c r="E42" i="1"/>
  <c r="Q41" i="1"/>
  <c r="P41" i="1"/>
  <c r="M41" i="1"/>
  <c r="L41" i="1"/>
  <c r="K41" i="1"/>
  <c r="J41" i="1"/>
  <c r="E41" i="1"/>
  <c r="D41" i="1"/>
  <c r="Q40" i="1"/>
  <c r="P40" i="1"/>
  <c r="M40" i="1"/>
  <c r="L40" i="1"/>
  <c r="K40" i="1"/>
  <c r="J40" i="1"/>
  <c r="D40" i="1" s="1"/>
  <c r="E40" i="1"/>
  <c r="Q39" i="1"/>
  <c r="M39" i="1"/>
  <c r="L39" i="1"/>
  <c r="K39" i="1"/>
  <c r="J39" i="1"/>
  <c r="D39" i="1" s="1"/>
  <c r="E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J27" i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P23" i="1"/>
  <c r="M23" i="1"/>
  <c r="L23" i="1"/>
  <c r="K23" i="1"/>
  <c r="J23" i="1"/>
  <c r="D23" i="1" s="1"/>
  <c r="E23" i="1"/>
  <c r="Q22" i="1"/>
  <c r="L22" i="1"/>
  <c r="K22" i="1"/>
  <c r="J22" i="1"/>
  <c r="E22" i="1"/>
  <c r="D22" i="1"/>
  <c r="Q21" i="1"/>
  <c r="P21" i="1"/>
  <c r="M21" i="1"/>
  <c r="L21" i="1"/>
  <c r="K21" i="1"/>
  <c r="E21" i="1" s="1"/>
  <c r="J21" i="1"/>
  <c r="D21" i="1"/>
  <c r="Q20" i="1"/>
  <c r="P20" i="1"/>
  <c r="M20" i="1"/>
  <c r="L20" i="1"/>
  <c r="K20" i="1"/>
  <c r="E20" i="1" s="1"/>
  <c r="J20" i="1"/>
  <c r="D20" i="1"/>
  <c r="Q19" i="1"/>
  <c r="M19" i="1"/>
  <c r="L19" i="1"/>
  <c r="K19" i="1"/>
  <c r="J19" i="1"/>
  <c r="P19" i="1" s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P16" i="1"/>
  <c r="M16" i="1"/>
  <c r="L16" i="1"/>
  <c r="K16" i="1"/>
  <c r="J16" i="1"/>
  <c r="D16" i="1" s="1"/>
  <c r="E16" i="1"/>
  <c r="Q15" i="1"/>
  <c r="M15" i="1"/>
  <c r="L15" i="1"/>
  <c r="K15" i="1"/>
  <c r="J15" i="1"/>
  <c r="D15" i="1" s="1"/>
  <c r="E15" i="1"/>
  <c r="Q14" i="1"/>
  <c r="P14" i="1"/>
  <c r="M14" i="1"/>
  <c r="L14" i="1"/>
  <c r="K14" i="1"/>
  <c r="J14" i="1"/>
  <c r="E14" i="1"/>
  <c r="D14" i="1"/>
  <c r="Q13" i="1"/>
  <c r="P13" i="1"/>
  <c r="M13" i="1"/>
  <c r="L13" i="1"/>
  <c r="K13" i="1"/>
  <c r="J13" i="1"/>
  <c r="D13" i="1" s="1"/>
  <c r="E13" i="1"/>
  <c r="Q12" i="1"/>
  <c r="M12" i="1"/>
  <c r="L12" i="1"/>
  <c r="K12" i="1"/>
  <c r="J12" i="1"/>
  <c r="D12" i="1" s="1"/>
  <c r="E12" i="1"/>
  <c r="Q11" i="1"/>
  <c r="P11" i="1"/>
  <c r="M11" i="1"/>
  <c r="L11" i="1"/>
  <c r="K11" i="1"/>
  <c r="J11" i="1"/>
  <c r="E11" i="1"/>
  <c r="D11" i="1"/>
  <c r="Q10" i="1"/>
  <c r="P10" i="1"/>
  <c r="M10" i="1"/>
  <c r="L10" i="1"/>
  <c r="K10" i="1"/>
  <c r="J10" i="1"/>
  <c r="D10" i="1" s="1"/>
  <c r="E10" i="1"/>
  <c r="Q9" i="1"/>
  <c r="M9" i="1"/>
  <c r="L9" i="1"/>
  <c r="K9" i="1"/>
  <c r="J9" i="1"/>
  <c r="D9" i="1" s="1"/>
  <c r="E9" i="1"/>
  <c r="Q54" i="1" l="1"/>
  <c r="Q56" i="1"/>
  <c r="Q58" i="1"/>
  <c r="Q60" i="1"/>
  <c r="Q62" i="1"/>
  <c r="Q64" i="1"/>
  <c r="P75" i="1"/>
  <c r="Q75" i="1"/>
  <c r="K71" i="1"/>
  <c r="E71" i="1" s="1"/>
  <c r="Q72" i="1"/>
  <c r="P9" i="1"/>
  <c r="P12" i="1"/>
  <c r="P15" i="1"/>
  <c r="P39" i="1"/>
  <c r="P42" i="1"/>
  <c r="P53" i="1"/>
  <c r="P55" i="1"/>
  <c r="P57" i="1"/>
  <c r="P59" i="1"/>
  <c r="P61" i="1"/>
  <c r="P63" i="1"/>
  <c r="P65" i="1"/>
  <c r="P51" i="1"/>
  <c r="P71" i="1"/>
  <c r="D75" i="1"/>
  <c r="D54" i="1"/>
  <c r="D56" i="1"/>
  <c r="D58" i="1"/>
  <c r="D60" i="1"/>
  <c r="D62" i="1"/>
  <c r="D64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<sst xmlns="http://schemas.openxmlformats.org/spreadsheetml/2006/main" count="270" uniqueCount="185">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</sst>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4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0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71" fontId="15" fillId="5" borderId="0" xfId="1" applyNumberFormat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2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165" fontId="12" fillId="2" borderId="5" xfId="3" applyNumberFormat="1" applyFont="1" applyFill="1" applyBorder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0" xfId="3" applyFont="1" applyFill="1" applyBorder="1" applyAlignment="1"/>
    <xf numFmtId="0" fontId="9" fillId="3" borderId="0" xfId="3" applyFont="1" applyFill="1" applyBorder="1" applyAlignment="1"/>
    <xf numFmtId="4" fontId="10" fillId="3" borderId="0" xfId="3" applyNumberFormat="1" applyFont="1" applyFill="1" applyBorder="1" applyAlignment="1"/>
    <xf numFmtId="0" fontId="11" fillId="4" borderId="0" xfId="3" applyFont="1" applyFill="1" applyBorder="1" applyAlignment="1">
      <alignment horizontal="center"/>
    </xf>
    <xf numFmtId="0" fontId="11" fillId="4" borderId="0" xfId="3" quotePrefix="1" applyFont="1" applyFill="1" applyBorder="1" applyAlignment="1">
      <alignment horizontal="left"/>
    </xf>
    <xf numFmtId="0" fontId="11" fillId="4" borderId="0" xfId="3" applyFont="1" applyFill="1" applyBorder="1" applyAlignment="1">
      <alignment horizontal="right" wrapText="1"/>
    </xf>
    <xf numFmtId="0" fontId="11" fillId="4" borderId="0" xfId="3" applyFont="1" applyFill="1" applyBorder="1" applyAlignment="1">
      <alignment horizontal="right"/>
    </xf>
    <xf numFmtId="0" fontId="11" fillId="4" borderId="0" xfId="3" applyFont="1" applyFill="1" applyBorder="1" applyAlignment="1">
      <alignment horizontal="left"/>
    </xf>
    <xf numFmtId="49" fontId="12" fillId="2" borderId="0" xfId="3" applyNumberFormat="1" applyFont="1" applyFill="1" applyBorder="1" applyAlignment="1">
      <alignment horizontal="center"/>
    </xf>
    <xf numFmtId="165" fontId="12" fillId="2" borderId="0" xfId="3" applyNumberFormat="1" applyFont="1" applyFill="1" applyBorder="1" applyAlignment="1">
      <alignment horizontal="center"/>
    </xf>
    <xf numFmtId="0" fontId="21" fillId="3" borderId="0" xfId="3" applyFont="1" applyFill="1" applyBorder="1" applyAlignment="1"/>
    <xf numFmtId="0" fontId="4" fillId="3" borderId="0" xfId="3" applyFont="1" applyFill="1" applyBorder="1" applyAlignment="1"/>
    <xf numFmtId="164" fontId="4" fillId="3" borderId="0" xfId="3" applyNumberFormat="1" applyFont="1" applyFill="1" applyBorder="1" applyAlignment="1"/>
    <xf numFmtId="0" fontId="27" fillId="3" borderId="0" xfId="3" applyFont="1" applyFill="1" applyBorder="1" applyAlignment="1"/>
    <xf numFmtId="164" fontId="9" fillId="3" borderId="0" xfId="3" applyNumberFormat="1" applyFont="1" applyFill="1" applyBorder="1" applyAlignment="1"/>
  </cellXfs>
  <cellStyles count="10">
    <cellStyle name="Comma" xfId="1" builtinId="3"/>
    <cellStyle name="Comma 2 2 2 2 2 2 2 2 2 2 2 2 2" xfId="4" xr:uid="{509E1E19-6856-455E-9782-CA3BB2E944CE}"/>
    <cellStyle name="Comma 5 2 2 2 2 2 2 2 2 2 2 2" xfId="5" xr:uid="{5BDEA262-5733-4D9B-8893-002A1C11238C}"/>
    <cellStyle name="Comma 6 2 2 2 2 2 2" xfId="6" xr:uid="{08D38547-FA84-408B-9469-C4C5699E4DF3}"/>
    <cellStyle name="Hyperlink 2" xfId="9" xr:uid="{F8D3AEB5-3B59-4798-A2D5-D5F9F54E306E}"/>
    <cellStyle name="Normal" xfId="0" builtinId="0"/>
    <cellStyle name="Normal 2" xfId="3" xr:uid="{7A1E30EA-82A9-4A82-9A69-1282BA443AC5}"/>
    <cellStyle name="Normal 20" xfId="8" xr:uid="{7F87F2F0-576E-424A-A7D6-5CFFC8DADF35}"/>
    <cellStyle name="Percent" xfId="2" builtinId="5"/>
    <cellStyle name="Percent 3" xfId="7" xr:uid="{6D6989BD-6F8B-4850-9E75-197504C8A87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E099E6A-0F88-4120-99BE-94DE029C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AB1A784-BCC5-4851-9BE7-EFC2C6DE0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8C7C-351C-4ECC-8566-9D392582E51C}">
  <dimension ref="A1:II107"/>
  <sheetViews>
    <sheetView tabSelected="1" zoomScale="60" zoomScaleNormal="60" workbookViewId="0">
      <selection activeCell="T85" sqref="T8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13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40"/>
      <c r="C3" s="140"/>
      <c r="D3" s="140"/>
      <c r="E3" s="140"/>
      <c r="F3" s="139"/>
      <c r="G3" s="139"/>
      <c r="H3" s="13" t="s">
        <v>3</v>
      </c>
      <c r="I3" s="139"/>
      <c r="J3" s="139"/>
      <c r="K3" s="139"/>
      <c r="L3" s="13" t="s">
        <v>4</v>
      </c>
      <c r="M3" s="14" t="s">
        <v>5</v>
      </c>
      <c r="N3" s="12" t="s">
        <v>6</v>
      </c>
      <c r="O3" s="139"/>
      <c r="P3" s="139"/>
      <c r="Q3" s="15"/>
      <c r="R3" s="9"/>
    </row>
    <row r="4" spans="1:19" x14ac:dyDescent="0.25">
      <c r="A4" s="12"/>
      <c r="B4" s="140"/>
      <c r="C4" s="140"/>
      <c r="D4" s="140"/>
      <c r="E4" s="140"/>
      <c r="F4" s="139"/>
      <c r="G4" s="139"/>
      <c r="H4" s="13" t="s">
        <v>7</v>
      </c>
      <c r="I4" s="139"/>
      <c r="J4" s="139"/>
      <c r="K4" s="141">
        <v>31.5</v>
      </c>
      <c r="L4" s="13" t="s">
        <v>8</v>
      </c>
      <c r="M4" s="14" t="s">
        <v>9</v>
      </c>
      <c r="N4" s="12" t="s">
        <v>10</v>
      </c>
      <c r="O4" s="139"/>
      <c r="P4" s="139"/>
      <c r="Q4" s="15"/>
      <c r="R4" s="9"/>
    </row>
    <row r="5" spans="1:19" ht="12.6" thickBot="1" x14ac:dyDescent="0.3">
      <c r="A5" s="16"/>
      <c r="B5" s="17"/>
      <c r="C5" s="17"/>
      <c r="D5" s="17"/>
      <c r="E5" s="17"/>
      <c r="F5" s="18"/>
      <c r="G5" s="18"/>
      <c r="H5" s="19" t="s">
        <v>11</v>
      </c>
      <c r="I5" s="18"/>
      <c r="J5" s="20">
        <v>26.6663</v>
      </c>
      <c r="K5" s="20"/>
      <c r="L5" s="129" t="s">
        <v>12</v>
      </c>
      <c r="M5" s="130"/>
      <c r="N5" s="21" t="s">
        <v>13</v>
      </c>
      <c r="O5" s="22"/>
      <c r="P5" s="22"/>
      <c r="Q5" s="23"/>
    </row>
    <row r="6" spans="1:19" ht="6.6" customHeight="1" x14ac:dyDescent="0.3">
      <c r="A6" s="125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8"/>
    </row>
    <row r="7" spans="1:19" s="27" customFormat="1" ht="27.75" customHeight="1" x14ac:dyDescent="0.25">
      <c r="A7" s="24" t="s">
        <v>14</v>
      </c>
      <c r="B7" s="142" t="s">
        <v>15</v>
      </c>
      <c r="C7" s="142" t="s">
        <v>16</v>
      </c>
      <c r="D7" s="142" t="s">
        <v>17</v>
      </c>
      <c r="E7" s="142" t="s">
        <v>18</v>
      </c>
      <c r="F7" s="143" t="s">
        <v>19</v>
      </c>
      <c r="G7" s="144" t="s">
        <v>20</v>
      </c>
      <c r="H7" s="144" t="s">
        <v>21</v>
      </c>
      <c r="I7" s="144" t="s">
        <v>22</v>
      </c>
      <c r="J7" s="144" t="s">
        <v>23</v>
      </c>
      <c r="K7" s="144" t="s">
        <v>24</v>
      </c>
      <c r="L7" s="145" t="s">
        <v>25</v>
      </c>
      <c r="M7" s="145" t="s">
        <v>26</v>
      </c>
      <c r="N7" s="144" t="s">
        <v>27</v>
      </c>
      <c r="O7" s="144" t="s">
        <v>28</v>
      </c>
      <c r="P7" s="145" t="s">
        <v>29</v>
      </c>
      <c r="Q7" s="26" t="s">
        <v>30</v>
      </c>
      <c r="R7" s="25" t="s">
        <v>31</v>
      </c>
    </row>
    <row r="8" spans="1:19" s="27" customFormat="1" hidden="1" x14ac:dyDescent="0.25">
      <c r="A8" s="28"/>
      <c r="B8" s="142"/>
      <c r="C8" s="142"/>
      <c r="D8" s="142"/>
      <c r="E8" s="142"/>
      <c r="F8" s="146"/>
      <c r="G8" s="144"/>
      <c r="H8" s="144"/>
      <c r="I8" s="144"/>
      <c r="J8" s="144"/>
      <c r="K8" s="144"/>
      <c r="L8" s="145"/>
      <c r="M8" s="145"/>
      <c r="N8" s="144"/>
      <c r="O8" s="144"/>
      <c r="P8" s="145"/>
      <c r="Q8" s="26"/>
      <c r="R8" s="25"/>
    </row>
    <row r="9" spans="1:19" ht="12.75" customHeight="1" x14ac:dyDescent="0.25">
      <c r="A9" s="29" t="s">
        <v>32</v>
      </c>
      <c r="B9" s="30" t="s">
        <v>33</v>
      </c>
      <c r="C9" s="31">
        <v>126034439</v>
      </c>
      <c r="D9" s="32">
        <f t="shared" ref="D9:D45" si="0">C9*J9</f>
        <v>81529648.760795459</v>
      </c>
      <c r="E9" s="33">
        <f t="shared" ref="E9:E45" si="1">C9*K9</f>
        <v>69018859.452380955</v>
      </c>
      <c r="F9" s="34" t="s">
        <v>34</v>
      </c>
      <c r="G9" s="35">
        <v>8.9894999999999996</v>
      </c>
      <c r="H9" s="36">
        <v>17.239999999999998</v>
      </c>
      <c r="I9" s="37">
        <v>17.25</v>
      </c>
      <c r="J9" s="38">
        <f>(I9/$J$5)</f>
        <v>0.64688389465355145</v>
      </c>
      <c r="K9" s="39">
        <f t="shared" ref="K9:K17" si="2">I9/$K$4</f>
        <v>0.54761904761904767</v>
      </c>
      <c r="L9" s="40">
        <f t="shared" ref="L9:L17" si="3">I9-H9</f>
        <v>1.0000000000001563E-2</v>
      </c>
      <c r="M9" s="40">
        <f t="shared" ref="M9:M17" si="4">((I9-H9)/H9)*100</f>
        <v>5.8004640371238772E-2</v>
      </c>
      <c r="N9" s="41">
        <v>7700</v>
      </c>
      <c r="O9" s="31">
        <v>132825</v>
      </c>
      <c r="P9" s="42">
        <f t="shared" ref="P9:P17" si="5">(R9)/J9</f>
        <v>2.318808695652174E-2</v>
      </c>
      <c r="Q9" s="43">
        <f t="shared" ref="Q9:Q17" si="6">I9/G9-1</f>
        <v>0.91890538962122492</v>
      </c>
      <c r="R9" s="44">
        <v>1.4999999999999999E-2</v>
      </c>
    </row>
    <row r="10" spans="1:19" x14ac:dyDescent="0.25">
      <c r="A10" s="29" t="s">
        <v>35</v>
      </c>
      <c r="B10" s="30" t="s">
        <v>36</v>
      </c>
      <c r="C10" s="31">
        <v>1627395595</v>
      </c>
      <c r="D10" s="32">
        <f t="shared" si="0"/>
        <v>3071731.0794199044</v>
      </c>
      <c r="E10" s="33">
        <f t="shared" si="1"/>
        <v>2600371.5074011106</v>
      </c>
      <c r="F10" s="34" t="s">
        <v>34</v>
      </c>
      <c r="G10" s="35">
        <v>3.1600000000000003E-2</v>
      </c>
      <c r="H10" s="36">
        <v>5.3288000000000002E-2</v>
      </c>
      <c r="I10" s="37">
        <v>5.0332999999999996E-2</v>
      </c>
      <c r="J10" s="38">
        <f t="shared" ref="J10:J17" si="7">I10/$J$5</f>
        <v>1.8875134533099828E-3</v>
      </c>
      <c r="K10" s="39">
        <f t="shared" si="2"/>
        <v>1.5978730158730157E-3</v>
      </c>
      <c r="L10" s="40">
        <f t="shared" si="3"/>
        <v>-2.9550000000000062E-3</v>
      </c>
      <c r="M10" s="40">
        <f t="shared" si="4"/>
        <v>-5.5453385377571056</v>
      </c>
      <c r="N10" s="45">
        <v>1500</v>
      </c>
      <c r="O10" s="31">
        <v>75.5</v>
      </c>
      <c r="P10" s="46">
        <f t="shared" si="5"/>
        <v>0</v>
      </c>
      <c r="Q10" s="43">
        <f t="shared" si="6"/>
        <v>0.59281645569620234</v>
      </c>
      <c r="R10" s="44"/>
    </row>
    <row r="11" spans="1:19" x14ac:dyDescent="0.25">
      <c r="A11" s="29" t="s">
        <v>37</v>
      </c>
      <c r="B11" s="30" t="s">
        <v>38</v>
      </c>
      <c r="C11" s="31">
        <v>436977359</v>
      </c>
      <c r="D11" s="32">
        <f t="shared" si="0"/>
        <v>3932850.3076917306</v>
      </c>
      <c r="E11" s="33">
        <f t="shared" si="1"/>
        <v>3329351.3066666666</v>
      </c>
      <c r="F11" s="34" t="s">
        <v>39</v>
      </c>
      <c r="G11" s="35">
        <v>7.8E-2</v>
      </c>
      <c r="H11" s="36">
        <v>0.24</v>
      </c>
      <c r="I11" s="37">
        <v>0.24</v>
      </c>
      <c r="J11" s="38">
        <f t="shared" si="7"/>
        <v>9.0001237517015852E-3</v>
      </c>
      <c r="K11" s="39">
        <f t="shared" si="2"/>
        <v>7.619047619047619E-3</v>
      </c>
      <c r="L11" s="40">
        <f t="shared" si="3"/>
        <v>0</v>
      </c>
      <c r="M11" s="40">
        <f t="shared" si="4"/>
        <v>0</v>
      </c>
      <c r="N11" s="45">
        <v>0</v>
      </c>
      <c r="O11" s="31">
        <v>0</v>
      </c>
      <c r="P11" s="46">
        <f t="shared" si="5"/>
        <v>0</v>
      </c>
      <c r="Q11" s="43">
        <f t="shared" si="6"/>
        <v>2.0769230769230766</v>
      </c>
      <c r="R11" s="44"/>
    </row>
    <row r="12" spans="1:19" x14ac:dyDescent="0.25">
      <c r="A12" s="29" t="s">
        <v>40</v>
      </c>
      <c r="B12" s="30" t="s">
        <v>41</v>
      </c>
      <c r="C12" s="31">
        <v>20633517</v>
      </c>
      <c r="D12" s="32">
        <f t="shared" si="0"/>
        <v>139278154.82462883</v>
      </c>
      <c r="E12" s="33">
        <f t="shared" si="1"/>
        <v>117905811.42857143</v>
      </c>
      <c r="F12" s="34" t="s">
        <v>34</v>
      </c>
      <c r="G12" s="35">
        <v>97.381</v>
      </c>
      <c r="H12" s="36">
        <v>180</v>
      </c>
      <c r="I12" s="37">
        <v>180</v>
      </c>
      <c r="J12" s="38">
        <f t="shared" si="7"/>
        <v>6.7500928137761891</v>
      </c>
      <c r="K12" s="39">
        <f t="shared" si="2"/>
        <v>5.7142857142857144</v>
      </c>
      <c r="L12" s="40">
        <f t="shared" si="3"/>
        <v>0</v>
      </c>
      <c r="M12" s="40">
        <f t="shared" si="4"/>
        <v>0</v>
      </c>
      <c r="N12" s="45">
        <v>0</v>
      </c>
      <c r="O12" s="31">
        <v>0</v>
      </c>
      <c r="P12" s="46">
        <f t="shared" si="5"/>
        <v>0</v>
      </c>
      <c r="Q12" s="43">
        <f t="shared" si="6"/>
        <v>0.84840985407831093</v>
      </c>
      <c r="R12" s="44"/>
    </row>
    <row r="13" spans="1:19" x14ac:dyDescent="0.25">
      <c r="A13" s="29" t="s">
        <v>42</v>
      </c>
      <c r="B13" s="30" t="s">
        <v>43</v>
      </c>
      <c r="C13" s="31">
        <v>8735108</v>
      </c>
      <c r="D13" s="32">
        <f t="shared" si="0"/>
        <v>8189276.3525498472</v>
      </c>
      <c r="E13" s="33">
        <f t="shared" si="1"/>
        <v>6932625.3968253965</v>
      </c>
      <c r="F13" s="34" t="s">
        <v>44</v>
      </c>
      <c r="G13" s="35">
        <v>13.6</v>
      </c>
      <c r="H13" s="36">
        <v>25</v>
      </c>
      <c r="I13" s="37">
        <v>25</v>
      </c>
      <c r="J13" s="38">
        <f t="shared" si="7"/>
        <v>0.93751289080224853</v>
      </c>
      <c r="K13" s="39">
        <f t="shared" si="2"/>
        <v>0.79365079365079361</v>
      </c>
      <c r="L13" s="40">
        <f t="shared" si="3"/>
        <v>0</v>
      </c>
      <c r="M13" s="40">
        <f t="shared" si="4"/>
        <v>0</v>
      </c>
      <c r="N13" s="45">
        <v>0</v>
      </c>
      <c r="O13" s="31">
        <v>0</v>
      </c>
      <c r="P13" s="46">
        <f t="shared" si="5"/>
        <v>0</v>
      </c>
      <c r="Q13" s="43">
        <f t="shared" si="6"/>
        <v>0.83823529411764719</v>
      </c>
      <c r="R13" s="44"/>
    </row>
    <row r="14" spans="1:19" x14ac:dyDescent="0.25">
      <c r="A14" s="29" t="s">
        <v>45</v>
      </c>
      <c r="B14" s="30" t="s">
        <v>46</v>
      </c>
      <c r="C14" s="31">
        <v>522661465</v>
      </c>
      <c r="D14" s="32">
        <f t="shared" si="0"/>
        <v>820709996.94940805</v>
      </c>
      <c r="E14" s="33">
        <f t="shared" si="1"/>
        <v>694771396.56038094</v>
      </c>
      <c r="F14" s="34" t="s">
        <v>47</v>
      </c>
      <c r="G14" s="35">
        <v>11.5</v>
      </c>
      <c r="H14" s="36">
        <v>38.999499999999998</v>
      </c>
      <c r="I14" s="37">
        <v>41.872799999999998</v>
      </c>
      <c r="J14" s="38">
        <f t="shared" si="7"/>
        <v>1.5702515909593757</v>
      </c>
      <c r="K14" s="39">
        <f t="shared" si="2"/>
        <v>1.3292952380952381</v>
      </c>
      <c r="L14" s="40">
        <f t="shared" si="3"/>
        <v>2.8733000000000004</v>
      </c>
      <c r="M14" s="40">
        <f t="shared" si="4"/>
        <v>7.3675303529532439</v>
      </c>
      <c r="N14" s="45">
        <v>40100</v>
      </c>
      <c r="O14" s="31">
        <v>1679100.05</v>
      </c>
      <c r="P14" s="46">
        <f t="shared" si="5"/>
        <v>0</v>
      </c>
      <c r="Q14" s="43">
        <f t="shared" si="6"/>
        <v>2.6411130434782608</v>
      </c>
      <c r="R14" s="44"/>
    </row>
    <row r="15" spans="1:19" x14ac:dyDescent="0.25">
      <c r="A15" s="29" t="s">
        <v>48</v>
      </c>
      <c r="B15" s="30" t="s">
        <v>49</v>
      </c>
      <c r="C15" s="31">
        <v>106040875</v>
      </c>
      <c r="D15" s="32">
        <f t="shared" si="0"/>
        <v>27438453.684988171</v>
      </c>
      <c r="E15" s="33">
        <f t="shared" si="1"/>
        <v>23228001.19047619</v>
      </c>
      <c r="F15" s="34" t="s">
        <v>34</v>
      </c>
      <c r="G15" s="35">
        <v>5.39</v>
      </c>
      <c r="H15" s="36">
        <v>6.9</v>
      </c>
      <c r="I15" s="37">
        <v>6.9</v>
      </c>
      <c r="J15" s="38">
        <f t="shared" si="7"/>
        <v>0.25875355786142062</v>
      </c>
      <c r="K15" s="39">
        <f t="shared" si="2"/>
        <v>0.21904761904761905</v>
      </c>
      <c r="L15" s="40">
        <f t="shared" si="3"/>
        <v>0</v>
      </c>
      <c r="M15" s="40">
        <f t="shared" si="4"/>
        <v>0</v>
      </c>
      <c r="N15" s="45">
        <v>0</v>
      </c>
      <c r="O15" s="31">
        <v>0</v>
      </c>
      <c r="P15" s="46">
        <f t="shared" si="5"/>
        <v>0</v>
      </c>
      <c r="Q15" s="43">
        <f t="shared" si="6"/>
        <v>0.28014842300556597</v>
      </c>
      <c r="R15" s="44"/>
    </row>
    <row r="16" spans="1:19" x14ac:dyDescent="0.25">
      <c r="A16" s="29" t="s">
        <v>50</v>
      </c>
      <c r="B16" s="30" t="s">
        <v>51</v>
      </c>
      <c r="C16" s="31">
        <v>358000858</v>
      </c>
      <c r="D16" s="32">
        <f t="shared" si="0"/>
        <v>67126083.858653054</v>
      </c>
      <c r="E16" s="33">
        <f t="shared" si="1"/>
        <v>56825533.015873015</v>
      </c>
      <c r="F16" s="34" t="s">
        <v>34</v>
      </c>
      <c r="G16" s="35">
        <v>1.9</v>
      </c>
      <c r="H16" s="36">
        <v>5</v>
      </c>
      <c r="I16" s="37">
        <v>5</v>
      </c>
      <c r="J16" s="38">
        <f t="shared" si="7"/>
        <v>0.18750257816044971</v>
      </c>
      <c r="K16" s="39">
        <f t="shared" si="2"/>
        <v>0.15873015873015872</v>
      </c>
      <c r="L16" s="40">
        <f t="shared" si="3"/>
        <v>0</v>
      </c>
      <c r="M16" s="40">
        <f t="shared" si="4"/>
        <v>0</v>
      </c>
      <c r="N16" s="45">
        <v>0</v>
      </c>
      <c r="O16" s="31">
        <v>0</v>
      </c>
      <c r="P16" s="46">
        <f t="shared" si="5"/>
        <v>0.26666299999999998</v>
      </c>
      <c r="Q16" s="43">
        <f t="shared" si="6"/>
        <v>1.6315789473684212</v>
      </c>
      <c r="R16" s="44">
        <v>0.05</v>
      </c>
      <c r="S16" s="47"/>
    </row>
    <row r="17" spans="1:19" x14ac:dyDescent="0.25">
      <c r="A17" s="29" t="s">
        <v>52</v>
      </c>
      <c r="B17" s="30" t="s">
        <v>53</v>
      </c>
      <c r="C17" s="31">
        <v>1347762995</v>
      </c>
      <c r="D17" s="32">
        <f t="shared" si="0"/>
        <v>1597434468.695282</v>
      </c>
      <c r="E17" s="33">
        <f t="shared" si="1"/>
        <v>1352306881.6688571</v>
      </c>
      <c r="F17" s="34" t="s">
        <v>34</v>
      </c>
      <c r="G17" s="35">
        <v>20.701700000000002</v>
      </c>
      <c r="H17" s="36">
        <v>31.855877999999997</v>
      </c>
      <c r="I17" s="37">
        <v>31.606199999999998</v>
      </c>
      <c r="J17" s="38">
        <f t="shared" si="7"/>
        <v>1.1852487971709611</v>
      </c>
      <c r="K17" s="39">
        <f t="shared" si="2"/>
        <v>1.0033714285714286</v>
      </c>
      <c r="L17" s="40">
        <f t="shared" si="3"/>
        <v>-0.2496779999999994</v>
      </c>
      <c r="M17" s="40">
        <f t="shared" si="4"/>
        <v>-0.78377371987675071</v>
      </c>
      <c r="N17" s="45">
        <v>228400</v>
      </c>
      <c r="O17" s="31">
        <v>7218850.2000000002</v>
      </c>
      <c r="P17" s="42">
        <f t="shared" si="5"/>
        <v>0</v>
      </c>
      <c r="Q17" s="43">
        <f t="shared" si="6"/>
        <v>0.52674418042962623</v>
      </c>
      <c r="R17" s="44"/>
    </row>
    <row r="18" spans="1:19" ht="11.25" hidden="1" customHeight="1" x14ac:dyDescent="0.25">
      <c r="A18" s="29" t="s">
        <v>54</v>
      </c>
      <c r="B18" s="30" t="s">
        <v>55</v>
      </c>
      <c r="C18" s="31">
        <v>671949927</v>
      </c>
      <c r="D18" s="32">
        <f t="shared" si="0"/>
        <v>0</v>
      </c>
      <c r="E18" s="33">
        <f t="shared" si="1"/>
        <v>0</v>
      </c>
      <c r="F18" s="34" t="s">
        <v>56</v>
      </c>
      <c r="G18" s="35">
        <v>6.1399460000000001</v>
      </c>
      <c r="H18" s="36"/>
      <c r="I18" s="37"/>
      <c r="J18" s="38"/>
      <c r="K18" s="39"/>
      <c r="L18" s="40"/>
      <c r="M18" s="40"/>
      <c r="N18" s="45" t="s">
        <v>57</v>
      </c>
      <c r="O18" s="31" t="s">
        <v>57</v>
      </c>
      <c r="P18" s="46"/>
      <c r="Q18" s="43"/>
      <c r="R18" s="44"/>
    </row>
    <row r="19" spans="1:19" x14ac:dyDescent="0.25">
      <c r="A19" s="29" t="s">
        <v>58</v>
      </c>
      <c r="B19" s="30" t="s">
        <v>59</v>
      </c>
      <c r="C19" s="31">
        <v>671949927</v>
      </c>
      <c r="D19" s="32">
        <f t="shared" si="0"/>
        <v>337941703.98526978</v>
      </c>
      <c r="E19" s="33">
        <f t="shared" si="1"/>
        <v>286084281.30102855</v>
      </c>
      <c r="F19" s="34" t="s">
        <v>47</v>
      </c>
      <c r="G19" s="35">
        <v>12.45</v>
      </c>
      <c r="H19" s="36">
        <v>13.498964000000001</v>
      </c>
      <c r="I19" s="37">
        <v>13.411199999999999</v>
      </c>
      <c r="J19" s="38">
        <f t="shared" ref="J19:J45" si="8">I19/$J$5</f>
        <v>0.50292691524508459</v>
      </c>
      <c r="K19" s="39">
        <f t="shared" ref="K19:K45" si="9">I19/$K$4</f>
        <v>0.42575238095238094</v>
      </c>
      <c r="L19" s="40">
        <f t="shared" ref="L19:L29" si="10">I19-H19</f>
        <v>-8.776400000000173E-2</v>
      </c>
      <c r="M19" s="40">
        <f>((I19-H19)/H19)*100</f>
        <v>-0.65015359697234332</v>
      </c>
      <c r="N19" s="45">
        <v>21900</v>
      </c>
      <c r="O19" s="31">
        <v>293705</v>
      </c>
      <c r="P19" s="46">
        <f>(R19)/J19</f>
        <v>0</v>
      </c>
      <c r="Q19" s="43">
        <f t="shared" ref="Q19:Q29" si="11">I19/G19-1</f>
        <v>7.7204819277108427E-2</v>
      </c>
      <c r="R19" s="44"/>
    </row>
    <row r="20" spans="1:19" x14ac:dyDescent="0.25">
      <c r="A20" s="29" t="s">
        <v>60</v>
      </c>
      <c r="B20" s="30" t="s">
        <v>61</v>
      </c>
      <c r="C20" s="31">
        <v>108923291</v>
      </c>
      <c r="D20" s="32">
        <f t="shared" si="0"/>
        <v>3757905.2106966474</v>
      </c>
      <c r="E20" s="33">
        <f t="shared" si="1"/>
        <v>3181251.6736507937</v>
      </c>
      <c r="F20" s="34" t="s">
        <v>47</v>
      </c>
      <c r="G20" s="35">
        <v>0.35</v>
      </c>
      <c r="H20" s="36">
        <v>0.92</v>
      </c>
      <c r="I20" s="37">
        <v>0.92</v>
      </c>
      <c r="J20" s="38">
        <f t="shared" si="8"/>
        <v>3.4500474381522747E-2</v>
      </c>
      <c r="K20" s="39">
        <f t="shared" si="9"/>
        <v>2.9206349206349208E-2</v>
      </c>
      <c r="L20" s="40">
        <f t="shared" si="10"/>
        <v>0</v>
      </c>
      <c r="M20" s="40">
        <f>((I20-H20)/H20)*100</f>
        <v>0</v>
      </c>
      <c r="N20" s="45">
        <v>0</v>
      </c>
      <c r="O20" s="31">
        <v>0</v>
      </c>
      <c r="P20" s="46">
        <f>(R20)/J20</f>
        <v>0</v>
      </c>
      <c r="Q20" s="43">
        <f t="shared" si="11"/>
        <v>1.628571428571429</v>
      </c>
      <c r="R20" s="44"/>
    </row>
    <row r="21" spans="1:19" x14ac:dyDescent="0.25">
      <c r="A21" s="29" t="s">
        <v>62</v>
      </c>
      <c r="B21" s="30" t="s">
        <v>63</v>
      </c>
      <c r="C21" s="31">
        <v>690143060</v>
      </c>
      <c r="D21" s="32">
        <f t="shared" si="0"/>
        <v>86700414.043193087</v>
      </c>
      <c r="E21" s="33">
        <f t="shared" si="1"/>
        <v>73396166.698412701</v>
      </c>
      <c r="F21" s="34" t="s">
        <v>47</v>
      </c>
      <c r="G21" s="35">
        <v>2.85</v>
      </c>
      <c r="H21" s="36">
        <v>3.35</v>
      </c>
      <c r="I21" s="37">
        <v>3.35</v>
      </c>
      <c r="J21" s="38">
        <f t="shared" si="8"/>
        <v>0.1256267273675013</v>
      </c>
      <c r="K21" s="39">
        <f t="shared" si="9"/>
        <v>0.10634920634920635</v>
      </c>
      <c r="L21" s="40">
        <f t="shared" si="10"/>
        <v>0</v>
      </c>
      <c r="M21" s="40">
        <f>((I21-H21)/H21)*100</f>
        <v>0</v>
      </c>
      <c r="N21" s="45">
        <v>0</v>
      </c>
      <c r="O21" s="31">
        <v>0</v>
      </c>
      <c r="P21" s="46">
        <f>(R21)/J21</f>
        <v>0</v>
      </c>
      <c r="Q21" s="43">
        <f t="shared" si="11"/>
        <v>0.17543859649122817</v>
      </c>
      <c r="R21" s="44"/>
    </row>
    <row r="22" spans="1:19" ht="12" hidden="1" customHeight="1" x14ac:dyDescent="0.25">
      <c r="A22" s="29" t="s">
        <v>64</v>
      </c>
      <c r="B22" s="30" t="s">
        <v>65</v>
      </c>
      <c r="C22" s="31">
        <v>193020564</v>
      </c>
      <c r="D22" s="32">
        <f t="shared" si="0"/>
        <v>0</v>
      </c>
      <c r="E22" s="33">
        <f t="shared" si="1"/>
        <v>0</v>
      </c>
      <c r="F22" s="34" t="s">
        <v>66</v>
      </c>
      <c r="G22" s="35">
        <v>0.88420599999999994</v>
      </c>
      <c r="H22" s="36">
        <v>0</v>
      </c>
      <c r="I22" s="37"/>
      <c r="J22" s="38">
        <f t="shared" si="8"/>
        <v>0</v>
      </c>
      <c r="K22" s="39">
        <f t="shared" si="9"/>
        <v>0</v>
      </c>
      <c r="L22" s="40">
        <f t="shared" si="10"/>
        <v>0</v>
      </c>
      <c r="M22" s="40">
        <v>0</v>
      </c>
      <c r="N22" s="48" t="s">
        <v>57</v>
      </c>
      <c r="O22" s="48" t="s">
        <v>57</v>
      </c>
      <c r="P22" s="48" t="s">
        <v>67</v>
      </c>
      <c r="Q22" s="43">
        <f t="shared" si="11"/>
        <v>-1</v>
      </c>
      <c r="R22" s="44"/>
    </row>
    <row r="23" spans="1:19" x14ac:dyDescent="0.25">
      <c r="A23" s="29" t="s">
        <v>68</v>
      </c>
      <c r="B23" s="30" t="s">
        <v>69</v>
      </c>
      <c r="C23" s="31">
        <v>536588623</v>
      </c>
      <c r="D23" s="32">
        <f t="shared" si="0"/>
        <v>1770766.8039435544</v>
      </c>
      <c r="E23" s="33">
        <f t="shared" si="1"/>
        <v>1499041.2325079367</v>
      </c>
      <c r="F23" s="34" t="s">
        <v>44</v>
      </c>
      <c r="G23" s="35">
        <v>0.1</v>
      </c>
      <c r="H23" s="36">
        <v>8.8000000000000009E-2</v>
      </c>
      <c r="I23" s="37">
        <v>8.8000000000000009E-2</v>
      </c>
      <c r="J23" s="38">
        <f t="shared" si="8"/>
        <v>3.3000453756239154E-3</v>
      </c>
      <c r="K23" s="39">
        <f t="shared" si="9"/>
        <v>2.7936507936507939E-3</v>
      </c>
      <c r="L23" s="40">
        <f t="shared" si="10"/>
        <v>0</v>
      </c>
      <c r="M23" s="40">
        <f t="shared" ref="M23:M29" si="12">((I23-H23)/H23)*100</f>
        <v>0</v>
      </c>
      <c r="N23" s="45">
        <v>1700</v>
      </c>
      <c r="O23" s="31">
        <v>149.6</v>
      </c>
      <c r="P23" s="46">
        <f t="shared" ref="P23:P29" si="13">(R23)/J23</f>
        <v>0</v>
      </c>
      <c r="Q23" s="43">
        <f t="shared" si="11"/>
        <v>-0.12</v>
      </c>
      <c r="R23" s="44"/>
    </row>
    <row r="24" spans="1:19" x14ac:dyDescent="0.25">
      <c r="A24" s="29" t="s">
        <v>70</v>
      </c>
      <c r="B24" s="30" t="s">
        <v>71</v>
      </c>
      <c r="C24" s="31">
        <v>193020564</v>
      </c>
      <c r="D24" s="32">
        <f t="shared" si="0"/>
        <v>76744825.109220237</v>
      </c>
      <c r="E24" s="33">
        <f t="shared" si="1"/>
        <v>64968270.787619039</v>
      </c>
      <c r="F24" s="34" t="s">
        <v>34</v>
      </c>
      <c r="G24" s="35">
        <v>8.1687659999999997</v>
      </c>
      <c r="H24" s="36">
        <v>11</v>
      </c>
      <c r="I24" s="37">
        <v>10.602499999999999</v>
      </c>
      <c r="J24" s="38">
        <f t="shared" si="8"/>
        <v>0.39759921698923356</v>
      </c>
      <c r="K24" s="39">
        <f t="shared" si="9"/>
        <v>0.33658730158730155</v>
      </c>
      <c r="L24" s="40">
        <f t="shared" si="10"/>
        <v>-0.39750000000000085</v>
      </c>
      <c r="M24" s="40">
        <f t="shared" si="12"/>
        <v>-3.6136363636363718</v>
      </c>
      <c r="N24" s="45">
        <v>80600</v>
      </c>
      <c r="O24" s="31">
        <v>854560</v>
      </c>
      <c r="P24" s="42">
        <f t="shared" si="13"/>
        <v>3.7726432445178024E-2</v>
      </c>
      <c r="Q24" s="43">
        <f t="shared" si="11"/>
        <v>0.29793165822108247</v>
      </c>
      <c r="R24" s="44">
        <f>(1.5/100)</f>
        <v>1.4999999999999999E-2</v>
      </c>
      <c r="S24" s="5" t="s">
        <v>72</v>
      </c>
    </row>
    <row r="25" spans="1:19" x14ac:dyDescent="0.25">
      <c r="A25" s="29" t="s">
        <v>73</v>
      </c>
      <c r="B25" s="30" t="s">
        <v>74</v>
      </c>
      <c r="C25" s="31">
        <v>1687584009</v>
      </c>
      <c r="D25" s="32">
        <f t="shared" si="0"/>
        <v>107728617.43100581</v>
      </c>
      <c r="E25" s="33">
        <f t="shared" si="1"/>
        <v>91197575.587315246</v>
      </c>
      <c r="F25" s="34" t="s">
        <v>66</v>
      </c>
      <c r="G25" s="35">
        <v>1.6675</v>
      </c>
      <c r="H25" s="36">
        <v>1.7022699999999999</v>
      </c>
      <c r="I25" s="37">
        <v>1.7022699999999999</v>
      </c>
      <c r="J25" s="38">
        <f t="shared" si="8"/>
        <v>6.3836002745037743E-2</v>
      </c>
      <c r="K25" s="39">
        <f t="shared" si="9"/>
        <v>5.4040317460317462E-2</v>
      </c>
      <c r="L25" s="40">
        <f t="shared" si="10"/>
        <v>0</v>
      </c>
      <c r="M25" s="40">
        <f t="shared" si="12"/>
        <v>0</v>
      </c>
      <c r="N25" s="45">
        <v>0</v>
      </c>
      <c r="O25" s="31">
        <v>0</v>
      </c>
      <c r="P25" s="46">
        <f t="shared" si="13"/>
        <v>0</v>
      </c>
      <c r="Q25" s="43">
        <f t="shared" si="11"/>
        <v>2.0851574212893631E-2</v>
      </c>
      <c r="R25" s="44"/>
    </row>
    <row r="26" spans="1:19" x14ac:dyDescent="0.25">
      <c r="A26" s="29" t="s">
        <v>75</v>
      </c>
      <c r="B26" s="30" t="s">
        <v>76</v>
      </c>
      <c r="C26" s="31">
        <v>239388107</v>
      </c>
      <c r="D26" s="32">
        <f t="shared" si="0"/>
        <v>23340661.366593793</v>
      </c>
      <c r="E26" s="33">
        <f t="shared" si="1"/>
        <v>19759018.355555557</v>
      </c>
      <c r="F26" s="34" t="s">
        <v>44</v>
      </c>
      <c r="G26" s="35">
        <v>1.7994999999999999</v>
      </c>
      <c r="H26" s="36">
        <v>2.6</v>
      </c>
      <c r="I26" s="37">
        <v>2.6</v>
      </c>
      <c r="J26" s="38">
        <f t="shared" si="8"/>
        <v>9.7501340643433854E-2</v>
      </c>
      <c r="K26" s="39">
        <f t="shared" si="9"/>
        <v>8.2539682539682538E-2</v>
      </c>
      <c r="L26" s="40">
        <f t="shared" si="10"/>
        <v>0</v>
      </c>
      <c r="M26" s="40">
        <f t="shared" si="12"/>
        <v>0</v>
      </c>
      <c r="N26" s="45">
        <v>600</v>
      </c>
      <c r="O26" s="31">
        <v>1560</v>
      </c>
      <c r="P26" s="46">
        <f t="shared" si="13"/>
        <v>0</v>
      </c>
      <c r="Q26" s="43">
        <f t="shared" si="11"/>
        <v>0.44484579049736062</v>
      </c>
      <c r="R26" s="44"/>
    </row>
    <row r="27" spans="1:19" x14ac:dyDescent="0.25">
      <c r="A27" s="29" t="s">
        <v>77</v>
      </c>
      <c r="B27" s="30" t="s">
        <v>78</v>
      </c>
      <c r="C27" s="31">
        <v>256150741</v>
      </c>
      <c r="D27" s="32">
        <f t="shared" si="0"/>
        <v>23250773.453320373</v>
      </c>
      <c r="E27" s="33">
        <f t="shared" si="1"/>
        <v>19682923.813913558</v>
      </c>
      <c r="F27" s="34" t="s">
        <v>34</v>
      </c>
      <c r="G27" s="35">
        <v>3.1361369999999997</v>
      </c>
      <c r="H27" s="36">
        <v>2.4231720000000001</v>
      </c>
      <c r="I27" s="37">
        <v>2.4204970000000001</v>
      </c>
      <c r="J27" s="38">
        <f t="shared" si="8"/>
        <v>9.0769885585926816E-2</v>
      </c>
      <c r="K27" s="39">
        <f t="shared" si="9"/>
        <v>7.6841174603174606E-2</v>
      </c>
      <c r="L27" s="40">
        <f t="shared" si="10"/>
        <v>-2.6749999999999829E-3</v>
      </c>
      <c r="M27" s="40">
        <f t="shared" si="12"/>
        <v>-0.11039249380563917</v>
      </c>
      <c r="N27" s="45">
        <v>16100</v>
      </c>
      <c r="O27" s="31">
        <v>38970</v>
      </c>
      <c r="P27" s="46">
        <f t="shared" si="13"/>
        <v>0</v>
      </c>
      <c r="Q27" s="43">
        <f t="shared" si="11"/>
        <v>-0.22819156178444999</v>
      </c>
      <c r="R27" s="44"/>
    </row>
    <row r="28" spans="1:19" x14ac:dyDescent="0.25">
      <c r="A28" s="29" t="s">
        <v>79</v>
      </c>
      <c r="B28" s="30" t="s">
        <v>80</v>
      </c>
      <c r="C28" s="31">
        <v>755648101</v>
      </c>
      <c r="D28" s="32">
        <f t="shared" si="0"/>
        <v>24511672.311681785</v>
      </c>
      <c r="E28" s="33">
        <f t="shared" si="1"/>
        <v>20750336.741746031</v>
      </c>
      <c r="F28" s="34" t="s">
        <v>44</v>
      </c>
      <c r="G28" s="35">
        <v>0.8</v>
      </c>
      <c r="H28" s="36">
        <v>0.86250000000000004</v>
      </c>
      <c r="I28" s="37">
        <v>0.86499999999999999</v>
      </c>
      <c r="J28" s="38">
        <f t="shared" si="8"/>
        <v>3.2437946021757799E-2</v>
      </c>
      <c r="K28" s="39">
        <f t="shared" si="9"/>
        <v>2.7460317460317459E-2</v>
      </c>
      <c r="L28" s="40">
        <f t="shared" si="10"/>
        <v>2.4999999999999467E-3</v>
      </c>
      <c r="M28" s="40">
        <f t="shared" si="12"/>
        <v>0.28985507246376191</v>
      </c>
      <c r="N28" s="45">
        <v>1700</v>
      </c>
      <c r="O28" s="31">
        <v>1470.5</v>
      </c>
      <c r="P28" s="46">
        <f t="shared" si="13"/>
        <v>0</v>
      </c>
      <c r="Q28" s="43">
        <f t="shared" si="11"/>
        <v>8.1249999999999822E-2</v>
      </c>
      <c r="R28" s="44"/>
    </row>
    <row r="29" spans="1:19" x14ac:dyDescent="0.25">
      <c r="A29" s="29" t="s">
        <v>81</v>
      </c>
      <c r="B29" s="30" t="s">
        <v>82</v>
      </c>
      <c r="C29" s="31">
        <v>449129618</v>
      </c>
      <c r="D29" s="32">
        <f t="shared" si="0"/>
        <v>100213423.95082933</v>
      </c>
      <c r="E29" s="33">
        <f t="shared" si="1"/>
        <v>84835594.51111111</v>
      </c>
      <c r="F29" s="34" t="s">
        <v>47</v>
      </c>
      <c r="G29" s="35">
        <v>5.15</v>
      </c>
      <c r="H29" s="36">
        <v>5.95</v>
      </c>
      <c r="I29" s="37">
        <v>5.95</v>
      </c>
      <c r="J29" s="38">
        <f t="shared" si="8"/>
        <v>0.22312806801093515</v>
      </c>
      <c r="K29" s="39">
        <f t="shared" si="9"/>
        <v>0.18888888888888888</v>
      </c>
      <c r="L29" s="40">
        <f t="shared" si="10"/>
        <v>0</v>
      </c>
      <c r="M29" s="40">
        <f t="shared" si="12"/>
        <v>0</v>
      </c>
      <c r="N29" s="45">
        <v>0</v>
      </c>
      <c r="O29" s="31">
        <v>0</v>
      </c>
      <c r="P29" s="46">
        <f t="shared" si="13"/>
        <v>0</v>
      </c>
      <c r="Q29" s="43">
        <f t="shared" si="11"/>
        <v>0.15533980582524265</v>
      </c>
      <c r="R29" s="44"/>
    </row>
    <row r="30" spans="1:19" ht="12" hidden="1" customHeight="1" x14ac:dyDescent="0.25">
      <c r="A30" s="29" t="s">
        <v>83</v>
      </c>
      <c r="B30" s="30" t="s">
        <v>84</v>
      </c>
      <c r="C30" s="31">
        <v>3171161098</v>
      </c>
      <c r="D30" s="32">
        <f t="shared" si="0"/>
        <v>0</v>
      </c>
      <c r="E30" s="33">
        <f t="shared" si="1"/>
        <v>0</v>
      </c>
      <c r="F30" s="34" t="s">
        <v>34</v>
      </c>
      <c r="G30" s="35">
        <v>0.13000100000000001</v>
      </c>
      <c r="H30" s="46">
        <v>0</v>
      </c>
      <c r="I30" s="49"/>
      <c r="J30" s="50">
        <f t="shared" si="8"/>
        <v>0</v>
      </c>
      <c r="K30" s="51">
        <f t="shared" si="9"/>
        <v>0</v>
      </c>
      <c r="L30" s="40">
        <v>0</v>
      </c>
      <c r="M30" s="40">
        <v>0</v>
      </c>
      <c r="N30" s="48" t="s">
        <v>57</v>
      </c>
      <c r="O30" s="48" t="s">
        <v>57</v>
      </c>
      <c r="P30" s="48" t="s">
        <v>85</v>
      </c>
      <c r="Q30" s="43">
        <v>0</v>
      </c>
      <c r="R30" s="44"/>
    </row>
    <row r="31" spans="1:19" ht="12" customHeight="1" x14ac:dyDescent="0.25">
      <c r="A31" s="29" t="s">
        <v>86</v>
      </c>
      <c r="B31" s="30" t="s">
        <v>87</v>
      </c>
      <c r="C31" s="31">
        <v>259866270</v>
      </c>
      <c r="D31" s="32">
        <f t="shared" si="0"/>
        <v>14910032.254193496</v>
      </c>
      <c r="E31" s="33">
        <f t="shared" si="1"/>
        <v>12622075.971428571</v>
      </c>
      <c r="F31" s="34" t="s">
        <v>39</v>
      </c>
      <c r="G31" s="35">
        <v>1.4</v>
      </c>
      <c r="H31" s="36">
        <v>1.35</v>
      </c>
      <c r="I31" s="37">
        <v>1.53</v>
      </c>
      <c r="J31" s="38">
        <f t="shared" si="8"/>
        <v>5.737578891709761E-2</v>
      </c>
      <c r="K31" s="39">
        <f t="shared" si="9"/>
        <v>4.8571428571428571E-2</v>
      </c>
      <c r="L31" s="40">
        <f t="shared" ref="L31:L45" si="14">I31-H31</f>
        <v>0.17999999999999994</v>
      </c>
      <c r="M31" s="40">
        <f t="shared" ref="M31:M45" si="15">((I31-H31)/H31)*100</f>
        <v>13.333333333333327</v>
      </c>
      <c r="N31" s="45">
        <v>1429700</v>
      </c>
      <c r="O31" s="31">
        <v>2187441</v>
      </c>
      <c r="P31" s="46">
        <f t="shared" ref="P31:P36" si="16">(R31)/J31</f>
        <v>0</v>
      </c>
      <c r="Q31" s="43">
        <f t="shared" ref="Q31:Q45" si="17">I31/G31-1</f>
        <v>9.2857142857142971E-2</v>
      </c>
      <c r="R31" s="44"/>
    </row>
    <row r="32" spans="1:19" x14ac:dyDescent="0.25">
      <c r="A32" s="29" t="s">
        <v>88</v>
      </c>
      <c r="B32" s="30" t="s">
        <v>89</v>
      </c>
      <c r="C32" s="31">
        <v>122029470</v>
      </c>
      <c r="D32" s="32">
        <f t="shared" si="0"/>
        <v>4484644.6863644375</v>
      </c>
      <c r="E32" s="33">
        <f t="shared" si="1"/>
        <v>3796472.4</v>
      </c>
      <c r="F32" s="34" t="s">
        <v>39</v>
      </c>
      <c r="G32" s="35">
        <v>0.65</v>
      </c>
      <c r="H32" s="36">
        <v>0.98</v>
      </c>
      <c r="I32" s="37">
        <v>0.98</v>
      </c>
      <c r="J32" s="38">
        <f t="shared" si="8"/>
        <v>3.6750505319448144E-2</v>
      </c>
      <c r="K32" s="39">
        <f t="shared" si="9"/>
        <v>3.111111111111111E-2</v>
      </c>
      <c r="L32" s="40">
        <f t="shared" si="14"/>
        <v>0</v>
      </c>
      <c r="M32" s="40">
        <f t="shared" si="15"/>
        <v>0</v>
      </c>
      <c r="N32" s="45">
        <v>0</v>
      </c>
      <c r="O32" s="31">
        <v>0</v>
      </c>
      <c r="P32" s="46">
        <f t="shared" si="16"/>
        <v>0</v>
      </c>
      <c r="Q32" s="43">
        <f t="shared" si="17"/>
        <v>0.50769230769230766</v>
      </c>
      <c r="R32" s="44"/>
    </row>
    <row r="33" spans="1:18" x14ac:dyDescent="0.25">
      <c r="A33" s="29" t="s">
        <v>90</v>
      </c>
      <c r="B33" s="30" t="s">
        <v>91</v>
      </c>
      <c r="C33" s="31">
        <v>2495495543</v>
      </c>
      <c r="D33" s="32">
        <f t="shared" si="0"/>
        <v>154410909.87313575</v>
      </c>
      <c r="E33" s="33">
        <f t="shared" si="1"/>
        <v>130716433.20476189</v>
      </c>
      <c r="F33" s="34" t="s">
        <v>92</v>
      </c>
      <c r="G33" s="35">
        <v>1.44</v>
      </c>
      <c r="H33" s="36">
        <v>1.5552940000000002</v>
      </c>
      <c r="I33" s="37">
        <v>1.65</v>
      </c>
      <c r="J33" s="38">
        <f t="shared" si="8"/>
        <v>6.1875850792948398E-2</v>
      </c>
      <c r="K33" s="39">
        <f t="shared" si="9"/>
        <v>5.2380952380952375E-2</v>
      </c>
      <c r="L33" s="40">
        <f t="shared" si="14"/>
        <v>9.4705999999999735E-2</v>
      </c>
      <c r="M33" s="40">
        <f t="shared" si="15"/>
        <v>6.0892667238476923</v>
      </c>
      <c r="N33" s="45">
        <v>500</v>
      </c>
      <c r="O33" s="31">
        <v>825</v>
      </c>
      <c r="P33" s="46">
        <f t="shared" si="16"/>
        <v>0</v>
      </c>
      <c r="Q33" s="43">
        <f t="shared" si="17"/>
        <v>0.14583333333333326</v>
      </c>
      <c r="R33" s="44">
        <v>0</v>
      </c>
    </row>
    <row r="34" spans="1:18" x14ac:dyDescent="0.25">
      <c r="A34" s="29" t="s">
        <v>93</v>
      </c>
      <c r="B34" s="30" t="s">
        <v>94</v>
      </c>
      <c r="C34" s="31">
        <v>253492983</v>
      </c>
      <c r="D34" s="32">
        <f t="shared" si="0"/>
        <v>46667251.766346402</v>
      </c>
      <c r="E34" s="33">
        <f t="shared" si="1"/>
        <v>39506124.945299149</v>
      </c>
      <c r="F34" s="34" t="s">
        <v>34</v>
      </c>
      <c r="G34" s="35">
        <v>3.6056249999999999</v>
      </c>
      <c r="H34" s="36">
        <v>4.96</v>
      </c>
      <c r="I34" s="37">
        <v>4.9091810000000002</v>
      </c>
      <c r="J34" s="38">
        <f t="shared" si="8"/>
        <v>0.18409681883125895</v>
      </c>
      <c r="K34" s="39">
        <f t="shared" si="9"/>
        <v>0.15584701587301589</v>
      </c>
      <c r="L34" s="40">
        <f t="shared" si="14"/>
        <v>-5.0818999999999726E-2</v>
      </c>
      <c r="M34" s="40">
        <f t="shared" si="15"/>
        <v>-1.0245766129032203</v>
      </c>
      <c r="N34" s="45">
        <v>69700</v>
      </c>
      <c r="O34" s="31">
        <v>342169.9</v>
      </c>
      <c r="P34" s="46">
        <f t="shared" si="16"/>
        <v>0</v>
      </c>
      <c r="Q34" s="43">
        <f t="shared" si="17"/>
        <v>0.36153399202634784</v>
      </c>
      <c r="R34" s="44"/>
    </row>
    <row r="35" spans="1:18" x14ac:dyDescent="0.25">
      <c r="A35" s="29" t="s">
        <v>95</v>
      </c>
      <c r="B35" s="30" t="s">
        <v>96</v>
      </c>
      <c r="C35" s="31">
        <v>4715084056</v>
      </c>
      <c r="D35" s="32">
        <f t="shared" si="0"/>
        <v>7210995.0751244836</v>
      </c>
      <c r="E35" s="33">
        <f t="shared" si="1"/>
        <v>6104462.1578346668</v>
      </c>
      <c r="F35" s="34" t="s">
        <v>34</v>
      </c>
      <c r="G35" s="35">
        <v>2.5099999999999997E-2</v>
      </c>
      <c r="H35" s="36">
        <v>4.0999999999999995E-2</v>
      </c>
      <c r="I35" s="37">
        <v>4.0781999999999999E-2</v>
      </c>
      <c r="J35" s="38">
        <f t="shared" si="8"/>
        <v>1.529346028507892E-3</v>
      </c>
      <c r="K35" s="39">
        <f t="shared" si="9"/>
        <v>1.2946666666666666E-3</v>
      </c>
      <c r="L35" s="40">
        <f t="shared" si="14"/>
        <v>-2.1799999999999597E-4</v>
      </c>
      <c r="M35" s="40">
        <f t="shared" si="15"/>
        <v>-0.53170731707316099</v>
      </c>
      <c r="N35" s="45">
        <v>13300</v>
      </c>
      <c r="O35" s="31">
        <v>542.4</v>
      </c>
      <c r="P35" s="46">
        <f t="shared" si="16"/>
        <v>0</v>
      </c>
      <c r="Q35" s="43">
        <f t="shared" si="17"/>
        <v>0.62478087649402414</v>
      </c>
      <c r="R35" s="44"/>
    </row>
    <row r="36" spans="1:18" x14ac:dyDescent="0.25">
      <c r="A36" s="29" t="s">
        <v>97</v>
      </c>
      <c r="B36" s="30" t="s">
        <v>98</v>
      </c>
      <c r="C36" s="31">
        <v>525090993</v>
      </c>
      <c r="D36" s="32">
        <f t="shared" si="0"/>
        <v>81718409.413754448</v>
      </c>
      <c r="E36" s="33">
        <f t="shared" si="1"/>
        <v>69178654.63333334</v>
      </c>
      <c r="F36" s="34" t="s">
        <v>92</v>
      </c>
      <c r="G36" s="35">
        <v>0.61</v>
      </c>
      <c r="H36" s="36">
        <v>4.4089999999999998</v>
      </c>
      <c r="I36" s="37">
        <v>4.1500000000000004</v>
      </c>
      <c r="J36" s="38">
        <f t="shared" si="8"/>
        <v>0.15562713987317328</v>
      </c>
      <c r="K36" s="39">
        <f t="shared" si="9"/>
        <v>0.13174603174603175</v>
      </c>
      <c r="L36" s="40">
        <f t="shared" si="14"/>
        <v>-0.25899999999999945</v>
      </c>
      <c r="M36" s="40">
        <f t="shared" si="15"/>
        <v>-5.8743479246994665</v>
      </c>
      <c r="N36" s="45">
        <v>200</v>
      </c>
      <c r="O36" s="31">
        <v>830</v>
      </c>
      <c r="P36" s="46">
        <f t="shared" si="16"/>
        <v>0</v>
      </c>
      <c r="Q36" s="43">
        <f t="shared" si="17"/>
        <v>5.8032786885245908</v>
      </c>
      <c r="R36" s="44"/>
    </row>
    <row r="37" spans="1:18" x14ac:dyDescent="0.25">
      <c r="A37" s="29" t="s">
        <v>99</v>
      </c>
      <c r="B37" s="30" t="s">
        <v>100</v>
      </c>
      <c r="C37" s="31">
        <v>4194797929</v>
      </c>
      <c r="D37" s="32">
        <f t="shared" si="0"/>
        <v>47251744.978309371</v>
      </c>
      <c r="E37" s="33">
        <f t="shared" si="1"/>
        <v>40000927.210002892</v>
      </c>
      <c r="F37" s="34" t="s">
        <v>56</v>
      </c>
      <c r="G37" s="35">
        <v>0.11650199999999999</v>
      </c>
      <c r="H37" s="36">
        <v>0.3024</v>
      </c>
      <c r="I37" s="37">
        <v>0.30037900000000001</v>
      </c>
      <c r="J37" s="38">
        <f t="shared" si="8"/>
        <v>1.1264367385051545E-2</v>
      </c>
      <c r="K37" s="39">
        <f t="shared" si="9"/>
        <v>9.5358412698412706E-3</v>
      </c>
      <c r="L37" s="40">
        <f t="shared" si="14"/>
        <v>-2.020999999999995E-3</v>
      </c>
      <c r="M37" s="40">
        <f t="shared" si="15"/>
        <v>-0.66832010582010415</v>
      </c>
      <c r="N37" s="45">
        <v>70900</v>
      </c>
      <c r="O37" s="31">
        <v>21296.9</v>
      </c>
      <c r="P37" s="46">
        <v>0</v>
      </c>
      <c r="Q37" s="43">
        <f t="shared" si="17"/>
        <v>1.5783162520815095</v>
      </c>
      <c r="R37" s="44"/>
    </row>
    <row r="38" spans="1:18" x14ac:dyDescent="0.25">
      <c r="A38" s="29" t="s">
        <v>101</v>
      </c>
      <c r="B38" s="30" t="s">
        <v>102</v>
      </c>
      <c r="C38" s="31">
        <v>4315726499</v>
      </c>
      <c r="D38" s="32">
        <f t="shared" si="0"/>
        <v>22657875.665540401</v>
      </c>
      <c r="E38" s="33">
        <f t="shared" si="1"/>
        <v>19181006.662222221</v>
      </c>
      <c r="F38" s="34" t="s">
        <v>39</v>
      </c>
      <c r="G38" s="35">
        <v>0.1</v>
      </c>
      <c r="H38" s="36">
        <v>0.139262</v>
      </c>
      <c r="I38" s="37">
        <v>0.14000000000000001</v>
      </c>
      <c r="J38" s="38">
        <f t="shared" si="8"/>
        <v>5.2500721884925919E-3</v>
      </c>
      <c r="K38" s="39">
        <f t="shared" si="9"/>
        <v>4.4444444444444444E-3</v>
      </c>
      <c r="L38" s="40">
        <f t="shared" si="14"/>
        <v>7.3800000000001642E-4</v>
      </c>
      <c r="M38" s="40">
        <f t="shared" si="15"/>
        <v>0.52993637891170342</v>
      </c>
      <c r="N38" s="45">
        <v>300</v>
      </c>
      <c r="O38" s="31">
        <v>42</v>
      </c>
      <c r="P38" s="46">
        <f t="shared" ref="P38:P44" si="18">(R38)/J38</f>
        <v>0</v>
      </c>
      <c r="Q38" s="43">
        <f t="shared" si="17"/>
        <v>0.40000000000000013</v>
      </c>
      <c r="R38" s="44"/>
    </row>
    <row r="39" spans="1:18" x14ac:dyDescent="0.25">
      <c r="A39" s="29" t="s">
        <v>103</v>
      </c>
      <c r="B39" s="30" t="s">
        <v>104</v>
      </c>
      <c r="C39" s="31">
        <v>106474237</v>
      </c>
      <c r="D39" s="32">
        <f t="shared" si="0"/>
        <v>7985677.5780666983</v>
      </c>
      <c r="E39" s="33">
        <f t="shared" si="1"/>
        <v>6760269.0158730159</v>
      </c>
      <c r="F39" s="34" t="s">
        <v>44</v>
      </c>
      <c r="G39" s="35">
        <v>1.7452379999999998</v>
      </c>
      <c r="H39" s="36">
        <v>2</v>
      </c>
      <c r="I39" s="37">
        <v>2</v>
      </c>
      <c r="J39" s="38">
        <f t="shared" si="8"/>
        <v>7.5001031264179882E-2</v>
      </c>
      <c r="K39" s="39">
        <f t="shared" si="9"/>
        <v>6.3492063492063489E-2</v>
      </c>
      <c r="L39" s="40">
        <f t="shared" si="14"/>
        <v>0</v>
      </c>
      <c r="M39" s="40">
        <f t="shared" si="15"/>
        <v>0</v>
      </c>
      <c r="N39" s="45">
        <v>0</v>
      </c>
      <c r="O39" s="31">
        <v>0</v>
      </c>
      <c r="P39" s="46">
        <f t="shared" si="18"/>
        <v>0</v>
      </c>
      <c r="Q39" s="43">
        <f t="shared" si="17"/>
        <v>0.14597550591953667</v>
      </c>
      <c r="R39" s="44">
        <v>0</v>
      </c>
    </row>
    <row r="40" spans="1:18" x14ac:dyDescent="0.25">
      <c r="A40" s="29" t="s">
        <v>105</v>
      </c>
      <c r="B40" s="30" t="s">
        <v>106</v>
      </c>
      <c r="C40" s="31">
        <v>1778001428</v>
      </c>
      <c r="D40" s="32">
        <f t="shared" si="0"/>
        <v>4676652.5599696999</v>
      </c>
      <c r="E40" s="33">
        <f t="shared" si="1"/>
        <v>3959016.5130133335</v>
      </c>
      <c r="F40" s="34" t="s">
        <v>39</v>
      </c>
      <c r="G40" s="35">
        <v>0.03</v>
      </c>
      <c r="H40" s="36">
        <v>7.0000000000000007E-2</v>
      </c>
      <c r="I40" s="37">
        <v>7.0140000000000008E-2</v>
      </c>
      <c r="J40" s="38">
        <f t="shared" si="8"/>
        <v>2.6302861664347886E-3</v>
      </c>
      <c r="K40" s="39">
        <f t="shared" si="9"/>
        <v>2.2266666666666667E-3</v>
      </c>
      <c r="L40" s="40">
        <f t="shared" si="14"/>
        <v>1.4000000000000123E-4</v>
      </c>
      <c r="M40" s="40">
        <f t="shared" si="15"/>
        <v>0.20000000000000173</v>
      </c>
      <c r="N40" s="45">
        <v>5000</v>
      </c>
      <c r="O40" s="31">
        <v>350.7</v>
      </c>
      <c r="P40" s="46">
        <f t="shared" si="18"/>
        <v>0</v>
      </c>
      <c r="Q40" s="43">
        <f t="shared" si="17"/>
        <v>1.3380000000000005</v>
      </c>
      <c r="R40" s="44">
        <v>0</v>
      </c>
    </row>
    <row r="41" spans="1:18" x14ac:dyDescent="0.25">
      <c r="A41" s="29" t="s">
        <v>107</v>
      </c>
      <c r="B41" s="30" t="s">
        <v>108</v>
      </c>
      <c r="C41" s="31">
        <v>175190642</v>
      </c>
      <c r="D41" s="32">
        <f t="shared" si="0"/>
        <v>44674227.980634734</v>
      </c>
      <c r="E41" s="33">
        <f t="shared" si="1"/>
        <v>37818932.241269842</v>
      </c>
      <c r="F41" s="34" t="s">
        <v>47</v>
      </c>
      <c r="G41" s="35">
        <v>4.5</v>
      </c>
      <c r="H41" s="36">
        <v>7</v>
      </c>
      <c r="I41" s="37">
        <v>6.8</v>
      </c>
      <c r="J41" s="38">
        <f t="shared" si="8"/>
        <v>0.25500350629821161</v>
      </c>
      <c r="K41" s="39">
        <f t="shared" si="9"/>
        <v>0.21587301587301586</v>
      </c>
      <c r="L41" s="40">
        <f t="shared" si="14"/>
        <v>-0.20000000000000018</v>
      </c>
      <c r="M41" s="40">
        <f t="shared" si="15"/>
        <v>-2.8571428571428599</v>
      </c>
      <c r="N41" s="45">
        <v>800</v>
      </c>
      <c r="O41" s="31">
        <v>5440</v>
      </c>
      <c r="P41" s="46">
        <f t="shared" si="18"/>
        <v>0</v>
      </c>
      <c r="Q41" s="43">
        <f t="shared" si="17"/>
        <v>0.51111111111111107</v>
      </c>
      <c r="R41" s="44"/>
    </row>
    <row r="42" spans="1:18" ht="12" customHeight="1" x14ac:dyDescent="0.25">
      <c r="A42" s="29" t="s">
        <v>109</v>
      </c>
      <c r="B42" s="30" t="s">
        <v>110</v>
      </c>
      <c r="C42" s="31">
        <v>463337661</v>
      </c>
      <c r="D42" s="32">
        <f t="shared" si="0"/>
        <v>312.75722158679679</v>
      </c>
      <c r="E42" s="33">
        <f t="shared" si="1"/>
        <v>264.76437771428573</v>
      </c>
      <c r="F42" s="34" t="s">
        <v>44</v>
      </c>
      <c r="G42" s="35">
        <v>1.8E-5</v>
      </c>
      <c r="H42" s="36">
        <v>1.8E-5</v>
      </c>
      <c r="I42" s="37">
        <v>1.8E-5</v>
      </c>
      <c r="J42" s="38">
        <f t="shared" si="8"/>
        <v>6.7500928137761893E-7</v>
      </c>
      <c r="K42" s="39">
        <f t="shared" si="9"/>
        <v>5.7142857142857149E-7</v>
      </c>
      <c r="L42" s="40">
        <f t="shared" si="14"/>
        <v>0</v>
      </c>
      <c r="M42" s="40">
        <f t="shared" si="15"/>
        <v>0</v>
      </c>
      <c r="N42" s="45">
        <v>0</v>
      </c>
      <c r="O42" s="31">
        <v>0</v>
      </c>
      <c r="P42" s="46">
        <f t="shared" si="18"/>
        <v>0</v>
      </c>
      <c r="Q42" s="43">
        <f t="shared" si="17"/>
        <v>0</v>
      </c>
      <c r="R42" s="44">
        <v>0</v>
      </c>
    </row>
    <row r="43" spans="1:18" ht="12" customHeight="1" x14ac:dyDescent="0.25">
      <c r="A43" s="29" t="s">
        <v>111</v>
      </c>
      <c r="B43" s="30" t="s">
        <v>112</v>
      </c>
      <c r="C43" s="31">
        <v>576000000</v>
      </c>
      <c r="D43" s="32">
        <f t="shared" si="0"/>
        <v>1555221.3842940344</v>
      </c>
      <c r="E43" s="33">
        <f t="shared" si="1"/>
        <v>1316571.4285714286</v>
      </c>
      <c r="F43" s="34" t="s">
        <v>56</v>
      </c>
      <c r="G43" s="35">
        <v>7.0000000000000007E-2</v>
      </c>
      <c r="H43" s="36">
        <v>7.2000000000000008E-2</v>
      </c>
      <c r="I43" s="37">
        <v>7.2000000000000008E-2</v>
      </c>
      <c r="J43" s="38">
        <f t="shared" si="8"/>
        <v>2.7000371255104763E-3</v>
      </c>
      <c r="K43" s="39">
        <f t="shared" si="9"/>
        <v>2.2857142857142859E-3</v>
      </c>
      <c r="L43" s="40">
        <f t="shared" si="14"/>
        <v>0</v>
      </c>
      <c r="M43" s="40">
        <f t="shared" si="15"/>
        <v>0</v>
      </c>
      <c r="N43" s="45">
        <v>0</v>
      </c>
      <c r="O43" s="31">
        <v>0</v>
      </c>
      <c r="P43" s="46">
        <f t="shared" si="18"/>
        <v>0</v>
      </c>
      <c r="Q43" s="43">
        <f t="shared" si="17"/>
        <v>2.8571428571428692E-2</v>
      </c>
      <c r="R43" s="44"/>
    </row>
    <row r="44" spans="1:18" ht="12" customHeight="1" x14ac:dyDescent="0.25">
      <c r="A44" s="29" t="s">
        <v>113</v>
      </c>
      <c r="B44" s="30" t="s">
        <v>114</v>
      </c>
      <c r="C44" s="31">
        <v>1818218786</v>
      </c>
      <c r="D44" s="32">
        <f t="shared" si="0"/>
        <v>52479084.026065186</v>
      </c>
      <c r="E44" s="33">
        <f t="shared" si="1"/>
        <v>44426126.932198793</v>
      </c>
      <c r="F44" s="34" t="s">
        <v>47</v>
      </c>
      <c r="G44" s="35">
        <v>0.9998999999999999</v>
      </c>
      <c r="H44" s="36">
        <v>0.76966699999999999</v>
      </c>
      <c r="I44" s="37">
        <v>0.76966699999999999</v>
      </c>
      <c r="J44" s="38">
        <f t="shared" si="8"/>
        <v>2.8862909365003769E-2</v>
      </c>
      <c r="K44" s="39">
        <f t="shared" si="9"/>
        <v>2.4433873015873016E-2</v>
      </c>
      <c r="L44" s="40">
        <f t="shared" si="14"/>
        <v>0</v>
      </c>
      <c r="M44" s="40">
        <f t="shared" si="15"/>
        <v>0</v>
      </c>
      <c r="N44" s="45">
        <v>0</v>
      </c>
      <c r="O44" s="31">
        <v>0</v>
      </c>
      <c r="P44" s="46">
        <f t="shared" si="18"/>
        <v>0</v>
      </c>
      <c r="Q44" s="43">
        <f t="shared" si="17"/>
        <v>-0.2302560256025602</v>
      </c>
      <c r="R44" s="44">
        <v>0</v>
      </c>
    </row>
    <row r="45" spans="1:18" ht="12" customHeight="1" x14ac:dyDescent="0.25">
      <c r="A45" s="29" t="s">
        <v>115</v>
      </c>
      <c r="B45" s="30" t="s">
        <v>116</v>
      </c>
      <c r="C45" s="31">
        <v>102712520</v>
      </c>
      <c r="D45" s="32">
        <f t="shared" si="0"/>
        <v>12845661.160340954</v>
      </c>
      <c r="E45" s="33">
        <f t="shared" si="1"/>
        <v>10874484.26031746</v>
      </c>
      <c r="F45" s="34" t="s">
        <v>47</v>
      </c>
      <c r="G45" s="35">
        <v>1.4503460000000001</v>
      </c>
      <c r="H45" s="36">
        <v>2.9</v>
      </c>
      <c r="I45" s="37">
        <v>3.335</v>
      </c>
      <c r="J45" s="38">
        <f t="shared" si="8"/>
        <v>0.12506421963301995</v>
      </c>
      <c r="K45" s="39">
        <f t="shared" si="9"/>
        <v>0.10587301587301587</v>
      </c>
      <c r="L45" s="40">
        <f t="shared" si="14"/>
        <v>0.43500000000000005</v>
      </c>
      <c r="M45" s="40">
        <f t="shared" si="15"/>
        <v>15.000000000000002</v>
      </c>
      <c r="N45" s="45">
        <v>2000</v>
      </c>
      <c r="O45" s="31">
        <v>6670</v>
      </c>
      <c r="P45" s="46">
        <v>0</v>
      </c>
      <c r="Q45" s="43">
        <f t="shared" si="17"/>
        <v>1.2994513033441675</v>
      </c>
      <c r="R45" s="44"/>
    </row>
    <row r="46" spans="1:18" ht="12" customHeight="1" x14ac:dyDescent="0.25">
      <c r="A46" s="29"/>
      <c r="B46" s="30" t="s">
        <v>117</v>
      </c>
      <c r="C46" s="31"/>
      <c r="D46" s="32"/>
      <c r="E46" s="33"/>
      <c r="F46" s="34"/>
      <c r="G46" s="35"/>
      <c r="H46" s="36"/>
      <c r="I46" s="37"/>
      <c r="J46" s="38"/>
      <c r="K46" s="39"/>
      <c r="L46" s="40"/>
      <c r="M46" s="40"/>
      <c r="N46" s="45"/>
      <c r="O46" s="31"/>
      <c r="P46" s="46"/>
      <c r="Q46" s="43"/>
      <c r="R46" s="44"/>
    </row>
    <row r="47" spans="1:18" ht="14.25" customHeight="1" thickBot="1" x14ac:dyDescent="0.4">
      <c r="A47" s="52"/>
      <c r="B47" s="53" t="s">
        <v>117</v>
      </c>
      <c r="C47" s="54"/>
      <c r="D47" s="55"/>
      <c r="E47" s="55"/>
      <c r="F47" s="56"/>
      <c r="G47" s="56"/>
      <c r="H47" s="40"/>
      <c r="I47" s="40"/>
      <c r="J47" s="40"/>
      <c r="K47" s="40"/>
      <c r="L47" s="40"/>
      <c r="M47" s="40"/>
      <c r="N47" s="56">
        <f>SUM(N9:N45)</f>
        <v>1992700</v>
      </c>
      <c r="O47" s="56">
        <f>SUM(O9:O45)</f>
        <v>12786873.75</v>
      </c>
      <c r="P47" s="57"/>
      <c r="Q47" s="58"/>
    </row>
    <row r="48" spans="1:18" ht="13.5" customHeight="1" x14ac:dyDescent="0.35">
      <c r="A48" s="59"/>
      <c r="B48" s="60" t="s">
        <v>117</v>
      </c>
      <c r="C48" s="61"/>
      <c r="D48" s="61"/>
      <c r="E48" s="61"/>
      <c r="F48" s="62"/>
      <c r="G48" s="62"/>
      <c r="H48" s="63"/>
      <c r="I48" s="63"/>
      <c r="J48" s="63"/>
      <c r="K48" s="63"/>
      <c r="L48" s="63"/>
      <c r="M48" s="63"/>
      <c r="N48" s="62"/>
      <c r="O48" s="62"/>
      <c r="P48" s="62"/>
      <c r="Q48" s="64"/>
    </row>
    <row r="49" spans="1:20" ht="12.75" customHeight="1" x14ac:dyDescent="0.3">
      <c r="A49" s="131" t="s">
        <v>118</v>
      </c>
      <c r="B49" s="147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32"/>
    </row>
    <row r="50" spans="1:20" ht="11.4" customHeight="1" x14ac:dyDescent="0.25">
      <c r="A50" s="29" t="s">
        <v>119</v>
      </c>
      <c r="B50" s="30" t="s">
        <v>120</v>
      </c>
      <c r="C50" s="34">
        <v>554920308</v>
      </c>
      <c r="D50" s="32">
        <f t="shared" ref="D50:D65" si="19">C50*J50</f>
        <v>73693416.902400002</v>
      </c>
      <c r="E50" s="33">
        <v>0</v>
      </c>
      <c r="F50" s="34" t="s">
        <v>92</v>
      </c>
      <c r="G50" s="65">
        <v>0.1</v>
      </c>
      <c r="H50" s="36">
        <v>0.13969999999999999</v>
      </c>
      <c r="I50" s="36">
        <v>0.1328</v>
      </c>
      <c r="J50" s="38">
        <f t="shared" ref="J50:J65" si="20">I50</f>
        <v>0.1328</v>
      </c>
      <c r="K50" s="33">
        <v>0</v>
      </c>
      <c r="L50" s="40">
        <f t="shared" ref="L50:L65" si="21">I50-H50</f>
        <v>-6.8999999999999895E-3</v>
      </c>
      <c r="M50" s="40">
        <f t="shared" ref="M50:M65" si="22">((I50-H50)/H50)*100</f>
        <v>-4.9391553328561129</v>
      </c>
      <c r="N50" s="45">
        <v>27867</v>
      </c>
      <c r="O50" s="31">
        <v>3701.53</v>
      </c>
      <c r="P50" s="66">
        <f>(R50)/J50</f>
        <v>0</v>
      </c>
      <c r="Q50" s="43">
        <f t="shared" ref="Q50:Q65" si="23">J50/G50-1</f>
        <v>0.32799999999999985</v>
      </c>
      <c r="T50" s="47"/>
    </row>
    <row r="51" spans="1:20" ht="12" customHeight="1" x14ac:dyDescent="0.25">
      <c r="A51" s="29" t="s">
        <v>121</v>
      </c>
      <c r="B51" s="30" t="s">
        <v>122</v>
      </c>
      <c r="C51" s="34">
        <v>1057685</v>
      </c>
      <c r="D51" s="32">
        <f t="shared" si="19"/>
        <v>38182428.5</v>
      </c>
      <c r="E51" s="33">
        <v>0</v>
      </c>
      <c r="F51" s="34" t="s">
        <v>39</v>
      </c>
      <c r="G51" s="65">
        <v>39.9</v>
      </c>
      <c r="H51" s="36">
        <v>39.991100000000003</v>
      </c>
      <c r="I51" s="36">
        <v>36.1</v>
      </c>
      <c r="J51" s="38">
        <f t="shared" si="20"/>
        <v>36.1</v>
      </c>
      <c r="K51" s="33">
        <v>0</v>
      </c>
      <c r="L51" s="40">
        <f t="shared" si="21"/>
        <v>-3.8911000000000016</v>
      </c>
      <c r="M51" s="40">
        <f t="shared" si="22"/>
        <v>-9.7299149060666021</v>
      </c>
      <c r="N51" s="45">
        <v>4</v>
      </c>
      <c r="O51" s="31">
        <v>144.4</v>
      </c>
      <c r="P51" s="67">
        <f>(R51)/J51</f>
        <v>1.5512465373961219E-2</v>
      </c>
      <c r="Q51" s="43">
        <f t="shared" si="23"/>
        <v>-9.5238095238095122E-2</v>
      </c>
      <c r="R51" s="47">
        <v>0.56000000000000005</v>
      </c>
      <c r="T51" s="47"/>
    </row>
    <row r="52" spans="1:20" ht="12" customHeight="1" x14ac:dyDescent="0.25">
      <c r="A52" s="29" t="s">
        <v>123</v>
      </c>
      <c r="B52" s="30" t="s">
        <v>124</v>
      </c>
      <c r="C52" s="34">
        <v>2992163203</v>
      </c>
      <c r="D52" s="32">
        <f t="shared" si="19"/>
        <v>682213210.28400004</v>
      </c>
      <c r="E52" s="33"/>
      <c r="F52" s="34" t="s">
        <v>56</v>
      </c>
      <c r="G52" s="65">
        <v>0.33</v>
      </c>
      <c r="H52" s="36">
        <v>0.22850000000000001</v>
      </c>
      <c r="I52" s="36">
        <v>0.22800000000000001</v>
      </c>
      <c r="J52" s="38">
        <f t="shared" si="20"/>
        <v>0.22800000000000001</v>
      </c>
      <c r="K52" s="33">
        <v>0</v>
      </c>
      <c r="L52" s="40">
        <f t="shared" si="21"/>
        <v>-5.0000000000000044E-4</v>
      </c>
      <c r="M52" s="40">
        <f t="shared" si="22"/>
        <v>-0.21881838074398266</v>
      </c>
      <c r="N52" s="45">
        <v>235617</v>
      </c>
      <c r="O52" s="31">
        <v>53725.56</v>
      </c>
      <c r="P52" s="66">
        <v>0</v>
      </c>
      <c r="Q52" s="43">
        <f t="shared" si="23"/>
        <v>-0.30909090909090908</v>
      </c>
      <c r="R52" s="47"/>
      <c r="T52" s="47"/>
    </row>
    <row r="53" spans="1:20" ht="12" customHeight="1" x14ac:dyDescent="0.25">
      <c r="A53" s="29" t="s">
        <v>125</v>
      </c>
      <c r="B53" s="30" t="s">
        <v>126</v>
      </c>
      <c r="C53" s="34">
        <v>609740943</v>
      </c>
      <c r="D53" s="32">
        <f t="shared" si="19"/>
        <v>14633782.632000001</v>
      </c>
      <c r="E53" s="33">
        <v>0</v>
      </c>
      <c r="F53" s="34" t="s">
        <v>34</v>
      </c>
      <c r="G53" s="65">
        <v>2.3E-2</v>
      </c>
      <c r="H53" s="36">
        <v>2.4E-2</v>
      </c>
      <c r="I53" s="36">
        <v>2.4E-2</v>
      </c>
      <c r="J53" s="38">
        <f t="shared" si="20"/>
        <v>2.4E-2</v>
      </c>
      <c r="K53" s="33">
        <v>0</v>
      </c>
      <c r="L53" s="40">
        <f t="shared" si="21"/>
        <v>0</v>
      </c>
      <c r="M53" s="40">
        <f t="shared" si="22"/>
        <v>0</v>
      </c>
      <c r="N53" s="45">
        <v>1</v>
      </c>
      <c r="O53" s="31">
        <v>0.02</v>
      </c>
      <c r="P53" s="66">
        <f t="shared" ref="P53:P65" si="24">(R53)/J53</f>
        <v>0</v>
      </c>
      <c r="Q53" s="43">
        <f t="shared" si="23"/>
        <v>4.3478260869565188E-2</v>
      </c>
      <c r="T53" s="47"/>
    </row>
    <row r="54" spans="1:20" ht="12" customHeight="1" x14ac:dyDescent="0.25">
      <c r="A54" s="29" t="s">
        <v>127</v>
      </c>
      <c r="B54" s="30" t="s">
        <v>128</v>
      </c>
      <c r="C54" s="34">
        <v>2162695929</v>
      </c>
      <c r="D54" s="32">
        <f t="shared" si="19"/>
        <v>325053198.12869996</v>
      </c>
      <c r="E54" s="33">
        <v>0</v>
      </c>
      <c r="F54" s="34" t="s">
        <v>47</v>
      </c>
      <c r="G54" s="65">
        <v>9.0200000000000002E-2</v>
      </c>
      <c r="H54" s="36">
        <v>0.15</v>
      </c>
      <c r="I54" s="36">
        <v>0.15029999999999999</v>
      </c>
      <c r="J54" s="38">
        <f t="shared" si="20"/>
        <v>0.15029999999999999</v>
      </c>
      <c r="K54" s="33">
        <v>0</v>
      </c>
      <c r="L54" s="40">
        <f t="shared" si="21"/>
        <v>2.9999999999999472E-4</v>
      </c>
      <c r="M54" s="68">
        <f t="shared" si="22"/>
        <v>0.19999999999999649</v>
      </c>
      <c r="N54" s="45">
        <v>5829</v>
      </c>
      <c r="O54" s="31">
        <v>876</v>
      </c>
      <c r="P54" s="66">
        <f t="shared" si="24"/>
        <v>0</v>
      </c>
      <c r="Q54" s="43">
        <f t="shared" si="23"/>
        <v>0.66629711751662946</v>
      </c>
      <c r="R54" s="47"/>
      <c r="T54" s="47"/>
    </row>
    <row r="55" spans="1:20" ht="12" customHeight="1" x14ac:dyDescent="0.25">
      <c r="A55" s="29" t="s">
        <v>129</v>
      </c>
      <c r="B55" s="30" t="s">
        <v>130</v>
      </c>
      <c r="C55" s="34">
        <v>575926450</v>
      </c>
      <c r="D55" s="32">
        <f t="shared" si="19"/>
        <v>867863567.505</v>
      </c>
      <c r="E55" s="33">
        <v>0</v>
      </c>
      <c r="F55" s="34" t="s">
        <v>34</v>
      </c>
      <c r="G55" s="65">
        <v>0.95750000000000002</v>
      </c>
      <c r="H55" s="36">
        <v>1.5004999999999999</v>
      </c>
      <c r="I55" s="36">
        <v>1.5068999999999999</v>
      </c>
      <c r="J55" s="38">
        <f t="shared" si="20"/>
        <v>1.5068999999999999</v>
      </c>
      <c r="K55" s="33">
        <v>0</v>
      </c>
      <c r="L55" s="40">
        <f t="shared" si="21"/>
        <v>6.3999999999999613E-3</v>
      </c>
      <c r="M55" s="40">
        <f t="shared" si="22"/>
        <v>0.42652449183605212</v>
      </c>
      <c r="N55" s="45">
        <v>25151</v>
      </c>
      <c r="O55" s="31">
        <v>37901</v>
      </c>
      <c r="P55" s="67">
        <f t="shared" si="24"/>
        <v>3.1189859977437125E-2</v>
      </c>
      <c r="Q55" s="43">
        <f t="shared" si="23"/>
        <v>0.57378590078328973</v>
      </c>
      <c r="R55" s="47">
        <v>4.7E-2</v>
      </c>
      <c r="T55" s="47"/>
    </row>
    <row r="56" spans="1:20" ht="12" customHeight="1" x14ac:dyDescent="0.25">
      <c r="A56" s="29" t="s">
        <v>131</v>
      </c>
      <c r="B56" s="30" t="s">
        <v>132</v>
      </c>
      <c r="C56" s="34">
        <v>164208222</v>
      </c>
      <c r="D56" s="32">
        <f t="shared" si="19"/>
        <v>22118847.503399998</v>
      </c>
      <c r="E56" s="33">
        <v>0</v>
      </c>
      <c r="F56" s="34" t="s">
        <v>34</v>
      </c>
      <c r="G56" s="65">
        <v>0.1595</v>
      </c>
      <c r="H56" s="36">
        <v>0.14879999999999999</v>
      </c>
      <c r="I56" s="36">
        <v>0.13469999999999999</v>
      </c>
      <c r="J56" s="38">
        <f t="shared" si="20"/>
        <v>0.13469999999999999</v>
      </c>
      <c r="K56" s="33">
        <v>0</v>
      </c>
      <c r="L56" s="40">
        <f t="shared" si="21"/>
        <v>-1.4100000000000001E-2</v>
      </c>
      <c r="M56" s="40">
        <f t="shared" si="22"/>
        <v>-9.4758064516129039</v>
      </c>
      <c r="N56" s="45">
        <v>7767</v>
      </c>
      <c r="O56" s="31">
        <v>1045.8499999999999</v>
      </c>
      <c r="P56" s="66">
        <f t="shared" si="24"/>
        <v>0</v>
      </c>
      <c r="Q56" s="43">
        <f t="shared" si="23"/>
        <v>-0.15548589341692798</v>
      </c>
      <c r="T56" s="47"/>
    </row>
    <row r="57" spans="1:20" ht="12" customHeight="1" x14ac:dyDescent="0.25">
      <c r="A57" s="29" t="s">
        <v>133</v>
      </c>
      <c r="B57" s="30" t="s">
        <v>134</v>
      </c>
      <c r="C57" s="34">
        <v>953802800</v>
      </c>
      <c r="D57" s="32">
        <f t="shared" si="19"/>
        <v>19743717.960000001</v>
      </c>
      <c r="E57" s="33">
        <v>0</v>
      </c>
      <c r="F57" s="34" t="s">
        <v>92</v>
      </c>
      <c r="G57" s="65">
        <v>1.6799999999999999E-2</v>
      </c>
      <c r="H57" s="36">
        <v>2.0199999999999999E-2</v>
      </c>
      <c r="I57" s="36">
        <v>2.07E-2</v>
      </c>
      <c r="J57" s="38">
        <f t="shared" si="20"/>
        <v>2.07E-2</v>
      </c>
      <c r="K57" s="33">
        <v>0</v>
      </c>
      <c r="L57" s="40">
        <f t="shared" si="21"/>
        <v>5.0000000000000044E-4</v>
      </c>
      <c r="M57" s="68">
        <f t="shared" si="22"/>
        <v>2.4752475247524774</v>
      </c>
      <c r="N57" s="45">
        <v>12038</v>
      </c>
      <c r="O57" s="31">
        <v>249.52</v>
      </c>
      <c r="P57" s="66">
        <f t="shared" si="24"/>
        <v>0</v>
      </c>
      <c r="Q57" s="43">
        <f t="shared" si="23"/>
        <v>0.23214285714285721</v>
      </c>
      <c r="R57" s="47"/>
      <c r="T57" s="47"/>
    </row>
    <row r="58" spans="1:20" ht="12" customHeight="1" x14ac:dyDescent="0.25">
      <c r="A58" s="29" t="s">
        <v>135</v>
      </c>
      <c r="B58" s="30" t="s">
        <v>136</v>
      </c>
      <c r="C58" s="34">
        <v>161273</v>
      </c>
      <c r="D58" s="32">
        <f t="shared" si="19"/>
        <v>2354295.5085999998</v>
      </c>
      <c r="E58" s="33">
        <v>0</v>
      </c>
      <c r="F58" s="34" t="s">
        <v>137</v>
      </c>
      <c r="G58" s="65">
        <v>19.5</v>
      </c>
      <c r="H58" s="36">
        <v>14.5982</v>
      </c>
      <c r="I58" s="36">
        <v>14.5982</v>
      </c>
      <c r="J58" s="38">
        <f t="shared" si="20"/>
        <v>14.5982</v>
      </c>
      <c r="K58" s="33">
        <v>0</v>
      </c>
      <c r="L58" s="40">
        <f t="shared" si="21"/>
        <v>0</v>
      </c>
      <c r="M58" s="40">
        <f t="shared" si="22"/>
        <v>0</v>
      </c>
      <c r="N58" s="45">
        <v>0</v>
      </c>
      <c r="O58" s="31">
        <v>0</v>
      </c>
      <c r="P58" s="66">
        <f t="shared" si="24"/>
        <v>0</v>
      </c>
      <c r="Q58" s="43">
        <f t="shared" si="23"/>
        <v>-0.251374358974359</v>
      </c>
      <c r="T58" s="47"/>
    </row>
    <row r="59" spans="1:20" ht="12" customHeight="1" x14ac:dyDescent="0.25">
      <c r="A59" s="29" t="s">
        <v>138</v>
      </c>
      <c r="B59" s="30" t="s">
        <v>139</v>
      </c>
      <c r="C59" s="34">
        <v>4498037281</v>
      </c>
      <c r="D59" s="32">
        <f t="shared" si="19"/>
        <v>4048233552.9000001</v>
      </c>
      <c r="E59" s="33">
        <v>0</v>
      </c>
      <c r="F59" s="34" t="s">
        <v>47</v>
      </c>
      <c r="G59" s="65">
        <v>0.78169999999999995</v>
      </c>
      <c r="H59" s="69">
        <v>0.89359999999999995</v>
      </c>
      <c r="I59" s="36">
        <v>0.9</v>
      </c>
      <c r="J59" s="38">
        <f t="shared" si="20"/>
        <v>0.9</v>
      </c>
      <c r="K59" s="33">
        <v>0</v>
      </c>
      <c r="L59" s="40">
        <f t="shared" si="21"/>
        <v>6.4000000000000723E-3</v>
      </c>
      <c r="M59" s="40">
        <f t="shared" si="22"/>
        <v>0.71620411817368768</v>
      </c>
      <c r="N59" s="70">
        <v>503834</v>
      </c>
      <c r="O59" s="71">
        <v>453462.35</v>
      </c>
      <c r="P59" s="66">
        <f t="shared" si="24"/>
        <v>0</v>
      </c>
      <c r="Q59" s="43">
        <f t="shared" si="23"/>
        <v>0.15133682998592812</v>
      </c>
      <c r="R59" s="47"/>
      <c r="T59" s="47"/>
    </row>
    <row r="60" spans="1:20" ht="12" customHeight="1" x14ac:dyDescent="0.25">
      <c r="A60" s="29" t="s">
        <v>140</v>
      </c>
      <c r="B60" s="30" t="s">
        <v>141</v>
      </c>
      <c r="C60" s="34">
        <v>805090451</v>
      </c>
      <c r="D60" s="32">
        <f t="shared" si="19"/>
        <v>1045651477.7587999</v>
      </c>
      <c r="E60" s="33">
        <v>0</v>
      </c>
      <c r="F60" s="34" t="s">
        <v>92</v>
      </c>
      <c r="G60" s="65">
        <v>0.59499999999999997</v>
      </c>
      <c r="H60" s="36">
        <v>1.2957000000000001</v>
      </c>
      <c r="I60" s="36">
        <v>1.2988</v>
      </c>
      <c r="J60" s="38">
        <f t="shared" si="20"/>
        <v>1.2988</v>
      </c>
      <c r="K60" s="33">
        <v>0</v>
      </c>
      <c r="L60" s="40">
        <f t="shared" si="21"/>
        <v>3.0999999999998806E-3</v>
      </c>
      <c r="M60" s="40">
        <f t="shared" si="22"/>
        <v>0.23925291348305014</v>
      </c>
      <c r="N60" s="45">
        <v>68712</v>
      </c>
      <c r="O60" s="31">
        <v>89242.38</v>
      </c>
      <c r="P60" s="66">
        <f t="shared" si="24"/>
        <v>0</v>
      </c>
      <c r="Q60" s="43">
        <f t="shared" si="23"/>
        <v>1.1828571428571428</v>
      </c>
      <c r="T60" s="47"/>
    </row>
    <row r="61" spans="1:20" ht="12" customHeight="1" x14ac:dyDescent="0.25">
      <c r="A61" s="29" t="s">
        <v>142</v>
      </c>
      <c r="B61" s="30" t="s">
        <v>143</v>
      </c>
      <c r="C61" s="34">
        <v>260714518</v>
      </c>
      <c r="D61" s="32">
        <f t="shared" si="19"/>
        <v>116044031.96179999</v>
      </c>
      <c r="E61" s="33">
        <v>0</v>
      </c>
      <c r="F61" s="34" t="s">
        <v>34</v>
      </c>
      <c r="G61" s="65">
        <v>0.22600000000000001</v>
      </c>
      <c r="H61" s="36">
        <v>0.4451</v>
      </c>
      <c r="I61" s="36">
        <v>0.4451</v>
      </c>
      <c r="J61" s="38">
        <f t="shared" si="20"/>
        <v>0.4451</v>
      </c>
      <c r="K61" s="33">
        <v>0</v>
      </c>
      <c r="L61" s="40">
        <f t="shared" si="21"/>
        <v>0</v>
      </c>
      <c r="M61" s="40">
        <f t="shared" si="22"/>
        <v>0</v>
      </c>
      <c r="N61" s="45">
        <v>0</v>
      </c>
      <c r="O61" s="31">
        <v>0</v>
      </c>
      <c r="P61" s="66">
        <f t="shared" si="24"/>
        <v>0</v>
      </c>
      <c r="Q61" s="43">
        <f t="shared" si="23"/>
        <v>0.96946902654867251</v>
      </c>
      <c r="T61" s="47"/>
    </row>
    <row r="62" spans="1:20" ht="12" customHeight="1" x14ac:dyDescent="0.25">
      <c r="A62" s="29" t="s">
        <v>144</v>
      </c>
      <c r="B62" s="30" t="s">
        <v>145</v>
      </c>
      <c r="C62" s="34">
        <v>562184788</v>
      </c>
      <c r="D62" s="32">
        <f t="shared" si="19"/>
        <v>419727162.72080004</v>
      </c>
      <c r="E62" s="33">
        <v>0</v>
      </c>
      <c r="F62" s="34" t="s">
        <v>34</v>
      </c>
      <c r="G62" s="65">
        <v>0.49440000000000001</v>
      </c>
      <c r="H62" s="36">
        <v>0.71730000000000005</v>
      </c>
      <c r="I62" s="36">
        <v>0.74660000000000004</v>
      </c>
      <c r="J62" s="38">
        <f t="shared" si="20"/>
        <v>0.74660000000000004</v>
      </c>
      <c r="K62" s="33">
        <v>0</v>
      </c>
      <c r="L62" s="40">
        <f t="shared" si="21"/>
        <v>2.9299999999999993E-2</v>
      </c>
      <c r="M62" s="40">
        <f t="shared" si="22"/>
        <v>4.0847623030809972</v>
      </c>
      <c r="N62" s="45">
        <v>61637</v>
      </c>
      <c r="O62" s="31">
        <v>46020.27</v>
      </c>
      <c r="P62" s="66">
        <f t="shared" si="24"/>
        <v>0</v>
      </c>
      <c r="Q62" s="43">
        <f t="shared" si="23"/>
        <v>0.51011326860841422</v>
      </c>
      <c r="R62" s="47"/>
      <c r="T62" s="47"/>
    </row>
    <row r="63" spans="1:20" ht="12" customHeight="1" x14ac:dyDescent="0.25">
      <c r="A63" s="29" t="s">
        <v>146</v>
      </c>
      <c r="B63" s="30" t="s">
        <v>147</v>
      </c>
      <c r="C63" s="34">
        <v>364526035</v>
      </c>
      <c r="D63" s="32">
        <f t="shared" si="19"/>
        <v>87486248.399999991</v>
      </c>
      <c r="E63" s="33">
        <v>0</v>
      </c>
      <c r="F63" s="34" t="s">
        <v>34</v>
      </c>
      <c r="G63" s="65">
        <v>0.25950000000000001</v>
      </c>
      <c r="H63" s="36">
        <v>0.2107</v>
      </c>
      <c r="I63" s="36">
        <v>0.24</v>
      </c>
      <c r="J63" s="38">
        <f t="shared" si="20"/>
        <v>0.24</v>
      </c>
      <c r="K63" s="33">
        <v>0</v>
      </c>
      <c r="L63" s="40">
        <f t="shared" si="21"/>
        <v>2.9299999999999993E-2</v>
      </c>
      <c r="M63" s="40">
        <f t="shared" si="22"/>
        <v>13.906027527289982</v>
      </c>
      <c r="N63" s="45">
        <v>2020</v>
      </c>
      <c r="O63" s="31">
        <v>484.8</v>
      </c>
      <c r="P63" s="66">
        <f t="shared" si="24"/>
        <v>0</v>
      </c>
      <c r="Q63" s="43">
        <f t="shared" si="23"/>
        <v>-7.5144508670520249E-2</v>
      </c>
      <c r="R63" s="47"/>
      <c r="T63" s="47"/>
    </row>
    <row r="64" spans="1:20" x14ac:dyDescent="0.25">
      <c r="A64" s="29" t="s">
        <v>148</v>
      </c>
      <c r="B64" s="30" t="s">
        <v>149</v>
      </c>
      <c r="C64" s="34">
        <v>30000000</v>
      </c>
      <c r="D64" s="32">
        <f t="shared" si="19"/>
        <v>300000000</v>
      </c>
      <c r="E64" s="33">
        <v>0</v>
      </c>
      <c r="F64" s="34" t="s">
        <v>66</v>
      </c>
      <c r="G64" s="65">
        <v>10</v>
      </c>
      <c r="H64" s="36">
        <v>10</v>
      </c>
      <c r="I64" s="36">
        <v>10</v>
      </c>
      <c r="J64" s="38">
        <f t="shared" si="20"/>
        <v>10</v>
      </c>
      <c r="K64" s="33">
        <v>0</v>
      </c>
      <c r="L64" s="40">
        <f t="shared" si="21"/>
        <v>0</v>
      </c>
      <c r="M64" s="40">
        <f t="shared" si="22"/>
        <v>0</v>
      </c>
      <c r="N64" s="45">
        <v>0</v>
      </c>
      <c r="O64" s="31">
        <v>0</v>
      </c>
      <c r="P64" s="66">
        <f t="shared" si="24"/>
        <v>0</v>
      </c>
      <c r="Q64" s="43">
        <f t="shared" si="23"/>
        <v>0</v>
      </c>
      <c r="T64" s="47"/>
    </row>
    <row r="65" spans="1:20" x14ac:dyDescent="0.25">
      <c r="A65" s="29" t="s">
        <v>150</v>
      </c>
      <c r="B65" s="30" t="s">
        <v>151</v>
      </c>
      <c r="C65" s="34">
        <v>344580486</v>
      </c>
      <c r="D65" s="32">
        <f t="shared" si="19"/>
        <v>38558556.383400001</v>
      </c>
      <c r="E65" s="33">
        <v>0</v>
      </c>
      <c r="F65" s="34" t="s">
        <v>44</v>
      </c>
      <c r="G65" s="65">
        <v>4.2999999999999997E-2</v>
      </c>
      <c r="H65" s="36">
        <v>0.114</v>
      </c>
      <c r="I65" s="36">
        <v>0.1119</v>
      </c>
      <c r="J65" s="38">
        <f t="shared" si="20"/>
        <v>0.1119</v>
      </c>
      <c r="K65" s="33">
        <v>0</v>
      </c>
      <c r="L65" s="40">
        <f t="shared" si="21"/>
        <v>-2.1000000000000046E-3</v>
      </c>
      <c r="M65" s="40">
        <f t="shared" si="22"/>
        <v>-1.8421052631578987</v>
      </c>
      <c r="N65" s="45">
        <v>1195</v>
      </c>
      <c r="O65" s="31">
        <v>133.66999999999999</v>
      </c>
      <c r="P65" s="66">
        <f t="shared" si="24"/>
        <v>0</v>
      </c>
      <c r="Q65" s="43">
        <f t="shared" si="23"/>
        <v>1.6023255813953492</v>
      </c>
      <c r="T65" s="47"/>
    </row>
    <row r="66" spans="1:20" ht="13.2" x14ac:dyDescent="0.35">
      <c r="A66" s="72"/>
      <c r="B66" s="30" t="s">
        <v>117</v>
      </c>
      <c r="C66" s="34"/>
      <c r="D66" s="73"/>
      <c r="E66" s="73"/>
      <c r="F66" s="34"/>
      <c r="G66" s="34"/>
      <c r="H66" s="36"/>
      <c r="I66" s="36"/>
      <c r="J66" s="36"/>
      <c r="K66" s="36"/>
      <c r="L66" s="40"/>
      <c r="M66" s="74"/>
      <c r="N66" s="56">
        <f>SUM(N50:N65)</f>
        <v>951672</v>
      </c>
      <c r="O66" s="57">
        <f>SUM(O50:O65)</f>
        <v>686987.35000000009</v>
      </c>
      <c r="P66" s="75"/>
      <c r="Q66" s="58"/>
    </row>
    <row r="67" spans="1:20" ht="12.6" hidden="1" x14ac:dyDescent="0.3">
      <c r="A67" s="125" t="s">
        <v>152</v>
      </c>
      <c r="B67" s="126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8"/>
    </row>
    <row r="68" spans="1:20" ht="12.6" hidden="1" thickBot="1" x14ac:dyDescent="0.3">
      <c r="A68" s="76" t="s">
        <v>153</v>
      </c>
      <c r="B68" s="77" t="s">
        <v>154</v>
      </c>
      <c r="C68" s="78">
        <v>20000</v>
      </c>
      <c r="D68" s="79">
        <f>C68*J68</f>
        <v>0</v>
      </c>
      <c r="E68" s="79"/>
      <c r="F68" s="78" t="s">
        <v>155</v>
      </c>
      <c r="G68" s="78"/>
      <c r="H68" s="80">
        <v>100</v>
      </c>
      <c r="I68" s="80"/>
      <c r="J68" s="80"/>
      <c r="K68" s="80"/>
      <c r="L68" s="81">
        <f>I68-H68</f>
        <v>-100</v>
      </c>
      <c r="M68" s="82">
        <f>((I68-H68)/H68)*100</f>
        <v>-100</v>
      </c>
      <c r="N68" s="83" t="s">
        <v>57</v>
      </c>
      <c r="O68" s="83" t="s">
        <v>57</v>
      </c>
      <c r="P68" s="83"/>
      <c r="Q68" s="84">
        <v>100</v>
      </c>
    </row>
    <row r="69" spans="1:20" ht="12.6" thickBot="1" x14ac:dyDescent="0.3">
      <c r="A69" s="29"/>
      <c r="B69" s="30" t="s">
        <v>117</v>
      </c>
      <c r="C69" s="34"/>
      <c r="D69" s="31"/>
      <c r="E69" s="31"/>
      <c r="F69" s="34"/>
      <c r="G69" s="34"/>
      <c r="H69" s="36"/>
      <c r="I69" s="36"/>
      <c r="J69" s="36"/>
      <c r="K69" s="36"/>
      <c r="L69" s="40"/>
      <c r="M69" s="74"/>
      <c r="N69" s="85"/>
      <c r="O69" s="85"/>
      <c r="P69" s="85"/>
      <c r="Q69" s="58"/>
    </row>
    <row r="70" spans="1:20" ht="12.6" x14ac:dyDescent="0.3">
      <c r="A70" s="125" t="s">
        <v>156</v>
      </c>
      <c r="B70" s="126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8"/>
    </row>
    <row r="71" spans="1:20" x14ac:dyDescent="0.25">
      <c r="A71" s="29" t="s">
        <v>157</v>
      </c>
      <c r="B71" s="86" t="s">
        <v>158</v>
      </c>
      <c r="C71" s="87">
        <v>139300587</v>
      </c>
      <c r="D71" s="32">
        <f>C71*J71</f>
        <v>45969193.710000001</v>
      </c>
      <c r="E71" s="33">
        <f>C71*K71</f>
        <v>45969193.710000001</v>
      </c>
      <c r="F71" s="87" t="s">
        <v>159</v>
      </c>
      <c r="G71" s="87">
        <v>0.24</v>
      </c>
      <c r="H71" s="88">
        <v>0.32700000000000001</v>
      </c>
      <c r="I71" s="88">
        <v>0.33</v>
      </c>
      <c r="J71" s="89">
        <f>I71</f>
        <v>0.33</v>
      </c>
      <c r="K71" s="89">
        <f>J71</f>
        <v>0.33</v>
      </c>
      <c r="L71" s="40">
        <f>I71-H71</f>
        <v>3.0000000000000027E-3</v>
      </c>
      <c r="M71" s="40">
        <f>((I71-H71)/H71)*100</f>
        <v>0.91743119266055118</v>
      </c>
      <c r="N71" s="90">
        <v>497</v>
      </c>
      <c r="O71" s="91">
        <v>164.01</v>
      </c>
      <c r="P71" s="66">
        <f>(R71)/J71</f>
        <v>0</v>
      </c>
      <c r="Q71" s="43">
        <f>J71/G71-1</f>
        <v>0.37500000000000022</v>
      </c>
      <c r="T71" s="47"/>
    </row>
    <row r="72" spans="1:20" x14ac:dyDescent="0.25">
      <c r="A72" s="29" t="s">
        <v>160</v>
      </c>
      <c r="B72" s="86" t="s">
        <v>161</v>
      </c>
      <c r="C72" s="87">
        <v>471351750</v>
      </c>
      <c r="D72" s="32">
        <f>C72*J72</f>
        <v>65565028.424999997</v>
      </c>
      <c r="E72" s="33">
        <f>C72*K72</f>
        <v>65565028.424999997</v>
      </c>
      <c r="F72" s="87" t="s">
        <v>159</v>
      </c>
      <c r="G72" s="87">
        <v>0.1</v>
      </c>
      <c r="H72" s="88">
        <v>0.13969999999999999</v>
      </c>
      <c r="I72" s="88">
        <v>0.1391</v>
      </c>
      <c r="J72" s="89">
        <f>I72</f>
        <v>0.1391</v>
      </c>
      <c r="K72" s="89">
        <f>J72</f>
        <v>0.1391</v>
      </c>
      <c r="L72" s="40">
        <f>I72-H72</f>
        <v>-5.9999999999998943E-4</v>
      </c>
      <c r="M72" s="40">
        <f>((I72-H72)/H72)*100</f>
        <v>-0.42949176807443773</v>
      </c>
      <c r="N72" s="45">
        <v>2445</v>
      </c>
      <c r="O72" s="91">
        <v>340.17</v>
      </c>
      <c r="P72" s="92">
        <f>(R72)/J72</f>
        <v>2.726096333572969E-2</v>
      </c>
      <c r="Q72" s="43">
        <f>J72/G72-1</f>
        <v>0.39100000000000001</v>
      </c>
      <c r="R72" s="5">
        <v>3.7919999999999998E-3</v>
      </c>
      <c r="T72" s="47"/>
    </row>
    <row r="73" spans="1:20" ht="13.8" thickBot="1" x14ac:dyDescent="0.4">
      <c r="A73" s="29"/>
      <c r="B73" s="30" t="s">
        <v>117</v>
      </c>
      <c r="C73" s="34"/>
      <c r="D73" s="31"/>
      <c r="E73" s="31"/>
      <c r="F73" s="34"/>
      <c r="G73" s="34"/>
      <c r="H73" s="36"/>
      <c r="I73" s="36"/>
      <c r="J73" s="36"/>
      <c r="K73" s="36"/>
      <c r="L73" s="40"/>
      <c r="M73" s="74"/>
      <c r="N73" s="56">
        <f>SUM(N71:N72)</f>
        <v>2942</v>
      </c>
      <c r="O73" s="57">
        <f>SUM(O71:O72)</f>
        <v>504.18</v>
      </c>
      <c r="P73" s="85"/>
      <c r="Q73" s="58"/>
    </row>
    <row r="74" spans="1:20" ht="12.6" x14ac:dyDescent="0.3">
      <c r="A74" s="125" t="s">
        <v>162</v>
      </c>
      <c r="B74" s="126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8"/>
    </row>
    <row r="75" spans="1:20" x14ac:dyDescent="0.25">
      <c r="A75" s="29" t="s">
        <v>163</v>
      </c>
      <c r="B75" s="86" t="s">
        <v>164</v>
      </c>
      <c r="C75" s="87">
        <v>20819695</v>
      </c>
      <c r="D75" s="32">
        <f>C75*J75</f>
        <v>2290166.4500000002</v>
      </c>
      <c r="E75" s="33">
        <f>C75*K75</f>
        <v>2290166.4500000002</v>
      </c>
      <c r="F75" s="87" t="s">
        <v>137</v>
      </c>
      <c r="G75" s="87">
        <v>0.1394</v>
      </c>
      <c r="H75" s="88">
        <v>0.1099</v>
      </c>
      <c r="I75" s="88">
        <v>0.11</v>
      </c>
      <c r="J75" s="89">
        <f>I75</f>
        <v>0.11</v>
      </c>
      <c r="K75" s="89">
        <f>J75</f>
        <v>0.11</v>
      </c>
      <c r="L75" s="40">
        <f>I75-H75</f>
        <v>1.0000000000000286E-4</v>
      </c>
      <c r="M75" s="40">
        <f>((I75-H75)/H75)*100</f>
        <v>9.0991810737036272E-2</v>
      </c>
      <c r="N75" s="90">
        <v>9270</v>
      </c>
      <c r="O75" s="91">
        <v>1019.43</v>
      </c>
      <c r="P75" s="66">
        <f>(R75)/J75</f>
        <v>0</v>
      </c>
      <c r="Q75" s="43">
        <f>J75/G75-1</f>
        <v>-0.21090387374461972</v>
      </c>
    </row>
    <row r="76" spans="1:20" ht="13.2" x14ac:dyDescent="0.35">
      <c r="A76" s="29"/>
      <c r="B76" s="30" t="s">
        <v>117</v>
      </c>
      <c r="C76" s="34"/>
      <c r="D76" s="31"/>
      <c r="E76" s="31"/>
      <c r="F76" s="34"/>
      <c r="G76" s="34"/>
      <c r="H76" s="36"/>
      <c r="I76" s="36"/>
      <c r="J76" s="36"/>
      <c r="K76" s="36"/>
      <c r="L76" s="40"/>
      <c r="M76" s="74"/>
      <c r="N76" s="56"/>
      <c r="O76" s="57"/>
      <c r="P76" s="85"/>
      <c r="Q76" s="58"/>
    </row>
    <row r="77" spans="1:20" ht="12.6" x14ac:dyDescent="0.3">
      <c r="A77" s="131" t="s">
        <v>165</v>
      </c>
      <c r="B77" s="147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32"/>
    </row>
    <row r="78" spans="1:20" x14ac:dyDescent="0.25">
      <c r="A78" s="29" t="s">
        <v>166</v>
      </c>
      <c r="B78" s="30" t="s">
        <v>167</v>
      </c>
      <c r="C78" s="34">
        <v>31703227</v>
      </c>
      <c r="D78" s="32">
        <f>C78*J78</f>
        <v>160499.79355966146</v>
      </c>
      <c r="E78" s="33">
        <f>C78*K78</f>
        <v>135870.97285714286</v>
      </c>
      <c r="F78" s="34" t="s">
        <v>137</v>
      </c>
      <c r="G78" s="65">
        <v>0.105</v>
      </c>
      <c r="H78" s="36">
        <v>0.12118999999999999</v>
      </c>
      <c r="I78" s="36">
        <v>0.13500000000000001</v>
      </c>
      <c r="J78" s="38">
        <f>I78/$J$5</f>
        <v>5.0625696103321427E-3</v>
      </c>
      <c r="K78" s="39">
        <f>I78/$K$4</f>
        <v>4.2857142857142859E-3</v>
      </c>
      <c r="L78" s="40">
        <f>I78-H78</f>
        <v>1.3810000000000017E-2</v>
      </c>
      <c r="M78" s="93">
        <f>((I78-H78)/H78)*100</f>
        <v>11.395329647660713</v>
      </c>
      <c r="N78" s="31">
        <v>550</v>
      </c>
      <c r="O78" s="31">
        <v>73.5</v>
      </c>
      <c r="P78" s="34">
        <v>0</v>
      </c>
      <c r="Q78" s="43">
        <f>I78/G78-1</f>
        <v>0.28571428571428581</v>
      </c>
    </row>
    <row r="79" spans="1:20" x14ac:dyDescent="0.25">
      <c r="A79" s="29" t="s">
        <v>168</v>
      </c>
      <c r="B79" s="30" t="s">
        <v>169</v>
      </c>
      <c r="C79" s="34">
        <v>136162052</v>
      </c>
      <c r="D79" s="32">
        <f>C79*J79</f>
        <v>408491.77276187547</v>
      </c>
      <c r="E79" s="33">
        <f>C79*K79</f>
        <v>345808.38603174605</v>
      </c>
      <c r="F79" s="34" t="s">
        <v>137</v>
      </c>
      <c r="G79" s="65">
        <v>4.2500000000000003E-2</v>
      </c>
      <c r="H79" s="36">
        <v>0.08</v>
      </c>
      <c r="I79" s="36">
        <v>0.08</v>
      </c>
      <c r="J79" s="38">
        <f>I79/$J$5</f>
        <v>3.0000412505671952E-3</v>
      </c>
      <c r="K79" s="39">
        <f>I79/$K$4</f>
        <v>2.5396825396825397E-3</v>
      </c>
      <c r="L79" s="40">
        <f>I79-H79</f>
        <v>0</v>
      </c>
      <c r="M79" s="93">
        <f>((I79-H79)/H79)*100</f>
        <v>0</v>
      </c>
      <c r="N79" s="31">
        <v>0</v>
      </c>
      <c r="O79" s="31">
        <v>0</v>
      </c>
      <c r="P79" s="34">
        <v>0</v>
      </c>
      <c r="Q79" s="43">
        <f>I79/G79-1</f>
        <v>0.88235294117647056</v>
      </c>
    </row>
    <row r="80" spans="1:20" x14ac:dyDescent="0.25">
      <c r="A80" s="29" t="s">
        <v>170</v>
      </c>
      <c r="B80" s="30" t="s">
        <v>171</v>
      </c>
      <c r="C80" s="34">
        <v>6677853</v>
      </c>
      <c r="D80" s="32">
        <f>C80*J80</f>
        <v>30050.751697835844</v>
      </c>
      <c r="E80" s="33">
        <f>C80*K80</f>
        <v>25439.439999999999</v>
      </c>
      <c r="F80" s="34" t="s">
        <v>137</v>
      </c>
      <c r="G80" s="65">
        <v>6.0499999999999998E-2</v>
      </c>
      <c r="H80" s="36">
        <v>0.120753</v>
      </c>
      <c r="I80" s="36">
        <v>0.12</v>
      </c>
      <c r="J80" s="38">
        <f>I80/$J$5</f>
        <v>4.5000618758507926E-3</v>
      </c>
      <c r="K80" s="39">
        <f>I80/$K$4</f>
        <v>3.8095238095238095E-3</v>
      </c>
      <c r="L80" s="40">
        <f>I80-H80</f>
        <v>-7.5300000000000367E-4</v>
      </c>
      <c r="M80" s="93">
        <f>((I80-H80)/H80)*100</f>
        <v>-0.62358699162754028</v>
      </c>
      <c r="N80" s="31">
        <v>450</v>
      </c>
      <c r="O80" s="31">
        <v>54.5</v>
      </c>
      <c r="P80" s="34">
        <v>0</v>
      </c>
      <c r="Q80" s="43">
        <f>I80/G80-1</f>
        <v>0.98347107438016534</v>
      </c>
    </row>
    <row r="81" spans="1:243" x14ac:dyDescent="0.25">
      <c r="A81" s="29" t="s">
        <v>172</v>
      </c>
      <c r="B81" s="30" t="s">
        <v>173</v>
      </c>
      <c r="C81" s="31">
        <v>494417400</v>
      </c>
      <c r="D81" s="32">
        <f>C81*J81</f>
        <v>31519542.643711351</v>
      </c>
      <c r="E81" s="33">
        <f>C81*K81</f>
        <v>26682843.809523806</v>
      </c>
      <c r="F81" s="34" t="s">
        <v>137</v>
      </c>
      <c r="G81" s="65">
        <v>1.85</v>
      </c>
      <c r="H81" s="36">
        <v>1.7</v>
      </c>
      <c r="I81" s="36">
        <v>1.7</v>
      </c>
      <c r="J81" s="38">
        <f>I81/$J$5</f>
        <v>6.3750876574552903E-2</v>
      </c>
      <c r="K81" s="39">
        <f>I81/$K$4</f>
        <v>5.3968253968253964E-2</v>
      </c>
      <c r="L81" s="40">
        <f>I81-H81</f>
        <v>0</v>
      </c>
      <c r="M81" s="93">
        <f>((I81-H81)/H81)*100</f>
        <v>0</v>
      </c>
      <c r="N81" s="31">
        <v>0</v>
      </c>
      <c r="O81" s="31">
        <v>0</v>
      </c>
      <c r="P81" s="34">
        <v>0</v>
      </c>
      <c r="Q81" s="43">
        <f>I81/G81-1</f>
        <v>-8.1081081081081141E-2</v>
      </c>
    </row>
    <row r="82" spans="1:243" ht="15" thickBot="1" x14ac:dyDescent="0.4">
      <c r="A82" s="29"/>
      <c r="B82" s="30" t="s">
        <v>117</v>
      </c>
      <c r="C82" s="31"/>
      <c r="D82" s="31"/>
      <c r="E82" s="31"/>
      <c r="F82" s="34"/>
      <c r="G82" s="34"/>
      <c r="H82" s="36"/>
      <c r="I82" s="36"/>
      <c r="J82" s="36"/>
      <c r="K82" s="36"/>
      <c r="L82" s="40"/>
      <c r="M82" s="40"/>
      <c r="N82" s="56">
        <f>SUM(N78:N81)</f>
        <v>1000</v>
      </c>
      <c r="O82" s="57">
        <f>SUM(O78:O81)</f>
        <v>128</v>
      </c>
      <c r="P82" s="75"/>
      <c r="Q82" s="58"/>
      <c r="V82" s="94"/>
      <c r="W82" s="94"/>
      <c r="DU82" s="95"/>
      <c r="DV82" s="95"/>
      <c r="DW82" s="96"/>
      <c r="DX82" s="97"/>
      <c r="DY82" s="97"/>
      <c r="DZ82" s="98"/>
      <c r="EA82" s="98"/>
      <c r="EB82" s="99"/>
      <c r="EC82" s="99"/>
      <c r="ED82" s="100"/>
      <c r="EE82" s="100"/>
      <c r="EF82" s="98"/>
      <c r="EG82" s="101"/>
      <c r="EH82" s="102"/>
      <c r="EI82" s="96"/>
      <c r="EJ82" s="95"/>
      <c r="EK82" s="95"/>
      <c r="EL82" s="96"/>
      <c r="EM82" s="97"/>
      <c r="EN82" s="97"/>
      <c r="EO82" s="98"/>
      <c r="EP82" s="98"/>
      <c r="EQ82" s="99"/>
      <c r="ER82" s="99"/>
      <c r="ES82" s="100"/>
      <c r="ET82" s="100"/>
      <c r="EU82" s="98"/>
      <c r="EV82" s="101"/>
      <c r="EW82" s="102"/>
      <c r="EX82" s="96"/>
      <c r="EY82" s="95"/>
      <c r="EZ82" s="95"/>
      <c r="FA82" s="96"/>
      <c r="FB82" s="97"/>
      <c r="FC82" s="97"/>
      <c r="FD82" s="98"/>
      <c r="FE82" s="98"/>
      <c r="FF82" s="99"/>
      <c r="FG82" s="99"/>
      <c r="FH82" s="100"/>
      <c r="FI82" s="100"/>
      <c r="FJ82" s="98"/>
      <c r="FK82" s="101"/>
      <c r="FL82" s="102"/>
      <c r="FM82" s="96"/>
      <c r="FN82" s="95"/>
      <c r="FO82" s="95"/>
      <c r="FP82" s="96"/>
      <c r="FQ82" s="97"/>
      <c r="FR82" s="97"/>
      <c r="FS82" s="98"/>
      <c r="FT82" s="98"/>
      <c r="FU82" s="99"/>
      <c r="FV82" s="99"/>
      <c r="FW82" s="100"/>
      <c r="FX82" s="100"/>
      <c r="FY82" s="98"/>
      <c r="FZ82" s="101"/>
      <c r="GA82" s="102"/>
      <c r="GB82" s="96"/>
      <c r="GC82" s="95"/>
      <c r="GD82" s="95"/>
      <c r="GE82" s="96"/>
      <c r="GF82" s="97"/>
      <c r="GG82" s="97"/>
      <c r="GH82" s="98"/>
      <c r="GI82" s="98"/>
      <c r="GJ82" s="99"/>
      <c r="GK82" s="99"/>
      <c r="GL82" s="100"/>
      <c r="GM82" s="100"/>
      <c r="GN82" s="98"/>
      <c r="GO82" s="101"/>
      <c r="GP82" s="102"/>
      <c r="GQ82" s="96"/>
      <c r="GR82" s="95"/>
      <c r="GS82" s="95"/>
      <c r="GT82" s="96"/>
      <c r="GU82" s="97"/>
      <c r="GV82" s="97"/>
      <c r="GW82" s="98"/>
      <c r="GX82" s="98"/>
      <c r="GY82" s="99"/>
      <c r="GZ82" s="99"/>
      <c r="HA82" s="100"/>
      <c r="HB82" s="100"/>
      <c r="HC82" s="98"/>
      <c r="HD82" s="101"/>
      <c r="HE82" s="102"/>
      <c r="HF82" s="96"/>
      <c r="HG82" s="95"/>
      <c r="HH82" s="95"/>
      <c r="HI82" s="96"/>
      <c r="HJ82" s="97"/>
      <c r="HK82" s="97"/>
      <c r="HL82" s="98"/>
      <c r="HM82" s="98"/>
      <c r="HN82" s="99"/>
      <c r="HO82" s="99"/>
      <c r="HP82" s="100"/>
      <c r="HQ82" s="100"/>
      <c r="HR82" s="98"/>
      <c r="HS82" s="101"/>
      <c r="HT82" s="102"/>
      <c r="HU82" s="96"/>
      <c r="HV82" s="95"/>
      <c r="HW82" s="95"/>
      <c r="HX82" s="96"/>
      <c r="HY82" s="97"/>
      <c r="HZ82" s="97"/>
      <c r="IA82" s="98"/>
      <c r="IB82" s="98"/>
      <c r="IC82" s="99"/>
      <c r="ID82" s="99"/>
      <c r="IE82" s="100"/>
      <c r="IF82" s="100"/>
      <c r="IG82" s="98"/>
      <c r="IH82" s="101"/>
      <c r="II82" s="102"/>
    </row>
    <row r="83" spans="1:243" ht="13.2" thickTop="1" x14ac:dyDescent="0.3">
      <c r="A83" s="125" t="s">
        <v>174</v>
      </c>
      <c r="B83" s="126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8"/>
    </row>
    <row r="84" spans="1:243" x14ac:dyDescent="0.25">
      <c r="A84" s="29" t="s">
        <v>175</v>
      </c>
      <c r="B84" s="30" t="s">
        <v>176</v>
      </c>
      <c r="C84" s="34">
        <v>368326244</v>
      </c>
      <c r="D84" s="32">
        <f>C84*J84</f>
        <v>29454994.331047051</v>
      </c>
      <c r="E84" s="33">
        <f>C84*K84</f>
        <v>24935102.07396825</v>
      </c>
      <c r="F84" s="34" t="s">
        <v>177</v>
      </c>
      <c r="G84" s="34">
        <v>1.3</v>
      </c>
      <c r="H84" s="36">
        <v>2.1324999999999998</v>
      </c>
      <c r="I84" s="36">
        <v>2.1324999999999998</v>
      </c>
      <c r="J84" s="38">
        <f>I84/$J$5</f>
        <v>7.9969849585431796E-2</v>
      </c>
      <c r="K84" s="39">
        <f>I84/$K$4</f>
        <v>6.7698412698412688E-2</v>
      </c>
      <c r="L84" s="40">
        <f>I84-H84</f>
        <v>0</v>
      </c>
      <c r="M84" s="40">
        <f>((I84-H84)/H84*100)</f>
        <v>0</v>
      </c>
      <c r="N84" s="103">
        <v>729</v>
      </c>
      <c r="O84" s="104">
        <v>1557.8824999999999</v>
      </c>
      <c r="P84" s="46">
        <f>(R84)/J84</f>
        <v>0</v>
      </c>
      <c r="Q84" s="43">
        <f>I84/G84-1</f>
        <v>0.64038461538461511</v>
      </c>
      <c r="R84" s="47"/>
    </row>
    <row r="85" spans="1:243" s="105" customFormat="1" ht="12.6" thickBot="1" x14ac:dyDescent="0.3">
      <c r="A85" s="29" t="s">
        <v>178</v>
      </c>
      <c r="B85" s="30" t="s">
        <v>179</v>
      </c>
      <c r="C85" s="34">
        <v>1841105000</v>
      </c>
      <c r="D85" s="32">
        <f>C85*J85</f>
        <v>74566192.033765465</v>
      </c>
      <c r="E85" s="33">
        <f>C85*K85</f>
        <v>63123950.686666667</v>
      </c>
      <c r="F85" s="34" t="s">
        <v>177</v>
      </c>
      <c r="G85" s="34">
        <v>1.44347</v>
      </c>
      <c r="H85" s="36">
        <v>1.083933</v>
      </c>
      <c r="I85" s="36">
        <v>1.080006</v>
      </c>
      <c r="J85" s="38">
        <f>I85/$J$5</f>
        <v>4.0500781885750931E-2</v>
      </c>
      <c r="K85" s="39">
        <f>I85/$K$4</f>
        <v>3.428590476190476E-2</v>
      </c>
      <c r="L85" s="40">
        <f>I85-H85</f>
        <v>-3.9270000000000138E-3</v>
      </c>
      <c r="M85" s="40">
        <f>((I85-H85)/H85*100)</f>
        <v>-0.36229176526593559</v>
      </c>
      <c r="N85" s="104">
        <v>8182145</v>
      </c>
      <c r="O85" s="104">
        <v>8836785.3300000001</v>
      </c>
      <c r="P85" s="42">
        <f>(R85)/J85</f>
        <v>5.3727357810975124E-2</v>
      </c>
      <c r="Q85" s="43">
        <f>I85/G85-1</f>
        <v>-0.25179879041476438</v>
      </c>
      <c r="R85" s="47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76"/>
      <c r="B86" s="77"/>
      <c r="C86" s="78"/>
      <c r="D86" s="106"/>
      <c r="E86" s="79"/>
      <c r="F86" s="78"/>
      <c r="G86" s="78"/>
      <c r="H86" s="80"/>
      <c r="I86" s="80"/>
      <c r="J86" s="80"/>
      <c r="K86" s="80"/>
      <c r="L86" s="81"/>
      <c r="M86" s="81"/>
      <c r="N86" s="81"/>
      <c r="O86" s="81"/>
      <c r="P86" s="81"/>
      <c r="Q86" s="84"/>
    </row>
    <row r="87" spans="1:243" ht="12.6" thickBot="1" x14ac:dyDescent="0.3">
      <c r="A87" s="107"/>
      <c r="B87" s="149"/>
      <c r="C87" s="149"/>
      <c r="D87" s="149"/>
      <c r="E87" s="149"/>
      <c r="F87" s="108"/>
      <c r="G87" s="108"/>
      <c r="H87" s="54"/>
      <c r="I87" s="150"/>
      <c r="J87" s="150"/>
      <c r="K87" s="150"/>
      <c r="L87" s="150"/>
      <c r="M87" s="109"/>
      <c r="N87" s="109"/>
      <c r="O87" s="54"/>
      <c r="P87" s="54"/>
      <c r="Q87" s="110"/>
    </row>
    <row r="88" spans="1:243" ht="15" customHeight="1" thickBot="1" x14ac:dyDescent="0.3">
      <c r="A88" s="133" t="s">
        <v>180</v>
      </c>
      <c r="B88" s="134"/>
      <c r="C88" s="134"/>
      <c r="D88" s="135"/>
      <c r="E88" s="133" t="s">
        <v>181</v>
      </c>
      <c r="F88" s="134"/>
      <c r="G88" s="134"/>
      <c r="H88" s="135"/>
      <c r="I88" s="151"/>
      <c r="J88" s="136" t="s">
        <v>182</v>
      </c>
      <c r="K88" s="137"/>
      <c r="L88" s="138"/>
      <c r="M88" s="136" t="s">
        <v>183</v>
      </c>
      <c r="N88" s="137"/>
      <c r="O88" s="138"/>
      <c r="P88" s="150"/>
      <c r="Q88" s="15"/>
    </row>
    <row r="89" spans="1:243" ht="15" customHeight="1" x14ac:dyDescent="0.25">
      <c r="A89" s="29" t="s">
        <v>115</v>
      </c>
      <c r="B89" s="111">
        <v>3.335</v>
      </c>
      <c r="C89" s="150"/>
      <c r="D89" s="111">
        <v>15.000000000000002</v>
      </c>
      <c r="E89" s="29" t="s">
        <v>97</v>
      </c>
      <c r="F89" s="112">
        <v>4.1500000000000004</v>
      </c>
      <c r="G89" s="150"/>
      <c r="H89" s="113">
        <v>-5.8743479246994665</v>
      </c>
      <c r="I89" s="150"/>
      <c r="J89" s="29" t="s">
        <v>146</v>
      </c>
      <c r="K89" s="46">
        <v>0.24</v>
      </c>
      <c r="L89" s="114">
        <v>13.906027527289982</v>
      </c>
      <c r="M89" s="54" t="s">
        <v>121</v>
      </c>
      <c r="N89" s="112">
        <v>36.1</v>
      </c>
      <c r="O89" s="113">
        <v>-9.7299149060666021</v>
      </c>
      <c r="P89" s="150"/>
      <c r="Q89" s="15"/>
    </row>
    <row r="90" spans="1:243" ht="15" customHeight="1" x14ac:dyDescent="0.25">
      <c r="A90" s="29" t="s">
        <v>86</v>
      </c>
      <c r="B90" s="111">
        <v>1.53</v>
      </c>
      <c r="C90" s="150"/>
      <c r="D90" s="111">
        <v>13.333333333333327</v>
      </c>
      <c r="E90" s="29" t="s">
        <v>35</v>
      </c>
      <c r="F90" s="112">
        <v>5.0332999999999996E-2</v>
      </c>
      <c r="G90" s="150"/>
      <c r="H90" s="113">
        <v>-5.5453385377571056</v>
      </c>
      <c r="I90" s="150"/>
      <c r="J90" s="29" t="s">
        <v>144</v>
      </c>
      <c r="K90" s="46">
        <v>0.74660000000000004</v>
      </c>
      <c r="L90" s="114">
        <v>4.0847623030809972</v>
      </c>
      <c r="M90" s="29" t="s">
        <v>131</v>
      </c>
      <c r="N90" s="112">
        <v>0.13469999999999999</v>
      </c>
      <c r="O90" s="113">
        <v>-9.4758064516129039</v>
      </c>
      <c r="P90" s="150"/>
      <c r="Q90" s="15"/>
    </row>
    <row r="91" spans="1:243" ht="15" customHeight="1" x14ac:dyDescent="0.25">
      <c r="A91" s="29" t="s">
        <v>45</v>
      </c>
      <c r="B91" s="111">
        <v>41.872799999999998</v>
      </c>
      <c r="C91" s="111"/>
      <c r="D91" s="111">
        <v>7.3675303529532439</v>
      </c>
      <c r="E91" s="29" t="s">
        <v>70</v>
      </c>
      <c r="F91" s="112">
        <v>10.602499999999999</v>
      </c>
      <c r="G91" s="150"/>
      <c r="H91" s="113">
        <v>-3.6136363636363718</v>
      </c>
      <c r="I91" s="150"/>
      <c r="J91" s="29" t="s">
        <v>133</v>
      </c>
      <c r="K91" s="46">
        <v>2.07E-2</v>
      </c>
      <c r="L91" s="114">
        <v>2.4752475247524774</v>
      </c>
      <c r="M91" s="29" t="s">
        <v>119</v>
      </c>
      <c r="N91" s="112">
        <v>0.1328</v>
      </c>
      <c r="O91" s="113">
        <v>-4.9391553328561129</v>
      </c>
      <c r="P91" s="150"/>
      <c r="Q91" s="15"/>
    </row>
    <row r="92" spans="1:243" ht="15" customHeight="1" x14ac:dyDescent="0.25">
      <c r="A92" s="29" t="s">
        <v>90</v>
      </c>
      <c r="B92" s="111">
        <v>1.65</v>
      </c>
      <c r="C92" s="111"/>
      <c r="D92" s="111">
        <v>6.0892667238476923</v>
      </c>
      <c r="E92" s="29" t="s">
        <v>107</v>
      </c>
      <c r="F92" s="112">
        <v>6.8</v>
      </c>
      <c r="G92" s="150"/>
      <c r="H92" s="113">
        <v>-2.8571428571428599</v>
      </c>
      <c r="I92" s="150"/>
      <c r="J92" s="29" t="s">
        <v>138</v>
      </c>
      <c r="K92" s="46">
        <v>0.9</v>
      </c>
      <c r="L92" s="114">
        <v>0.71620411817368768</v>
      </c>
      <c r="M92" s="29" t="s">
        <v>123</v>
      </c>
      <c r="N92" s="112">
        <v>0.22800000000000001</v>
      </c>
      <c r="O92" s="113">
        <v>-0.21881838074398266</v>
      </c>
      <c r="P92" s="150"/>
      <c r="Q92" s="15"/>
    </row>
    <row r="93" spans="1:243" ht="15" customHeight="1" x14ac:dyDescent="0.25">
      <c r="A93" s="29" t="s">
        <v>101</v>
      </c>
      <c r="B93" s="111">
        <v>0.14000000000000001</v>
      </c>
      <c r="C93" s="111"/>
      <c r="D93" s="111">
        <v>0.52993637891170342</v>
      </c>
      <c r="E93" s="29" t="s">
        <v>93</v>
      </c>
      <c r="F93" s="112">
        <v>4.9091810000000002</v>
      </c>
      <c r="G93" s="112"/>
      <c r="H93" s="113">
        <v>-1.0245766129032203</v>
      </c>
      <c r="I93" s="150"/>
      <c r="J93" s="29" t="s">
        <v>129</v>
      </c>
      <c r="K93" s="46">
        <v>1.5068999999999999</v>
      </c>
      <c r="L93" s="114">
        <v>0.42652449183605212</v>
      </c>
      <c r="M93" s="29"/>
      <c r="N93" s="112"/>
      <c r="O93" s="113"/>
      <c r="P93" s="150"/>
      <c r="Q93" s="15"/>
    </row>
    <row r="94" spans="1:243" ht="15.75" customHeight="1" thickBot="1" x14ac:dyDescent="0.3">
      <c r="A94" s="115"/>
      <c r="B94" s="116"/>
      <c r="C94" s="116"/>
      <c r="D94" s="116"/>
      <c r="E94" s="115"/>
      <c r="F94" s="116"/>
      <c r="G94" s="116"/>
      <c r="H94" s="117"/>
      <c r="I94" s="150"/>
      <c r="J94" s="115"/>
      <c r="K94" s="116"/>
      <c r="L94" s="117"/>
      <c r="M94" s="116"/>
      <c r="N94" s="116"/>
      <c r="O94" s="117"/>
      <c r="P94" s="150"/>
      <c r="Q94" s="15"/>
    </row>
    <row r="95" spans="1:243" x14ac:dyDescent="0.25">
      <c r="A95" s="118"/>
      <c r="B95" s="152"/>
      <c r="C95" s="152"/>
      <c r="D95" s="152"/>
      <c r="E95" s="109"/>
      <c r="F95" s="109"/>
      <c r="G95" s="109"/>
      <c r="H95" s="109"/>
      <c r="I95" s="109"/>
      <c r="J95" s="109"/>
      <c r="K95" s="109"/>
      <c r="L95" s="109"/>
      <c r="M95" s="152"/>
      <c r="N95" s="150"/>
      <c r="O95" s="150"/>
      <c r="P95" s="150"/>
      <c r="Q95" s="15"/>
    </row>
    <row r="96" spans="1:243" x14ac:dyDescent="0.25">
      <c r="A96" s="12" t="s">
        <v>184</v>
      </c>
      <c r="B96" s="153"/>
      <c r="C96" s="153"/>
      <c r="D96" s="153"/>
      <c r="E96" s="153"/>
      <c r="F96" s="140"/>
      <c r="G96" s="140"/>
      <c r="H96" s="140"/>
      <c r="I96" s="140"/>
      <c r="J96" s="140"/>
      <c r="K96" s="140"/>
      <c r="L96" s="140"/>
      <c r="M96" s="140"/>
      <c r="N96" s="150"/>
      <c r="O96" s="150"/>
      <c r="P96" s="150"/>
      <c r="Q96" s="15"/>
    </row>
    <row r="97" spans="1:17" x14ac:dyDescent="0.25">
      <c r="A97" s="118"/>
      <c r="B97" s="152"/>
      <c r="C97" s="152"/>
      <c r="D97" s="152"/>
      <c r="E97" s="152"/>
      <c r="F97" s="109"/>
      <c r="G97" s="109"/>
      <c r="H97" s="152"/>
      <c r="I97" s="109"/>
      <c r="J97" s="109"/>
      <c r="K97" s="109"/>
      <c r="L97" s="109"/>
      <c r="M97" s="152"/>
      <c r="N97" s="150"/>
      <c r="O97" s="150"/>
      <c r="P97" s="150"/>
      <c r="Q97" s="15"/>
    </row>
    <row r="98" spans="1:17" ht="12.6" thickBot="1" x14ac:dyDescent="0.3">
      <c r="A98" s="119"/>
      <c r="B98" s="120"/>
      <c r="C98" s="120"/>
      <c r="D98" s="120"/>
      <c r="E98" s="120"/>
      <c r="F98" s="121"/>
      <c r="G98" s="121"/>
      <c r="H98" s="121"/>
      <c r="I98" s="122"/>
      <c r="J98" s="122"/>
      <c r="K98" s="122"/>
      <c r="L98" s="122"/>
      <c r="M98" s="122"/>
      <c r="N98" s="122"/>
      <c r="O98" s="122"/>
      <c r="P98" s="122"/>
      <c r="Q98" s="123"/>
    </row>
    <row r="99" spans="1:17" x14ac:dyDescent="0.25">
      <c r="I99" s="27"/>
      <c r="J99" s="27"/>
      <c r="K99" s="27"/>
      <c r="L99" s="27"/>
      <c r="M99" s="27"/>
      <c r="N99" s="27"/>
      <c r="O99" s="27"/>
      <c r="P99" s="27"/>
    </row>
    <row r="100" spans="1:17" x14ac:dyDescent="0.25">
      <c r="I100" s="27"/>
      <c r="J100" s="27"/>
      <c r="K100" s="27"/>
      <c r="O100" s="27"/>
      <c r="P100" s="27"/>
    </row>
    <row r="101" spans="1:17" x14ac:dyDescent="0.25">
      <c r="I101" s="27"/>
      <c r="J101" s="27"/>
      <c r="K101" s="27"/>
      <c r="O101" s="27"/>
      <c r="P101" s="27"/>
    </row>
    <row r="102" spans="1:17" x14ac:dyDescent="0.25">
      <c r="I102" s="124"/>
      <c r="J102" s="124"/>
      <c r="K102" s="124"/>
      <c r="O102" s="124"/>
      <c r="P102" s="124"/>
    </row>
    <row r="104" spans="1:17" x14ac:dyDescent="0.25">
      <c r="I104" s="27"/>
      <c r="J104" s="27"/>
      <c r="K104" s="27"/>
      <c r="O104" s="27"/>
      <c r="P104" s="27"/>
    </row>
    <row r="105" spans="1:17" x14ac:dyDescent="0.25">
      <c r="I105" s="124"/>
      <c r="J105" s="124"/>
      <c r="K105" s="124"/>
      <c r="O105" s="124"/>
      <c r="P105" s="124"/>
    </row>
    <row r="106" spans="1:17" x14ac:dyDescent="0.25">
      <c r="I106" s="27"/>
      <c r="J106" s="27"/>
      <c r="K106" s="27"/>
      <c r="O106" s="27"/>
      <c r="P106" s="27"/>
    </row>
    <row r="107" spans="1:17" x14ac:dyDescent="0.25">
      <c r="I107" s="124"/>
      <c r="J107" s="124"/>
      <c r="K107" s="124"/>
      <c r="O107" s="124"/>
      <c r="P107" s="124"/>
    </row>
  </sheetData>
  <sheetProtection algorithmName="SHA-512" hashValue="bSAZEqCC9oY4Re1leSeoAt7pjOf1aBhQ/DhBQq7LL8WSKMcWT1gYgFErZrTtS9MBUrTSIU37U8zwrb/XSkg1/g==" saltValue="uCnmvN687+Ab7qHr4Xx+6w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2026-09-01T13:21:20Z</dcterms:created>
  <dcterms:modified xsi:type="dcterms:W3CDTF">2026-09-01T13:28:45Z</dcterms:modified>
</cp:coreProperties>
</file>