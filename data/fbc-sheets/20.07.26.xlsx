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ly/17.07.26/"/>
    </mc:Choice>
  </mc:AlternateContent>
  <xr:revisionPtr revIDLastSave="8" documentId="8_{3AF28171-3E65-4B45-B249-FC99AEFF5B86}" xr6:coauthVersionLast="47" xr6:coauthVersionMax="47" xr10:uidLastSave="{A1D089AF-AB0F-4B88-90ED-B670C370EA69}"/>
  <bookViews>
    <workbookView xWindow="-108" yWindow="-108" windowWidth="23256" windowHeight="12456" xr2:uid="{BFEE9509-57D9-4798-898A-5BE0F94CDF76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4" i="1" l="1"/>
  <c r="Q84" i="1"/>
  <c r="Q83" i="1"/>
  <c r="M83" i="1"/>
  <c r="L83" i="1"/>
  <c r="K83" i="1"/>
  <c r="J83" i="1"/>
  <c r="P83" i="1" s="1"/>
  <c r="E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/>
  <c r="Q77" i="1"/>
  <c r="M77" i="1"/>
  <c r="L77" i="1"/>
  <c r="K77" i="1"/>
  <c r="E77" i="1" s="1"/>
  <c r="J77" i="1"/>
  <c r="D77" i="1"/>
  <c r="Q74" i="1"/>
  <c r="M74" i="1"/>
  <c r="L74" i="1"/>
  <c r="J74" i="1"/>
  <c r="P74" i="1" s="1"/>
  <c r="D74" i="1"/>
  <c r="O72" i="1"/>
  <c r="N72" i="1"/>
  <c r="M71" i="1"/>
  <c r="L71" i="1"/>
  <c r="J71" i="1"/>
  <c r="K71" i="1" s="1"/>
  <c r="E71" i="1" s="1"/>
  <c r="D71" i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Q60" i="1" s="1"/>
  <c r="D60" i="1"/>
  <c r="M59" i="1"/>
  <c r="L59" i="1"/>
  <c r="J59" i="1"/>
  <c r="Q59" i="1" s="1"/>
  <c r="M58" i="1"/>
  <c r="L58" i="1"/>
  <c r="J58" i="1"/>
  <c r="Q58" i="1" s="1"/>
  <c r="M57" i="1"/>
  <c r="L57" i="1"/>
  <c r="J57" i="1"/>
  <c r="Q57" i="1" s="1"/>
  <c r="M56" i="1"/>
  <c r="L56" i="1"/>
  <c r="J56" i="1"/>
  <c r="Q56" i="1" s="1"/>
  <c r="D56" i="1"/>
  <c r="M55" i="1"/>
  <c r="L55" i="1"/>
  <c r="J55" i="1"/>
  <c r="Q55" i="1" s="1"/>
  <c r="D55" i="1"/>
  <c r="M54" i="1"/>
  <c r="L54" i="1"/>
  <c r="J54" i="1"/>
  <c r="P54" i="1" s="1"/>
  <c r="M53" i="1"/>
  <c r="L53" i="1"/>
  <c r="J53" i="1"/>
  <c r="Q53" i="1" s="1"/>
  <c r="M52" i="1"/>
  <c r="L52" i="1"/>
  <c r="J52" i="1"/>
  <c r="D52" i="1" s="1"/>
  <c r="M51" i="1"/>
  <c r="L51" i="1"/>
  <c r="J51" i="1"/>
  <c r="Q51" i="1" s="1"/>
  <c r="M50" i="1"/>
  <c r="L50" i="1"/>
  <c r="J50" i="1"/>
  <c r="D50" i="1" s="1"/>
  <c r="O47" i="1"/>
  <c r="N47" i="1"/>
  <c r="Q46" i="1"/>
  <c r="M46" i="1"/>
  <c r="L46" i="1"/>
  <c r="K46" i="1"/>
  <c r="E46" i="1" s="1"/>
  <c r="J46" i="1"/>
  <c r="D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D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D37" i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P35" i="1" s="1"/>
  <c r="D35" i="1"/>
  <c r="Q34" i="1"/>
  <c r="M34" i="1"/>
  <c r="L34" i="1"/>
  <c r="K34" i="1"/>
  <c r="J34" i="1"/>
  <c r="P34" i="1" s="1"/>
  <c r="E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P32" i="1" s="1"/>
  <c r="K31" i="1"/>
  <c r="E31" i="1" s="1"/>
  <c r="J31" i="1"/>
  <c r="D31" i="1" s="1"/>
  <c r="Q29" i="1"/>
  <c r="M29" i="1"/>
  <c r="L29" i="1"/>
  <c r="K29" i="1"/>
  <c r="E29" i="1" s="1"/>
  <c r="J29" i="1"/>
  <c r="P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P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P20" i="1" s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P16" i="1" s="1"/>
  <c r="Q15" i="1"/>
  <c r="M15" i="1"/>
  <c r="L15" i="1"/>
  <c r="K15" i="1"/>
  <c r="J15" i="1"/>
  <c r="P15" i="1" s="1"/>
  <c r="E15" i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P13" i="1" s="1"/>
  <c r="D13" i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D11" i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P9" i="1" s="1"/>
  <c r="D54" i="1" l="1"/>
  <c r="D28" i="1"/>
  <c r="D40" i="1"/>
  <c r="D12" i="1"/>
  <c r="D16" i="1"/>
  <c r="D34" i="1"/>
  <c r="D29" i="1"/>
  <c r="D51" i="1"/>
  <c r="P60" i="1"/>
  <c r="P64" i="1"/>
  <c r="Q50" i="1"/>
  <c r="D17" i="1"/>
  <c r="D26" i="1"/>
  <c r="D45" i="1"/>
  <c r="P21" i="1"/>
  <c r="D42" i="1"/>
  <c r="Q54" i="1"/>
  <c r="D61" i="1"/>
  <c r="Q70" i="1"/>
  <c r="Q64" i="1"/>
  <c r="D14" i="1"/>
  <c r="D32" i="1"/>
  <c r="Q52" i="1"/>
  <c r="P71" i="1"/>
  <c r="D25" i="1"/>
  <c r="Q71" i="1"/>
  <c r="P39" i="1"/>
  <c r="D23" i="1"/>
  <c r="P50" i="1"/>
  <c r="D63" i="1"/>
  <c r="D9" i="1"/>
  <c r="D43" i="1"/>
  <c r="D53" i="1"/>
  <c r="D58" i="1"/>
  <c r="P62" i="1"/>
  <c r="D83" i="1"/>
  <c r="Q62" i="1"/>
  <c r="P36" i="1"/>
  <c r="P58" i="1"/>
  <c r="P10" i="1"/>
  <c r="P51" i="1"/>
  <c r="P44" i="1"/>
  <c r="P56" i="1"/>
  <c r="D59" i="1"/>
  <c r="P24" i="1"/>
  <c r="P33" i="1"/>
  <c r="P19" i="1"/>
  <c r="P27" i="1"/>
  <c r="D15" i="1"/>
  <c r="D57" i="1"/>
  <c r="P70" i="1"/>
  <c r="D20" i="1"/>
  <c r="K70" i="1"/>
  <c r="E70" i="1" s="1"/>
  <c r="K84" i="1"/>
  <c r="E84" i="1" s="1"/>
  <c r="K74" i="1"/>
  <c r="E74" i="1" s="1"/>
  <c r="L84" i="1"/>
  <c r="M84" i="1"/>
  <c r="J84" i="1"/>
  <c r="P53" i="1"/>
  <c r="P55" i="1"/>
  <c r="P57" i="1"/>
  <c r="P59" i="1"/>
  <c r="P61" i="1"/>
  <c r="P63" i="1"/>
  <c r="P84" i="1" l="1"/>
  <c r="D84" i="1"/>
</calcChain>
</file>

<file path=xl/sharedStrings.xml><?xml version="1.0" encoding="utf-8"?>
<sst xmlns="http://schemas.openxmlformats.org/spreadsheetml/2006/main" count="267" uniqueCount="183">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</sst>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166" fontId="15" fillId="5" borderId="11" xfId="5" applyNumberFormat="1" applyFont="1" applyFill="1" applyBorder="1" applyAlignment="1"/>
    <xf numFmtId="164" fontId="15" fillId="5" borderId="11" xfId="5" applyFont="1" applyFill="1" applyBorder="1" applyAlignment="1"/>
    <xf numFmtId="168" fontId="15" fillId="5" borderId="11" xfId="4" applyNumberFormat="1" applyFont="1" applyFill="1" applyBorder="1"/>
    <xf numFmtId="167" fontId="15" fillId="5" borderId="11" xfId="4" applyNumberFormat="1" applyFont="1" applyFill="1" applyBorder="1"/>
    <xf numFmtId="166" fontId="15" fillId="5" borderId="11" xfId="4" applyNumberFormat="1" applyFont="1" applyFill="1" applyBorder="1"/>
    <xf numFmtId="164" fontId="15" fillId="5" borderId="11" xfId="4" applyFont="1" applyFill="1" applyBorder="1"/>
    <xf numFmtId="167" fontId="15" fillId="5" borderId="12" xfId="4" applyNumberFormat="1" applyFont="1" applyFill="1" applyBorder="1"/>
    <xf numFmtId="164" fontId="15" fillId="5" borderId="13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164" fontId="25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4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3" fillId="2" borderId="14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" xfId="4" xr:uid="{5CC96631-5014-437B-93A0-85C677DCCE9E}"/>
    <cellStyle name="Comma 5 2 2 2 2 2 2 2 2" xfId="5" xr:uid="{AB83B8B2-83F3-490C-83B0-7775937D3EDC}"/>
    <cellStyle name="Comma 6 2 2 2" xfId="6" xr:uid="{0AEC482C-D623-4ED2-8BF6-3141BAADD864}"/>
    <cellStyle name="Hyperlink 2" xfId="9" xr:uid="{6F04C0DF-7DCF-45FC-86EF-9E0F05FCA3FC}"/>
    <cellStyle name="Normal" xfId="0" builtinId="0"/>
    <cellStyle name="Normal 2" xfId="3" xr:uid="{1A9EF877-814E-48A8-8504-684F05229E33}"/>
    <cellStyle name="Normal 20" xfId="8" xr:uid="{65372510-9060-412A-B37A-FB840E3D7F8F}"/>
    <cellStyle name="Percent" xfId="2" builtinId="5"/>
    <cellStyle name="Percent 3" xfId="7" xr:uid="{65058296-2BE2-4601-AFE8-08234C752448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E234602-6872-47F4-8D05-F7236D8AE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14E112E0-3E77-4C53-B287-EC9A44B6B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6EDC-9091-4A8E-9AE2-51CC2081A7E4}">
  <dimension ref="A1:II106"/>
  <sheetViews>
    <sheetView tabSelected="1" zoomScale="80" zoomScaleNormal="80" workbookViewId="0">
      <selection activeCell="AA27" sqref="AA27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26.788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32</v>
      </c>
      <c r="B9" s="36" t="s">
        <v>33</v>
      </c>
      <c r="C9" s="37">
        <v>126034439</v>
      </c>
      <c r="D9" s="38">
        <f>C9*J9</f>
        <v>74337170.97954309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0.58981633567268932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2.543164556962025E-2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4738571.6145288935</v>
      </c>
      <c r="E10" s="39">
        <f>C10*K10</f>
        <v>4029741.4733333332</v>
      </c>
      <c r="F10" s="40" t="s">
        <v>34</v>
      </c>
      <c r="G10" s="41">
        <v>3.1600000000000003E-2</v>
      </c>
      <c r="H10" s="42">
        <v>7.8E-2</v>
      </c>
      <c r="I10" s="43">
        <v>7.8E-2</v>
      </c>
      <c r="J10" s="44">
        <f>I10/$J$5</f>
        <v>2.911751530536061E-3</v>
      </c>
      <c r="K10" s="45">
        <f>I10/$K$4</f>
        <v>2.476190476190476E-3</v>
      </c>
      <c r="L10" s="46">
        <f>I10-H10</f>
        <v>0</v>
      </c>
      <c r="M10" s="46">
        <f>((I10-H10)/H10)*100</f>
        <v>0</v>
      </c>
      <c r="N10" s="47">
        <v>6700</v>
      </c>
      <c r="O10" s="37">
        <v>522.6</v>
      </c>
      <c r="P10" s="51">
        <f>(R10)/J10</f>
        <v>0</v>
      </c>
      <c r="Q10" s="49">
        <f>I10/G10-1</f>
        <v>1.4683544303797467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3588734.4699119008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8.2126325220247872E-3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146270515.21358445</v>
      </c>
      <c r="E12" s="39">
        <f>C12*K12</f>
        <v>124390303.54100001</v>
      </c>
      <c r="F12" s="40" t="s">
        <v>34</v>
      </c>
      <c r="G12" s="41">
        <v>97.381</v>
      </c>
      <c r="H12" s="42">
        <v>189.89950000000002</v>
      </c>
      <c r="I12" s="43">
        <v>189.89950000000002</v>
      </c>
      <c r="J12" s="44">
        <f>I12/$J$5</f>
        <v>7.088976407346574</v>
      </c>
      <c r="K12" s="45">
        <f>I12/$K$4</f>
        <v>6.0285555555555561</v>
      </c>
      <c r="L12" s="46">
        <f>I12-H12</f>
        <v>0</v>
      </c>
      <c r="M12" s="46">
        <f>((I12-H12)/H12)*100</f>
        <v>0</v>
      </c>
      <c r="N12" s="47">
        <v>0</v>
      </c>
      <c r="O12" s="37">
        <v>0</v>
      </c>
      <c r="P12" s="51">
        <f>(R12)/J12</f>
        <v>0</v>
      </c>
      <c r="Q12" s="49">
        <f>I12/G12-1</f>
        <v>0.95006726158080146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6195574.5856353585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0.7092728087203225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707641635.87397337</v>
      </c>
      <c r="E14" s="39">
        <f>C14*K14</f>
        <v>601787433.07276189</v>
      </c>
      <c r="F14" s="40" t="s">
        <v>47</v>
      </c>
      <c r="G14" s="41">
        <v>11.5</v>
      </c>
      <c r="H14" s="42">
        <v>36.268749999999997</v>
      </c>
      <c r="I14" s="43">
        <v>36.268799999999999</v>
      </c>
      <c r="J14" s="44">
        <f>I14/$J$5</f>
        <v>1.3539196655218755</v>
      </c>
      <c r="K14" s="45">
        <f>I14/$K$4</f>
        <v>1.1513904761904761</v>
      </c>
      <c r="L14" s="46">
        <f>I14-H14</f>
        <v>5.0000000001659828E-5</v>
      </c>
      <c r="M14" s="46">
        <f>((I14-H14)/H14)*100</f>
        <v>1.3785972773161422E-4</v>
      </c>
      <c r="N14" s="47">
        <v>0</v>
      </c>
      <c r="O14" s="37">
        <v>0</v>
      </c>
      <c r="P14" s="51">
        <f>(R14)/J14</f>
        <v>0</v>
      </c>
      <c r="Q14" s="49">
        <f>I14/G14-1</f>
        <v>2.1538086956521738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23751129.236971777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0.22398088696431237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79788913.339864418</v>
      </c>
      <c r="E16" s="39">
        <f>C16*K16</f>
        <v>67853505.096771047</v>
      </c>
      <c r="F16" s="40" t="s">
        <v>34</v>
      </c>
      <c r="G16" s="41">
        <v>1.9</v>
      </c>
      <c r="H16" s="42">
        <v>5.9703359999999996</v>
      </c>
      <c r="I16" s="43">
        <v>5.9703359999999996</v>
      </c>
      <c r="J16" s="44">
        <f>I16/$J$5</f>
        <v>0.22287352545916081</v>
      </c>
      <c r="K16" s="45">
        <f>I16/$K$4</f>
        <v>0.18953447619047617</v>
      </c>
      <c r="L16" s="46">
        <f>I16-H16</f>
        <v>0</v>
      </c>
      <c r="M16" s="46">
        <f>((I16-H16)/H16)*100</f>
        <v>0</v>
      </c>
      <c r="N16" s="47">
        <v>0</v>
      </c>
      <c r="O16" s="37">
        <v>0</v>
      </c>
      <c r="P16" s="51">
        <f>(R16)/J16</f>
        <v>0</v>
      </c>
      <c r="Q16" s="49">
        <f>I16/G16-1</f>
        <v>2.142282105263158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>C17*J17</f>
        <v>1547733832.6857922</v>
      </c>
      <c r="E17" s="39">
        <f>C17*K17</f>
        <v>1316212505.0789526</v>
      </c>
      <c r="F17" s="40" t="s">
        <v>34</v>
      </c>
      <c r="G17" s="41">
        <v>20.701700000000002</v>
      </c>
      <c r="H17" s="42">
        <v>31.953583999999999</v>
      </c>
      <c r="I17" s="43">
        <v>30.762600000000003</v>
      </c>
      <c r="J17" s="44">
        <f>I17/$J$5</f>
        <v>1.148372405554726</v>
      </c>
      <c r="K17" s="45">
        <f>I17/$K$4</f>
        <v>0.97659047619047623</v>
      </c>
      <c r="L17" s="46">
        <f>I17-H17</f>
        <v>-1.1909839999999967</v>
      </c>
      <c r="M17" s="46">
        <f>((I17-H17)/H17)*100</f>
        <v>-3.7272313490718183</v>
      </c>
      <c r="N17" s="47">
        <v>940500</v>
      </c>
      <c r="O17" s="37">
        <v>28932193.949999999</v>
      </c>
      <c r="P17" s="48">
        <f>(R17)/J17</f>
        <v>4.3539882844753047E-2</v>
      </c>
      <c r="Q17" s="49">
        <f>I17/G17-1</f>
        <v>0.4859939038822898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275923891.18261909</v>
      </c>
      <c r="E19" s="39">
        <f>C19*K19</f>
        <v>234649180.85714284</v>
      </c>
      <c r="F19" s="40" t="s">
        <v>47</v>
      </c>
      <c r="G19" s="41">
        <v>12.45</v>
      </c>
      <c r="H19" s="42">
        <v>9.99</v>
      </c>
      <c r="I19" s="43">
        <v>11</v>
      </c>
      <c r="J19" s="44">
        <f>I19/$J$5</f>
        <v>0.41063162610123938</v>
      </c>
      <c r="K19" s="45">
        <f>I19/$K$4</f>
        <v>0.34920634920634919</v>
      </c>
      <c r="L19" s="46">
        <f>I19-H19</f>
        <v>1.0099999999999998</v>
      </c>
      <c r="M19" s="46">
        <f>((I19-H19)/H19)*100</f>
        <v>10.110110110110107</v>
      </c>
      <c r="N19" s="47">
        <v>200</v>
      </c>
      <c r="O19" s="37">
        <v>2200</v>
      </c>
      <c r="P19" s="51">
        <f>(R19)/J19</f>
        <v>0</v>
      </c>
      <c r="Q19" s="49">
        <f>I19/G19-1</f>
        <v>-0.11646586345381527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2846285.7884127218</v>
      </c>
      <c r="E20" s="39">
        <f>C20*K20</f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2.6131103479169776E-2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83730212.968493357</v>
      </c>
      <c r="E21" s="39">
        <f>C21*K21</f>
        <v>71205236.349206343</v>
      </c>
      <c r="F21" s="40" t="s">
        <v>47</v>
      </c>
      <c r="G21" s="41">
        <v>2.85</v>
      </c>
      <c r="H21" s="42">
        <v>3.25</v>
      </c>
      <c r="I21" s="43">
        <v>3.25</v>
      </c>
      <c r="J21" s="44">
        <f>I21/$J$5</f>
        <v>0.12132298043900254</v>
      </c>
      <c r="K21" s="45">
        <f>I21/$K$4</f>
        <v>0.10317460317460317</v>
      </c>
      <c r="L21" s="46">
        <f>I21-H21</f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>I21/G21-1</f>
        <v>0.14035087719298245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>C22*J22</f>
        <v>0</v>
      </c>
      <c r="E22" s="39">
        <f>C22*K22</f>
        <v>0</v>
      </c>
      <c r="F22" s="40" t="s">
        <v>66</v>
      </c>
      <c r="G22" s="41">
        <v>0.88420599999999994</v>
      </c>
      <c r="H22" s="42">
        <v>0.99</v>
      </c>
      <c r="I22" s="43"/>
      <c r="J22" s="44">
        <f>I22/$J$5</f>
        <v>0</v>
      </c>
      <c r="K22" s="45">
        <f>I22/$K$4</f>
        <v>0</v>
      </c>
      <c r="L22" s="46">
        <f>I22-H22</f>
        <v>-0.99</v>
      </c>
      <c r="M22" s="46">
        <f>((I22-H22)/H22)*100</f>
        <v>-100</v>
      </c>
      <c r="N22" s="53" t="s">
        <v>57</v>
      </c>
      <c r="O22" s="53" t="s">
        <v>57</v>
      </c>
      <c r="P22" s="53" t="s">
        <v>67</v>
      </c>
      <c r="Q22" s="49">
        <f>I22/G22-1</f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>C23*J23</f>
        <v>2473820.1784567717</v>
      </c>
      <c r="E23" s="39">
        <f>C23*K23</f>
        <v>2103768.0933492063</v>
      </c>
      <c r="F23" s="40" t="s">
        <v>44</v>
      </c>
      <c r="G23" s="41">
        <v>0.1</v>
      </c>
      <c r="H23" s="42">
        <v>0.1235</v>
      </c>
      <c r="I23" s="43">
        <v>0.1235</v>
      </c>
      <c r="J23" s="44">
        <f>I23/$J$5</f>
        <v>4.6102732566820964E-3</v>
      </c>
      <c r="K23" s="45">
        <f>I23/$K$4</f>
        <v>3.9206349206349208E-3</v>
      </c>
      <c r="L23" s="46">
        <f>I23-H23</f>
        <v>0</v>
      </c>
      <c r="M23" s="46">
        <f>((I23-H23)/H23)*100</f>
        <v>0</v>
      </c>
      <c r="N23" s="47">
        <v>0</v>
      </c>
      <c r="O23" s="37">
        <v>0</v>
      </c>
      <c r="P23" s="51">
        <f>(R23)/J23</f>
        <v>0</v>
      </c>
      <c r="Q23" s="49">
        <f>I23/G23-1</f>
        <v>0.23499999999999988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>C24*J24</f>
        <v>80220839.375138104</v>
      </c>
      <c r="E24" s="39">
        <f>C24*K24</f>
        <v>68220820.481942847</v>
      </c>
      <c r="F24" s="40" t="s">
        <v>34</v>
      </c>
      <c r="G24" s="41">
        <v>8.1687659999999997</v>
      </c>
      <c r="H24" s="42">
        <v>11</v>
      </c>
      <c r="I24" s="43">
        <v>11.133299999999998</v>
      </c>
      <c r="J24" s="44">
        <f>I24/$J$5</f>
        <v>0.41560773480662977</v>
      </c>
      <c r="K24" s="45">
        <f>I24/$K$4</f>
        <v>0.35343809523809516</v>
      </c>
      <c r="L24" s="46">
        <f>I24-H24</f>
        <v>0.13329999999999842</v>
      </c>
      <c r="M24" s="46">
        <f>((I24-H24)/H24)*100</f>
        <v>1.2118181818181675</v>
      </c>
      <c r="N24" s="47">
        <v>300</v>
      </c>
      <c r="O24" s="37">
        <v>3340</v>
      </c>
      <c r="P24" s="48">
        <f>(R24)/J24</f>
        <v>3.6091724825523433E-2</v>
      </c>
      <c r="Q24" s="49">
        <f>I24/G24-1</f>
        <v>0.36291087295192437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>C25*J25</f>
        <v>124420577.04102585</v>
      </c>
      <c r="E25" s="39">
        <f>C25*K25</f>
        <v>105808838.65952381</v>
      </c>
      <c r="F25" s="40" t="s">
        <v>66</v>
      </c>
      <c r="G25" s="41">
        <v>1.6675</v>
      </c>
      <c r="H25" s="42">
        <v>1.8</v>
      </c>
      <c r="I25" s="43">
        <v>1.9750000000000001</v>
      </c>
      <c r="J25" s="44">
        <f>I25/$J$5</f>
        <v>7.3727041959086165E-2</v>
      </c>
      <c r="K25" s="45">
        <f>I25/$K$4</f>
        <v>6.2698412698412698E-2</v>
      </c>
      <c r="L25" s="46">
        <f>I25-H25</f>
        <v>0.17500000000000004</v>
      </c>
      <c r="M25" s="46">
        <f>((I25-H25)/H25)*100</f>
        <v>9.7222222222222232</v>
      </c>
      <c r="N25" s="47">
        <v>200</v>
      </c>
      <c r="O25" s="37">
        <v>395</v>
      </c>
      <c r="P25" s="51">
        <f>(R25)/J25</f>
        <v>0</v>
      </c>
      <c r="Q25" s="49">
        <f>I25/G25-1</f>
        <v>0.18440779610194902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>C26*J26</f>
        <v>22492902.244251158</v>
      </c>
      <c r="E26" s="39">
        <f>C26*K26</f>
        <v>19128249.692666665</v>
      </c>
      <c r="F26" s="40" t="s">
        <v>44</v>
      </c>
      <c r="G26" s="41">
        <v>1.7994999999999999</v>
      </c>
      <c r="H26" s="42">
        <v>2.9230770000000001</v>
      </c>
      <c r="I26" s="43">
        <v>2.5169999999999999</v>
      </c>
      <c r="J26" s="44">
        <f>I26/$J$5</f>
        <v>9.3959982081529045E-2</v>
      </c>
      <c r="K26" s="45">
        <f>I26/$K$4</f>
        <v>7.9904761904761895E-2</v>
      </c>
      <c r="L26" s="46">
        <f>I26-H26</f>
        <v>-0.40607700000000024</v>
      </c>
      <c r="M26" s="46">
        <f>((I26-H26)/H26)*100</f>
        <v>-13.892107529155073</v>
      </c>
      <c r="N26" s="47">
        <v>700</v>
      </c>
      <c r="O26" s="37">
        <v>1761.9</v>
      </c>
      <c r="P26" s="51">
        <f>(R26)/J26</f>
        <v>0</v>
      </c>
      <c r="Q26" s="49">
        <f>I26/G26-1</f>
        <v>0.3987218671853292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>C27*J27</f>
        <v>24000984.019337013</v>
      </c>
      <c r="E27" s="39">
        <f>C27*K27</f>
        <v>20410741.584444441</v>
      </c>
      <c r="F27" s="40" t="s">
        <v>34</v>
      </c>
      <c r="G27" s="41">
        <v>3.1361369999999997</v>
      </c>
      <c r="H27" s="42">
        <v>2.517188</v>
      </c>
      <c r="I27" s="43">
        <v>2.5099999999999998</v>
      </c>
      <c r="J27" s="44">
        <f>I27/$J$5</f>
        <v>9.3698671046737333E-2</v>
      </c>
      <c r="K27" s="45">
        <f>I27/$K$4</f>
        <v>7.9682539682539674E-2</v>
      </c>
      <c r="L27" s="46">
        <f>I27-H27</f>
        <v>-7.1880000000001942E-3</v>
      </c>
      <c r="M27" s="46">
        <f>((I27-H27)/H27)*100</f>
        <v>-0.28555674029910338</v>
      </c>
      <c r="N27" s="47">
        <v>8000</v>
      </c>
      <c r="O27" s="37">
        <v>20080</v>
      </c>
      <c r="P27" s="51">
        <f>(R27)/J27</f>
        <v>0</v>
      </c>
      <c r="Q27" s="49">
        <f>I27/G27-1</f>
        <v>-0.1996523111075823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>C28*J28</f>
        <v>21401614.005830783</v>
      </c>
      <c r="E28" s="39">
        <f>C28*K28</f>
        <v>18200204.317085553</v>
      </c>
      <c r="F28" s="40" t="s">
        <v>44</v>
      </c>
      <c r="G28" s="41">
        <v>0.8</v>
      </c>
      <c r="H28" s="42">
        <v>0.75869500000000001</v>
      </c>
      <c r="I28" s="43">
        <v>0.75869500000000001</v>
      </c>
      <c r="J28" s="44">
        <f>I28/$J$5</f>
        <v>2.8322196505898165E-2</v>
      </c>
      <c r="K28" s="45">
        <f>I28/$K$4</f>
        <v>2.4085555555555554E-2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-5.1631250000000017E-2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>C29*J29</f>
        <v>93890020.188143939</v>
      </c>
      <c r="E29" s="39">
        <f>C29*K29</f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>I29/$J$5</f>
        <v>0.20904882783335821</v>
      </c>
      <c r="K29" s="45">
        <f>I29/$K$4</f>
        <v>0.17777777777777776</v>
      </c>
      <c r="L29" s="46">
        <f>I29-H29</f>
        <v>0</v>
      </c>
      <c r="M29" s="46">
        <f>((I29-H29)/H29)*100</f>
        <v>0</v>
      </c>
      <c r="N29" s="47">
        <v>100</v>
      </c>
      <c r="O29" s="37">
        <v>560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>I31/$J$5</f>
        <v>0</v>
      </c>
      <c r="K31" s="56">
        <f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>C32*J32</f>
        <v>12126057.843064059</v>
      </c>
      <c r="E32" s="39">
        <f>C32*K32</f>
        <v>10312153.571428571</v>
      </c>
      <c r="F32" s="40" t="s">
        <v>39</v>
      </c>
      <c r="G32" s="41">
        <v>1.4</v>
      </c>
      <c r="H32" s="42">
        <v>1.25</v>
      </c>
      <c r="I32" s="43">
        <v>1.25</v>
      </c>
      <c r="J32" s="44">
        <f>I32/$J$5</f>
        <v>4.6662684784231745E-2</v>
      </c>
      <c r="K32" s="45">
        <f>I32/$K$4</f>
        <v>3.968253968253968E-2</v>
      </c>
      <c r="L32" s="46">
        <f>I32-H32</f>
        <v>0</v>
      </c>
      <c r="M32" s="46">
        <f>((I32-H32)/H32)*100</f>
        <v>0</v>
      </c>
      <c r="N32" s="47">
        <v>0</v>
      </c>
      <c r="O32" s="37">
        <v>0</v>
      </c>
      <c r="P32" s="51">
        <f>(R32)/J32</f>
        <v>0</v>
      </c>
      <c r="Q32" s="49">
        <f>I32/G32-1</f>
        <v>-0.1071428571428571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>C33*J33</f>
        <v>3872071.4312378671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3.1730625653277583E-2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>C34*J34</f>
        <v>116446521.90346424</v>
      </c>
      <c r="E34" s="39">
        <f>C34*K34</f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>I34/$J$5</f>
        <v>4.6662684784231745E-2</v>
      </c>
      <c r="K34" s="45">
        <f>I34/$K$4</f>
        <v>3.968253968253968E-2</v>
      </c>
      <c r="L34" s="46">
        <f>I34-H34</f>
        <v>0</v>
      </c>
      <c r="M34" s="46">
        <f>((I34-H34)/H34)*100</f>
        <v>0</v>
      </c>
      <c r="N34" s="47">
        <v>0</v>
      </c>
      <c r="O34" s="37">
        <v>0</v>
      </c>
      <c r="P34" s="51">
        <f>(R34)/J34</f>
        <v>0</v>
      </c>
      <c r="Q34" s="49">
        <f>I34/G34-1</f>
        <v>-0.13194444444444442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>C35*J35</f>
        <v>42867075.294534862</v>
      </c>
      <c r="E35" s="39">
        <f>C35*K35</f>
        <v>36454705.17428571</v>
      </c>
      <c r="F35" s="40" t="s">
        <v>34</v>
      </c>
      <c r="G35" s="41">
        <v>3.6056249999999999</v>
      </c>
      <c r="H35" s="42">
        <v>4.53</v>
      </c>
      <c r="I35" s="43">
        <v>4.53</v>
      </c>
      <c r="J35" s="44">
        <f>I35/$J$5</f>
        <v>0.16910556965805584</v>
      </c>
      <c r="K35" s="45">
        <f>I35/$K$4</f>
        <v>0.1438095238095238</v>
      </c>
      <c r="L35" s="46">
        <f>I35-H35</f>
        <v>0</v>
      </c>
      <c r="M35" s="46">
        <f>((I35-H35)/H35)*100</f>
        <v>0</v>
      </c>
      <c r="N35" s="47">
        <v>0</v>
      </c>
      <c r="O35" s="37">
        <v>0</v>
      </c>
      <c r="P35" s="51">
        <f>(R35)/J35</f>
        <v>0</v>
      </c>
      <c r="Q35" s="49">
        <f>I35/G35-1</f>
        <v>0.25637025481019249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>C36*J36</f>
        <v>8396785.3102687784</v>
      </c>
      <c r="E36" s="39">
        <f>C36*K36</f>
        <v>7140732.8536977787</v>
      </c>
      <c r="F36" s="40" t="s">
        <v>34</v>
      </c>
      <c r="G36" s="41">
        <v>2.5099999999999997E-2</v>
      </c>
      <c r="H36" s="42">
        <v>4.8089000000000007E-2</v>
      </c>
      <c r="I36" s="43">
        <v>4.7705000000000004E-2</v>
      </c>
      <c r="J36" s="44">
        <f>I36/$J$5</f>
        <v>1.7808347021054205E-3</v>
      </c>
      <c r="K36" s="45">
        <f>I36/$K$4</f>
        <v>1.5144444444444446E-3</v>
      </c>
      <c r="L36" s="46">
        <f>I36-H36</f>
        <v>-3.8400000000000239E-4</v>
      </c>
      <c r="M36" s="46">
        <f>((I36-H36)/H36)*100</f>
        <v>-0.79851941192372966</v>
      </c>
      <c r="N36" s="47">
        <v>2200</v>
      </c>
      <c r="O36" s="37">
        <v>104.95</v>
      </c>
      <c r="P36" s="51">
        <f>(R36)/J36</f>
        <v>0</v>
      </c>
      <c r="Q36" s="49">
        <f>I36/G36-1</f>
        <v>0.90059760956175339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>C37*J37</f>
        <v>70566207.809466928</v>
      </c>
      <c r="E37" s="39">
        <f>C37*K37</f>
        <v>60010399.199999996</v>
      </c>
      <c r="F37" s="40" t="s">
        <v>93</v>
      </c>
      <c r="G37" s="41">
        <v>0.61</v>
      </c>
      <c r="H37" s="42">
        <v>3.5964290000000001</v>
      </c>
      <c r="I37" s="43">
        <v>3.6</v>
      </c>
      <c r="J37" s="44">
        <f>I37/$J$5</f>
        <v>0.13438853217858743</v>
      </c>
      <c r="K37" s="45">
        <f>I37/$K$4</f>
        <v>0.11428571428571428</v>
      </c>
      <c r="L37" s="46">
        <f>I37-H37</f>
        <v>3.5709999999999908E-3</v>
      </c>
      <c r="M37" s="46">
        <f>((I37-H37)/H37)*100</f>
        <v>9.9292937522191885E-2</v>
      </c>
      <c r="N37" s="47">
        <v>800</v>
      </c>
      <c r="O37" s="37">
        <v>2880</v>
      </c>
      <c r="P37" s="51">
        <f>(R37)/J37</f>
        <v>0</v>
      </c>
      <c r="Q37" s="49">
        <f>I37/G37-1</f>
        <v>4.9016393442622954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>C38*J38</f>
        <v>43428247.500498615</v>
      </c>
      <c r="E38" s="39">
        <f>C38*K38</f>
        <v>36931933.144233555</v>
      </c>
      <c r="F38" s="40" t="s">
        <v>56</v>
      </c>
      <c r="G38" s="41">
        <v>0.11650199999999999</v>
      </c>
      <c r="H38" s="42">
        <v>0.277333</v>
      </c>
      <c r="I38" s="43">
        <v>0.277333</v>
      </c>
      <c r="J38" s="44">
        <f>I38/$J$5</f>
        <v>1.0352881887412273E-2</v>
      </c>
      <c r="K38" s="45">
        <f>I38/$K$4</f>
        <v>8.804222222222222E-3</v>
      </c>
      <c r="L38" s="46">
        <f>I38-H38</f>
        <v>0</v>
      </c>
      <c r="M38" s="46">
        <f>((I38-H38)/H38)*100</f>
        <v>0</v>
      </c>
      <c r="N38" s="47">
        <v>0</v>
      </c>
      <c r="O38" s="37">
        <v>0</v>
      </c>
      <c r="P38" s="51">
        <v>0</v>
      </c>
      <c r="Q38" s="49">
        <f>I38/G38-1</f>
        <v>1.3804999055810203</v>
      </c>
      <c r="R38" s="50"/>
    </row>
    <row r="39" spans="1:18" x14ac:dyDescent="0.25">
      <c r="A39" s="35" t="s">
        <v>102</v>
      </c>
      <c r="B39" s="36" t="s">
        <v>103</v>
      </c>
      <c r="C39" s="37">
        <v>4315726499</v>
      </c>
      <c r="D39" s="38">
        <f>C39*J39</f>
        <v>19332804.982828133</v>
      </c>
      <c r="E39" s="39">
        <f>C39*K39</f>
        <v>16440862.853333334</v>
      </c>
      <c r="F39" s="40" t="s">
        <v>39</v>
      </c>
      <c r="G39" s="41">
        <v>0.1</v>
      </c>
      <c r="H39" s="42">
        <v>0.12</v>
      </c>
      <c r="I39" s="43">
        <v>0.12</v>
      </c>
      <c r="J39" s="44">
        <f>I39/$J$5</f>
        <v>4.4796177392862476E-3</v>
      </c>
      <c r="K39" s="45">
        <f>I39/$K$4</f>
        <v>3.8095238095238095E-3</v>
      </c>
      <c r="L39" s="46">
        <f>I39-H39</f>
        <v>0</v>
      </c>
      <c r="M39" s="46">
        <f>((I39-H39)/H39)*100</f>
        <v>0</v>
      </c>
      <c r="N39" s="47">
        <v>0</v>
      </c>
      <c r="O39" s="37">
        <v>0</v>
      </c>
      <c r="P39" s="51">
        <f>(R39)/J39</f>
        <v>0</v>
      </c>
      <c r="Q39" s="49">
        <f>I39/G39-1</f>
        <v>0.19999999999999996</v>
      </c>
      <c r="R39" s="50"/>
    </row>
    <row r="40" spans="1:18" x14ac:dyDescent="0.25">
      <c r="A40" s="35" t="s">
        <v>104</v>
      </c>
      <c r="B40" s="36" t="s">
        <v>105</v>
      </c>
      <c r="C40" s="37">
        <v>106474237</v>
      </c>
      <c r="D40" s="38">
        <f>C40*J40</f>
        <v>7949708.0405586837</v>
      </c>
      <c r="E40" s="39">
        <f>C40*K40</f>
        <v>6760532.6663646363</v>
      </c>
      <c r="F40" s="40" t="s">
        <v>44</v>
      </c>
      <c r="G40" s="41">
        <v>1.7452379999999998</v>
      </c>
      <c r="H40" s="42">
        <v>2.0000780000000002</v>
      </c>
      <c r="I40" s="43">
        <v>2.0000780000000002</v>
      </c>
      <c r="J40" s="44">
        <f>I40/$J$5</f>
        <v>7.4663207406301335E-2</v>
      </c>
      <c r="K40" s="45">
        <f>I40/$K$4</f>
        <v>6.3494539682539694E-2</v>
      </c>
      <c r="L40" s="46">
        <f>I40-H40</f>
        <v>0</v>
      </c>
      <c r="M40" s="46">
        <f>((I40-H40)/H40)*100</f>
        <v>0</v>
      </c>
      <c r="N40" s="47">
        <v>0</v>
      </c>
      <c r="O40" s="37">
        <v>0</v>
      </c>
      <c r="P40" s="51">
        <f>(R40)/J40</f>
        <v>0</v>
      </c>
      <c r="Q40" s="49">
        <f>I40/G40-1</f>
        <v>0.14602019896426754</v>
      </c>
      <c r="R40" s="50">
        <v>0</v>
      </c>
    </row>
    <row r="41" spans="1:18" x14ac:dyDescent="0.25">
      <c r="A41" s="35" t="s">
        <v>106</v>
      </c>
      <c r="B41" s="36" t="s">
        <v>107</v>
      </c>
      <c r="C41" s="37">
        <v>1778001428</v>
      </c>
      <c r="D41" s="38">
        <f>C41*J41</f>
        <v>3982383.3686725399</v>
      </c>
      <c r="E41" s="39">
        <f>C41*K41</f>
        <v>3386669.3866666667</v>
      </c>
      <c r="F41" s="40" t="s">
        <v>39</v>
      </c>
      <c r="G41" s="41">
        <v>0.03</v>
      </c>
      <c r="H41" s="42">
        <v>0.06</v>
      </c>
      <c r="I41" s="43">
        <v>0.06</v>
      </c>
      <c r="J41" s="44">
        <f>I41/$J$5</f>
        <v>2.2398088696431238E-3</v>
      </c>
      <c r="K41" s="45">
        <f>I41/$K$4</f>
        <v>1.9047619047619048E-3</v>
      </c>
      <c r="L41" s="46">
        <f>I41-H41</f>
        <v>0</v>
      </c>
      <c r="M41" s="46">
        <f>((I41-H41)/H41)*100</f>
        <v>0</v>
      </c>
      <c r="N41" s="47">
        <v>0</v>
      </c>
      <c r="O41" s="37">
        <v>0</v>
      </c>
      <c r="P41" s="51">
        <f>(R41)/J41</f>
        <v>0</v>
      </c>
      <c r="Q41" s="49">
        <f>I41/G41-1</f>
        <v>1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175190642</v>
      </c>
      <c r="D42" s="38">
        <f>C42*J42</f>
        <v>39239355.383007318</v>
      </c>
      <c r="E42" s="39">
        <f>C42*K42</f>
        <v>33369646.095238093</v>
      </c>
      <c r="F42" s="40" t="s">
        <v>47</v>
      </c>
      <c r="G42" s="41">
        <v>4.5</v>
      </c>
      <c r="H42" s="42">
        <v>6</v>
      </c>
      <c r="I42" s="43">
        <v>6</v>
      </c>
      <c r="J42" s="44">
        <f>I42/$J$5</f>
        <v>0.22398088696431237</v>
      </c>
      <c r="K42" s="45">
        <f>I42/$K$4</f>
        <v>0.19047619047619047</v>
      </c>
      <c r="L42" s="46">
        <f>I42-H42</f>
        <v>0</v>
      </c>
      <c r="M42" s="46">
        <f>((I42-H42)/H42)*100</f>
        <v>0</v>
      </c>
      <c r="N42" s="47">
        <v>0</v>
      </c>
      <c r="O42" s="37">
        <v>0</v>
      </c>
      <c r="P42" s="51">
        <f>(R42)/J42</f>
        <v>0</v>
      </c>
      <c r="Q42" s="49">
        <f>I42/G42-1</f>
        <v>0.33333333333333326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463337661</v>
      </c>
      <c r="D43" s="38">
        <f>C43*J43</f>
        <v>311.3363408242497</v>
      </c>
      <c r="E43" s="39">
        <f>C43*K43</f>
        <v>264.76437771428573</v>
      </c>
      <c r="F43" s="40" t="s">
        <v>44</v>
      </c>
      <c r="G43" s="41">
        <v>1.8E-5</v>
      </c>
      <c r="H43" s="42">
        <v>1.8E-5</v>
      </c>
      <c r="I43" s="43">
        <v>1.8E-5</v>
      </c>
      <c r="J43" s="44">
        <f>I43/$J$5</f>
        <v>6.7194266089293719E-7</v>
      </c>
      <c r="K43" s="45">
        <f>I43/$K$4</f>
        <v>5.7142857142857149E-7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576000000</v>
      </c>
      <c r="D44" s="38">
        <f>C44*J44</f>
        <v>1513752.4264596088</v>
      </c>
      <c r="E44" s="39">
        <f>C44*K44</f>
        <v>1287314.2857142859</v>
      </c>
      <c r="F44" s="40" t="s">
        <v>56</v>
      </c>
      <c r="G44" s="41">
        <v>7.0000000000000007E-2</v>
      </c>
      <c r="H44" s="42">
        <v>7.0400000000000004E-2</v>
      </c>
      <c r="I44" s="43">
        <v>7.0400000000000004E-2</v>
      </c>
      <c r="J44" s="44">
        <f>I44/$J$5</f>
        <v>2.628042407047932E-3</v>
      </c>
      <c r="K44" s="45">
        <f>I44/$K$4</f>
        <v>2.2349206349206352E-3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5.7142857142857828E-3</v>
      </c>
      <c r="R44" s="50"/>
    </row>
    <row r="45" spans="1:18" x14ac:dyDescent="0.25">
      <c r="A45" s="35" t="s">
        <v>114</v>
      </c>
      <c r="B45" s="36" t="s">
        <v>115</v>
      </c>
      <c r="C45" s="37">
        <v>1818218786</v>
      </c>
      <c r="D45" s="38">
        <f>C45*J45</f>
        <v>62444425.978796475</v>
      </c>
      <c r="E45" s="39">
        <f>C45*K45</f>
        <v>53103532.797460318</v>
      </c>
      <c r="F45" s="40" t="s">
        <v>47</v>
      </c>
      <c r="G45" s="41">
        <v>0.9998999999999999</v>
      </c>
      <c r="H45" s="42">
        <v>0.92</v>
      </c>
      <c r="I45" s="43">
        <v>0.92</v>
      </c>
      <c r="J45" s="44">
        <f>I45/$J$5</f>
        <v>3.4343736001194565E-2</v>
      </c>
      <c r="K45" s="45">
        <f>I45/$K$4</f>
        <v>2.9206349206349208E-2</v>
      </c>
      <c r="L45" s="46">
        <f>I45-H45</f>
        <v>0</v>
      </c>
      <c r="M45" s="46">
        <f>((I45-H45)/H45)*100</f>
        <v>0</v>
      </c>
      <c r="N45" s="47">
        <v>24900</v>
      </c>
      <c r="O45" s="37">
        <v>22908</v>
      </c>
      <c r="P45" s="51">
        <f>(R45)/J45</f>
        <v>0</v>
      </c>
      <c r="Q45" s="49">
        <f>I45/G45-1</f>
        <v>-7.9907990799079731E-2</v>
      </c>
      <c r="R45" s="50">
        <v>0</v>
      </c>
    </row>
    <row r="46" spans="1:18" x14ac:dyDescent="0.25">
      <c r="A46" s="35" t="s">
        <v>116</v>
      </c>
      <c r="B46" s="36" t="s">
        <v>117</v>
      </c>
      <c r="C46" s="37">
        <v>102712520</v>
      </c>
      <c r="D46" s="38">
        <f>C46*J46</f>
        <v>5789753.0685381517</v>
      </c>
      <c r="E46" s="39">
        <f>C46*K46</f>
        <v>4923679.5301587302</v>
      </c>
      <c r="F46" s="40" t="s">
        <v>47</v>
      </c>
      <c r="G46" s="41">
        <v>1.4503460000000001</v>
      </c>
      <c r="H46" s="42">
        <v>1.51</v>
      </c>
      <c r="I46" s="43">
        <v>1.51</v>
      </c>
      <c r="J46" s="44">
        <f>I46/$J$5</f>
        <v>5.636852321935195E-2</v>
      </c>
      <c r="K46" s="45">
        <f>I46/$K$4</f>
        <v>4.7936507936507937E-2</v>
      </c>
      <c r="L46" s="46">
        <f>I46-H46</f>
        <v>0</v>
      </c>
      <c r="M46" s="46">
        <f>((I46-H46)/H46)*100</f>
        <v>0</v>
      </c>
      <c r="N46" s="47">
        <v>100</v>
      </c>
      <c r="O46" s="37">
        <v>151</v>
      </c>
      <c r="P46" s="51">
        <v>0</v>
      </c>
      <c r="Q46" s="49">
        <f>I46/G46-1</f>
        <v>4.1130874977419074E-2</v>
      </c>
      <c r="R46" s="50"/>
    </row>
    <row r="47" spans="1:18" ht="13.8" thickBot="1" x14ac:dyDescent="0.4">
      <c r="A47" s="57"/>
      <c r="B47" s="58" t="s">
        <v>83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984700</v>
      </c>
      <c r="O47" s="61">
        <f>SUM(O9:O46)</f>
        <v>28987097.399999999</v>
      </c>
      <c r="P47" s="62"/>
      <c r="Q47" s="63"/>
    </row>
    <row r="48" spans="1:18" ht="13.2" x14ac:dyDescent="0.35">
      <c r="A48" s="64"/>
      <c r="B48" s="65" t="s">
        <v>83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6" x14ac:dyDescent="0.3">
      <c r="A49" s="130" t="s">
        <v>118</v>
      </c>
      <c r="B49" s="131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>C50*J50</f>
        <v>77577859.058400005</v>
      </c>
      <c r="E50" s="39">
        <v>0</v>
      </c>
      <c r="F50" s="40" t="s">
        <v>93</v>
      </c>
      <c r="G50" s="70">
        <v>0.1</v>
      </c>
      <c r="H50" s="42">
        <v>0.13070000000000001</v>
      </c>
      <c r="I50" s="42">
        <v>0.13980000000000001</v>
      </c>
      <c r="J50" s="44">
        <f>I50</f>
        <v>0.13980000000000001</v>
      </c>
      <c r="K50" s="39">
        <v>0</v>
      </c>
      <c r="L50" s="46">
        <f>I50-H50</f>
        <v>9.099999999999997E-3</v>
      </c>
      <c r="M50" s="46">
        <f>((I50-H50)/H50)*100</f>
        <v>6.9625095638867611</v>
      </c>
      <c r="N50" s="47">
        <v>5700</v>
      </c>
      <c r="O50" s="37">
        <v>796.75</v>
      </c>
      <c r="P50" s="71">
        <f>(R50)/J50</f>
        <v>0</v>
      </c>
      <c r="Q50" s="49">
        <f>J50/G50-1</f>
        <v>0.39799999999999991</v>
      </c>
      <c r="T50" s="52"/>
    </row>
    <row r="51" spans="1:20" x14ac:dyDescent="0.25">
      <c r="A51" s="35" t="s">
        <v>121</v>
      </c>
      <c r="B51" s="36" t="s">
        <v>122</v>
      </c>
      <c r="C51" s="40">
        <v>1057685</v>
      </c>
      <c r="D51" s="38">
        <f>C51*J51</f>
        <v>48707240.398000002</v>
      </c>
      <c r="E51" s="39">
        <v>0</v>
      </c>
      <c r="F51" s="40" t="s">
        <v>39</v>
      </c>
      <c r="G51" s="70">
        <v>39.9</v>
      </c>
      <c r="H51" s="42">
        <v>51.359499999999997</v>
      </c>
      <c r="I51" s="42">
        <v>46.050800000000002</v>
      </c>
      <c r="J51" s="44">
        <f>I51</f>
        <v>46.050800000000002</v>
      </c>
      <c r="K51" s="39">
        <v>0</v>
      </c>
      <c r="L51" s="46">
        <f>I51-H51</f>
        <v>-5.3086999999999946</v>
      </c>
      <c r="M51" s="46">
        <f>((I51-H51)/H51)*100</f>
        <v>-10.336354520585276</v>
      </c>
      <c r="N51" s="47">
        <v>708</v>
      </c>
      <c r="O51" s="37">
        <v>32604</v>
      </c>
      <c r="P51" s="72">
        <f>(R51)/J51</f>
        <v>1.2160483639806475E-2</v>
      </c>
      <c r="Q51" s="49">
        <f>J51/G51-1</f>
        <v>0.15415538847117816</v>
      </c>
      <c r="R51" s="52">
        <v>0.56000000000000005</v>
      </c>
      <c r="T51" s="52"/>
    </row>
    <row r="52" spans="1:20" x14ac:dyDescent="0.25">
      <c r="A52" s="35" t="s">
        <v>123</v>
      </c>
      <c r="B52" s="36" t="s">
        <v>124</v>
      </c>
      <c r="C52" s="40">
        <v>2992163203</v>
      </c>
      <c r="D52" s="38">
        <f>C52*J52</f>
        <v>696575593.65840006</v>
      </c>
      <c r="E52" s="39"/>
      <c r="F52" s="40" t="s">
        <v>56</v>
      </c>
      <c r="G52" s="70">
        <v>0.33</v>
      </c>
      <c r="H52" s="42">
        <v>0.2316</v>
      </c>
      <c r="I52" s="42">
        <v>0.23280000000000001</v>
      </c>
      <c r="J52" s="44">
        <f>I52</f>
        <v>0.23280000000000001</v>
      </c>
      <c r="K52" s="39">
        <v>0</v>
      </c>
      <c r="L52" s="46">
        <f>I52-H52</f>
        <v>1.2000000000000066E-3</v>
      </c>
      <c r="M52" s="46">
        <f>((I52-H52)/H52)*100</f>
        <v>0.51813471502590958</v>
      </c>
      <c r="N52" s="47">
        <v>58656</v>
      </c>
      <c r="O52" s="37">
        <v>13652.2</v>
      </c>
      <c r="P52" s="71">
        <v>0</v>
      </c>
      <c r="Q52" s="49">
        <f>J52/G52-1</f>
        <v>-0.29454545454545455</v>
      </c>
      <c r="R52" s="52"/>
      <c r="T52" s="52"/>
    </row>
    <row r="53" spans="1:20" x14ac:dyDescent="0.25">
      <c r="A53" s="35" t="s">
        <v>125</v>
      </c>
      <c r="B53" s="36" t="s">
        <v>126</v>
      </c>
      <c r="C53" s="40">
        <v>609740943</v>
      </c>
      <c r="D53" s="38">
        <f>C53*J53</f>
        <v>16158134.989499999</v>
      </c>
      <c r="E53" s="39">
        <v>0</v>
      </c>
      <c r="F53" s="40" t="s">
        <v>34</v>
      </c>
      <c r="G53" s="70">
        <v>2.3E-2</v>
      </c>
      <c r="H53" s="42">
        <v>2.6499999999999999E-2</v>
      </c>
      <c r="I53" s="42">
        <v>2.6499999999999999E-2</v>
      </c>
      <c r="J53" s="44">
        <f>I53</f>
        <v>2.6499999999999999E-2</v>
      </c>
      <c r="K53" s="39">
        <v>0</v>
      </c>
      <c r="L53" s="46">
        <f>I53-H53</f>
        <v>0</v>
      </c>
      <c r="M53" s="46">
        <f>((I53-H53)/H53)*100</f>
        <v>0</v>
      </c>
      <c r="N53" s="47">
        <v>0</v>
      </c>
      <c r="O53" s="37">
        <v>0</v>
      </c>
      <c r="P53" s="71">
        <f>(R53)/J53</f>
        <v>0</v>
      </c>
      <c r="Q53" s="49">
        <f>J53/G53-1</f>
        <v>0.15217391304347827</v>
      </c>
      <c r="T53" s="52"/>
    </row>
    <row r="54" spans="1:20" x14ac:dyDescent="0.25">
      <c r="A54" s="35" t="s">
        <v>127</v>
      </c>
      <c r="B54" s="36" t="s">
        <v>128</v>
      </c>
      <c r="C54" s="40">
        <v>2162695929</v>
      </c>
      <c r="D54" s="38">
        <f>C54*J54</f>
        <v>291963950.41500002</v>
      </c>
      <c r="E54" s="39">
        <v>0</v>
      </c>
      <c r="F54" s="40" t="s">
        <v>47</v>
      </c>
      <c r="G54" s="70">
        <v>9.0200000000000002E-2</v>
      </c>
      <c r="H54" s="42">
        <v>0.13500000000000001</v>
      </c>
      <c r="I54" s="42">
        <v>0.13500000000000001</v>
      </c>
      <c r="J54" s="44">
        <f>I54</f>
        <v>0.13500000000000001</v>
      </c>
      <c r="K54" s="39">
        <v>0</v>
      </c>
      <c r="L54" s="46">
        <f>I54-H54</f>
        <v>0</v>
      </c>
      <c r="M54" s="73">
        <f>((I54-H54)/H54)*100</f>
        <v>0</v>
      </c>
      <c r="N54" s="47">
        <v>425010</v>
      </c>
      <c r="O54" s="37">
        <v>57380.19</v>
      </c>
      <c r="P54" s="71">
        <f>(R54)/J54</f>
        <v>0</v>
      </c>
      <c r="Q54" s="49">
        <f>J54/G54-1</f>
        <v>0.49667405764966754</v>
      </c>
      <c r="R54" s="52"/>
      <c r="T54" s="52"/>
    </row>
    <row r="55" spans="1:20" x14ac:dyDescent="0.25">
      <c r="A55" s="35" t="s">
        <v>129</v>
      </c>
      <c r="B55" s="36" t="s">
        <v>130</v>
      </c>
      <c r="C55" s="40">
        <v>575926450</v>
      </c>
      <c r="D55" s="38">
        <f>C55*J55</f>
        <v>823056489.69500005</v>
      </c>
      <c r="E55" s="39">
        <v>0</v>
      </c>
      <c r="F55" s="40" t="s">
        <v>34</v>
      </c>
      <c r="G55" s="70">
        <v>0.95750000000000002</v>
      </c>
      <c r="H55" s="42">
        <v>1.4201999999999999</v>
      </c>
      <c r="I55" s="42">
        <v>1.4291</v>
      </c>
      <c r="J55" s="44">
        <f>I55</f>
        <v>1.4291</v>
      </c>
      <c r="K55" s="39">
        <v>0</v>
      </c>
      <c r="L55" s="46">
        <f>I55-H55</f>
        <v>8.90000000000013E-3</v>
      </c>
      <c r="M55" s="46">
        <f>((I55-H55)/H55)*100</f>
        <v>0.62667229967611116</v>
      </c>
      <c r="N55" s="47">
        <v>5299</v>
      </c>
      <c r="O55" s="37">
        <v>7572.88</v>
      </c>
      <c r="P55" s="72">
        <f>(R55)/J55</f>
        <v>3.2887831502344131E-2</v>
      </c>
      <c r="Q55" s="49">
        <f>J55/G55-1</f>
        <v>0.49253263707571793</v>
      </c>
      <c r="R55" s="52">
        <v>4.7E-2</v>
      </c>
      <c r="T55" s="52"/>
    </row>
    <row r="56" spans="1:20" x14ac:dyDescent="0.25">
      <c r="A56" s="35" t="s">
        <v>131</v>
      </c>
      <c r="B56" s="36" t="s">
        <v>132</v>
      </c>
      <c r="C56" s="40">
        <v>164208222</v>
      </c>
      <c r="D56" s="38">
        <f>C56*J56</f>
        <v>21675485.304000001</v>
      </c>
      <c r="E56" s="39">
        <v>0</v>
      </c>
      <c r="F56" s="40" t="s">
        <v>34</v>
      </c>
      <c r="G56" s="70">
        <v>0.1595</v>
      </c>
      <c r="H56" s="42">
        <v>0.13200000000000001</v>
      </c>
      <c r="I56" s="42">
        <v>0.13200000000000001</v>
      </c>
      <c r="J56" s="44">
        <f>I56</f>
        <v>0.13200000000000001</v>
      </c>
      <c r="K56" s="39">
        <v>0</v>
      </c>
      <c r="L56" s="46">
        <f>I56-H56</f>
        <v>0</v>
      </c>
      <c r="M56" s="46">
        <f>((I56-H56)/H56)*100</f>
        <v>0</v>
      </c>
      <c r="N56" s="47">
        <v>0</v>
      </c>
      <c r="O56" s="37">
        <v>0</v>
      </c>
      <c r="P56" s="71">
        <f>(R56)/J56</f>
        <v>0</v>
      </c>
      <c r="Q56" s="49">
        <f>J56/G56-1</f>
        <v>-0.17241379310344829</v>
      </c>
      <c r="T56" s="52"/>
    </row>
    <row r="57" spans="1:20" x14ac:dyDescent="0.25">
      <c r="A57" s="35" t="s">
        <v>133</v>
      </c>
      <c r="B57" s="36" t="s">
        <v>134</v>
      </c>
      <c r="C57" s="40">
        <v>953802800</v>
      </c>
      <c r="D57" s="38">
        <f>C57*J57</f>
        <v>19076056</v>
      </c>
      <c r="E57" s="39">
        <v>0</v>
      </c>
      <c r="F57" s="40" t="s">
        <v>93</v>
      </c>
      <c r="G57" s="70">
        <v>1.6799999999999999E-2</v>
      </c>
      <c r="H57" s="42">
        <v>1.7999999999999999E-2</v>
      </c>
      <c r="I57" s="42">
        <v>0.02</v>
      </c>
      <c r="J57" s="44">
        <f>I57</f>
        <v>0.02</v>
      </c>
      <c r="K57" s="39">
        <v>0</v>
      </c>
      <c r="L57" s="46">
        <f>I57-H57</f>
        <v>2.0000000000000018E-3</v>
      </c>
      <c r="M57" s="73">
        <f>((I57-H57)/H57)*100</f>
        <v>11.111111111111121</v>
      </c>
      <c r="N57" s="47">
        <v>32901</v>
      </c>
      <c r="O57" s="37">
        <v>658.02</v>
      </c>
      <c r="P57" s="71">
        <f>(R57)/J57</f>
        <v>0</v>
      </c>
      <c r="Q57" s="49">
        <f>J57/G57-1</f>
        <v>0.19047619047619047</v>
      </c>
      <c r="T57" s="52"/>
    </row>
    <row r="58" spans="1:20" x14ac:dyDescent="0.25">
      <c r="A58" s="35" t="s">
        <v>135</v>
      </c>
      <c r="B58" s="36" t="s">
        <v>136</v>
      </c>
      <c r="C58" s="40">
        <v>161273</v>
      </c>
      <c r="D58" s="38">
        <f>C58*J58</f>
        <v>2870869.0549000003</v>
      </c>
      <c r="E58" s="39">
        <v>0</v>
      </c>
      <c r="F58" s="40" t="s">
        <v>137</v>
      </c>
      <c r="G58" s="70">
        <v>19.5</v>
      </c>
      <c r="H58" s="42">
        <v>17.892199999999999</v>
      </c>
      <c r="I58" s="42">
        <v>17.801300000000001</v>
      </c>
      <c r="J58" s="44">
        <f>I58</f>
        <v>17.801300000000001</v>
      </c>
      <c r="K58" s="39">
        <v>0</v>
      </c>
      <c r="L58" s="46">
        <f>I58-H58</f>
        <v>-9.089999999999776E-2</v>
      </c>
      <c r="M58" s="46">
        <f>((I58-H58)/H58)*100</f>
        <v>-0.50804261074656987</v>
      </c>
      <c r="N58" s="47">
        <v>39</v>
      </c>
      <c r="O58" s="37">
        <v>694.25</v>
      </c>
      <c r="P58" s="71">
        <f>(R58)/J58</f>
        <v>0</v>
      </c>
      <c r="Q58" s="49">
        <f>J58/G58-1</f>
        <v>-8.7112820512820432E-2</v>
      </c>
      <c r="T58" s="52"/>
    </row>
    <row r="59" spans="1:20" x14ac:dyDescent="0.25">
      <c r="A59" s="35" t="s">
        <v>138</v>
      </c>
      <c r="B59" s="36" t="s">
        <v>139</v>
      </c>
      <c r="C59" s="40">
        <v>805090451</v>
      </c>
      <c r="D59" s="38">
        <f>C59*J59</f>
        <v>971180611.04129994</v>
      </c>
      <c r="E59" s="39">
        <v>0</v>
      </c>
      <c r="F59" s="40" t="s">
        <v>93</v>
      </c>
      <c r="G59" s="70">
        <v>0.59499999999999997</v>
      </c>
      <c r="H59" s="42">
        <v>1.3076000000000001</v>
      </c>
      <c r="I59" s="42">
        <v>1.2062999999999999</v>
      </c>
      <c r="J59" s="44">
        <f>I59</f>
        <v>1.2062999999999999</v>
      </c>
      <c r="K59" s="39">
        <v>0</v>
      </c>
      <c r="L59" s="46">
        <f>I59-H59</f>
        <v>-0.10130000000000017</v>
      </c>
      <c r="M59" s="46">
        <f>((I59-H59)/H59)*100</f>
        <v>-7.7470174365249429</v>
      </c>
      <c r="N59" s="47">
        <v>1682</v>
      </c>
      <c r="O59" s="37">
        <v>2029.04</v>
      </c>
      <c r="P59" s="71">
        <f>(R59)/J59</f>
        <v>0</v>
      </c>
      <c r="Q59" s="49">
        <f>J59/G59-1</f>
        <v>1.0273949579831934</v>
      </c>
      <c r="R59" s="52"/>
      <c r="T59" s="52"/>
    </row>
    <row r="60" spans="1:20" x14ac:dyDescent="0.25">
      <c r="A60" s="35" t="s">
        <v>140</v>
      </c>
      <c r="B60" s="36" t="s">
        <v>141</v>
      </c>
      <c r="C60" s="40">
        <v>260714518</v>
      </c>
      <c r="D60" s="38">
        <f>C60*J60</f>
        <v>95030441.811000004</v>
      </c>
      <c r="E60" s="39">
        <v>0</v>
      </c>
      <c r="F60" s="40" t="s">
        <v>34</v>
      </c>
      <c r="G60" s="70">
        <v>0.22600000000000001</v>
      </c>
      <c r="H60" s="42">
        <v>0.3306</v>
      </c>
      <c r="I60" s="42">
        <v>0.36449999999999999</v>
      </c>
      <c r="J60" s="44">
        <f>I60</f>
        <v>0.36449999999999999</v>
      </c>
      <c r="K60" s="39">
        <v>0</v>
      </c>
      <c r="L60" s="46">
        <f>I60-H60</f>
        <v>3.3899999999999986E-2</v>
      </c>
      <c r="M60" s="46">
        <f>((I60-H60)/H60)*100</f>
        <v>10.254083484573497</v>
      </c>
      <c r="N60" s="47">
        <v>23040</v>
      </c>
      <c r="O60" s="37">
        <v>8398.66</v>
      </c>
      <c r="P60" s="71">
        <f>(R60)/J60</f>
        <v>0</v>
      </c>
      <c r="Q60" s="49">
        <f>J60/G60-1</f>
        <v>0.61283185840707954</v>
      </c>
      <c r="T60" s="52"/>
    </row>
    <row r="61" spans="1:20" x14ac:dyDescent="0.25">
      <c r="A61" s="35" t="s">
        <v>142</v>
      </c>
      <c r="B61" s="36" t="s">
        <v>143</v>
      </c>
      <c r="C61" s="40">
        <v>562184788</v>
      </c>
      <c r="D61" s="38">
        <f>C61*J61</f>
        <v>392517418.98160005</v>
      </c>
      <c r="E61" s="39">
        <v>0</v>
      </c>
      <c r="F61" s="40" t="s">
        <v>34</v>
      </c>
      <c r="G61" s="70">
        <v>0.49440000000000001</v>
      </c>
      <c r="H61" s="42">
        <v>0.6996</v>
      </c>
      <c r="I61" s="42">
        <v>0.69820000000000004</v>
      </c>
      <c r="J61" s="44">
        <f>I61</f>
        <v>0.69820000000000004</v>
      </c>
      <c r="K61" s="39">
        <v>0</v>
      </c>
      <c r="L61" s="46">
        <f>I61-H61</f>
        <v>-1.3999999999999568E-3</v>
      </c>
      <c r="M61" s="46">
        <f>((I61-H61)/H61)*100</f>
        <v>-0.20011435105774111</v>
      </c>
      <c r="N61" s="47">
        <v>5667</v>
      </c>
      <c r="O61" s="37">
        <v>3956.63</v>
      </c>
      <c r="P61" s="71">
        <f>(R61)/J61</f>
        <v>0</v>
      </c>
      <c r="Q61" s="49">
        <f>J61/G61-1</f>
        <v>0.41221682847896446</v>
      </c>
      <c r="R61" s="52"/>
      <c r="T61" s="52"/>
    </row>
    <row r="62" spans="1:20" x14ac:dyDescent="0.25">
      <c r="A62" s="35" t="s">
        <v>144</v>
      </c>
      <c r="B62" s="36" t="s">
        <v>145</v>
      </c>
      <c r="C62" s="40">
        <v>364526035</v>
      </c>
      <c r="D62" s="38">
        <f>C62*J62</f>
        <v>81216400.598000005</v>
      </c>
      <c r="E62" s="39">
        <v>0</v>
      </c>
      <c r="F62" s="40" t="s">
        <v>34</v>
      </c>
      <c r="G62" s="70">
        <v>0.25950000000000001</v>
      </c>
      <c r="H62" s="42">
        <v>0.2228</v>
      </c>
      <c r="I62" s="42">
        <v>0.2228</v>
      </c>
      <c r="J62" s="44">
        <f>I62</f>
        <v>0.2228</v>
      </c>
      <c r="K62" s="39">
        <v>0</v>
      </c>
      <c r="L62" s="46">
        <f>I62-H62</f>
        <v>0</v>
      </c>
      <c r="M62" s="46">
        <f>((I62-H62)/H62)*100</f>
        <v>0</v>
      </c>
      <c r="N62" s="47">
        <v>30800</v>
      </c>
      <c r="O62" s="37">
        <v>6863.53</v>
      </c>
      <c r="P62" s="71">
        <f>(R62)/J62</f>
        <v>0</v>
      </c>
      <c r="Q62" s="49">
        <f>J62/G62-1</f>
        <v>-0.1414258188824663</v>
      </c>
      <c r="R62" s="52"/>
      <c r="T62" s="52"/>
    </row>
    <row r="63" spans="1:20" x14ac:dyDescent="0.25">
      <c r="A63" s="35" t="s">
        <v>146</v>
      </c>
      <c r="B63" s="36" t="s">
        <v>147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4</v>
      </c>
      <c r="O63" s="37">
        <v>40</v>
      </c>
      <c r="P63" s="71">
        <f>(R63)/J63</f>
        <v>0</v>
      </c>
      <c r="Q63" s="49">
        <f>J63/G63-1</f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>C64*J64</f>
        <v>46518365.609999999</v>
      </c>
      <c r="E64" s="39">
        <v>0</v>
      </c>
      <c r="F64" s="40" t="s">
        <v>44</v>
      </c>
      <c r="G64" s="70">
        <v>4.2999999999999997E-2</v>
      </c>
      <c r="H64" s="42">
        <v>0.14000000000000001</v>
      </c>
      <c r="I64" s="42">
        <v>0.13500000000000001</v>
      </c>
      <c r="J64" s="44">
        <f>I64</f>
        <v>0.13500000000000001</v>
      </c>
      <c r="K64" s="39">
        <v>0</v>
      </c>
      <c r="L64" s="46">
        <f>I64-H64</f>
        <v>-5.0000000000000044E-3</v>
      </c>
      <c r="M64" s="46">
        <f>((I64-H64)/H64)*100</f>
        <v>-3.5714285714285738</v>
      </c>
      <c r="N64" s="47">
        <v>150</v>
      </c>
      <c r="O64" s="37">
        <v>20.25</v>
      </c>
      <c r="P64" s="71">
        <f>(R64)/J64</f>
        <v>0</v>
      </c>
      <c r="Q64" s="49">
        <f>J64/G64-1</f>
        <v>2.1395348837209305</v>
      </c>
      <c r="T64" s="52"/>
    </row>
    <row r="65" spans="1:20" ht="13.2" x14ac:dyDescent="0.35">
      <c r="A65" s="74"/>
      <c r="B65" s="36" t="s">
        <v>83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589656</v>
      </c>
      <c r="O65" s="62">
        <f>SUM(O50:O64)</f>
        <v>134666.40000000002</v>
      </c>
      <c r="P65" s="77"/>
      <c r="Q65" s="63"/>
    </row>
    <row r="66" spans="1:20" ht="12.6" hidden="1" x14ac:dyDescent="0.3">
      <c r="A66" s="134" t="s">
        <v>150</v>
      </c>
      <c r="B66" s="135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7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83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4" t="s">
        <v>154</v>
      </c>
      <c r="B69" s="135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7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50148211.32</v>
      </c>
      <c r="E70" s="39">
        <f>C70*K70</f>
        <v>50148211.32</v>
      </c>
      <c r="F70" s="89" t="s">
        <v>157</v>
      </c>
      <c r="G70" s="89">
        <v>0.24</v>
      </c>
      <c r="H70" s="90">
        <v>0.35010000000000002</v>
      </c>
      <c r="I70" s="90">
        <v>0.36</v>
      </c>
      <c r="J70" s="91">
        <f>I70</f>
        <v>0.36</v>
      </c>
      <c r="K70" s="91">
        <f>J70</f>
        <v>0.36</v>
      </c>
      <c r="L70" s="46">
        <f>I70-H70</f>
        <v>9.8999999999999644E-3</v>
      </c>
      <c r="M70" s="46">
        <f>((I70-H70)/H70)*100</f>
        <v>2.8277634961439486</v>
      </c>
      <c r="N70" s="92">
        <v>309</v>
      </c>
      <c r="O70" s="93">
        <v>111.24</v>
      </c>
      <c r="P70" s="71">
        <f>(R70)/J70</f>
        <v>0</v>
      </c>
      <c r="Q70" s="49">
        <f>J70/G70-1</f>
        <v>0.5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70938438.375</v>
      </c>
      <c r="E71" s="39">
        <f>C71*K71</f>
        <v>70938438.375</v>
      </c>
      <c r="F71" s="89" t="s">
        <v>157</v>
      </c>
      <c r="G71" s="89">
        <v>0.1</v>
      </c>
      <c r="H71" s="90">
        <v>0.15029999999999999</v>
      </c>
      <c r="I71" s="90">
        <v>0.15049999999999999</v>
      </c>
      <c r="J71" s="91">
        <f>I71</f>
        <v>0.15049999999999999</v>
      </c>
      <c r="K71" s="91">
        <f>J71</f>
        <v>0.15049999999999999</v>
      </c>
      <c r="L71" s="46">
        <f>I71-H71</f>
        <v>2.0000000000000573E-4</v>
      </c>
      <c r="M71" s="46">
        <f>((I71-H71)/H71)*100</f>
        <v>0.13306719893546623</v>
      </c>
      <c r="N71" s="47">
        <v>1076</v>
      </c>
      <c r="O71" s="93">
        <v>161.91</v>
      </c>
      <c r="P71" s="94">
        <f>(R71)/J71</f>
        <v>2.5196013289036544E-2</v>
      </c>
      <c r="Q71" s="49">
        <f>J71/G71-1</f>
        <v>0.50499999999999989</v>
      </c>
      <c r="R71" s="5">
        <v>3.7919999999999998E-3</v>
      </c>
      <c r="T71" s="52"/>
    </row>
    <row r="72" spans="1:20" ht="13.8" thickBot="1" x14ac:dyDescent="0.4">
      <c r="A72" s="35"/>
      <c r="B72" s="36" t="s">
        <v>83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1385</v>
      </c>
      <c r="O72" s="62">
        <f>SUM(O70:O71)</f>
        <v>273.14999999999998</v>
      </c>
      <c r="P72" s="87"/>
      <c r="Q72" s="63"/>
    </row>
    <row r="73" spans="1:20" ht="12.6" x14ac:dyDescent="0.3">
      <c r="A73" s="134" t="s">
        <v>160</v>
      </c>
      <c r="B73" s="135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7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2673248.8379999995</v>
      </c>
      <c r="E74" s="39">
        <f>C74*K74</f>
        <v>2673248.8379999995</v>
      </c>
      <c r="F74" s="89" t="s">
        <v>137</v>
      </c>
      <c r="G74" s="89">
        <v>0.1394</v>
      </c>
      <c r="H74" s="90">
        <v>0.12970000000000001</v>
      </c>
      <c r="I74" s="90">
        <v>0.12839999999999999</v>
      </c>
      <c r="J74" s="91">
        <f>I74</f>
        <v>0.12839999999999999</v>
      </c>
      <c r="K74" s="91">
        <f>J74</f>
        <v>0.12839999999999999</v>
      </c>
      <c r="L74" s="46">
        <f>I74-H74</f>
        <v>-1.3000000000000234E-3</v>
      </c>
      <c r="M74" s="46">
        <f>((I74-H74)/H74)*100</f>
        <v>-1.0023130300694088</v>
      </c>
      <c r="N74" s="92">
        <v>940</v>
      </c>
      <c r="O74" s="93">
        <v>120.73</v>
      </c>
      <c r="P74" s="71">
        <f>(R74)/J74</f>
        <v>0</v>
      </c>
      <c r="Q74" s="49">
        <f>J74/G74-1</f>
        <v>-7.8909612625538084E-2</v>
      </c>
    </row>
    <row r="75" spans="1:20" ht="13.2" x14ac:dyDescent="0.35">
      <c r="A75" s="35"/>
      <c r="B75" s="36" t="s">
        <v>83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30" t="s">
        <v>163</v>
      </c>
      <c r="B76" s="131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3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106513.75354636404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3.3597133044646855E-3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-0.1428571428571429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416090.24849634169</v>
      </c>
      <c r="E78" s="39">
        <f>C78*K78</f>
        <v>353848.43100698414</v>
      </c>
      <c r="F78" s="40" t="s">
        <v>137</v>
      </c>
      <c r="G78" s="70">
        <v>4.2500000000000003E-2</v>
      </c>
      <c r="H78" s="42">
        <v>7.2499999999999995E-2</v>
      </c>
      <c r="I78" s="42">
        <v>8.1860000000000002E-2</v>
      </c>
      <c r="J78" s="44">
        <f>I78/$J$5</f>
        <v>3.0558459011497687E-3</v>
      </c>
      <c r="K78" s="45">
        <f>I78/$K$4</f>
        <v>2.5987301587301588E-3</v>
      </c>
      <c r="L78" s="46">
        <f>I78-H78</f>
        <v>9.3600000000000072E-3</v>
      </c>
      <c r="M78" s="95">
        <f>((I78-H78)/H78)*100</f>
        <v>12.910344827586218</v>
      </c>
      <c r="N78" s="37">
        <v>5000</v>
      </c>
      <c r="O78" s="37">
        <v>409.3</v>
      </c>
      <c r="P78" s="40">
        <v>0</v>
      </c>
      <c r="Q78" s="49">
        <f>I78/G78-1</f>
        <v>0.92611764705882349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32407.081155741376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0.125</v>
      </c>
      <c r="I79" s="42">
        <v>0.13</v>
      </c>
      <c r="J79" s="44">
        <f>I79/$J$5</f>
        <v>4.8529192175601017E-3</v>
      </c>
      <c r="K79" s="45">
        <f>I79/$K$4</f>
        <v>4.1269841269841274E-3</v>
      </c>
      <c r="L79" s="46">
        <f>I79-H79</f>
        <v>5.0000000000000044E-3</v>
      </c>
      <c r="M79" s="95">
        <f>((I79-H79)/H79)*100</f>
        <v>4.0000000000000036</v>
      </c>
      <c r="N79" s="37">
        <v>100</v>
      </c>
      <c r="O79" s="37">
        <v>13</v>
      </c>
      <c r="P79" s="40">
        <v>0</v>
      </c>
      <c r="Q79" s="49">
        <f>I79/G79-1</f>
        <v>1.1487603305785123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28607845.677168883</v>
      </c>
      <c r="E80" s="39">
        <f>C80*K80</f>
        <v>24328475.238095239</v>
      </c>
      <c r="F80" s="40" t="s">
        <v>137</v>
      </c>
      <c r="G80" s="70">
        <v>1.85</v>
      </c>
      <c r="H80" s="42">
        <v>1.55</v>
      </c>
      <c r="I80" s="42">
        <v>1.55</v>
      </c>
      <c r="J80" s="44">
        <f>I80/$J$5</f>
        <v>5.7861729132447366E-2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83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5100</v>
      </c>
      <c r="O81" s="62">
        <f>SUM(O77:O80)</f>
        <v>422.3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4" t="s">
        <v>172</v>
      </c>
      <c r="B82" s="135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7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27258726.994549796</v>
      </c>
      <c r="E83" s="39">
        <f>C83*K83</f>
        <v>23181167.578730155</v>
      </c>
      <c r="F83" s="40" t="s">
        <v>175</v>
      </c>
      <c r="G83" s="40">
        <v>1.3</v>
      </c>
      <c r="H83" s="42">
        <v>1.9824999999999999</v>
      </c>
      <c r="I83" s="42">
        <v>1.9824999999999999</v>
      </c>
      <c r="J83" s="44">
        <f>I83/$J$5</f>
        <v>7.4007018067791544E-2</v>
      </c>
      <c r="K83" s="45">
        <f>I83/$K$4</f>
        <v>6.2936507936507929E-2</v>
      </c>
      <c r="L83" s="46">
        <f>I83-H83</f>
        <v>0</v>
      </c>
      <c r="M83" s="46">
        <f>((I83-H83)/H83*100)</f>
        <v>0</v>
      </c>
      <c r="N83" s="104">
        <v>0</v>
      </c>
      <c r="O83" s="105">
        <v>0</v>
      </c>
      <c r="P83" s="51">
        <f>(R83)/J83</f>
        <v>0</v>
      </c>
      <c r="Q83" s="49">
        <f>I83/G83-1</f>
        <v>0.52499999999999991</v>
      </c>
      <c r="R83" s="52"/>
    </row>
    <row r="84" spans="1:243" s="106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69872230.289308637</v>
      </c>
      <c r="E84" s="39">
        <f>C84*K84</f>
        <v>59420231.904444434</v>
      </c>
      <c r="F84" s="40" t="s">
        <v>175</v>
      </c>
      <c r="G84" s="40">
        <v>1.44347</v>
      </c>
      <c r="H84" s="42">
        <v>1.150452</v>
      </c>
      <c r="I84" s="42">
        <v>1.0166379999999999</v>
      </c>
      <c r="J84" s="44">
        <f>I84/$J$5</f>
        <v>3.7951246826937429E-2</v>
      </c>
      <c r="K84" s="45">
        <f>I84/$K$4</f>
        <v>3.2274222222222218E-2</v>
      </c>
      <c r="L84" s="46">
        <f>I84-H84</f>
        <v>-0.1338140000000001</v>
      </c>
      <c r="M84" s="46">
        <f>((I84-H84)/H84*100)</f>
        <v>-11.631428342946954</v>
      </c>
      <c r="N84" s="104">
        <v>28212062</v>
      </c>
      <c r="O84" s="105">
        <v>28681575.432500001</v>
      </c>
      <c r="P84" s="48">
        <f>(R84)/J84</f>
        <v>5.7336719658324799E-2</v>
      </c>
      <c r="Q84" s="49">
        <f>I84/G84-1</f>
        <v>-0.29569855972067316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8"/>
      <c r="B85" s="79"/>
      <c r="C85" s="80"/>
      <c r="D85" s="107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3"/>
    </row>
    <row r="86" spans="1:243" ht="12.6" thickBot="1" x14ac:dyDescent="0.3">
      <c r="A86" s="108"/>
      <c r="B86" s="109"/>
      <c r="C86" s="109"/>
      <c r="D86" s="109"/>
      <c r="E86" s="109"/>
      <c r="F86" s="110"/>
      <c r="G86" s="110"/>
      <c r="H86" s="59"/>
      <c r="M86" s="111"/>
      <c r="N86" s="111"/>
      <c r="O86" s="59"/>
      <c r="P86" s="59"/>
      <c r="Q86" s="112"/>
    </row>
    <row r="87" spans="1:243" ht="12.6" thickBot="1" x14ac:dyDescent="0.3">
      <c r="A87" s="138" t="s">
        <v>178</v>
      </c>
      <c r="B87" s="139"/>
      <c r="C87" s="139"/>
      <c r="D87" s="140"/>
      <c r="E87" s="138" t="s">
        <v>179</v>
      </c>
      <c r="F87" s="139"/>
      <c r="G87" s="139"/>
      <c r="H87" s="140"/>
      <c r="I87" s="52"/>
      <c r="K87" s="52"/>
      <c r="L87" s="141" t="s">
        <v>180</v>
      </c>
      <c r="M87" s="142"/>
      <c r="N87" s="143"/>
      <c r="O87" s="141" t="s">
        <v>181</v>
      </c>
      <c r="P87" s="142"/>
      <c r="Q87" s="143"/>
    </row>
    <row r="88" spans="1:243" x14ac:dyDescent="0.25">
      <c r="A88" s="35" t="s">
        <v>58</v>
      </c>
      <c r="B88" s="113">
        <v>11</v>
      </c>
      <c r="D88" s="113">
        <v>10.110110110110107</v>
      </c>
      <c r="E88" s="35" t="s">
        <v>75</v>
      </c>
      <c r="F88" s="114">
        <v>2.5169999999999999</v>
      </c>
      <c r="H88" s="115">
        <v>-13.892107529155073</v>
      </c>
      <c r="L88" s="35" t="s">
        <v>133</v>
      </c>
      <c r="M88" s="51">
        <v>0.02</v>
      </c>
      <c r="N88" s="116">
        <v>11.111111111111121</v>
      </c>
      <c r="O88" s="59" t="s">
        <v>121</v>
      </c>
      <c r="P88" s="114">
        <v>46.050800000000002</v>
      </c>
      <c r="Q88" s="117">
        <v>-10.336354520585276</v>
      </c>
    </row>
    <row r="89" spans="1:243" x14ac:dyDescent="0.25">
      <c r="A89" s="35" t="s">
        <v>73</v>
      </c>
      <c r="B89" s="113">
        <v>1.9750000000000001</v>
      </c>
      <c r="D89" s="113">
        <v>9.7222222222222232</v>
      </c>
      <c r="E89" s="35" t="s">
        <v>52</v>
      </c>
      <c r="F89" s="114">
        <v>30.762600000000003</v>
      </c>
      <c r="H89" s="115">
        <v>-3.7272313490718183</v>
      </c>
      <c r="L89" s="35" t="s">
        <v>140</v>
      </c>
      <c r="M89" s="51">
        <v>0.36449999999999999</v>
      </c>
      <c r="N89" s="116">
        <v>10.254083484573497</v>
      </c>
      <c r="O89" s="59" t="s">
        <v>138</v>
      </c>
      <c r="P89" s="114">
        <v>1.2062999999999999</v>
      </c>
      <c r="Q89" s="117">
        <v>-7.7470174365249429</v>
      </c>
    </row>
    <row r="90" spans="1:243" x14ac:dyDescent="0.25">
      <c r="A90" s="35" t="s">
        <v>70</v>
      </c>
      <c r="B90" s="113">
        <v>11.133299999999998</v>
      </c>
      <c r="C90" s="113"/>
      <c r="D90" s="113">
        <v>1.2118181818181675</v>
      </c>
      <c r="E90" s="35" t="s">
        <v>96</v>
      </c>
      <c r="F90" s="114">
        <v>4.7705000000000004E-2</v>
      </c>
      <c r="H90" s="115">
        <v>-0.79851941192372966</v>
      </c>
      <c r="L90" s="35" t="s">
        <v>119</v>
      </c>
      <c r="M90" s="51">
        <v>0.13980000000000001</v>
      </c>
      <c r="N90" s="116">
        <v>6.9625095638867611</v>
      </c>
      <c r="O90" s="35" t="s">
        <v>148</v>
      </c>
      <c r="P90" s="114">
        <v>0.13500000000000001</v>
      </c>
      <c r="Q90" s="117">
        <v>-3.5714285714285738</v>
      </c>
    </row>
    <row r="91" spans="1:243" x14ac:dyDescent="0.25">
      <c r="A91" s="35" t="s">
        <v>98</v>
      </c>
      <c r="B91" s="113">
        <v>3.6</v>
      </c>
      <c r="C91" s="113"/>
      <c r="D91" s="113">
        <v>9.9292937522191885E-2</v>
      </c>
      <c r="E91" s="35" t="s">
        <v>77</v>
      </c>
      <c r="F91" s="114">
        <v>2.5099999999999998</v>
      </c>
      <c r="H91" s="115">
        <v>-0.28555674029910338</v>
      </c>
      <c r="L91" s="35" t="s">
        <v>129</v>
      </c>
      <c r="M91" s="51">
        <v>1.4291</v>
      </c>
      <c r="N91" s="116">
        <v>0.62667229967611116</v>
      </c>
      <c r="O91" s="35" t="s">
        <v>135</v>
      </c>
      <c r="P91" s="114">
        <v>17.801300000000001</v>
      </c>
      <c r="Q91" s="117">
        <v>-0.50804261074656987</v>
      </c>
    </row>
    <row r="92" spans="1:243" x14ac:dyDescent="0.25">
      <c r="A92" s="35" t="s">
        <v>45</v>
      </c>
      <c r="B92" s="113">
        <v>36.268799999999999</v>
      </c>
      <c r="C92" s="113"/>
      <c r="D92" s="113">
        <v>1.3785972773161422E-4</v>
      </c>
      <c r="E92" s="35"/>
      <c r="F92" s="114"/>
      <c r="G92" s="114"/>
      <c r="H92" s="115"/>
      <c r="L92" s="35" t="s">
        <v>123</v>
      </c>
      <c r="M92" s="51">
        <v>0.23280000000000001</v>
      </c>
      <c r="N92" s="116">
        <v>0.51813471502590958</v>
      </c>
      <c r="O92" s="35" t="s">
        <v>142</v>
      </c>
      <c r="P92" s="114">
        <v>0.69820000000000004</v>
      </c>
      <c r="Q92" s="117">
        <v>-0.20011435105774111</v>
      </c>
    </row>
    <row r="93" spans="1:243" ht="12.6" thickBot="1" x14ac:dyDescent="0.3">
      <c r="A93" s="118"/>
      <c r="B93" s="119"/>
      <c r="C93" s="119"/>
      <c r="D93" s="119"/>
      <c r="E93" s="118"/>
      <c r="F93" s="119"/>
      <c r="G93" s="119"/>
      <c r="H93" s="120"/>
      <c r="L93" s="118"/>
      <c r="M93" s="119"/>
      <c r="N93" s="120"/>
      <c r="O93" s="119"/>
      <c r="P93" s="119"/>
      <c r="Q93" s="120"/>
    </row>
    <row r="94" spans="1:243" x14ac:dyDescent="0.25">
      <c r="A94" s="121"/>
      <c r="B94" s="122"/>
      <c r="C94" s="122"/>
      <c r="D94" s="122"/>
      <c r="E94" s="111"/>
      <c r="F94" s="111"/>
      <c r="G94" s="111"/>
      <c r="H94" s="111"/>
      <c r="I94" s="111"/>
      <c r="J94" s="111"/>
      <c r="K94" s="111"/>
      <c r="L94" s="111"/>
      <c r="M94" s="122"/>
      <c r="Q94" s="16"/>
    </row>
    <row r="95" spans="1:243" x14ac:dyDescent="0.25">
      <c r="A95" s="12" t="s">
        <v>182</v>
      </c>
      <c r="B95" s="123"/>
      <c r="C95" s="123"/>
      <c r="D95" s="123"/>
      <c r="E95" s="123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1"/>
      <c r="B96" s="122"/>
      <c r="C96" s="122"/>
      <c r="D96" s="122"/>
      <c r="E96" s="122"/>
      <c r="F96" s="111"/>
      <c r="G96" s="111"/>
      <c r="H96" s="122"/>
      <c r="I96" s="111"/>
      <c r="J96" s="111"/>
      <c r="K96" s="111"/>
      <c r="L96" s="111"/>
      <c r="M96" s="122"/>
      <c r="Q96" s="16"/>
    </row>
    <row r="97" spans="1:17" ht="12.6" thickBot="1" x14ac:dyDescent="0.3">
      <c r="A97" s="124"/>
      <c r="B97" s="125"/>
      <c r="C97" s="125"/>
      <c r="D97" s="125"/>
      <c r="E97" s="125"/>
      <c r="F97" s="126"/>
      <c r="G97" s="126"/>
      <c r="H97" s="126"/>
      <c r="I97" s="127"/>
      <c r="J97" s="127"/>
      <c r="K97" s="127"/>
      <c r="L97" s="127"/>
      <c r="M97" s="127"/>
      <c r="N97" s="127"/>
      <c r="O97" s="127"/>
      <c r="P97" s="127"/>
      <c r="Q97" s="128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9"/>
      <c r="J101" s="129"/>
      <c r="K101" s="129"/>
      <c r="O101" s="129"/>
      <c r="P101" s="129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9"/>
      <c r="J104" s="129"/>
      <c r="K104" s="129"/>
      <c r="O104" s="129"/>
      <c r="P104" s="129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9"/>
      <c r="J106" s="129"/>
      <c r="K106" s="129"/>
      <c r="O106" s="129"/>
      <c r="P106" s="129"/>
    </row>
  </sheetData>
  <sheetProtection algorithmName="SHA-512" hashValue="92Od8XiOToxscrzcJnvM4iqMt5RQeZ0eNOUD+Hf1wFgVP5l+daz0Xl5wlEmgteC+LXUNZixEavXrd4ZlA9VD3g==" saltValue="kIK8thJi2PiUMj6dq7WWig==" spinCount="100000" sheet="1"/>
  <sortState xmlns:xlrd2="http://schemas.microsoft.com/office/spreadsheetml/2017/richdata2" ref="A50:II64">
    <sortCondition ref="A50:A64"/>
  </sortState>
  <mergeCells count="12">
    <mergeCell ref="A73:Q73"/>
    <mergeCell ref="L5:M5"/>
    <mergeCell ref="A6:Q6"/>
    <mergeCell ref="A49:Q49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6 L50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6 Q50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2026-07-20T13:13:03Z</dcterms:created>
  <dcterms:modified xsi:type="dcterms:W3CDTF">2026-07-20T13:38:39Z</dcterms:modified>
</cp:coreProperties>
</file>