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1.04.26/"/>
    </mc:Choice>
  </mc:AlternateContent>
  <xr:revisionPtr revIDLastSave="0" documentId="8_{E9B8441D-AB5B-4F52-935E-1C05F6519B16}" xr6:coauthVersionLast="47" xr6:coauthVersionMax="47" xr10:uidLastSave="{00000000-0000-0000-0000-000000000000}"/>
  <bookViews>
    <workbookView xWindow="-108" yWindow="-108" windowWidth="23256" windowHeight="12456" xr2:uid="{01317AA6-DF93-48C6-A519-D6912D94FAE0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" i="1" l="1"/>
  <c r="O84" i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D73" i="1"/>
  <c r="Q72" i="1"/>
  <c r="M72" i="1"/>
  <c r="L72" i="1"/>
  <c r="K72" i="1"/>
  <c r="E72" i="1" s="1"/>
  <c r="J72" i="1"/>
  <c r="D72" i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 s="1"/>
  <c r="M63" i="1"/>
  <c r="L63" i="1"/>
  <c r="J63" i="1"/>
  <c r="Q63" i="1" s="1"/>
  <c r="D63" i="1"/>
  <c r="Q62" i="1"/>
  <c r="P62" i="1"/>
  <c r="M62" i="1"/>
  <c r="L62" i="1"/>
  <c r="J62" i="1"/>
  <c r="D62" i="1" s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J39" i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E37" i="1" s="1"/>
  <c r="J37" i="1"/>
  <c r="P37" i="1" s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E19" i="1"/>
  <c r="D19" i="1"/>
  <c r="Q18" i="1"/>
  <c r="P18" i="1"/>
  <c r="M18" i="1"/>
  <c r="L18" i="1"/>
  <c r="K18" i="1"/>
  <c r="E18" i="1" s="1"/>
  <c r="J18" i="1"/>
  <c r="D18" i="1" s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52" i="1" l="1"/>
  <c r="P34" i="1"/>
  <c r="K73" i="1"/>
  <c r="E73" i="1" s="1"/>
  <c r="P57" i="1"/>
  <c r="P59" i="1"/>
  <c r="P61" i="1"/>
  <c r="P63" i="1"/>
  <c r="P65" i="1"/>
  <c r="P53" i="1"/>
  <c r="P22" i="1"/>
  <c r="P28" i="1"/>
  <c r="P25" i="1"/>
  <c r="D37" i="1"/>
</calcChain>
</file>

<file path=xl/sharedStrings.xml><?xml version="1.0" encoding="utf-8"?>
<sst xmlns="http://schemas.openxmlformats.org/spreadsheetml/2006/main" count="264" uniqueCount="181">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</sst>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1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9" fontId="15" fillId="5" borderId="0" xfId="1" applyFont="1" applyFill="1" applyAlignment="1"/>
  </cellXfs>
  <cellStyles count="9">
    <cellStyle name="Comma 2 2 2 2 2 2 2 2 2 2" xfId="3" xr:uid="{D14BC910-87D6-42E5-9E93-297F06B0C246}"/>
    <cellStyle name="Comma 5 2 2 2 2 2 2 2 2" xfId="4" xr:uid="{59627429-8035-4409-9529-5066CF7575D8}"/>
    <cellStyle name="Comma 6 2 2 2" xfId="5" xr:uid="{CEB2D413-66EE-4207-ADCC-E493722268B3}"/>
    <cellStyle name="Hyperlink 2" xfId="8" xr:uid="{7D893169-D813-4FED-9C25-A71C19619AF9}"/>
    <cellStyle name="Normal" xfId="0" builtinId="0"/>
    <cellStyle name="Normal 2" xfId="2" xr:uid="{81B79B26-A2D2-4EB9-9520-0E0FE7B08B63}"/>
    <cellStyle name="Normal 20" xfId="7" xr:uid="{D912E742-94B8-4C11-B452-52FB494CC4DE}"/>
    <cellStyle name="Percent" xfId="1" builtinId="5"/>
    <cellStyle name="Percent 3" xfId="6" xr:uid="{2FE30790-349F-4976-8B58-4E0B140776D1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56B8AEF-C935-463A-A073-84FD22A39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02D8520-B1A4-4834-8164-A76D8CC1C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E31E-EB0A-4940-911F-913E808F016D}">
  <dimension ref="A1:II105"/>
  <sheetViews>
    <sheetView tabSelected="1" zoomScale="70" zoomScaleNormal="70" workbookViewId="0">
      <pane ySplit="7" topLeftCell="A40" activePane="bottomLeft" state="frozen"/>
      <selection pane="bottomLeft" activeCell="I62" sqref="I62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25.246500000000001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68188589.079674408</v>
      </c>
      <c r="E10" s="37">
        <f t="shared" ref="E10:E30" si="1">C10*K10</f>
        <v>57384107.140000001</v>
      </c>
      <c r="F10" s="38" t="s">
        <v>34</v>
      </c>
      <c r="G10" s="39">
        <v>8.9894999999999996</v>
      </c>
      <c r="H10" s="40">
        <v>13.8</v>
      </c>
      <c r="I10" s="40">
        <v>13.8</v>
      </c>
      <c r="J10" s="41">
        <f>(I10/$J$5)</f>
        <v>0.54661042124650938</v>
      </c>
      <c r="K10" s="42">
        <f t="shared" ref="K10:K30" si="2">I10/$K$4</f>
        <v>0.46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0.53512431169697994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1933807.373299269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1.1882835244489333E-3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0</v>
      </c>
      <c r="O11" s="35">
        <v>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4242245.0541193029</v>
      </c>
      <c r="E12" s="37">
        <f t="shared" si="1"/>
        <v>3570061.3252940997</v>
      </c>
      <c r="F12" s="38" t="s">
        <v>39</v>
      </c>
      <c r="G12" s="39">
        <v>7.8E-2</v>
      </c>
      <c r="H12" s="40">
        <v>0.24509699999999998</v>
      </c>
      <c r="I12" s="40">
        <v>0.24509699999999998</v>
      </c>
      <c r="J12" s="41">
        <f t="shared" si="7"/>
        <v>9.7081575663953406E-3</v>
      </c>
      <c r="K12" s="42">
        <f t="shared" si="2"/>
        <v>8.169899999999999E-3</v>
      </c>
      <c r="L12" s="43">
        <f t="shared" si="3"/>
        <v>0</v>
      </c>
      <c r="M12" s="43">
        <f t="shared" si="4"/>
        <v>0</v>
      </c>
      <c r="N12" s="44">
        <v>0</v>
      </c>
      <c r="O12" s="35">
        <v>0</v>
      </c>
      <c r="P12" s="45">
        <f t="shared" si="5"/>
        <v>0</v>
      </c>
      <c r="Q12" s="46">
        <f t="shared" si="6"/>
        <v>2.1422692307692306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156673012.45321131</v>
      </c>
      <c r="E13" s="37">
        <f t="shared" si="1"/>
        <v>131848173.63</v>
      </c>
      <c r="F13" s="38" t="s">
        <v>34</v>
      </c>
      <c r="G13" s="39">
        <v>97.381</v>
      </c>
      <c r="H13" s="40">
        <v>212.99</v>
      </c>
      <c r="I13" s="40">
        <v>191.7</v>
      </c>
      <c r="J13" s="41">
        <f t="shared" si="7"/>
        <v>7.5931317212286844</v>
      </c>
      <c r="K13" s="42">
        <f t="shared" si="2"/>
        <v>6.39</v>
      </c>
      <c r="L13" s="43">
        <f t="shared" si="3"/>
        <v>-21.29000000000002</v>
      </c>
      <c r="M13" s="43">
        <f t="shared" si="4"/>
        <v>-9.9957744495046814</v>
      </c>
      <c r="N13" s="44">
        <v>4500</v>
      </c>
      <c r="O13" s="35">
        <v>862650</v>
      </c>
      <c r="P13" s="45">
        <f t="shared" si="5"/>
        <v>0</v>
      </c>
      <c r="Q13" s="46">
        <f t="shared" si="6"/>
        <v>0.9685564945934011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4498079.7953775767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0.51494266531994526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314675470.58008039</v>
      </c>
      <c r="E15" s="37">
        <f t="shared" si="1"/>
        <v>264815142.26666662</v>
      </c>
      <c r="F15" s="38" t="s">
        <v>47</v>
      </c>
      <c r="G15" s="39">
        <v>11.5</v>
      </c>
      <c r="H15" s="40">
        <v>15.2</v>
      </c>
      <c r="I15" s="40">
        <v>15.2</v>
      </c>
      <c r="J15" s="41">
        <f t="shared" si="7"/>
        <v>0.60206365238745962</v>
      </c>
      <c r="K15" s="42">
        <f t="shared" si="2"/>
        <v>0.5066666666666666</v>
      </c>
      <c r="L15" s="43">
        <f t="shared" si="3"/>
        <v>0</v>
      </c>
      <c r="M15" s="43">
        <f t="shared" si="4"/>
        <v>0</v>
      </c>
      <c r="N15" s="44">
        <v>100</v>
      </c>
      <c r="O15" s="35">
        <v>1520</v>
      </c>
      <c r="P15" s="45">
        <f t="shared" si="5"/>
        <v>0</v>
      </c>
      <c r="Q15" s="46">
        <f t="shared" si="6"/>
        <v>0.32173913043478253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25999366.892440535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0.24518250054462995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36868565.179331787</v>
      </c>
      <c r="E17" s="37">
        <f t="shared" si="1"/>
        <v>31026741.026666667</v>
      </c>
      <c r="F17" s="38" t="s">
        <v>34</v>
      </c>
      <c r="G17" s="39">
        <v>1.9</v>
      </c>
      <c r="H17" s="40">
        <v>2.6</v>
      </c>
      <c r="I17" s="40">
        <v>2.6</v>
      </c>
      <c r="J17" s="41">
        <f t="shared" si="7"/>
        <v>0.10298457211890757</v>
      </c>
      <c r="K17" s="42">
        <f t="shared" si="2"/>
        <v>8.666666666666667E-2</v>
      </c>
      <c r="L17" s="43">
        <f t="shared" si="3"/>
        <v>0</v>
      </c>
      <c r="M17" s="43">
        <f t="shared" si="4"/>
        <v>0</v>
      </c>
      <c r="N17" s="44">
        <v>0</v>
      </c>
      <c r="O17" s="35">
        <v>0</v>
      </c>
      <c r="P17" s="45">
        <f t="shared" si="5"/>
        <v>0</v>
      </c>
      <c r="Q17" s="46">
        <f t="shared" si="6"/>
        <v>0.36842105263157898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1434822403.5770307</v>
      </c>
      <c r="E18" s="37">
        <f t="shared" si="1"/>
        <v>1207474793.7302501</v>
      </c>
      <c r="F18" s="38" t="s">
        <v>34</v>
      </c>
      <c r="G18" s="39">
        <v>20.701700000000002</v>
      </c>
      <c r="H18" s="40">
        <v>27.006900000000002</v>
      </c>
      <c r="I18" s="40">
        <v>27.000500000000002</v>
      </c>
      <c r="J18" s="41">
        <f t="shared" si="7"/>
        <v>1.0694749767294478</v>
      </c>
      <c r="K18" s="42">
        <f t="shared" si="2"/>
        <v>0.9000166666666668</v>
      </c>
      <c r="L18" s="43">
        <f t="shared" si="3"/>
        <v>-6.3999999999992951E-3</v>
      </c>
      <c r="M18" s="43">
        <f t="shared" si="4"/>
        <v>-2.3697647638193556E-2</v>
      </c>
      <c r="N18" s="44">
        <v>399500</v>
      </c>
      <c r="O18" s="35">
        <v>10786712.25</v>
      </c>
      <c r="P18" s="45">
        <f t="shared" si="5"/>
        <v>0</v>
      </c>
      <c r="Q18" s="46">
        <f t="shared" si="6"/>
        <v>0.30426486713651535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/>
      <c r="I19" s="40"/>
      <c r="J19" s="41"/>
      <c r="K19" s="42"/>
      <c r="L19" s="43"/>
      <c r="M19" s="43"/>
      <c r="N19" s="44" t="s">
        <v>57</v>
      </c>
      <c r="O19" s="35" t="s">
        <v>57</v>
      </c>
      <c r="P19" s="45"/>
      <c r="Q19" s="46"/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263494119.07789198</v>
      </c>
      <c r="E20" s="37">
        <f t="shared" si="1"/>
        <v>221743475.91</v>
      </c>
      <c r="F20" s="38" t="s">
        <v>47</v>
      </c>
      <c r="G20" s="39">
        <v>12.45</v>
      </c>
      <c r="H20" s="40">
        <v>9.9001969999999986</v>
      </c>
      <c r="I20" s="40">
        <v>9.9</v>
      </c>
      <c r="J20" s="41">
        <f t="shared" si="7"/>
        <v>0.39213356306814806</v>
      </c>
      <c r="K20" s="42">
        <f t="shared" si="2"/>
        <v>0.33</v>
      </c>
      <c r="L20" s="43">
        <f t="shared" si="3"/>
        <v>-1.9699999999822637E-4</v>
      </c>
      <c r="M20" s="43">
        <f t="shared" si="4"/>
        <v>-1.9898593936890992E-3</v>
      </c>
      <c r="N20" s="44">
        <v>100</v>
      </c>
      <c r="O20" s="35">
        <v>990</v>
      </c>
      <c r="P20" s="45">
        <f t="shared" si="5"/>
        <v>0</v>
      </c>
      <c r="Q20" s="46">
        <f t="shared" si="6"/>
        <v>-0.20481927710843362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2495875.620125562</v>
      </c>
      <c r="E21" s="37">
        <f t="shared" si="1"/>
        <v>2100404.1281166668</v>
      </c>
      <c r="F21" s="38" t="s">
        <v>47</v>
      </c>
      <c r="G21" s="39">
        <v>0.35</v>
      </c>
      <c r="H21" s="40">
        <v>0.68</v>
      </c>
      <c r="I21" s="40">
        <v>0.57850000000000001</v>
      </c>
      <c r="J21" s="41">
        <f t="shared" si="7"/>
        <v>2.2914067296456935E-2</v>
      </c>
      <c r="K21" s="42">
        <f t="shared" si="2"/>
        <v>1.9283333333333333E-2</v>
      </c>
      <c r="L21" s="43">
        <f t="shared" si="3"/>
        <v>-0.10150000000000003</v>
      </c>
      <c r="M21" s="43">
        <f t="shared" si="4"/>
        <v>-14.926470588235299</v>
      </c>
      <c r="N21" s="44">
        <v>600</v>
      </c>
      <c r="O21" s="35">
        <v>347.1</v>
      </c>
      <c r="P21" s="45">
        <f t="shared" si="5"/>
        <v>0</v>
      </c>
      <c r="Q21" s="46">
        <f t="shared" si="6"/>
        <v>0.65285714285714302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79001582.136137679</v>
      </c>
      <c r="E22" s="37">
        <f t="shared" si="1"/>
        <v>66483781.446666673</v>
      </c>
      <c r="F22" s="38" t="s">
        <v>47</v>
      </c>
      <c r="G22" s="39">
        <v>2.85</v>
      </c>
      <c r="H22" s="40">
        <v>2.89</v>
      </c>
      <c r="I22" s="40">
        <v>2.89</v>
      </c>
      <c r="J22" s="41">
        <f t="shared" si="7"/>
        <v>0.11447131285524727</v>
      </c>
      <c r="K22" s="42">
        <f t="shared" si="2"/>
        <v>9.633333333333334E-2</v>
      </c>
      <c r="L22" s="43">
        <f t="shared" si="3"/>
        <v>0</v>
      </c>
      <c r="M22" s="43">
        <f t="shared" si="4"/>
        <v>0</v>
      </c>
      <c r="N22" s="44">
        <v>0</v>
      </c>
      <c r="O22" s="35">
        <v>0</v>
      </c>
      <c r="P22" s="45">
        <f t="shared" si="5"/>
        <v>0</v>
      </c>
      <c r="Q22" s="46">
        <f t="shared" si="6"/>
        <v>1.4035087719298289E-2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48078986.557582237</v>
      </c>
      <c r="E23" s="37">
        <f t="shared" si="1"/>
        <v>40460871.137533329</v>
      </c>
      <c r="F23" s="38" t="s">
        <v>66</v>
      </c>
      <c r="G23" s="39">
        <v>0.88420599999999994</v>
      </c>
      <c r="H23" s="40">
        <v>0.98</v>
      </c>
      <c r="I23" s="40">
        <v>0.98199999999999998</v>
      </c>
      <c r="J23" s="41">
        <f t="shared" si="7"/>
        <v>3.889648070029509E-2</v>
      </c>
      <c r="K23" s="42">
        <f t="shared" si="2"/>
        <v>3.273333333333333E-2</v>
      </c>
      <c r="L23" s="43">
        <f t="shared" si="3"/>
        <v>2.0000000000000018E-3</v>
      </c>
      <c r="M23" s="43">
        <f t="shared" si="4"/>
        <v>0.20408163265306142</v>
      </c>
      <c r="N23" s="44">
        <v>41300</v>
      </c>
      <c r="O23" s="35">
        <v>40556.6</v>
      </c>
      <c r="P23" s="45">
        <f t="shared" si="5"/>
        <v>0</v>
      </c>
      <c r="Q23" s="46">
        <f t="shared" si="6"/>
        <v>0.11060092331425042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2136025.0573940938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3.9807498069039269E-3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72631666.092329621</v>
      </c>
      <c r="E25" s="37">
        <f t="shared" si="1"/>
        <v>61123178.599999994</v>
      </c>
      <c r="F25" s="38" t="s">
        <v>34</v>
      </c>
      <c r="G25" s="39">
        <v>8.1687659999999997</v>
      </c>
      <c r="H25" s="40">
        <v>9.5096619999999987</v>
      </c>
      <c r="I25" s="40">
        <v>9.5</v>
      </c>
      <c r="J25" s="41">
        <f t="shared" si="7"/>
        <v>0.37628978274216224</v>
      </c>
      <c r="K25" s="42">
        <f t="shared" si="2"/>
        <v>0.31666666666666665</v>
      </c>
      <c r="L25" s="43">
        <f t="shared" si="3"/>
        <v>-9.6619999999987272E-3</v>
      </c>
      <c r="M25" s="43">
        <f t="shared" si="4"/>
        <v>-0.10160192864897542</v>
      </c>
      <c r="N25" s="44">
        <v>800</v>
      </c>
      <c r="O25" s="35">
        <v>7600</v>
      </c>
      <c r="P25" s="45">
        <f t="shared" si="5"/>
        <v>0</v>
      </c>
      <c r="Q25" s="46">
        <f t="shared" si="6"/>
        <v>0.16296635256781755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80213130.96072723</v>
      </c>
      <c r="E26" s="37">
        <f t="shared" si="1"/>
        <v>67503360.359999999</v>
      </c>
      <c r="F26" s="38" t="s">
        <v>66</v>
      </c>
      <c r="G26" s="39">
        <v>1.6675</v>
      </c>
      <c r="H26" s="40">
        <v>1.198971</v>
      </c>
      <c r="I26" s="40">
        <v>1.2</v>
      </c>
      <c r="J26" s="41">
        <f t="shared" si="7"/>
        <v>4.7531340977957338E-2</v>
      </c>
      <c r="K26" s="42">
        <f t="shared" si="2"/>
        <v>0.04</v>
      </c>
      <c r="L26" s="43">
        <f t="shared" si="3"/>
        <v>1.0289999999999466E-3</v>
      </c>
      <c r="M26" s="43">
        <f t="shared" si="4"/>
        <v>8.5823593731620421E-2</v>
      </c>
      <c r="N26" s="44">
        <v>1300</v>
      </c>
      <c r="O26" s="35">
        <v>1560</v>
      </c>
      <c r="P26" s="45">
        <f t="shared" si="5"/>
        <v>0</v>
      </c>
      <c r="Q26" s="46">
        <f t="shared" si="6"/>
        <v>-0.28035982008995508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21808672.334779076</v>
      </c>
      <c r="E27" s="37">
        <f t="shared" si="1"/>
        <v>18353088.203333333</v>
      </c>
      <c r="F27" s="38" t="s">
        <v>44</v>
      </c>
      <c r="G27" s="39">
        <v>1.7994999999999999</v>
      </c>
      <c r="H27" s="40">
        <v>2.2999999999999998</v>
      </c>
      <c r="I27" s="40">
        <v>2.2999999999999998</v>
      </c>
      <c r="J27" s="41">
        <f t="shared" si="7"/>
        <v>9.1101736874418221E-2</v>
      </c>
      <c r="K27" s="42">
        <f t="shared" si="2"/>
        <v>7.6666666666666661E-2</v>
      </c>
      <c r="L27" s="43">
        <f t="shared" si="3"/>
        <v>0</v>
      </c>
      <c r="M27" s="43">
        <f t="shared" si="4"/>
        <v>0</v>
      </c>
      <c r="N27" s="44">
        <v>200</v>
      </c>
      <c r="O27" s="35">
        <v>460</v>
      </c>
      <c r="P27" s="45">
        <f t="shared" si="5"/>
        <v>0</v>
      </c>
      <c r="Q27" s="46">
        <f t="shared" si="6"/>
        <v>0.2781328146707418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32467168.565939836</v>
      </c>
      <c r="E28" s="37">
        <f t="shared" si="1"/>
        <v>27322745.706666667</v>
      </c>
      <c r="F28" s="38" t="s">
        <v>34</v>
      </c>
      <c r="G28" s="39">
        <v>3.1361369999999997</v>
      </c>
      <c r="H28" s="40">
        <v>3.2</v>
      </c>
      <c r="I28" s="40">
        <v>3.2</v>
      </c>
      <c r="J28" s="41">
        <f t="shared" si="7"/>
        <v>0.12675024260788625</v>
      </c>
      <c r="K28" s="42">
        <f t="shared" si="2"/>
        <v>0.10666666666666667</v>
      </c>
      <c r="L28" s="43">
        <f t="shared" si="3"/>
        <v>0</v>
      </c>
      <c r="M28" s="43">
        <f t="shared" si="4"/>
        <v>0</v>
      </c>
      <c r="N28" s="44">
        <v>10600</v>
      </c>
      <c r="O28" s="35">
        <v>33920</v>
      </c>
      <c r="P28" s="45">
        <f t="shared" si="5"/>
        <v>0</v>
      </c>
      <c r="Q28" s="46">
        <f t="shared" si="6"/>
        <v>2.0363587432564501E-2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23956796.939338364</v>
      </c>
      <c r="E29" s="37">
        <f t="shared" si="1"/>
        <v>20160842.464300197</v>
      </c>
      <c r="F29" s="38" t="s">
        <v>44</v>
      </c>
      <c r="G29" s="39">
        <v>0.8</v>
      </c>
      <c r="H29" s="40">
        <v>0.80040599999999995</v>
      </c>
      <c r="I29" s="40">
        <v>0.80040599999999995</v>
      </c>
      <c r="J29" s="41">
        <f t="shared" si="7"/>
        <v>3.1703642089002435E-2</v>
      </c>
      <c r="K29" s="42">
        <f t="shared" si="2"/>
        <v>2.6680199999999998E-2</v>
      </c>
      <c r="L29" s="43">
        <f t="shared" si="3"/>
        <v>0</v>
      </c>
      <c r="M29" s="43">
        <f t="shared" si="4"/>
        <v>0</v>
      </c>
      <c r="N29" s="44">
        <v>0</v>
      </c>
      <c r="O29" s="35">
        <v>0</v>
      </c>
      <c r="P29" s="45">
        <f t="shared" si="5"/>
        <v>0</v>
      </c>
      <c r="Q29" s="46">
        <f t="shared" si="6"/>
        <v>5.0749999999988304E-4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80365273.553957954</v>
      </c>
      <c r="E30" s="37">
        <f t="shared" si="1"/>
        <v>67631395.959333315</v>
      </c>
      <c r="F30" s="38" t="s">
        <v>47</v>
      </c>
      <c r="G30" s="39">
        <v>5.15</v>
      </c>
      <c r="H30" s="40">
        <v>5.0199999999999996</v>
      </c>
      <c r="I30" s="40">
        <v>5.0199999999999996</v>
      </c>
      <c r="J30" s="41">
        <f t="shared" si="7"/>
        <v>0.1988394430911215</v>
      </c>
      <c r="K30" s="42">
        <f t="shared" si="2"/>
        <v>0.16733333333333331</v>
      </c>
      <c r="L30" s="43">
        <f t="shared" si="3"/>
        <v>0</v>
      </c>
      <c r="M30" s="43">
        <f t="shared" si="4"/>
        <v>0</v>
      </c>
      <c r="N30" s="44">
        <v>0</v>
      </c>
      <c r="O30" s="35">
        <v>0</v>
      </c>
      <c r="P30" s="45">
        <f t="shared" si="5"/>
        <v>0</v>
      </c>
      <c r="Q30" s="46">
        <f t="shared" si="6"/>
        <v>-2.5242718446602086E-2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15439740.360049907</v>
      </c>
      <c r="E33" s="37">
        <f t="shared" si="9"/>
        <v>12993313.5</v>
      </c>
      <c r="F33" s="38" t="s">
        <v>39</v>
      </c>
      <c r="G33" s="39">
        <v>1.4</v>
      </c>
      <c r="H33" s="40">
        <v>1.5</v>
      </c>
      <c r="I33" s="40">
        <v>1.5</v>
      </c>
      <c r="J33" s="41">
        <f t="shared" si="10"/>
        <v>5.9414176222446671E-2</v>
      </c>
      <c r="K33" s="42">
        <f t="shared" si="11"/>
        <v>0.05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0</v>
      </c>
      <c r="O33" s="35">
        <v>0</v>
      </c>
      <c r="P33" s="45">
        <f t="shared" ref="P33:P38" si="14">(R33)/J33</f>
        <v>0</v>
      </c>
      <c r="Q33" s="46">
        <f t="shared" ref="Q33:Q48" si="15">I33/G33-1</f>
        <v>7.1428571428571397E-2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3625140.2174558849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2.9707088111223336E-2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162964512.8558577</v>
      </c>
      <c r="E35" s="37">
        <f t="shared" si="9"/>
        <v>137142785.79384708</v>
      </c>
      <c r="F35" s="38" t="s">
        <v>92</v>
      </c>
      <c r="G35" s="39">
        <v>1.44</v>
      </c>
      <c r="H35" s="40">
        <v>1.6855779999999998</v>
      </c>
      <c r="I35" s="40">
        <v>1.648684</v>
      </c>
      <c r="J35" s="41">
        <f t="shared" si="10"/>
        <v>6.5303467807418844E-2</v>
      </c>
      <c r="K35" s="42">
        <f t="shared" si="11"/>
        <v>5.4956133333333337E-2</v>
      </c>
      <c r="L35" s="43">
        <f t="shared" si="12"/>
        <v>-3.689399999999976E-2</v>
      </c>
      <c r="M35" s="43">
        <f t="shared" si="13"/>
        <v>-2.188804077888995</v>
      </c>
      <c r="N35" s="44">
        <v>1900</v>
      </c>
      <c r="O35" s="35">
        <v>3132.5</v>
      </c>
      <c r="P35" s="45">
        <f t="shared" si="14"/>
        <v>0</v>
      </c>
      <c r="Q35" s="46">
        <f t="shared" si="15"/>
        <v>0.1449194444444446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35242919.625690684</v>
      </c>
      <c r="E36" s="37">
        <f t="shared" si="9"/>
        <v>29658679.011</v>
      </c>
      <c r="F36" s="38" t="s">
        <v>34</v>
      </c>
      <c r="G36" s="39">
        <v>3.6056249999999999</v>
      </c>
      <c r="H36" s="40">
        <v>3.5132240000000001</v>
      </c>
      <c r="I36" s="40">
        <v>3.51</v>
      </c>
      <c r="J36" s="41">
        <f t="shared" si="10"/>
        <v>0.1390291723605252</v>
      </c>
      <c r="K36" s="42">
        <f t="shared" si="11"/>
        <v>0.11699999999999999</v>
      </c>
      <c r="L36" s="43">
        <f t="shared" si="12"/>
        <v>-3.2240000000003377E-3</v>
      </c>
      <c r="M36" s="43">
        <f t="shared" si="13"/>
        <v>-9.1767561647089324E-2</v>
      </c>
      <c r="N36" s="44">
        <v>28900</v>
      </c>
      <c r="O36" s="35">
        <v>101439</v>
      </c>
      <c r="P36" s="45">
        <f t="shared" si="14"/>
        <v>0</v>
      </c>
      <c r="Q36" s="46">
        <f t="shared" si="15"/>
        <v>-2.6521060842433664E-2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6349904.2601548722</v>
      </c>
      <c r="E37" s="37">
        <f t="shared" si="9"/>
        <v>5343761.9301333334</v>
      </c>
      <c r="F37" s="38" t="s">
        <v>34</v>
      </c>
      <c r="G37" s="39">
        <v>2.5099999999999997E-2</v>
      </c>
      <c r="H37" s="40">
        <v>3.4000000000000002E-2</v>
      </c>
      <c r="I37" s="40">
        <v>3.4000000000000002E-2</v>
      </c>
      <c r="J37" s="41">
        <f t="shared" si="10"/>
        <v>1.3467213277087913E-3</v>
      </c>
      <c r="K37" s="42">
        <f t="shared" si="11"/>
        <v>1.1333333333333334E-3</v>
      </c>
      <c r="L37" s="43">
        <f t="shared" si="12"/>
        <v>0</v>
      </c>
      <c r="M37" s="43">
        <f t="shared" si="13"/>
        <v>0</v>
      </c>
      <c r="N37" s="44">
        <v>0</v>
      </c>
      <c r="O37" s="35">
        <v>0</v>
      </c>
      <c r="P37" s="45">
        <f t="shared" si="14"/>
        <v>0</v>
      </c>
      <c r="Q37" s="46">
        <f t="shared" si="15"/>
        <v>0.35458167330677326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17604914.125720393</v>
      </c>
      <c r="E38" s="37">
        <f t="shared" si="9"/>
        <v>14815415.482499998</v>
      </c>
      <c r="F38" s="38" t="s">
        <v>92</v>
      </c>
      <c r="G38" s="39">
        <v>0.61</v>
      </c>
      <c r="H38" s="40">
        <v>1.7024999999999999</v>
      </c>
      <c r="I38" s="40">
        <v>1.7024999999999999</v>
      </c>
      <c r="J38" s="41">
        <f t="shared" si="10"/>
        <v>6.7435090012476967E-2</v>
      </c>
      <c r="K38" s="42">
        <f t="shared" si="11"/>
        <v>5.6749999999999995E-2</v>
      </c>
      <c r="L38" s="43">
        <f t="shared" si="12"/>
        <v>0</v>
      </c>
      <c r="M38" s="43">
        <f t="shared" si="13"/>
        <v>0</v>
      </c>
      <c r="N38" s="44">
        <v>0</v>
      </c>
      <c r="O38" s="35">
        <v>0</v>
      </c>
      <c r="P38" s="45">
        <f t="shared" si="14"/>
        <v>0</v>
      </c>
      <c r="Q38" s="46">
        <f t="shared" si="15"/>
        <v>1.790983606557377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16615364.224744026</v>
      </c>
      <c r="E39" s="37">
        <f t="shared" si="9"/>
        <v>13982659.763333334</v>
      </c>
      <c r="F39" s="38" t="s">
        <v>56</v>
      </c>
      <c r="G39" s="39">
        <v>0.11650199999999999</v>
      </c>
      <c r="H39" s="40">
        <v>9.1292000000000012E-2</v>
      </c>
      <c r="I39" s="40">
        <v>0.1</v>
      </c>
      <c r="J39" s="41">
        <f t="shared" si="10"/>
        <v>3.9609450814964454E-3</v>
      </c>
      <c r="K39" s="42">
        <f t="shared" si="11"/>
        <v>3.3333333333333335E-3</v>
      </c>
      <c r="L39" s="43">
        <f t="shared" si="12"/>
        <v>8.7079999999999935E-3</v>
      </c>
      <c r="M39" s="43">
        <f t="shared" si="13"/>
        <v>9.5386233185821236</v>
      </c>
      <c r="N39" s="44">
        <v>26000</v>
      </c>
      <c r="O39" s="35">
        <v>2600</v>
      </c>
      <c r="P39" s="45">
        <v>0</v>
      </c>
      <c r="Q39" s="46">
        <f t="shared" si="15"/>
        <v>-0.14164563698477273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86252174.440021381</v>
      </c>
      <c r="E40" s="37">
        <f t="shared" si="9"/>
        <v>72585517.400000006</v>
      </c>
      <c r="F40" s="38" t="s">
        <v>34</v>
      </c>
      <c r="G40" s="39">
        <v>2.6005000000000003</v>
      </c>
      <c r="H40" s="40">
        <v>5.802721</v>
      </c>
      <c r="I40" s="40">
        <v>6</v>
      </c>
      <c r="J40" s="41">
        <f t="shared" si="10"/>
        <v>0.23765670488978669</v>
      </c>
      <c r="K40" s="42">
        <f t="shared" si="11"/>
        <v>0.2</v>
      </c>
      <c r="L40" s="43">
        <f t="shared" si="12"/>
        <v>0.19727899999999998</v>
      </c>
      <c r="M40" s="43">
        <f t="shared" si="13"/>
        <v>3.3997671092578807</v>
      </c>
      <c r="N40" s="44">
        <v>1800</v>
      </c>
      <c r="O40" s="35">
        <v>10800</v>
      </c>
      <c r="P40" s="45">
        <f t="shared" ref="P40:P47" si="16">(R40)/J40</f>
        <v>0</v>
      </c>
      <c r="Q40" s="46">
        <f t="shared" si="15"/>
        <v>1.3072486060373003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15419108.795666726</v>
      </c>
      <c r="E41" s="37">
        <f t="shared" si="9"/>
        <v>12975951.006993333</v>
      </c>
      <c r="F41" s="38" t="s">
        <v>39</v>
      </c>
      <c r="G41" s="39">
        <v>0.1</v>
      </c>
      <c r="H41" s="40">
        <v>9.0200000000000002E-2</v>
      </c>
      <c r="I41" s="40">
        <v>9.0200000000000002E-2</v>
      </c>
      <c r="J41" s="41">
        <f t="shared" si="10"/>
        <v>3.5727724635097936E-3</v>
      </c>
      <c r="K41" s="42">
        <f t="shared" si="11"/>
        <v>3.0066666666666666E-3</v>
      </c>
      <c r="L41" s="43">
        <f t="shared" si="12"/>
        <v>0</v>
      </c>
      <c r="M41" s="43">
        <f t="shared" si="13"/>
        <v>0</v>
      </c>
      <c r="N41" s="44">
        <v>200</v>
      </c>
      <c r="O41" s="35">
        <v>18.04</v>
      </c>
      <c r="P41" s="45">
        <f t="shared" si="16"/>
        <v>0</v>
      </c>
      <c r="Q41" s="46">
        <f t="shared" si="15"/>
        <v>-9.7999999999999976E-2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9278249.31772721</v>
      </c>
      <c r="E42" s="37">
        <f t="shared" si="9"/>
        <v>7808110.7133333329</v>
      </c>
      <c r="F42" s="38" t="s">
        <v>44</v>
      </c>
      <c r="G42" s="39">
        <v>1.7452379999999998</v>
      </c>
      <c r="H42" s="40">
        <v>2.5499999999999998</v>
      </c>
      <c r="I42" s="40">
        <v>2.2000000000000002</v>
      </c>
      <c r="J42" s="41">
        <f t="shared" si="10"/>
        <v>8.7140791792921793E-2</v>
      </c>
      <c r="K42" s="42">
        <f t="shared" si="11"/>
        <v>7.3333333333333334E-2</v>
      </c>
      <c r="L42" s="43">
        <f t="shared" si="12"/>
        <v>-0.34999999999999964</v>
      </c>
      <c r="M42" s="43">
        <f t="shared" si="13"/>
        <v>-13.725490196078418</v>
      </c>
      <c r="N42" s="44">
        <v>100</v>
      </c>
      <c r="O42" s="35">
        <v>220</v>
      </c>
      <c r="P42" s="45">
        <f t="shared" si="16"/>
        <v>0</v>
      </c>
      <c r="Q42" s="46">
        <f t="shared" si="15"/>
        <v>0.26057305651149032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2183195.4634503792</v>
      </c>
      <c r="E43" s="37">
        <f t="shared" si="9"/>
        <v>1837268.1422666667</v>
      </c>
      <c r="F43" s="38" t="s">
        <v>39</v>
      </c>
      <c r="G43" s="39">
        <v>0.03</v>
      </c>
      <c r="H43" s="40">
        <v>3.1E-2</v>
      </c>
      <c r="I43" s="40">
        <v>3.1E-2</v>
      </c>
      <c r="J43" s="41">
        <f t="shared" si="10"/>
        <v>1.2278929752638978E-3</v>
      </c>
      <c r="K43" s="42">
        <f t="shared" si="11"/>
        <v>1.0333333333333334E-3</v>
      </c>
      <c r="L43" s="43">
        <f t="shared" si="12"/>
        <v>0</v>
      </c>
      <c r="M43" s="43">
        <f t="shared" si="13"/>
        <v>0</v>
      </c>
      <c r="N43" s="44">
        <v>0</v>
      </c>
      <c r="O43" s="35">
        <v>0</v>
      </c>
      <c r="P43" s="45">
        <f t="shared" si="16"/>
        <v>0</v>
      </c>
      <c r="Q43" s="46">
        <f t="shared" si="15"/>
        <v>3.3333333333333437E-2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35945082.508862607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0.20517695522151583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330.34590529380307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7.1297011466936006E-7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0</v>
      </c>
      <c r="O45" s="35">
        <v>0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1643595.7459449822</v>
      </c>
      <c r="E46" s="37">
        <f t="shared" si="9"/>
        <v>1383167.9999999998</v>
      </c>
      <c r="F46" s="38" t="s">
        <v>56</v>
      </c>
      <c r="G46" s="39">
        <v>7.0000000000000007E-2</v>
      </c>
      <c r="H46" s="40">
        <v>7.2039999999999993E-2</v>
      </c>
      <c r="I46" s="40">
        <v>7.2039999999999993E-2</v>
      </c>
      <c r="J46" s="41">
        <f t="shared" si="10"/>
        <v>2.8534648367100385E-3</v>
      </c>
      <c r="K46" s="42">
        <f t="shared" si="11"/>
        <v>2.401333333333333E-3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2.9142857142856915E-2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54013985.681183524</v>
      </c>
      <c r="E47" s="37">
        <f t="shared" si="9"/>
        <v>45455469.650000006</v>
      </c>
      <c r="F47" s="38" t="s">
        <v>47</v>
      </c>
      <c r="G47" s="39">
        <v>0.9998999999999999</v>
      </c>
      <c r="H47" s="40">
        <v>0.75</v>
      </c>
      <c r="I47" s="40">
        <v>0.75</v>
      </c>
      <c r="J47" s="41">
        <f t="shared" si="10"/>
        <v>2.9707088111223336E-2</v>
      </c>
      <c r="K47" s="42">
        <f t="shared" si="11"/>
        <v>2.5000000000000001E-2</v>
      </c>
      <c r="L47" s="43">
        <f t="shared" si="12"/>
        <v>0</v>
      </c>
      <c r="M47" s="43">
        <f t="shared" si="13"/>
        <v>0</v>
      </c>
      <c r="N47" s="44">
        <v>100</v>
      </c>
      <c r="O47" s="35">
        <v>75</v>
      </c>
      <c r="P47" s="45">
        <f t="shared" si="16"/>
        <v>0</v>
      </c>
      <c r="Q47" s="46">
        <f t="shared" si="15"/>
        <v>-0.24992499249924982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4068386.5090210522</v>
      </c>
      <c r="E48" s="37">
        <f t="shared" si="9"/>
        <v>3423750.6666666665</v>
      </c>
      <c r="F48" s="38" t="s">
        <v>47</v>
      </c>
      <c r="G48" s="39">
        <v>1.4503460000000001</v>
      </c>
      <c r="H48" s="40">
        <v>1.0925</v>
      </c>
      <c r="I48" s="40">
        <v>1</v>
      </c>
      <c r="J48" s="41">
        <f t="shared" si="10"/>
        <v>3.9609450814964448E-2</v>
      </c>
      <c r="K48" s="42">
        <f t="shared" si="11"/>
        <v>3.3333333333333333E-2</v>
      </c>
      <c r="L48" s="43">
        <f t="shared" si="12"/>
        <v>-9.2500000000000027E-2</v>
      </c>
      <c r="M48" s="43">
        <f t="shared" si="13"/>
        <v>-8.466819221967965</v>
      </c>
      <c r="N48" s="44">
        <v>700</v>
      </c>
      <c r="O48" s="35">
        <v>700</v>
      </c>
      <c r="P48" s="45">
        <v>0</v>
      </c>
      <c r="Q48" s="46">
        <f t="shared" si="15"/>
        <v>-0.31050935431959004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518700</v>
      </c>
      <c r="O49" s="56">
        <f>SUM(O10:O48)</f>
        <v>11855300.489999998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hidden="1" x14ac:dyDescent="0.25">
      <c r="A52" s="33" t="s">
        <v>120</v>
      </c>
      <c r="B52" s="34" t="s">
        <v>121</v>
      </c>
      <c r="C52" s="38">
        <v>14786476</v>
      </c>
      <c r="D52" s="36">
        <f t="shared" ref="D52:D66" si="17">C52*J52</f>
        <v>0</v>
      </c>
      <c r="E52" s="37">
        <f>C52*K52</f>
        <v>0</v>
      </c>
      <c r="F52" s="38" t="s">
        <v>92</v>
      </c>
      <c r="G52" s="64">
        <v>4</v>
      </c>
      <c r="H52" s="40">
        <v>5.17</v>
      </c>
      <c r="I52" s="40"/>
      <c r="J52" s="41">
        <f t="shared" ref="J52:J66" si="18">I52</f>
        <v>0</v>
      </c>
      <c r="K52" s="37">
        <v>0</v>
      </c>
      <c r="L52" s="43">
        <f t="shared" ref="L52:L66" si="19">I52-H52</f>
        <v>-5.17</v>
      </c>
      <c r="M52" s="43">
        <f t="shared" ref="M52:M66" si="20">((I52-H52)/H52)*100</f>
        <v>-100</v>
      </c>
      <c r="N52" s="44" t="s">
        <v>57</v>
      </c>
      <c r="O52" s="35" t="s">
        <v>57</v>
      </c>
      <c r="P52" s="45">
        <v>0</v>
      </c>
      <c r="Q52" s="46">
        <f t="shared" ref="Q52:Q66" si="21">J52/G52-1</f>
        <v>-1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554920308</v>
      </c>
      <c r="D53" s="36">
        <f t="shared" si="17"/>
        <v>77688843.120000005</v>
      </c>
      <c r="E53" s="37">
        <v>0</v>
      </c>
      <c r="F53" s="38" t="s">
        <v>92</v>
      </c>
      <c r="G53" s="64">
        <v>0.1</v>
      </c>
      <c r="H53" s="40">
        <v>0.1404</v>
      </c>
      <c r="I53" s="40">
        <v>0.14000000000000001</v>
      </c>
      <c r="J53" s="41">
        <f t="shared" si="18"/>
        <v>0.14000000000000001</v>
      </c>
      <c r="K53" s="37">
        <v>0</v>
      </c>
      <c r="L53" s="43">
        <f t="shared" si="19"/>
        <v>-3.999999999999837E-4</v>
      </c>
      <c r="M53" s="43">
        <f t="shared" si="20"/>
        <v>-0.2849002849002733</v>
      </c>
      <c r="N53" s="44">
        <v>7892</v>
      </c>
      <c r="O53" s="35">
        <v>1104.8800000000001</v>
      </c>
      <c r="P53" s="38">
        <f>(R53)/J53</f>
        <v>0</v>
      </c>
      <c r="Q53" s="46">
        <f t="shared" si="21"/>
        <v>0.40000000000000013</v>
      </c>
      <c r="T53" s="65"/>
    </row>
    <row r="54" spans="1:20" x14ac:dyDescent="0.25">
      <c r="A54" s="33" t="s">
        <v>124</v>
      </c>
      <c r="B54" s="34" t="s">
        <v>125</v>
      </c>
      <c r="C54" s="38">
        <v>1057685</v>
      </c>
      <c r="D54" s="36">
        <f t="shared" si="17"/>
        <v>52990970.416500002</v>
      </c>
      <c r="E54" s="37">
        <v>0</v>
      </c>
      <c r="F54" s="38" t="s">
        <v>39</v>
      </c>
      <c r="G54" s="64">
        <v>39.9</v>
      </c>
      <c r="H54" s="40">
        <v>50.100900000000003</v>
      </c>
      <c r="I54" s="40">
        <v>50.100900000000003</v>
      </c>
      <c r="J54" s="41">
        <f t="shared" si="18"/>
        <v>50.100900000000003</v>
      </c>
      <c r="K54" s="37">
        <v>0</v>
      </c>
      <c r="L54" s="43">
        <f t="shared" si="19"/>
        <v>0</v>
      </c>
      <c r="M54" s="43">
        <f t="shared" si="20"/>
        <v>0</v>
      </c>
      <c r="N54" s="44">
        <v>0</v>
      </c>
      <c r="O54" s="35">
        <v>0</v>
      </c>
      <c r="P54" s="150">
        <f>(R54)/J54</f>
        <v>1.1177443918173127E-2</v>
      </c>
      <c r="Q54" s="46">
        <f t="shared" si="21"/>
        <v>0.25566165413533848</v>
      </c>
      <c r="R54" s="65">
        <v>0.56000000000000005</v>
      </c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778261649.10029995</v>
      </c>
      <c r="E55" s="37"/>
      <c r="F55" s="38" t="s">
        <v>56</v>
      </c>
      <c r="G55" s="64">
        <v>0.33</v>
      </c>
      <c r="H55" s="40">
        <v>0.28939999999999999</v>
      </c>
      <c r="I55" s="40">
        <v>0.2601</v>
      </c>
      <c r="J55" s="41">
        <f t="shared" si="18"/>
        <v>0.2601</v>
      </c>
      <c r="K55" s="37">
        <v>0</v>
      </c>
      <c r="L55" s="43">
        <f t="shared" si="19"/>
        <v>-2.9299999999999993E-2</v>
      </c>
      <c r="M55" s="43">
        <f t="shared" si="20"/>
        <v>-10.124395300621975</v>
      </c>
      <c r="N55" s="44">
        <v>19035</v>
      </c>
      <c r="O55" s="35">
        <v>4951.8</v>
      </c>
      <c r="P55" s="38">
        <v>0</v>
      </c>
      <c r="Q55" s="46">
        <f t="shared" si="21"/>
        <v>-0.21181818181818191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13658197.123199999</v>
      </c>
      <c r="E56" s="37">
        <v>0</v>
      </c>
      <c r="F56" s="38" t="s">
        <v>34</v>
      </c>
      <c r="G56" s="64">
        <v>2.3E-2</v>
      </c>
      <c r="H56" s="40">
        <v>2.24E-2</v>
      </c>
      <c r="I56" s="40">
        <v>2.24E-2</v>
      </c>
      <c r="J56" s="41">
        <f t="shared" si="18"/>
        <v>2.24E-2</v>
      </c>
      <c r="K56" s="37">
        <v>0</v>
      </c>
      <c r="L56" s="43">
        <f t="shared" si="19"/>
        <v>0</v>
      </c>
      <c r="M56" s="43">
        <f t="shared" si="20"/>
        <v>0</v>
      </c>
      <c r="N56" s="44">
        <v>11968</v>
      </c>
      <c r="O56" s="35">
        <v>268.08999999999997</v>
      </c>
      <c r="P56" s="38">
        <f t="shared" ref="P56:P66" si="22">(R56)/J56</f>
        <v>0</v>
      </c>
      <c r="Q56" s="46">
        <f t="shared" si="21"/>
        <v>-2.6086956521739091E-2</v>
      </c>
      <c r="T56" s="65"/>
    </row>
    <row r="57" spans="1:20" x14ac:dyDescent="0.25">
      <c r="A57" s="33" t="s">
        <v>130</v>
      </c>
      <c r="B57" s="34" t="s">
        <v>131</v>
      </c>
      <c r="C57" s="38">
        <v>2161875929</v>
      </c>
      <c r="D57" s="36">
        <f t="shared" si="17"/>
        <v>227213160.13789999</v>
      </c>
      <c r="E57" s="37">
        <v>0</v>
      </c>
      <c r="F57" s="38" t="s">
        <v>47</v>
      </c>
      <c r="G57" s="64">
        <v>9.0200000000000002E-2</v>
      </c>
      <c r="H57" s="40">
        <v>0.1017</v>
      </c>
      <c r="I57" s="40">
        <v>0.1051</v>
      </c>
      <c r="J57" s="41">
        <f t="shared" si="18"/>
        <v>0.1051</v>
      </c>
      <c r="K57" s="37">
        <v>0</v>
      </c>
      <c r="L57" s="43">
        <f t="shared" si="19"/>
        <v>3.4000000000000002E-3</v>
      </c>
      <c r="M57" s="66">
        <f t="shared" si="20"/>
        <v>3.3431661750245825</v>
      </c>
      <c r="N57" s="44">
        <v>733827</v>
      </c>
      <c r="O57" s="35">
        <v>77130.3</v>
      </c>
      <c r="P57" s="38">
        <f t="shared" si="22"/>
        <v>0</v>
      </c>
      <c r="Q57" s="46">
        <f t="shared" si="21"/>
        <v>0.16518847006651871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575926450</v>
      </c>
      <c r="D58" s="36">
        <f t="shared" si="17"/>
        <v>739489561.80000007</v>
      </c>
      <c r="E58" s="37">
        <v>0</v>
      </c>
      <c r="F58" s="38" t="s">
        <v>34</v>
      </c>
      <c r="G58" s="64">
        <v>0.95750000000000002</v>
      </c>
      <c r="H58" s="40">
        <v>1.2944</v>
      </c>
      <c r="I58" s="40">
        <v>1.284</v>
      </c>
      <c r="J58" s="41">
        <f t="shared" si="18"/>
        <v>1.284</v>
      </c>
      <c r="K58" s="37">
        <v>0</v>
      </c>
      <c r="L58" s="43">
        <f t="shared" si="19"/>
        <v>-1.0399999999999965E-2</v>
      </c>
      <c r="M58" s="43">
        <f t="shared" si="20"/>
        <v>-0.80346106304078835</v>
      </c>
      <c r="N58" s="44">
        <v>215659</v>
      </c>
      <c r="O58" s="35">
        <v>276908.84999999998</v>
      </c>
      <c r="P58" s="150">
        <f t="shared" si="22"/>
        <v>3.6604361370716508E-2</v>
      </c>
      <c r="Q58" s="46">
        <f t="shared" si="21"/>
        <v>0.34099216710182767</v>
      </c>
      <c r="R58" s="65">
        <v>4.7E-2</v>
      </c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24631233.300000001</v>
      </c>
      <c r="E59" s="37">
        <v>0</v>
      </c>
      <c r="F59" s="38" t="s">
        <v>34</v>
      </c>
      <c r="G59" s="64">
        <v>0.1595</v>
      </c>
      <c r="H59" s="40">
        <v>0.15</v>
      </c>
      <c r="I59" s="40">
        <v>0.15</v>
      </c>
      <c r="J59" s="41">
        <f t="shared" si="18"/>
        <v>0.15</v>
      </c>
      <c r="K59" s="37">
        <v>0</v>
      </c>
      <c r="L59" s="43">
        <f t="shared" si="19"/>
        <v>0</v>
      </c>
      <c r="M59" s="43">
        <f t="shared" si="20"/>
        <v>0</v>
      </c>
      <c r="N59" s="44">
        <v>60</v>
      </c>
      <c r="O59" s="35">
        <v>9</v>
      </c>
      <c r="P59" s="38">
        <f t="shared" si="22"/>
        <v>0</v>
      </c>
      <c r="Q59" s="46">
        <f t="shared" si="21"/>
        <v>-5.9561128526645857E-2</v>
      </c>
      <c r="T59" s="65"/>
    </row>
    <row r="60" spans="1:20" x14ac:dyDescent="0.25">
      <c r="A60" s="33" t="s">
        <v>136</v>
      </c>
      <c r="B60" s="34" t="s">
        <v>137</v>
      </c>
      <c r="C60" s="38">
        <v>794581116</v>
      </c>
      <c r="D60" s="36">
        <f t="shared" si="17"/>
        <v>16050538.543199999</v>
      </c>
      <c r="E60" s="37">
        <v>0</v>
      </c>
      <c r="F60" s="38" t="s">
        <v>92</v>
      </c>
      <c r="G60" s="64">
        <v>1.6799999999999999E-2</v>
      </c>
      <c r="H60" s="40">
        <v>0.02</v>
      </c>
      <c r="I60" s="40">
        <v>2.0199999999999999E-2</v>
      </c>
      <c r="J60" s="41">
        <f t="shared" si="18"/>
        <v>2.0199999999999999E-2</v>
      </c>
      <c r="K60" s="37">
        <v>0</v>
      </c>
      <c r="L60" s="43">
        <f t="shared" si="19"/>
        <v>1.9999999999999879E-4</v>
      </c>
      <c r="M60" s="66">
        <f t="shared" si="20"/>
        <v>0.999999999999994</v>
      </c>
      <c r="N60" s="44">
        <v>72668</v>
      </c>
      <c r="O60" s="35">
        <v>1465.86</v>
      </c>
      <c r="P60" s="38">
        <f t="shared" si="22"/>
        <v>0</v>
      </c>
      <c r="Q60" s="46">
        <f t="shared" si="21"/>
        <v>0.20238095238095233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2515858.7999999998</v>
      </c>
      <c r="E61" s="37">
        <v>0</v>
      </c>
      <c r="F61" s="38" t="s">
        <v>140</v>
      </c>
      <c r="G61" s="64">
        <v>19.5</v>
      </c>
      <c r="H61" s="40">
        <v>15.6</v>
      </c>
      <c r="I61" s="40">
        <v>15.6</v>
      </c>
      <c r="J61" s="41">
        <f t="shared" si="18"/>
        <v>15.6</v>
      </c>
      <c r="K61" s="37">
        <v>0</v>
      </c>
      <c r="L61" s="43">
        <f t="shared" si="19"/>
        <v>0</v>
      </c>
      <c r="M61" s="43">
        <f t="shared" si="20"/>
        <v>0</v>
      </c>
      <c r="N61" s="44">
        <v>8</v>
      </c>
      <c r="O61" s="35">
        <v>124.8</v>
      </c>
      <c r="P61" s="38">
        <f t="shared" si="22"/>
        <v>0</v>
      </c>
      <c r="Q61" s="46">
        <f t="shared" si="21"/>
        <v>-0.20000000000000007</v>
      </c>
      <c r="T61" s="65"/>
    </row>
    <row r="62" spans="1:20" x14ac:dyDescent="0.25">
      <c r="A62" s="33" t="s">
        <v>141</v>
      </c>
      <c r="B62" s="34" t="s">
        <v>142</v>
      </c>
      <c r="C62" s="38">
        <v>805090451</v>
      </c>
      <c r="D62" s="36">
        <f t="shared" si="17"/>
        <v>851222133.84229994</v>
      </c>
      <c r="E62" s="37">
        <v>0</v>
      </c>
      <c r="F62" s="38" t="s">
        <v>92</v>
      </c>
      <c r="G62" s="64">
        <v>0.59499999999999997</v>
      </c>
      <c r="H62" s="40">
        <v>1.0791999999999999</v>
      </c>
      <c r="I62" s="40">
        <v>1.0572999999999999</v>
      </c>
      <c r="J62" s="41">
        <f t="shared" si="18"/>
        <v>1.0572999999999999</v>
      </c>
      <c r="K62" s="37">
        <v>0</v>
      </c>
      <c r="L62" s="43">
        <f t="shared" si="19"/>
        <v>-2.1900000000000031E-2</v>
      </c>
      <c r="M62" s="43">
        <f t="shared" si="20"/>
        <v>-2.0292809488510035</v>
      </c>
      <c r="N62" s="44">
        <v>9124</v>
      </c>
      <c r="O62" s="35">
        <v>9646.64</v>
      </c>
      <c r="P62" s="38">
        <f t="shared" si="22"/>
        <v>0</v>
      </c>
      <c r="Q62" s="46">
        <f t="shared" si="21"/>
        <v>0.77697478991596625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69115418.721799999</v>
      </c>
      <c r="E63" s="37">
        <v>0</v>
      </c>
      <c r="F63" s="38" t="s">
        <v>34</v>
      </c>
      <c r="G63" s="64">
        <v>0.22600000000000001</v>
      </c>
      <c r="H63" s="40">
        <v>0.26390000000000002</v>
      </c>
      <c r="I63" s="40">
        <v>0.2651</v>
      </c>
      <c r="J63" s="41">
        <f t="shared" si="18"/>
        <v>0.2651</v>
      </c>
      <c r="K63" s="37">
        <v>0</v>
      </c>
      <c r="L63" s="43">
        <f t="shared" si="19"/>
        <v>1.1999999999999789E-3</v>
      </c>
      <c r="M63" s="43">
        <f t="shared" si="20"/>
        <v>0.45471769609699841</v>
      </c>
      <c r="N63" s="44">
        <v>27999</v>
      </c>
      <c r="O63" s="35">
        <v>7423.84</v>
      </c>
      <c r="P63" s="38">
        <f t="shared" si="22"/>
        <v>0</v>
      </c>
      <c r="Q63" s="46">
        <f t="shared" si="21"/>
        <v>0.17300884955752216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382904059.10680002</v>
      </c>
      <c r="E64" s="37">
        <v>0</v>
      </c>
      <c r="F64" s="38" t="s">
        <v>34</v>
      </c>
      <c r="G64" s="64">
        <v>0.49440000000000001</v>
      </c>
      <c r="H64" s="40">
        <v>0.65439999999999998</v>
      </c>
      <c r="I64" s="40">
        <v>0.68110000000000004</v>
      </c>
      <c r="J64" s="41">
        <f t="shared" si="18"/>
        <v>0.68110000000000004</v>
      </c>
      <c r="K64" s="37">
        <v>0</v>
      </c>
      <c r="L64" s="43">
        <f t="shared" si="19"/>
        <v>2.6700000000000057E-2</v>
      </c>
      <c r="M64" s="43">
        <f t="shared" si="20"/>
        <v>4.0800733496332606</v>
      </c>
      <c r="N64" s="44">
        <v>224</v>
      </c>
      <c r="O64" s="35">
        <v>152.57</v>
      </c>
      <c r="P64" s="38">
        <f t="shared" si="22"/>
        <v>0</v>
      </c>
      <c r="Q64" s="46">
        <f t="shared" si="21"/>
        <v>0.3776294498381878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22880144.270399999</v>
      </c>
      <c r="E66" s="37">
        <v>0</v>
      </c>
      <c r="F66" s="38" t="s">
        <v>44</v>
      </c>
      <c r="G66" s="64">
        <v>4.2999999999999997E-2</v>
      </c>
      <c r="H66" s="40">
        <v>6.6400000000000001E-2</v>
      </c>
      <c r="I66" s="40">
        <v>6.6400000000000001E-2</v>
      </c>
      <c r="J66" s="41">
        <f t="shared" si="18"/>
        <v>6.6400000000000001E-2</v>
      </c>
      <c r="K66" s="37">
        <v>0</v>
      </c>
      <c r="L66" s="43">
        <f t="shared" si="19"/>
        <v>0</v>
      </c>
      <c r="M66" s="43">
        <f t="shared" si="20"/>
        <v>0</v>
      </c>
      <c r="N66" s="44">
        <v>0</v>
      </c>
      <c r="O66" s="35">
        <v>0</v>
      </c>
      <c r="P66" s="38">
        <f t="shared" si="22"/>
        <v>0</v>
      </c>
      <c r="Q66" s="46">
        <f t="shared" si="21"/>
        <v>0.54418604651162794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1098464</v>
      </c>
      <c r="O67" s="56">
        <f>SUM(O52:O66)</f>
        <v>379186.63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50148211.32</v>
      </c>
      <c r="E72" s="84">
        <f>C72*K72</f>
        <v>50148211.32</v>
      </c>
      <c r="F72" s="82" t="s">
        <v>158</v>
      </c>
      <c r="G72" s="82">
        <v>0.24</v>
      </c>
      <c r="H72" s="85">
        <v>0.36</v>
      </c>
      <c r="I72" s="85">
        <v>0.36</v>
      </c>
      <c r="J72" s="86">
        <f>I72</f>
        <v>0.36</v>
      </c>
      <c r="K72" s="86">
        <f>J72</f>
        <v>0.36</v>
      </c>
      <c r="L72" s="87">
        <f>I72-H72</f>
        <v>0</v>
      </c>
      <c r="M72" s="87">
        <f>((I72-H72)/H72)*100</f>
        <v>0</v>
      </c>
      <c r="N72" s="88">
        <v>137</v>
      </c>
      <c r="O72" s="89">
        <v>49.32</v>
      </c>
      <c r="P72" s="90">
        <v>0</v>
      </c>
      <c r="Q72" s="91">
        <f>J72/G72-1</f>
        <v>0.5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68298868.575000003</v>
      </c>
      <c r="E73" s="84">
        <f>C73*K73</f>
        <v>68298868.575000003</v>
      </c>
      <c r="F73" s="82" t="s">
        <v>158</v>
      </c>
      <c r="G73" s="82">
        <v>0.1</v>
      </c>
      <c r="H73" s="85">
        <v>0.14499999999999999</v>
      </c>
      <c r="I73" s="85">
        <v>0.1449</v>
      </c>
      <c r="J73" s="86">
        <f>I73</f>
        <v>0.1449</v>
      </c>
      <c r="K73" s="86">
        <f>J73</f>
        <v>0.1449</v>
      </c>
      <c r="L73" s="87">
        <f>I73-H73</f>
        <v>-9.9999999999988987E-5</v>
      </c>
      <c r="M73" s="87">
        <f>((I73-H73)/H73)*100</f>
        <v>-6.8965517241371718E-2</v>
      </c>
      <c r="N73" s="44">
        <v>28153</v>
      </c>
      <c r="O73" s="89">
        <v>4080.56</v>
      </c>
      <c r="P73" s="90">
        <v>0</v>
      </c>
      <c r="Q73" s="91">
        <f>J73/G73-1</f>
        <v>0.44899999999999984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28290</v>
      </c>
      <c r="O74" s="56">
        <f>SUM(O72:O73)</f>
        <v>4129.88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168125.0585427683</v>
      </c>
      <c r="E76" s="37">
        <f>C76*K76</f>
        <v>141485.64301666667</v>
      </c>
      <c r="F76" s="38" t="s">
        <v>140</v>
      </c>
      <c r="G76" s="64">
        <v>0.105</v>
      </c>
      <c r="H76" s="40">
        <v>9.35E-2</v>
      </c>
      <c r="I76" s="40">
        <v>9.35E-2</v>
      </c>
      <c r="J76" s="41">
        <f>I76/$J$5</f>
        <v>3.7034836511991758E-3</v>
      </c>
      <c r="K76" s="42">
        <f>I76/$K$4</f>
        <v>3.1166666666666665E-3</v>
      </c>
      <c r="L76" s="43">
        <f>I76-H76</f>
        <v>0</v>
      </c>
      <c r="M76" s="98">
        <f>((I76-H76)/H76)*100</f>
        <v>0</v>
      </c>
      <c r="N76" s="35">
        <v>0</v>
      </c>
      <c r="O76" s="35">
        <v>0</v>
      </c>
      <c r="P76" s="38">
        <v>0</v>
      </c>
      <c r="Q76" s="46">
        <f>I76/G76-1</f>
        <v>-0.10952380952380947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283148.46533182816</v>
      </c>
      <c r="E77" s="37">
        <f>C77*K77</f>
        <v>238283.59100000001</v>
      </c>
      <c r="F77" s="38" t="s">
        <v>140</v>
      </c>
      <c r="G77" s="64">
        <v>4.2500000000000003E-2</v>
      </c>
      <c r="H77" s="40">
        <v>5.2499999999999998E-2</v>
      </c>
      <c r="I77" s="40">
        <v>5.2499999999999998E-2</v>
      </c>
      <c r="J77" s="41">
        <f>I77/$J$5</f>
        <v>2.0794961677856336E-3</v>
      </c>
      <c r="K77" s="42">
        <f>I77/$K$4</f>
        <v>1.75E-3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0.23529411764705865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1566688.1349890083</v>
      </c>
      <c r="E78" s="37">
        <f>C78*K78</f>
        <v>1318446.3999999999</v>
      </c>
      <c r="F78" s="38" t="s">
        <v>140</v>
      </c>
      <c r="G78" s="64">
        <v>6.0499999999999998E-2</v>
      </c>
      <c r="H78" s="40">
        <v>0.08</v>
      </c>
      <c r="I78" s="40">
        <v>0.08</v>
      </c>
      <c r="J78" s="41">
        <f>I78/$J$5</f>
        <v>3.1687560651971558E-3</v>
      </c>
      <c r="K78" s="42">
        <f>I78/$K$4</f>
        <v>2.6666666666666666E-3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0.3223140495867769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2608310.3479690258</v>
      </c>
      <c r="E79" s="37">
        <f>C79*K79</f>
        <v>2195023.5733333332</v>
      </c>
      <c r="F79" s="38" t="s">
        <v>140</v>
      </c>
      <c r="G79" s="64">
        <v>1.85</v>
      </c>
      <c r="H79" s="40">
        <v>1.6</v>
      </c>
      <c r="I79" s="40">
        <v>1.6</v>
      </c>
      <c r="J79" s="41">
        <f>I79/$J$5</f>
        <v>6.3375121303943127E-2</v>
      </c>
      <c r="K79" s="42">
        <f>I79/$K$4</f>
        <v>5.3333333333333337E-2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-0.13513513513513509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0</v>
      </c>
      <c r="O80" s="56">
        <f>SUM(O76:O79)</f>
        <v>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35050553.590002574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9.5161705582952089E-2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1200</v>
      </c>
      <c r="O82" s="35">
        <v>2883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73254487.955954283</v>
      </c>
      <c r="E83" s="37">
        <f>C83*K83</f>
        <v>61647314.339333333</v>
      </c>
      <c r="F83" s="38" t="s">
        <v>173</v>
      </c>
      <c r="G83" s="38">
        <v>1.44347</v>
      </c>
      <c r="H83" s="40">
        <v>1.041979</v>
      </c>
      <c r="I83" s="40">
        <v>1.004516</v>
      </c>
      <c r="J83" s="41">
        <f>I83/$J$5</f>
        <v>3.9788327094844825E-2</v>
      </c>
      <c r="K83" s="42">
        <f>I83/$K$4</f>
        <v>3.3483866666666667E-2</v>
      </c>
      <c r="L83" s="43">
        <f>I83-H83</f>
        <v>-3.7463000000000024E-2</v>
      </c>
      <c r="M83" s="43">
        <f>((I83-H83)/H83*100)</f>
        <v>-3.5953699642699157</v>
      </c>
      <c r="N83" s="107">
        <v>11742078</v>
      </c>
      <c r="O83" s="35">
        <v>11795125.9025</v>
      </c>
      <c r="P83" s="108">
        <f>(R83)/J83</f>
        <v>5.4689406639615502E-2</v>
      </c>
      <c r="Q83" s="46">
        <f>I83/G83-1</f>
        <v>-0.30409637886481888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11743278</v>
      </c>
      <c r="O84" s="56">
        <f>SUM(O82:O83)</f>
        <v>11798008.9025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99</v>
      </c>
      <c r="B87" s="117">
        <v>0.1</v>
      </c>
      <c r="C87" s="117"/>
      <c r="D87" s="117">
        <v>9.5386233185821236</v>
      </c>
      <c r="E87" s="33" t="s">
        <v>60</v>
      </c>
      <c r="F87" s="118">
        <v>0.57850000000000001</v>
      </c>
      <c r="G87" s="118"/>
      <c r="H87" s="119">
        <v>-14.926470588235299</v>
      </c>
      <c r="L87" s="33" t="s">
        <v>145</v>
      </c>
      <c r="M87" s="45">
        <v>0.68110000000000004</v>
      </c>
      <c r="N87" s="120">
        <v>4.0800733496332606</v>
      </c>
      <c r="O87" s="33" t="s">
        <v>126</v>
      </c>
      <c r="P87" s="118">
        <v>0.2601</v>
      </c>
      <c r="Q87" s="119">
        <v>-10.124395300621975</v>
      </c>
    </row>
    <row r="88" spans="1:38" x14ac:dyDescent="0.25">
      <c r="A88" s="33" t="s">
        <v>101</v>
      </c>
      <c r="B88" s="117">
        <v>6</v>
      </c>
      <c r="C88" s="117"/>
      <c r="D88" s="117">
        <v>3.3997671092578807</v>
      </c>
      <c r="E88" s="33" t="s">
        <v>105</v>
      </c>
      <c r="F88" s="118">
        <v>2.2000000000000002</v>
      </c>
      <c r="G88" s="118"/>
      <c r="H88" s="119">
        <v>-13.725490196078418</v>
      </c>
      <c r="L88" s="33" t="s">
        <v>130</v>
      </c>
      <c r="M88" s="45">
        <v>0.1051</v>
      </c>
      <c r="N88" s="120">
        <v>3.3431661750245825</v>
      </c>
      <c r="O88" s="33" t="s">
        <v>141</v>
      </c>
      <c r="P88" s="118">
        <v>1.0572999999999999</v>
      </c>
      <c r="Q88" s="119">
        <v>-2.0292809488510035</v>
      </c>
    </row>
    <row r="89" spans="1:38" x14ac:dyDescent="0.25">
      <c r="A89" s="33" t="s">
        <v>64</v>
      </c>
      <c r="B89" s="117">
        <v>0.98199999999999998</v>
      </c>
      <c r="C89" s="117"/>
      <c r="D89" s="117">
        <v>0.20408163265306142</v>
      </c>
      <c r="E89" s="33" t="s">
        <v>40</v>
      </c>
      <c r="F89" s="118">
        <v>191.7</v>
      </c>
      <c r="G89" s="118"/>
      <c r="H89" s="119">
        <v>-9.9957744495046814</v>
      </c>
      <c r="L89" s="33" t="s">
        <v>136</v>
      </c>
      <c r="M89" s="45">
        <v>2.0199999999999999E-2</v>
      </c>
      <c r="N89" s="120">
        <v>0.999999999999994</v>
      </c>
      <c r="O89" s="33" t="s">
        <v>132</v>
      </c>
      <c r="P89" s="118">
        <v>1.284</v>
      </c>
      <c r="Q89" s="119">
        <v>-0.80346106304078835</v>
      </c>
    </row>
    <row r="90" spans="1:38" x14ac:dyDescent="0.25">
      <c r="A90" s="33" t="s">
        <v>72</v>
      </c>
      <c r="B90" s="117">
        <v>1.2</v>
      </c>
      <c r="C90" s="117"/>
      <c r="D90" s="117">
        <v>8.5823593731620421E-2</v>
      </c>
      <c r="E90" s="33" t="s">
        <v>117</v>
      </c>
      <c r="F90" s="118">
        <v>1</v>
      </c>
      <c r="G90" s="118"/>
      <c r="H90" s="119">
        <v>-8.466819221967965</v>
      </c>
      <c r="L90" s="33" t="s">
        <v>143</v>
      </c>
      <c r="M90" s="45">
        <v>0.2651</v>
      </c>
      <c r="N90" s="120">
        <v>0.45471769609699841</v>
      </c>
      <c r="O90" s="33" t="s">
        <v>122</v>
      </c>
      <c r="P90" s="118">
        <v>0.14000000000000001</v>
      </c>
      <c r="Q90" s="121">
        <v>-0.2849002849002733</v>
      </c>
    </row>
    <row r="91" spans="1:38" x14ac:dyDescent="0.25">
      <c r="A91" s="33" t="s">
        <v>32</v>
      </c>
      <c r="B91" s="117">
        <v>13.8</v>
      </c>
      <c r="C91" s="117"/>
      <c r="D91" s="117">
        <v>0</v>
      </c>
      <c r="E91" s="33" t="s">
        <v>90</v>
      </c>
      <c r="F91" s="118">
        <v>1.648684</v>
      </c>
      <c r="G91" s="118"/>
      <c r="H91" s="119">
        <v>-2.188804077888995</v>
      </c>
      <c r="L91" s="33"/>
      <c r="M91" s="45"/>
      <c r="N91" s="120"/>
      <c r="O91" s="33"/>
      <c r="P91" s="118"/>
      <c r="Q91" s="121"/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0GHHuW08qIi/f5irIS5Ih2o936IRgd6i/+R0zN7381E2Tf4+pKuEvuYDaNyLfUaIixIU+rmJVlyIPIoMJuiSHA==" saltValue="8f7GdfwO8YpU0LAujvk9ig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2026-04-21T13:44:26Z</dcterms:created>
  <dcterms:modified xsi:type="dcterms:W3CDTF">2026-04-21T13:51:33Z</dcterms:modified>
</cp:coreProperties>
</file>