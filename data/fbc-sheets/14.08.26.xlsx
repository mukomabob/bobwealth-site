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kisit\Downloads\"/>
    </mc:Choice>
  </mc:AlternateContent>
  <xr:revisionPtr revIDLastSave="0" documentId="8_{56D65D30-5EB1-479D-8236-E80854AA8B90}" xr6:coauthVersionLast="47" xr6:coauthVersionMax="47" xr10:uidLastSave="{00000000-0000-0000-0000-000000000000}"/>
  <bookViews>
    <workbookView xWindow="-105" yWindow="0" windowWidth="14610" windowHeight="15585" xr2:uid="{479ED7CE-DA28-42C3-A5B4-FE1011F3EE37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Q71" i="1"/>
  <c r="P71" i="1"/>
  <c r="M71" i="1"/>
  <c r="L71" i="1"/>
  <c r="K71" i="1"/>
  <c r="E71" i="1" s="1"/>
  <c r="J71" i="1"/>
  <c r="D71" i="1"/>
  <c r="M68" i="1"/>
  <c r="L68" i="1"/>
  <c r="D68" i="1"/>
  <c r="O66" i="1"/>
  <c r="N66" i="1"/>
  <c r="Q65" i="1"/>
  <c r="P65" i="1"/>
  <c r="M65" i="1"/>
  <c r="L65" i="1"/>
  <c r="J65" i="1"/>
  <c r="D65" i="1"/>
  <c r="Q64" i="1"/>
  <c r="M64" i="1"/>
  <c r="L64" i="1"/>
  <c r="J64" i="1"/>
  <c r="P64" i="1" s="1"/>
  <c r="D64" i="1"/>
  <c r="Q63" i="1"/>
  <c r="P63" i="1"/>
  <c r="M63" i="1"/>
  <c r="L63" i="1"/>
  <c r="J63" i="1"/>
  <c r="D63" i="1"/>
  <c r="Q62" i="1"/>
  <c r="M62" i="1"/>
  <c r="L62" i="1"/>
  <c r="J62" i="1"/>
  <c r="P62" i="1" s="1"/>
  <c r="D62" i="1"/>
  <c r="Q61" i="1"/>
  <c r="P61" i="1"/>
  <c r="M61" i="1"/>
  <c r="L61" i="1"/>
  <c r="J61" i="1"/>
  <c r="D61" i="1"/>
  <c r="Q60" i="1"/>
  <c r="M60" i="1"/>
  <c r="L60" i="1"/>
  <c r="J60" i="1"/>
  <c r="P60" i="1" s="1"/>
  <c r="D60" i="1"/>
  <c r="Q59" i="1"/>
  <c r="P59" i="1"/>
  <c r="M59" i="1"/>
  <c r="L59" i="1"/>
  <c r="J59" i="1"/>
  <c r="D59" i="1"/>
  <c r="Q58" i="1"/>
  <c r="M58" i="1"/>
  <c r="L58" i="1"/>
  <c r="J58" i="1"/>
  <c r="P58" i="1" s="1"/>
  <c r="D58" i="1"/>
  <c r="Q57" i="1"/>
  <c r="P57" i="1"/>
  <c r="M57" i="1"/>
  <c r="L57" i="1"/>
  <c r="J57" i="1"/>
  <c r="D57" i="1"/>
  <c r="Q56" i="1"/>
  <c r="M56" i="1"/>
  <c r="L56" i="1"/>
  <c r="J56" i="1"/>
  <c r="P56" i="1" s="1"/>
  <c r="D56" i="1"/>
  <c r="Q55" i="1"/>
  <c r="P55" i="1"/>
  <c r="M55" i="1"/>
  <c r="L55" i="1"/>
  <c r="J55" i="1"/>
  <c r="D55" i="1"/>
  <c r="Q54" i="1"/>
  <c r="M54" i="1"/>
  <c r="L54" i="1"/>
  <c r="J54" i="1"/>
  <c r="P54" i="1" s="1"/>
  <c r="D54" i="1"/>
  <c r="Q53" i="1"/>
  <c r="P53" i="1"/>
  <c r="M53" i="1"/>
  <c r="L53" i="1"/>
  <c r="J53" i="1"/>
  <c r="D53" i="1"/>
  <c r="Q52" i="1"/>
  <c r="M52" i="1"/>
  <c r="L52" i="1"/>
  <c r="J52" i="1"/>
  <c r="D52" i="1"/>
  <c r="M51" i="1"/>
  <c r="L51" i="1"/>
  <c r="J51" i="1"/>
  <c r="P51" i="1" s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P38" i="1" s="1"/>
  <c r="D38" i="1"/>
  <c r="Q37" i="1"/>
  <c r="M37" i="1"/>
  <c r="L37" i="1"/>
  <c r="K37" i="1"/>
  <c r="J37" i="1"/>
  <c r="D37" i="1" s="1"/>
  <c r="E37" i="1"/>
  <c r="Q36" i="1"/>
  <c r="P36" i="1"/>
  <c r="M36" i="1"/>
  <c r="L36" i="1"/>
  <c r="K36" i="1"/>
  <c r="J36" i="1"/>
  <c r="E36" i="1"/>
  <c r="D36" i="1"/>
  <c r="Q35" i="1"/>
  <c r="M35" i="1"/>
  <c r="L35" i="1"/>
  <c r="K35" i="1"/>
  <c r="J35" i="1"/>
  <c r="P35" i="1" s="1"/>
  <c r="E35" i="1"/>
  <c r="Q34" i="1"/>
  <c r="M34" i="1"/>
  <c r="L34" i="1"/>
  <c r="K34" i="1"/>
  <c r="E34" i="1" s="1"/>
  <c r="J34" i="1"/>
  <c r="D34" i="1" s="1"/>
  <c r="Q33" i="1"/>
  <c r="P33" i="1"/>
  <c r="M33" i="1"/>
  <c r="L33" i="1"/>
  <c r="K33" i="1"/>
  <c r="J33" i="1"/>
  <c r="E33" i="1"/>
  <c r="D33" i="1"/>
  <c r="Q32" i="1"/>
  <c r="M32" i="1"/>
  <c r="L32" i="1"/>
  <c r="K32" i="1"/>
  <c r="J32" i="1"/>
  <c r="P32" i="1" s="1"/>
  <c r="E32" i="1"/>
  <c r="Q31" i="1"/>
  <c r="M31" i="1"/>
  <c r="L31" i="1"/>
  <c r="K31" i="1"/>
  <c r="E31" i="1" s="1"/>
  <c r="J31" i="1"/>
  <c r="D31" i="1" s="1"/>
  <c r="K30" i="1"/>
  <c r="J30" i="1"/>
  <c r="D30" i="1" s="1"/>
  <c r="E30" i="1"/>
  <c r="Q29" i="1"/>
  <c r="M29" i="1"/>
  <c r="L29" i="1"/>
  <c r="K29" i="1"/>
  <c r="E29" i="1" s="1"/>
  <c r="J29" i="1"/>
  <c r="D29" i="1" s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Q26" i="1"/>
  <c r="M26" i="1"/>
  <c r="L26" i="1"/>
  <c r="K26" i="1"/>
  <c r="J26" i="1"/>
  <c r="D26" i="1" s="1"/>
  <c r="E26" i="1"/>
  <c r="Q25" i="1"/>
  <c r="P25" i="1"/>
  <c r="M25" i="1"/>
  <c r="L25" i="1"/>
  <c r="K25" i="1"/>
  <c r="J25" i="1"/>
  <c r="E25" i="1"/>
  <c r="D25" i="1"/>
  <c r="R24" i="1"/>
  <c r="Q24" i="1"/>
  <c r="M24" i="1"/>
  <c r="L24" i="1"/>
  <c r="K24" i="1"/>
  <c r="E24" i="1" s="1"/>
  <c r="J24" i="1"/>
  <c r="P24" i="1" s="1"/>
  <c r="D24" i="1"/>
  <c r="Q23" i="1"/>
  <c r="P23" i="1"/>
  <c r="M23" i="1"/>
  <c r="L23" i="1"/>
  <c r="K23" i="1"/>
  <c r="J23" i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P17" i="1" s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P11" i="1" s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D9" i="1" s="1"/>
  <c r="E9" i="1"/>
  <c r="P26" i="1" l="1"/>
  <c r="P29" i="1"/>
  <c r="P31" i="1"/>
  <c r="P34" i="1"/>
  <c r="D51" i="1"/>
  <c r="P84" i="1"/>
  <c r="D27" i="1"/>
  <c r="D32" i="1"/>
  <c r="D35" i="1"/>
  <c r="D85" i="1"/>
  <c r="P9" i="1"/>
  <c r="P12" i="1"/>
  <c r="P15" i="1"/>
  <c r="P39" i="1"/>
  <c r="P42" i="1"/>
  <c r="Q51" i="1"/>
  <c r="D72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<sst xmlns="http://schemas.openxmlformats.org/spreadsheetml/2006/main" count="270" uniqueCount="185">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</sst>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D01AB4A3-16B6-4C8C-82C8-D712CBE6266C}"/>
    <cellStyle name="Comma 5 2 2 2 2 2 2 2 2 2 2" xfId="5" xr:uid="{88603335-2766-4E54-8F55-DAEF7D7CBD3F}"/>
    <cellStyle name="Comma 6 2 2 2 2 2" xfId="6" xr:uid="{15778B1E-7D2D-46EE-8CF2-FB408B7B719F}"/>
    <cellStyle name="Hyperlink 2" xfId="9" xr:uid="{122342C6-5149-4585-9DD1-7F4A3A289886}"/>
    <cellStyle name="Normal" xfId="0" builtinId="0"/>
    <cellStyle name="Normal 2" xfId="3" xr:uid="{206630AF-FD19-487A-9E73-98E1312E8474}"/>
    <cellStyle name="Normal 20" xfId="8" xr:uid="{2EA8C2C9-356D-4B18-82BB-32B3A68482E5}"/>
    <cellStyle name="Percent" xfId="2" builtinId="5"/>
    <cellStyle name="Percent 3" xfId="7" xr:uid="{315A475A-F848-4211-B6FC-4832D8F8E87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1C8BA5EE-3471-4E58-AE7A-802B9A30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1292E40-C354-4AC2-A947-FBBCF2901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D328-56DB-4A13-B523-5E38B547745A}">
  <dimension ref="A1:II107"/>
  <sheetViews>
    <sheetView tabSelected="1" zoomScale="55" zoomScaleNormal="55" workbookViewId="0">
      <selection activeCell="Z24" sqref="Z24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26.785299999999999</v>
      </c>
      <c r="K5" s="22"/>
      <c r="L5" s="145" t="s">
        <v>12</v>
      </c>
      <c r="M5" s="146"/>
      <c r="N5" s="23" t="s">
        <v>13</v>
      </c>
      <c r="O5" s="24"/>
      <c r="P5" s="24"/>
      <c r="Q5" s="25"/>
    </row>
    <row r="6" spans="1:19" ht="6.6" customHeight="1" x14ac:dyDescent="0.25">
      <c r="A6" s="135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70696599.838094041</v>
      </c>
      <c r="E9" s="39">
        <f t="shared" ref="E9:E45" si="1">C9*K9</f>
        <v>60115226.528358735</v>
      </c>
      <c r="F9" s="40" t="s">
        <v>34</v>
      </c>
      <c r="G9" s="41">
        <v>8.9894999999999996</v>
      </c>
      <c r="H9" s="42">
        <v>15</v>
      </c>
      <c r="I9" s="43">
        <v>15.024700000000001</v>
      </c>
      <c r="J9" s="44">
        <f>(I9/$J$5)</f>
        <v>0.56093080906318027</v>
      </c>
      <c r="K9" s="45">
        <f t="shared" ref="K9:K17" si="2">I9/$K$4</f>
        <v>0.47697460317460322</v>
      </c>
      <c r="L9" s="46">
        <f t="shared" ref="L9:L17" si="3">I9-H9</f>
        <v>2.4700000000001054E-2</v>
      </c>
      <c r="M9" s="46">
        <f t="shared" ref="M9:M17" si="4">((I9-H9)/H9)*100</f>
        <v>0.16466666666667371</v>
      </c>
      <c r="N9" s="47">
        <v>0</v>
      </c>
      <c r="O9" s="37">
        <v>0</v>
      </c>
      <c r="P9" s="48">
        <f t="shared" ref="P9:P17" si="5">(R9)/J9</f>
        <v>2.6741266048573343E-2</v>
      </c>
      <c r="Q9" s="49">
        <f t="shared" ref="Q9:Q17" si="6">I9/G9-1</f>
        <v>0.67136103231547928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4617535.1860908782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7.4999999999999997E-2</v>
      </c>
      <c r="I10" s="43">
        <v>7.5999999999999998E-2</v>
      </c>
      <c r="J10" s="44">
        <f t="shared" ref="J10:J17" si="7">I10/$J$5</f>
        <v>2.8373772181009733E-3</v>
      </c>
      <c r="K10" s="45">
        <f t="shared" si="2"/>
        <v>2.4126984126984128E-3</v>
      </c>
      <c r="L10" s="46">
        <f t="shared" si="3"/>
        <v>1.0000000000000009E-3</v>
      </c>
      <c r="M10" s="46">
        <f t="shared" si="4"/>
        <v>1.3333333333333346</v>
      </c>
      <c r="N10" s="47">
        <v>6000</v>
      </c>
      <c r="O10" s="37">
        <v>456</v>
      </c>
      <c r="P10" s="51">
        <f t="shared" si="5"/>
        <v>0</v>
      </c>
      <c r="Q10" s="49">
        <f t="shared" si="6"/>
        <v>1.40506329113924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3589096.219941535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8.2134603681870283E-3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146277556.21073872</v>
      </c>
      <c r="E12" s="39">
        <f t="shared" si="1"/>
        <v>124383753.21814287</v>
      </c>
      <c r="F12" s="40" t="s">
        <v>34</v>
      </c>
      <c r="G12" s="41">
        <v>97.381</v>
      </c>
      <c r="H12" s="42">
        <v>189.8895</v>
      </c>
      <c r="I12" s="43">
        <v>189.8895</v>
      </c>
      <c r="J12" s="44">
        <f t="shared" si="7"/>
        <v>7.0893176481129574</v>
      </c>
      <c r="K12" s="45">
        <f t="shared" si="2"/>
        <v>6.0282380952380956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0.94996457214446339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7680025.7379980814</v>
      </c>
      <c r="E13" s="39">
        <f t="shared" si="1"/>
        <v>6530533.1238095239</v>
      </c>
      <c r="F13" s="40" t="s">
        <v>44</v>
      </c>
      <c r="G13" s="41">
        <v>13.6</v>
      </c>
      <c r="H13" s="42">
        <v>23.55</v>
      </c>
      <c r="I13" s="43">
        <v>23.55</v>
      </c>
      <c r="J13" s="44">
        <f t="shared" si="7"/>
        <v>0.87921359850365688</v>
      </c>
      <c r="K13" s="45">
        <f t="shared" si="2"/>
        <v>0.74761904761904763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0.73161764705882359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723446296.32751918</v>
      </c>
      <c r="E14" s="39">
        <f t="shared" si="1"/>
        <v>615165907.33401585</v>
      </c>
      <c r="F14" s="40" t="s">
        <v>47</v>
      </c>
      <c r="G14" s="41">
        <v>11.5</v>
      </c>
      <c r="H14" s="42">
        <v>34</v>
      </c>
      <c r="I14" s="43">
        <v>37.075099999999999</v>
      </c>
      <c r="J14" s="44">
        <f t="shared" si="7"/>
        <v>1.3841584749844131</v>
      </c>
      <c r="K14" s="45">
        <f t="shared" si="2"/>
        <v>1.1769873015873016</v>
      </c>
      <c r="L14" s="46">
        <f t="shared" si="3"/>
        <v>3.0750999999999991</v>
      </c>
      <c r="M14" s="46">
        <f t="shared" si="4"/>
        <v>9.0444117647058793</v>
      </c>
      <c r="N14" s="47">
        <v>127500</v>
      </c>
      <c r="O14" s="37">
        <v>4727070</v>
      </c>
      <c r="P14" s="51">
        <f t="shared" si="5"/>
        <v>0</v>
      </c>
      <c r="Q14" s="49">
        <f t="shared" si="6"/>
        <v>2.2239217391304349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23753523.387828398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0.22400346458691894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55879465.422084436</v>
      </c>
      <c r="E16" s="39">
        <f t="shared" si="1"/>
        <v>47515817.306989148</v>
      </c>
      <c r="F16" s="40" t="s">
        <v>34</v>
      </c>
      <c r="G16" s="41">
        <v>1.9</v>
      </c>
      <c r="H16" s="42">
        <v>4.9000000000000004</v>
      </c>
      <c r="I16" s="43">
        <v>4.1808510000000005</v>
      </c>
      <c r="J16" s="44">
        <f t="shared" si="7"/>
        <v>0.15608751815361413</v>
      </c>
      <c r="K16" s="45">
        <f t="shared" si="2"/>
        <v>0.13272542857142858</v>
      </c>
      <c r="L16" s="46">
        <f t="shared" si="3"/>
        <v>-0.71914899999999982</v>
      </c>
      <c r="M16" s="46">
        <f t="shared" si="4"/>
        <v>-14.676510204081627</v>
      </c>
      <c r="N16" s="47">
        <v>14400</v>
      </c>
      <c r="O16" s="37">
        <v>60204.25</v>
      </c>
      <c r="P16" s="51">
        <f t="shared" si="5"/>
        <v>0.32033310921628155</v>
      </c>
      <c r="Q16" s="49">
        <f t="shared" si="6"/>
        <v>1.2004478947368424</v>
      </c>
      <c r="R16" s="50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1630727157.3831725</v>
      </c>
      <c r="E17" s="39">
        <f t="shared" si="1"/>
        <v>1386651305.671603</v>
      </c>
      <c r="F17" s="40" t="s">
        <v>34</v>
      </c>
      <c r="G17" s="41">
        <v>20.701700000000002</v>
      </c>
      <c r="H17" s="42">
        <v>32.443600000000004</v>
      </c>
      <c r="I17" s="43">
        <v>32.408899999999996</v>
      </c>
      <c r="J17" s="44">
        <f t="shared" si="7"/>
        <v>1.209950980575166</v>
      </c>
      <c r="K17" s="45">
        <f t="shared" si="2"/>
        <v>1.0288539682539681</v>
      </c>
      <c r="L17" s="46">
        <f t="shared" si="3"/>
        <v>-3.4700000000007947E-2</v>
      </c>
      <c r="M17" s="46">
        <f t="shared" si="4"/>
        <v>-0.1069548385506169</v>
      </c>
      <c r="N17" s="47">
        <v>347100</v>
      </c>
      <c r="O17" s="37">
        <v>11249130</v>
      </c>
      <c r="P17" s="48">
        <f t="shared" si="5"/>
        <v>0</v>
      </c>
      <c r="Q17" s="49">
        <f t="shared" si="6"/>
        <v>0.56551877382050719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338668001.27308637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0.50400779532056761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3273558.6032263967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3.0053798165411628E-2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86315227.046178311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0.12506860106102974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2103459.9356736718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8"/>
        <v>3.9200606302710814E-3</v>
      </c>
      <c r="K23" s="45">
        <f t="shared" si="9"/>
        <v>3.3333333333333331E-3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77466784.504933685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0.4013395407182298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3.737483720930232E-2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107106988.35928662</v>
      </c>
      <c r="E25" s="39">
        <f t="shared" si="1"/>
        <v>91075962.390476182</v>
      </c>
      <c r="F25" s="40" t="s">
        <v>66</v>
      </c>
      <c r="G25" s="41">
        <v>1.6675</v>
      </c>
      <c r="H25" s="42">
        <v>1.7</v>
      </c>
      <c r="I25" s="43">
        <v>1.7</v>
      </c>
      <c r="J25" s="44">
        <f t="shared" si="8"/>
        <v>6.3467648299627033E-2</v>
      </c>
      <c r="K25" s="45">
        <f t="shared" si="9"/>
        <v>5.3968253968253964E-2</v>
      </c>
      <c r="L25" s="46">
        <f t="shared" si="10"/>
        <v>0</v>
      </c>
      <c r="M25" s="46">
        <f t="shared" si="12"/>
        <v>0</v>
      </c>
      <c r="N25" s="47">
        <v>1500</v>
      </c>
      <c r="O25" s="37">
        <v>2550</v>
      </c>
      <c r="P25" s="51">
        <f t="shared" si="13"/>
        <v>0</v>
      </c>
      <c r="Q25" s="49">
        <f t="shared" si="11"/>
        <v>1.9490254872563728E-2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22343235.562043361</v>
      </c>
      <c r="E26" s="39">
        <f t="shared" si="1"/>
        <v>18999056.111111108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9.3334776911216236E-2</v>
      </c>
      <c r="K26" s="45">
        <f t="shared" si="9"/>
        <v>7.9365079365079361E-2</v>
      </c>
      <c r="L26" s="46">
        <f t="shared" si="10"/>
        <v>0</v>
      </c>
      <c r="M26" s="46">
        <f t="shared" si="12"/>
        <v>0</v>
      </c>
      <c r="N26" s="47">
        <v>0</v>
      </c>
      <c r="O26" s="37">
        <v>0</v>
      </c>
      <c r="P26" s="51">
        <f t="shared" si="13"/>
        <v>0</v>
      </c>
      <c r="Q26" s="49">
        <f t="shared" si="11"/>
        <v>0.38927479855515434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23907772.266877729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9.3334776911216236E-2</v>
      </c>
      <c r="K27" s="45">
        <f t="shared" si="9"/>
        <v>7.9365079365079361E-2</v>
      </c>
      <c r="L27" s="46">
        <f t="shared" si="10"/>
        <v>0</v>
      </c>
      <c r="M27" s="46">
        <f t="shared" si="12"/>
        <v>0</v>
      </c>
      <c r="N27" s="47">
        <v>0</v>
      </c>
      <c r="O27" s="37">
        <v>0</v>
      </c>
      <c r="P27" s="51">
        <f t="shared" si="13"/>
        <v>0</v>
      </c>
      <c r="Q27" s="49">
        <f t="shared" si="11"/>
        <v>-0.20284094731830904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27068741.171818126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3.5821887378524792E-2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94059180.643182352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0.20942546844724533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13000492.84985981</v>
      </c>
      <c r="E31" s="39">
        <f t="shared" si="1"/>
        <v>11054669.877185713</v>
      </c>
      <c r="F31" s="40" t="s">
        <v>39</v>
      </c>
      <c r="G31" s="41">
        <v>1.4</v>
      </c>
      <c r="H31" s="42">
        <v>1.3400049999999999</v>
      </c>
      <c r="I31" s="43">
        <v>1.3400049999999999</v>
      </c>
      <c r="J31" s="44">
        <f t="shared" si="8"/>
        <v>5.0027627093965715E-2</v>
      </c>
      <c r="K31" s="45">
        <f t="shared" si="9"/>
        <v>4.2539841269841269E-2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-4.2853571428571491E-2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3883851.3354339879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8"/>
        <v>3.1827158926724733E-2</v>
      </c>
      <c r="K32" s="45">
        <f t="shared" si="9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148921512.25633273</v>
      </c>
      <c r="E33" s="39">
        <f t="shared" si="1"/>
        <v>126631980.38855712</v>
      </c>
      <c r="F33" s="40" t="s">
        <v>92</v>
      </c>
      <c r="G33" s="41">
        <v>1.44</v>
      </c>
      <c r="H33" s="42">
        <v>1.6495240000000002</v>
      </c>
      <c r="I33" s="43">
        <v>1.5984430000000001</v>
      </c>
      <c r="J33" s="44">
        <f t="shared" si="8"/>
        <v>5.9676128324118081E-2</v>
      </c>
      <c r="K33" s="45">
        <f t="shared" si="9"/>
        <v>5.0744222222222225E-2</v>
      </c>
      <c r="L33" s="46">
        <f t="shared" si="14"/>
        <v>-5.1081000000000154E-2</v>
      </c>
      <c r="M33" s="46">
        <f t="shared" si="15"/>
        <v>-3.0967115361765059</v>
      </c>
      <c r="N33" s="47">
        <v>24400</v>
      </c>
      <c r="O33" s="37">
        <v>39002</v>
      </c>
      <c r="P33" s="51">
        <f t="shared" si="16"/>
        <v>0</v>
      </c>
      <c r="Q33" s="49">
        <f t="shared" si="17"/>
        <v>0.11002986111111124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46514991.85915409</v>
      </c>
      <c r="E34" s="39">
        <f t="shared" si="1"/>
        <v>39552952.74428571</v>
      </c>
      <c r="F34" s="40" t="s">
        <v>34</v>
      </c>
      <c r="G34" s="41">
        <v>3.6056249999999999</v>
      </c>
      <c r="H34" s="42">
        <v>4.915</v>
      </c>
      <c r="I34" s="43">
        <v>4.915</v>
      </c>
      <c r="J34" s="44">
        <f t="shared" si="8"/>
        <v>0.18349617140745111</v>
      </c>
      <c r="K34" s="45">
        <f t="shared" si="9"/>
        <v>0.15603174603174602</v>
      </c>
      <c r="L34" s="46">
        <f t="shared" si="14"/>
        <v>0</v>
      </c>
      <c r="M34" s="46">
        <f t="shared" si="15"/>
        <v>0</v>
      </c>
      <c r="N34" s="47">
        <v>0</v>
      </c>
      <c r="O34" s="37">
        <v>0</v>
      </c>
      <c r="P34" s="51">
        <f t="shared" si="16"/>
        <v>0</v>
      </c>
      <c r="Q34" s="49">
        <f t="shared" si="17"/>
        <v>0.36314785924770332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6513203.5135690114</v>
      </c>
      <c r="E35" s="39">
        <f t="shared" si="1"/>
        <v>5538352.7006984139</v>
      </c>
      <c r="F35" s="40" t="s">
        <v>34</v>
      </c>
      <c r="G35" s="41">
        <v>2.5099999999999997E-2</v>
      </c>
      <c r="H35" s="42">
        <v>3.2467000000000003E-2</v>
      </c>
      <c r="I35" s="43">
        <v>3.7000000000000005E-2</v>
      </c>
      <c r="J35" s="44">
        <f t="shared" si="8"/>
        <v>1.3813546982860004E-3</v>
      </c>
      <c r="K35" s="45">
        <f t="shared" si="9"/>
        <v>1.1746031746031748E-3</v>
      </c>
      <c r="L35" s="46">
        <f t="shared" si="14"/>
        <v>4.5330000000000023E-3</v>
      </c>
      <c r="M35" s="46">
        <f t="shared" si="15"/>
        <v>13.961868974651189</v>
      </c>
      <c r="N35" s="47">
        <v>1000</v>
      </c>
      <c r="O35" s="37">
        <v>37</v>
      </c>
      <c r="P35" s="51">
        <f t="shared" si="16"/>
        <v>0</v>
      </c>
      <c r="Q35" s="49">
        <f t="shared" si="17"/>
        <v>0.47410358565737099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90177021.269128963</v>
      </c>
      <c r="E36" s="39">
        <f t="shared" si="1"/>
        <v>76679954.533333316</v>
      </c>
      <c r="F36" s="40" t="s">
        <v>92</v>
      </c>
      <c r="G36" s="41">
        <v>0.61</v>
      </c>
      <c r="H36" s="42">
        <v>4.5994999999999999</v>
      </c>
      <c r="I36" s="43">
        <v>4.5999999999999996</v>
      </c>
      <c r="J36" s="44">
        <f t="shared" si="8"/>
        <v>0.17173598951663785</v>
      </c>
      <c r="K36" s="45">
        <f t="shared" si="9"/>
        <v>0.14603174603174601</v>
      </c>
      <c r="L36" s="46">
        <f t="shared" si="14"/>
        <v>4.9999999999972289E-4</v>
      </c>
      <c r="M36" s="46">
        <f t="shared" si="15"/>
        <v>1.0870746820300529E-2</v>
      </c>
      <c r="N36" s="47">
        <v>600</v>
      </c>
      <c r="O36" s="37">
        <v>2760</v>
      </c>
      <c r="P36" s="51">
        <f t="shared" si="16"/>
        <v>0</v>
      </c>
      <c r="Q36" s="49">
        <f t="shared" si="17"/>
        <v>6.5409836065573765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46422275.894164592</v>
      </c>
      <c r="E37" s="39">
        <f t="shared" si="1"/>
        <v>39474113.857395783</v>
      </c>
      <c r="F37" s="40" t="s">
        <v>56</v>
      </c>
      <c r="G37" s="41">
        <v>0.11650199999999999</v>
      </c>
      <c r="H37" s="42">
        <v>0.28025</v>
      </c>
      <c r="I37" s="43">
        <v>0.29642299999999999</v>
      </c>
      <c r="J37" s="44">
        <f t="shared" si="8"/>
        <v>1.1066629830541378E-2</v>
      </c>
      <c r="K37" s="45">
        <f t="shared" si="9"/>
        <v>9.4102539682539687E-3</v>
      </c>
      <c r="L37" s="46">
        <f t="shared" si="14"/>
        <v>1.6172999999999993E-2</v>
      </c>
      <c r="M37" s="46">
        <f t="shared" si="15"/>
        <v>5.7709188224799268</v>
      </c>
      <c r="N37" s="47">
        <v>77600</v>
      </c>
      <c r="O37" s="37">
        <v>23002.400000000001</v>
      </c>
      <c r="P37" s="51">
        <v>0</v>
      </c>
      <c r="Q37" s="49">
        <f t="shared" si="17"/>
        <v>1.5443597534806268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20140368.499699462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4.6667388455608116E-3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7155179.3931746148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6.7201039376075689E-2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3850025.30582073</v>
      </c>
      <c r="E40" s="39">
        <f t="shared" si="1"/>
        <v>3273780.4071111106</v>
      </c>
      <c r="F40" s="40" t="s">
        <v>39</v>
      </c>
      <c r="G40" s="41">
        <v>0.03</v>
      </c>
      <c r="H40" s="42">
        <v>5.7999999999999996E-2</v>
      </c>
      <c r="I40" s="43">
        <v>5.7999999999999996E-2</v>
      </c>
      <c r="J40" s="44">
        <f t="shared" si="8"/>
        <v>2.1653668243402165E-3</v>
      </c>
      <c r="K40" s="45">
        <f t="shared" si="9"/>
        <v>1.8412698412698411E-3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0.93333333333333335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45634365.174024791</v>
      </c>
      <c r="E41" s="39">
        <f t="shared" si="1"/>
        <v>38804132.11097797</v>
      </c>
      <c r="F41" s="40" t="s">
        <v>47</v>
      </c>
      <c r="G41" s="41">
        <v>4.5</v>
      </c>
      <c r="H41" s="42">
        <v>7</v>
      </c>
      <c r="I41" s="43">
        <v>6.9771429999999999</v>
      </c>
      <c r="J41" s="44">
        <f t="shared" si="8"/>
        <v>0.26048403415306159</v>
      </c>
      <c r="K41" s="45">
        <f t="shared" si="9"/>
        <v>0.22149660317460318</v>
      </c>
      <c r="L41" s="46">
        <f t="shared" si="14"/>
        <v>-2.2857000000000127E-2</v>
      </c>
      <c r="M41" s="46">
        <f t="shared" si="15"/>
        <v>-0.32652857142857322</v>
      </c>
      <c r="N41" s="47">
        <v>3500</v>
      </c>
      <c r="O41" s="37">
        <v>24420</v>
      </c>
      <c r="P41" s="51">
        <f t="shared" si="18"/>
        <v>0</v>
      </c>
      <c r="Q41" s="49">
        <f t="shared" si="17"/>
        <v>0.55047622222222214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311.36772401279808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6.7201039376075691E-7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1720346.6080275376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2.9867128611589192E-3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64487157.011495106</v>
      </c>
      <c r="E44" s="39">
        <f t="shared" si="1"/>
        <v>54835169.73650793</v>
      </c>
      <c r="F44" s="40" t="s">
        <v>47</v>
      </c>
      <c r="G44" s="41">
        <v>0.9998999999999999</v>
      </c>
      <c r="H44" s="42">
        <v>0.95</v>
      </c>
      <c r="I44" s="43">
        <v>0.95</v>
      </c>
      <c r="J44" s="44">
        <f t="shared" si="8"/>
        <v>3.5467215226262165E-2</v>
      </c>
      <c r="K44" s="45">
        <f t="shared" si="9"/>
        <v>3.0158730158730156E-2</v>
      </c>
      <c r="L44" s="46">
        <f t="shared" si="14"/>
        <v>0</v>
      </c>
      <c r="M44" s="46">
        <f t="shared" si="15"/>
        <v>0</v>
      </c>
      <c r="N44" s="47">
        <v>100</v>
      </c>
      <c r="O44" s="37">
        <v>95</v>
      </c>
      <c r="P44" s="51">
        <f t="shared" si="18"/>
        <v>0</v>
      </c>
      <c r="Q44" s="49">
        <f t="shared" si="17"/>
        <v>-4.9904990499049839E-2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8052786.1177586224</v>
      </c>
      <c r="E45" s="39">
        <f t="shared" si="1"/>
        <v>6847501.333333333</v>
      </c>
      <c r="F45" s="40" t="s">
        <v>47</v>
      </c>
      <c r="G45" s="41">
        <v>1.4503460000000001</v>
      </c>
      <c r="H45" s="42">
        <v>1.85</v>
      </c>
      <c r="I45" s="43">
        <v>2.1</v>
      </c>
      <c r="J45" s="44">
        <f t="shared" si="8"/>
        <v>7.8401212605421641E-2</v>
      </c>
      <c r="K45" s="45">
        <f t="shared" si="9"/>
        <v>6.6666666666666666E-2</v>
      </c>
      <c r="L45" s="46">
        <f t="shared" si="14"/>
        <v>0.25</v>
      </c>
      <c r="M45" s="46">
        <f t="shared" si="15"/>
        <v>13.513513513513512</v>
      </c>
      <c r="N45" s="47">
        <v>100</v>
      </c>
      <c r="O45" s="37">
        <v>210</v>
      </c>
      <c r="P45" s="51">
        <v>0</v>
      </c>
      <c r="Q45" s="49">
        <f t="shared" si="17"/>
        <v>0.44793035592886099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603800</v>
      </c>
      <c r="O47" s="61">
        <f>SUM(O9:O46)</f>
        <v>16128936.65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1" t="s">
        <v>118</v>
      </c>
      <c r="B49" s="132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4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5" si="19">C50*J50</f>
        <v>73804400.964000002</v>
      </c>
      <c r="E50" s="39">
        <v>0</v>
      </c>
      <c r="F50" s="40" t="s">
        <v>92</v>
      </c>
      <c r="G50" s="70">
        <v>0.1</v>
      </c>
      <c r="H50" s="42">
        <v>0.14019999999999999</v>
      </c>
      <c r="I50" s="42">
        <v>0.13300000000000001</v>
      </c>
      <c r="J50" s="44">
        <f t="shared" ref="J50:J65" si="20">I50</f>
        <v>0.13300000000000001</v>
      </c>
      <c r="K50" s="39">
        <v>0</v>
      </c>
      <c r="L50" s="46">
        <f t="shared" ref="L50:L65" si="21">I50-H50</f>
        <v>-7.1999999999999842E-3</v>
      </c>
      <c r="M50" s="46">
        <f t="shared" ref="M50:M65" si="22">((I50-H50)/H50)*100</f>
        <v>-5.1355206847360799</v>
      </c>
      <c r="N50" s="47">
        <v>124340</v>
      </c>
      <c r="O50" s="37">
        <v>16538.78</v>
      </c>
      <c r="P50" s="71">
        <f>(R50)/J50</f>
        <v>0</v>
      </c>
      <c r="Q50" s="49">
        <f t="shared" ref="Q50:Q65" si="23">J50/G50-1</f>
        <v>0.33000000000000007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42307400</v>
      </c>
      <c r="E51" s="39">
        <v>0</v>
      </c>
      <c r="F51" s="40" t="s">
        <v>39</v>
      </c>
      <c r="G51" s="70">
        <v>39.9</v>
      </c>
      <c r="H51" s="42">
        <v>40</v>
      </c>
      <c r="I51" s="42">
        <v>40</v>
      </c>
      <c r="J51" s="44">
        <f t="shared" si="20"/>
        <v>40</v>
      </c>
      <c r="K51" s="39">
        <v>0</v>
      </c>
      <c r="L51" s="46">
        <f t="shared" si="21"/>
        <v>0</v>
      </c>
      <c r="M51" s="46">
        <f t="shared" si="22"/>
        <v>0</v>
      </c>
      <c r="N51" s="47">
        <v>0</v>
      </c>
      <c r="O51" s="37">
        <v>0</v>
      </c>
      <c r="P51" s="72">
        <f>(R51)/J51</f>
        <v>1.4000000000000002E-2</v>
      </c>
      <c r="Q51" s="49">
        <f t="shared" si="23"/>
        <v>2.5062656641603454E-3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681614777.64339995</v>
      </c>
      <c r="E52" s="39"/>
      <c r="F52" s="40" t="s">
        <v>56</v>
      </c>
      <c r="G52" s="70">
        <v>0.33</v>
      </c>
      <c r="H52" s="42">
        <v>0.26179999999999998</v>
      </c>
      <c r="I52" s="42">
        <v>0.2278</v>
      </c>
      <c r="J52" s="44">
        <f t="shared" si="20"/>
        <v>0.2278</v>
      </c>
      <c r="K52" s="39">
        <v>0</v>
      </c>
      <c r="L52" s="46">
        <f t="shared" si="21"/>
        <v>-3.3999999999999975E-2</v>
      </c>
      <c r="M52" s="46">
        <f t="shared" si="22"/>
        <v>-12.987012987012978</v>
      </c>
      <c r="N52" s="47">
        <v>138440</v>
      </c>
      <c r="O52" s="37">
        <v>31536.25</v>
      </c>
      <c r="P52" s="71">
        <v>0</v>
      </c>
      <c r="Q52" s="49">
        <f t="shared" si="23"/>
        <v>-0.30969696969696969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12194818.859999999</v>
      </c>
      <c r="E53" s="39">
        <v>0</v>
      </c>
      <c r="F53" s="40" t="s">
        <v>34</v>
      </c>
      <c r="G53" s="70">
        <v>2.3E-2</v>
      </c>
      <c r="H53" s="42">
        <v>0.02</v>
      </c>
      <c r="I53" s="42">
        <v>0.02</v>
      </c>
      <c r="J53" s="44">
        <f t="shared" si="20"/>
        <v>0.02</v>
      </c>
      <c r="K53" s="39">
        <v>0</v>
      </c>
      <c r="L53" s="46">
        <f t="shared" si="21"/>
        <v>0</v>
      </c>
      <c r="M53" s="46">
        <f t="shared" si="22"/>
        <v>0</v>
      </c>
      <c r="N53" s="47">
        <v>0</v>
      </c>
      <c r="O53" s="37">
        <v>0</v>
      </c>
      <c r="P53" s="71">
        <f t="shared" ref="P53:P65" si="24">(R53)/J53</f>
        <v>0</v>
      </c>
      <c r="Q53" s="49">
        <f t="shared" si="23"/>
        <v>-0.13043478260869557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325485737.31449997</v>
      </c>
      <c r="E54" s="39">
        <v>0</v>
      </c>
      <c r="F54" s="40" t="s">
        <v>47</v>
      </c>
      <c r="G54" s="70">
        <v>9.0200000000000002E-2</v>
      </c>
      <c r="H54" s="42">
        <v>0.15010000000000001</v>
      </c>
      <c r="I54" s="42">
        <v>0.15049999999999999</v>
      </c>
      <c r="J54" s="44">
        <f t="shared" si="20"/>
        <v>0.15049999999999999</v>
      </c>
      <c r="K54" s="39">
        <v>0</v>
      </c>
      <c r="L54" s="46">
        <f t="shared" si="21"/>
        <v>3.999999999999837E-4</v>
      </c>
      <c r="M54" s="73">
        <f t="shared" si="22"/>
        <v>0.26648900732843683</v>
      </c>
      <c r="N54" s="47">
        <v>2028</v>
      </c>
      <c r="O54" s="37">
        <v>305.2</v>
      </c>
      <c r="P54" s="71">
        <f t="shared" si="24"/>
        <v>0</v>
      </c>
      <c r="Q54" s="49">
        <f t="shared" si="23"/>
        <v>0.66851441241685139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844538546.27999997</v>
      </c>
      <c r="E55" s="39">
        <v>0</v>
      </c>
      <c r="F55" s="40" t="s">
        <v>34</v>
      </c>
      <c r="G55" s="70">
        <v>0.95750000000000002</v>
      </c>
      <c r="H55" s="42">
        <v>1.4083000000000001</v>
      </c>
      <c r="I55" s="42">
        <v>1.4663999999999999</v>
      </c>
      <c r="J55" s="44">
        <f t="shared" si="20"/>
        <v>1.4663999999999999</v>
      </c>
      <c r="K55" s="39">
        <v>0</v>
      </c>
      <c r="L55" s="46">
        <f t="shared" si="21"/>
        <v>5.8099999999999818E-2</v>
      </c>
      <c r="M55" s="46">
        <f t="shared" si="22"/>
        <v>4.1255414329333107</v>
      </c>
      <c r="N55" s="47">
        <v>102</v>
      </c>
      <c r="O55" s="37">
        <v>149.57</v>
      </c>
      <c r="P55" s="72">
        <f t="shared" si="24"/>
        <v>3.2051282051282055E-2</v>
      </c>
      <c r="Q55" s="49">
        <f t="shared" si="23"/>
        <v>0.53148825065274141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50</v>
      </c>
      <c r="O56" s="37">
        <v>7.5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17263830.68</v>
      </c>
      <c r="E57" s="39">
        <v>0</v>
      </c>
      <c r="F57" s="40" t="s">
        <v>92</v>
      </c>
      <c r="G57" s="70">
        <v>1.6799999999999999E-2</v>
      </c>
      <c r="H57" s="42">
        <v>1.9699999999999999E-2</v>
      </c>
      <c r="I57" s="42">
        <v>1.8100000000000002E-2</v>
      </c>
      <c r="J57" s="44">
        <f t="shared" si="20"/>
        <v>1.8100000000000002E-2</v>
      </c>
      <c r="K57" s="39">
        <v>0</v>
      </c>
      <c r="L57" s="46">
        <f t="shared" si="21"/>
        <v>-1.5999999999999973E-3</v>
      </c>
      <c r="M57" s="73">
        <f t="shared" si="22"/>
        <v>-8.1218274111674997</v>
      </c>
      <c r="N57" s="47">
        <v>142936</v>
      </c>
      <c r="O57" s="37">
        <v>2585.19</v>
      </c>
      <c r="P57" s="71">
        <f t="shared" si="24"/>
        <v>0</v>
      </c>
      <c r="Q57" s="49">
        <f t="shared" si="23"/>
        <v>7.738095238095255E-2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16.166699999999999</v>
      </c>
      <c r="I58" s="42">
        <v>17</v>
      </c>
      <c r="J58" s="44">
        <f t="shared" si="20"/>
        <v>17</v>
      </c>
      <c r="K58" s="39">
        <v>0</v>
      </c>
      <c r="L58" s="46">
        <f t="shared" si="21"/>
        <v>0.83330000000000126</v>
      </c>
      <c r="M58" s="46">
        <f t="shared" si="22"/>
        <v>5.1544223620157563</v>
      </c>
      <c r="N58" s="47">
        <v>5</v>
      </c>
      <c r="O58" s="37">
        <v>85</v>
      </c>
      <c r="P58" s="71">
        <f t="shared" si="24"/>
        <v>0</v>
      </c>
      <c r="Q58" s="49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65185544</v>
      </c>
      <c r="D59" s="38">
        <f t="shared" si="19"/>
        <v>54658078.644000001</v>
      </c>
      <c r="E59" s="39">
        <v>0</v>
      </c>
      <c r="F59" s="40" t="s">
        <v>47</v>
      </c>
      <c r="G59" s="70">
        <v>0.78169999999999995</v>
      </c>
      <c r="H59" s="74">
        <v>0.80279999999999996</v>
      </c>
      <c r="I59" s="42">
        <v>0.83850000000000002</v>
      </c>
      <c r="J59" s="44">
        <f t="shared" si="20"/>
        <v>0.83850000000000002</v>
      </c>
      <c r="K59" s="39">
        <v>0</v>
      </c>
      <c r="L59" s="46">
        <f t="shared" si="21"/>
        <v>3.5700000000000065E-2</v>
      </c>
      <c r="M59" s="46">
        <f t="shared" si="22"/>
        <v>4.4469357249626391</v>
      </c>
      <c r="N59" s="47">
        <v>113389</v>
      </c>
      <c r="O59" s="37">
        <v>95078</v>
      </c>
      <c r="P59" s="71">
        <f t="shared" si="24"/>
        <v>0</v>
      </c>
      <c r="Q59" s="49">
        <f t="shared" si="23"/>
        <v>7.266214660355641E-2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1059176997.3356001</v>
      </c>
      <c r="E60" s="39">
        <v>0</v>
      </c>
      <c r="F60" s="40" t="s">
        <v>92</v>
      </c>
      <c r="G60" s="70">
        <v>0.59499999999999997</v>
      </c>
      <c r="H60" s="42">
        <v>1.3307</v>
      </c>
      <c r="I60" s="42">
        <v>1.3156000000000001</v>
      </c>
      <c r="J60" s="44">
        <f t="shared" si="20"/>
        <v>1.3156000000000001</v>
      </c>
      <c r="K60" s="39">
        <v>0</v>
      </c>
      <c r="L60" s="46">
        <f t="shared" si="21"/>
        <v>-1.5099999999999891E-2</v>
      </c>
      <c r="M60" s="46">
        <f t="shared" si="22"/>
        <v>-1.1347411136995484</v>
      </c>
      <c r="N60" s="47">
        <v>742</v>
      </c>
      <c r="O60" s="37">
        <v>976.15</v>
      </c>
      <c r="P60" s="71">
        <f t="shared" si="24"/>
        <v>0</v>
      </c>
      <c r="Q60" s="49">
        <f t="shared" si="23"/>
        <v>1.2110924369747904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107440452.86780001</v>
      </c>
      <c r="E61" s="39">
        <v>0</v>
      </c>
      <c r="F61" s="40" t="s">
        <v>34</v>
      </c>
      <c r="G61" s="70">
        <v>0.22600000000000001</v>
      </c>
      <c r="H61" s="42">
        <v>0.4163</v>
      </c>
      <c r="I61" s="42">
        <v>0.41210000000000002</v>
      </c>
      <c r="J61" s="44">
        <f t="shared" si="20"/>
        <v>0.41210000000000002</v>
      </c>
      <c r="K61" s="39">
        <v>0</v>
      </c>
      <c r="L61" s="46">
        <f t="shared" si="21"/>
        <v>-4.1999999999999815E-3</v>
      </c>
      <c r="M61" s="46">
        <f t="shared" si="22"/>
        <v>-1.0088878212827244</v>
      </c>
      <c r="N61" s="47">
        <v>39992</v>
      </c>
      <c r="O61" s="37">
        <v>16482.419999999998</v>
      </c>
      <c r="P61" s="71">
        <f t="shared" si="24"/>
        <v>0</v>
      </c>
      <c r="Q61" s="49">
        <f t="shared" si="23"/>
        <v>0.82345132743362837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423493800.80039996</v>
      </c>
      <c r="E62" s="39">
        <v>0</v>
      </c>
      <c r="F62" s="40" t="s">
        <v>34</v>
      </c>
      <c r="G62" s="70">
        <v>0.49440000000000001</v>
      </c>
      <c r="H62" s="42">
        <v>0.74950000000000006</v>
      </c>
      <c r="I62" s="42">
        <v>0.75329999999999997</v>
      </c>
      <c r="J62" s="44">
        <f t="shared" si="20"/>
        <v>0.75329999999999997</v>
      </c>
      <c r="K62" s="39">
        <v>0</v>
      </c>
      <c r="L62" s="46">
        <f t="shared" si="21"/>
        <v>3.7999999999999146E-3</v>
      </c>
      <c r="M62" s="46">
        <f t="shared" si="22"/>
        <v>0.50700466977984182</v>
      </c>
      <c r="N62" s="47">
        <v>796</v>
      </c>
      <c r="O62" s="37">
        <v>599.6</v>
      </c>
      <c r="P62" s="71">
        <f t="shared" si="24"/>
        <v>0</v>
      </c>
      <c r="Q62" s="49">
        <f t="shared" si="23"/>
        <v>0.52366504854368934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79977012.079000011</v>
      </c>
      <c r="E63" s="39">
        <v>0</v>
      </c>
      <c r="F63" s="40" t="s">
        <v>34</v>
      </c>
      <c r="G63" s="70">
        <v>0.25950000000000001</v>
      </c>
      <c r="H63" s="42">
        <v>0.22</v>
      </c>
      <c r="I63" s="42">
        <v>0.21940000000000001</v>
      </c>
      <c r="J63" s="44">
        <f t="shared" si="20"/>
        <v>0.21940000000000001</v>
      </c>
      <c r="K63" s="39">
        <v>0</v>
      </c>
      <c r="L63" s="46">
        <f t="shared" si="21"/>
        <v>-5.9999999999998943E-4</v>
      </c>
      <c r="M63" s="46">
        <f t="shared" si="22"/>
        <v>-0.27272727272726793</v>
      </c>
      <c r="N63" s="47">
        <v>345</v>
      </c>
      <c r="O63" s="37">
        <v>75.7</v>
      </c>
      <c r="P63" s="71">
        <f t="shared" si="24"/>
        <v>0</v>
      </c>
      <c r="Q63" s="49">
        <f t="shared" si="23"/>
        <v>-0.15452793834296719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10</v>
      </c>
      <c r="O64" s="37">
        <v>100</v>
      </c>
      <c r="P64" s="71">
        <f t="shared" si="24"/>
        <v>0</v>
      </c>
      <c r="Q64" s="49">
        <f t="shared" si="23"/>
        <v>0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0.1079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1.21E-2</v>
      </c>
      <c r="M65" s="46">
        <f t="shared" si="22"/>
        <v>11.214087117701576</v>
      </c>
      <c r="N65" s="47">
        <v>3</v>
      </c>
      <c r="O65" s="37">
        <v>0.36</v>
      </c>
      <c r="P65" s="71">
        <f t="shared" si="24"/>
        <v>0</v>
      </c>
      <c r="Q65" s="49">
        <f t="shared" si="23"/>
        <v>1.7906976744186047</v>
      </c>
      <c r="T65" s="52"/>
    </row>
    <row r="66" spans="1:20" ht="13.5" x14ac:dyDescent="0.3">
      <c r="A66" s="75"/>
      <c r="B66" s="36" t="s">
        <v>117</v>
      </c>
      <c r="C66" s="40"/>
      <c r="D66" s="76"/>
      <c r="E66" s="76"/>
      <c r="F66" s="40"/>
      <c r="G66" s="40"/>
      <c r="H66" s="42"/>
      <c r="I66" s="42"/>
      <c r="J66" s="42"/>
      <c r="K66" s="42"/>
      <c r="L66" s="46"/>
      <c r="M66" s="77"/>
      <c r="N66" s="61">
        <f>SUM(N50:N65)</f>
        <v>563178</v>
      </c>
      <c r="O66" s="62">
        <f>SUM(O50:O65)</f>
        <v>164519.72</v>
      </c>
      <c r="P66" s="78"/>
      <c r="Q66" s="63"/>
    </row>
    <row r="67" spans="1:20" ht="12.75" hidden="1" x14ac:dyDescent="0.25">
      <c r="A67" s="135" t="s">
        <v>152</v>
      </c>
      <c r="B67" s="136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8"/>
    </row>
    <row r="68" spans="1:20" ht="12.75" hidden="1" thickBot="1" x14ac:dyDescent="0.25">
      <c r="A68" s="79" t="s">
        <v>153</v>
      </c>
      <c r="B68" s="80" t="s">
        <v>154</v>
      </c>
      <c r="C68" s="81">
        <v>20000</v>
      </c>
      <c r="D68" s="82">
        <f>C68*J68</f>
        <v>0</v>
      </c>
      <c r="E68" s="82"/>
      <c r="F68" s="81" t="s">
        <v>155</v>
      </c>
      <c r="G68" s="81"/>
      <c r="H68" s="83">
        <v>100</v>
      </c>
      <c r="I68" s="83"/>
      <c r="J68" s="83"/>
      <c r="K68" s="83"/>
      <c r="L68" s="84">
        <f>I68-H68</f>
        <v>-100</v>
      </c>
      <c r="M68" s="85">
        <f>((I68-H68)/H68)*100</f>
        <v>-100</v>
      </c>
      <c r="N68" s="86" t="s">
        <v>57</v>
      </c>
      <c r="O68" s="86" t="s">
        <v>57</v>
      </c>
      <c r="P68" s="86"/>
      <c r="Q68" s="87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7"/>
      <c r="N69" s="88"/>
      <c r="O69" s="88"/>
      <c r="P69" s="88"/>
      <c r="Q69" s="63"/>
    </row>
    <row r="70" spans="1:20" ht="12.75" x14ac:dyDescent="0.25">
      <c r="A70" s="135" t="s">
        <v>156</v>
      </c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8"/>
    </row>
    <row r="71" spans="1:20" x14ac:dyDescent="0.2">
      <c r="A71" s="35" t="s">
        <v>157</v>
      </c>
      <c r="B71" s="89" t="s">
        <v>158</v>
      </c>
      <c r="C71" s="90">
        <v>139300587</v>
      </c>
      <c r="D71" s="38">
        <f>C71*J71</f>
        <v>48713415.273900002</v>
      </c>
      <c r="E71" s="39">
        <f>C71*K71</f>
        <v>48713415.273900002</v>
      </c>
      <c r="F71" s="90" t="s">
        <v>159</v>
      </c>
      <c r="G71" s="90">
        <v>0.24</v>
      </c>
      <c r="H71" s="91">
        <v>0.34970000000000001</v>
      </c>
      <c r="I71" s="91">
        <v>0.34970000000000001</v>
      </c>
      <c r="J71" s="92">
        <f>I71</f>
        <v>0.34970000000000001</v>
      </c>
      <c r="K71" s="92">
        <f>J71</f>
        <v>0.34970000000000001</v>
      </c>
      <c r="L71" s="46">
        <f>I71-H71</f>
        <v>0</v>
      </c>
      <c r="M71" s="46">
        <f>((I71-H71)/H71)*100</f>
        <v>0</v>
      </c>
      <c r="N71" s="93">
        <v>0</v>
      </c>
      <c r="O71" s="94">
        <v>0</v>
      </c>
      <c r="P71" s="71">
        <f>(R71)/J71</f>
        <v>0</v>
      </c>
      <c r="Q71" s="49">
        <f>J71/G71-1</f>
        <v>0.45708333333333351</v>
      </c>
      <c r="T71" s="52"/>
    </row>
    <row r="72" spans="1:20" x14ac:dyDescent="0.2">
      <c r="A72" s="35" t="s">
        <v>160</v>
      </c>
      <c r="B72" s="89" t="s">
        <v>161</v>
      </c>
      <c r="C72" s="90">
        <v>471351750</v>
      </c>
      <c r="D72" s="38">
        <f>C72*J72</f>
        <v>68534544.450000003</v>
      </c>
      <c r="E72" s="39">
        <f>C72*K72</f>
        <v>68534544.450000003</v>
      </c>
      <c r="F72" s="90" t="s">
        <v>159</v>
      </c>
      <c r="G72" s="90">
        <v>0.1</v>
      </c>
      <c r="H72" s="91">
        <v>0.14899999999999999</v>
      </c>
      <c r="I72" s="91">
        <v>0.1454</v>
      </c>
      <c r="J72" s="92">
        <f>I72</f>
        <v>0.1454</v>
      </c>
      <c r="K72" s="92">
        <f>J72</f>
        <v>0.1454</v>
      </c>
      <c r="L72" s="46">
        <f>I72-H72</f>
        <v>-3.5999999999999921E-3</v>
      </c>
      <c r="M72" s="46">
        <f>((I72-H72)/H72)*100</f>
        <v>-2.4161073825503303</v>
      </c>
      <c r="N72" s="47">
        <v>10776</v>
      </c>
      <c r="O72" s="94">
        <v>1567.31</v>
      </c>
      <c r="P72" s="95">
        <f>(R72)/J72</f>
        <v>2.6079779917469049E-2</v>
      </c>
      <c r="Q72" s="49">
        <f>J72/G72-1</f>
        <v>0.45399999999999996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7"/>
      <c r="N73" s="61">
        <f>SUM(N71:N72)</f>
        <v>10776</v>
      </c>
      <c r="O73" s="62">
        <f>SUM(O71:O72)</f>
        <v>1567.31</v>
      </c>
      <c r="P73" s="88"/>
      <c r="Q73" s="63"/>
    </row>
    <row r="74" spans="1:20" ht="12.75" x14ac:dyDescent="0.25">
      <c r="A74" s="135" t="s">
        <v>162</v>
      </c>
      <c r="B74" s="136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8"/>
    </row>
    <row r="75" spans="1:20" x14ac:dyDescent="0.2">
      <c r="A75" s="35" t="s">
        <v>163</v>
      </c>
      <c r="B75" s="89" t="s">
        <v>164</v>
      </c>
      <c r="C75" s="90">
        <v>20819695</v>
      </c>
      <c r="D75" s="38">
        <f>C75*J75</f>
        <v>2494199.4610000001</v>
      </c>
      <c r="E75" s="39">
        <f>C75*K75</f>
        <v>2494199.4610000001</v>
      </c>
      <c r="F75" s="90" t="s">
        <v>137</v>
      </c>
      <c r="G75" s="90">
        <v>0.1394</v>
      </c>
      <c r="H75" s="91">
        <v>0.1215</v>
      </c>
      <c r="I75" s="91">
        <v>0.1198</v>
      </c>
      <c r="J75" s="92">
        <f>I75</f>
        <v>0.1198</v>
      </c>
      <c r="K75" s="92">
        <f>J75</f>
        <v>0.1198</v>
      </c>
      <c r="L75" s="46">
        <f>I75-H75</f>
        <v>-1.6999999999999932E-3</v>
      </c>
      <c r="M75" s="46">
        <f>((I75-H75)/H75)*100</f>
        <v>-1.3991769547325048</v>
      </c>
      <c r="N75" s="93">
        <v>2118</v>
      </c>
      <c r="O75" s="94">
        <v>253.74</v>
      </c>
      <c r="P75" s="71">
        <f>(R75)/J75</f>
        <v>0</v>
      </c>
      <c r="Q75" s="49">
        <f>J75/G75-1</f>
        <v>-0.14060258249641311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7"/>
      <c r="N76" s="61"/>
      <c r="O76" s="62"/>
      <c r="P76" s="88"/>
      <c r="Q76" s="63"/>
    </row>
    <row r="77" spans="1:20" ht="12.75" x14ac:dyDescent="0.25">
      <c r="A77" s="131" t="s">
        <v>165</v>
      </c>
      <c r="B77" s="132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4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118360.54477642589</v>
      </c>
      <c r="E78" s="39">
        <f>C78*K78</f>
        <v>100645.16507936508</v>
      </c>
      <c r="F78" s="40" t="s">
        <v>137</v>
      </c>
      <c r="G78" s="70">
        <v>0.105</v>
      </c>
      <c r="H78" s="42">
        <v>0.09</v>
      </c>
      <c r="I78" s="42">
        <v>0.1</v>
      </c>
      <c r="J78" s="44">
        <f>I78/$J$5</f>
        <v>3.7333910764486495E-3</v>
      </c>
      <c r="K78" s="45">
        <f>I78/$K$4</f>
        <v>3.1746031746031746E-3</v>
      </c>
      <c r="L78" s="46">
        <f>I78-H78</f>
        <v>1.0000000000000009E-2</v>
      </c>
      <c r="M78" s="96">
        <f>((I78-H78)/H78)*100</f>
        <v>11.111111111111121</v>
      </c>
      <c r="N78" s="37">
        <v>200</v>
      </c>
      <c r="O78" s="37">
        <v>20</v>
      </c>
      <c r="P78" s="40">
        <v>0</v>
      </c>
      <c r="Q78" s="49">
        <f>I78/G78-1</f>
        <v>-4.7619047619047561E-2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406676.95191018953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2.9867128611589192E-3</v>
      </c>
      <c r="K79" s="45">
        <f>I79/$K$4</f>
        <v>2.5396825396825397E-3</v>
      </c>
      <c r="L79" s="46">
        <f>I79-H79</f>
        <v>0</v>
      </c>
      <c r="M79" s="96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6677853</v>
      </c>
      <c r="D80" s="38">
        <f>C80*J80</f>
        <v>32410.347840046597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4.8534083993832444E-3</v>
      </c>
      <c r="K80" s="45">
        <f>I80/$K$4</f>
        <v>4.1269841269841274E-3</v>
      </c>
      <c r="L80" s="46">
        <f>I80-H80</f>
        <v>0</v>
      </c>
      <c r="M80" s="96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1.1487603305785123</v>
      </c>
    </row>
    <row r="81" spans="1:243" x14ac:dyDescent="0.2">
      <c r="A81" s="35" t="s">
        <v>172</v>
      </c>
      <c r="B81" s="36" t="s">
        <v>173</v>
      </c>
      <c r="C81" s="37">
        <v>494417400</v>
      </c>
      <c r="D81" s="38">
        <f>C81*J81</f>
        <v>31379509.656416018</v>
      </c>
      <c r="E81" s="39">
        <f>C81*K81</f>
        <v>26682843.809523806</v>
      </c>
      <c r="F81" s="40" t="s">
        <v>137</v>
      </c>
      <c r="G81" s="70">
        <v>1.85</v>
      </c>
      <c r="H81" s="42">
        <v>1.59</v>
      </c>
      <c r="I81" s="42">
        <v>1.7</v>
      </c>
      <c r="J81" s="44">
        <f>I81/$J$5</f>
        <v>6.3467648299627033E-2</v>
      </c>
      <c r="K81" s="45">
        <f>I81/$K$4</f>
        <v>5.3968253968253964E-2</v>
      </c>
      <c r="L81" s="46">
        <f>I81-H81</f>
        <v>0.10999999999999988</v>
      </c>
      <c r="M81" s="96">
        <f>((I81-H81)/H81)*100</f>
        <v>6.9182389937106832</v>
      </c>
      <c r="N81" s="37">
        <v>120</v>
      </c>
      <c r="O81" s="37">
        <v>204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320</v>
      </c>
      <c r="O82" s="62">
        <f>SUM(O78:O81)</f>
        <v>224</v>
      </c>
      <c r="P82" s="78"/>
      <c r="Q82" s="63"/>
      <c r="V82" s="97"/>
      <c r="W82" s="97"/>
      <c r="DU82" s="98"/>
      <c r="DV82" s="98"/>
      <c r="DW82" s="99"/>
      <c r="DX82" s="100"/>
      <c r="DY82" s="100"/>
      <c r="DZ82" s="101"/>
      <c r="EA82" s="101"/>
      <c r="EB82" s="102"/>
      <c r="EC82" s="102"/>
      <c r="ED82" s="103"/>
      <c r="EE82" s="103"/>
      <c r="EF82" s="101"/>
      <c r="EG82" s="104"/>
      <c r="EH82" s="105"/>
      <c r="EI82" s="99"/>
      <c r="EJ82" s="98"/>
      <c r="EK82" s="98"/>
      <c r="EL82" s="99"/>
      <c r="EM82" s="100"/>
      <c r="EN82" s="100"/>
      <c r="EO82" s="101"/>
      <c r="EP82" s="101"/>
      <c r="EQ82" s="102"/>
      <c r="ER82" s="102"/>
      <c r="ES82" s="103"/>
      <c r="ET82" s="103"/>
      <c r="EU82" s="101"/>
      <c r="EV82" s="104"/>
      <c r="EW82" s="105"/>
      <c r="EX82" s="99"/>
      <c r="EY82" s="98"/>
      <c r="EZ82" s="98"/>
      <c r="FA82" s="99"/>
      <c r="FB82" s="100"/>
      <c r="FC82" s="100"/>
      <c r="FD82" s="101"/>
      <c r="FE82" s="101"/>
      <c r="FF82" s="102"/>
      <c r="FG82" s="102"/>
      <c r="FH82" s="103"/>
      <c r="FI82" s="103"/>
      <c r="FJ82" s="101"/>
      <c r="FK82" s="104"/>
      <c r="FL82" s="105"/>
      <c r="FM82" s="99"/>
      <c r="FN82" s="98"/>
      <c r="FO82" s="98"/>
      <c r="FP82" s="99"/>
      <c r="FQ82" s="100"/>
      <c r="FR82" s="100"/>
      <c r="FS82" s="101"/>
      <c r="FT82" s="101"/>
      <c r="FU82" s="102"/>
      <c r="FV82" s="102"/>
      <c r="FW82" s="103"/>
      <c r="FX82" s="103"/>
      <c r="FY82" s="101"/>
      <c r="FZ82" s="104"/>
      <c r="GA82" s="105"/>
      <c r="GB82" s="99"/>
      <c r="GC82" s="98"/>
      <c r="GD82" s="98"/>
      <c r="GE82" s="99"/>
      <c r="GF82" s="100"/>
      <c r="GG82" s="100"/>
      <c r="GH82" s="101"/>
      <c r="GI82" s="101"/>
      <c r="GJ82" s="102"/>
      <c r="GK82" s="102"/>
      <c r="GL82" s="103"/>
      <c r="GM82" s="103"/>
      <c r="GN82" s="101"/>
      <c r="GO82" s="104"/>
      <c r="GP82" s="105"/>
      <c r="GQ82" s="99"/>
      <c r="GR82" s="98"/>
      <c r="GS82" s="98"/>
      <c r="GT82" s="99"/>
      <c r="GU82" s="100"/>
      <c r="GV82" s="100"/>
      <c r="GW82" s="101"/>
      <c r="GX82" s="101"/>
      <c r="GY82" s="102"/>
      <c r="GZ82" s="102"/>
      <c r="HA82" s="103"/>
      <c r="HB82" s="103"/>
      <c r="HC82" s="101"/>
      <c r="HD82" s="104"/>
      <c r="HE82" s="105"/>
      <c r="HF82" s="99"/>
      <c r="HG82" s="98"/>
      <c r="HH82" s="98"/>
      <c r="HI82" s="99"/>
      <c r="HJ82" s="100"/>
      <c r="HK82" s="100"/>
      <c r="HL82" s="101"/>
      <c r="HM82" s="101"/>
      <c r="HN82" s="102"/>
      <c r="HO82" s="102"/>
      <c r="HP82" s="103"/>
      <c r="HQ82" s="103"/>
      <c r="HR82" s="101"/>
      <c r="HS82" s="104"/>
      <c r="HT82" s="105"/>
      <c r="HU82" s="99"/>
      <c r="HV82" s="98"/>
      <c r="HW82" s="98"/>
      <c r="HX82" s="99"/>
      <c r="HY82" s="100"/>
      <c r="HZ82" s="100"/>
      <c r="IA82" s="101"/>
      <c r="IB82" s="101"/>
      <c r="IC82" s="102"/>
      <c r="ID82" s="102"/>
      <c r="IE82" s="103"/>
      <c r="IF82" s="103"/>
      <c r="IG82" s="101"/>
      <c r="IH82" s="104"/>
      <c r="II82" s="105"/>
    </row>
    <row r="83" spans="1:243" ht="13.5" thickTop="1" x14ac:dyDescent="0.25">
      <c r="A83" s="135" t="s">
        <v>174</v>
      </c>
      <c r="B83" s="136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8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27261474.716728952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7.4014478090594471E-2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6">
        <v>0</v>
      </c>
      <c r="O84" s="107">
        <v>0</v>
      </c>
      <c r="P84" s="51">
        <f>(R84)/J84</f>
        <v>0</v>
      </c>
      <c r="Q84" s="49">
        <f>I84/G84-1</f>
        <v>0.52499999999999991</v>
      </c>
      <c r="R84" s="52"/>
    </row>
    <row r="85" spans="1:243" s="108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82238768.176947802</v>
      </c>
      <c r="E85" s="39">
        <f>C85*K85</f>
        <v>69929843.722222224</v>
      </c>
      <c r="F85" s="40" t="s">
        <v>177</v>
      </c>
      <c r="G85" s="40">
        <v>1.44347</v>
      </c>
      <c r="H85" s="42">
        <v>1.095588</v>
      </c>
      <c r="I85" s="42">
        <v>1.19645</v>
      </c>
      <c r="J85" s="44">
        <f>I85/$J$5</f>
        <v>4.4668157534169861E-2</v>
      </c>
      <c r="K85" s="45">
        <f>I85/$K$4</f>
        <v>3.798253968253968E-2</v>
      </c>
      <c r="L85" s="46">
        <f>I85-H85</f>
        <v>0.10086200000000001</v>
      </c>
      <c r="M85" s="46">
        <f>((I85-H85)/H85*100)</f>
        <v>9.2061979503243929</v>
      </c>
      <c r="N85" s="107">
        <v>3279657</v>
      </c>
      <c r="O85" s="107">
        <v>3923900.5525000002</v>
      </c>
      <c r="P85" s="48">
        <f>(R85)/J85</f>
        <v>4.8714791926114755E-2</v>
      </c>
      <c r="Q85" s="49">
        <f>I85/G85-1</f>
        <v>-0.17112929260739751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79"/>
      <c r="B86" s="80"/>
      <c r="C86" s="81"/>
      <c r="D86" s="109"/>
      <c r="E86" s="82"/>
      <c r="F86" s="81"/>
      <c r="G86" s="81"/>
      <c r="H86" s="83"/>
      <c r="I86" s="83"/>
      <c r="J86" s="83"/>
      <c r="K86" s="83"/>
      <c r="L86" s="84"/>
      <c r="M86" s="84"/>
      <c r="N86" s="84"/>
      <c r="O86" s="84"/>
      <c r="P86" s="84"/>
      <c r="Q86" s="87"/>
    </row>
    <row r="87" spans="1:243" ht="12.75" thickBot="1" x14ac:dyDescent="0.25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39" t="s">
        <v>180</v>
      </c>
      <c r="B88" s="140"/>
      <c r="C88" s="140"/>
      <c r="D88" s="141"/>
      <c r="E88" s="139" t="s">
        <v>181</v>
      </c>
      <c r="F88" s="140"/>
      <c r="G88" s="140"/>
      <c r="H88" s="141"/>
      <c r="I88" s="52"/>
      <c r="J88" s="142" t="s">
        <v>182</v>
      </c>
      <c r="K88" s="143"/>
      <c r="L88" s="144"/>
      <c r="M88" s="142" t="s">
        <v>183</v>
      </c>
      <c r="N88" s="143"/>
      <c r="O88" s="144"/>
      <c r="Q88" s="16"/>
    </row>
    <row r="89" spans="1:243" ht="15" customHeight="1" x14ac:dyDescent="0.2">
      <c r="A89" s="35" t="s">
        <v>95</v>
      </c>
      <c r="B89" s="115">
        <v>3.7000000000000005E-2</v>
      </c>
      <c r="D89" s="115">
        <v>13.961868974651189</v>
      </c>
      <c r="E89" s="35" t="s">
        <v>50</v>
      </c>
      <c r="F89" s="116">
        <v>1.5984430000000001</v>
      </c>
      <c r="H89" s="117">
        <v>-3.0967115361765059</v>
      </c>
      <c r="J89" s="35" t="s">
        <v>150</v>
      </c>
      <c r="K89" s="51">
        <v>0.12</v>
      </c>
      <c r="L89" s="118">
        <v>11.214087117701576</v>
      </c>
      <c r="M89" s="59" t="s">
        <v>123</v>
      </c>
      <c r="N89" s="116">
        <v>0.2278</v>
      </c>
      <c r="O89" s="117">
        <v>-12.987012987012978</v>
      </c>
      <c r="Q89" s="16"/>
    </row>
    <row r="90" spans="1:243" ht="15" customHeight="1" x14ac:dyDescent="0.2">
      <c r="A90" s="35" t="s">
        <v>115</v>
      </c>
      <c r="B90" s="115">
        <v>2.1</v>
      </c>
      <c r="D90" s="115">
        <v>13.513513513513512</v>
      </c>
      <c r="E90" s="35" t="s">
        <v>90</v>
      </c>
      <c r="F90" s="116">
        <v>6.9771429999999999</v>
      </c>
      <c r="H90" s="117">
        <v>-0.32652857142857322</v>
      </c>
      <c r="J90" s="35" t="s">
        <v>135</v>
      </c>
      <c r="K90" s="51">
        <v>17</v>
      </c>
      <c r="L90" s="118">
        <v>5.1544223620157563</v>
      </c>
      <c r="M90" s="59" t="s">
        <v>133</v>
      </c>
      <c r="N90" s="116">
        <v>1.8100000000000002E-2</v>
      </c>
      <c r="O90" s="117">
        <v>-8.1218274111674997</v>
      </c>
      <c r="Q90" s="16"/>
    </row>
    <row r="91" spans="1:243" ht="15" customHeight="1" x14ac:dyDescent="0.2">
      <c r="A91" s="35" t="s">
        <v>45</v>
      </c>
      <c r="B91" s="115">
        <v>37.075099999999999</v>
      </c>
      <c r="C91" s="115"/>
      <c r="D91" s="115">
        <v>9.0444117647058793</v>
      </c>
      <c r="E91" s="35" t="s">
        <v>107</v>
      </c>
      <c r="F91" s="116">
        <v>32.408899999999996</v>
      </c>
      <c r="H91" s="117">
        <v>-0.1069548385506169</v>
      </c>
      <c r="J91" s="35" t="s">
        <v>138</v>
      </c>
      <c r="K91" s="51">
        <v>0.83850000000000002</v>
      </c>
      <c r="L91" s="118">
        <v>4.4469357249626391</v>
      </c>
      <c r="M91" s="35" t="s">
        <v>119</v>
      </c>
      <c r="N91" s="116">
        <v>0.13300000000000001</v>
      </c>
      <c r="O91" s="117">
        <v>-5.1355206847360799</v>
      </c>
      <c r="Q91" s="16"/>
    </row>
    <row r="92" spans="1:243" ht="15" customHeight="1" x14ac:dyDescent="0.2">
      <c r="A92" s="35" t="s">
        <v>99</v>
      </c>
      <c r="B92" s="115">
        <v>0.29642299999999999</v>
      </c>
      <c r="C92" s="115"/>
      <c r="D92" s="115">
        <v>5.7709188224799268</v>
      </c>
      <c r="E92" s="35" t="s">
        <v>52</v>
      </c>
      <c r="F92" s="116">
        <v>0.22</v>
      </c>
      <c r="H92" s="117">
        <v>0</v>
      </c>
      <c r="J92" s="35" t="s">
        <v>129</v>
      </c>
      <c r="K92" s="51">
        <v>1.4663999999999999</v>
      </c>
      <c r="L92" s="118">
        <v>4.1255414329333107</v>
      </c>
      <c r="M92" s="35" t="s">
        <v>140</v>
      </c>
      <c r="N92" s="116">
        <v>1.3156000000000001</v>
      </c>
      <c r="O92" s="117">
        <v>-1.1347411136995484</v>
      </c>
      <c r="Q92" s="16"/>
    </row>
    <row r="93" spans="1:243" ht="15" customHeight="1" x14ac:dyDescent="0.2">
      <c r="A93" s="35" t="s">
        <v>35</v>
      </c>
      <c r="B93" s="115">
        <v>7.5999999999999998E-2</v>
      </c>
      <c r="C93" s="115"/>
      <c r="D93" s="115">
        <v>1.3333333333333346</v>
      </c>
      <c r="E93" s="35"/>
      <c r="F93" s="116"/>
      <c r="G93" s="116"/>
      <c r="H93" s="117"/>
      <c r="J93" s="35" t="s">
        <v>144</v>
      </c>
      <c r="K93" s="51">
        <v>0.75329999999999997</v>
      </c>
      <c r="L93" s="118">
        <v>0.50700466977984182</v>
      </c>
      <c r="M93" s="35" t="s">
        <v>142</v>
      </c>
      <c r="N93" s="116">
        <v>0.41210000000000002</v>
      </c>
      <c r="O93" s="117">
        <v>-1.0088878212827244</v>
      </c>
      <c r="Q93" s="16"/>
    </row>
    <row r="94" spans="1:243" ht="15.75" customHeight="1" thickBot="1" x14ac:dyDescent="0.25">
      <c r="A94" s="119"/>
      <c r="B94" s="120"/>
      <c r="C94" s="120"/>
      <c r="D94" s="120"/>
      <c r="E94" s="119"/>
      <c r="F94" s="120"/>
      <c r="G94" s="120"/>
      <c r="H94" s="121"/>
      <c r="J94" s="119"/>
      <c r="K94" s="120"/>
      <c r="L94" s="121"/>
      <c r="M94" s="120"/>
      <c r="N94" s="120"/>
      <c r="O94" s="121"/>
      <c r="Q94" s="16"/>
    </row>
    <row r="95" spans="1:243" x14ac:dyDescent="0.2">
      <c r="A95" s="122"/>
      <c r="B95" s="123"/>
      <c r="C95" s="123"/>
      <c r="D95" s="123"/>
      <c r="E95" s="113"/>
      <c r="F95" s="113"/>
      <c r="G95" s="113"/>
      <c r="H95" s="113"/>
      <c r="I95" s="113"/>
      <c r="J95" s="113"/>
      <c r="K95" s="113"/>
      <c r="L95" s="113"/>
      <c r="M95" s="123"/>
      <c r="Q95" s="16"/>
    </row>
    <row r="96" spans="1:243" x14ac:dyDescent="0.2">
      <c r="A96" s="12" t="s">
        <v>184</v>
      </c>
      <c r="B96" s="124"/>
      <c r="C96" s="124"/>
      <c r="D96" s="124"/>
      <c r="E96" s="124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2"/>
      <c r="B97" s="123"/>
      <c r="C97" s="123"/>
      <c r="D97" s="123"/>
      <c r="E97" s="123"/>
      <c r="F97" s="113"/>
      <c r="G97" s="113"/>
      <c r="H97" s="123"/>
      <c r="I97" s="113"/>
      <c r="J97" s="113"/>
      <c r="K97" s="113"/>
      <c r="L97" s="113"/>
      <c r="M97" s="123"/>
      <c r="Q97" s="16"/>
    </row>
    <row r="98" spans="1:17" ht="12.75" thickBot="1" x14ac:dyDescent="0.25">
      <c r="A98" s="125"/>
      <c r="B98" s="126"/>
      <c r="C98" s="126"/>
      <c r="D98" s="126"/>
      <c r="E98" s="126"/>
      <c r="F98" s="127"/>
      <c r="G98" s="127"/>
      <c r="H98" s="127"/>
      <c r="I98" s="128"/>
      <c r="J98" s="128"/>
      <c r="K98" s="128"/>
      <c r="L98" s="128"/>
      <c r="M98" s="128"/>
      <c r="N98" s="128"/>
      <c r="O98" s="128"/>
      <c r="P98" s="128"/>
      <c r="Q98" s="129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0"/>
      <c r="J102" s="130"/>
      <c r="K102" s="130"/>
      <c r="O102" s="130"/>
      <c r="P102" s="130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0"/>
      <c r="J105" s="130"/>
      <c r="K105" s="130"/>
      <c r="O105" s="130"/>
      <c r="P105" s="130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0"/>
      <c r="J107" s="130"/>
      <c r="K107" s="130"/>
      <c r="O107" s="130"/>
      <c r="P107" s="130"/>
    </row>
  </sheetData>
  <sheetProtection algorithmName="SHA-512" hashValue="GDHcKpLcyBPChy8Ziv16EMjIsO9DQgqCdDTSTUlSkBlwPk/59CcMn9x0a/FMox/+cj6eD60QDYP+3rtqszZqoQ==" saltValue="TwUbJz4TSy9odid2TczAzA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2026-08-14T13:44:04Z</dcterms:created>
  <dcterms:modified xsi:type="dcterms:W3CDTF">2026-08-14T13:49:31Z</dcterms:modified>
</cp:coreProperties>
</file>