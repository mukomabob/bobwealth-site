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"/>
    </mc:Choice>
  </mc:AlternateContent>
  <xr:revisionPtr revIDLastSave="0" documentId="8_{345BB6A8-16CE-494B-B9E5-096B50896665}" xr6:coauthVersionLast="47" xr6:coauthVersionMax="47" xr10:uidLastSave="{00000000-0000-0000-0000-000000000000}"/>
  <bookViews>
    <workbookView xWindow="-108" yWindow="-108" windowWidth="23256" windowHeight="12456" xr2:uid="{4ECABDFC-6594-45D5-BF6F-F584BB3501FC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M75" i="1"/>
  <c r="L75" i="1"/>
  <c r="J75" i="1"/>
  <c r="D75" i="1"/>
  <c r="O73" i="1"/>
  <c r="N73" i="1"/>
  <c r="M72" i="1"/>
  <c r="L72" i="1"/>
  <c r="K72" i="1"/>
  <c r="E72" i="1" s="1"/>
  <c r="J72" i="1"/>
  <c r="D72" i="1"/>
  <c r="M71" i="1"/>
  <c r="L71" i="1"/>
  <c r="J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E44" i="1"/>
  <c r="Q43" i="1"/>
  <c r="M43" i="1"/>
  <c r="L43" i="1"/>
  <c r="K43" i="1"/>
  <c r="E43" i="1" s="1"/>
  <c r="J43" i="1"/>
  <c r="P43" i="1" s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E41" i="1" s="1"/>
  <c r="J41" i="1"/>
  <c r="P41" i="1" s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E33" i="1"/>
  <c r="Q32" i="1"/>
  <c r="M32" i="1"/>
  <c r="L32" i="1"/>
  <c r="K32" i="1"/>
  <c r="J32" i="1"/>
  <c r="E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Q75" i="1" l="1"/>
  <c r="K75" i="1"/>
  <c r="E75" i="1" s="1"/>
  <c r="P75" i="1"/>
  <c r="Q72" i="1"/>
  <c r="P72" i="1"/>
  <c r="Q71" i="1"/>
  <c r="D71" i="1"/>
  <c r="P71" i="1"/>
  <c r="K71" i="1"/>
  <c r="E71" i="1" s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P57" i="1"/>
  <c r="Q57" i="1"/>
  <c r="P56" i="1"/>
  <c r="Q56" i="1"/>
  <c r="P55" i="1"/>
  <c r="Q55" i="1"/>
  <c r="P54" i="1"/>
  <c r="Q54" i="1"/>
  <c r="P51" i="1"/>
  <c r="Q51" i="1"/>
  <c r="Q50" i="1"/>
  <c r="P50" i="1"/>
  <c r="P44" i="1"/>
  <c r="D44" i="1"/>
  <c r="D39" i="1"/>
  <c r="P39" i="1"/>
  <c r="D33" i="1"/>
  <c r="P33" i="1"/>
  <c r="P32" i="1"/>
  <c r="D32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<sst xmlns="http://schemas.openxmlformats.org/spreadsheetml/2006/main" count="271" uniqueCount="185">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</sst>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BD619138-9CE7-49E0-AAAA-7691E362D8B1}"/>
    <cellStyle name="Comma 5 2 2 2 2 2 2 2 2 2 2 2 2 2" xfId="4" xr:uid="{237A471F-BB3B-4E2D-8513-34B0DDA6A5A5}"/>
    <cellStyle name="Comma 6 2 2 2 2 2 2 2 2" xfId="6" xr:uid="{EE117131-0824-4D2D-BCF4-BE25425D2EBC}"/>
    <cellStyle name="Hyperlink 2" xfId="8" xr:uid="{AA3E8A21-7970-458B-B836-34CF82F6A324}"/>
    <cellStyle name="Normal" xfId="0" builtinId="0"/>
    <cellStyle name="Normal 2" xfId="2" xr:uid="{127E9CA3-8EE1-43BF-B1F0-7E5007C584DD}"/>
    <cellStyle name="Normal 20" xfId="7" xr:uid="{7C291303-B636-4127-B602-EFEA2CCF7A83}"/>
    <cellStyle name="Percent" xfId="1" builtinId="5"/>
    <cellStyle name="Percent 3" xfId="5" xr:uid="{1B38D723-5EDB-4457-B1BF-3A24D66F7D0B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E4EED98-3ED7-44D7-864F-83DF9B83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85B8C61-4FE3-4CCC-9157-2CFA968E5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1ED0-A0EF-418A-A8EC-B252C8E1E3AB}">
  <dimension ref="A1:II107"/>
  <sheetViews>
    <sheetView tabSelected="1" topLeftCell="A36" zoomScale="70" zoomScaleNormal="70" workbookViewId="0">
      <selection activeCell="J90" sqref="J90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26.582100000000001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85343893.146139696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0.67714740370399629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2.2151749999999998E-2</v>
      </c>
      <c r="Q9" s="48">
        <f t="shared" ref="Q9:Q17" si="6">I9/G9-1</f>
        <v>1.002336058735191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8328876.7148485258</v>
      </c>
      <c r="E10" s="39">
        <f t="shared" si="1"/>
        <v>6918719.8038054686</v>
      </c>
      <c r="F10" s="40" t="s">
        <v>34</v>
      </c>
      <c r="G10" s="41">
        <v>3.1600000000000003E-2</v>
      </c>
      <c r="H10" s="42">
        <v>0.13603099999999999</v>
      </c>
      <c r="I10" s="43">
        <v>0.136045</v>
      </c>
      <c r="J10" s="44">
        <f t="shared" ref="J10:J17" si="7">I10/$J$5</f>
        <v>5.1179176964950097E-3</v>
      </c>
      <c r="K10" s="45">
        <f t="shared" si="2"/>
        <v>4.25140625E-3</v>
      </c>
      <c r="L10" s="46">
        <f t="shared" si="3"/>
        <v>1.4000000000014001E-5</v>
      </c>
      <c r="M10" s="46">
        <f t="shared" si="4"/>
        <v>1.0291771728513355E-2</v>
      </c>
      <c r="N10" s="50">
        <v>1100</v>
      </c>
      <c r="O10" s="37">
        <v>149.65</v>
      </c>
      <c r="P10" s="51">
        <f t="shared" si="5"/>
        <v>0</v>
      </c>
      <c r="Q10" s="48">
        <f t="shared" si="6"/>
        <v>3.3052215189873415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2958980.8412427912</v>
      </c>
      <c r="E11" s="39">
        <f t="shared" si="1"/>
        <v>2457997.6443749997</v>
      </c>
      <c r="F11" s="40" t="s">
        <v>39</v>
      </c>
      <c r="G11" s="41">
        <v>7.8E-2</v>
      </c>
      <c r="H11" s="42">
        <v>0.18</v>
      </c>
      <c r="I11" s="43">
        <v>0.18</v>
      </c>
      <c r="J11" s="44">
        <f t="shared" si="7"/>
        <v>6.7714740370399627E-3</v>
      </c>
      <c r="K11" s="45">
        <f t="shared" si="2"/>
        <v>5.6249999999999998E-3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1.3076923076923075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147481509.36156285</v>
      </c>
      <c r="E12" s="39">
        <f t="shared" si="1"/>
        <v>122511507.1875</v>
      </c>
      <c r="F12" s="40" t="s">
        <v>34</v>
      </c>
      <c r="G12" s="41">
        <v>97.381</v>
      </c>
      <c r="H12" s="42">
        <v>190</v>
      </c>
      <c r="I12" s="43">
        <v>190</v>
      </c>
      <c r="J12" s="44">
        <f t="shared" si="7"/>
        <v>7.1476670390977386</v>
      </c>
      <c r="K12" s="45">
        <f t="shared" si="2"/>
        <v>5.9375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0.95109929041599495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9858259.5054566804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1.1285790061733272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638367369.46524155</v>
      </c>
      <c r="E14" s="39">
        <f t="shared" si="1"/>
        <v>530285789.12068748</v>
      </c>
      <c r="F14" s="40" t="s">
        <v>47</v>
      </c>
      <c r="G14" s="41">
        <v>11.5</v>
      </c>
      <c r="H14" s="42">
        <v>32.229399999999998</v>
      </c>
      <c r="I14" s="43">
        <v>32.466799999999999</v>
      </c>
      <c r="J14" s="44">
        <f t="shared" si="7"/>
        <v>1.2213782959209392</v>
      </c>
      <c r="K14" s="45">
        <f t="shared" si="2"/>
        <v>1.0145875</v>
      </c>
      <c r="L14" s="46">
        <f t="shared" si="3"/>
        <v>0.23740000000000094</v>
      </c>
      <c r="M14" s="46">
        <f t="shared" si="4"/>
        <v>0.73659453790638663</v>
      </c>
      <c r="N14" s="50">
        <v>9100</v>
      </c>
      <c r="O14" s="37">
        <v>295448</v>
      </c>
      <c r="P14" s="51">
        <f t="shared" si="5"/>
        <v>0</v>
      </c>
      <c r="Q14" s="48">
        <f t="shared" si="6"/>
        <v>1.8231999999999999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31634225.239917085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0.29832105063181613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74072579.630653709</v>
      </c>
      <c r="E16" s="39">
        <f t="shared" si="1"/>
        <v>61531397.46875</v>
      </c>
      <c r="F16" s="40" t="s">
        <v>34</v>
      </c>
      <c r="G16" s="41">
        <v>1.9</v>
      </c>
      <c r="H16" s="42">
        <v>5.5</v>
      </c>
      <c r="I16" s="43">
        <v>5.5</v>
      </c>
      <c r="J16" s="44">
        <f t="shared" si="7"/>
        <v>0.20690615113177666</v>
      </c>
      <c r="K16" s="45">
        <f t="shared" si="2"/>
        <v>0.171875</v>
      </c>
      <c r="L16" s="46">
        <f t="shared" si="3"/>
        <v>0</v>
      </c>
      <c r="M16" s="46">
        <f t="shared" si="4"/>
        <v>0</v>
      </c>
      <c r="N16" s="50">
        <v>100</v>
      </c>
      <c r="O16" s="37">
        <v>550</v>
      </c>
      <c r="P16" s="51">
        <f t="shared" si="5"/>
        <v>0.24165545454545456</v>
      </c>
      <c r="Q16" s="48">
        <f t="shared" si="6"/>
        <v>1.8947368421052633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1700120924.2099569</v>
      </c>
      <c r="E17" s="39">
        <f t="shared" si="1"/>
        <v>1412274513.1075468</v>
      </c>
      <c r="F17" s="40" t="s">
        <v>34</v>
      </c>
      <c r="G17" s="41">
        <v>20.701700000000002</v>
      </c>
      <c r="H17" s="42">
        <v>33.475200000000001</v>
      </c>
      <c r="I17" s="43">
        <v>33.531700000000001</v>
      </c>
      <c r="J17" s="44">
        <f t="shared" si="7"/>
        <v>1.2614390887100717</v>
      </c>
      <c r="K17" s="45">
        <f t="shared" si="2"/>
        <v>1.047865625</v>
      </c>
      <c r="L17" s="46">
        <f t="shared" si="3"/>
        <v>5.6499999999999773E-2</v>
      </c>
      <c r="M17" s="46">
        <f t="shared" si="4"/>
        <v>0.16878166523276864</v>
      </c>
      <c r="N17" s="50">
        <v>170500</v>
      </c>
      <c r="O17" s="37">
        <v>5717148.4500000002</v>
      </c>
      <c r="P17" s="47">
        <f t="shared" si="5"/>
        <v>0</v>
      </c>
      <c r="Q17" s="48">
        <f t="shared" si="6"/>
        <v>0.61975586546032435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332409461.25588274</v>
      </c>
      <c r="E19" s="39">
        <f t="shared" si="1"/>
        <v>276129423.12656254</v>
      </c>
      <c r="F19" s="40" t="s">
        <v>47</v>
      </c>
      <c r="G19" s="41">
        <v>12.45</v>
      </c>
      <c r="H19" s="42">
        <v>13.4</v>
      </c>
      <c r="I19" s="43">
        <v>13.15</v>
      </c>
      <c r="J19" s="44">
        <f t="shared" ref="J19:J45" si="8">I19/$J$5</f>
        <v>0.4946937977059751</v>
      </c>
      <c r="K19" s="45">
        <f t="shared" ref="K19:K45" si="9">I19/$K$4</f>
        <v>0.41093750000000001</v>
      </c>
      <c r="L19" s="46">
        <f t="shared" ref="L19:L29" si="10">I19-H19</f>
        <v>-0.25</v>
      </c>
      <c r="M19" s="46">
        <f>((I19-H19)/H19)*100</f>
        <v>-1.8656716417910446</v>
      </c>
      <c r="N19" s="50">
        <v>100</v>
      </c>
      <c r="O19" s="37">
        <v>1315</v>
      </c>
      <c r="P19" s="51">
        <f>(R19)/J19</f>
        <v>0</v>
      </c>
      <c r="Q19" s="48">
        <f t="shared" ref="Q19:Q29" si="11">I19/G19-1</f>
        <v>5.6224899598393607E-2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3810784.7246831516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3.4985949191373142E-2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89451857.030894488</v>
      </c>
      <c r="E21" s="39">
        <f t="shared" si="1"/>
        <v>74306819.024404377</v>
      </c>
      <c r="F21" s="40" t="s">
        <v>47</v>
      </c>
      <c r="G21" s="41">
        <v>2.85</v>
      </c>
      <c r="H21" s="42">
        <v>3.5049999999999999</v>
      </c>
      <c r="I21" s="43">
        <v>3.4453990000000001</v>
      </c>
      <c r="J21" s="44">
        <f t="shared" si="8"/>
        <v>0.12961349930968585</v>
      </c>
      <c r="K21" s="45">
        <f t="shared" si="9"/>
        <v>0.10766871875</v>
      </c>
      <c r="L21" s="46">
        <f t="shared" si="10"/>
        <v>-5.9600999999999793E-2</v>
      </c>
      <c r="M21" s="46">
        <f>((I21-H21)/H21)*100</f>
        <v>-1.7004564907275261</v>
      </c>
      <c r="N21" s="50">
        <v>1266200</v>
      </c>
      <c r="O21" s="37">
        <v>4362563.75</v>
      </c>
      <c r="P21" s="51">
        <f>(R21)/J21</f>
        <v>0</v>
      </c>
      <c r="Q21" s="48">
        <f t="shared" si="11"/>
        <v>0.20891192982456142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2220469.7345205983</v>
      </c>
      <c r="E23" s="39">
        <f t="shared" si="1"/>
        <v>1844523.3915625</v>
      </c>
      <c r="F23" s="40" t="s">
        <v>44</v>
      </c>
      <c r="G23" s="41">
        <v>0.1</v>
      </c>
      <c r="H23" s="42">
        <v>0.109778</v>
      </c>
      <c r="I23" s="43">
        <v>0.11</v>
      </c>
      <c r="J23" s="44">
        <f t="shared" si="8"/>
        <v>4.1381230226355328E-3</v>
      </c>
      <c r="K23" s="45">
        <f t="shared" si="9"/>
        <v>3.4375E-3</v>
      </c>
      <c r="L23" s="46">
        <f t="shared" si="10"/>
        <v>2.2199999999999998E-4</v>
      </c>
      <c r="M23" s="46">
        <f t="shared" ref="M23:M29" si="12">((I23-H23)/H23)*100</f>
        <v>0.20222631128277066</v>
      </c>
      <c r="N23" s="50">
        <v>3600</v>
      </c>
      <c r="O23" s="37">
        <v>396</v>
      </c>
      <c r="P23" s="51">
        <f t="shared" ref="P23:P29" si="13">(R23)/J23</f>
        <v>0</v>
      </c>
      <c r="Q23" s="48">
        <f t="shared" si="11"/>
        <v>9.9999999999999867E-2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79148154.118749082</v>
      </c>
      <c r="E24" s="39">
        <f t="shared" si="1"/>
        <v>65747629.612500004</v>
      </c>
      <c r="F24" s="40" t="s">
        <v>34</v>
      </c>
      <c r="G24" s="41">
        <v>8.1687659999999997</v>
      </c>
      <c r="H24" s="42">
        <v>10.8</v>
      </c>
      <c r="I24" s="43">
        <v>10.9</v>
      </c>
      <c r="J24" s="44">
        <f t="shared" si="8"/>
        <v>0.41005037224297552</v>
      </c>
      <c r="K24" s="45">
        <f t="shared" si="9"/>
        <v>0.34062500000000001</v>
      </c>
      <c r="L24" s="46">
        <f t="shared" si="10"/>
        <v>9.9999999999999645E-2</v>
      </c>
      <c r="M24" s="46">
        <f t="shared" si="12"/>
        <v>0.9259259259259226</v>
      </c>
      <c r="N24" s="50">
        <v>200</v>
      </c>
      <c r="O24" s="37">
        <v>2180</v>
      </c>
      <c r="P24" s="47">
        <f t="shared" si="13"/>
        <v>3.6580871559633028E-2</v>
      </c>
      <c r="Q24" s="48">
        <f t="shared" si="11"/>
        <v>0.33435086768307487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109195454.6661099</v>
      </c>
      <c r="E25" s="39">
        <f t="shared" si="1"/>
        <v>90707640.483750001</v>
      </c>
      <c r="F25" s="40" t="s">
        <v>66</v>
      </c>
      <c r="G25" s="41">
        <v>1.6675</v>
      </c>
      <c r="H25" s="42">
        <v>1.51</v>
      </c>
      <c r="I25" s="43">
        <v>1.72</v>
      </c>
      <c r="J25" s="44">
        <f t="shared" si="8"/>
        <v>6.4705196353937428E-2</v>
      </c>
      <c r="K25" s="45">
        <f t="shared" si="9"/>
        <v>5.3749999999999999E-2</v>
      </c>
      <c r="L25" s="46">
        <f t="shared" si="10"/>
        <v>0.20999999999999996</v>
      </c>
      <c r="M25" s="46">
        <f t="shared" si="12"/>
        <v>13.90728476821192</v>
      </c>
      <c r="N25" s="50">
        <v>1000</v>
      </c>
      <c r="O25" s="37">
        <v>1720</v>
      </c>
      <c r="P25" s="51">
        <f t="shared" si="13"/>
        <v>0</v>
      </c>
      <c r="Q25" s="48">
        <f t="shared" si="11"/>
        <v>3.1484257871064569E-2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25665997.229338542</v>
      </c>
      <c r="E26" s="39">
        <f t="shared" si="1"/>
        <v>21320503.279687501</v>
      </c>
      <c r="F26" s="40" t="s">
        <v>44</v>
      </c>
      <c r="G26" s="41">
        <v>1.7994999999999999</v>
      </c>
      <c r="H26" s="42">
        <v>2.85</v>
      </c>
      <c r="I26" s="43">
        <v>2.85</v>
      </c>
      <c r="J26" s="44">
        <f t="shared" si="8"/>
        <v>0.10721500558646609</v>
      </c>
      <c r="K26" s="45">
        <f t="shared" si="9"/>
        <v>8.9062500000000003E-2</v>
      </c>
      <c r="L26" s="46">
        <f t="shared" si="10"/>
        <v>0</v>
      </c>
      <c r="M26" s="46">
        <f t="shared" si="12"/>
        <v>0</v>
      </c>
      <c r="N26" s="50">
        <v>1100</v>
      </c>
      <c r="O26" s="37">
        <v>3135</v>
      </c>
      <c r="P26" s="51">
        <f t="shared" si="13"/>
        <v>0</v>
      </c>
      <c r="Q26" s="48">
        <f t="shared" si="11"/>
        <v>0.58377327035287596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25912775.221899848</v>
      </c>
      <c r="E27" s="39">
        <f t="shared" si="1"/>
        <v>21525499.444564499</v>
      </c>
      <c r="F27" s="40" t="s">
        <v>34</v>
      </c>
      <c r="G27" s="41">
        <v>3.1361369999999997</v>
      </c>
      <c r="H27" s="42">
        <v>2.7</v>
      </c>
      <c r="I27" s="43">
        <v>2.6891039999999999</v>
      </c>
      <c r="J27" s="44">
        <f t="shared" si="8"/>
        <v>0.10116221066055729</v>
      </c>
      <c r="K27" s="45">
        <f t="shared" si="9"/>
        <v>8.4034499999999998E-2</v>
      </c>
      <c r="L27" s="46">
        <f t="shared" si="10"/>
        <v>-1.0896000000000239E-2</v>
      </c>
      <c r="M27" s="46">
        <f t="shared" si="12"/>
        <v>-0.40355555555556438</v>
      </c>
      <c r="N27" s="50">
        <v>2400</v>
      </c>
      <c r="O27" s="37">
        <v>6453.85</v>
      </c>
      <c r="P27" s="51">
        <f t="shared" si="13"/>
        <v>0</v>
      </c>
      <c r="Q27" s="48">
        <f t="shared" si="11"/>
        <v>-0.14254256111898167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32690995.675661437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4.3262195236644201E-2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121240447.05637449</v>
      </c>
      <c r="E29" s="39">
        <f t="shared" si="1"/>
        <v>100713302.74053913</v>
      </c>
      <c r="F29" s="40" t="s">
        <v>47</v>
      </c>
      <c r="G29" s="41">
        <v>5.15</v>
      </c>
      <c r="H29" s="42">
        <v>7.4000219999999999</v>
      </c>
      <c r="I29" s="43">
        <v>7.1757140000000001</v>
      </c>
      <c r="J29" s="44">
        <f t="shared" si="8"/>
        <v>0.26994533915680102</v>
      </c>
      <c r="K29" s="45">
        <f t="shared" si="9"/>
        <v>0.2242410625</v>
      </c>
      <c r="L29" s="46">
        <f t="shared" si="10"/>
        <v>-0.22430799999999973</v>
      </c>
      <c r="M29" s="46">
        <f t="shared" si="12"/>
        <v>-3.0311801775724416</v>
      </c>
      <c r="N29" s="50">
        <v>700</v>
      </c>
      <c r="O29" s="37">
        <v>5023</v>
      </c>
      <c r="P29" s="51">
        <f t="shared" si="13"/>
        <v>0</v>
      </c>
      <c r="Q29" s="48">
        <f t="shared" si="11"/>
        <v>0.39334252427184468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12928743.104382271</v>
      </c>
      <c r="E31" s="39">
        <f t="shared" si="1"/>
        <v>10739785.68984375</v>
      </c>
      <c r="F31" s="40" t="s">
        <v>39</v>
      </c>
      <c r="G31" s="41">
        <v>1.4</v>
      </c>
      <c r="H31" s="42">
        <v>1.3225</v>
      </c>
      <c r="I31" s="43">
        <v>1.3225</v>
      </c>
      <c r="J31" s="44">
        <f t="shared" si="8"/>
        <v>4.9751524522140836E-2</v>
      </c>
      <c r="K31" s="45">
        <f t="shared" si="9"/>
        <v>4.1328125E-2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-5.5357142857142771E-2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4361130.1025878312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3.5738335195488691E-2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88348490.001068875</v>
      </c>
      <c r="E33" s="39">
        <f t="shared" si="1"/>
        <v>73390262.376794159</v>
      </c>
      <c r="F33" s="40" t="s">
        <v>92</v>
      </c>
      <c r="G33" s="41">
        <v>1.44</v>
      </c>
      <c r="H33" s="42">
        <v>0.94109100000000001</v>
      </c>
      <c r="I33" s="43">
        <v>0.94109100000000001</v>
      </c>
      <c r="J33" s="44">
        <f t="shared" si="8"/>
        <v>3.5403184849955423E-2</v>
      </c>
      <c r="K33" s="45">
        <f t="shared" si="9"/>
        <v>2.940909375E-2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-0.3464645833333333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35765625.467570283</v>
      </c>
      <c r="E34" s="39">
        <f t="shared" si="1"/>
        <v>29710169.773171876</v>
      </c>
      <c r="F34" s="40" t="s">
        <v>34</v>
      </c>
      <c r="G34" s="41">
        <v>3.6056249999999999</v>
      </c>
      <c r="H34" s="42">
        <v>3.7505000000000002</v>
      </c>
      <c r="I34" s="43">
        <v>3.7505000000000002</v>
      </c>
      <c r="J34" s="44">
        <f t="shared" si="8"/>
        <v>0.14109118542176879</v>
      </c>
      <c r="K34" s="45">
        <f t="shared" si="9"/>
        <v>0.11720312500000001</v>
      </c>
      <c r="L34" s="46">
        <f t="shared" si="14"/>
        <v>0</v>
      </c>
      <c r="M34" s="46">
        <f t="shared" si="15"/>
        <v>0</v>
      </c>
      <c r="N34" s="50">
        <v>0</v>
      </c>
      <c r="O34" s="37">
        <v>0</v>
      </c>
      <c r="P34" s="51">
        <f t="shared" si="16"/>
        <v>0</v>
      </c>
      <c r="Q34" s="48">
        <f t="shared" si="17"/>
        <v>4.0180273877621797E-2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10642689.75588836</v>
      </c>
      <c r="E35" s="39">
        <f t="shared" si="1"/>
        <v>8840782.6050000004</v>
      </c>
      <c r="F35" s="40" t="s">
        <v>34</v>
      </c>
      <c r="G35" s="41">
        <v>2.5099999999999997E-2</v>
      </c>
      <c r="H35" s="42">
        <v>0.06</v>
      </c>
      <c r="I35" s="43">
        <v>0.06</v>
      </c>
      <c r="J35" s="44">
        <f t="shared" si="8"/>
        <v>2.2571580123466541E-3</v>
      </c>
      <c r="K35" s="45">
        <f t="shared" si="9"/>
        <v>1.8749999999999999E-3</v>
      </c>
      <c r="L35" s="46">
        <f t="shared" si="14"/>
        <v>0</v>
      </c>
      <c r="M35" s="46">
        <f t="shared" si="15"/>
        <v>0</v>
      </c>
      <c r="N35" s="50">
        <v>7200</v>
      </c>
      <c r="O35" s="37">
        <v>432</v>
      </c>
      <c r="P35" s="51">
        <f t="shared" si="16"/>
        <v>0</v>
      </c>
      <c r="Q35" s="48">
        <f t="shared" si="17"/>
        <v>1.3904382470119523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69303256.300113305</v>
      </c>
      <c r="E36" s="39">
        <f t="shared" si="1"/>
        <v>57569565.290476315</v>
      </c>
      <c r="F36" s="40" t="s">
        <v>92</v>
      </c>
      <c r="G36" s="41">
        <v>0.61</v>
      </c>
      <c r="H36" s="42">
        <v>3.506977</v>
      </c>
      <c r="I36" s="43">
        <v>3.508394</v>
      </c>
      <c r="J36" s="44">
        <f t="shared" si="8"/>
        <v>0.1319833271261488</v>
      </c>
      <c r="K36" s="45">
        <f t="shared" si="9"/>
        <v>0.1096373125</v>
      </c>
      <c r="L36" s="46">
        <f t="shared" si="14"/>
        <v>1.4170000000000016E-3</v>
      </c>
      <c r="M36" s="46">
        <f t="shared" si="15"/>
        <v>4.0405169466466467E-2</v>
      </c>
      <c r="N36" s="50">
        <v>20700</v>
      </c>
      <c r="O36" s="37">
        <v>72623.75</v>
      </c>
      <c r="P36" s="51">
        <f t="shared" si="16"/>
        <v>0</v>
      </c>
      <c r="Q36" s="48">
        <f t="shared" si="17"/>
        <v>4.7514655737704921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135894087.99750018</v>
      </c>
      <c r="E37" s="39">
        <f t="shared" si="1"/>
        <v>112885944.89244844</v>
      </c>
      <c r="F37" s="40" t="s">
        <v>56</v>
      </c>
      <c r="G37" s="41">
        <v>0.11650199999999999</v>
      </c>
      <c r="H37" s="42">
        <v>0.88422100000000003</v>
      </c>
      <c r="I37" s="43">
        <v>0.86114999999999997</v>
      </c>
      <c r="J37" s="44">
        <f t="shared" si="8"/>
        <v>3.2395860372205355E-2</v>
      </c>
      <c r="K37" s="45">
        <f t="shared" si="9"/>
        <v>2.6910937499999999E-2</v>
      </c>
      <c r="L37" s="46">
        <f t="shared" si="14"/>
        <v>-2.3071000000000064E-2</v>
      </c>
      <c r="M37" s="46">
        <f t="shared" si="15"/>
        <v>-2.6091893316263768</v>
      </c>
      <c r="N37" s="50">
        <v>10000</v>
      </c>
      <c r="O37" s="37">
        <v>8611.5</v>
      </c>
      <c r="P37" s="51">
        <v>0</v>
      </c>
      <c r="Q37" s="48">
        <f t="shared" si="17"/>
        <v>6.391718597105629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22810985.168064188</v>
      </c>
      <c r="E38" s="39">
        <f t="shared" si="1"/>
        <v>18948871.526124969</v>
      </c>
      <c r="F38" s="40" t="s">
        <v>39</v>
      </c>
      <c r="G38" s="41">
        <v>0.1</v>
      </c>
      <c r="H38" s="42">
        <v>0.14050100000000001</v>
      </c>
      <c r="I38" s="43">
        <v>0.14050100000000001</v>
      </c>
      <c r="J38" s="44">
        <f t="shared" si="8"/>
        <v>5.2855492982119548E-3</v>
      </c>
      <c r="K38" s="45">
        <f t="shared" si="9"/>
        <v>4.3906562500000005E-3</v>
      </c>
      <c r="L38" s="46">
        <f t="shared" si="14"/>
        <v>0</v>
      </c>
      <c r="M38" s="46">
        <f t="shared" si="15"/>
        <v>0</v>
      </c>
      <c r="N38" s="50">
        <v>0</v>
      </c>
      <c r="O38" s="37">
        <v>0</v>
      </c>
      <c r="P38" s="51">
        <f t="shared" ref="P38:P44" si="18">(R38)/J38</f>
        <v>0</v>
      </c>
      <c r="Q38" s="48">
        <f t="shared" si="17"/>
        <v>0.40501000000000009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8549710.4772196338</v>
      </c>
      <c r="E39" s="39">
        <f t="shared" si="1"/>
        <v>7102164.3398906253</v>
      </c>
      <c r="F39" s="40" t="s">
        <v>44</v>
      </c>
      <c r="G39" s="41">
        <v>1.7452379999999998</v>
      </c>
      <c r="H39" s="42">
        <v>2.25</v>
      </c>
      <c r="I39" s="43">
        <v>2.1345000000000001</v>
      </c>
      <c r="J39" s="44">
        <f t="shared" si="8"/>
        <v>8.0298396289232229E-2</v>
      </c>
      <c r="K39" s="45">
        <f t="shared" si="9"/>
        <v>6.6703125000000002E-2</v>
      </c>
      <c r="L39" s="46">
        <f t="shared" si="14"/>
        <v>-0.11549999999999994</v>
      </c>
      <c r="M39" s="46">
        <f t="shared" si="15"/>
        <v>-5.1333333333333311</v>
      </c>
      <c r="N39" s="50">
        <v>50000</v>
      </c>
      <c r="O39" s="37">
        <v>106725</v>
      </c>
      <c r="P39" s="51">
        <f t="shared" si="18"/>
        <v>0</v>
      </c>
      <c r="Q39" s="48">
        <f t="shared" si="17"/>
        <v>0.22304235869262534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3352853.1448364123</v>
      </c>
      <c r="E40" s="39">
        <f t="shared" si="1"/>
        <v>2785183.6744173747</v>
      </c>
      <c r="F40" s="40" t="s">
        <v>39</v>
      </c>
      <c r="G40" s="41">
        <v>0.03</v>
      </c>
      <c r="H40" s="42">
        <v>5.3697999999999996E-2</v>
      </c>
      <c r="I40" s="43">
        <v>5.0126999999999998E-2</v>
      </c>
      <c r="J40" s="44">
        <f t="shared" si="8"/>
        <v>1.8857426614150123E-3</v>
      </c>
      <c r="K40" s="45">
        <f t="shared" si="9"/>
        <v>1.5664687499999999E-3</v>
      </c>
      <c r="L40" s="46">
        <f t="shared" si="14"/>
        <v>-3.5709999999999978E-3</v>
      </c>
      <c r="M40" s="46">
        <f t="shared" si="15"/>
        <v>-6.6501545681403371</v>
      </c>
      <c r="N40" s="50">
        <v>44000</v>
      </c>
      <c r="O40" s="37">
        <v>2205.6</v>
      </c>
      <c r="P40" s="51">
        <f t="shared" si="18"/>
        <v>0</v>
      </c>
      <c r="Q40" s="48">
        <f t="shared" si="17"/>
        <v>0.67090000000000005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46529278.443764783</v>
      </c>
      <c r="E41" s="39">
        <f t="shared" si="1"/>
        <v>38651435.391249999</v>
      </c>
      <c r="F41" s="40" t="s">
        <v>47</v>
      </c>
      <c r="G41" s="41">
        <v>4.5</v>
      </c>
      <c r="H41" s="42">
        <v>7.06</v>
      </c>
      <c r="I41" s="43">
        <v>7.06</v>
      </c>
      <c r="J41" s="44">
        <f t="shared" si="8"/>
        <v>0.26559225945278964</v>
      </c>
      <c r="K41" s="45">
        <f t="shared" si="9"/>
        <v>0.22062499999999999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0.56888888888888878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313.74789418443243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6.7714740370399635E-7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1560147.6181340076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2.7085896148159854E-3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49248085.212229282</v>
      </c>
      <c r="E44" s="39">
        <f t="shared" si="1"/>
        <v>40909922.684999995</v>
      </c>
      <c r="F44" s="40" t="s">
        <v>47</v>
      </c>
      <c r="G44" s="41">
        <v>0.9998999999999999</v>
      </c>
      <c r="H44" s="42">
        <v>0.79782600000000004</v>
      </c>
      <c r="I44" s="43">
        <v>0.72</v>
      </c>
      <c r="J44" s="44">
        <f t="shared" si="8"/>
        <v>2.7085896148159851E-2</v>
      </c>
      <c r="K44" s="45">
        <f t="shared" si="9"/>
        <v>2.2499999999999999E-2</v>
      </c>
      <c r="L44" s="46">
        <f t="shared" si="14"/>
        <v>-7.7826000000000062E-2</v>
      </c>
      <c r="M44" s="46">
        <f t="shared" si="15"/>
        <v>-9.7547585563769612</v>
      </c>
      <c r="N44" s="50">
        <v>28100</v>
      </c>
      <c r="O44" s="37">
        <v>20232</v>
      </c>
      <c r="P44" s="51">
        <f t="shared" si="18"/>
        <v>0</v>
      </c>
      <c r="Q44" s="48">
        <f t="shared" si="17"/>
        <v>-0.27992799279927993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16907811.312505785</v>
      </c>
      <c r="E45" s="39">
        <f t="shared" si="1"/>
        <v>14045160.3465675</v>
      </c>
      <c r="F45" s="40" t="s">
        <v>47</v>
      </c>
      <c r="G45" s="41">
        <v>1.4503460000000001</v>
      </c>
      <c r="H45" s="42">
        <v>4.5</v>
      </c>
      <c r="I45" s="43">
        <v>4.3757580000000003</v>
      </c>
      <c r="J45" s="44">
        <f t="shared" si="8"/>
        <v>0.16461295382983288</v>
      </c>
      <c r="K45" s="45">
        <f t="shared" si="9"/>
        <v>0.13674243750000001</v>
      </c>
      <c r="L45" s="46">
        <f t="shared" si="14"/>
        <v>-0.12424199999999974</v>
      </c>
      <c r="M45" s="46">
        <f t="shared" si="15"/>
        <v>-2.7609333333333277</v>
      </c>
      <c r="N45" s="50">
        <v>3300</v>
      </c>
      <c r="O45" s="37">
        <v>14440</v>
      </c>
      <c r="P45" s="51">
        <v>0</v>
      </c>
      <c r="Q45" s="48">
        <f t="shared" si="17"/>
        <v>2.0170442087612197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1619400</v>
      </c>
      <c r="O47" s="61">
        <f>SUM(O9:O45)</f>
        <v>10621352.550000001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91910388.400199994</v>
      </c>
      <c r="E50" s="39">
        <v>0</v>
      </c>
      <c r="F50" s="40" t="s">
        <v>92</v>
      </c>
      <c r="G50" s="70">
        <v>0.1</v>
      </c>
      <c r="H50" s="42">
        <v>0.16009999999999999</v>
      </c>
      <c r="I50" s="42">
        <v>0.1623</v>
      </c>
      <c r="J50" s="44">
        <f t="shared" ref="J50:J65" si="20">I50</f>
        <v>0.1623</v>
      </c>
      <c r="K50" s="39">
        <v>0</v>
      </c>
      <c r="L50" s="46">
        <f t="shared" ref="L50:L65" si="21">I50-H50</f>
        <v>2.2000000000000075E-3</v>
      </c>
      <c r="M50" s="46">
        <f t="shared" ref="M50:M65" si="22">((I50-H50)/H50)*100</f>
        <v>1.3741411617738961</v>
      </c>
      <c r="N50" s="50">
        <v>64427</v>
      </c>
      <c r="O50" s="37">
        <v>10453.56</v>
      </c>
      <c r="P50" s="71">
        <f>(R50)/J50</f>
        <v>0</v>
      </c>
      <c r="Q50" s="48">
        <f t="shared" ref="Q50:Q65" si="23">J50/G50-1</f>
        <v>0.623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41244040.448600002</v>
      </c>
      <c r="E51" s="39">
        <v>0</v>
      </c>
      <c r="F51" s="40" t="s">
        <v>39</v>
      </c>
      <c r="G51" s="70">
        <v>39.9</v>
      </c>
      <c r="H51" s="42">
        <v>32.756700000000002</v>
      </c>
      <c r="I51" s="42">
        <v>37.0931</v>
      </c>
      <c r="J51" s="44">
        <f t="shared" si="20"/>
        <v>37.0931</v>
      </c>
      <c r="K51" s="39">
        <v>0</v>
      </c>
      <c r="L51" s="46">
        <f t="shared" si="21"/>
        <v>4.3363999999999976</v>
      </c>
      <c r="M51" s="46">
        <f t="shared" si="22"/>
        <v>13.238207755970526</v>
      </c>
      <c r="N51" s="50">
        <v>33373</v>
      </c>
      <c r="O51" s="37">
        <v>1237907.5</v>
      </c>
      <c r="P51" s="72">
        <f>(R51)/J51</f>
        <v>1.5097147447908103E-2</v>
      </c>
      <c r="Q51" s="48">
        <f t="shared" si="23"/>
        <v>-7.0348370927318271E-2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666653961.62839997</v>
      </c>
      <c r="E52" s="39"/>
      <c r="F52" s="40" t="s">
        <v>56</v>
      </c>
      <c r="G52" s="70">
        <v>0.33</v>
      </c>
      <c r="H52" s="42">
        <v>0.2132</v>
      </c>
      <c r="I52" s="42">
        <v>0.2228</v>
      </c>
      <c r="J52" s="44">
        <f t="shared" si="20"/>
        <v>0.2228</v>
      </c>
      <c r="K52" s="39">
        <v>0</v>
      </c>
      <c r="L52" s="46">
        <f t="shared" si="21"/>
        <v>9.5999999999999974E-3</v>
      </c>
      <c r="M52" s="46">
        <f t="shared" si="22"/>
        <v>4.5028142589118181</v>
      </c>
      <c r="N52" s="50">
        <v>76261</v>
      </c>
      <c r="O52" s="37">
        <v>16994.39</v>
      </c>
      <c r="P52" s="71">
        <v>0</v>
      </c>
      <c r="Q52" s="48">
        <f t="shared" si="23"/>
        <v>-0.32484848484848483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349059122.94059998</v>
      </c>
      <c r="E54" s="39">
        <v>0</v>
      </c>
      <c r="F54" s="40" t="s">
        <v>47</v>
      </c>
      <c r="G54" s="70">
        <v>9.0200000000000002E-2</v>
      </c>
      <c r="H54" s="42">
        <v>0.1641</v>
      </c>
      <c r="I54" s="42">
        <v>0.16139999999999999</v>
      </c>
      <c r="J54" s="44">
        <f t="shared" si="20"/>
        <v>0.16139999999999999</v>
      </c>
      <c r="K54" s="39">
        <v>0</v>
      </c>
      <c r="L54" s="46">
        <f t="shared" si="21"/>
        <v>-2.7000000000000079E-3</v>
      </c>
      <c r="M54" s="74">
        <f t="shared" si="22"/>
        <v>-1.6453382084095112</v>
      </c>
      <c r="N54" s="50">
        <v>13674</v>
      </c>
      <c r="O54" s="37">
        <v>2206.52</v>
      </c>
      <c r="P54" s="71">
        <f t="shared" si="24"/>
        <v>0</v>
      </c>
      <c r="Q54" s="48">
        <f t="shared" si="23"/>
        <v>0.78935698447893543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806930549.09500003</v>
      </c>
      <c r="E55" s="39">
        <v>0</v>
      </c>
      <c r="F55" s="40" t="s">
        <v>34</v>
      </c>
      <c r="G55" s="70">
        <v>0.95750000000000002</v>
      </c>
      <c r="H55" s="42">
        <v>1.4066000000000001</v>
      </c>
      <c r="I55" s="42">
        <v>1.4011</v>
      </c>
      <c r="J55" s="44">
        <f t="shared" si="20"/>
        <v>1.4011</v>
      </c>
      <c r="K55" s="39">
        <v>0</v>
      </c>
      <c r="L55" s="46">
        <f t="shared" si="21"/>
        <v>-5.5000000000000604E-3</v>
      </c>
      <c r="M55" s="46">
        <f t="shared" si="22"/>
        <v>-0.3910137921228537</v>
      </c>
      <c r="N55" s="50">
        <v>119086</v>
      </c>
      <c r="O55" s="37">
        <v>166845.56</v>
      </c>
      <c r="P55" s="72">
        <f t="shared" si="24"/>
        <v>3.3545071729355509E-2</v>
      </c>
      <c r="Q55" s="48">
        <f t="shared" si="23"/>
        <v>0.46328981723237606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23810192.189999998</v>
      </c>
      <c r="E56" s="39">
        <v>0</v>
      </c>
      <c r="F56" s="40" t="s">
        <v>34</v>
      </c>
      <c r="G56" s="70">
        <v>0.1595</v>
      </c>
      <c r="H56" s="42">
        <v>0.1353</v>
      </c>
      <c r="I56" s="42">
        <v>0.14499999999999999</v>
      </c>
      <c r="J56" s="44">
        <f t="shared" si="20"/>
        <v>0.14499999999999999</v>
      </c>
      <c r="K56" s="39">
        <v>0</v>
      </c>
      <c r="L56" s="46">
        <f t="shared" si="21"/>
        <v>9.6999999999999864E-3</v>
      </c>
      <c r="M56" s="46">
        <f t="shared" si="22"/>
        <v>7.1692535107169153</v>
      </c>
      <c r="N56" s="50">
        <v>1975</v>
      </c>
      <c r="O56" s="37">
        <v>286.37</v>
      </c>
      <c r="P56" s="71">
        <f t="shared" si="24"/>
        <v>0</v>
      </c>
      <c r="Q56" s="48">
        <f t="shared" si="23"/>
        <v>-9.0909090909090939E-2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22558536.405400001</v>
      </c>
      <c r="E57" s="39">
        <v>0</v>
      </c>
      <c r="F57" s="40" t="s">
        <v>92</v>
      </c>
      <c r="G57" s="70">
        <v>1.6799999999999999E-2</v>
      </c>
      <c r="H57" s="42">
        <v>2.24E-2</v>
      </c>
      <c r="I57" s="42">
        <v>2.29E-2</v>
      </c>
      <c r="J57" s="44">
        <f t="shared" si="20"/>
        <v>2.29E-2</v>
      </c>
      <c r="K57" s="39">
        <v>0</v>
      </c>
      <c r="L57" s="46">
        <f t="shared" si="21"/>
        <v>5.0000000000000044E-4</v>
      </c>
      <c r="M57" s="74">
        <f t="shared" si="22"/>
        <v>2.2321428571428594</v>
      </c>
      <c r="N57" s="50">
        <v>40090</v>
      </c>
      <c r="O57" s="37">
        <v>916.06</v>
      </c>
      <c r="P57" s="71">
        <f t="shared" si="24"/>
        <v>0</v>
      </c>
      <c r="Q57" s="48">
        <f t="shared" si="23"/>
        <v>0.36309523809523814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2607252.2090999996</v>
      </c>
      <c r="E58" s="39">
        <v>0</v>
      </c>
      <c r="F58" s="40" t="s">
        <v>137</v>
      </c>
      <c r="G58" s="70">
        <v>19.5</v>
      </c>
      <c r="H58" s="42">
        <v>16</v>
      </c>
      <c r="I58" s="42">
        <v>16.166699999999999</v>
      </c>
      <c r="J58" s="44">
        <f t="shared" si="20"/>
        <v>16.166699999999999</v>
      </c>
      <c r="K58" s="39">
        <v>0</v>
      </c>
      <c r="L58" s="46">
        <f t="shared" si="21"/>
        <v>0.16669999999999874</v>
      </c>
      <c r="M58" s="46">
        <f t="shared" si="22"/>
        <v>1.0418749999999921</v>
      </c>
      <c r="N58" s="50">
        <v>3</v>
      </c>
      <c r="O58" s="37">
        <v>48.5</v>
      </c>
      <c r="P58" s="71">
        <f t="shared" si="24"/>
        <v>0</v>
      </c>
      <c r="Q58" s="48">
        <f t="shared" si="23"/>
        <v>-0.17093846153846159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3995156712.9842</v>
      </c>
      <c r="E59" s="39">
        <v>0</v>
      </c>
      <c r="F59" s="40" t="s">
        <v>47</v>
      </c>
      <c r="G59" s="70">
        <v>0.78169999999999995</v>
      </c>
      <c r="H59" s="51">
        <v>0.88260000000000005</v>
      </c>
      <c r="I59" s="42">
        <v>0.88819999999999999</v>
      </c>
      <c r="J59" s="44">
        <f t="shared" si="20"/>
        <v>0.88819999999999999</v>
      </c>
      <c r="K59" s="39">
        <v>0</v>
      </c>
      <c r="L59" s="46">
        <f t="shared" si="21"/>
        <v>5.5999999999999384E-3</v>
      </c>
      <c r="M59" s="46">
        <f t="shared" si="22"/>
        <v>0.6344890097439313</v>
      </c>
      <c r="N59" s="75">
        <v>30448</v>
      </c>
      <c r="O59" s="76">
        <v>27044.48</v>
      </c>
      <c r="P59" s="71">
        <f t="shared" si="24"/>
        <v>0</v>
      </c>
      <c r="Q59" s="48">
        <f t="shared" si="23"/>
        <v>0.13624152488166819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1201033934.8018</v>
      </c>
      <c r="E60" s="39">
        <v>0</v>
      </c>
      <c r="F60" s="40" t="s">
        <v>92</v>
      </c>
      <c r="G60" s="70">
        <v>0.59499999999999997</v>
      </c>
      <c r="H60" s="42">
        <v>1.4812000000000001</v>
      </c>
      <c r="I60" s="42">
        <v>1.4918</v>
      </c>
      <c r="J60" s="44">
        <f t="shared" si="20"/>
        <v>1.4918</v>
      </c>
      <c r="K60" s="39">
        <v>0</v>
      </c>
      <c r="L60" s="46">
        <f t="shared" si="21"/>
        <v>1.0599999999999943E-2</v>
      </c>
      <c r="M60" s="46">
        <f t="shared" si="22"/>
        <v>0.71563597083445463</v>
      </c>
      <c r="N60" s="50">
        <v>57557</v>
      </c>
      <c r="O60" s="37">
        <v>85864.72</v>
      </c>
      <c r="P60" s="71">
        <f t="shared" si="24"/>
        <v>0</v>
      </c>
      <c r="Q60" s="48">
        <f t="shared" si="23"/>
        <v>1.5072268907563027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94144012.4498</v>
      </c>
      <c r="E61" s="39">
        <v>0</v>
      </c>
      <c r="F61" s="40" t="s">
        <v>34</v>
      </c>
      <c r="G61" s="70">
        <v>0.22600000000000001</v>
      </c>
      <c r="H61" s="42">
        <v>0.35699999999999998</v>
      </c>
      <c r="I61" s="42">
        <v>0.36109999999999998</v>
      </c>
      <c r="J61" s="44">
        <f t="shared" si="20"/>
        <v>0.36109999999999998</v>
      </c>
      <c r="K61" s="39">
        <v>0</v>
      </c>
      <c r="L61" s="46">
        <f t="shared" si="21"/>
        <v>4.0999999999999925E-3</v>
      </c>
      <c r="M61" s="46">
        <f t="shared" si="22"/>
        <v>1.1484593837534993</v>
      </c>
      <c r="N61" s="50">
        <v>8688</v>
      </c>
      <c r="O61" s="37">
        <v>3137.4</v>
      </c>
      <c r="P61" s="71">
        <f t="shared" si="24"/>
        <v>0</v>
      </c>
      <c r="Q61" s="48">
        <f t="shared" si="23"/>
        <v>0.59778761061946883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388863217.85960001</v>
      </c>
      <c r="E62" s="39">
        <v>0</v>
      </c>
      <c r="F62" s="40" t="s">
        <v>34</v>
      </c>
      <c r="G62" s="70">
        <v>0.49440000000000001</v>
      </c>
      <c r="H62" s="42">
        <v>0.69869999999999999</v>
      </c>
      <c r="I62" s="42">
        <v>0.69169999999999998</v>
      </c>
      <c r="J62" s="44">
        <f t="shared" si="20"/>
        <v>0.69169999999999998</v>
      </c>
      <c r="K62" s="39">
        <v>0</v>
      </c>
      <c r="L62" s="46">
        <f t="shared" si="21"/>
        <v>-7.0000000000000062E-3</v>
      </c>
      <c r="M62" s="46">
        <f t="shared" si="22"/>
        <v>-1.0018605982539011</v>
      </c>
      <c r="N62" s="50">
        <v>27553</v>
      </c>
      <c r="O62" s="37">
        <v>19057.3</v>
      </c>
      <c r="P62" s="71">
        <f t="shared" si="24"/>
        <v>0</v>
      </c>
      <c r="Q62" s="48">
        <f t="shared" si="23"/>
        <v>0.39906957928802589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92297992.061999992</v>
      </c>
      <c r="E63" s="39">
        <v>0</v>
      </c>
      <c r="F63" s="40" t="s">
        <v>34</v>
      </c>
      <c r="G63" s="70">
        <v>0.25950000000000001</v>
      </c>
      <c r="H63" s="42">
        <v>0.25209999999999999</v>
      </c>
      <c r="I63" s="42">
        <v>0.25319999999999998</v>
      </c>
      <c r="J63" s="44">
        <f t="shared" si="20"/>
        <v>0.25319999999999998</v>
      </c>
      <c r="K63" s="39">
        <v>0</v>
      </c>
      <c r="L63" s="46">
        <f t="shared" si="21"/>
        <v>1.0999999999999899E-3</v>
      </c>
      <c r="M63" s="46">
        <f t="shared" si="22"/>
        <v>0.43633478778262197</v>
      </c>
      <c r="N63" s="50">
        <v>2196</v>
      </c>
      <c r="O63" s="37">
        <v>556.09</v>
      </c>
      <c r="P63" s="71">
        <f t="shared" si="24"/>
        <v>0</v>
      </c>
      <c r="Q63" s="48">
        <f t="shared" si="23"/>
        <v>-2.4277456647398998E-2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420000000</v>
      </c>
      <c r="E64" s="39">
        <v>0</v>
      </c>
      <c r="F64" s="40" t="s">
        <v>66</v>
      </c>
      <c r="G64" s="70">
        <v>10</v>
      </c>
      <c r="H64" s="42">
        <v>14</v>
      </c>
      <c r="I64" s="42">
        <v>14</v>
      </c>
      <c r="J64" s="44">
        <f t="shared" si="20"/>
        <v>14</v>
      </c>
      <c r="K64" s="39">
        <v>0</v>
      </c>
      <c r="L64" s="46">
        <f t="shared" si="21"/>
        <v>0</v>
      </c>
      <c r="M64" s="46">
        <f t="shared" si="22"/>
        <v>0</v>
      </c>
      <c r="N64" s="50">
        <v>406893</v>
      </c>
      <c r="O64" s="37">
        <v>1155779.57</v>
      </c>
      <c r="P64" s="71">
        <f t="shared" si="24"/>
        <v>0</v>
      </c>
      <c r="Q64" s="48">
        <f t="shared" si="23"/>
        <v>0.39999999999999991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41177368.077</v>
      </c>
      <c r="E65" s="39">
        <v>0</v>
      </c>
      <c r="F65" s="40" t="s">
        <v>44</v>
      </c>
      <c r="G65" s="70">
        <v>4.2999999999999997E-2</v>
      </c>
      <c r="H65" s="42">
        <v>0.1195</v>
      </c>
      <c r="I65" s="42">
        <v>0.1195</v>
      </c>
      <c r="J65" s="44">
        <f t="shared" si="20"/>
        <v>0.1195</v>
      </c>
      <c r="K65" s="39">
        <v>0</v>
      </c>
      <c r="L65" s="46">
        <f t="shared" si="21"/>
        <v>0</v>
      </c>
      <c r="M65" s="46">
        <f t="shared" si="22"/>
        <v>0</v>
      </c>
      <c r="N65" s="50">
        <v>5429</v>
      </c>
      <c r="O65" s="37">
        <v>648.73</v>
      </c>
      <c r="P65" s="71">
        <f t="shared" si="24"/>
        <v>0</v>
      </c>
      <c r="Q65" s="48">
        <f t="shared" si="23"/>
        <v>1.7790697674418605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887653</v>
      </c>
      <c r="O66" s="62">
        <f>SUM(O50:O65)</f>
        <v>2727746.7500000005</v>
      </c>
      <c r="P66" s="80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985</v>
      </c>
      <c r="O71" s="96">
        <v>344.75</v>
      </c>
      <c r="P71" s="71">
        <f>(R71)/J71</f>
        <v>0</v>
      </c>
      <c r="Q71" s="48">
        <f>J71/G71-1</f>
        <v>0.45833333333333326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81653514.25</v>
      </c>
      <c r="E72" s="39">
        <f>C72*K72</f>
        <v>81653514.25</v>
      </c>
      <c r="F72" s="92" t="s">
        <v>159</v>
      </c>
      <c r="G72" s="92">
        <v>0.1</v>
      </c>
      <c r="H72" s="93">
        <v>0.15060000000000001</v>
      </c>
      <c r="I72" s="93">
        <v>0.151</v>
      </c>
      <c r="J72" s="94">
        <f>I72</f>
        <v>0.151</v>
      </c>
      <c r="K72" s="94">
        <f>J72</f>
        <v>0.151</v>
      </c>
      <c r="L72" s="46">
        <f>I72-H72</f>
        <v>3.999999999999837E-4</v>
      </c>
      <c r="M72" s="46">
        <f>((I72-H72)/H72)*100</f>
        <v>0.26560424966798385</v>
      </c>
      <c r="N72" s="50">
        <v>3589</v>
      </c>
      <c r="O72" s="96">
        <v>541.87</v>
      </c>
      <c r="P72" s="97">
        <f>(R72)/J72</f>
        <v>2.5112582781456953E-2</v>
      </c>
      <c r="Q72" s="48">
        <f>J72/G72-1</f>
        <v>0.50999999999999979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4574</v>
      </c>
      <c r="O73" s="62">
        <f>SUM(O71:O72)</f>
        <v>886.62</v>
      </c>
      <c r="P73" s="90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7644911.1689999998</v>
      </c>
      <c r="E75" s="39">
        <f>C75*K75</f>
        <v>7644911.1689999998</v>
      </c>
      <c r="F75" s="92" t="s">
        <v>137</v>
      </c>
      <c r="G75" s="92">
        <v>0.1394</v>
      </c>
      <c r="H75" s="93">
        <v>0.1177</v>
      </c>
      <c r="I75" s="93">
        <v>0.11899999999999999</v>
      </c>
      <c r="J75" s="94">
        <f>I75</f>
        <v>0.11899999999999999</v>
      </c>
      <c r="K75" s="94">
        <f>J75</f>
        <v>0.11899999999999999</v>
      </c>
      <c r="L75" s="46">
        <f>I75-H75</f>
        <v>1.2999999999999956E-3</v>
      </c>
      <c r="M75" s="46">
        <f>((I75-H75)/H75)*100</f>
        <v>1.1045029736618484</v>
      </c>
      <c r="N75" s="95">
        <v>50</v>
      </c>
      <c r="O75" s="96">
        <v>5.95</v>
      </c>
      <c r="P75" s="71">
        <f>(R75)/J75</f>
        <v>0</v>
      </c>
      <c r="Q75" s="48">
        <f>J75/G75-1</f>
        <v>-0.14634146341463417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111513.07550945936</v>
      </c>
      <c r="E78" s="39">
        <f>C78*K78</f>
        <v>92632.866390625</v>
      </c>
      <c r="F78" s="40" t="s">
        <v>137</v>
      </c>
      <c r="G78" s="70">
        <v>0.105</v>
      </c>
      <c r="H78" s="42">
        <v>0.11</v>
      </c>
      <c r="I78" s="42">
        <v>9.35E-2</v>
      </c>
      <c r="J78" s="44">
        <f>I78/$J$5</f>
        <v>3.5174045692402027E-3</v>
      </c>
      <c r="K78" s="45">
        <f>I78/$K$4</f>
        <v>2.921875E-3</v>
      </c>
      <c r="L78" s="46">
        <f>I78-H78</f>
        <v>-1.6500000000000001E-2</v>
      </c>
      <c r="M78" s="98">
        <f>((I78-H78)/H78)*100</f>
        <v>-15</v>
      </c>
      <c r="N78" s="37">
        <v>133100</v>
      </c>
      <c r="O78" s="37">
        <v>12444.85</v>
      </c>
      <c r="P78" s="40">
        <v>0</v>
      </c>
      <c r="Q78" s="48">
        <f>I78/G78-1</f>
        <v>-0.10952380952380947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461008.89997404267</v>
      </c>
      <c r="E79" s="39">
        <f>C79*K79</f>
        <v>382955.77124999999</v>
      </c>
      <c r="F79" s="40" t="s">
        <v>137</v>
      </c>
      <c r="G79" s="70">
        <v>4.2500000000000003E-2</v>
      </c>
      <c r="H79" s="42">
        <v>0.08</v>
      </c>
      <c r="I79" s="42">
        <v>0.09</v>
      </c>
      <c r="J79" s="44">
        <f>I79/$J$5</f>
        <v>3.3857370185199813E-3</v>
      </c>
      <c r="K79" s="45">
        <f>I79/$K$4</f>
        <v>2.8124999999999999E-3</v>
      </c>
      <c r="L79" s="46">
        <f>I79-H79</f>
        <v>9.999999999999995E-3</v>
      </c>
      <c r="M79" s="98">
        <f>((I79-H79)/H79)*100</f>
        <v>12.499999999999993</v>
      </c>
      <c r="N79" s="37">
        <v>1000</v>
      </c>
      <c r="O79" s="37">
        <v>90</v>
      </c>
      <c r="P79" s="40">
        <v>0</v>
      </c>
      <c r="Q79" s="48">
        <f>I79/G79-1</f>
        <v>1.117647058823529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1595183.7499670831</v>
      </c>
      <c r="E80" s="39">
        <f>C80*K80</f>
        <v>1325104.18625</v>
      </c>
      <c r="F80" s="40" t="s">
        <v>137</v>
      </c>
      <c r="G80" s="70">
        <v>6.0499999999999998E-2</v>
      </c>
      <c r="H80" s="42">
        <v>0.129409</v>
      </c>
      <c r="I80" s="42">
        <v>0.13</v>
      </c>
      <c r="J80" s="44">
        <f>I80/$J$5</f>
        <v>4.8905090267510843E-3</v>
      </c>
      <c r="K80" s="45">
        <f>I80/$K$4</f>
        <v>4.0625000000000001E-3</v>
      </c>
      <c r="L80" s="46">
        <f>I80-H80</f>
        <v>5.9100000000000819E-4</v>
      </c>
      <c r="M80" s="98">
        <f>((I80-H80)/H80)*100</f>
        <v>0.45669157477455835</v>
      </c>
      <c r="N80" s="37">
        <v>400</v>
      </c>
      <c r="O80" s="37">
        <v>52</v>
      </c>
      <c r="P80" s="40">
        <v>0</v>
      </c>
      <c r="Q80" s="48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424555.30488561851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6.3576617347764097E-2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134500</v>
      </c>
      <c r="O82" s="62">
        <f>SUM(O78:O81)</f>
        <v>12586.85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26326733.538734712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7.1476670390977382E-2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100</v>
      </c>
      <c r="O84" s="76">
        <v>190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72696777.6633524</v>
      </c>
      <c r="E85" s="39">
        <f>C85*K85</f>
        <v>60388531.672656246</v>
      </c>
      <c r="F85" s="40" t="s">
        <v>177</v>
      </c>
      <c r="G85" s="40">
        <v>1.44347</v>
      </c>
      <c r="H85" s="42">
        <v>1.0514490000000001</v>
      </c>
      <c r="I85" s="42">
        <v>1.0496049999999999</v>
      </c>
      <c r="J85" s="44">
        <f>I85/$J$5</f>
        <v>3.9485405592485166E-2</v>
      </c>
      <c r="K85" s="45">
        <f>I85/$K$4</f>
        <v>3.2800156249999997E-2</v>
      </c>
      <c r="L85" s="46">
        <f>I85-H85</f>
        <v>-1.8440000000001788E-3</v>
      </c>
      <c r="M85" s="46">
        <f>((I85-H85)/H85*100)</f>
        <v>-0.17537702732136118</v>
      </c>
      <c r="N85" s="76">
        <v>4891752</v>
      </c>
      <c r="O85" s="76">
        <v>5134411.6449999996</v>
      </c>
      <c r="P85" s="47">
        <f>(R85)/J85</f>
        <v>5.510896918364528E-2</v>
      </c>
      <c r="Q85" s="48">
        <f>I85/G85-1</f>
        <v>-0.27285984467983415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5">
      <c r="A89" s="35" t="s">
        <v>73</v>
      </c>
      <c r="B89" s="116">
        <v>1.72</v>
      </c>
      <c r="D89" s="116">
        <v>13.90728476821192</v>
      </c>
      <c r="E89" s="35" t="s">
        <v>113</v>
      </c>
      <c r="F89" s="117">
        <v>0.72</v>
      </c>
      <c r="H89" s="118">
        <v>-9.7547585563769612</v>
      </c>
      <c r="J89" s="35" t="s">
        <v>121</v>
      </c>
      <c r="K89" s="51">
        <v>37.0931</v>
      </c>
      <c r="L89" s="119">
        <v>13.238207755970526</v>
      </c>
      <c r="M89" s="35" t="s">
        <v>127</v>
      </c>
      <c r="N89" s="117">
        <v>0.16139999999999999</v>
      </c>
      <c r="O89" s="118">
        <v>-1.6453382084095112</v>
      </c>
      <c r="P89" s="118">
        <v>-1.3931214627775275</v>
      </c>
      <c r="Q89" s="16"/>
    </row>
    <row r="90" spans="1:243" ht="15" customHeight="1" x14ac:dyDescent="0.25">
      <c r="A90" s="35" t="s">
        <v>70</v>
      </c>
      <c r="B90" s="116">
        <v>10.9</v>
      </c>
      <c r="D90" s="116">
        <v>0.9259259259259226</v>
      </c>
      <c r="E90" s="35" t="s">
        <v>105</v>
      </c>
      <c r="F90" s="117">
        <v>5.0126999999999998E-2</v>
      </c>
      <c r="H90" s="118">
        <v>-6.6501545681403371</v>
      </c>
      <c r="J90" s="35" t="s">
        <v>131</v>
      </c>
      <c r="K90" s="51">
        <v>0.14499999999999999</v>
      </c>
      <c r="L90" s="119">
        <v>7.1692535107169153</v>
      </c>
      <c r="M90" s="35" t="s">
        <v>144</v>
      </c>
      <c r="N90" s="117">
        <v>0.69169999999999998</v>
      </c>
      <c r="O90" s="118">
        <v>-1.0018605982539011</v>
      </c>
      <c r="P90" s="118">
        <v>-0.80321285140561771</v>
      </c>
      <c r="Q90" s="16"/>
    </row>
    <row r="91" spans="1:243" ht="15" customHeight="1" x14ac:dyDescent="0.25">
      <c r="A91" s="35" t="s">
        <v>45</v>
      </c>
      <c r="B91" s="116">
        <v>32.466799999999999</v>
      </c>
      <c r="C91" s="116"/>
      <c r="D91" s="116">
        <v>0.73659453790638663</v>
      </c>
      <c r="E91" s="120" t="s">
        <v>103</v>
      </c>
      <c r="F91" s="117">
        <v>2.1345000000000001</v>
      </c>
      <c r="G91" s="121"/>
      <c r="H91" s="118">
        <v>-5.1333333333333311</v>
      </c>
      <c r="J91" s="35" t="s">
        <v>123</v>
      </c>
      <c r="K91" s="51">
        <v>0.2228</v>
      </c>
      <c r="L91" s="119">
        <v>4.5028142589118181</v>
      </c>
      <c r="M91" s="35" t="s">
        <v>129</v>
      </c>
      <c r="N91" s="117">
        <v>1.4011</v>
      </c>
      <c r="O91" s="118">
        <v>-0.3910137921228537</v>
      </c>
      <c r="P91" s="118">
        <v>-0.77994428969359408</v>
      </c>
      <c r="Q91" s="16"/>
    </row>
    <row r="92" spans="1:243" ht="15" customHeight="1" x14ac:dyDescent="0.25">
      <c r="A92" s="35" t="s">
        <v>68</v>
      </c>
      <c r="B92" s="116">
        <v>0.11</v>
      </c>
      <c r="C92" s="116"/>
      <c r="D92" s="116">
        <v>0.20222631128277066</v>
      </c>
      <c r="E92" s="120" t="s">
        <v>81</v>
      </c>
      <c r="F92" s="117">
        <v>7.1757140000000001</v>
      </c>
      <c r="G92" s="121"/>
      <c r="H92" s="118">
        <v>-3.0311801775724416</v>
      </c>
      <c r="J92" s="35" t="s">
        <v>133</v>
      </c>
      <c r="K92" s="51">
        <v>2.29E-2</v>
      </c>
      <c r="L92" s="119">
        <v>2.2321428571428594</v>
      </c>
      <c r="M92" s="35"/>
      <c r="N92" s="117"/>
      <c r="O92" s="118"/>
      <c r="P92" s="118">
        <v>-0.56417489421721045</v>
      </c>
      <c r="Q92" s="16"/>
    </row>
    <row r="93" spans="1:243" ht="15" customHeight="1" x14ac:dyDescent="0.25">
      <c r="A93" s="35" t="s">
        <v>52</v>
      </c>
      <c r="B93" s="116">
        <v>33.531700000000001</v>
      </c>
      <c r="C93" s="116"/>
      <c r="D93" s="116">
        <v>0.16878166523276864</v>
      </c>
      <c r="E93" s="120" t="s">
        <v>115</v>
      </c>
      <c r="F93" s="117">
        <v>4.3757580000000003</v>
      </c>
      <c r="G93" s="121"/>
      <c r="H93" s="118">
        <v>-2.7609333333333277</v>
      </c>
      <c r="J93" s="120" t="s">
        <v>119</v>
      </c>
      <c r="K93" s="121">
        <v>0.1623</v>
      </c>
      <c r="L93" s="119">
        <v>1.3741411617738961</v>
      </c>
      <c r="M93" s="35"/>
      <c r="N93" s="117"/>
      <c r="O93" s="118"/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IqCqggHyC41ZK6vvp53a3owxL7KfQlM7qYgwlrXTpe5xrYLudUDRFZtcgrFxGIM4eLqJAGwmfXnGmWz/PXR5Ww==" saltValue="jcXjCdUC3F5MPUqTaJuZFA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2026-10-22T12:54:15Z</dcterms:created>
  <dcterms:modified xsi:type="dcterms:W3CDTF">2026-10-22T12:58:19Z</dcterms:modified>
</cp:coreProperties>
</file>