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ly/27.07.26/"/>
    </mc:Choice>
  </mc:AlternateContent>
  <xr:revisionPtr revIDLastSave="3" documentId="8_{FEFA487A-CD14-4626-B426-172B15A8DA3D}" xr6:coauthVersionLast="47" xr6:coauthVersionMax="47" xr10:uidLastSave="{562EFEB7-6C29-4533-801D-37FEE9FA9C13}"/>
  <bookViews>
    <workbookView xWindow="-108" yWindow="-108" windowWidth="23256" windowHeight="12456" xr2:uid="{8C989F46-87A3-42BD-975E-5C1BB798E7C1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M84" i="1"/>
  <c r="L84" i="1"/>
  <c r="K84" i="1"/>
  <c r="J84" i="1"/>
  <c r="P84" i="1" s="1"/>
  <c r="E84" i="1"/>
  <c r="D84" i="1"/>
  <c r="Q83" i="1"/>
  <c r="P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J80" i="1"/>
  <c r="D80" i="1" s="1"/>
  <c r="E80" i="1"/>
  <c r="Q79" i="1"/>
  <c r="M79" i="1"/>
  <c r="L79" i="1"/>
  <c r="K79" i="1"/>
  <c r="E79" i="1" s="1"/>
  <c r="J79" i="1"/>
  <c r="D79" i="1"/>
  <c r="Q78" i="1"/>
  <c r="M78" i="1"/>
  <c r="L78" i="1"/>
  <c r="K78" i="1"/>
  <c r="E78" i="1" s="1"/>
  <c r="J78" i="1"/>
  <c r="D78" i="1"/>
  <c r="Q77" i="1"/>
  <c r="M77" i="1"/>
  <c r="L77" i="1"/>
  <c r="K77" i="1"/>
  <c r="E77" i="1" s="1"/>
  <c r="J77" i="1"/>
  <c r="D77" i="1"/>
  <c r="M74" i="1"/>
  <c r="L74" i="1"/>
  <c r="J74" i="1"/>
  <c r="D74" i="1" s="1"/>
  <c r="O72" i="1"/>
  <c r="N72" i="1"/>
  <c r="M71" i="1"/>
  <c r="L71" i="1"/>
  <c r="J71" i="1"/>
  <c r="K71" i="1" s="1"/>
  <c r="E71" i="1" s="1"/>
  <c r="M70" i="1"/>
  <c r="L70" i="1"/>
  <c r="J70" i="1"/>
  <c r="Q70" i="1" s="1"/>
  <c r="M67" i="1"/>
  <c r="L67" i="1"/>
  <c r="D67" i="1"/>
  <c r="O65" i="1"/>
  <c r="N65" i="1"/>
  <c r="M64" i="1"/>
  <c r="L64" i="1"/>
  <c r="J64" i="1"/>
  <c r="Q64" i="1" s="1"/>
  <c r="D64" i="1"/>
  <c r="M63" i="1"/>
  <c r="L63" i="1"/>
  <c r="J63" i="1"/>
  <c r="P63" i="1" s="1"/>
  <c r="M62" i="1"/>
  <c r="L62" i="1"/>
  <c r="J62" i="1"/>
  <c r="Q62" i="1" s="1"/>
  <c r="D62" i="1"/>
  <c r="M61" i="1"/>
  <c r="L61" i="1"/>
  <c r="J61" i="1"/>
  <c r="P61" i="1" s="1"/>
  <c r="M60" i="1"/>
  <c r="L60" i="1"/>
  <c r="J60" i="1"/>
  <c r="Q60" i="1" s="1"/>
  <c r="M59" i="1"/>
  <c r="L59" i="1"/>
  <c r="J59" i="1"/>
  <c r="P59" i="1" s="1"/>
  <c r="M58" i="1"/>
  <c r="L58" i="1"/>
  <c r="J58" i="1"/>
  <c r="Q58" i="1" s="1"/>
  <c r="M57" i="1"/>
  <c r="L57" i="1"/>
  <c r="J57" i="1"/>
  <c r="P57" i="1" s="1"/>
  <c r="M56" i="1"/>
  <c r="L56" i="1"/>
  <c r="J56" i="1"/>
  <c r="Q56" i="1" s="1"/>
  <c r="M55" i="1"/>
  <c r="L55" i="1"/>
  <c r="J55" i="1"/>
  <c r="P55" i="1" s="1"/>
  <c r="M54" i="1"/>
  <c r="L54" i="1"/>
  <c r="J54" i="1"/>
  <c r="Q54" i="1" s="1"/>
  <c r="D54" i="1"/>
  <c r="M53" i="1"/>
  <c r="L53" i="1"/>
  <c r="J53" i="1"/>
  <c r="P53" i="1" s="1"/>
  <c r="M52" i="1"/>
  <c r="L52" i="1"/>
  <c r="J52" i="1"/>
  <c r="Q52" i="1" s="1"/>
  <c r="M51" i="1"/>
  <c r="L51" i="1"/>
  <c r="J51" i="1"/>
  <c r="D51" i="1" s="1"/>
  <c r="M50" i="1"/>
  <c r="L50" i="1"/>
  <c r="J50" i="1"/>
  <c r="Q50" i="1" s="1"/>
  <c r="O47" i="1"/>
  <c r="N47" i="1"/>
  <c r="Q46" i="1"/>
  <c r="M46" i="1"/>
  <c r="L46" i="1"/>
  <c r="K46" i="1"/>
  <c r="E46" i="1" s="1"/>
  <c r="J46" i="1"/>
  <c r="D46" i="1" s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P44" i="1" s="1"/>
  <c r="Q43" i="1"/>
  <c r="M43" i="1"/>
  <c r="L43" i="1"/>
  <c r="K43" i="1"/>
  <c r="E43" i="1" s="1"/>
  <c r="J43" i="1"/>
  <c r="P43" i="1" s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P41" i="1" s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D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D37" i="1" s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P35" i="1" s="1"/>
  <c r="Q34" i="1"/>
  <c r="M34" i="1"/>
  <c r="L34" i="1"/>
  <c r="K34" i="1"/>
  <c r="E34" i="1" s="1"/>
  <c r="J34" i="1"/>
  <c r="D34" i="1" s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P32" i="1" s="1"/>
  <c r="D32" i="1"/>
  <c r="K31" i="1"/>
  <c r="E31" i="1" s="1"/>
  <c r="J31" i="1"/>
  <c r="D31" i="1" s="1"/>
  <c r="Q29" i="1"/>
  <c r="M29" i="1"/>
  <c r="L29" i="1"/>
  <c r="K29" i="1"/>
  <c r="E29" i="1" s="1"/>
  <c r="J29" i="1"/>
  <c r="P29" i="1" s="1"/>
  <c r="Q28" i="1"/>
  <c r="M28" i="1"/>
  <c r="L28" i="1"/>
  <c r="K28" i="1"/>
  <c r="E28" i="1" s="1"/>
  <c r="J28" i="1"/>
  <c r="D28" i="1" s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P26" i="1" s="1"/>
  <c r="D26" i="1"/>
  <c r="Q25" i="1"/>
  <c r="M25" i="1"/>
  <c r="L25" i="1"/>
  <c r="K25" i="1"/>
  <c r="E25" i="1" s="1"/>
  <c r="J25" i="1"/>
  <c r="D25" i="1" s="1"/>
  <c r="R24" i="1"/>
  <c r="Q24" i="1"/>
  <c r="M24" i="1"/>
  <c r="L24" i="1"/>
  <c r="K24" i="1"/>
  <c r="E24" i="1" s="1"/>
  <c r="J24" i="1"/>
  <c r="D24" i="1"/>
  <c r="Q23" i="1"/>
  <c r="M23" i="1"/>
  <c r="L23" i="1"/>
  <c r="K23" i="1"/>
  <c r="E23" i="1" s="1"/>
  <c r="J23" i="1"/>
  <c r="P23" i="1" s="1"/>
  <c r="Q22" i="1"/>
  <c r="M22" i="1"/>
  <c r="L22" i="1"/>
  <c r="K22" i="1"/>
  <c r="E22" i="1" s="1"/>
  <c r="J22" i="1"/>
  <c r="D22" i="1" s="1"/>
  <c r="Q21" i="1"/>
  <c r="M21" i="1"/>
  <c r="L21" i="1"/>
  <c r="K21" i="1"/>
  <c r="E21" i="1" s="1"/>
  <c r="J21" i="1"/>
  <c r="D21" i="1" s="1"/>
  <c r="Q20" i="1"/>
  <c r="M20" i="1"/>
  <c r="L20" i="1"/>
  <c r="K20" i="1"/>
  <c r="E20" i="1" s="1"/>
  <c r="J20" i="1"/>
  <c r="P20" i="1" s="1"/>
  <c r="Q19" i="1"/>
  <c r="M19" i="1"/>
  <c r="L19" i="1"/>
  <c r="K19" i="1"/>
  <c r="E19" i="1" s="1"/>
  <c r="J19" i="1"/>
  <c r="D19" i="1" s="1"/>
  <c r="E18" i="1"/>
  <c r="D18" i="1"/>
  <c r="Q17" i="1"/>
  <c r="M17" i="1"/>
  <c r="L17" i="1"/>
  <c r="K17" i="1"/>
  <c r="E17" i="1" s="1"/>
  <c r="J17" i="1"/>
  <c r="P17" i="1" s="1"/>
  <c r="D17" i="1"/>
  <c r="Q16" i="1"/>
  <c r="M16" i="1"/>
  <c r="L16" i="1"/>
  <c r="K16" i="1"/>
  <c r="E16" i="1" s="1"/>
  <c r="J16" i="1"/>
  <c r="P16" i="1" s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P14" i="1" s="1"/>
  <c r="Q13" i="1"/>
  <c r="M13" i="1"/>
  <c r="L13" i="1"/>
  <c r="K13" i="1"/>
  <c r="E13" i="1" s="1"/>
  <c r="J13" i="1"/>
  <c r="P13" i="1" s="1"/>
  <c r="Q12" i="1"/>
  <c r="M12" i="1"/>
  <c r="L12" i="1"/>
  <c r="K12" i="1"/>
  <c r="J12" i="1"/>
  <c r="D12" i="1" s="1"/>
  <c r="E12" i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P10" i="1" s="1"/>
  <c r="Q9" i="1"/>
  <c r="M9" i="1"/>
  <c r="L9" i="1"/>
  <c r="K9" i="1"/>
  <c r="E9" i="1" s="1"/>
  <c r="J9" i="1"/>
  <c r="P9" i="1" s="1"/>
  <c r="D58" i="1" l="1"/>
  <c r="D52" i="1"/>
  <c r="Q63" i="1"/>
  <c r="Q57" i="1"/>
  <c r="D56" i="1"/>
  <c r="D42" i="1"/>
  <c r="P37" i="1"/>
  <c r="D40" i="1"/>
  <c r="P39" i="1"/>
  <c r="D14" i="1"/>
  <c r="D45" i="1"/>
  <c r="P51" i="1"/>
  <c r="P25" i="1"/>
  <c r="Q51" i="1"/>
  <c r="P19" i="1"/>
  <c r="D9" i="1"/>
  <c r="D20" i="1"/>
  <c r="D43" i="1"/>
  <c r="D50" i="1"/>
  <c r="D60" i="1"/>
  <c r="D16" i="1"/>
  <c r="D11" i="1"/>
  <c r="D71" i="1"/>
  <c r="Q55" i="1"/>
  <c r="Q61" i="1"/>
  <c r="D13" i="1"/>
  <c r="D44" i="1"/>
  <c r="P71" i="1"/>
  <c r="D10" i="1"/>
  <c r="P28" i="1"/>
  <c r="Q71" i="1"/>
  <c r="P74" i="1"/>
  <c r="P12" i="1"/>
  <c r="D23" i="1"/>
  <c r="P34" i="1"/>
  <c r="Q53" i="1"/>
  <c r="Q59" i="1"/>
  <c r="K74" i="1"/>
  <c r="E74" i="1" s="1"/>
  <c r="D15" i="1"/>
  <c r="P24" i="1"/>
  <c r="D29" i="1"/>
  <c r="Q74" i="1"/>
  <c r="D35" i="1"/>
  <c r="D41" i="1"/>
  <c r="D70" i="1"/>
  <c r="K70" i="1"/>
  <c r="E70" i="1" s="1"/>
  <c r="P27" i="1"/>
  <c r="P33" i="1"/>
  <c r="P36" i="1"/>
  <c r="P54" i="1"/>
  <c r="P56" i="1"/>
  <c r="P58" i="1"/>
  <c r="P60" i="1"/>
  <c r="P62" i="1"/>
  <c r="P64" i="1"/>
  <c r="P50" i="1"/>
  <c r="P70" i="1"/>
  <c r="D53" i="1"/>
  <c r="D55" i="1"/>
  <c r="D57" i="1"/>
  <c r="D59" i="1"/>
  <c r="D61" i="1"/>
  <c r="D63" i="1"/>
  <c r="P21" i="1"/>
</calcChain>
</file>

<file path=xl/sharedStrings.xml><?xml version="1.0" encoding="utf-8"?>
<sst xmlns="http://schemas.openxmlformats.org/spreadsheetml/2006/main" count="266" uniqueCount="183">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</sst>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166" fontId="15" fillId="5" borderId="11" xfId="5" applyNumberFormat="1" applyFont="1" applyFill="1" applyBorder="1" applyAlignment="1"/>
    <xf numFmtId="164" fontId="15" fillId="5" borderId="11" xfId="5" applyFont="1" applyFill="1" applyBorder="1" applyAlignment="1"/>
    <xf numFmtId="168" fontId="15" fillId="5" borderId="11" xfId="4" applyNumberFormat="1" applyFont="1" applyFill="1" applyBorder="1"/>
    <xf numFmtId="167" fontId="15" fillId="5" borderId="11" xfId="4" applyNumberFormat="1" applyFont="1" applyFill="1" applyBorder="1"/>
    <xf numFmtId="166" fontId="15" fillId="5" borderId="11" xfId="4" applyNumberFormat="1" applyFont="1" applyFill="1" applyBorder="1"/>
    <xf numFmtId="164" fontId="15" fillId="5" borderId="11" xfId="4" applyFont="1" applyFill="1" applyBorder="1"/>
    <xf numFmtId="167" fontId="15" fillId="5" borderId="12" xfId="4" applyNumberFormat="1" applyFont="1" applyFill="1" applyBorder="1"/>
    <xf numFmtId="164" fontId="15" fillId="5" borderId="13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164" fontId="25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4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3" fillId="2" borderId="14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" xfId="4" xr:uid="{9401CA5F-F704-4E8E-83C3-024DFC2287FD}"/>
    <cellStyle name="Comma 5 2 2 2 2 2 2 2 2" xfId="5" xr:uid="{CFF143CB-FBE0-4B30-9249-C574383F43B8}"/>
    <cellStyle name="Comma 6 2 2 2" xfId="6" xr:uid="{E18BB548-7F93-496D-8324-58CC1C84740A}"/>
    <cellStyle name="Hyperlink 2" xfId="9" xr:uid="{D986BA3E-CA21-4A45-A130-657A929F20FB}"/>
    <cellStyle name="Normal" xfId="0" builtinId="0"/>
    <cellStyle name="Normal 2" xfId="3" xr:uid="{83A76786-2BAF-4FAB-9580-3E003C614DC2}"/>
    <cellStyle name="Normal 20" xfId="8" xr:uid="{2D75A248-6015-4EBD-BFF9-3B919E76EB39}"/>
    <cellStyle name="Percent" xfId="2" builtinId="5"/>
    <cellStyle name="Percent 3" xfId="7" xr:uid="{1F6CC2CD-2529-4813-93A8-440D272A39B5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86154152-9584-46E8-B252-7141E1980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8008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7</xdr:col>
      <xdr:colOff>10886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2A601E13-A314-4400-8CE8-C53CA23BA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198327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7E59-035C-4DE2-9362-B680A44C9845}">
  <dimension ref="A1:II106"/>
  <sheetViews>
    <sheetView tabSelected="1" topLeftCell="A40" zoomScale="70" zoomScaleNormal="70" workbookViewId="0">
      <selection activeCell="V68" sqref="V68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7.77734375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26.877600000000001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6.6" customHeight="1" x14ac:dyDescent="0.3">
      <c r="A6" s="13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ht="12.75" customHeight="1" x14ac:dyDescent="0.25">
      <c r="A9" s="35" t="s">
        <v>32</v>
      </c>
      <c r="B9" s="36" t="s">
        <v>33</v>
      </c>
      <c r="C9" s="37">
        <v>126034439</v>
      </c>
      <c r="D9" s="38">
        <f>C9*J9</f>
        <v>74089358.283477694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0.58785010566419627</v>
      </c>
      <c r="K9" s="45">
        <f>I9/$K$4</f>
        <v>0.50158730158730158</v>
      </c>
      <c r="L9" s="46">
        <f>I9-H9</f>
        <v>0</v>
      </c>
      <c r="M9" s="46">
        <f>((I9-H9)/H9)*100</f>
        <v>0</v>
      </c>
      <c r="N9" s="47">
        <v>0</v>
      </c>
      <c r="O9" s="37">
        <v>0</v>
      </c>
      <c r="P9" s="48">
        <f>(R9)/J9</f>
        <v>2.5516708860759491E-2</v>
      </c>
      <c r="Q9" s="49">
        <f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4539494.9677030314</v>
      </c>
      <c r="E10" s="39">
        <f>C10*K10</f>
        <v>3873356.5061566667</v>
      </c>
      <c r="F10" s="40" t="s">
        <v>34</v>
      </c>
      <c r="G10" s="41">
        <v>3.1600000000000003E-2</v>
      </c>
      <c r="H10" s="42">
        <v>7.4900000000000008E-2</v>
      </c>
      <c r="I10" s="43">
        <v>7.4972999999999998E-2</v>
      </c>
      <c r="J10" s="44">
        <f>I10/$J$5</f>
        <v>2.7894231627823909E-3</v>
      </c>
      <c r="K10" s="45">
        <f>I10/$K$4</f>
        <v>2.380095238095238E-3</v>
      </c>
      <c r="L10" s="46">
        <f>I10-H10</f>
        <v>7.299999999998974E-5</v>
      </c>
      <c r="M10" s="46">
        <f>((I10-H10)/H10)*100</f>
        <v>9.7463284379158521E-2</v>
      </c>
      <c r="N10" s="47">
        <v>112900</v>
      </c>
      <c r="O10" s="37">
        <v>8464.42</v>
      </c>
      <c r="P10" s="51">
        <f>(R10)/J10</f>
        <v>0</v>
      </c>
      <c r="Q10" s="49">
        <f>I10/G10-1</f>
        <v>1.3725632911392402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3572592.6347120651</v>
      </c>
      <c r="E11" s="39">
        <f>C11*K11</f>
        <v>3048340.1840868886</v>
      </c>
      <c r="F11" s="40" t="s">
        <v>39</v>
      </c>
      <c r="G11" s="41">
        <v>7.8E-2</v>
      </c>
      <c r="H11" s="42">
        <v>0.21974299999999999</v>
      </c>
      <c r="I11" s="43">
        <v>0.21974299999999999</v>
      </c>
      <c r="J11" s="44">
        <f>I11/$J$5</f>
        <v>8.1756927701878146E-3</v>
      </c>
      <c r="K11" s="45">
        <f>I11/$K$4</f>
        <v>6.9759682539682535E-3</v>
      </c>
      <c r="L11" s="46">
        <f>I11-H11</f>
        <v>0</v>
      </c>
      <c r="M11" s="46">
        <f>((I11-H11)/H11)*100</f>
        <v>0</v>
      </c>
      <c r="N11" s="47">
        <v>0</v>
      </c>
      <c r="O11" s="37">
        <v>0</v>
      </c>
      <c r="P11" s="51">
        <f>(R11)/J11</f>
        <v>0</v>
      </c>
      <c r="Q11" s="49">
        <f>I11/G11-1</f>
        <v>1.8172179487179485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145782519.45050895</v>
      </c>
      <c r="E12" s="39">
        <f>C12*K12</f>
        <v>124389976.02485715</v>
      </c>
      <c r="F12" s="40" t="s">
        <v>34</v>
      </c>
      <c r="G12" s="41">
        <v>97.381</v>
      </c>
      <c r="H12" s="42">
        <v>189.899</v>
      </c>
      <c r="I12" s="43">
        <v>189.899</v>
      </c>
      <c r="J12" s="44">
        <f>I12/$J$5</f>
        <v>7.0653257731345054</v>
      </c>
      <c r="K12" s="45">
        <f>I12/$K$4</f>
        <v>6.0285396825396829</v>
      </c>
      <c r="L12" s="46">
        <f>I12-H12</f>
        <v>0</v>
      </c>
      <c r="M12" s="46">
        <f>((I12-H12)/H12)*100</f>
        <v>0</v>
      </c>
      <c r="N12" s="47">
        <v>0</v>
      </c>
      <c r="O12" s="37">
        <v>0</v>
      </c>
      <c r="P12" s="51">
        <f>(R12)/J12</f>
        <v>0</v>
      </c>
      <c r="Q12" s="49">
        <f>I12/G12-1</f>
        <v>0.95006212710898441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6174920.8262642501</v>
      </c>
      <c r="E13" s="39">
        <f>C13*K13</f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>I13/$J$5</f>
        <v>0.70690835491264103</v>
      </c>
      <c r="K13" s="45">
        <f>I13/$K$4</f>
        <v>0.60317460317460314</v>
      </c>
      <c r="L13" s="46">
        <f>I13-H13</f>
        <v>0</v>
      </c>
      <c r="M13" s="46">
        <f>((I13-H13)/H13)*100</f>
        <v>0</v>
      </c>
      <c r="N13" s="47">
        <v>0</v>
      </c>
      <c r="O13" s="37">
        <v>0</v>
      </c>
      <c r="P13" s="51">
        <f>(R13)/J13</f>
        <v>0</v>
      </c>
      <c r="Q13" s="49">
        <f>I13/G13-1</f>
        <v>0.39705882352941191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778527875.10272503</v>
      </c>
      <c r="E14" s="39">
        <f>C14*K14</f>
        <v>664284470.34479368</v>
      </c>
      <c r="F14" s="40" t="s">
        <v>47</v>
      </c>
      <c r="G14" s="41">
        <v>11.5</v>
      </c>
      <c r="H14" s="42">
        <v>39.413527999999999</v>
      </c>
      <c r="I14" s="43">
        <v>40.035400000000003</v>
      </c>
      <c r="J14" s="44">
        <f>I14/$J$5</f>
        <v>1.4895451974878711</v>
      </c>
      <c r="K14" s="45">
        <f>I14/$K$4</f>
        <v>1.2709650793650795</v>
      </c>
      <c r="L14" s="46">
        <f>I14-H14</f>
        <v>0.62187200000000331</v>
      </c>
      <c r="M14" s="46">
        <f>((I14-H14)/H14)*100</f>
        <v>1.5778135872536032</v>
      </c>
      <c r="N14" s="47">
        <v>6400</v>
      </c>
      <c r="O14" s="37">
        <v>256226.3</v>
      </c>
      <c r="P14" s="51">
        <f>(R14)/J14</f>
        <v>0</v>
      </c>
      <c r="Q14" s="49">
        <f>I14/G14-1</f>
        <v>2.4813391304347827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23671951.736762211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>I15/$J$5</f>
        <v>0.22323421734083398</v>
      </c>
      <c r="K15" s="45">
        <f>I15/$K$4</f>
        <v>0.19047619047619047</v>
      </c>
      <c r="L15" s="46">
        <f>I15-H15</f>
        <v>0</v>
      </c>
      <c r="M15" s="46">
        <f>((I15-H15)/H15)*100</f>
        <v>0</v>
      </c>
      <c r="N15" s="47">
        <v>0</v>
      </c>
      <c r="O15" s="37">
        <v>0</v>
      </c>
      <c r="P15" s="51">
        <f>(R15)/J15</f>
        <v>0</v>
      </c>
      <c r="Q15" s="49">
        <f>I15/G15-1</f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79918041.342977047</v>
      </c>
      <c r="E16" s="39">
        <f>C16*K16</f>
        <v>68190639.619047612</v>
      </c>
      <c r="F16" s="40" t="s">
        <v>34</v>
      </c>
      <c r="G16" s="41">
        <v>1.9</v>
      </c>
      <c r="H16" s="42">
        <v>6</v>
      </c>
      <c r="I16" s="43">
        <v>6</v>
      </c>
      <c r="J16" s="44">
        <f>I16/$J$5</f>
        <v>0.22323421734083398</v>
      </c>
      <c r="K16" s="45">
        <f>I16/$K$4</f>
        <v>0.19047619047619047</v>
      </c>
      <c r="L16" s="46">
        <f>I16-H16</f>
        <v>0</v>
      </c>
      <c r="M16" s="46">
        <f>((I16-H16)/H16)*100</f>
        <v>0</v>
      </c>
      <c r="N16" s="47">
        <v>0</v>
      </c>
      <c r="O16" s="37">
        <v>0</v>
      </c>
      <c r="P16" s="51">
        <f>(R16)/J16</f>
        <v>0</v>
      </c>
      <c r="Q16" s="49">
        <f>I16/G16-1</f>
        <v>2.1578947368421053</v>
      </c>
      <c r="R16" s="50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>C17*J17</f>
        <v>1602231134.667474</v>
      </c>
      <c r="E17" s="39">
        <f>C17*K17</f>
        <v>1367115160.1631272</v>
      </c>
      <c r="F17" s="40" t="s">
        <v>34</v>
      </c>
      <c r="G17" s="41">
        <v>20.701700000000002</v>
      </c>
      <c r="H17" s="42">
        <v>32.000855000000001</v>
      </c>
      <c r="I17" s="43">
        <v>31.952300000000001</v>
      </c>
      <c r="J17" s="44">
        <f>I17/$J$5</f>
        <v>1.1888077804565884</v>
      </c>
      <c r="K17" s="45">
        <f>I17/$K$4</f>
        <v>1.0143587301587302</v>
      </c>
      <c r="L17" s="46">
        <f>I17-H17</f>
        <v>-4.8555000000000348E-2</v>
      </c>
      <c r="M17" s="46">
        <f>((I17-H17)/H17)*100</f>
        <v>-0.15173032095548805</v>
      </c>
      <c r="N17" s="47">
        <v>2082800</v>
      </c>
      <c r="O17" s="37">
        <v>66550267.350000001</v>
      </c>
      <c r="P17" s="48">
        <f>(R17)/J17</f>
        <v>4.2058944113569294E-2</v>
      </c>
      <c r="Q17" s="49">
        <f>I17/G17-1</f>
        <v>0.54346261418144381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306567029.04416686</v>
      </c>
      <c r="E19" s="39">
        <f>C19*K19</f>
        <v>261580507.29642856</v>
      </c>
      <c r="F19" s="40" t="s">
        <v>47</v>
      </c>
      <c r="G19" s="41">
        <v>12.45</v>
      </c>
      <c r="H19" s="42">
        <v>10.9</v>
      </c>
      <c r="I19" s="43">
        <v>12.262499999999999</v>
      </c>
      <c r="J19" s="44">
        <f>I19/$J$5</f>
        <v>0.45623493169032947</v>
      </c>
      <c r="K19" s="45">
        <f>I19/$K$4</f>
        <v>0.38928571428571429</v>
      </c>
      <c r="L19" s="46">
        <f>I19-H19</f>
        <v>1.3624999999999989</v>
      </c>
      <c r="M19" s="46">
        <f>((I19-H19)/H19)*100</f>
        <v>12.499999999999991</v>
      </c>
      <c r="N19" s="47">
        <v>600</v>
      </c>
      <c r="O19" s="37">
        <v>7357.5</v>
      </c>
      <c r="P19" s="51">
        <f>(R19)/J19</f>
        <v>0</v>
      </c>
      <c r="Q19" s="49">
        <f>I19/G19-1</f>
        <v>-1.5060240963855387E-2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3262316.9202235318</v>
      </c>
      <c r="E20" s="39">
        <f>C20*K20</f>
        <v>2783595.2144444445</v>
      </c>
      <c r="F20" s="40" t="s">
        <v>47</v>
      </c>
      <c r="G20" s="41">
        <v>0.35</v>
      </c>
      <c r="H20" s="42">
        <v>0.7</v>
      </c>
      <c r="I20" s="43">
        <v>0.80500000000000005</v>
      </c>
      <c r="J20" s="44">
        <f>I20/$J$5</f>
        <v>2.9950590826561894E-2</v>
      </c>
      <c r="K20" s="45">
        <f>I20/$K$4</f>
        <v>2.5555555555555557E-2</v>
      </c>
      <c r="L20" s="46">
        <f>I20-H20</f>
        <v>0.10500000000000009</v>
      </c>
      <c r="M20" s="46">
        <f>((I20-H20)/H20)*100</f>
        <v>15.000000000000014</v>
      </c>
      <c r="N20" s="47">
        <v>23700</v>
      </c>
      <c r="O20" s="37">
        <v>19078.5</v>
      </c>
      <c r="P20" s="51">
        <f>(R20)/J20</f>
        <v>0</v>
      </c>
      <c r="Q20" s="49">
        <f>I20/G20-1</f>
        <v>1.3000000000000003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82231417.598669529</v>
      </c>
      <c r="E21" s="39">
        <f>C21*K21</f>
        <v>70164544.433333337</v>
      </c>
      <c r="F21" s="40" t="s">
        <v>47</v>
      </c>
      <c r="G21" s="41">
        <v>2.85</v>
      </c>
      <c r="H21" s="42">
        <v>3.2025000000000001</v>
      </c>
      <c r="I21" s="43">
        <v>3.2025000000000001</v>
      </c>
      <c r="J21" s="44">
        <f>I21/$J$5</f>
        <v>0.11915126350567015</v>
      </c>
      <c r="K21" s="45">
        <f>I21/$K$4</f>
        <v>0.10166666666666667</v>
      </c>
      <c r="L21" s="46">
        <f>I21-H21</f>
        <v>0</v>
      </c>
      <c r="M21" s="46">
        <f>((I21-H21)/H21)*100</f>
        <v>0</v>
      </c>
      <c r="N21" s="47">
        <v>0</v>
      </c>
      <c r="O21" s="37">
        <v>0</v>
      </c>
      <c r="P21" s="51">
        <f>(R21)/J21</f>
        <v>0</v>
      </c>
      <c r="Q21" s="49">
        <f>I21/G21-1</f>
        <v>0.12368421052631584</v>
      </c>
      <c r="R21" s="50"/>
    </row>
    <row r="22" spans="1:19" hidden="1" x14ac:dyDescent="0.25">
      <c r="A22" s="35" t="s">
        <v>64</v>
      </c>
      <c r="B22" s="36" t="s">
        <v>65</v>
      </c>
      <c r="C22" s="37">
        <v>193020564</v>
      </c>
      <c r="D22" s="38">
        <f>C22*J22</f>
        <v>0</v>
      </c>
      <c r="E22" s="39">
        <f>C22*K22</f>
        <v>0</v>
      </c>
      <c r="F22" s="40" t="s">
        <v>66</v>
      </c>
      <c r="G22" s="41">
        <v>0.88420599999999994</v>
      </c>
      <c r="H22" s="42">
        <v>0.99</v>
      </c>
      <c r="I22" s="43"/>
      <c r="J22" s="44">
        <f>I22/$J$5</f>
        <v>0</v>
      </c>
      <c r="K22" s="45">
        <f>I22/$K$4</f>
        <v>0</v>
      </c>
      <c r="L22" s="46">
        <f>I22-H22</f>
        <v>-0.99</v>
      </c>
      <c r="M22" s="46">
        <f>((I22-H22)/H22)*100</f>
        <v>-100</v>
      </c>
      <c r="N22" s="53" t="s">
        <v>57</v>
      </c>
      <c r="O22" s="53" t="s">
        <v>57</v>
      </c>
      <c r="P22" s="53" t="s">
        <v>67</v>
      </c>
      <c r="Q22" s="49">
        <f>I22/G22-1</f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>C23*J23</f>
        <v>2196057.2569723488</v>
      </c>
      <c r="E23" s="39">
        <f>C23*K23</f>
        <v>1873801.5406349206</v>
      </c>
      <c r="F23" s="40" t="s">
        <v>44</v>
      </c>
      <c r="G23" s="41">
        <v>0.1</v>
      </c>
      <c r="H23" s="42">
        <v>0.11</v>
      </c>
      <c r="I23" s="43">
        <v>0.11</v>
      </c>
      <c r="J23" s="44">
        <f>I23/$J$5</f>
        <v>4.0926273179152902E-3</v>
      </c>
      <c r="K23" s="45">
        <f>I23/$K$4</f>
        <v>3.4920634920634921E-3</v>
      </c>
      <c r="L23" s="46">
        <f>I23-H23</f>
        <v>0</v>
      </c>
      <c r="M23" s="46">
        <f>((I23-H23)/H23)*100</f>
        <v>0</v>
      </c>
      <c r="N23" s="47">
        <v>2700</v>
      </c>
      <c r="O23" s="37">
        <v>297</v>
      </c>
      <c r="P23" s="51">
        <f>(R23)/J23</f>
        <v>0</v>
      </c>
      <c r="Q23" s="49">
        <f>I23/G23-1</f>
        <v>9.9999999999999867E-2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>C24*J24</f>
        <v>86033241.608759716</v>
      </c>
      <c r="E24" s="39">
        <f>C24*K24</f>
        <v>73408477.925828576</v>
      </c>
      <c r="F24" s="40" t="s">
        <v>34</v>
      </c>
      <c r="G24" s="41">
        <v>8.1687659999999997</v>
      </c>
      <c r="H24" s="42">
        <v>11.97987</v>
      </c>
      <c r="I24" s="43">
        <v>11.979900000000001</v>
      </c>
      <c r="J24" s="44">
        <f>I24/$J$5</f>
        <v>0.44572060005357622</v>
      </c>
      <c r="K24" s="45">
        <f>I24/$K$4</f>
        <v>0.38031428571428572</v>
      </c>
      <c r="L24" s="46">
        <f>I24-H24</f>
        <v>3.0000000000640625E-5</v>
      </c>
      <c r="M24" s="46">
        <f>((I24-H24)/H24)*100</f>
        <v>2.5042007968901684E-4</v>
      </c>
      <c r="N24" s="47">
        <v>0</v>
      </c>
      <c r="O24" s="37">
        <v>0</v>
      </c>
      <c r="P24" s="48">
        <f>(R24)/J24</f>
        <v>3.3653369393734506E-2</v>
      </c>
      <c r="Q24" s="49">
        <f>I24/G24-1</f>
        <v>0.46654953759233653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>C25*J25</f>
        <v>113017948.6338066</v>
      </c>
      <c r="E25" s="39">
        <f>C25*K25</f>
        <v>96433371.942857146</v>
      </c>
      <c r="F25" s="40" t="s">
        <v>66</v>
      </c>
      <c r="G25" s="41">
        <v>1.6675</v>
      </c>
      <c r="H25" s="42">
        <v>1.9</v>
      </c>
      <c r="I25" s="43">
        <v>1.8</v>
      </c>
      <c r="J25" s="44">
        <f>I25/$J$5</f>
        <v>6.6970265202250204E-2</v>
      </c>
      <c r="K25" s="45">
        <f>I25/$K$4</f>
        <v>5.7142857142857141E-2</v>
      </c>
      <c r="L25" s="46">
        <f>I25-H25</f>
        <v>-9.9999999999999867E-2</v>
      </c>
      <c r="M25" s="46">
        <f>((I25-H25)/H25)*100</f>
        <v>-5.2631578947368354</v>
      </c>
      <c r="N25" s="47">
        <v>2800</v>
      </c>
      <c r="O25" s="37">
        <v>5040</v>
      </c>
      <c r="P25" s="51">
        <f>(R25)/J25</f>
        <v>0</v>
      </c>
      <c r="Q25" s="49">
        <f>I25/G25-1</f>
        <v>7.946026986506749E-2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>C26*J26</f>
        <v>24938487.79652945</v>
      </c>
      <c r="E26" s="39">
        <f>C26*K26</f>
        <v>21278942.844444443</v>
      </c>
      <c r="F26" s="40" t="s">
        <v>44</v>
      </c>
      <c r="G26" s="41">
        <v>1.7994999999999999</v>
      </c>
      <c r="H26" s="42">
        <v>2.8</v>
      </c>
      <c r="I26" s="43">
        <v>2.8</v>
      </c>
      <c r="J26" s="44">
        <f>I26/$J$5</f>
        <v>0.10417596809238919</v>
      </c>
      <c r="K26" s="45">
        <f>I26/$K$4</f>
        <v>8.8888888888888878E-2</v>
      </c>
      <c r="L26" s="46">
        <f>I26-H26</f>
        <v>0</v>
      </c>
      <c r="M26" s="46">
        <f>((I26-H26)/H26)*100</f>
        <v>0</v>
      </c>
      <c r="N26" s="47">
        <v>1200</v>
      </c>
      <c r="O26" s="37">
        <v>3360</v>
      </c>
      <c r="P26" s="51">
        <f>(R26)/J26</f>
        <v>0</v>
      </c>
      <c r="Q26" s="49">
        <f>I26/G26-1</f>
        <v>0.55598777438177271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>C27*J27</f>
        <v>26112935.319373753</v>
      </c>
      <c r="E27" s="39">
        <f>C27*K27</f>
        <v>22281048.582222227</v>
      </c>
      <c r="F27" s="40" t="s">
        <v>34</v>
      </c>
      <c r="G27" s="41">
        <v>3.1361369999999997</v>
      </c>
      <c r="H27" s="42">
        <v>2.6</v>
      </c>
      <c r="I27" s="43">
        <v>2.74</v>
      </c>
      <c r="J27" s="44">
        <f>I27/$J$5</f>
        <v>0.10194362591898086</v>
      </c>
      <c r="K27" s="45">
        <f>I27/$K$4</f>
        <v>8.6984126984126997E-2</v>
      </c>
      <c r="L27" s="46">
        <f>I27-H27</f>
        <v>0.14000000000000012</v>
      </c>
      <c r="M27" s="46">
        <f>((I27-H27)/H27)*100</f>
        <v>5.3846153846153895</v>
      </c>
      <c r="N27" s="47">
        <v>4000</v>
      </c>
      <c r="O27" s="37">
        <v>10960</v>
      </c>
      <c r="P27" s="51">
        <f>(R27)/J27</f>
        <v>0</v>
      </c>
      <c r="Q27" s="49">
        <f>I27/G27-1</f>
        <v>-0.1263136782608667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>C28*J28</f>
        <v>23522406.380010381</v>
      </c>
      <c r="E28" s="39">
        <f>C28*K28</f>
        <v>20070661.260932285</v>
      </c>
      <c r="F28" s="40" t="s">
        <v>44</v>
      </c>
      <c r="G28" s="41">
        <v>0.8</v>
      </c>
      <c r="H28" s="42">
        <v>0.83666700000000005</v>
      </c>
      <c r="I28" s="43">
        <v>0.83666700000000005</v>
      </c>
      <c r="J28" s="44">
        <f>I28/$J$5</f>
        <v>3.1128783819983928E-2</v>
      </c>
      <c r="K28" s="45">
        <f>I28/$K$4</f>
        <v>2.6560857142857143E-2</v>
      </c>
      <c r="L28" s="46">
        <f>I28-H28</f>
        <v>0</v>
      </c>
      <c r="M28" s="46">
        <f>((I28-H28)/H28)*100</f>
        <v>0</v>
      </c>
      <c r="N28" s="47">
        <v>0</v>
      </c>
      <c r="O28" s="37">
        <v>0</v>
      </c>
      <c r="P28" s="51">
        <f>(R28)/J28</f>
        <v>0</v>
      </c>
      <c r="Q28" s="49">
        <f>I28/G28-1</f>
        <v>4.5833749999999895E-2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>C29*J29</f>
        <v>93577025.508229882</v>
      </c>
      <c r="E29" s="39">
        <f>C29*K29</f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>I29/$J$5</f>
        <v>0.20835193618477837</v>
      </c>
      <c r="K29" s="45">
        <f>I29/$K$4</f>
        <v>0.17777777777777776</v>
      </c>
      <c r="L29" s="46">
        <f>I29-H29</f>
        <v>0</v>
      </c>
      <c r="M29" s="46">
        <f>((I29-H29)/H29)*100</f>
        <v>0</v>
      </c>
      <c r="N29" s="47">
        <v>0</v>
      </c>
      <c r="O29" s="37">
        <v>0</v>
      </c>
      <c r="P29" s="51">
        <f>(R29)/J29</f>
        <v>0</v>
      </c>
      <c r="Q29" s="49">
        <f>I29/G29-1</f>
        <v>8.737864077669899E-2</v>
      </c>
      <c r="R29" s="50"/>
    </row>
    <row r="30" spans="1:19" hidden="1" x14ac:dyDescent="0.25">
      <c r="A30" s="35"/>
      <c r="B30" s="36" t="s">
        <v>83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hidden="1" x14ac:dyDescent="0.25">
      <c r="A31" s="35" t="s">
        <v>84</v>
      </c>
      <c r="B31" s="36" t="s">
        <v>85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1">
        <v>0</v>
      </c>
      <c r="I31" s="54"/>
      <c r="J31" s="55">
        <f>I31/$J$5</f>
        <v>0</v>
      </c>
      <c r="K31" s="56">
        <f>I31/$K$4</f>
        <v>0</v>
      </c>
      <c r="L31" s="46">
        <v>0</v>
      </c>
      <c r="M31" s="46">
        <v>0</v>
      </c>
      <c r="N31" s="53" t="s">
        <v>57</v>
      </c>
      <c r="O31" s="53" t="s">
        <v>57</v>
      </c>
      <c r="P31" s="53" t="s">
        <v>86</v>
      </c>
      <c r="Q31" s="49">
        <v>0</v>
      </c>
      <c r="R31" s="50"/>
    </row>
    <row r="32" spans="1:19" x14ac:dyDescent="0.25">
      <c r="A32" s="35" t="s">
        <v>87</v>
      </c>
      <c r="B32" s="36" t="s">
        <v>88</v>
      </c>
      <c r="C32" s="37">
        <v>259866270</v>
      </c>
      <c r="D32" s="38">
        <f>C32*J32</f>
        <v>13535910.125904096</v>
      </c>
      <c r="E32" s="39">
        <f>C32*K32</f>
        <v>11549611.999999998</v>
      </c>
      <c r="F32" s="40" t="s">
        <v>39</v>
      </c>
      <c r="G32" s="41">
        <v>1.4</v>
      </c>
      <c r="H32" s="42">
        <v>1.4</v>
      </c>
      <c r="I32" s="43">
        <v>1.4</v>
      </c>
      <c r="J32" s="44">
        <f>I32/$J$5</f>
        <v>5.2087984046194594E-2</v>
      </c>
      <c r="K32" s="45">
        <f>I32/$K$4</f>
        <v>4.4444444444444439E-2</v>
      </c>
      <c r="L32" s="46">
        <f>I32-H32</f>
        <v>0</v>
      </c>
      <c r="M32" s="46">
        <f>((I32-H32)/H32)*100</f>
        <v>0</v>
      </c>
      <c r="N32" s="47">
        <v>0</v>
      </c>
      <c r="O32" s="37">
        <v>0</v>
      </c>
      <c r="P32" s="51">
        <f>(R32)/J32</f>
        <v>0</v>
      </c>
      <c r="Q32" s="49">
        <f>I32/G32-1</f>
        <v>0</v>
      </c>
      <c r="R32" s="50"/>
    </row>
    <row r="33" spans="1:18" x14ac:dyDescent="0.25">
      <c r="A33" s="35" t="s">
        <v>89</v>
      </c>
      <c r="B33" s="36" t="s">
        <v>90</v>
      </c>
      <c r="C33" s="37">
        <v>122029470</v>
      </c>
      <c r="D33" s="38">
        <f>C33*J33</f>
        <v>3859163.3739619609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>I33/$J$5</f>
        <v>3.1624847456618151E-2</v>
      </c>
      <c r="K33" s="45">
        <f>I33/$K$4</f>
        <v>2.6984126984126982E-2</v>
      </c>
      <c r="L33" s="46">
        <f>I33-H33</f>
        <v>0</v>
      </c>
      <c r="M33" s="46">
        <f>((I33-H33)/H33)*100</f>
        <v>0</v>
      </c>
      <c r="N33" s="47">
        <v>0</v>
      </c>
      <c r="O33" s="37">
        <v>0</v>
      </c>
      <c r="P33" s="51">
        <f>(R33)/J33</f>
        <v>0</v>
      </c>
      <c r="Q33" s="49">
        <f>I33/G33-1</f>
        <v>0.30769230769230771</v>
      </c>
      <c r="R33" s="50"/>
    </row>
    <row r="34" spans="1:18" x14ac:dyDescent="0.25">
      <c r="A34" s="35" t="s">
        <v>91</v>
      </c>
      <c r="B34" s="36" t="s">
        <v>92</v>
      </c>
      <c r="C34" s="37">
        <v>2495495543</v>
      </c>
      <c r="D34" s="38">
        <f>C34*J34</f>
        <v>129985332.03113371</v>
      </c>
      <c r="E34" s="39">
        <f>C34*K34</f>
        <v>110910913.02222221</v>
      </c>
      <c r="F34" s="40" t="s">
        <v>93</v>
      </c>
      <c r="G34" s="41">
        <v>1.44</v>
      </c>
      <c r="H34" s="42">
        <v>1.4</v>
      </c>
      <c r="I34" s="43">
        <v>1.4</v>
      </c>
      <c r="J34" s="44">
        <f>I34/$J$5</f>
        <v>5.2087984046194594E-2</v>
      </c>
      <c r="K34" s="45">
        <f>I34/$K$4</f>
        <v>4.4444444444444439E-2</v>
      </c>
      <c r="L34" s="46">
        <f>I34-H34</f>
        <v>0</v>
      </c>
      <c r="M34" s="46">
        <f>((I34-H34)/H34)*100</f>
        <v>0</v>
      </c>
      <c r="N34" s="47">
        <v>100</v>
      </c>
      <c r="O34" s="37">
        <v>140</v>
      </c>
      <c r="P34" s="51">
        <f>(R34)/J34</f>
        <v>0</v>
      </c>
      <c r="Q34" s="49">
        <f>I34/G34-1</f>
        <v>-2.777777777777779E-2</v>
      </c>
      <c r="R34" s="50"/>
    </row>
    <row r="35" spans="1:18" x14ac:dyDescent="0.25">
      <c r="A35" s="35" t="s">
        <v>94</v>
      </c>
      <c r="B35" s="36" t="s">
        <v>95</v>
      </c>
      <c r="C35" s="37">
        <v>253492983</v>
      </c>
      <c r="D35" s="38">
        <f>C35*J35</f>
        <v>39611815.362978838</v>
      </c>
      <c r="E35" s="39">
        <f>C35*K35</f>
        <v>33799064.399999999</v>
      </c>
      <c r="F35" s="40" t="s">
        <v>34</v>
      </c>
      <c r="G35" s="41">
        <v>3.6056249999999999</v>
      </c>
      <c r="H35" s="42">
        <v>4.3428570000000004</v>
      </c>
      <c r="I35" s="43">
        <v>4.2</v>
      </c>
      <c r="J35" s="44">
        <f>I35/$J$5</f>
        <v>0.15626395213858379</v>
      </c>
      <c r="K35" s="45">
        <f>I35/$K$4</f>
        <v>0.13333333333333333</v>
      </c>
      <c r="L35" s="46">
        <f>I35-H35</f>
        <v>-0.14285700000000023</v>
      </c>
      <c r="M35" s="46">
        <f>((I35-H35)/H35)*100</f>
        <v>-3.2894705029431135</v>
      </c>
      <c r="N35" s="47">
        <v>4100</v>
      </c>
      <c r="O35" s="37">
        <v>17220</v>
      </c>
      <c r="P35" s="51">
        <f>(R35)/J35</f>
        <v>0</v>
      </c>
      <c r="Q35" s="49">
        <f>I35/G35-1</f>
        <v>0.16484659386375466</v>
      </c>
      <c r="R35" s="50"/>
    </row>
    <row r="36" spans="1:18" x14ac:dyDescent="0.25">
      <c r="A36" s="35" t="s">
        <v>96</v>
      </c>
      <c r="B36" s="36" t="s">
        <v>97</v>
      </c>
      <c r="C36" s="37">
        <v>4715084056</v>
      </c>
      <c r="D36" s="38">
        <f>C36*J36</f>
        <v>7381484.6498315325</v>
      </c>
      <c r="E36" s="39">
        <f>C36*K36</f>
        <v>6298304.5023591118</v>
      </c>
      <c r="F36" s="40" t="s">
        <v>34</v>
      </c>
      <c r="G36" s="41">
        <v>2.5099999999999997E-2</v>
      </c>
      <c r="H36" s="42">
        <v>4.5471999999999999E-2</v>
      </c>
      <c r="I36" s="43">
        <v>4.2077000000000003E-2</v>
      </c>
      <c r="J36" s="44">
        <f>I36/$J$5</f>
        <v>1.5655043605083787E-3</v>
      </c>
      <c r="K36" s="45">
        <f>I36/$K$4</f>
        <v>1.335777777777778E-3</v>
      </c>
      <c r="L36" s="46">
        <f>I36-H36</f>
        <v>-3.3949999999999952E-3</v>
      </c>
      <c r="M36" s="46">
        <f>((I36-H36)/H36)*100</f>
        <v>-7.4661330049260979</v>
      </c>
      <c r="N36" s="47">
        <v>3100</v>
      </c>
      <c r="O36" s="37">
        <v>130.44</v>
      </c>
      <c r="P36" s="51">
        <f>(R36)/J36</f>
        <v>0</v>
      </c>
      <c r="Q36" s="49">
        <f>I36/G36-1</f>
        <v>0.6763745019920322</v>
      </c>
      <c r="R36" s="50"/>
    </row>
    <row r="37" spans="1:18" x14ac:dyDescent="0.25">
      <c r="A37" s="35" t="s">
        <v>98</v>
      </c>
      <c r="B37" s="36" t="s">
        <v>99</v>
      </c>
      <c r="C37" s="37">
        <v>525090993</v>
      </c>
      <c r="D37" s="38">
        <f>C37*J37</f>
        <v>62516414.322707385</v>
      </c>
      <c r="E37" s="39">
        <f>C37*K37</f>
        <v>53342577.06666667</v>
      </c>
      <c r="F37" s="40" t="s">
        <v>93</v>
      </c>
      <c r="G37" s="41">
        <v>0.61</v>
      </c>
      <c r="H37" s="42">
        <v>3.1974999999999998</v>
      </c>
      <c r="I37" s="43">
        <v>3.2</v>
      </c>
      <c r="J37" s="44">
        <f>I37/$J$5</f>
        <v>0.1190582492484448</v>
      </c>
      <c r="K37" s="45">
        <f>I37/$K$4</f>
        <v>0.10158730158730159</v>
      </c>
      <c r="L37" s="46">
        <f>I37-H37</f>
        <v>2.5000000000003908E-3</v>
      </c>
      <c r="M37" s="46">
        <f>((I37-H37)/H37)*100</f>
        <v>7.8186082877260074E-2</v>
      </c>
      <c r="N37" s="47">
        <v>700</v>
      </c>
      <c r="O37" s="37">
        <v>2240</v>
      </c>
      <c r="P37" s="51">
        <f>(R37)/J37</f>
        <v>0</v>
      </c>
      <c r="Q37" s="49">
        <f>I37/G37-1</f>
        <v>4.2459016393442628</v>
      </c>
      <c r="R37" s="50"/>
    </row>
    <row r="38" spans="1:18" x14ac:dyDescent="0.25">
      <c r="A38" s="35" t="s">
        <v>100</v>
      </c>
      <c r="B38" s="36" t="s">
        <v>101</v>
      </c>
      <c r="C38" s="37">
        <v>4194797929</v>
      </c>
      <c r="D38" s="38">
        <f>C38*J38</f>
        <v>46851087.147005983</v>
      </c>
      <c r="E38" s="39">
        <f>C38*K38</f>
        <v>39976024.758805335</v>
      </c>
      <c r="F38" s="40" t="s">
        <v>56</v>
      </c>
      <c r="G38" s="41">
        <v>0.11650199999999999</v>
      </c>
      <c r="H38" s="42">
        <v>0.30011599999999999</v>
      </c>
      <c r="I38" s="43">
        <v>0.30019200000000001</v>
      </c>
      <c r="J38" s="44">
        <f>I38/$J$5</f>
        <v>1.1168854361996607E-2</v>
      </c>
      <c r="K38" s="45">
        <f>I38/$K$4</f>
        <v>9.529904761904762E-3</v>
      </c>
      <c r="L38" s="46">
        <f>I38-H38</f>
        <v>7.6000000000020496E-5</v>
      </c>
      <c r="M38" s="46">
        <f>((I38-H38)/H38)*100</f>
        <v>2.5323541563935445E-2</v>
      </c>
      <c r="N38" s="47">
        <v>18000</v>
      </c>
      <c r="O38" s="37">
        <v>5403.45</v>
      </c>
      <c r="P38" s="51">
        <v>0</v>
      </c>
      <c r="Q38" s="49">
        <f>I38/G38-1</f>
        <v>1.5767111294226712</v>
      </c>
      <c r="R38" s="50"/>
    </row>
    <row r="39" spans="1:18" x14ac:dyDescent="0.25">
      <c r="A39" s="35" t="s">
        <v>102</v>
      </c>
      <c r="B39" s="36" t="s">
        <v>103</v>
      </c>
      <c r="C39" s="37">
        <v>4315726499</v>
      </c>
      <c r="D39" s="38">
        <f>C39*J39</f>
        <v>20071204.73461172</v>
      </c>
      <c r="E39" s="39">
        <f>C39*K39</f>
        <v>17125898.805555556</v>
      </c>
      <c r="F39" s="40" t="s">
        <v>39</v>
      </c>
      <c r="G39" s="41">
        <v>0.1</v>
      </c>
      <c r="H39" s="42">
        <v>0.125</v>
      </c>
      <c r="I39" s="43">
        <v>0.125</v>
      </c>
      <c r="J39" s="44">
        <f>I39/$J$5</f>
        <v>4.6507128612673747E-3</v>
      </c>
      <c r="K39" s="45">
        <f>I39/$K$4</f>
        <v>3.968253968253968E-3</v>
      </c>
      <c r="L39" s="46">
        <f>I39-H39</f>
        <v>0</v>
      </c>
      <c r="M39" s="46">
        <f>((I39-H39)/H39)*100</f>
        <v>0</v>
      </c>
      <c r="N39" s="47">
        <v>0</v>
      </c>
      <c r="O39" s="37">
        <v>0</v>
      </c>
      <c r="P39" s="51">
        <f>(R39)/J39</f>
        <v>0</v>
      </c>
      <c r="Q39" s="49">
        <f>I39/G39-1</f>
        <v>0.25</v>
      </c>
      <c r="R39" s="50"/>
    </row>
    <row r="40" spans="1:18" x14ac:dyDescent="0.25">
      <c r="A40" s="35" t="s">
        <v>104</v>
      </c>
      <c r="B40" s="36" t="s">
        <v>105</v>
      </c>
      <c r="C40" s="37">
        <v>106474237</v>
      </c>
      <c r="D40" s="38">
        <f>C40*J40</f>
        <v>7130607.8890972408</v>
      </c>
      <c r="E40" s="39">
        <f>C40*K40</f>
        <v>6084242.114285714</v>
      </c>
      <c r="F40" s="40" t="s">
        <v>44</v>
      </c>
      <c r="G40" s="41">
        <v>1.7452379999999998</v>
      </c>
      <c r="H40" s="42">
        <v>1.8</v>
      </c>
      <c r="I40" s="43">
        <v>1.8</v>
      </c>
      <c r="J40" s="44">
        <f>I40/$J$5</f>
        <v>6.6970265202250204E-2</v>
      </c>
      <c r="K40" s="45">
        <f>I40/$K$4</f>
        <v>5.7142857142857141E-2</v>
      </c>
      <c r="L40" s="46">
        <f>I40-H40</f>
        <v>0</v>
      </c>
      <c r="M40" s="46">
        <f>((I40-H40)/H40)*100</f>
        <v>0</v>
      </c>
      <c r="N40" s="47">
        <v>0</v>
      </c>
      <c r="O40" s="37">
        <v>0</v>
      </c>
      <c r="P40" s="51">
        <f>(R40)/J40</f>
        <v>0</v>
      </c>
      <c r="Q40" s="49">
        <f>I40/G40-1</f>
        <v>3.1377955327583029E-2</v>
      </c>
      <c r="R40" s="50">
        <v>0</v>
      </c>
    </row>
    <row r="41" spans="1:18" x14ac:dyDescent="0.25">
      <c r="A41" s="35" t="s">
        <v>106</v>
      </c>
      <c r="B41" s="36" t="s">
        <v>107</v>
      </c>
      <c r="C41" s="37">
        <v>1778001428</v>
      </c>
      <c r="D41" s="38">
        <f>C41*J41</f>
        <v>4061720.0821204269</v>
      </c>
      <c r="E41" s="39">
        <f>C41*K41</f>
        <v>3465691.6723555555</v>
      </c>
      <c r="F41" s="40" t="s">
        <v>39</v>
      </c>
      <c r="G41" s="41">
        <v>0.03</v>
      </c>
      <c r="H41" s="42">
        <v>6.0999999999999999E-2</v>
      </c>
      <c r="I41" s="43">
        <v>6.1399999999999996E-2</v>
      </c>
      <c r="J41" s="44">
        <f>I41/$J$5</f>
        <v>2.2844301574545343E-3</v>
      </c>
      <c r="K41" s="45">
        <f>I41/$K$4</f>
        <v>1.9492063492063492E-3</v>
      </c>
      <c r="L41" s="46">
        <f>I41-H41</f>
        <v>3.9999999999999758E-4</v>
      </c>
      <c r="M41" s="46">
        <f>((I41-H41)/H41)*100</f>
        <v>0.65573770491802885</v>
      </c>
      <c r="N41" s="47">
        <v>2600</v>
      </c>
      <c r="O41" s="37">
        <v>159.63999999999999</v>
      </c>
      <c r="P41" s="51">
        <f>(R41)/J41</f>
        <v>0</v>
      </c>
      <c r="Q41" s="49">
        <f>I41/G41-1</f>
        <v>1.0466666666666664</v>
      </c>
      <c r="R41" s="50">
        <v>0</v>
      </c>
    </row>
    <row r="42" spans="1:18" x14ac:dyDescent="0.25">
      <c r="A42" s="35" t="s">
        <v>108</v>
      </c>
      <c r="B42" s="36" t="s">
        <v>109</v>
      </c>
      <c r="C42" s="37">
        <v>175190642</v>
      </c>
      <c r="D42" s="38">
        <f>C42*J42</f>
        <v>39108545.852308236</v>
      </c>
      <c r="E42" s="39">
        <f>C42*K42</f>
        <v>33369646.095238093</v>
      </c>
      <c r="F42" s="40" t="s">
        <v>47</v>
      </c>
      <c r="G42" s="41">
        <v>4.5</v>
      </c>
      <c r="H42" s="42">
        <v>6</v>
      </c>
      <c r="I42" s="43">
        <v>6</v>
      </c>
      <c r="J42" s="44">
        <f>I42/$J$5</f>
        <v>0.22323421734083398</v>
      </c>
      <c r="K42" s="45">
        <f>I42/$K$4</f>
        <v>0.19047619047619047</v>
      </c>
      <c r="L42" s="46">
        <f>I42-H42</f>
        <v>0</v>
      </c>
      <c r="M42" s="46">
        <f>((I42-H42)/H42)*100</f>
        <v>0</v>
      </c>
      <c r="N42" s="47">
        <v>0</v>
      </c>
      <c r="O42" s="37">
        <v>0</v>
      </c>
      <c r="P42" s="51">
        <f>(R42)/J42</f>
        <v>0</v>
      </c>
      <c r="Q42" s="49">
        <f>I42/G42-1</f>
        <v>0.33333333333333326</v>
      </c>
      <c r="R42" s="50">
        <v>0</v>
      </c>
    </row>
    <row r="43" spans="1:18" x14ac:dyDescent="0.25">
      <c r="A43" s="35" t="s">
        <v>110</v>
      </c>
      <c r="B43" s="36" t="s">
        <v>111</v>
      </c>
      <c r="C43" s="37">
        <v>463337661</v>
      </c>
      <c r="D43" s="38">
        <f>C43*J43</f>
        <v>310.29846035360299</v>
      </c>
      <c r="E43" s="39">
        <f>C43*K43</f>
        <v>264.76437771428573</v>
      </c>
      <c r="F43" s="40" t="s">
        <v>44</v>
      </c>
      <c r="G43" s="41">
        <v>1.8E-5</v>
      </c>
      <c r="H43" s="42">
        <v>1.8E-5</v>
      </c>
      <c r="I43" s="43">
        <v>1.8E-5</v>
      </c>
      <c r="J43" s="44">
        <f>I43/$J$5</f>
        <v>6.6970265202250197E-7</v>
      </c>
      <c r="K43" s="45">
        <f>I43/$K$4</f>
        <v>5.7142857142857149E-7</v>
      </c>
      <c r="L43" s="46">
        <f>I43-H43</f>
        <v>0</v>
      </c>
      <c r="M43" s="46">
        <f>((I43-H43)/H43)*100</f>
        <v>0</v>
      </c>
      <c r="N43" s="47">
        <v>0</v>
      </c>
      <c r="O43" s="37">
        <v>0</v>
      </c>
      <c r="P43" s="51">
        <f>(R43)/J43</f>
        <v>0</v>
      </c>
      <c r="Q43" s="49">
        <f>I43/G43-1</f>
        <v>0</v>
      </c>
      <c r="R43" s="50">
        <v>0</v>
      </c>
    </row>
    <row r="44" spans="1:18" x14ac:dyDescent="0.25">
      <c r="A44" s="35" t="s">
        <v>112</v>
      </c>
      <c r="B44" s="36" t="s">
        <v>113</v>
      </c>
      <c r="C44" s="37">
        <v>576000000</v>
      </c>
      <c r="D44" s="38">
        <f>C44*J44</f>
        <v>1508706.1344762926</v>
      </c>
      <c r="E44" s="39">
        <f>C44*K44</f>
        <v>1287314.2857142859</v>
      </c>
      <c r="F44" s="40" t="s">
        <v>56</v>
      </c>
      <c r="G44" s="41">
        <v>7.0000000000000007E-2</v>
      </c>
      <c r="H44" s="42">
        <v>7.0400000000000004E-2</v>
      </c>
      <c r="I44" s="43">
        <v>7.0400000000000004E-2</v>
      </c>
      <c r="J44" s="44">
        <f>I44/$J$5</f>
        <v>2.6192814834657858E-3</v>
      </c>
      <c r="K44" s="45">
        <f>I44/$K$4</f>
        <v>2.2349206349206352E-3</v>
      </c>
      <c r="L44" s="46">
        <f>I44-H44</f>
        <v>0</v>
      </c>
      <c r="M44" s="46">
        <f>((I44-H44)/H44)*100</f>
        <v>0</v>
      </c>
      <c r="N44" s="47">
        <v>0</v>
      </c>
      <c r="O44" s="37">
        <v>0</v>
      </c>
      <c r="P44" s="51">
        <f>(R44)/J44</f>
        <v>0</v>
      </c>
      <c r="Q44" s="49">
        <f>I44/G44-1</f>
        <v>5.7142857142857828E-3</v>
      </c>
      <c r="R44" s="50"/>
    </row>
    <row r="45" spans="1:18" x14ac:dyDescent="0.25">
      <c r="A45" s="35" t="s">
        <v>114</v>
      </c>
      <c r="B45" s="36" t="s">
        <v>115</v>
      </c>
      <c r="C45" s="37">
        <v>1818218786</v>
      </c>
      <c r="D45" s="38">
        <f>C45*J45</f>
        <v>67648107.941185221</v>
      </c>
      <c r="E45" s="39">
        <f>C45*K45</f>
        <v>57721231.301587299</v>
      </c>
      <c r="F45" s="40" t="s">
        <v>47</v>
      </c>
      <c r="G45" s="41">
        <v>0.9998999999999999</v>
      </c>
      <c r="H45" s="42">
        <v>1.05</v>
      </c>
      <c r="I45" s="43">
        <v>1</v>
      </c>
      <c r="J45" s="44">
        <f>I45/$J$5</f>
        <v>3.7205702890138997E-2</v>
      </c>
      <c r="K45" s="45">
        <f>I45/$K$4</f>
        <v>3.1746031746031744E-2</v>
      </c>
      <c r="L45" s="46">
        <f>I45-H45</f>
        <v>-5.0000000000000044E-2</v>
      </c>
      <c r="M45" s="46">
        <f>((I45-H45)/H45)*100</f>
        <v>-4.7619047619047654</v>
      </c>
      <c r="N45" s="47">
        <v>3300</v>
      </c>
      <c r="O45" s="37">
        <v>3300</v>
      </c>
      <c r="P45" s="51">
        <f>(R45)/J45</f>
        <v>0</v>
      </c>
      <c r="Q45" s="49">
        <f>I45/G45-1</f>
        <v>1.0001000100023916E-4</v>
      </c>
      <c r="R45" s="50">
        <v>0</v>
      </c>
    </row>
    <row r="46" spans="1:18" x14ac:dyDescent="0.25">
      <c r="A46" s="35" t="s">
        <v>116</v>
      </c>
      <c r="B46" s="36" t="s">
        <v>117</v>
      </c>
      <c r="C46" s="37">
        <v>102712520</v>
      </c>
      <c r="D46" s="38">
        <f>C46*J46</f>
        <v>5732237.2533261897</v>
      </c>
      <c r="E46" s="39">
        <f>C46*K46</f>
        <v>4891072.3809523806</v>
      </c>
      <c r="F46" s="40" t="s">
        <v>47</v>
      </c>
      <c r="G46" s="41">
        <v>1.4503460000000001</v>
      </c>
      <c r="H46" s="42">
        <v>1.51</v>
      </c>
      <c r="I46" s="43">
        <v>1.5</v>
      </c>
      <c r="J46" s="44">
        <f>I46/$J$5</f>
        <v>5.5808554335208496E-2</v>
      </c>
      <c r="K46" s="45">
        <f>I46/$K$4</f>
        <v>4.7619047619047616E-2</v>
      </c>
      <c r="L46" s="46">
        <f>I46-H46</f>
        <v>-1.0000000000000009E-2</v>
      </c>
      <c r="M46" s="46">
        <f>((I46-H46)/H46)*100</f>
        <v>-0.66225165562913968</v>
      </c>
      <c r="N46" s="47">
        <v>1900</v>
      </c>
      <c r="O46" s="37">
        <v>2850</v>
      </c>
      <c r="P46" s="51">
        <v>0</v>
      </c>
      <c r="Q46" s="49">
        <f>I46/G46-1</f>
        <v>3.4235968520615057E-2</v>
      </c>
      <c r="R46" s="50"/>
    </row>
    <row r="47" spans="1:18" ht="13.8" thickBot="1" x14ac:dyDescent="0.4">
      <c r="A47" s="57"/>
      <c r="B47" s="58" t="s">
        <v>83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2270900</v>
      </c>
      <c r="O47" s="61">
        <f>SUM(O9:O46)</f>
        <v>66892494.600000001</v>
      </c>
      <c r="P47" s="62"/>
      <c r="Q47" s="63"/>
    </row>
    <row r="48" spans="1:18" ht="13.2" x14ac:dyDescent="0.35">
      <c r="A48" s="64"/>
      <c r="B48" s="65" t="s">
        <v>83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6" x14ac:dyDescent="0.3">
      <c r="A49" s="130" t="s">
        <v>118</v>
      </c>
      <c r="B49" s="131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3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>C50*J50</f>
        <v>75025225.641599998</v>
      </c>
      <c r="E50" s="39">
        <v>0</v>
      </c>
      <c r="F50" s="40" t="s">
        <v>93</v>
      </c>
      <c r="G50" s="70">
        <v>0.1</v>
      </c>
      <c r="H50" s="42">
        <v>0.13339999999999999</v>
      </c>
      <c r="I50" s="42">
        <v>0.13519999999999999</v>
      </c>
      <c r="J50" s="44">
        <f>I50</f>
        <v>0.13519999999999999</v>
      </c>
      <c r="K50" s="39">
        <v>0</v>
      </c>
      <c r="L50" s="46">
        <f>I50-H50</f>
        <v>1.799999999999996E-3</v>
      </c>
      <c r="M50" s="46">
        <f>((I50-H50)/H50)*100</f>
        <v>1.3493253373313314</v>
      </c>
      <c r="N50" s="47">
        <v>1643</v>
      </c>
      <c r="O50" s="37">
        <v>222.19</v>
      </c>
      <c r="P50" s="71">
        <f>(R50)/J50</f>
        <v>0</v>
      </c>
      <c r="Q50" s="49">
        <f>J50/G50-1</f>
        <v>0.35199999999999987</v>
      </c>
      <c r="T50" s="52"/>
    </row>
    <row r="51" spans="1:20" x14ac:dyDescent="0.25">
      <c r="A51" s="35" t="s">
        <v>121</v>
      </c>
      <c r="B51" s="36" t="s">
        <v>122</v>
      </c>
      <c r="C51" s="40">
        <v>1057685</v>
      </c>
      <c r="D51" s="38">
        <f>C51*J51</f>
        <v>43709255.699000001</v>
      </c>
      <c r="E51" s="39">
        <v>0</v>
      </c>
      <c r="F51" s="40" t="s">
        <v>39</v>
      </c>
      <c r="G51" s="70">
        <v>39.9</v>
      </c>
      <c r="H51" s="42">
        <v>41.325400000000002</v>
      </c>
      <c r="I51" s="42">
        <v>41.325400000000002</v>
      </c>
      <c r="J51" s="44">
        <f>I51</f>
        <v>41.325400000000002</v>
      </c>
      <c r="K51" s="39">
        <v>0</v>
      </c>
      <c r="L51" s="46">
        <f>I51-H51</f>
        <v>0</v>
      </c>
      <c r="M51" s="46">
        <f>((I51-H51)/H51)*100</f>
        <v>0</v>
      </c>
      <c r="N51" s="47">
        <v>0</v>
      </c>
      <c r="O51" s="37">
        <v>0</v>
      </c>
      <c r="P51" s="72">
        <f>(R51)/J51</f>
        <v>1.3550988012215248E-2</v>
      </c>
      <c r="Q51" s="49">
        <f>J51/G51-1</f>
        <v>3.5724310776942492E-2</v>
      </c>
      <c r="R51" s="52">
        <v>0.56000000000000005</v>
      </c>
      <c r="T51" s="52"/>
    </row>
    <row r="52" spans="1:20" x14ac:dyDescent="0.25">
      <c r="A52" s="35" t="s">
        <v>123</v>
      </c>
      <c r="B52" s="36" t="s">
        <v>124</v>
      </c>
      <c r="C52" s="40">
        <v>2992163203</v>
      </c>
      <c r="D52" s="38">
        <f>C52*J52</f>
        <v>684008508.20579994</v>
      </c>
      <c r="E52" s="39"/>
      <c r="F52" s="40" t="s">
        <v>56</v>
      </c>
      <c r="G52" s="70">
        <v>0.33</v>
      </c>
      <c r="H52" s="42">
        <v>0.23250000000000001</v>
      </c>
      <c r="I52" s="42">
        <v>0.2286</v>
      </c>
      <c r="J52" s="44">
        <f>I52</f>
        <v>0.2286</v>
      </c>
      <c r="K52" s="39">
        <v>0</v>
      </c>
      <c r="L52" s="46">
        <f>I52-H52</f>
        <v>-3.9000000000000146E-3</v>
      </c>
      <c r="M52" s="46">
        <f>((I52-H52)/H52)*100</f>
        <v>-1.6774193548387157</v>
      </c>
      <c r="N52" s="47">
        <v>4423</v>
      </c>
      <c r="O52" s="37">
        <v>1011.24</v>
      </c>
      <c r="P52" s="71">
        <v>0</v>
      </c>
      <c r="Q52" s="49">
        <f>J52/G52-1</f>
        <v>-0.30727272727272736</v>
      </c>
      <c r="R52" s="52"/>
      <c r="T52" s="52"/>
    </row>
    <row r="53" spans="1:20" x14ac:dyDescent="0.25">
      <c r="A53" s="35" t="s">
        <v>125</v>
      </c>
      <c r="B53" s="36" t="s">
        <v>126</v>
      </c>
      <c r="C53" s="40">
        <v>609740943</v>
      </c>
      <c r="D53" s="38">
        <f>C53*J53</f>
        <v>16706901.838200001</v>
      </c>
      <c r="E53" s="39">
        <v>0</v>
      </c>
      <c r="F53" s="40" t="s">
        <v>34</v>
      </c>
      <c r="G53" s="70">
        <v>2.3E-2</v>
      </c>
      <c r="H53" s="42">
        <v>2.7400000000000001E-2</v>
      </c>
      <c r="I53" s="42">
        <v>2.7400000000000001E-2</v>
      </c>
      <c r="J53" s="44">
        <f>I53</f>
        <v>2.7400000000000001E-2</v>
      </c>
      <c r="K53" s="39">
        <v>0</v>
      </c>
      <c r="L53" s="46">
        <f>I53-H53</f>
        <v>0</v>
      </c>
      <c r="M53" s="46">
        <f>((I53-H53)/H53)*100</f>
        <v>0</v>
      </c>
      <c r="N53" s="47">
        <v>0</v>
      </c>
      <c r="O53" s="37">
        <v>0</v>
      </c>
      <c r="P53" s="71">
        <f>(R53)/J53</f>
        <v>0</v>
      </c>
      <c r="Q53" s="49">
        <f>J53/G53-1</f>
        <v>0.19130434782608696</v>
      </c>
      <c r="T53" s="52"/>
    </row>
    <row r="54" spans="1:20" x14ac:dyDescent="0.25">
      <c r="A54" s="35" t="s">
        <v>127</v>
      </c>
      <c r="B54" s="36" t="s">
        <v>128</v>
      </c>
      <c r="C54" s="40">
        <v>2162695929</v>
      </c>
      <c r="D54" s="38">
        <f>C54*J54</f>
        <v>291963950.41500002</v>
      </c>
      <c r="E54" s="39">
        <v>0</v>
      </c>
      <c r="F54" s="40" t="s">
        <v>47</v>
      </c>
      <c r="G54" s="70">
        <v>9.0200000000000002E-2</v>
      </c>
      <c r="H54" s="42">
        <v>0.13500000000000001</v>
      </c>
      <c r="I54" s="42">
        <v>0.13500000000000001</v>
      </c>
      <c r="J54" s="44">
        <f>I54</f>
        <v>0.13500000000000001</v>
      </c>
      <c r="K54" s="39">
        <v>0</v>
      </c>
      <c r="L54" s="46">
        <f>I54-H54</f>
        <v>0</v>
      </c>
      <c r="M54" s="73">
        <f>((I54-H54)/H54)*100</f>
        <v>0</v>
      </c>
      <c r="N54" s="47">
        <v>303466</v>
      </c>
      <c r="O54" s="37">
        <v>40975.82</v>
      </c>
      <c r="P54" s="71">
        <f>(R54)/J54</f>
        <v>0</v>
      </c>
      <c r="Q54" s="49">
        <f>J54/G54-1</f>
        <v>0.49667405764966754</v>
      </c>
      <c r="R54" s="52"/>
      <c r="T54" s="52"/>
    </row>
    <row r="55" spans="1:20" x14ac:dyDescent="0.25">
      <c r="A55" s="35" t="s">
        <v>129</v>
      </c>
      <c r="B55" s="36" t="s">
        <v>130</v>
      </c>
      <c r="C55" s="40">
        <v>575926450</v>
      </c>
      <c r="D55" s="38">
        <f>C55*J55</f>
        <v>799213134.66499996</v>
      </c>
      <c r="E55" s="39">
        <v>0</v>
      </c>
      <c r="F55" s="40" t="s">
        <v>34</v>
      </c>
      <c r="G55" s="70">
        <v>0.95750000000000002</v>
      </c>
      <c r="H55" s="42">
        <v>1.4492</v>
      </c>
      <c r="I55" s="42">
        <v>1.3876999999999999</v>
      </c>
      <c r="J55" s="44">
        <f>I55</f>
        <v>1.3876999999999999</v>
      </c>
      <c r="K55" s="39">
        <v>0</v>
      </c>
      <c r="L55" s="46">
        <f>I55-H55</f>
        <v>-6.150000000000011E-2</v>
      </c>
      <c r="M55" s="46">
        <f>((I55-H55)/H55)*100</f>
        <v>-4.2437206734750283</v>
      </c>
      <c r="N55" s="47">
        <v>81711</v>
      </c>
      <c r="O55" s="37">
        <v>113391.03</v>
      </c>
      <c r="P55" s="72">
        <f>(R55)/J55</f>
        <v>3.3868991857029622E-2</v>
      </c>
      <c r="Q55" s="49">
        <f>J55/G55-1</f>
        <v>0.44929503916449076</v>
      </c>
      <c r="R55" s="52">
        <v>4.7E-2</v>
      </c>
      <c r="T55" s="52"/>
    </row>
    <row r="56" spans="1:20" x14ac:dyDescent="0.25">
      <c r="A56" s="35" t="s">
        <v>131</v>
      </c>
      <c r="B56" s="36" t="s">
        <v>132</v>
      </c>
      <c r="C56" s="40">
        <v>164208222</v>
      </c>
      <c r="D56" s="38">
        <f>C56*J56</f>
        <v>24631233.300000001</v>
      </c>
      <c r="E56" s="39">
        <v>0</v>
      </c>
      <c r="F56" s="40" t="s">
        <v>34</v>
      </c>
      <c r="G56" s="70">
        <v>0.1595</v>
      </c>
      <c r="H56" s="42">
        <v>0.15</v>
      </c>
      <c r="I56" s="42">
        <v>0.15</v>
      </c>
      <c r="J56" s="44">
        <f>I56</f>
        <v>0.15</v>
      </c>
      <c r="K56" s="39">
        <v>0</v>
      </c>
      <c r="L56" s="46">
        <f>I56-H56</f>
        <v>0</v>
      </c>
      <c r="M56" s="46">
        <f>((I56-H56)/H56)*100</f>
        <v>0</v>
      </c>
      <c r="N56" s="47">
        <v>4498</v>
      </c>
      <c r="O56" s="37">
        <v>674.7</v>
      </c>
      <c r="P56" s="71">
        <f>(R56)/J56</f>
        <v>0</v>
      </c>
      <c r="Q56" s="49">
        <f>J56/G56-1</f>
        <v>-5.9561128526645857E-2</v>
      </c>
      <c r="T56" s="52"/>
    </row>
    <row r="57" spans="1:20" x14ac:dyDescent="0.25">
      <c r="A57" s="35" t="s">
        <v>133</v>
      </c>
      <c r="B57" s="36" t="s">
        <v>134</v>
      </c>
      <c r="C57" s="40">
        <v>953802800</v>
      </c>
      <c r="D57" s="38">
        <f>C57*J57</f>
        <v>19076056</v>
      </c>
      <c r="E57" s="39">
        <v>0</v>
      </c>
      <c r="F57" s="40" t="s">
        <v>93</v>
      </c>
      <c r="G57" s="70">
        <v>1.6799999999999999E-2</v>
      </c>
      <c r="H57" s="42">
        <v>1.9699999999999999E-2</v>
      </c>
      <c r="I57" s="42">
        <v>0.02</v>
      </c>
      <c r="J57" s="44">
        <f>I57</f>
        <v>0.02</v>
      </c>
      <c r="K57" s="39">
        <v>0</v>
      </c>
      <c r="L57" s="46">
        <f>I57-H57</f>
        <v>3.0000000000000165E-4</v>
      </c>
      <c r="M57" s="73">
        <f>((I57-H57)/H57)*100</f>
        <v>1.5228426395939172</v>
      </c>
      <c r="N57" s="47">
        <v>37540</v>
      </c>
      <c r="O57" s="37">
        <v>751.69</v>
      </c>
      <c r="P57" s="71">
        <f>(R57)/J57</f>
        <v>0</v>
      </c>
      <c r="Q57" s="49">
        <f>J57/G57-1</f>
        <v>0.19047619047619047</v>
      </c>
      <c r="T57" s="52"/>
    </row>
    <row r="58" spans="1:20" x14ac:dyDescent="0.25">
      <c r="A58" s="35" t="s">
        <v>135</v>
      </c>
      <c r="B58" s="36" t="s">
        <v>136</v>
      </c>
      <c r="C58" s="40">
        <v>161273</v>
      </c>
      <c r="D58" s="38">
        <f>C58*J58</f>
        <v>2902914</v>
      </c>
      <c r="E58" s="39">
        <v>0</v>
      </c>
      <c r="F58" s="40" t="s">
        <v>137</v>
      </c>
      <c r="G58" s="70">
        <v>19.5</v>
      </c>
      <c r="H58" s="42">
        <v>17</v>
      </c>
      <c r="I58" s="42">
        <v>18</v>
      </c>
      <c r="J58" s="44">
        <f>I58</f>
        <v>18</v>
      </c>
      <c r="K58" s="39">
        <v>0</v>
      </c>
      <c r="L58" s="46">
        <f>I58-H58</f>
        <v>1</v>
      </c>
      <c r="M58" s="46">
        <f>((I58-H58)/H58)*100</f>
        <v>5.8823529411764701</v>
      </c>
      <c r="N58" s="47">
        <v>1</v>
      </c>
      <c r="O58" s="37">
        <v>18</v>
      </c>
      <c r="P58" s="71">
        <f>(R58)/J58</f>
        <v>0</v>
      </c>
      <c r="Q58" s="49">
        <f>J58/G58-1</f>
        <v>-7.6923076923076872E-2</v>
      </c>
      <c r="T58" s="52"/>
    </row>
    <row r="59" spans="1:20" x14ac:dyDescent="0.25">
      <c r="A59" s="35" t="s">
        <v>138</v>
      </c>
      <c r="B59" s="36" t="s">
        <v>139</v>
      </c>
      <c r="C59" s="40">
        <v>805090451</v>
      </c>
      <c r="D59" s="38">
        <f>C59*J59</f>
        <v>1049032857.653</v>
      </c>
      <c r="E59" s="39">
        <v>0</v>
      </c>
      <c r="F59" s="40" t="s">
        <v>93</v>
      </c>
      <c r="G59" s="70">
        <v>0.59499999999999997</v>
      </c>
      <c r="H59" s="42">
        <v>1.2119</v>
      </c>
      <c r="I59" s="42">
        <v>1.3029999999999999</v>
      </c>
      <c r="J59" s="44">
        <f>I59</f>
        <v>1.3029999999999999</v>
      </c>
      <c r="K59" s="39">
        <v>0</v>
      </c>
      <c r="L59" s="46">
        <f>I59-H59</f>
        <v>9.1099999999999959E-2</v>
      </c>
      <c r="M59" s="46">
        <f>((I59-H59)/H59)*100</f>
        <v>7.5171218747421369</v>
      </c>
      <c r="N59" s="47">
        <v>277254</v>
      </c>
      <c r="O59" s="37">
        <v>361258.22</v>
      </c>
      <c r="P59" s="71">
        <f>(R59)/J59</f>
        <v>0</v>
      </c>
      <c r="Q59" s="49">
        <f>J59/G59-1</f>
        <v>1.1899159663865544</v>
      </c>
      <c r="R59" s="52"/>
      <c r="T59" s="52"/>
    </row>
    <row r="60" spans="1:20" x14ac:dyDescent="0.25">
      <c r="A60" s="35" t="s">
        <v>140</v>
      </c>
      <c r="B60" s="36" t="s">
        <v>141</v>
      </c>
      <c r="C60" s="40">
        <v>260714518</v>
      </c>
      <c r="D60" s="38">
        <f>C60*J60</f>
        <v>106762595.12099999</v>
      </c>
      <c r="E60" s="39">
        <v>0</v>
      </c>
      <c r="F60" s="40" t="s">
        <v>34</v>
      </c>
      <c r="G60" s="70">
        <v>0.22600000000000001</v>
      </c>
      <c r="H60" s="42">
        <v>0.40710000000000002</v>
      </c>
      <c r="I60" s="42">
        <v>0.40949999999999998</v>
      </c>
      <c r="J60" s="44">
        <f>I60</f>
        <v>0.40949999999999998</v>
      </c>
      <c r="K60" s="39">
        <v>0</v>
      </c>
      <c r="L60" s="46">
        <f>I60-H60</f>
        <v>2.3999999999999577E-3</v>
      </c>
      <c r="M60" s="46">
        <f>((I60-H60)/H60)*100</f>
        <v>0.58953574060426372</v>
      </c>
      <c r="N60" s="47">
        <v>98</v>
      </c>
      <c r="O60" s="37">
        <v>40.130000000000003</v>
      </c>
      <c r="P60" s="71">
        <f>(R60)/J60</f>
        <v>0</v>
      </c>
      <c r="Q60" s="49">
        <f>J60/G60-1</f>
        <v>0.81194690265486713</v>
      </c>
      <c r="T60" s="52"/>
    </row>
    <row r="61" spans="1:20" x14ac:dyDescent="0.25">
      <c r="A61" s="35" t="s">
        <v>142</v>
      </c>
      <c r="B61" s="36" t="s">
        <v>143</v>
      </c>
      <c r="C61" s="40">
        <v>562184788</v>
      </c>
      <c r="D61" s="38">
        <f>C61*J61</f>
        <v>387795066.76239997</v>
      </c>
      <c r="E61" s="39">
        <v>0</v>
      </c>
      <c r="F61" s="40" t="s">
        <v>34</v>
      </c>
      <c r="G61" s="70">
        <v>0.49440000000000001</v>
      </c>
      <c r="H61" s="42">
        <v>0.69069999999999998</v>
      </c>
      <c r="I61" s="42">
        <v>0.68979999999999997</v>
      </c>
      <c r="J61" s="44">
        <f>I61</f>
        <v>0.68979999999999997</v>
      </c>
      <c r="K61" s="39">
        <v>0</v>
      </c>
      <c r="L61" s="46">
        <f>I61-H61</f>
        <v>-9.000000000000119E-4</v>
      </c>
      <c r="M61" s="46">
        <f>((I61-H61)/H61)*100</f>
        <v>-0.13030259157376747</v>
      </c>
      <c r="N61" s="47">
        <v>2569</v>
      </c>
      <c r="O61" s="37">
        <v>1772.07</v>
      </c>
      <c r="P61" s="71">
        <f>(R61)/J61</f>
        <v>0</v>
      </c>
      <c r="Q61" s="49">
        <f>J61/G61-1</f>
        <v>0.39522653721682843</v>
      </c>
      <c r="R61" s="52"/>
      <c r="T61" s="52"/>
    </row>
    <row r="62" spans="1:20" x14ac:dyDescent="0.25">
      <c r="A62" s="35" t="s">
        <v>144</v>
      </c>
      <c r="B62" s="36" t="s">
        <v>145</v>
      </c>
      <c r="C62" s="40">
        <v>364526035</v>
      </c>
      <c r="D62" s="38">
        <f>C62*J62</f>
        <v>91131508.75</v>
      </c>
      <c r="E62" s="39">
        <v>0</v>
      </c>
      <c r="F62" s="40" t="s">
        <v>34</v>
      </c>
      <c r="G62" s="70">
        <v>0.25950000000000001</v>
      </c>
      <c r="H62" s="42">
        <v>0.24940000000000001</v>
      </c>
      <c r="I62" s="42">
        <v>0.25</v>
      </c>
      <c r="J62" s="44">
        <f>I62</f>
        <v>0.25</v>
      </c>
      <c r="K62" s="39">
        <v>0</v>
      </c>
      <c r="L62" s="46">
        <f>I62-H62</f>
        <v>5.9999999999998943E-4</v>
      </c>
      <c r="M62" s="46">
        <f>((I62-H62)/H62)*100</f>
        <v>0.24057738572573753</v>
      </c>
      <c r="N62" s="47">
        <v>1543</v>
      </c>
      <c r="O62" s="37">
        <v>385.75</v>
      </c>
      <c r="P62" s="71">
        <f>(R62)/J62</f>
        <v>0</v>
      </c>
      <c r="Q62" s="49">
        <f>J62/G62-1</f>
        <v>-3.6608863198458574E-2</v>
      </c>
      <c r="R62" s="52"/>
      <c r="T62" s="52"/>
    </row>
    <row r="63" spans="1:20" x14ac:dyDescent="0.25">
      <c r="A63" s="35" t="s">
        <v>146</v>
      </c>
      <c r="B63" s="36" t="s">
        <v>147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>I63</f>
        <v>10</v>
      </c>
      <c r="K63" s="39">
        <v>0</v>
      </c>
      <c r="L63" s="46">
        <f>I63-H63</f>
        <v>0</v>
      </c>
      <c r="M63" s="46">
        <f>((I63-H63)/H63)*100</f>
        <v>0</v>
      </c>
      <c r="N63" s="47">
        <v>0</v>
      </c>
      <c r="O63" s="37">
        <v>0</v>
      </c>
      <c r="P63" s="71">
        <f>(R63)/J63</f>
        <v>0</v>
      </c>
      <c r="Q63" s="49">
        <f>J63/G63-1</f>
        <v>0</v>
      </c>
      <c r="T63" s="52"/>
    </row>
    <row r="64" spans="1:20" x14ac:dyDescent="0.25">
      <c r="A64" s="35" t="s">
        <v>148</v>
      </c>
      <c r="B64" s="36" t="s">
        <v>149</v>
      </c>
      <c r="C64" s="40">
        <v>344580486</v>
      </c>
      <c r="D64" s="38">
        <f>C64*J64</f>
        <v>35560706.155199997</v>
      </c>
      <c r="E64" s="39">
        <v>0</v>
      </c>
      <c r="F64" s="40" t="s">
        <v>44</v>
      </c>
      <c r="G64" s="70">
        <v>4.2999999999999997E-2</v>
      </c>
      <c r="H64" s="42">
        <v>0.10249999999999999</v>
      </c>
      <c r="I64" s="42">
        <v>0.1032</v>
      </c>
      <c r="J64" s="44">
        <f>I64</f>
        <v>0.1032</v>
      </c>
      <c r="K64" s="39">
        <v>0</v>
      </c>
      <c r="L64" s="46">
        <f>I64-H64</f>
        <v>7.0000000000000617E-4</v>
      </c>
      <c r="M64" s="46">
        <f>((I64-H64)/H64)*100</f>
        <v>0.68292682926829873</v>
      </c>
      <c r="N64" s="47">
        <v>6508</v>
      </c>
      <c r="O64" s="37">
        <v>671.79</v>
      </c>
      <c r="P64" s="71">
        <f>(R64)/J64</f>
        <v>0</v>
      </c>
      <c r="Q64" s="49">
        <f>J64/G64-1</f>
        <v>1.4000000000000004</v>
      </c>
      <c r="T64" s="52"/>
    </row>
    <row r="65" spans="1:20" ht="13.2" x14ac:dyDescent="0.35">
      <c r="A65" s="74"/>
      <c r="B65" s="36" t="s">
        <v>83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SUM(N50:N64)</f>
        <v>721254</v>
      </c>
      <c r="O65" s="62">
        <f>SUM(O50:O64)</f>
        <v>521172.63</v>
      </c>
      <c r="P65" s="77"/>
      <c r="Q65" s="63"/>
    </row>
    <row r="66" spans="1:20" ht="12.6" hidden="1" x14ac:dyDescent="0.3">
      <c r="A66" s="134" t="s">
        <v>150</v>
      </c>
      <c r="B66" s="135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7"/>
    </row>
    <row r="67" spans="1:20" ht="12.6" hidden="1" thickBot="1" x14ac:dyDescent="0.3">
      <c r="A67" s="78" t="s">
        <v>151</v>
      </c>
      <c r="B67" s="79" t="s">
        <v>152</v>
      </c>
      <c r="C67" s="80">
        <v>20000</v>
      </c>
      <c r="D67" s="81">
        <f>C67*J67</f>
        <v>0</v>
      </c>
      <c r="E67" s="81"/>
      <c r="F67" s="80" t="s">
        <v>153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6" thickBot="1" x14ac:dyDescent="0.3">
      <c r="A68" s="35"/>
      <c r="B68" s="36" t="s">
        <v>83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6" x14ac:dyDescent="0.3">
      <c r="A69" s="134" t="s">
        <v>154</v>
      </c>
      <c r="B69" s="135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7"/>
    </row>
    <row r="70" spans="1:20" x14ac:dyDescent="0.25">
      <c r="A70" s="35" t="s">
        <v>155</v>
      </c>
      <c r="B70" s="88" t="s">
        <v>156</v>
      </c>
      <c r="C70" s="89">
        <v>139300587</v>
      </c>
      <c r="D70" s="38">
        <f>C70*J70</f>
        <v>48755205.449999996</v>
      </c>
      <c r="E70" s="39">
        <f>C70*K70</f>
        <v>48755205.449999996</v>
      </c>
      <c r="F70" s="89" t="s">
        <v>157</v>
      </c>
      <c r="G70" s="89">
        <v>0.24</v>
      </c>
      <c r="H70" s="90">
        <v>0.35020000000000001</v>
      </c>
      <c r="I70" s="90">
        <v>0.35</v>
      </c>
      <c r="J70" s="91">
        <f>I70</f>
        <v>0.35</v>
      </c>
      <c r="K70" s="91">
        <f>J70</f>
        <v>0.35</v>
      </c>
      <c r="L70" s="46">
        <f>I70-H70</f>
        <v>-2.0000000000003348E-4</v>
      </c>
      <c r="M70" s="46">
        <f>((I70-H70)/H70)*100</f>
        <v>-5.7110222729878209E-2</v>
      </c>
      <c r="N70" s="92">
        <v>51</v>
      </c>
      <c r="O70" s="93">
        <v>17.850000000000001</v>
      </c>
      <c r="P70" s="71">
        <f>(R70)/J70</f>
        <v>0</v>
      </c>
      <c r="Q70" s="49">
        <f>J70/G70-1</f>
        <v>0.45833333333333326</v>
      </c>
      <c r="T70" s="52"/>
    </row>
    <row r="71" spans="1:20" x14ac:dyDescent="0.25">
      <c r="A71" s="35" t="s">
        <v>158</v>
      </c>
      <c r="B71" s="88" t="s">
        <v>159</v>
      </c>
      <c r="C71" s="89">
        <v>471351750</v>
      </c>
      <c r="D71" s="38">
        <f>C71*J71</f>
        <v>70702762.5</v>
      </c>
      <c r="E71" s="39">
        <f>C71*K71</f>
        <v>70702762.5</v>
      </c>
      <c r="F71" s="89" t="s">
        <v>157</v>
      </c>
      <c r="G71" s="89">
        <v>0.1</v>
      </c>
      <c r="H71" s="90">
        <v>0.1497</v>
      </c>
      <c r="I71" s="90">
        <v>0.15</v>
      </c>
      <c r="J71" s="91">
        <f>I71</f>
        <v>0.15</v>
      </c>
      <c r="K71" s="91">
        <f>J71</f>
        <v>0.15</v>
      </c>
      <c r="L71" s="46">
        <f>I71-H71</f>
        <v>2.9999999999999472E-4</v>
      </c>
      <c r="M71" s="46">
        <f>((I71-H71)/H71)*100</f>
        <v>0.20040080160320289</v>
      </c>
      <c r="N71" s="47">
        <v>16679</v>
      </c>
      <c r="O71" s="93">
        <v>2501.85</v>
      </c>
      <c r="P71" s="94">
        <f>(R71)/J71</f>
        <v>2.528E-2</v>
      </c>
      <c r="Q71" s="49">
        <f>J71/G71-1</f>
        <v>0.49999999999999978</v>
      </c>
      <c r="R71" s="5">
        <v>3.7919999999999998E-3</v>
      </c>
      <c r="T71" s="52"/>
    </row>
    <row r="72" spans="1:20" ht="13.8" thickBot="1" x14ac:dyDescent="0.4">
      <c r="A72" s="35"/>
      <c r="B72" s="36" t="s">
        <v>83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16730</v>
      </c>
      <c r="O72" s="62">
        <f>SUM(O70:O71)</f>
        <v>2519.6999999999998</v>
      </c>
      <c r="P72" s="87"/>
      <c r="Q72" s="63"/>
    </row>
    <row r="73" spans="1:20" ht="12.6" x14ac:dyDescent="0.3">
      <c r="A73" s="134" t="s">
        <v>160</v>
      </c>
      <c r="B73" s="135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7"/>
    </row>
    <row r="74" spans="1:20" x14ac:dyDescent="0.25">
      <c r="A74" s="35" t="s">
        <v>161</v>
      </c>
      <c r="B74" s="88" t="s">
        <v>162</v>
      </c>
      <c r="C74" s="89">
        <v>20819695</v>
      </c>
      <c r="D74" s="38">
        <f>C74*J74</f>
        <v>2673248.8379999995</v>
      </c>
      <c r="E74" s="39">
        <f>C74*K74</f>
        <v>2673248.8379999995</v>
      </c>
      <c r="F74" s="89" t="s">
        <v>137</v>
      </c>
      <c r="G74" s="89">
        <v>0.1394</v>
      </c>
      <c r="H74" s="90">
        <v>0.12870000000000001</v>
      </c>
      <c r="I74" s="90">
        <v>0.12839999999999999</v>
      </c>
      <c r="J74" s="91">
        <f>I74</f>
        <v>0.12839999999999999</v>
      </c>
      <c r="K74" s="91">
        <f>J74</f>
        <v>0.12839999999999999</v>
      </c>
      <c r="L74" s="46">
        <f>I74-H74</f>
        <v>-3.0000000000002247E-4</v>
      </c>
      <c r="M74" s="46">
        <f>((I74-H74)/H74)*100</f>
        <v>-0.23310023310025052</v>
      </c>
      <c r="N74" s="92">
        <v>3117</v>
      </c>
      <c r="O74" s="93">
        <v>400.4</v>
      </c>
      <c r="P74" s="71">
        <f>(R74)/J74</f>
        <v>0</v>
      </c>
      <c r="Q74" s="49">
        <f>J74/G74-1</f>
        <v>-7.8909612625538084E-2</v>
      </c>
    </row>
    <row r="75" spans="1:20" ht="13.2" x14ac:dyDescent="0.35">
      <c r="A75" s="35"/>
      <c r="B75" s="36" t="s">
        <v>83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6" x14ac:dyDescent="0.3">
      <c r="A76" s="130" t="s">
        <v>163</v>
      </c>
      <c r="B76" s="131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3"/>
    </row>
    <row r="77" spans="1:20" x14ac:dyDescent="0.25">
      <c r="A77" s="35" t="s">
        <v>164</v>
      </c>
      <c r="B77" s="36" t="s">
        <v>165</v>
      </c>
      <c r="C77" s="40">
        <v>31703227</v>
      </c>
      <c r="D77" s="38">
        <f>C77*J77</f>
        <v>106158.67599785695</v>
      </c>
      <c r="E77" s="39">
        <f>C77*K77</f>
        <v>90580.648571428566</v>
      </c>
      <c r="F77" s="40" t="s">
        <v>137</v>
      </c>
      <c r="G77" s="70">
        <v>0.105</v>
      </c>
      <c r="H77" s="42">
        <v>0.09</v>
      </c>
      <c r="I77" s="42">
        <v>0.09</v>
      </c>
      <c r="J77" s="44">
        <f>I77/$J$5</f>
        <v>3.3485132601125097E-3</v>
      </c>
      <c r="K77" s="45">
        <f>I77/$K$4</f>
        <v>2.8571428571428571E-3</v>
      </c>
      <c r="L77" s="46">
        <f>I77-H77</f>
        <v>0</v>
      </c>
      <c r="M77" s="95">
        <f>((I77-H77)/H77)*100</f>
        <v>0</v>
      </c>
      <c r="N77" s="37">
        <v>500</v>
      </c>
      <c r="O77" s="37">
        <v>45</v>
      </c>
      <c r="P77" s="40">
        <v>0</v>
      </c>
      <c r="Q77" s="49">
        <f>I77/G77-1</f>
        <v>-0.1428571428571429</v>
      </c>
    </row>
    <row r="78" spans="1:20" x14ac:dyDescent="0.25">
      <c r="A78" s="35" t="s">
        <v>166</v>
      </c>
      <c r="B78" s="36" t="s">
        <v>167</v>
      </c>
      <c r="C78" s="40">
        <v>136162052</v>
      </c>
      <c r="D78" s="38">
        <f>C78*J78</f>
        <v>405280.38812989253</v>
      </c>
      <c r="E78" s="39">
        <f>C78*K78</f>
        <v>345808.38603174605</v>
      </c>
      <c r="F78" s="40" t="s">
        <v>137</v>
      </c>
      <c r="G78" s="70">
        <v>4.2500000000000003E-2</v>
      </c>
      <c r="H78" s="42">
        <v>0.08</v>
      </c>
      <c r="I78" s="42">
        <v>0.08</v>
      </c>
      <c r="J78" s="44">
        <f>I78/$J$5</f>
        <v>2.9764562312111198E-3</v>
      </c>
      <c r="K78" s="45">
        <f>I78/$K$4</f>
        <v>2.5396825396825397E-3</v>
      </c>
      <c r="L78" s="46">
        <f>I78-H78</f>
        <v>0</v>
      </c>
      <c r="M78" s="95">
        <f>((I78-H78)/H78)*100</f>
        <v>0</v>
      </c>
      <c r="N78" s="37">
        <v>4300</v>
      </c>
      <c r="O78" s="37">
        <v>344</v>
      </c>
      <c r="P78" s="40">
        <v>0</v>
      </c>
      <c r="Q78" s="49">
        <f>I78/G78-1</f>
        <v>0.88235294117647056</v>
      </c>
    </row>
    <row r="79" spans="1:20" x14ac:dyDescent="0.25">
      <c r="A79" s="35" t="s">
        <v>168</v>
      </c>
      <c r="B79" s="36" t="s">
        <v>169</v>
      </c>
      <c r="C79" s="40">
        <v>6677853</v>
      </c>
      <c r="D79" s="38">
        <f>C79*J79</f>
        <v>32299.047906063039</v>
      </c>
      <c r="E79" s="39">
        <f>C79*K79</f>
        <v>27559.393333333337</v>
      </c>
      <c r="F79" s="40" t="s">
        <v>137</v>
      </c>
      <c r="G79" s="70">
        <v>6.0499999999999998E-2</v>
      </c>
      <c r="H79" s="42">
        <v>0.13</v>
      </c>
      <c r="I79" s="42">
        <v>0.13</v>
      </c>
      <c r="J79" s="44">
        <f>I79/$J$5</f>
        <v>4.8367413757180698E-3</v>
      </c>
      <c r="K79" s="45">
        <f>I79/$K$4</f>
        <v>4.1269841269841274E-3</v>
      </c>
      <c r="L79" s="46">
        <f>I79-H79</f>
        <v>0</v>
      </c>
      <c r="M79" s="95">
        <f>((I79-H79)/H79)*100</f>
        <v>0</v>
      </c>
      <c r="N79" s="37">
        <v>1800</v>
      </c>
      <c r="O79" s="37">
        <v>234</v>
      </c>
      <c r="P79" s="40">
        <v>0</v>
      </c>
      <c r="Q79" s="49">
        <f>I79/G79-1</f>
        <v>1.1487603305785123</v>
      </c>
    </row>
    <row r="80" spans="1:20" x14ac:dyDescent="0.25">
      <c r="A80" s="35" t="s">
        <v>170</v>
      </c>
      <c r="B80" s="36" t="s">
        <v>171</v>
      </c>
      <c r="C80" s="37">
        <v>494417400</v>
      </c>
      <c r="D80" s="38">
        <f>C80*J80</f>
        <v>28512477.676578265</v>
      </c>
      <c r="E80" s="39">
        <f>C80*K80</f>
        <v>24328475.238095239</v>
      </c>
      <c r="F80" s="40" t="s">
        <v>137</v>
      </c>
      <c r="G80" s="70">
        <v>1.85</v>
      </c>
      <c r="H80" s="42">
        <v>1.5</v>
      </c>
      <c r="I80" s="42">
        <v>1.55</v>
      </c>
      <c r="J80" s="44">
        <f>I80/$J$5</f>
        <v>5.7668839479715447E-2</v>
      </c>
      <c r="K80" s="45">
        <f>I80/$K$4</f>
        <v>4.9206349206349205E-2</v>
      </c>
      <c r="L80" s="46">
        <f>I80-H80</f>
        <v>5.0000000000000044E-2</v>
      </c>
      <c r="M80" s="95">
        <f>((I80-H80)/H80)*100</f>
        <v>3.3333333333333361</v>
      </c>
      <c r="N80" s="37">
        <v>3750</v>
      </c>
      <c r="O80" s="37">
        <v>5812.5</v>
      </c>
      <c r="P80" s="40">
        <v>0</v>
      </c>
      <c r="Q80" s="49">
        <f>I80/G80-1</f>
        <v>-0.16216216216216217</v>
      </c>
    </row>
    <row r="81" spans="1:243" ht="13.8" thickBot="1" x14ac:dyDescent="0.4">
      <c r="A81" s="35"/>
      <c r="B81" s="36" t="s">
        <v>83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10350</v>
      </c>
      <c r="O81" s="62">
        <f>SUM(O77:O80)</f>
        <v>6435.5</v>
      </c>
      <c r="P81" s="77"/>
      <c r="Q81" s="63"/>
      <c r="DU81" s="96"/>
      <c r="DV81" s="96"/>
      <c r="DW81" s="97"/>
      <c r="DX81" s="98"/>
      <c r="DY81" s="98"/>
      <c r="DZ81" s="99"/>
      <c r="EA81" s="99"/>
      <c r="EB81" s="100"/>
      <c r="EC81" s="100"/>
      <c r="ED81" s="101"/>
      <c r="EE81" s="101"/>
      <c r="EF81" s="99"/>
      <c r="EG81" s="102"/>
      <c r="EH81" s="103"/>
      <c r="EI81" s="97"/>
      <c r="EJ81" s="96"/>
      <c r="EK81" s="96"/>
      <c r="EL81" s="97"/>
      <c r="EM81" s="98"/>
      <c r="EN81" s="98"/>
      <c r="EO81" s="99"/>
      <c r="EP81" s="99"/>
      <c r="EQ81" s="100"/>
      <c r="ER81" s="100"/>
      <c r="ES81" s="101"/>
      <c r="ET81" s="101"/>
      <c r="EU81" s="99"/>
      <c r="EV81" s="102"/>
      <c r="EW81" s="103"/>
      <c r="EX81" s="97"/>
      <c r="EY81" s="96"/>
      <c r="EZ81" s="96"/>
      <c r="FA81" s="97"/>
      <c r="FB81" s="98"/>
      <c r="FC81" s="98"/>
      <c r="FD81" s="99"/>
      <c r="FE81" s="99"/>
      <c r="FF81" s="100"/>
      <c r="FG81" s="100"/>
      <c r="FH81" s="101"/>
      <c r="FI81" s="101"/>
      <c r="FJ81" s="99"/>
      <c r="FK81" s="102"/>
      <c r="FL81" s="103"/>
      <c r="FM81" s="97"/>
      <c r="FN81" s="96"/>
      <c r="FO81" s="96"/>
      <c r="FP81" s="97"/>
      <c r="FQ81" s="98"/>
      <c r="FR81" s="98"/>
      <c r="FS81" s="99"/>
      <c r="FT81" s="99"/>
      <c r="FU81" s="100"/>
      <c r="FV81" s="100"/>
      <c r="FW81" s="101"/>
      <c r="FX81" s="101"/>
      <c r="FY81" s="99"/>
      <c r="FZ81" s="102"/>
      <c r="GA81" s="103"/>
      <c r="GB81" s="97"/>
      <c r="GC81" s="96"/>
      <c r="GD81" s="96"/>
      <c r="GE81" s="97"/>
      <c r="GF81" s="98"/>
      <c r="GG81" s="98"/>
      <c r="GH81" s="99"/>
      <c r="GI81" s="99"/>
      <c r="GJ81" s="100"/>
      <c r="GK81" s="100"/>
      <c r="GL81" s="101"/>
      <c r="GM81" s="101"/>
      <c r="GN81" s="99"/>
      <c r="GO81" s="102"/>
      <c r="GP81" s="103"/>
      <c r="GQ81" s="97"/>
      <c r="GR81" s="96"/>
      <c r="GS81" s="96"/>
      <c r="GT81" s="97"/>
      <c r="GU81" s="98"/>
      <c r="GV81" s="98"/>
      <c r="GW81" s="99"/>
      <c r="GX81" s="99"/>
      <c r="GY81" s="100"/>
      <c r="GZ81" s="100"/>
      <c r="HA81" s="101"/>
      <c r="HB81" s="101"/>
      <c r="HC81" s="99"/>
      <c r="HD81" s="102"/>
      <c r="HE81" s="103"/>
      <c r="HF81" s="97"/>
      <c r="HG81" s="96"/>
      <c r="HH81" s="96"/>
      <c r="HI81" s="97"/>
      <c r="HJ81" s="98"/>
      <c r="HK81" s="98"/>
      <c r="HL81" s="99"/>
      <c r="HM81" s="99"/>
      <c r="HN81" s="100"/>
      <c r="HO81" s="100"/>
      <c r="HP81" s="101"/>
      <c r="HQ81" s="101"/>
      <c r="HR81" s="99"/>
      <c r="HS81" s="102"/>
      <c r="HT81" s="103"/>
      <c r="HU81" s="97"/>
      <c r="HV81" s="96"/>
      <c r="HW81" s="96"/>
      <c r="HX81" s="97"/>
      <c r="HY81" s="98"/>
      <c r="HZ81" s="98"/>
      <c r="IA81" s="99"/>
      <c r="IB81" s="99"/>
      <c r="IC81" s="100"/>
      <c r="ID81" s="100"/>
      <c r="IE81" s="101"/>
      <c r="IF81" s="101"/>
      <c r="IG81" s="99"/>
      <c r="IH81" s="102"/>
      <c r="II81" s="103"/>
    </row>
    <row r="82" spans="1:243" ht="13.2" thickTop="1" x14ac:dyDescent="0.3">
      <c r="A82" s="134" t="s">
        <v>172</v>
      </c>
      <c r="B82" s="135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7"/>
    </row>
    <row r="83" spans="1:243" x14ac:dyDescent="0.25">
      <c r="A83" s="35" t="s">
        <v>173</v>
      </c>
      <c r="B83" s="36" t="s">
        <v>174</v>
      </c>
      <c r="C83" s="40">
        <v>368326244</v>
      </c>
      <c r="D83" s="38">
        <f>C83*J83</f>
        <v>27167856.45779385</v>
      </c>
      <c r="E83" s="39">
        <f>C83*K83</f>
        <v>23181167.578730155</v>
      </c>
      <c r="F83" s="40" t="s">
        <v>175</v>
      </c>
      <c r="G83" s="40">
        <v>1.3</v>
      </c>
      <c r="H83" s="42">
        <v>1.9824999999999999</v>
      </c>
      <c r="I83" s="42">
        <v>1.9824999999999999</v>
      </c>
      <c r="J83" s="44">
        <f>I83/$J$5</f>
        <v>7.3760305979700569E-2</v>
      </c>
      <c r="K83" s="45">
        <f>I83/$K$4</f>
        <v>6.2936507936507929E-2</v>
      </c>
      <c r="L83" s="46">
        <f>I83-H83</f>
        <v>0</v>
      </c>
      <c r="M83" s="46">
        <f>((I83-H83)/H83*100)</f>
        <v>0</v>
      </c>
      <c r="N83" s="104">
        <v>0</v>
      </c>
      <c r="O83" s="105">
        <v>0</v>
      </c>
      <c r="P83" s="51">
        <f>(R83)/J83</f>
        <v>0</v>
      </c>
      <c r="Q83" s="49">
        <f>I83/G83-1</f>
        <v>0.52499999999999991</v>
      </c>
      <c r="R83" s="52"/>
    </row>
    <row r="84" spans="1:243" s="106" customFormat="1" ht="12.6" thickBot="1" x14ac:dyDescent="0.3">
      <c r="A84" s="35" t="s">
        <v>176</v>
      </c>
      <c r="B84" s="36" t="s">
        <v>177</v>
      </c>
      <c r="C84" s="40">
        <v>1841105000</v>
      </c>
      <c r="D84" s="38">
        <f>C84*J84</f>
        <v>76579408.100797683</v>
      </c>
      <c r="E84" s="39">
        <f>C84*K84</f>
        <v>65341926.957777791</v>
      </c>
      <c r="F84" s="40" t="s">
        <v>175</v>
      </c>
      <c r="G84" s="40">
        <v>1.44347</v>
      </c>
      <c r="H84" s="42">
        <v>1.049118</v>
      </c>
      <c r="I84" s="42">
        <v>1.1179540000000001</v>
      </c>
      <c r="J84" s="44">
        <f>I84/$J$5</f>
        <v>4.1594264368842455E-2</v>
      </c>
      <c r="K84" s="45">
        <f>I84/$K$4</f>
        <v>3.5490603174603182E-2</v>
      </c>
      <c r="L84" s="46">
        <f>I84-H84</f>
        <v>6.8836000000000119E-2</v>
      </c>
      <c r="M84" s="46">
        <f>((I84-H84)/H84*100)</f>
        <v>6.5613210334776557</v>
      </c>
      <c r="N84" s="104">
        <v>12420</v>
      </c>
      <c r="O84" s="105">
        <v>13905.4275</v>
      </c>
      <c r="P84" s="48">
        <f>(R84)/J84</f>
        <v>5.2314905264438431E-2</v>
      </c>
      <c r="Q84" s="49">
        <f>I84/G84-1</f>
        <v>-0.2255093628547874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6" thickBot="1" x14ac:dyDescent="0.3">
      <c r="A85" s="78"/>
      <c r="B85" s="79"/>
      <c r="C85" s="80"/>
      <c r="D85" s="107"/>
      <c r="E85" s="81"/>
      <c r="F85" s="80"/>
      <c r="G85" s="80"/>
      <c r="H85" s="82"/>
      <c r="I85" s="82"/>
      <c r="J85" s="82"/>
      <c r="K85" s="82"/>
      <c r="L85" s="83"/>
      <c r="M85" s="83"/>
      <c r="N85" s="83"/>
      <c r="O85" s="83"/>
      <c r="P85" s="83"/>
      <c r="Q85" s="86"/>
    </row>
    <row r="86" spans="1:243" ht="12.6" thickBot="1" x14ac:dyDescent="0.3">
      <c r="A86" s="108"/>
      <c r="B86" s="109"/>
      <c r="C86" s="109"/>
      <c r="D86" s="109"/>
      <c r="E86" s="109"/>
      <c r="F86" s="110"/>
      <c r="G86" s="110"/>
      <c r="H86" s="59"/>
      <c r="M86" s="111"/>
      <c r="N86" s="111"/>
      <c r="O86" s="59"/>
      <c r="P86" s="59"/>
      <c r="Q86" s="112"/>
    </row>
    <row r="87" spans="1:243" ht="15" customHeight="1" thickBot="1" x14ac:dyDescent="0.3">
      <c r="A87" s="138" t="s">
        <v>178</v>
      </c>
      <c r="B87" s="139"/>
      <c r="C87" s="139"/>
      <c r="D87" s="140"/>
      <c r="E87" s="138" t="s">
        <v>179</v>
      </c>
      <c r="F87" s="139"/>
      <c r="G87" s="139"/>
      <c r="H87" s="140"/>
      <c r="I87" s="52"/>
      <c r="J87" s="141" t="s">
        <v>180</v>
      </c>
      <c r="K87" s="142"/>
      <c r="L87" s="143"/>
      <c r="M87" s="141" t="s">
        <v>181</v>
      </c>
      <c r="N87" s="142"/>
      <c r="O87" s="143"/>
      <c r="Q87" s="16"/>
    </row>
    <row r="88" spans="1:243" x14ac:dyDescent="0.25">
      <c r="A88" s="35" t="s">
        <v>60</v>
      </c>
      <c r="B88" s="113">
        <v>0.80500000000000005</v>
      </c>
      <c r="D88" s="113">
        <v>15.000000000000014</v>
      </c>
      <c r="E88" s="35" t="s">
        <v>96</v>
      </c>
      <c r="F88" s="114">
        <v>4.2077000000000003E-2</v>
      </c>
      <c r="H88" s="115">
        <v>-7.4661330049260979</v>
      </c>
      <c r="J88" s="35" t="s">
        <v>138</v>
      </c>
      <c r="K88" s="51">
        <v>1.3029999999999999</v>
      </c>
      <c r="L88" s="116">
        <v>7.5171218747421369</v>
      </c>
      <c r="M88" s="59" t="s">
        <v>129</v>
      </c>
      <c r="N88" s="114">
        <v>1.3876999999999999</v>
      </c>
      <c r="O88" s="117">
        <v>-4.2437206734750283</v>
      </c>
      <c r="Q88" s="16"/>
    </row>
    <row r="89" spans="1:243" x14ac:dyDescent="0.25">
      <c r="A89" s="35" t="s">
        <v>58</v>
      </c>
      <c r="B89" s="113">
        <v>12.262499999999999</v>
      </c>
      <c r="D89" s="113">
        <v>12.499999999999991</v>
      </c>
      <c r="E89" s="35" t="s">
        <v>73</v>
      </c>
      <c r="F89" s="114">
        <v>1.8</v>
      </c>
      <c r="H89" s="115">
        <v>-5.2631578947368354</v>
      </c>
      <c r="J89" s="35" t="s">
        <v>135</v>
      </c>
      <c r="K89" s="51">
        <v>18</v>
      </c>
      <c r="L89" s="116">
        <v>5.8823529411764701</v>
      </c>
      <c r="M89" s="59" t="s">
        <v>123</v>
      </c>
      <c r="N89" s="114">
        <v>0.2286</v>
      </c>
      <c r="O89" s="117">
        <v>-1.6774193548387157</v>
      </c>
      <c r="Q89" s="16"/>
    </row>
    <row r="90" spans="1:243" x14ac:dyDescent="0.25">
      <c r="A90" s="35" t="s">
        <v>77</v>
      </c>
      <c r="B90" s="113">
        <v>2.74</v>
      </c>
      <c r="C90" s="113"/>
      <c r="D90" s="113">
        <v>5.3846153846153895</v>
      </c>
      <c r="E90" s="35" t="s">
        <v>114</v>
      </c>
      <c r="F90" s="114">
        <v>1</v>
      </c>
      <c r="H90" s="115">
        <v>-4.7619047619047654</v>
      </c>
      <c r="J90" s="35" t="s">
        <v>133</v>
      </c>
      <c r="K90" s="51">
        <v>0.02</v>
      </c>
      <c r="L90" s="116">
        <v>1.5228426395939172</v>
      </c>
      <c r="M90" s="35" t="s">
        <v>142</v>
      </c>
      <c r="N90" s="114">
        <v>0.68979999999999997</v>
      </c>
      <c r="O90" s="117">
        <v>-0.13030259157376747</v>
      </c>
      <c r="Q90" s="16"/>
    </row>
    <row r="91" spans="1:243" x14ac:dyDescent="0.25">
      <c r="A91" s="35" t="s">
        <v>45</v>
      </c>
      <c r="B91" s="113">
        <v>40.035400000000003</v>
      </c>
      <c r="C91" s="113"/>
      <c r="D91" s="113">
        <v>1.5778135872536032</v>
      </c>
      <c r="E91" s="35" t="s">
        <v>94</v>
      </c>
      <c r="F91" s="114">
        <v>4.2</v>
      </c>
      <c r="H91" s="115">
        <v>-3.2894705029431135</v>
      </c>
      <c r="J91" s="35" t="s">
        <v>119</v>
      </c>
      <c r="K91" s="51">
        <v>0.13519999999999999</v>
      </c>
      <c r="L91" s="116">
        <v>1.3493253373313314</v>
      </c>
      <c r="M91" s="35"/>
      <c r="N91" s="114"/>
      <c r="O91" s="117"/>
      <c r="Q91" s="16"/>
    </row>
    <row r="92" spans="1:243" x14ac:dyDescent="0.25">
      <c r="A92" s="35" t="s">
        <v>106</v>
      </c>
      <c r="B92" s="113">
        <v>6.1399999999999996E-2</v>
      </c>
      <c r="C92" s="113"/>
      <c r="D92" s="113">
        <v>0.65573770491802885</v>
      </c>
      <c r="E92" s="35" t="s">
        <v>116</v>
      </c>
      <c r="F92" s="114">
        <v>1.5</v>
      </c>
      <c r="G92" s="114"/>
      <c r="H92" s="115">
        <v>-0.66225165562913968</v>
      </c>
      <c r="J92" s="35" t="s">
        <v>148</v>
      </c>
      <c r="K92" s="51">
        <v>0.1032</v>
      </c>
      <c r="L92" s="116">
        <v>0.68292682926829873</v>
      </c>
      <c r="M92" s="35"/>
      <c r="N92" s="114"/>
      <c r="O92" s="117"/>
      <c r="Q92" s="16"/>
    </row>
    <row r="93" spans="1:243" ht="12.6" thickBot="1" x14ac:dyDescent="0.3">
      <c r="A93" s="118"/>
      <c r="B93" s="119"/>
      <c r="C93" s="119"/>
      <c r="D93" s="119"/>
      <c r="E93" s="118"/>
      <c r="F93" s="119"/>
      <c r="G93" s="119"/>
      <c r="H93" s="120"/>
      <c r="J93" s="118"/>
      <c r="K93" s="119"/>
      <c r="L93" s="120"/>
      <c r="M93" s="119"/>
      <c r="N93" s="119"/>
      <c r="O93" s="120"/>
      <c r="Q93" s="16"/>
    </row>
    <row r="94" spans="1:243" x14ac:dyDescent="0.25">
      <c r="A94" s="121"/>
      <c r="B94" s="122"/>
      <c r="C94" s="122"/>
      <c r="D94" s="122"/>
      <c r="E94" s="111"/>
      <c r="F94" s="111"/>
      <c r="G94" s="111"/>
      <c r="H94" s="111"/>
      <c r="I94" s="111"/>
      <c r="J94" s="111"/>
      <c r="K94" s="111"/>
      <c r="L94" s="111"/>
      <c r="M94" s="122"/>
      <c r="Q94" s="16"/>
    </row>
    <row r="95" spans="1:243" x14ac:dyDescent="0.25">
      <c r="A95" s="12" t="s">
        <v>182</v>
      </c>
      <c r="B95" s="123"/>
      <c r="C95" s="123"/>
      <c r="D95" s="123"/>
      <c r="E95" s="123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1"/>
      <c r="B96" s="122"/>
      <c r="C96" s="122"/>
      <c r="D96" s="122"/>
      <c r="E96" s="122"/>
      <c r="F96" s="111"/>
      <c r="G96" s="111"/>
      <c r="H96" s="122"/>
      <c r="I96" s="111"/>
      <c r="J96" s="111"/>
      <c r="K96" s="111"/>
      <c r="L96" s="111"/>
      <c r="M96" s="122"/>
      <c r="Q96" s="16"/>
    </row>
    <row r="97" spans="1:17" ht="12.6" thickBot="1" x14ac:dyDescent="0.3">
      <c r="A97" s="124"/>
      <c r="B97" s="125"/>
      <c r="C97" s="125"/>
      <c r="D97" s="125"/>
      <c r="E97" s="125"/>
      <c r="F97" s="126"/>
      <c r="G97" s="126"/>
      <c r="H97" s="126"/>
      <c r="I97" s="127"/>
      <c r="J97" s="127"/>
      <c r="K97" s="127"/>
      <c r="L97" s="127"/>
      <c r="M97" s="127"/>
      <c r="N97" s="127"/>
      <c r="O97" s="127"/>
      <c r="P97" s="127"/>
      <c r="Q97" s="128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9"/>
      <c r="J101" s="129"/>
      <c r="K101" s="129"/>
      <c r="O101" s="129"/>
      <c r="P101" s="129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9"/>
      <c r="J104" s="129"/>
      <c r="K104" s="129"/>
      <c r="O104" s="129"/>
      <c r="P104" s="129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9"/>
      <c r="J106" s="129"/>
      <c r="K106" s="129"/>
      <c r="O106" s="129"/>
      <c r="P106" s="129"/>
    </row>
  </sheetData>
  <sheetProtection algorithmName="SHA-512" hashValue="0Lis7fk/8hO1Nc6sZ3HW7foPY37acS/GothQCx/S2PumcG05sN/eSxUm4Z1NjsN1Zky+5ymgBiH/1SyOtpLxIQ==" saltValue="XyH/NbBX20jFkIemSvL0Kw==" spinCount="100000" sheet="1"/>
  <sortState xmlns:xlrd2="http://schemas.microsoft.com/office/spreadsheetml/2017/richdata2" ref="A50:II64">
    <sortCondition ref="A50:A64"/>
  </sortState>
  <mergeCells count="12">
    <mergeCell ref="A73:Q73"/>
    <mergeCell ref="L5:M5"/>
    <mergeCell ref="A6:Q6"/>
    <mergeCell ref="A49:Q49"/>
    <mergeCell ref="A66:Q66"/>
    <mergeCell ref="A69:Q69"/>
    <mergeCell ref="A76:Q76"/>
    <mergeCell ref="A82:Q82"/>
    <mergeCell ref="A87:D87"/>
    <mergeCell ref="E87:H87"/>
    <mergeCell ref="J87:L87"/>
    <mergeCell ref="M87:O87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6 L50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6 Q50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2026-07-27T12:42:52Z</dcterms:created>
  <dcterms:modified xsi:type="dcterms:W3CDTF">2026-07-27T12:50:15Z</dcterms:modified>
</cp:coreProperties>
</file>