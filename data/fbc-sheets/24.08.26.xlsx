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kisit\AppData\Local\Microsoft\Windows\INetCache\Content.Outlook\GFFUE2QU\"/>
    </mc:Choice>
  </mc:AlternateContent>
  <xr:revisionPtr revIDLastSave="0" documentId="13_ncr:1_{BAA72CD7-CC42-4207-94CC-5114B96F45C5}" xr6:coauthVersionLast="47" xr6:coauthVersionMax="47" xr10:uidLastSave="{00000000-0000-0000-0000-000000000000}"/>
  <bookViews>
    <workbookView xWindow="-120" yWindow="-120" windowWidth="29040" windowHeight="15720" xr2:uid="{BF5DF79E-41B6-40FA-A296-87D30FE8F9B3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J85" i="1"/>
  <c r="E85" i="1"/>
  <c r="D85" i="1"/>
  <c r="Q84" i="1"/>
  <c r="P84" i="1"/>
  <c r="M84" i="1"/>
  <c r="L84" i="1"/>
  <c r="K84" i="1"/>
  <c r="E84" i="1" s="1"/>
  <c r="J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5" i="1"/>
  <c r="P75" i="1"/>
  <c r="M75" i="1"/>
  <c r="L75" i="1"/>
  <c r="J75" i="1"/>
  <c r="K75" i="1" s="1"/>
  <c r="E75" i="1" s="1"/>
  <c r="O73" i="1"/>
  <c r="N73" i="1"/>
  <c r="Q72" i="1"/>
  <c r="P72" i="1"/>
  <c r="M72" i="1"/>
  <c r="L72" i="1"/>
  <c r="K72" i="1"/>
  <c r="E72" i="1" s="1"/>
  <c r="J72" i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M63" i="1"/>
  <c r="L63" i="1"/>
  <c r="J63" i="1"/>
  <c r="P63" i="1" s="1"/>
  <c r="D63" i="1"/>
  <c r="Q62" i="1"/>
  <c r="M62" i="1"/>
  <c r="L62" i="1"/>
  <c r="J62" i="1"/>
  <c r="P62" i="1" s="1"/>
  <c r="M61" i="1"/>
  <c r="L61" i="1"/>
  <c r="J61" i="1"/>
  <c r="P61" i="1" s="1"/>
  <c r="D61" i="1"/>
  <c r="Q60" i="1"/>
  <c r="M60" i="1"/>
  <c r="L60" i="1"/>
  <c r="J60" i="1"/>
  <c r="P60" i="1" s="1"/>
  <c r="M59" i="1"/>
  <c r="L59" i="1"/>
  <c r="J59" i="1"/>
  <c r="P59" i="1" s="1"/>
  <c r="D59" i="1"/>
  <c r="Q58" i="1"/>
  <c r="M58" i="1"/>
  <c r="L58" i="1"/>
  <c r="J58" i="1"/>
  <c r="P58" i="1" s="1"/>
  <c r="M57" i="1"/>
  <c r="L57" i="1"/>
  <c r="J57" i="1"/>
  <c r="P57" i="1" s="1"/>
  <c r="D57" i="1"/>
  <c r="Q56" i="1"/>
  <c r="M56" i="1"/>
  <c r="L56" i="1"/>
  <c r="J56" i="1"/>
  <c r="P56" i="1" s="1"/>
  <c r="M55" i="1"/>
  <c r="L55" i="1"/>
  <c r="J55" i="1"/>
  <c r="P55" i="1" s="1"/>
  <c r="D55" i="1"/>
  <c r="Q54" i="1"/>
  <c r="M54" i="1"/>
  <c r="L54" i="1"/>
  <c r="J54" i="1"/>
  <c r="P54" i="1" s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Q43" i="1"/>
  <c r="P43" i="1"/>
  <c r="M43" i="1"/>
  <c r="L43" i="1"/>
  <c r="K43" i="1"/>
  <c r="J43" i="1"/>
  <c r="D43" i="1" s="1"/>
  <c r="E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Q40" i="1"/>
  <c r="P40" i="1"/>
  <c r="M40" i="1"/>
  <c r="L40" i="1"/>
  <c r="K40" i="1"/>
  <c r="J40" i="1"/>
  <c r="D40" i="1" s="1"/>
  <c r="E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Q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E31" i="1" s="1"/>
  <c r="J31" i="1"/>
  <c r="D31" i="1"/>
  <c r="K30" i="1"/>
  <c r="J30" i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J25" i="1"/>
  <c r="P25" i="1" s="1"/>
  <c r="E25" i="1"/>
  <c r="D25" i="1"/>
  <c r="R24" i="1"/>
  <c r="P24" i="1" s="1"/>
  <c r="Q24" i="1"/>
  <c r="M24" i="1"/>
  <c r="L24" i="1"/>
  <c r="K24" i="1"/>
  <c r="J24" i="1"/>
  <c r="E24" i="1"/>
  <c r="D24" i="1"/>
  <c r="Q23" i="1"/>
  <c r="P23" i="1"/>
  <c r="M23" i="1"/>
  <c r="L23" i="1"/>
  <c r="K23" i="1"/>
  <c r="J23" i="1"/>
  <c r="D23" i="1" s="1"/>
  <c r="E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D10" i="1" s="1"/>
  <c r="E10" i="1"/>
  <c r="Q9" i="1"/>
  <c r="M9" i="1"/>
  <c r="L9" i="1"/>
  <c r="K9" i="1"/>
  <c r="J9" i="1"/>
  <c r="D9" i="1" s="1"/>
  <c r="E9" i="1"/>
  <c r="D38" i="1" l="1"/>
  <c r="D41" i="1"/>
  <c r="D44" i="1"/>
  <c r="K71" i="1"/>
  <c r="E71" i="1" s="1"/>
  <c r="P65" i="1"/>
  <c r="P12" i="1"/>
  <c r="P39" i="1"/>
  <c r="P53" i="1"/>
  <c r="P51" i="1"/>
  <c r="Q55" i="1"/>
  <c r="Q57" i="1"/>
  <c r="Q59" i="1"/>
  <c r="Q61" i="1"/>
  <c r="Q63" i="1"/>
  <c r="P71" i="1"/>
  <c r="D75" i="1"/>
  <c r="P42" i="1"/>
  <c r="D54" i="1"/>
  <c r="D56" i="1"/>
  <c r="D58" i="1"/>
  <c r="D60" i="1"/>
  <c r="D62" i="1"/>
  <c r="D64" i="1"/>
  <c r="P9" i="1"/>
  <c r="P15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<sst xmlns="http://schemas.openxmlformats.org/spreadsheetml/2006/main" count="270" uniqueCount="185">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</sst>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AA3F312E-69B5-43CA-BCF0-BC7C189AE1BB}"/>
    <cellStyle name="Comma 5 2 2 2 2 2 2 2 2 2 2" xfId="5" xr:uid="{C42D2F40-9F08-4F56-A853-E23577687374}"/>
    <cellStyle name="Comma 6 2 2 2 2 2" xfId="6" xr:uid="{4DD397EF-3379-4049-AFB4-63545B6A8E10}"/>
    <cellStyle name="Hyperlink 2" xfId="9" xr:uid="{8273EC0B-C9F5-4398-A5AA-CA802504662E}"/>
    <cellStyle name="Normal" xfId="0" builtinId="0"/>
    <cellStyle name="Normal 2" xfId="3" xr:uid="{1D580113-172A-418A-B6E5-289173E7DCB9}"/>
    <cellStyle name="Normal 20" xfId="8" xr:uid="{DA1F0AD4-B7FF-4907-BE2A-413C1D5BDB7F}"/>
    <cellStyle name="Percent" xfId="2" builtinId="5"/>
    <cellStyle name="Percent 3" xfId="7" xr:uid="{81E87E3E-DA86-4D08-8201-D3971DAAD73D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0452A3F-E53A-4D01-9083-0457AFD8E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A3DA9D7-A66F-4CAF-915B-D8ACE9FD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0E16-8504-41BC-B433-2E24D5D0C72C}">
  <dimension ref="A1:II107"/>
  <sheetViews>
    <sheetView tabSelected="1" zoomScale="60" zoomScaleNormal="60" workbookViewId="0">
      <selection activeCell="Y55" sqref="Y55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26.795000000000002</v>
      </c>
      <c r="K5" s="22"/>
      <c r="L5" s="146" t="s">
        <v>12</v>
      </c>
      <c r="M5" s="147"/>
      <c r="N5" s="23" t="s">
        <v>13</v>
      </c>
      <c r="O5" s="24"/>
      <c r="P5" s="24"/>
      <c r="Q5" s="25"/>
    </row>
    <row r="6" spans="1:19" ht="6.6" customHeight="1" x14ac:dyDescent="0.25">
      <c r="A6" s="136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78786223.297256947</v>
      </c>
      <c r="E9" s="39">
        <f t="shared" ref="E9:E45" si="1">C9*K9</f>
        <v>67018312.801587299</v>
      </c>
      <c r="F9" s="40" t="s">
        <v>34</v>
      </c>
      <c r="G9" s="41">
        <v>8.9894999999999996</v>
      </c>
      <c r="H9" s="42">
        <v>15</v>
      </c>
      <c r="I9" s="43">
        <v>16.75</v>
      </c>
      <c r="J9" s="44">
        <f>(I9/$J$5)</f>
        <v>0.62511662623623809</v>
      </c>
      <c r="K9" s="45">
        <f t="shared" ref="K9:K17" si="2">I9/$K$4</f>
        <v>0.53174603174603174</v>
      </c>
      <c r="L9" s="46">
        <f t="shared" ref="L9:L17" si="3">I9-H9</f>
        <v>1.75</v>
      </c>
      <c r="M9" s="46">
        <f t="shared" ref="M9:M17" si="4">((I9-H9)/H9)*100</f>
        <v>11.666666666666666</v>
      </c>
      <c r="N9" s="47">
        <v>1400</v>
      </c>
      <c r="O9" s="37">
        <v>23450</v>
      </c>
      <c r="P9" s="48">
        <f t="shared" ref="P9:P17" si="5">(R9)/J9</f>
        <v>2.3995522388059701E-2</v>
      </c>
      <c r="Q9" s="49">
        <f t="shared" ref="Q9:Q17" si="6">I9/G9-1</f>
        <v>0.86328494354524721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4464025.9836723264</v>
      </c>
      <c r="E10" s="39">
        <f t="shared" si="1"/>
        <v>3797256.3883333327</v>
      </c>
      <c r="F10" s="40" t="s">
        <v>34</v>
      </c>
      <c r="G10" s="41">
        <v>3.1600000000000003E-2</v>
      </c>
      <c r="H10" s="42">
        <v>7.4999999999999997E-2</v>
      </c>
      <c r="I10" s="43">
        <v>7.3499999999999996E-2</v>
      </c>
      <c r="J10" s="44">
        <f t="shared" ref="J10:J17" si="7">I10/$J$5</f>
        <v>2.7430490763202088E-3</v>
      </c>
      <c r="K10" s="45">
        <f t="shared" si="2"/>
        <v>2.3333333333333331E-3</v>
      </c>
      <c r="L10" s="46">
        <f t="shared" si="3"/>
        <v>-1.5000000000000013E-3</v>
      </c>
      <c r="M10" s="46">
        <f t="shared" si="4"/>
        <v>-2.0000000000000018</v>
      </c>
      <c r="N10" s="47">
        <v>2600</v>
      </c>
      <c r="O10" s="37">
        <v>191.1</v>
      </c>
      <c r="P10" s="51">
        <f t="shared" si="5"/>
        <v>0</v>
      </c>
      <c r="Q10" s="49">
        <f t="shared" si="6"/>
        <v>1.3259493670886071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3913960.2970703482</v>
      </c>
      <c r="E11" s="39">
        <f t="shared" si="1"/>
        <v>3329351.3066666666</v>
      </c>
      <c r="F11" s="40" t="s">
        <v>39</v>
      </c>
      <c r="G11" s="41">
        <v>7.8E-2</v>
      </c>
      <c r="H11" s="42">
        <v>0.22</v>
      </c>
      <c r="I11" s="43">
        <v>0.24</v>
      </c>
      <c r="J11" s="44">
        <f t="shared" si="7"/>
        <v>8.9568949430863954E-3</v>
      </c>
      <c r="K11" s="45">
        <f t="shared" si="2"/>
        <v>7.619047619047619E-3</v>
      </c>
      <c r="L11" s="46">
        <f t="shared" si="3"/>
        <v>1.999999999999999E-2</v>
      </c>
      <c r="M11" s="46">
        <f t="shared" si="4"/>
        <v>9.0909090909090864</v>
      </c>
      <c r="N11" s="47">
        <v>300</v>
      </c>
      <c r="O11" s="37">
        <v>72</v>
      </c>
      <c r="P11" s="51">
        <f t="shared" si="5"/>
        <v>0</v>
      </c>
      <c r="Q11" s="49">
        <f t="shared" si="6"/>
        <v>2.0769230769230766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141689387.1244635</v>
      </c>
      <c r="E12" s="39">
        <f t="shared" si="1"/>
        <v>120525940.57142857</v>
      </c>
      <c r="F12" s="40" t="s">
        <v>34</v>
      </c>
      <c r="G12" s="41">
        <v>97.381</v>
      </c>
      <c r="H12" s="42">
        <v>184</v>
      </c>
      <c r="I12" s="43">
        <v>184</v>
      </c>
      <c r="J12" s="44">
        <f t="shared" si="7"/>
        <v>6.8669527896995701</v>
      </c>
      <c r="K12" s="45">
        <f t="shared" si="2"/>
        <v>5.8412698412698409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0.88948562861338454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8149942.1533868248</v>
      </c>
      <c r="E13" s="39">
        <f t="shared" si="1"/>
        <v>6932625.3968253965</v>
      </c>
      <c r="F13" s="40" t="s">
        <v>44</v>
      </c>
      <c r="G13" s="41">
        <v>13.6</v>
      </c>
      <c r="H13" s="42">
        <v>23.55</v>
      </c>
      <c r="I13" s="43">
        <v>25</v>
      </c>
      <c r="J13" s="44">
        <f t="shared" si="7"/>
        <v>0.93300988990483291</v>
      </c>
      <c r="K13" s="45">
        <f t="shared" si="2"/>
        <v>0.79365079365079361</v>
      </c>
      <c r="L13" s="46">
        <f t="shared" si="3"/>
        <v>1.4499999999999993</v>
      </c>
      <c r="M13" s="46">
        <f t="shared" si="4"/>
        <v>6.157112526539275</v>
      </c>
      <c r="N13" s="47">
        <v>25000</v>
      </c>
      <c r="O13" s="37">
        <v>625000</v>
      </c>
      <c r="P13" s="51">
        <f t="shared" si="5"/>
        <v>0</v>
      </c>
      <c r="Q13" s="49">
        <f t="shared" si="6"/>
        <v>0.83823529411764719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780042246.14107108</v>
      </c>
      <c r="E14" s="39">
        <f t="shared" si="1"/>
        <v>663531174.13809526</v>
      </c>
      <c r="F14" s="40" t="s">
        <v>47</v>
      </c>
      <c r="G14" s="41">
        <v>11.5</v>
      </c>
      <c r="H14" s="42">
        <v>39.99</v>
      </c>
      <c r="I14" s="43">
        <v>39.99</v>
      </c>
      <c r="J14" s="44">
        <f t="shared" si="7"/>
        <v>1.4924426198917708</v>
      </c>
      <c r="K14" s="45">
        <f t="shared" si="2"/>
        <v>1.2695238095238095</v>
      </c>
      <c r="L14" s="46">
        <f t="shared" si="3"/>
        <v>0</v>
      </c>
      <c r="M14" s="46">
        <f t="shared" si="4"/>
        <v>0</v>
      </c>
      <c r="N14" s="47">
        <v>0</v>
      </c>
      <c r="O14" s="37">
        <v>0</v>
      </c>
      <c r="P14" s="51">
        <f t="shared" si="5"/>
        <v>0</v>
      </c>
      <c r="Q14" s="49">
        <f t="shared" si="6"/>
        <v>2.4773913043478264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27306663.090128753</v>
      </c>
      <c r="E15" s="39">
        <f t="shared" si="1"/>
        <v>23228001.19047619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0.25751072961373389</v>
      </c>
      <c r="K15" s="45">
        <f t="shared" si="2"/>
        <v>0.21904761904761905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0.28014842300556597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51541835.787093855</v>
      </c>
      <c r="E16" s="39">
        <f t="shared" si="1"/>
        <v>43843285.394132704</v>
      </c>
      <c r="F16" s="40" t="s">
        <v>34</v>
      </c>
      <c r="G16" s="41">
        <v>1.9</v>
      </c>
      <c r="H16" s="42">
        <v>3.85771</v>
      </c>
      <c r="I16" s="43">
        <v>3.85771</v>
      </c>
      <c r="J16" s="44">
        <f t="shared" si="7"/>
        <v>0.14397126329539092</v>
      </c>
      <c r="K16" s="45">
        <f t="shared" si="2"/>
        <v>0.12246698412698413</v>
      </c>
      <c r="L16" s="46">
        <f t="shared" si="3"/>
        <v>0</v>
      </c>
      <c r="M16" s="46">
        <f t="shared" si="4"/>
        <v>0</v>
      </c>
      <c r="N16" s="47">
        <v>0</v>
      </c>
      <c r="O16" s="37">
        <v>0</v>
      </c>
      <c r="P16" s="51">
        <f t="shared" si="5"/>
        <v>0.34729152787534578</v>
      </c>
      <c r="Q16" s="49">
        <f t="shared" si="6"/>
        <v>1.0303736842105264</v>
      </c>
      <c r="R16" s="50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1582795357.2592461</v>
      </c>
      <c r="E17" s="39">
        <f t="shared" si="1"/>
        <v>1346381003.1035397</v>
      </c>
      <c r="F17" s="40" t="s">
        <v>34</v>
      </c>
      <c r="G17" s="41">
        <v>20.701700000000002</v>
      </c>
      <c r="H17" s="42">
        <v>30.96</v>
      </c>
      <c r="I17" s="43">
        <v>31.467700000000001</v>
      </c>
      <c r="J17" s="44">
        <f t="shared" si="7"/>
        <v>1.1743870125023326</v>
      </c>
      <c r="K17" s="45">
        <f t="shared" si="2"/>
        <v>0.99897460317460318</v>
      </c>
      <c r="L17" s="46">
        <f t="shared" si="3"/>
        <v>0.50769999999999982</v>
      </c>
      <c r="M17" s="46">
        <f t="shared" si="4"/>
        <v>1.6398578811369504</v>
      </c>
      <c r="N17" s="47">
        <v>125000</v>
      </c>
      <c r="O17" s="37">
        <v>3933465.35</v>
      </c>
      <c r="P17" s="48">
        <f t="shared" si="5"/>
        <v>0</v>
      </c>
      <c r="Q17" s="49">
        <f t="shared" si="6"/>
        <v>0.52005390861620038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338545400.80238849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0.50382534054860983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200</v>
      </c>
      <c r="O19" s="37">
        <v>2700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3272373.5493562231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3.0042918454935622E-2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86283980.257510737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0.12502332524724763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2102698.4666915466</v>
      </c>
      <c r="E23" s="39">
        <f t="shared" si="1"/>
        <v>1788628.7433333332</v>
      </c>
      <c r="F23" s="40" t="s">
        <v>44</v>
      </c>
      <c r="G23" s="41">
        <v>0.1</v>
      </c>
      <c r="H23" s="42">
        <v>0.105</v>
      </c>
      <c r="I23" s="43">
        <v>0.105</v>
      </c>
      <c r="J23" s="44">
        <f t="shared" si="8"/>
        <v>3.9186415376002981E-3</v>
      </c>
      <c r="K23" s="45">
        <f t="shared" si="9"/>
        <v>3.3333333333333331E-3</v>
      </c>
      <c r="L23" s="46">
        <f t="shared" si="10"/>
        <v>0</v>
      </c>
      <c r="M23" s="46">
        <f t="shared" ref="M23:M29" si="12">((I23-H23)/H23)*100</f>
        <v>0</v>
      </c>
      <c r="N23" s="47">
        <v>800</v>
      </c>
      <c r="O23" s="37">
        <v>84</v>
      </c>
      <c r="P23" s="51">
        <f t="shared" ref="P23:P29" si="13">(R23)/J23</f>
        <v>0</v>
      </c>
      <c r="Q23" s="49">
        <f t="shared" si="11"/>
        <v>4.9999999999999822E-2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77438740.921813771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10.750399999999999</v>
      </c>
      <c r="I24" s="43">
        <v>10.75</v>
      </c>
      <c r="J24" s="44">
        <f t="shared" si="8"/>
        <v>0.40119425265907815</v>
      </c>
      <c r="K24" s="45">
        <f t="shared" si="9"/>
        <v>0.34126984126984128</v>
      </c>
      <c r="L24" s="46">
        <f t="shared" si="10"/>
        <v>-3.9999999999906777E-4</v>
      </c>
      <c r="M24" s="46">
        <f t="shared" si="12"/>
        <v>-3.720791784483069E-3</v>
      </c>
      <c r="N24" s="47">
        <v>400</v>
      </c>
      <c r="O24" s="37">
        <v>4300</v>
      </c>
      <c r="P24" s="48">
        <f t="shared" si="13"/>
        <v>3.7388372093023259E-2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107036724.1386639</v>
      </c>
      <c r="E25" s="39">
        <f t="shared" si="1"/>
        <v>91049175.34271428</v>
      </c>
      <c r="F25" s="40" t="s">
        <v>66</v>
      </c>
      <c r="G25" s="41">
        <v>1.6675</v>
      </c>
      <c r="H25" s="42">
        <v>1.6994999999999998</v>
      </c>
      <c r="I25" s="43">
        <v>1.6994999999999998</v>
      </c>
      <c r="J25" s="44">
        <f t="shared" si="8"/>
        <v>6.3426012315730529E-2</v>
      </c>
      <c r="K25" s="45">
        <f t="shared" si="9"/>
        <v>5.3952380952380946E-2</v>
      </c>
      <c r="L25" s="46">
        <f t="shared" si="10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11"/>
        <v>1.9190404797601035E-2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20558636.334665831</v>
      </c>
      <c r="E26" s="39">
        <f t="shared" si="1"/>
        <v>17487893.986900665</v>
      </c>
      <c r="F26" s="40" t="s">
        <v>44</v>
      </c>
      <c r="G26" s="41">
        <v>1.7994999999999999</v>
      </c>
      <c r="H26" s="42">
        <v>2.2999999999999998</v>
      </c>
      <c r="I26" s="43">
        <v>2.3011529999999998</v>
      </c>
      <c r="J26" s="44">
        <f t="shared" si="8"/>
        <v>8.5879940287367035E-2</v>
      </c>
      <c r="K26" s="45">
        <f t="shared" si="9"/>
        <v>7.3052476190476182E-2</v>
      </c>
      <c r="L26" s="46">
        <f t="shared" si="10"/>
        <v>1.1529999999999596E-3</v>
      </c>
      <c r="M26" s="46">
        <f t="shared" si="12"/>
        <v>5.0130434782606946E-2</v>
      </c>
      <c r="N26" s="47">
        <v>34700</v>
      </c>
      <c r="O26" s="37">
        <v>79850</v>
      </c>
      <c r="P26" s="51">
        <f t="shared" si="13"/>
        <v>0</v>
      </c>
      <c r="Q26" s="49">
        <f t="shared" si="11"/>
        <v>0.27877354820783551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23253841.29436462</v>
      </c>
      <c r="E27" s="39">
        <f t="shared" si="1"/>
        <v>19780529.443888888</v>
      </c>
      <c r="F27" s="40" t="s">
        <v>34</v>
      </c>
      <c r="G27" s="41">
        <v>3.1361369999999997</v>
      </c>
      <c r="H27" s="42">
        <v>2.456</v>
      </c>
      <c r="I27" s="43">
        <v>2.4325000000000001</v>
      </c>
      <c r="J27" s="44">
        <f t="shared" si="8"/>
        <v>9.0781862287740253E-2</v>
      </c>
      <c r="K27" s="45">
        <f t="shared" si="9"/>
        <v>7.722222222222222E-2</v>
      </c>
      <c r="L27" s="46">
        <f t="shared" si="10"/>
        <v>-2.3499999999999854E-2</v>
      </c>
      <c r="M27" s="46">
        <f t="shared" si="12"/>
        <v>-0.95684039087947281</v>
      </c>
      <c r="N27" s="47">
        <v>1300</v>
      </c>
      <c r="O27" s="37">
        <v>3162.25</v>
      </c>
      <c r="P27" s="51">
        <f t="shared" si="13"/>
        <v>0</v>
      </c>
      <c r="Q27" s="49">
        <f t="shared" si="11"/>
        <v>-0.22436424174071468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28201086.060832243</v>
      </c>
      <c r="E28" s="39">
        <f t="shared" si="1"/>
        <v>23988828.603174601</v>
      </c>
      <c r="F28" s="40" t="s">
        <v>44</v>
      </c>
      <c r="G28" s="41">
        <v>0.8</v>
      </c>
      <c r="H28" s="42">
        <v>1</v>
      </c>
      <c r="I28" s="43">
        <v>1</v>
      </c>
      <c r="J28" s="44">
        <f t="shared" si="8"/>
        <v>3.7320395596193316E-2</v>
      </c>
      <c r="K28" s="45">
        <f t="shared" si="9"/>
        <v>3.1746031746031744E-2</v>
      </c>
      <c r="L28" s="46">
        <f t="shared" si="10"/>
        <v>0</v>
      </c>
      <c r="M28" s="46">
        <f t="shared" si="12"/>
        <v>0</v>
      </c>
      <c r="N28" s="47">
        <v>0</v>
      </c>
      <c r="O28" s="37">
        <v>0</v>
      </c>
      <c r="P28" s="51">
        <f t="shared" si="13"/>
        <v>0</v>
      </c>
      <c r="Q28" s="49">
        <f t="shared" si="11"/>
        <v>0.25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99732085.355476767</v>
      </c>
      <c r="E29" s="39">
        <f t="shared" si="1"/>
        <v>84835594.51111111</v>
      </c>
      <c r="F29" s="40" t="s">
        <v>47</v>
      </c>
      <c r="G29" s="41">
        <v>5.15</v>
      </c>
      <c r="H29" s="42">
        <v>5.95</v>
      </c>
      <c r="I29" s="43">
        <v>5.95</v>
      </c>
      <c r="J29" s="44">
        <f t="shared" si="8"/>
        <v>0.22205635379735025</v>
      </c>
      <c r="K29" s="45">
        <f t="shared" si="9"/>
        <v>0.18888888888888888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0.15533980582524265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11225796.138272064</v>
      </c>
      <c r="E31" s="39">
        <f t="shared" si="1"/>
        <v>9549054.207142856</v>
      </c>
      <c r="F31" s="40" t="s">
        <v>39</v>
      </c>
      <c r="G31" s="41">
        <v>1.4</v>
      </c>
      <c r="H31" s="42">
        <v>1.1575</v>
      </c>
      <c r="I31" s="43">
        <v>1.1575</v>
      </c>
      <c r="J31" s="44">
        <f t="shared" si="8"/>
        <v>4.3198357902593763E-2</v>
      </c>
      <c r="K31" s="45">
        <f t="shared" si="9"/>
        <v>3.6746031746031742E-2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-0.17321428571428565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4463104.3328979285</v>
      </c>
      <c r="E32" s="39">
        <f t="shared" si="1"/>
        <v>3796472.4</v>
      </c>
      <c r="F32" s="40" t="s">
        <v>39</v>
      </c>
      <c r="G32" s="41">
        <v>0.65</v>
      </c>
      <c r="H32" s="42">
        <v>0.85250000000000004</v>
      </c>
      <c r="I32" s="43">
        <v>0.98</v>
      </c>
      <c r="J32" s="44">
        <f t="shared" si="8"/>
        <v>3.6573987684269449E-2</v>
      </c>
      <c r="K32" s="45">
        <f t="shared" si="9"/>
        <v>3.111111111111111E-2</v>
      </c>
      <c r="L32" s="46">
        <f t="shared" si="14"/>
        <v>0.12749999999999995</v>
      </c>
      <c r="M32" s="46">
        <f t="shared" si="15"/>
        <v>14.956011730205271</v>
      </c>
      <c r="N32" s="47">
        <v>400</v>
      </c>
      <c r="O32" s="37">
        <v>392</v>
      </c>
      <c r="P32" s="51">
        <f t="shared" si="16"/>
        <v>0</v>
      </c>
      <c r="Q32" s="49">
        <f t="shared" si="17"/>
        <v>0.50769230769230766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150875267.01474154</v>
      </c>
      <c r="E33" s="39">
        <f t="shared" si="1"/>
        <v>128339770.78285716</v>
      </c>
      <c r="F33" s="40" t="s">
        <v>92</v>
      </c>
      <c r="G33" s="41">
        <v>1.44</v>
      </c>
      <c r="H33" s="42">
        <v>1.6125</v>
      </c>
      <c r="I33" s="43">
        <v>1.62</v>
      </c>
      <c r="J33" s="44">
        <f t="shared" si="8"/>
        <v>6.0459040865833175E-2</v>
      </c>
      <c r="K33" s="45">
        <f t="shared" si="9"/>
        <v>5.1428571428571435E-2</v>
      </c>
      <c r="L33" s="46">
        <f t="shared" si="14"/>
        <v>7.5000000000000622E-3</v>
      </c>
      <c r="M33" s="46">
        <f t="shared" si="15"/>
        <v>0.46511627906977127</v>
      </c>
      <c r="N33" s="47">
        <v>10000</v>
      </c>
      <c r="O33" s="37">
        <v>16200</v>
      </c>
      <c r="P33" s="51">
        <f t="shared" si="16"/>
        <v>0</v>
      </c>
      <c r="Q33" s="49">
        <f t="shared" si="17"/>
        <v>0.12500000000000022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53352274.103917368</v>
      </c>
      <c r="E34" s="39">
        <f t="shared" si="1"/>
        <v>45383307.44807829</v>
      </c>
      <c r="F34" s="40" t="s">
        <v>34</v>
      </c>
      <c r="G34" s="41">
        <v>3.6056249999999999</v>
      </c>
      <c r="H34" s="42">
        <v>5.64</v>
      </c>
      <c r="I34" s="43">
        <v>5.6395020000000002</v>
      </c>
      <c r="J34" s="44">
        <f t="shared" si="8"/>
        <v>0.21046844560552341</v>
      </c>
      <c r="K34" s="45">
        <f t="shared" si="9"/>
        <v>0.17903180952380954</v>
      </c>
      <c r="L34" s="46">
        <f t="shared" si="14"/>
        <v>-4.9799999999944333E-4</v>
      </c>
      <c r="M34" s="46">
        <f t="shared" si="15"/>
        <v>-8.8297872340326825E-3</v>
      </c>
      <c r="N34" s="47">
        <v>29600</v>
      </c>
      <c r="O34" s="37">
        <v>166929.25</v>
      </c>
      <c r="P34" s="51">
        <f t="shared" si="16"/>
        <v>0</v>
      </c>
      <c r="Q34" s="49">
        <f t="shared" si="17"/>
        <v>0.56408445137805518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7540263.1759507367</v>
      </c>
      <c r="E35" s="39">
        <f t="shared" si="1"/>
        <v>6414011.1682412699</v>
      </c>
      <c r="F35" s="40" t="s">
        <v>34</v>
      </c>
      <c r="G35" s="41">
        <v>2.5099999999999997E-2</v>
      </c>
      <c r="H35" s="42">
        <v>3.9022000000000001E-2</v>
      </c>
      <c r="I35" s="43">
        <v>4.2849999999999999E-2</v>
      </c>
      <c r="J35" s="44">
        <f t="shared" si="8"/>
        <v>1.5991789512968836E-3</v>
      </c>
      <c r="K35" s="45">
        <f t="shared" si="9"/>
        <v>1.3603174603174604E-3</v>
      </c>
      <c r="L35" s="46">
        <f t="shared" si="14"/>
        <v>3.8279999999999981E-3</v>
      </c>
      <c r="M35" s="46">
        <f t="shared" si="15"/>
        <v>9.8098508533647628</v>
      </c>
      <c r="N35" s="47">
        <v>7900</v>
      </c>
      <c r="O35" s="37">
        <v>338.51499999999999</v>
      </c>
      <c r="P35" s="51">
        <f t="shared" si="16"/>
        <v>0</v>
      </c>
      <c r="Q35" s="49">
        <f t="shared" si="17"/>
        <v>0.70717131474103612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87988750.086583316</v>
      </c>
      <c r="E36" s="39">
        <f t="shared" si="1"/>
        <v>74846303.446666673</v>
      </c>
      <c r="F36" s="40" t="s">
        <v>92</v>
      </c>
      <c r="G36" s="41">
        <v>0.61</v>
      </c>
      <c r="H36" s="42">
        <v>4.5</v>
      </c>
      <c r="I36" s="43">
        <v>4.49</v>
      </c>
      <c r="J36" s="44">
        <f t="shared" si="8"/>
        <v>0.16756857622690799</v>
      </c>
      <c r="K36" s="45">
        <f t="shared" si="9"/>
        <v>0.14253968253968255</v>
      </c>
      <c r="L36" s="46">
        <f t="shared" si="14"/>
        <v>-9.9999999999997868E-3</v>
      </c>
      <c r="M36" s="46">
        <f t="shared" si="15"/>
        <v>-0.22222222222221749</v>
      </c>
      <c r="N36" s="47">
        <v>200</v>
      </c>
      <c r="O36" s="37">
        <v>898</v>
      </c>
      <c r="P36" s="51">
        <f t="shared" si="16"/>
        <v>0</v>
      </c>
      <c r="Q36" s="49">
        <f t="shared" si="17"/>
        <v>6.3606557377049189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48083859.492620863</v>
      </c>
      <c r="E37" s="39">
        <f t="shared" si="1"/>
        <v>40901810.00332623</v>
      </c>
      <c r="F37" s="40" t="s">
        <v>56</v>
      </c>
      <c r="G37" s="41">
        <v>0.11650199999999999</v>
      </c>
      <c r="H37" s="42">
        <v>0.3105</v>
      </c>
      <c r="I37" s="43">
        <v>0.30714400000000003</v>
      </c>
      <c r="J37" s="44">
        <f t="shared" si="8"/>
        <v>1.1462735584997202E-2</v>
      </c>
      <c r="K37" s="45">
        <f t="shared" si="9"/>
        <v>9.7506031746031757E-3</v>
      </c>
      <c r="L37" s="46">
        <f t="shared" si="14"/>
        <v>-3.3559999999999701E-3</v>
      </c>
      <c r="M37" s="46">
        <f t="shared" si="15"/>
        <v>-1.080837359098219</v>
      </c>
      <c r="N37" s="47">
        <v>8000</v>
      </c>
      <c r="O37" s="37">
        <v>2457.15</v>
      </c>
      <c r="P37" s="51">
        <v>0</v>
      </c>
      <c r="Q37" s="49">
        <f t="shared" si="17"/>
        <v>1.6363839247394898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20248077.667299345</v>
      </c>
      <c r="E38" s="39">
        <f t="shared" si="1"/>
        <v>17223721.939532887</v>
      </c>
      <c r="F38" s="40" t="s">
        <v>39</v>
      </c>
      <c r="G38" s="41">
        <v>0.1</v>
      </c>
      <c r="H38" s="42">
        <v>0.125</v>
      </c>
      <c r="I38" s="43">
        <v>0.12571399999999999</v>
      </c>
      <c r="J38" s="44">
        <f t="shared" si="8"/>
        <v>4.6916962119798464E-3</v>
      </c>
      <c r="K38" s="45">
        <f t="shared" si="9"/>
        <v>3.9909206349206345E-3</v>
      </c>
      <c r="L38" s="46">
        <f t="shared" si="14"/>
        <v>7.1399999999999242E-4</v>
      </c>
      <c r="M38" s="46">
        <f t="shared" si="15"/>
        <v>0.57119999999999393</v>
      </c>
      <c r="N38" s="47">
        <v>33600</v>
      </c>
      <c r="O38" s="37">
        <v>4224</v>
      </c>
      <c r="P38" s="51">
        <f t="shared" ref="P38:P44" si="18">(R38)/J38</f>
        <v>0</v>
      </c>
      <c r="Q38" s="49">
        <f t="shared" si="17"/>
        <v>0.25713999999999992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7947321.2912856871</v>
      </c>
      <c r="E39" s="39">
        <f t="shared" si="1"/>
        <v>6760269.0158730159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7.4640791192386632E-2</v>
      </c>
      <c r="K39" s="45">
        <f t="shared" si="9"/>
        <v>6.3492063492063489E-2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0.14597550591953667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4405422.3850101884</v>
      </c>
      <c r="E40" s="39">
        <f t="shared" si="1"/>
        <v>3747406.1208364451</v>
      </c>
      <c r="F40" s="40" t="s">
        <v>39</v>
      </c>
      <c r="G40" s="41">
        <v>0.03</v>
      </c>
      <c r="H40" s="42">
        <v>6.6391000000000006E-2</v>
      </c>
      <c r="I40" s="43">
        <v>6.6391000000000006E-2</v>
      </c>
      <c r="J40" s="44">
        <f t="shared" si="8"/>
        <v>2.4777383840268708E-3</v>
      </c>
      <c r="K40" s="45">
        <f t="shared" si="9"/>
        <v>2.1076507936507939E-3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1.2130333333333336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44557724.397462212</v>
      </c>
      <c r="E41" s="39">
        <f t="shared" si="1"/>
        <v>37902356.356507942</v>
      </c>
      <c r="F41" s="40" t="s">
        <v>47</v>
      </c>
      <c r="G41" s="41">
        <v>4.5</v>
      </c>
      <c r="H41" s="42">
        <v>6.8150000000000004</v>
      </c>
      <c r="I41" s="43">
        <v>6.8150000000000004</v>
      </c>
      <c r="J41" s="44">
        <f t="shared" si="8"/>
        <v>0.25433849598805747</v>
      </c>
      <c r="K41" s="45">
        <f t="shared" si="9"/>
        <v>0.21634920634920637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0.51444444444444448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311.25500645642848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6.7176712073147978E-7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1547751.4461653295</v>
      </c>
      <c r="E43" s="39">
        <f t="shared" si="1"/>
        <v>1316571.4285714286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2.6870684829259192E-3</v>
      </c>
      <c r="K43" s="45">
        <f t="shared" si="9"/>
        <v>2.2857142857142859E-3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64446372.997648731</v>
      </c>
      <c r="E44" s="39">
        <f t="shared" si="1"/>
        <v>54820335.380063429</v>
      </c>
      <c r="F44" s="40" t="s">
        <v>47</v>
      </c>
      <c r="G44" s="41">
        <v>0.9998999999999999</v>
      </c>
      <c r="H44" s="42">
        <v>0.949743</v>
      </c>
      <c r="I44" s="43">
        <v>0.949743</v>
      </c>
      <c r="J44" s="44">
        <f t="shared" si="8"/>
        <v>3.5444784474715427E-2</v>
      </c>
      <c r="K44" s="45">
        <f t="shared" si="9"/>
        <v>3.0150571428571429E-2</v>
      </c>
      <c r="L44" s="46">
        <f t="shared" si="14"/>
        <v>0</v>
      </c>
      <c r="M44" s="46">
        <f t="shared" si="15"/>
        <v>0</v>
      </c>
      <c r="N44" s="47">
        <v>0</v>
      </c>
      <c r="O44" s="37">
        <v>0</v>
      </c>
      <c r="P44" s="51">
        <f t="shared" si="18"/>
        <v>0</v>
      </c>
      <c r="Q44" s="49">
        <f t="shared" si="17"/>
        <v>-5.0162016201620085E-2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9658426.8246911727</v>
      </c>
      <c r="E45" s="39">
        <f t="shared" si="1"/>
        <v>8215795.1354793636</v>
      </c>
      <c r="F45" s="40" t="s">
        <v>47</v>
      </c>
      <c r="G45" s="41">
        <v>1.4503460000000001</v>
      </c>
      <c r="H45" s="42">
        <v>2.5196299999999998</v>
      </c>
      <c r="I45" s="43">
        <v>2.5196299999999998</v>
      </c>
      <c r="J45" s="44">
        <f t="shared" si="8"/>
        <v>9.4033588356036563E-2</v>
      </c>
      <c r="K45" s="45">
        <f t="shared" si="9"/>
        <v>7.9988253968253958E-2</v>
      </c>
      <c r="L45" s="46">
        <f t="shared" si="14"/>
        <v>0</v>
      </c>
      <c r="M45" s="46">
        <f t="shared" si="15"/>
        <v>0</v>
      </c>
      <c r="N45" s="47">
        <v>0</v>
      </c>
      <c r="O45" s="37">
        <v>0</v>
      </c>
      <c r="P45" s="51">
        <v>0</v>
      </c>
      <c r="Q45" s="49">
        <f t="shared" si="17"/>
        <v>0.73726131557573127</v>
      </c>
      <c r="R45" s="50"/>
    </row>
    <row r="46" spans="1:18" ht="12" customHeight="1" x14ac:dyDescent="0.2">
      <c r="A46" s="35"/>
      <c r="B46" s="36"/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281400</v>
      </c>
      <c r="O47" s="61">
        <f>SUM(O9:O45)</f>
        <v>4863713.6150000002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2" t="s">
        <v>118</v>
      </c>
      <c r="B49" s="133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5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5" si="19">C50*J50</f>
        <v>79020651.859200001</v>
      </c>
      <c r="E50" s="39">
        <v>0</v>
      </c>
      <c r="F50" s="40" t="s">
        <v>92</v>
      </c>
      <c r="G50" s="70">
        <v>0.1</v>
      </c>
      <c r="H50" s="42">
        <v>0.14510000000000001</v>
      </c>
      <c r="I50" s="42">
        <v>0.1424</v>
      </c>
      <c r="J50" s="44">
        <f t="shared" ref="J50:J65" si="20">I50</f>
        <v>0.1424</v>
      </c>
      <c r="K50" s="39">
        <v>0</v>
      </c>
      <c r="L50" s="46">
        <f t="shared" ref="L50:L65" si="21">I50-H50</f>
        <v>-2.7000000000000079E-3</v>
      </c>
      <c r="M50" s="46">
        <f t="shared" ref="M50:M65" si="22">((I50-H50)/H50)*100</f>
        <v>-1.8607856650585859</v>
      </c>
      <c r="N50" s="47">
        <v>2078</v>
      </c>
      <c r="O50" s="37">
        <v>295.98</v>
      </c>
      <c r="P50" s="71">
        <f>(R50)/J50</f>
        <v>0</v>
      </c>
      <c r="Q50" s="49">
        <f t="shared" ref="Q50:Q65" si="23">J50/G50-1</f>
        <v>0.42399999999999993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33949150.056000002</v>
      </c>
      <c r="E51" s="39">
        <v>0</v>
      </c>
      <c r="F51" s="40" t="s">
        <v>39</v>
      </c>
      <c r="G51" s="70">
        <v>39.9</v>
      </c>
      <c r="H51" s="42">
        <v>37.1462</v>
      </c>
      <c r="I51" s="42">
        <v>32.0976</v>
      </c>
      <c r="J51" s="44">
        <f t="shared" si="20"/>
        <v>32.0976</v>
      </c>
      <c r="K51" s="39">
        <v>0</v>
      </c>
      <c r="L51" s="46">
        <f t="shared" si="21"/>
        <v>-5.0486000000000004</v>
      </c>
      <c r="M51" s="46">
        <f t="shared" si="22"/>
        <v>-13.591161410857639</v>
      </c>
      <c r="N51" s="47">
        <v>397</v>
      </c>
      <c r="O51" s="37">
        <v>12742.75</v>
      </c>
      <c r="P51" s="72">
        <f>(R51)/J51</f>
        <v>1.7446787298738848E-2</v>
      </c>
      <c r="Q51" s="49">
        <f t="shared" si="23"/>
        <v>-0.19554887218045114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645110386.5668</v>
      </c>
      <c r="E52" s="39"/>
      <c r="F52" s="40" t="s">
        <v>56</v>
      </c>
      <c r="G52" s="70">
        <v>0.33</v>
      </c>
      <c r="H52" s="42">
        <v>0.22090000000000001</v>
      </c>
      <c r="I52" s="42">
        <v>0.21560000000000001</v>
      </c>
      <c r="J52" s="44">
        <f t="shared" si="20"/>
        <v>0.21560000000000001</v>
      </c>
      <c r="K52" s="39">
        <v>0</v>
      </c>
      <c r="L52" s="46">
        <f t="shared" si="21"/>
        <v>-5.2999999999999992E-3</v>
      </c>
      <c r="M52" s="46">
        <f t="shared" si="22"/>
        <v>-2.3992756903576273</v>
      </c>
      <c r="N52" s="47">
        <v>354490</v>
      </c>
      <c r="O52" s="37">
        <v>76433.009999999995</v>
      </c>
      <c r="P52" s="71">
        <v>0</v>
      </c>
      <c r="Q52" s="49">
        <f t="shared" si="23"/>
        <v>-0.34666666666666668</v>
      </c>
      <c r="R52" s="52"/>
      <c r="T52" s="52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12194818.859999999</v>
      </c>
      <c r="E53" s="39">
        <v>0</v>
      </c>
      <c r="F53" s="40" t="s">
        <v>34</v>
      </c>
      <c r="G53" s="70">
        <v>2.3E-2</v>
      </c>
      <c r="H53" s="42">
        <v>2.2499999999999999E-2</v>
      </c>
      <c r="I53" s="42">
        <v>0.02</v>
      </c>
      <c r="J53" s="44">
        <f t="shared" si="20"/>
        <v>0.02</v>
      </c>
      <c r="K53" s="39">
        <v>0</v>
      </c>
      <c r="L53" s="46">
        <f t="shared" si="21"/>
        <v>-2.4999999999999988E-3</v>
      </c>
      <c r="M53" s="46">
        <f t="shared" si="22"/>
        <v>-11.111111111111107</v>
      </c>
      <c r="N53" s="47">
        <v>4000</v>
      </c>
      <c r="O53" s="37">
        <v>80</v>
      </c>
      <c r="P53" s="71">
        <f t="shared" ref="P53:P65" si="24">(R53)/J53</f>
        <v>0</v>
      </c>
      <c r="Q53" s="49">
        <f t="shared" si="23"/>
        <v>-0.13043478260869557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307967900.28960001</v>
      </c>
      <c r="E54" s="39">
        <v>0</v>
      </c>
      <c r="F54" s="40" t="s">
        <v>47</v>
      </c>
      <c r="G54" s="70">
        <v>9.0200000000000002E-2</v>
      </c>
      <c r="H54" s="42">
        <v>0.13780000000000001</v>
      </c>
      <c r="I54" s="42">
        <v>0.1424</v>
      </c>
      <c r="J54" s="44">
        <f t="shared" si="20"/>
        <v>0.1424</v>
      </c>
      <c r="K54" s="39">
        <v>0</v>
      </c>
      <c r="L54" s="46">
        <f t="shared" si="21"/>
        <v>4.599999999999993E-3</v>
      </c>
      <c r="M54" s="73">
        <f t="shared" si="22"/>
        <v>3.3381712626995594</v>
      </c>
      <c r="N54" s="47">
        <v>19081</v>
      </c>
      <c r="O54" s="37">
        <v>2717.63</v>
      </c>
      <c r="P54" s="71">
        <f t="shared" si="24"/>
        <v>0</v>
      </c>
      <c r="Q54" s="49">
        <f t="shared" si="23"/>
        <v>0.57871396895787131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863889675</v>
      </c>
      <c r="E55" s="39">
        <v>0</v>
      </c>
      <c r="F55" s="40" t="s">
        <v>34</v>
      </c>
      <c r="G55" s="70">
        <v>0.95750000000000002</v>
      </c>
      <c r="H55" s="42">
        <v>1.4951000000000001</v>
      </c>
      <c r="I55" s="42">
        <v>1.5</v>
      </c>
      <c r="J55" s="44">
        <f t="shared" si="20"/>
        <v>1.5</v>
      </c>
      <c r="K55" s="39">
        <v>0</v>
      </c>
      <c r="L55" s="46">
        <f t="shared" si="21"/>
        <v>4.8999999999999044E-3</v>
      </c>
      <c r="M55" s="46">
        <f t="shared" si="22"/>
        <v>0.32773727509864919</v>
      </c>
      <c r="N55" s="47">
        <v>753</v>
      </c>
      <c r="O55" s="37">
        <v>1129.5</v>
      </c>
      <c r="P55" s="72">
        <f t="shared" si="24"/>
        <v>3.1333333333333331E-2</v>
      </c>
      <c r="Q55" s="49">
        <f t="shared" si="23"/>
        <v>0.56657963446475201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157</v>
      </c>
      <c r="O56" s="37">
        <v>23.55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18122253.199999999</v>
      </c>
      <c r="E57" s="39">
        <v>0</v>
      </c>
      <c r="F57" s="40" t="s">
        <v>92</v>
      </c>
      <c r="G57" s="70">
        <v>1.6799999999999999E-2</v>
      </c>
      <c r="H57" s="42">
        <v>1.8599999999999998E-2</v>
      </c>
      <c r="I57" s="42">
        <v>1.9E-2</v>
      </c>
      <c r="J57" s="44">
        <f t="shared" si="20"/>
        <v>1.9E-2</v>
      </c>
      <c r="K57" s="39">
        <v>0</v>
      </c>
      <c r="L57" s="46">
        <f t="shared" si="21"/>
        <v>4.0000000000000105E-4</v>
      </c>
      <c r="M57" s="73">
        <f t="shared" si="22"/>
        <v>2.1505376344086078</v>
      </c>
      <c r="N57" s="47">
        <v>94165</v>
      </c>
      <c r="O57" s="37">
        <v>1785.24</v>
      </c>
      <c r="P57" s="71">
        <f t="shared" si="24"/>
        <v>0</v>
      </c>
      <c r="Q57" s="49">
        <f t="shared" si="23"/>
        <v>0.13095238095238093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0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-0.251374358974359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4062177468.4710999</v>
      </c>
      <c r="E59" s="39">
        <v>0</v>
      </c>
      <c r="F59" s="40" t="s">
        <v>47</v>
      </c>
      <c r="G59" s="70">
        <v>0.78169999999999995</v>
      </c>
      <c r="H59" s="74">
        <v>0.90190000000000003</v>
      </c>
      <c r="I59" s="42">
        <v>0.90310000000000001</v>
      </c>
      <c r="J59" s="44">
        <f t="shared" si="20"/>
        <v>0.90310000000000001</v>
      </c>
      <c r="K59" s="39">
        <v>0</v>
      </c>
      <c r="L59" s="46">
        <f t="shared" si="21"/>
        <v>1.1999999999999789E-3</v>
      </c>
      <c r="M59" s="46">
        <f t="shared" si="22"/>
        <v>0.13305244483867157</v>
      </c>
      <c r="N59" s="47">
        <v>22484</v>
      </c>
      <c r="O59" s="75">
        <v>20305.3</v>
      </c>
      <c r="P59" s="71">
        <f t="shared" si="24"/>
        <v>0</v>
      </c>
      <c r="Q59" s="49">
        <f t="shared" si="23"/>
        <v>0.15530254573365743</v>
      </c>
      <c r="R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1067469428.9809</v>
      </c>
      <c r="E60" s="39">
        <v>0</v>
      </c>
      <c r="F60" s="40" t="s">
        <v>92</v>
      </c>
      <c r="G60" s="70">
        <v>0.59499999999999997</v>
      </c>
      <c r="H60" s="42">
        <v>1.3082</v>
      </c>
      <c r="I60" s="42">
        <v>1.3259000000000001</v>
      </c>
      <c r="J60" s="44">
        <f t="shared" si="20"/>
        <v>1.3259000000000001</v>
      </c>
      <c r="K60" s="39">
        <v>0</v>
      </c>
      <c r="L60" s="46">
        <f t="shared" si="21"/>
        <v>1.7700000000000049E-2</v>
      </c>
      <c r="M60" s="46">
        <f t="shared" si="22"/>
        <v>1.3530041278092071</v>
      </c>
      <c r="N60" s="47">
        <v>586</v>
      </c>
      <c r="O60" s="37">
        <v>777</v>
      </c>
      <c r="P60" s="71">
        <f t="shared" si="24"/>
        <v>0</v>
      </c>
      <c r="Q60" s="49">
        <f t="shared" si="23"/>
        <v>1.228403361344538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99071516.840000004</v>
      </c>
      <c r="E61" s="39">
        <v>0</v>
      </c>
      <c r="F61" s="40" t="s">
        <v>34</v>
      </c>
      <c r="G61" s="70">
        <v>0.22600000000000001</v>
      </c>
      <c r="H61" s="42">
        <v>0.38</v>
      </c>
      <c r="I61" s="42">
        <v>0.38</v>
      </c>
      <c r="J61" s="44">
        <f t="shared" si="20"/>
        <v>0.38</v>
      </c>
      <c r="K61" s="39">
        <v>0</v>
      </c>
      <c r="L61" s="46">
        <f t="shared" si="21"/>
        <v>0</v>
      </c>
      <c r="M61" s="46">
        <f t="shared" si="22"/>
        <v>0</v>
      </c>
      <c r="N61" s="47">
        <v>100</v>
      </c>
      <c r="O61" s="37">
        <v>38</v>
      </c>
      <c r="P61" s="71">
        <f t="shared" si="24"/>
        <v>0</v>
      </c>
      <c r="Q61" s="49">
        <f t="shared" si="23"/>
        <v>0.68141592920353977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396565149.45520002</v>
      </c>
      <c r="E62" s="39">
        <v>0</v>
      </c>
      <c r="F62" s="40" t="s">
        <v>34</v>
      </c>
      <c r="G62" s="70">
        <v>0.49440000000000001</v>
      </c>
      <c r="H62" s="42">
        <v>0.70479999999999998</v>
      </c>
      <c r="I62" s="42">
        <v>0.70540000000000003</v>
      </c>
      <c r="J62" s="44">
        <f t="shared" si="20"/>
        <v>0.70540000000000003</v>
      </c>
      <c r="K62" s="39">
        <v>0</v>
      </c>
      <c r="L62" s="46">
        <f t="shared" si="21"/>
        <v>6.0000000000004494E-4</v>
      </c>
      <c r="M62" s="46">
        <f t="shared" si="22"/>
        <v>8.5130533484682885E-2</v>
      </c>
      <c r="N62" s="47">
        <v>3485</v>
      </c>
      <c r="O62" s="37">
        <v>2458.4299999999998</v>
      </c>
      <c r="P62" s="71">
        <f t="shared" si="24"/>
        <v>0</v>
      </c>
      <c r="Q62" s="49">
        <f t="shared" si="23"/>
        <v>0.42677993527508096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76550467.349999994</v>
      </c>
      <c r="E63" s="39">
        <v>0</v>
      </c>
      <c r="F63" s="40" t="s">
        <v>34</v>
      </c>
      <c r="G63" s="70">
        <v>0.25950000000000001</v>
      </c>
      <c r="H63" s="42">
        <v>0.22</v>
      </c>
      <c r="I63" s="42">
        <v>0.21</v>
      </c>
      <c r="J63" s="44">
        <f t="shared" si="20"/>
        <v>0.21</v>
      </c>
      <c r="K63" s="39">
        <v>0</v>
      </c>
      <c r="L63" s="46">
        <f t="shared" si="21"/>
        <v>-1.0000000000000009E-2</v>
      </c>
      <c r="M63" s="46">
        <f t="shared" si="22"/>
        <v>-4.5454545454545494</v>
      </c>
      <c r="N63" s="47">
        <v>2663</v>
      </c>
      <c r="O63" s="37">
        <v>559.23</v>
      </c>
      <c r="P63" s="71">
        <f t="shared" si="24"/>
        <v>0</v>
      </c>
      <c r="Q63" s="49">
        <f t="shared" si="23"/>
        <v>-0.19075144508670527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0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39351091.501199998</v>
      </c>
      <c r="E65" s="39">
        <v>0</v>
      </c>
      <c r="F65" s="40" t="s">
        <v>44</v>
      </c>
      <c r="G65" s="70">
        <v>4.2999999999999997E-2</v>
      </c>
      <c r="H65" s="42">
        <v>0.11849999999999999</v>
      </c>
      <c r="I65" s="42">
        <v>0.1142</v>
      </c>
      <c r="J65" s="44">
        <f t="shared" si="20"/>
        <v>0.1142</v>
      </c>
      <c r="K65" s="39">
        <v>0</v>
      </c>
      <c r="L65" s="46">
        <f t="shared" si="21"/>
        <v>-4.2999999999999983E-3</v>
      </c>
      <c r="M65" s="46">
        <f t="shared" si="22"/>
        <v>-3.6286919831223621</v>
      </c>
      <c r="N65" s="47">
        <v>8886</v>
      </c>
      <c r="O65" s="37">
        <v>1015.2</v>
      </c>
      <c r="P65" s="71">
        <f t="shared" si="24"/>
        <v>0</v>
      </c>
      <c r="Q65" s="49">
        <f t="shared" si="23"/>
        <v>1.655813953488372</v>
      </c>
      <c r="T65" s="52"/>
    </row>
    <row r="66" spans="1:20" ht="13.5" x14ac:dyDescent="0.3">
      <c r="A66" s="76"/>
      <c r="B66" s="36" t="s">
        <v>117</v>
      </c>
      <c r="C66" s="40"/>
      <c r="D66" s="77"/>
      <c r="E66" s="77"/>
      <c r="F66" s="40"/>
      <c r="G66" s="40"/>
      <c r="H66" s="42"/>
      <c r="I66" s="42"/>
      <c r="J66" s="42"/>
      <c r="K66" s="42"/>
      <c r="L66" s="46"/>
      <c r="M66" s="78"/>
      <c r="N66" s="61">
        <f>SUM(N50:N65)</f>
        <v>513325</v>
      </c>
      <c r="O66" s="62">
        <f>SUM(O50:O65)</f>
        <v>120360.81999999999</v>
      </c>
      <c r="P66" s="79"/>
      <c r="Q66" s="63"/>
    </row>
    <row r="67" spans="1:20" ht="12.75" hidden="1" x14ac:dyDescent="0.25">
      <c r="A67" s="136" t="s">
        <v>152</v>
      </c>
      <c r="B67" s="137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</row>
    <row r="68" spans="1:20" ht="12.75" hidden="1" thickBot="1" x14ac:dyDescent="0.25">
      <c r="A68" s="80" t="s">
        <v>153</v>
      </c>
      <c r="B68" s="81" t="s">
        <v>154</v>
      </c>
      <c r="C68" s="82">
        <v>20000</v>
      </c>
      <c r="D68" s="83">
        <f>C68*J68</f>
        <v>0</v>
      </c>
      <c r="E68" s="83"/>
      <c r="F68" s="82" t="s">
        <v>155</v>
      </c>
      <c r="G68" s="82"/>
      <c r="H68" s="84">
        <v>100</v>
      </c>
      <c r="I68" s="84"/>
      <c r="J68" s="84"/>
      <c r="K68" s="84"/>
      <c r="L68" s="85">
        <f>I68-H68</f>
        <v>-100</v>
      </c>
      <c r="M68" s="86">
        <f>((I68-H68)/H68)*100</f>
        <v>-100</v>
      </c>
      <c r="N68" s="87" t="s">
        <v>57</v>
      </c>
      <c r="O68" s="87" t="s">
        <v>57</v>
      </c>
      <c r="P68" s="87"/>
      <c r="Q68" s="88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8"/>
      <c r="N69" s="89"/>
      <c r="O69" s="89"/>
      <c r="P69" s="89"/>
      <c r="Q69" s="63"/>
    </row>
    <row r="70" spans="1:20" ht="12.75" x14ac:dyDescent="0.25">
      <c r="A70" s="136" t="s">
        <v>156</v>
      </c>
      <c r="B70" s="137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9"/>
    </row>
    <row r="71" spans="1:20" x14ac:dyDescent="0.2">
      <c r="A71" s="35" t="s">
        <v>157</v>
      </c>
      <c r="B71" s="90" t="s">
        <v>158</v>
      </c>
      <c r="C71" s="91">
        <v>139300587</v>
      </c>
      <c r="D71" s="38">
        <f>C71*J71</f>
        <v>44576187.840000004</v>
      </c>
      <c r="E71" s="39">
        <f>C71*K71</f>
        <v>44576187.840000004</v>
      </c>
      <c r="F71" s="91" t="s">
        <v>159</v>
      </c>
      <c r="G71" s="91">
        <v>0.24</v>
      </c>
      <c r="H71" s="92">
        <v>0.28000000000000003</v>
      </c>
      <c r="I71" s="92">
        <v>0.32</v>
      </c>
      <c r="J71" s="93">
        <f>I71</f>
        <v>0.32</v>
      </c>
      <c r="K71" s="93">
        <f>J71</f>
        <v>0.32</v>
      </c>
      <c r="L71" s="46">
        <f>I71-H71</f>
        <v>3.999999999999998E-2</v>
      </c>
      <c r="M71" s="46">
        <f>((I71-H71)/H71)*100</f>
        <v>14.285714285714276</v>
      </c>
      <c r="N71" s="94">
        <v>30</v>
      </c>
      <c r="O71" s="95">
        <v>9.6</v>
      </c>
      <c r="P71" s="71">
        <f>(R71)/J71</f>
        <v>0</v>
      </c>
      <c r="Q71" s="49">
        <f>J71/G71-1</f>
        <v>0.33333333333333348</v>
      </c>
      <c r="T71" s="52"/>
    </row>
    <row r="72" spans="1:20" x14ac:dyDescent="0.2">
      <c r="A72" s="35" t="s">
        <v>160</v>
      </c>
      <c r="B72" s="90" t="s">
        <v>161</v>
      </c>
      <c r="C72" s="91">
        <v>471351750</v>
      </c>
      <c r="D72" s="38">
        <f>C72*J72</f>
        <v>67026218.849999994</v>
      </c>
      <c r="E72" s="39">
        <f>C72*K72</f>
        <v>67026218.849999994</v>
      </c>
      <c r="F72" s="91" t="s">
        <v>159</v>
      </c>
      <c r="G72" s="91">
        <v>0.1</v>
      </c>
      <c r="H72" s="92">
        <v>0.1421</v>
      </c>
      <c r="I72" s="92">
        <v>0.14219999999999999</v>
      </c>
      <c r="J72" s="93">
        <f>I72</f>
        <v>0.14219999999999999</v>
      </c>
      <c r="K72" s="93">
        <f>J72</f>
        <v>0.14219999999999999</v>
      </c>
      <c r="L72" s="46">
        <f>I72-H72</f>
        <v>9.9999999999988987E-5</v>
      </c>
      <c r="M72" s="46">
        <f>((I72-H72)/H72)*100</f>
        <v>7.0372976776909915E-2</v>
      </c>
      <c r="N72" s="47">
        <v>297</v>
      </c>
      <c r="O72" s="95">
        <v>42.22</v>
      </c>
      <c r="P72" s="96">
        <f>(R72)/J72</f>
        <v>2.6666666666666665E-2</v>
      </c>
      <c r="Q72" s="49">
        <f>J72/G72-1</f>
        <v>0.42199999999999993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8"/>
      <c r="N73" s="61">
        <f>SUM(N71:N72)</f>
        <v>327</v>
      </c>
      <c r="O73" s="62">
        <f>SUM(O71:O72)</f>
        <v>51.82</v>
      </c>
      <c r="P73" s="89"/>
      <c r="Q73" s="63"/>
    </row>
    <row r="74" spans="1:20" ht="12.75" x14ac:dyDescent="0.25">
      <c r="A74" s="136" t="s">
        <v>162</v>
      </c>
      <c r="B74" s="137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9"/>
    </row>
    <row r="75" spans="1:20" x14ac:dyDescent="0.2">
      <c r="A75" s="35" t="s">
        <v>163</v>
      </c>
      <c r="B75" s="90" t="s">
        <v>164</v>
      </c>
      <c r="C75" s="91">
        <v>20819695</v>
      </c>
      <c r="D75" s="38">
        <f>C75*J75</f>
        <v>2346379.6264999998</v>
      </c>
      <c r="E75" s="39">
        <f>C75*K75</f>
        <v>2346379.6264999998</v>
      </c>
      <c r="F75" s="91" t="s">
        <v>137</v>
      </c>
      <c r="G75" s="91">
        <v>0.1394</v>
      </c>
      <c r="H75" s="92">
        <v>0.1106</v>
      </c>
      <c r="I75" s="92">
        <v>0.11269999999999999</v>
      </c>
      <c r="J75" s="93">
        <f>I75</f>
        <v>0.11269999999999999</v>
      </c>
      <c r="K75" s="93">
        <f>J75</f>
        <v>0.11269999999999999</v>
      </c>
      <c r="L75" s="46">
        <f>I75-H75</f>
        <v>2.0999999999999908E-3</v>
      </c>
      <c r="M75" s="46">
        <f>((I75-H75)/H75)*100</f>
        <v>1.8987341772151816</v>
      </c>
      <c r="N75" s="94">
        <v>721</v>
      </c>
      <c r="O75" s="95">
        <v>81.27</v>
      </c>
      <c r="P75" s="71">
        <f>(R75)/J75</f>
        <v>0</v>
      </c>
      <c r="Q75" s="49">
        <f>J75/G75-1</f>
        <v>-0.1915351506456241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8"/>
      <c r="N76" s="61"/>
      <c r="O76" s="62"/>
      <c r="P76" s="89"/>
      <c r="Q76" s="63"/>
    </row>
    <row r="77" spans="1:20" ht="12.75" x14ac:dyDescent="0.25">
      <c r="A77" s="132" t="s">
        <v>165</v>
      </c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5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133698.99798469862</v>
      </c>
      <c r="E78" s="39">
        <f>C78*K78</f>
        <v>113729.03653968254</v>
      </c>
      <c r="F78" s="40" t="s">
        <v>137</v>
      </c>
      <c r="G78" s="70">
        <v>0.105</v>
      </c>
      <c r="H78" s="42">
        <v>0.113</v>
      </c>
      <c r="I78" s="42">
        <v>0.113</v>
      </c>
      <c r="J78" s="44">
        <f>I78/$J$5</f>
        <v>4.217204702369845E-3</v>
      </c>
      <c r="K78" s="45">
        <f>I78/$K$4</f>
        <v>3.5873015873015873E-3</v>
      </c>
      <c r="L78" s="46">
        <f>I78-H78</f>
        <v>0</v>
      </c>
      <c r="M78" s="97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7.6190476190476364E-2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406529.73166635563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2.9856316476954653E-3</v>
      </c>
      <c r="K79" s="45">
        <f>I79/$K$4</f>
        <v>2.5396825396825397E-3</v>
      </c>
      <c r="L79" s="46">
        <f>I79-H79</f>
        <v>0</v>
      </c>
      <c r="M79" s="97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6677853</v>
      </c>
      <c r="D80" s="38">
        <f>C80*J80</f>
        <v>29906.413883187157</v>
      </c>
      <c r="E80" s="39">
        <f>C80*K80</f>
        <v>25439.439999999999</v>
      </c>
      <c r="F80" s="40" t="s">
        <v>137</v>
      </c>
      <c r="G80" s="70">
        <v>6.0499999999999998E-2</v>
      </c>
      <c r="H80" s="42">
        <v>0.13</v>
      </c>
      <c r="I80" s="42">
        <v>0.12</v>
      </c>
      <c r="J80" s="44">
        <f>I80/$J$5</f>
        <v>4.4784474715431977E-3</v>
      </c>
      <c r="K80" s="45">
        <f>I80/$K$4</f>
        <v>3.8095238095238095E-3</v>
      </c>
      <c r="L80" s="46">
        <f>I80-H80</f>
        <v>-1.0000000000000009E-2</v>
      </c>
      <c r="M80" s="97">
        <f>((I80-H80)/H80)*100</f>
        <v>-7.6923076923076987</v>
      </c>
      <c r="N80" s="37">
        <v>2900</v>
      </c>
      <c r="O80" s="37">
        <v>348</v>
      </c>
      <c r="P80" s="40">
        <v>0</v>
      </c>
      <c r="Q80" s="49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494417400</v>
      </c>
      <c r="D81" s="38">
        <f>C81*J81</f>
        <v>31368150.027990296</v>
      </c>
      <c r="E81" s="39">
        <f>C81*K81</f>
        <v>26682843.809523806</v>
      </c>
      <c r="F81" s="40" t="s">
        <v>137</v>
      </c>
      <c r="G81" s="70">
        <v>1.85</v>
      </c>
      <c r="H81" s="42">
        <v>1.7</v>
      </c>
      <c r="I81" s="42">
        <v>1.7</v>
      </c>
      <c r="J81" s="44">
        <f>I81/$J$5</f>
        <v>6.3444672513528644E-2</v>
      </c>
      <c r="K81" s="45">
        <f>I81/$K$4</f>
        <v>5.3968253968253964E-2</v>
      </c>
      <c r="L81" s="46">
        <f>I81-H81</f>
        <v>0</v>
      </c>
      <c r="M81" s="97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2900</v>
      </c>
      <c r="O82" s="62">
        <f>SUM(O78:O81)</f>
        <v>348</v>
      </c>
      <c r="P82" s="79"/>
      <c r="Q82" s="63"/>
      <c r="V82" s="98"/>
      <c r="W82" s="98"/>
      <c r="DU82" s="99"/>
      <c r="DV82" s="99"/>
      <c r="DW82" s="100"/>
      <c r="DX82" s="101"/>
      <c r="DY82" s="101"/>
      <c r="DZ82" s="102"/>
      <c r="EA82" s="102"/>
      <c r="EB82" s="103"/>
      <c r="EC82" s="103"/>
      <c r="ED82" s="104"/>
      <c r="EE82" s="104"/>
      <c r="EF82" s="102"/>
      <c r="EG82" s="105"/>
      <c r="EH82" s="106"/>
      <c r="EI82" s="100"/>
      <c r="EJ82" s="99"/>
      <c r="EK82" s="99"/>
      <c r="EL82" s="100"/>
      <c r="EM82" s="101"/>
      <c r="EN82" s="101"/>
      <c r="EO82" s="102"/>
      <c r="EP82" s="102"/>
      <c r="EQ82" s="103"/>
      <c r="ER82" s="103"/>
      <c r="ES82" s="104"/>
      <c r="ET82" s="104"/>
      <c r="EU82" s="102"/>
      <c r="EV82" s="105"/>
      <c r="EW82" s="106"/>
      <c r="EX82" s="100"/>
      <c r="EY82" s="99"/>
      <c r="EZ82" s="99"/>
      <c r="FA82" s="100"/>
      <c r="FB82" s="101"/>
      <c r="FC82" s="101"/>
      <c r="FD82" s="102"/>
      <c r="FE82" s="102"/>
      <c r="FF82" s="103"/>
      <c r="FG82" s="103"/>
      <c r="FH82" s="104"/>
      <c r="FI82" s="104"/>
      <c r="FJ82" s="102"/>
      <c r="FK82" s="105"/>
      <c r="FL82" s="106"/>
      <c r="FM82" s="100"/>
      <c r="FN82" s="99"/>
      <c r="FO82" s="99"/>
      <c r="FP82" s="100"/>
      <c r="FQ82" s="101"/>
      <c r="FR82" s="101"/>
      <c r="FS82" s="102"/>
      <c r="FT82" s="102"/>
      <c r="FU82" s="103"/>
      <c r="FV82" s="103"/>
      <c r="FW82" s="104"/>
      <c r="FX82" s="104"/>
      <c r="FY82" s="102"/>
      <c r="FZ82" s="105"/>
      <c r="GA82" s="106"/>
      <c r="GB82" s="100"/>
      <c r="GC82" s="99"/>
      <c r="GD82" s="99"/>
      <c r="GE82" s="100"/>
      <c r="GF82" s="101"/>
      <c r="GG82" s="101"/>
      <c r="GH82" s="102"/>
      <c r="GI82" s="102"/>
      <c r="GJ82" s="103"/>
      <c r="GK82" s="103"/>
      <c r="GL82" s="104"/>
      <c r="GM82" s="104"/>
      <c r="GN82" s="102"/>
      <c r="GO82" s="105"/>
      <c r="GP82" s="106"/>
      <c r="GQ82" s="100"/>
      <c r="GR82" s="99"/>
      <c r="GS82" s="99"/>
      <c r="GT82" s="100"/>
      <c r="GU82" s="101"/>
      <c r="GV82" s="101"/>
      <c r="GW82" s="102"/>
      <c r="GX82" s="102"/>
      <c r="GY82" s="103"/>
      <c r="GZ82" s="103"/>
      <c r="HA82" s="104"/>
      <c r="HB82" s="104"/>
      <c r="HC82" s="102"/>
      <c r="HD82" s="105"/>
      <c r="HE82" s="106"/>
      <c r="HF82" s="100"/>
      <c r="HG82" s="99"/>
      <c r="HH82" s="99"/>
      <c r="HI82" s="100"/>
      <c r="HJ82" s="101"/>
      <c r="HK82" s="101"/>
      <c r="HL82" s="102"/>
      <c r="HM82" s="102"/>
      <c r="HN82" s="103"/>
      <c r="HO82" s="103"/>
      <c r="HP82" s="104"/>
      <c r="HQ82" s="104"/>
      <c r="HR82" s="102"/>
      <c r="HS82" s="105"/>
      <c r="HT82" s="106"/>
      <c r="HU82" s="100"/>
      <c r="HV82" s="99"/>
      <c r="HW82" s="99"/>
      <c r="HX82" s="100"/>
      <c r="HY82" s="101"/>
      <c r="HZ82" s="101"/>
      <c r="IA82" s="102"/>
      <c r="IB82" s="102"/>
      <c r="IC82" s="103"/>
      <c r="ID82" s="103"/>
      <c r="IE82" s="104"/>
      <c r="IF82" s="104"/>
      <c r="IG82" s="102"/>
      <c r="IH82" s="105"/>
      <c r="II82" s="106"/>
    </row>
    <row r="83" spans="1:243" ht="13.5" thickTop="1" x14ac:dyDescent="0.25">
      <c r="A83" s="136" t="s">
        <v>174</v>
      </c>
      <c r="B83" s="137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9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29256238.099318974</v>
      </c>
      <c r="E84" s="39">
        <f>C84*K84</f>
        <v>24886377.773690537</v>
      </c>
      <c r="F84" s="40" t="s">
        <v>177</v>
      </c>
      <c r="G84" s="40">
        <v>1.3</v>
      </c>
      <c r="H84" s="42">
        <v>1.9824999999999999</v>
      </c>
      <c r="I84" s="42">
        <v>2.128333</v>
      </c>
      <c r="J84" s="44">
        <f>I84/$J$5</f>
        <v>7.943022952043291E-2</v>
      </c>
      <c r="K84" s="45">
        <f>I84/$K$4</f>
        <v>6.7566126984126978E-2</v>
      </c>
      <c r="L84" s="46">
        <f>I84-H84</f>
        <v>0.1458330000000001</v>
      </c>
      <c r="M84" s="46">
        <f>((I84-H84)/H84*100)</f>
        <v>7.3560151324085803</v>
      </c>
      <c r="N84" s="107">
        <v>355</v>
      </c>
      <c r="O84" s="108">
        <v>747.67499999999995</v>
      </c>
      <c r="P84" s="51">
        <f>(R84)/J84</f>
        <v>0</v>
      </c>
      <c r="Q84" s="49">
        <f>I84/G84-1</f>
        <v>0.63717923076923078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73528491.068482921</v>
      </c>
      <c r="E85" s="39">
        <f>C85*K85</f>
        <v>62545902.164444454</v>
      </c>
      <c r="F85" s="40" t="s">
        <v>177</v>
      </c>
      <c r="G85" s="40">
        <v>1.44347</v>
      </c>
      <c r="H85" s="42">
        <v>1.1000000000000001</v>
      </c>
      <c r="I85" s="42">
        <v>1.0701160000000001</v>
      </c>
      <c r="J85" s="44">
        <f>I85/$J$5</f>
        <v>3.9937152453816009E-2</v>
      </c>
      <c r="K85" s="45">
        <f>I85/$K$4</f>
        <v>3.3971936507936513E-2</v>
      </c>
      <c r="L85" s="46">
        <f>I85-H85</f>
        <v>-2.9884000000000022E-2</v>
      </c>
      <c r="M85" s="46">
        <f>((I85-H85)/H85*100)</f>
        <v>-2.7167272727272747</v>
      </c>
      <c r="N85" s="108">
        <v>4777398</v>
      </c>
      <c r="O85" s="108">
        <v>5112389.2750000004</v>
      </c>
      <c r="P85" s="48">
        <f>(R85)/J85</f>
        <v>5.4485607167821061E-2</v>
      </c>
      <c r="Q85" s="49">
        <f>I85/G85-1</f>
        <v>-0.25865033564951123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0"/>
      <c r="B86" s="81"/>
      <c r="C86" s="82"/>
      <c r="D86" s="110"/>
      <c r="E86" s="83"/>
      <c r="F86" s="82"/>
      <c r="G86" s="82"/>
      <c r="H86" s="84"/>
      <c r="I86" s="84"/>
      <c r="J86" s="84"/>
      <c r="K86" s="84"/>
      <c r="L86" s="85"/>
      <c r="M86" s="85"/>
      <c r="N86" s="85"/>
      <c r="O86" s="85"/>
      <c r="P86" s="85"/>
      <c r="Q86" s="88"/>
    </row>
    <row r="87" spans="1:243" ht="12.75" thickBot="1" x14ac:dyDescent="0.25">
      <c r="A87" s="111"/>
      <c r="B87" s="112"/>
      <c r="C87" s="112"/>
      <c r="D87" s="112"/>
      <c r="E87" s="112"/>
      <c r="F87" s="113"/>
      <c r="G87" s="113"/>
      <c r="H87" s="59"/>
      <c r="M87" s="114"/>
      <c r="N87" s="114"/>
      <c r="O87" s="59"/>
      <c r="P87" s="59"/>
      <c r="Q87" s="115"/>
    </row>
    <row r="88" spans="1:243" ht="15" customHeight="1" thickBot="1" x14ac:dyDescent="0.25">
      <c r="A88" s="140" t="s">
        <v>180</v>
      </c>
      <c r="B88" s="141"/>
      <c r="C88" s="141"/>
      <c r="D88" s="142"/>
      <c r="E88" s="140" t="s">
        <v>181</v>
      </c>
      <c r="F88" s="141"/>
      <c r="G88" s="141"/>
      <c r="H88" s="142"/>
      <c r="I88" s="52"/>
      <c r="J88" s="143" t="s">
        <v>182</v>
      </c>
      <c r="K88" s="144"/>
      <c r="L88" s="145"/>
      <c r="M88" s="143" t="s">
        <v>183</v>
      </c>
      <c r="N88" s="144"/>
      <c r="O88" s="145"/>
    </row>
    <row r="89" spans="1:243" ht="15" customHeight="1" x14ac:dyDescent="0.2">
      <c r="A89" s="35" t="s">
        <v>88</v>
      </c>
      <c r="B89" s="116">
        <v>0.98</v>
      </c>
      <c r="D89" s="116">
        <v>14.956011730205271</v>
      </c>
      <c r="E89" s="35" t="s">
        <v>35</v>
      </c>
      <c r="F89" s="117">
        <v>7.3499999999999996E-2</v>
      </c>
      <c r="H89" s="118">
        <v>-2.0000000000000018</v>
      </c>
      <c r="J89" s="35" t="s">
        <v>127</v>
      </c>
      <c r="K89" s="51">
        <v>0.1424</v>
      </c>
      <c r="L89" s="119">
        <v>3.3381712626995594</v>
      </c>
      <c r="M89" s="59" t="s">
        <v>121</v>
      </c>
      <c r="N89" s="117">
        <v>32.0976</v>
      </c>
      <c r="O89" s="118">
        <v>-13.591161410857639</v>
      </c>
    </row>
    <row r="90" spans="1:243" ht="15" customHeight="1" x14ac:dyDescent="0.2">
      <c r="A90" s="35" t="s">
        <v>32</v>
      </c>
      <c r="B90" s="116">
        <v>16.75</v>
      </c>
      <c r="D90" s="116">
        <v>11.666666666666666</v>
      </c>
      <c r="E90" s="35" t="s">
        <v>99</v>
      </c>
      <c r="F90" s="117">
        <v>0.30714400000000003</v>
      </c>
      <c r="H90" s="118">
        <v>-1.080837359098219</v>
      </c>
      <c r="J90" s="35" t="s">
        <v>133</v>
      </c>
      <c r="K90" s="51">
        <v>1.9E-2</v>
      </c>
      <c r="L90" s="119">
        <v>2.1505376344086078</v>
      </c>
      <c r="M90" s="35" t="s">
        <v>125</v>
      </c>
      <c r="N90" s="117">
        <v>0.02</v>
      </c>
      <c r="O90" s="118">
        <v>-11.111111111111107</v>
      </c>
    </row>
    <row r="91" spans="1:243" ht="15" customHeight="1" x14ac:dyDescent="0.2">
      <c r="A91" s="35" t="s">
        <v>95</v>
      </c>
      <c r="B91" s="116">
        <v>4.2849999999999999E-2</v>
      </c>
      <c r="C91" s="116"/>
      <c r="D91" s="116">
        <v>9.8098508533647628</v>
      </c>
      <c r="E91" s="35" t="s">
        <v>77</v>
      </c>
      <c r="F91" s="117">
        <v>2.4325000000000001</v>
      </c>
      <c r="H91" s="118">
        <v>-0.95684039087947281</v>
      </c>
      <c r="J91" s="35" t="s">
        <v>140</v>
      </c>
      <c r="K91" s="51">
        <v>1.3259000000000001</v>
      </c>
      <c r="L91" s="119">
        <v>1.3530041278092071</v>
      </c>
      <c r="M91" s="35" t="s">
        <v>146</v>
      </c>
      <c r="N91" s="117">
        <v>0.21</v>
      </c>
      <c r="O91" s="118">
        <v>-4.5454545454545494</v>
      </c>
    </row>
    <row r="92" spans="1:243" ht="15" customHeight="1" x14ac:dyDescent="0.2">
      <c r="A92" s="35" t="s">
        <v>37</v>
      </c>
      <c r="B92" s="116">
        <v>0.24</v>
      </c>
      <c r="C92" s="116"/>
      <c r="D92" s="116">
        <v>9.0909090909090864</v>
      </c>
      <c r="E92" s="35" t="s">
        <v>97</v>
      </c>
      <c r="F92" s="117">
        <v>4.49</v>
      </c>
      <c r="H92" s="118">
        <v>-0.22222222222221749</v>
      </c>
      <c r="J92" s="35" t="s">
        <v>129</v>
      </c>
      <c r="K92" s="51">
        <v>1.5</v>
      </c>
      <c r="L92" s="119">
        <v>0.32773727509864919</v>
      </c>
      <c r="M92" s="35" t="s">
        <v>150</v>
      </c>
      <c r="N92" s="117">
        <v>0.1142</v>
      </c>
      <c r="O92" s="118">
        <v>-3.6286919831223621</v>
      </c>
    </row>
    <row r="93" spans="1:243" ht="15" customHeight="1" x14ac:dyDescent="0.2">
      <c r="A93" s="35" t="s">
        <v>42</v>
      </c>
      <c r="B93" s="116">
        <v>25</v>
      </c>
      <c r="C93" s="116"/>
      <c r="D93" s="116">
        <v>6.157112526539275</v>
      </c>
      <c r="E93" s="35" t="s">
        <v>93</v>
      </c>
      <c r="F93" s="117">
        <v>5.6395020000000002</v>
      </c>
      <c r="G93" s="117"/>
      <c r="H93" s="118">
        <v>-8.8297872340326825E-3</v>
      </c>
      <c r="J93" s="35" t="s">
        <v>138</v>
      </c>
      <c r="K93" s="51">
        <v>0.90310000000000001</v>
      </c>
      <c r="L93" s="119">
        <v>0.13305244483867157</v>
      </c>
      <c r="M93" s="35" t="s">
        <v>123</v>
      </c>
      <c r="N93" s="117">
        <v>0.21560000000000001</v>
      </c>
      <c r="O93" s="118">
        <v>-2.3992756903576273</v>
      </c>
    </row>
    <row r="94" spans="1:243" ht="15.75" customHeight="1" thickBot="1" x14ac:dyDescent="0.25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</row>
    <row r="95" spans="1:243" x14ac:dyDescent="0.2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75" thickBot="1" x14ac:dyDescent="0.25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1"/>
      <c r="J102" s="131"/>
      <c r="K102" s="131"/>
      <c r="O102" s="131"/>
      <c r="P102" s="131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1"/>
      <c r="J105" s="131"/>
      <c r="K105" s="131"/>
      <c r="O105" s="131"/>
      <c r="P105" s="131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1"/>
      <c r="J107" s="131"/>
      <c r="K107" s="131"/>
      <c r="O107" s="131"/>
      <c r="P107" s="131"/>
    </row>
  </sheetData>
  <sheetProtection algorithmName="SHA-512" hashValue="xFjcuI7wTzrzhwv9njHRyYdDleoSDq1sFentv/ieoTaJYsTL+HFnL07S5VmiRu6g6fJU5JcE6AG6QebwiV7LuA==" saltValue="k4RW3/umqLvpWVTbXOYzug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2026-08-24T13:43:38Z</dcterms:created>
  <dcterms:modified xsi:type="dcterms:W3CDTF">2026-08-24T13:45:54Z</dcterms:modified>
</cp:coreProperties>
</file>