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ly/23.07.26/"/>
    </mc:Choice>
  </mc:AlternateContent>
  <xr:revisionPtr revIDLastSave="1" documentId="8_{A3B6D52E-6FA6-4ED1-86F9-3729160FA6AB}" xr6:coauthVersionLast="47" xr6:coauthVersionMax="47" xr10:uidLastSave="{24CBD4B9-90CD-4D6B-B9AF-F518C3C13DE5}"/>
  <bookViews>
    <workbookView xWindow="-108" yWindow="-108" windowWidth="23256" windowHeight="12456" xr2:uid="{755C15A5-45CC-4597-9769-5379C96A3FCE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E84" i="1" s="1"/>
  <c r="J84" i="1"/>
  <c r="P84" i="1" s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Q74" i="1"/>
  <c r="M74" i="1"/>
  <c r="L74" i="1"/>
  <c r="J74" i="1"/>
  <c r="K74" i="1" s="1"/>
  <c r="E74" i="1" s="1"/>
  <c r="O72" i="1"/>
  <c r="N72" i="1"/>
  <c r="M71" i="1"/>
  <c r="L71" i="1"/>
  <c r="J71" i="1"/>
  <c r="P71" i="1" s="1"/>
  <c r="D71" i="1"/>
  <c r="M70" i="1"/>
  <c r="L70" i="1"/>
  <c r="J70" i="1"/>
  <c r="Q70" i="1" s="1"/>
  <c r="M67" i="1"/>
  <c r="L67" i="1"/>
  <c r="D67" i="1"/>
  <c r="O65" i="1"/>
  <c r="N65" i="1"/>
  <c r="M64" i="1"/>
  <c r="L64" i="1"/>
  <c r="J64" i="1"/>
  <c r="Q64" i="1" s="1"/>
  <c r="D64" i="1"/>
  <c r="M63" i="1"/>
  <c r="L63" i="1"/>
  <c r="J63" i="1"/>
  <c r="P63" i="1" s="1"/>
  <c r="M62" i="1"/>
  <c r="L62" i="1"/>
  <c r="J62" i="1"/>
  <c r="Q62" i="1" s="1"/>
  <c r="D62" i="1"/>
  <c r="M61" i="1"/>
  <c r="L61" i="1"/>
  <c r="J61" i="1"/>
  <c r="P61" i="1" s="1"/>
  <c r="M60" i="1"/>
  <c r="L60" i="1"/>
  <c r="J60" i="1"/>
  <c r="P60" i="1" s="1"/>
  <c r="M59" i="1"/>
  <c r="L59" i="1"/>
  <c r="J59" i="1"/>
  <c r="P59" i="1" s="1"/>
  <c r="D59" i="1"/>
  <c r="P58" i="1"/>
  <c r="M58" i="1"/>
  <c r="L58" i="1"/>
  <c r="J58" i="1"/>
  <c r="Q58" i="1" s="1"/>
  <c r="M57" i="1"/>
  <c r="L57" i="1"/>
  <c r="J57" i="1"/>
  <c r="P57" i="1" s="1"/>
  <c r="D57" i="1"/>
  <c r="M56" i="1"/>
  <c r="L56" i="1"/>
  <c r="J56" i="1"/>
  <c r="P56" i="1" s="1"/>
  <c r="M55" i="1"/>
  <c r="L55" i="1"/>
  <c r="J55" i="1"/>
  <c r="P55" i="1" s="1"/>
  <c r="M54" i="1"/>
  <c r="L54" i="1"/>
  <c r="J54" i="1"/>
  <c r="Q54" i="1" s="1"/>
  <c r="D54" i="1"/>
  <c r="M53" i="1"/>
  <c r="L53" i="1"/>
  <c r="J53" i="1"/>
  <c r="P53" i="1" s="1"/>
  <c r="D53" i="1"/>
  <c r="M52" i="1"/>
  <c r="L52" i="1"/>
  <c r="J52" i="1"/>
  <c r="Q52" i="1" s="1"/>
  <c r="M51" i="1"/>
  <c r="L51" i="1"/>
  <c r="J51" i="1"/>
  <c r="Q51" i="1" s="1"/>
  <c r="D51" i="1"/>
  <c r="M50" i="1"/>
  <c r="L50" i="1"/>
  <c r="J50" i="1"/>
  <c r="P50" i="1" s="1"/>
  <c r="O47" i="1"/>
  <c r="N47" i="1"/>
  <c r="Q46" i="1"/>
  <c r="M46" i="1"/>
  <c r="L46" i="1"/>
  <c r="K46" i="1"/>
  <c r="E46" i="1" s="1"/>
  <c r="J46" i="1"/>
  <c r="D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P44" i="1" s="1"/>
  <c r="D44" i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D39" i="1"/>
  <c r="Q38" i="1"/>
  <c r="M38" i="1"/>
  <c r="L38" i="1"/>
  <c r="K38" i="1"/>
  <c r="E38" i="1" s="1"/>
  <c r="J38" i="1"/>
  <c r="D38" i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P32" i="1" s="1"/>
  <c r="K31" i="1"/>
  <c r="E31" i="1" s="1"/>
  <c r="J31" i="1"/>
  <c r="D31" i="1" s="1"/>
  <c r="Q29" i="1"/>
  <c r="M29" i="1"/>
  <c r="L29" i="1"/>
  <c r="K29" i="1"/>
  <c r="E29" i="1" s="1"/>
  <c r="J29" i="1"/>
  <c r="P29" i="1" s="1"/>
  <c r="D29" i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R24" i="1"/>
  <c r="Q24" i="1"/>
  <c r="M24" i="1"/>
  <c r="L24" i="1"/>
  <c r="K24" i="1"/>
  <c r="E24" i="1" s="1"/>
  <c r="J24" i="1"/>
  <c r="D24" i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P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J14" i="1"/>
  <c r="D14" i="1" s="1"/>
  <c r="E14" i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P28" i="1" l="1"/>
  <c r="P24" i="1"/>
  <c r="P26" i="1"/>
  <c r="D35" i="1"/>
  <c r="D25" i="1"/>
  <c r="D19" i="1"/>
  <c r="D43" i="1"/>
  <c r="P14" i="1"/>
  <c r="D11" i="1"/>
  <c r="D34" i="1"/>
  <c r="D40" i="1"/>
  <c r="D32" i="1"/>
  <c r="D42" i="1"/>
  <c r="K71" i="1"/>
  <c r="E71" i="1" s="1"/>
  <c r="P16" i="1"/>
  <c r="Q71" i="1"/>
  <c r="D60" i="1"/>
  <c r="Q50" i="1"/>
  <c r="Q61" i="1"/>
  <c r="Q56" i="1"/>
  <c r="Q59" i="1"/>
  <c r="D10" i="1"/>
  <c r="D52" i="1"/>
  <c r="P54" i="1"/>
  <c r="D63" i="1"/>
  <c r="Q57" i="1"/>
  <c r="D74" i="1"/>
  <c r="D50" i="1"/>
  <c r="Q60" i="1"/>
  <c r="D45" i="1"/>
  <c r="Q55" i="1"/>
  <c r="D58" i="1"/>
  <c r="P70" i="1"/>
  <c r="Q53" i="1"/>
  <c r="D56" i="1"/>
  <c r="P64" i="1"/>
  <c r="P83" i="1"/>
  <c r="P13" i="1"/>
  <c r="D23" i="1"/>
  <c r="D37" i="1"/>
  <c r="P51" i="1"/>
  <c r="P62" i="1"/>
  <c r="P74" i="1"/>
  <c r="D61" i="1"/>
  <c r="D55" i="1"/>
  <c r="Q63" i="1"/>
  <c r="D70" i="1"/>
  <c r="K70" i="1"/>
  <c r="E70" i="1" s="1"/>
  <c r="D9" i="1"/>
  <c r="D12" i="1"/>
  <c r="D15" i="1"/>
  <c r="P21" i="1"/>
  <c r="P27" i="1"/>
  <c r="P33" i="1"/>
  <c r="P36" i="1"/>
  <c r="D84" i="1"/>
</calcChain>
</file>

<file path=xl/sharedStrings.xml><?xml version="1.0" encoding="utf-8"?>
<sst xmlns="http://schemas.openxmlformats.org/spreadsheetml/2006/main" count="266" uniqueCount="183">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</sst>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C502B23C-B43A-460E-BCE3-887745CB05BD}"/>
    <cellStyle name="Comma 5 2 2 2 2 2 2 2 2" xfId="5" xr:uid="{699C9F43-4729-4327-81D9-9AE7199843E6}"/>
    <cellStyle name="Comma 6 2 2 2" xfId="6" xr:uid="{A6E2EF44-B907-485A-99DE-7E4A163F3EA9}"/>
    <cellStyle name="Hyperlink 2" xfId="9" xr:uid="{A626E8CF-0236-403D-8431-5B2FBCA059D2}"/>
    <cellStyle name="Normal" xfId="0" builtinId="0"/>
    <cellStyle name="Normal 2" xfId="3" xr:uid="{17A6964B-B2C9-4BB3-A862-E3C6FE577D2C}"/>
    <cellStyle name="Normal 20" xfId="8" xr:uid="{1EDB5D4E-2B55-4FE5-AF90-7F5D5F141491}"/>
    <cellStyle name="Percent" xfId="2" builtinId="5"/>
    <cellStyle name="Percent 3" xfId="7" xr:uid="{DBE12A70-8B5A-46F9-83E2-0817DF84D559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E2402BE-7C8A-4E80-81CA-ED5DA712A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00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7</xdr:col>
      <xdr:colOff>10886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B61CFA3-9796-43B9-B11B-51CBFE9C1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198327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0A12-FF3C-45DB-A0CC-9D4A010495B2}">
  <dimension ref="A1:II106"/>
  <sheetViews>
    <sheetView tabSelected="1" zoomScale="70" zoomScaleNormal="70" workbookViewId="0">
      <selection activeCell="I84" sqref="I8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7.77734375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26.674499999999998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>C9*J9</f>
        <v>74653475.649028108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0.5923260042362557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2.5323892405063286E-2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4282494.7569937585</v>
      </c>
      <c r="E10" s="39">
        <f>C10*K10</f>
        <v>3626457.3458866673</v>
      </c>
      <c r="F10" s="40" t="s">
        <v>34</v>
      </c>
      <c r="G10" s="41">
        <v>3.1600000000000003E-2</v>
      </c>
      <c r="H10" s="42">
        <v>7.7507999999999994E-2</v>
      </c>
      <c r="I10" s="43">
        <v>7.0194000000000006E-2</v>
      </c>
      <c r="J10" s="44">
        <f>I10/$J$5</f>
        <v>2.6315019962885908E-3</v>
      </c>
      <c r="K10" s="45">
        <f>I10/$K$4</f>
        <v>2.2283809523809526E-3</v>
      </c>
      <c r="L10" s="46">
        <f>I10-H10</f>
        <v>-7.3139999999999872E-3</v>
      </c>
      <c r="M10" s="46">
        <f>((I10-H10)/H10)*100</f>
        <v>-9.4364452701656436</v>
      </c>
      <c r="N10" s="47">
        <v>17400</v>
      </c>
      <c r="O10" s="37">
        <v>1221.3800000000001</v>
      </c>
      <c r="P10" s="51">
        <f>(R10)/J10</f>
        <v>0</v>
      </c>
      <c r="Q10" s="49">
        <f>I10/G10-1</f>
        <v>1.2213291139240505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3604004.5354177211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8.2475772741757106E-3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146892509.5046955</v>
      </c>
      <c r="E12" s="39">
        <f>C12*K12</f>
        <v>124389976.02485715</v>
      </c>
      <c r="F12" s="40" t="s">
        <v>34</v>
      </c>
      <c r="G12" s="41">
        <v>97.381</v>
      </c>
      <c r="H12" s="42">
        <v>189.899</v>
      </c>
      <c r="I12" s="43">
        <v>189.899</v>
      </c>
      <c r="J12" s="44">
        <f>I12/$J$5</f>
        <v>7.1191212581304244</v>
      </c>
      <c r="K12" s="45">
        <f>I12/$K$4</f>
        <v>6.0285396825396829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0.95006212710898441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6221936.7560779024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0.7122907645879023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731511163.06258202</v>
      </c>
      <c r="E14" s="39">
        <f>C14*K14</f>
        <v>619450619.65437603</v>
      </c>
      <c r="F14" s="40" t="s">
        <v>47</v>
      </c>
      <c r="G14" s="41">
        <v>11.5</v>
      </c>
      <c r="H14" s="42">
        <v>37.333332999999996</v>
      </c>
      <c r="I14" s="43">
        <v>37.333332999999996</v>
      </c>
      <c r="J14" s="44">
        <f>I14/$J$5</f>
        <v>1.3995888582728824</v>
      </c>
      <c r="K14" s="45">
        <f>I14/$K$4</f>
        <v>1.1851851746031745</v>
      </c>
      <c r="L14" s="46">
        <f>I14-H14</f>
        <v>0</v>
      </c>
      <c r="M14" s="46">
        <f>((I14-H14)/H14)*100</f>
        <v>0</v>
      </c>
      <c r="N14" s="47">
        <v>0</v>
      </c>
      <c r="O14" s="37">
        <v>0</v>
      </c>
      <c r="P14" s="51">
        <f>(R14)/J14</f>
        <v>0</v>
      </c>
      <c r="Q14" s="49">
        <f>I14/G14-1</f>
        <v>2.2463767826086953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23852190.294101112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0.22493392565933759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80526538.379351079</v>
      </c>
      <c r="E16" s="39">
        <f>C16*K16</f>
        <v>68190639.619047612</v>
      </c>
      <c r="F16" s="40" t="s">
        <v>34</v>
      </c>
      <c r="G16" s="41">
        <v>1.9</v>
      </c>
      <c r="H16" s="42">
        <v>6.0011239999999999</v>
      </c>
      <c r="I16" s="43">
        <v>6</v>
      </c>
      <c r="J16" s="44">
        <f>I16/$J$5</f>
        <v>0.22493392565933759</v>
      </c>
      <c r="K16" s="45">
        <f>I16/$K$4</f>
        <v>0.19047619047619047</v>
      </c>
      <c r="L16" s="46">
        <f>I16-H16</f>
        <v>-1.1239999999999029E-3</v>
      </c>
      <c r="M16" s="46">
        <f>((I16-H16)/H16)*100</f>
        <v>-1.8729824612854239E-2</v>
      </c>
      <c r="N16" s="47">
        <v>1200</v>
      </c>
      <c r="O16" s="37">
        <v>7200</v>
      </c>
      <c r="P16" s="51">
        <f>(R16)/J16</f>
        <v>0</v>
      </c>
      <c r="Q16" s="49">
        <f>I16/G16-1</f>
        <v>2.1578947368421053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1614639621.6765754</v>
      </c>
      <c r="E17" s="39">
        <f>C17*K17</f>
        <v>1367292209.1559305</v>
      </c>
      <c r="F17" s="40" t="s">
        <v>34</v>
      </c>
      <c r="G17" s="41">
        <v>20.701700000000002</v>
      </c>
      <c r="H17" s="42">
        <v>31.726040999999999</v>
      </c>
      <c r="I17" s="43">
        <v>31.956437999999999</v>
      </c>
      <c r="J17" s="44">
        <f>I17/$J$5</f>
        <v>1.198014508238205</v>
      </c>
      <c r="K17" s="45">
        <f>I17/$K$4</f>
        <v>1.0144900952380953</v>
      </c>
      <c r="L17" s="46">
        <f>I17-H17</f>
        <v>0.23039699999999996</v>
      </c>
      <c r="M17" s="46">
        <f>((I17-H17)/H17)*100</f>
        <v>0.72620784925544279</v>
      </c>
      <c r="N17" s="47">
        <v>27200</v>
      </c>
      <c r="O17" s="37">
        <v>869215.1</v>
      </c>
      <c r="P17" s="48">
        <f>(R17)/J17</f>
        <v>4.1735721609523567E-2</v>
      </c>
      <c r="Q17" s="49">
        <f>I17/G17-1</f>
        <v>0.54366250114724846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274114836.81773728</v>
      </c>
      <c r="E19" s="39">
        <f>C19*K19</f>
        <v>232123054.43475342</v>
      </c>
      <c r="F19" s="40" t="s">
        <v>47</v>
      </c>
      <c r="G19" s="41">
        <v>12.45</v>
      </c>
      <c r="H19" s="42">
        <v>10.881578999999999</v>
      </c>
      <c r="I19" s="43">
        <v>10.881578999999999</v>
      </c>
      <c r="J19" s="44">
        <f>I19/$J$5</f>
        <v>0.4079393803070348</v>
      </c>
      <c r="K19" s="45">
        <f>I19/$K$4</f>
        <v>0.34544695238095235</v>
      </c>
      <c r="L19" s="46">
        <f>I19-H19</f>
        <v>0</v>
      </c>
      <c r="M19" s="46">
        <f>((I19-H19)/H19)*100</f>
        <v>0</v>
      </c>
      <c r="N19" s="47">
        <v>0</v>
      </c>
      <c r="O19" s="37">
        <v>0</v>
      </c>
      <c r="P19" s="51">
        <f>(R19)/J19</f>
        <v>0</v>
      </c>
      <c r="Q19" s="49">
        <f>I19/G19-1</f>
        <v>-0.12597759036144585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2858396.734709179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2.6242291326922716E-2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84047675.885583624</v>
      </c>
      <c r="E21" s="39">
        <f>C21*K21</f>
        <v>71172372.393968254</v>
      </c>
      <c r="F21" s="40" t="s">
        <v>47</v>
      </c>
      <c r="G21" s="41">
        <v>2.85</v>
      </c>
      <c r="H21" s="42">
        <v>3.25</v>
      </c>
      <c r="I21" s="43">
        <v>3.2485000000000004</v>
      </c>
      <c r="J21" s="44">
        <f>I21/$J$5</f>
        <v>0.12178297625072637</v>
      </c>
      <c r="K21" s="45">
        <f>I21/$K$4</f>
        <v>0.10312698412698414</v>
      </c>
      <c r="L21" s="46">
        <f>I21-H21</f>
        <v>-1.4999999999996128E-3</v>
      </c>
      <c r="M21" s="46">
        <f>((I21-H21)/H21)*100</f>
        <v>-4.6153846153834235E-2</v>
      </c>
      <c r="N21" s="47">
        <v>300</v>
      </c>
      <c r="O21" s="37">
        <v>974.55</v>
      </c>
      <c r="P21" s="51">
        <f>(R21)/J21</f>
        <v>0</v>
      </c>
      <c r="Q21" s="49">
        <f>I21/G21-1</f>
        <v>0.13982456140350896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2484346.2835479579</v>
      </c>
      <c r="E23" s="39">
        <f>C23*K23</f>
        <v>2103768.0933492063</v>
      </c>
      <c r="F23" s="40" t="s">
        <v>44</v>
      </c>
      <c r="G23" s="41">
        <v>0.1</v>
      </c>
      <c r="H23" s="42">
        <v>0.1235</v>
      </c>
      <c r="I23" s="43">
        <v>0.1235</v>
      </c>
      <c r="J23" s="44">
        <f>I23/$J$5</f>
        <v>4.6298899698213655E-3</v>
      </c>
      <c r="K23" s="45">
        <f>I23/$K$4</f>
        <v>3.9206349206349208E-3</v>
      </c>
      <c r="L23" s="46">
        <f>I23-H23</f>
        <v>0</v>
      </c>
      <c r="M23" s="46">
        <f>((I23-H23)/H23)*100</f>
        <v>0</v>
      </c>
      <c r="N23" s="47">
        <v>0</v>
      </c>
      <c r="O23" s="37">
        <v>0</v>
      </c>
      <c r="P23" s="51">
        <f>(R23)/J23</f>
        <v>0</v>
      </c>
      <c r="Q23" s="49">
        <f>I23/G23-1</f>
        <v>0.23499999999999988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79597600.85474892</v>
      </c>
      <c r="E24" s="39">
        <f>C24*K24</f>
        <v>67404006.476190478</v>
      </c>
      <c r="F24" s="40" t="s">
        <v>34</v>
      </c>
      <c r="G24" s="41">
        <v>8.1687659999999997</v>
      </c>
      <c r="H24" s="42">
        <v>12</v>
      </c>
      <c r="I24" s="43">
        <v>11</v>
      </c>
      <c r="J24" s="44">
        <f>I24/$J$5</f>
        <v>0.41237886370878557</v>
      </c>
      <c r="K24" s="45">
        <f>I24/$K$4</f>
        <v>0.34920634920634919</v>
      </c>
      <c r="L24" s="46">
        <f>I24-H24</f>
        <v>-1</v>
      </c>
      <c r="M24" s="46">
        <f>((I24-H24)/H24)*100</f>
        <v>-8.3333333333333321</v>
      </c>
      <c r="N24" s="47">
        <v>2700</v>
      </c>
      <c r="O24" s="37">
        <v>29700</v>
      </c>
      <c r="P24" s="48">
        <f>(R24)/J24</f>
        <v>3.6374318181818181E-2</v>
      </c>
      <c r="Q24" s="49">
        <f>I24/G24-1</f>
        <v>0.34659261876273595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120205050.40769275</v>
      </c>
      <c r="E25" s="39">
        <f>C25*K25</f>
        <v>101790781.49523808</v>
      </c>
      <c r="F25" s="40" t="s">
        <v>66</v>
      </c>
      <c r="G25" s="41">
        <v>1.6675</v>
      </c>
      <c r="H25" s="42">
        <v>1.9</v>
      </c>
      <c r="I25" s="43">
        <v>1.9</v>
      </c>
      <c r="J25" s="44">
        <f>I25/$J$5</f>
        <v>7.122907645879023E-2</v>
      </c>
      <c r="K25" s="45">
        <f>I25/$K$4</f>
        <v>6.0317460317460311E-2</v>
      </c>
      <c r="L25" s="46">
        <f>I25-H25</f>
        <v>0</v>
      </c>
      <c r="M25" s="46">
        <f>((I25-H25)/H25)*100</f>
        <v>0</v>
      </c>
      <c r="N25" s="47">
        <v>1600</v>
      </c>
      <c r="O25" s="37">
        <v>3040</v>
      </c>
      <c r="P25" s="51">
        <f>(R25)/J25</f>
        <v>0</v>
      </c>
      <c r="Q25" s="49">
        <f>I25/G25-1</f>
        <v>0.13943028485757125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24679648.887514293</v>
      </c>
      <c r="E26" s="39">
        <f>C26*K26</f>
        <v>20898961.72222222</v>
      </c>
      <c r="F26" s="40" t="s">
        <v>44</v>
      </c>
      <c r="G26" s="41">
        <v>1.7994999999999999</v>
      </c>
      <c r="H26" s="42">
        <v>2.75</v>
      </c>
      <c r="I26" s="43">
        <v>2.75</v>
      </c>
      <c r="J26" s="44">
        <f>I26/$J$5</f>
        <v>0.10309471592719639</v>
      </c>
      <c r="K26" s="45">
        <f>I26/$K$4</f>
        <v>8.7301587301587297E-2</v>
      </c>
      <c r="L26" s="46">
        <f>I26-H26</f>
        <v>0</v>
      </c>
      <c r="M26" s="46">
        <f>((I26-H26)/H26)*100</f>
        <v>0</v>
      </c>
      <c r="N26" s="47">
        <v>0</v>
      </c>
      <c r="O26" s="37">
        <v>0</v>
      </c>
      <c r="P26" s="51">
        <f>(R26)/J26</f>
        <v>0</v>
      </c>
      <c r="Q26" s="49">
        <f>I26/G26-1</f>
        <v>0.52820227841066969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24967363.084593903</v>
      </c>
      <c r="E27" s="39">
        <f>C27*K27</f>
        <v>21142600.844444443</v>
      </c>
      <c r="F27" s="40" t="s">
        <v>34</v>
      </c>
      <c r="G27" s="41">
        <v>3.1361369999999997</v>
      </c>
      <c r="H27" s="42">
        <v>2.5998000000000001</v>
      </c>
      <c r="I27" s="43">
        <v>2.6</v>
      </c>
      <c r="J27" s="44">
        <f>I27/$J$5</f>
        <v>9.7471367785712956E-2</v>
      </c>
      <c r="K27" s="45">
        <f>I27/$K$4</f>
        <v>8.2539682539682538E-2</v>
      </c>
      <c r="L27" s="46">
        <f>I27-H27</f>
        <v>1.9999999999997797E-4</v>
      </c>
      <c r="M27" s="46">
        <f>((I27-H27)/H27)*100</f>
        <v>7.6928994538032905E-3</v>
      </c>
      <c r="N27" s="47">
        <v>16300</v>
      </c>
      <c r="O27" s="37">
        <v>42380</v>
      </c>
      <c r="P27" s="51">
        <f>(R27)/J27</f>
        <v>0</v>
      </c>
      <c r="Q27" s="49">
        <f>I27/G27-1</f>
        <v>-0.17095458521104134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25495634.066243045</v>
      </c>
      <c r="E28" s="39">
        <f>C28*K28</f>
        <v>21589945.742857143</v>
      </c>
      <c r="F28" s="40" t="s">
        <v>44</v>
      </c>
      <c r="G28" s="41">
        <v>0.8</v>
      </c>
      <c r="H28" s="42">
        <v>0.9</v>
      </c>
      <c r="I28" s="43">
        <v>0.9</v>
      </c>
      <c r="J28" s="44">
        <f>I28/$J$5</f>
        <v>3.3740088848900639E-2</v>
      </c>
      <c r="K28" s="45">
        <f>I28/$K$4</f>
        <v>2.8571428571428571E-2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0.125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94289522.232844099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0.20993833061538172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13928869.092068831</v>
      </c>
      <c r="E32" s="39">
        <f>C32*K32</f>
        <v>11795099.00306</v>
      </c>
      <c r="F32" s="40" t="s">
        <v>39</v>
      </c>
      <c r="G32" s="41">
        <v>1.4</v>
      </c>
      <c r="H32" s="42">
        <v>1.4297569999999999</v>
      </c>
      <c r="I32" s="43">
        <v>1.4297569999999999</v>
      </c>
      <c r="J32" s="44">
        <f>I32/$J$5</f>
        <v>5.3600142458152922E-2</v>
      </c>
      <c r="K32" s="45">
        <f>I32/$K$4</f>
        <v>4.5389111111111109E-2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51">
        <f>(R32)/J32</f>
        <v>0</v>
      </c>
      <c r="Q32" s="49">
        <f>I32/G32-1</f>
        <v>2.1255000000000024E-2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3888547.0955406846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3.1865639468406155E-2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116942001.86507714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4.6861234512361995E-2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42701173.093031444</v>
      </c>
      <c r="E35" s="39">
        <f>C35*K35</f>
        <v>36159760.053017996</v>
      </c>
      <c r="F35" s="40" t="s">
        <v>34</v>
      </c>
      <c r="G35" s="41">
        <v>3.6056249999999999</v>
      </c>
      <c r="H35" s="42">
        <v>4.7428169999999996</v>
      </c>
      <c r="I35" s="43">
        <v>4.4933490000000003</v>
      </c>
      <c r="J35" s="44">
        <f>I35/$J$5</f>
        <v>0.16845110498790983</v>
      </c>
      <c r="K35" s="45">
        <f>I35/$K$4</f>
        <v>0.142646</v>
      </c>
      <c r="L35" s="46">
        <f>I35-H35</f>
        <v>-0.24946799999999936</v>
      </c>
      <c r="M35" s="46">
        <f>((I35-H35)/H35)*100</f>
        <v>-5.2599119890141104</v>
      </c>
      <c r="N35" s="47">
        <v>45700</v>
      </c>
      <c r="O35" s="37">
        <v>205346.05</v>
      </c>
      <c r="P35" s="51">
        <f>(R35)/J35</f>
        <v>0</v>
      </c>
      <c r="Q35" s="49">
        <f>I35/G35-1</f>
        <v>0.24620530421216857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8011815.9604941048</v>
      </c>
      <c r="E36" s="39">
        <f>C36*K36</f>
        <v>6784482.0583555549</v>
      </c>
      <c r="F36" s="40" t="s">
        <v>34</v>
      </c>
      <c r="G36" s="41">
        <v>2.5099999999999997E-2</v>
      </c>
      <c r="H36" s="42">
        <v>4.5999999999999999E-2</v>
      </c>
      <c r="I36" s="43">
        <v>4.5324999999999997E-2</v>
      </c>
      <c r="J36" s="44">
        <f>I36/$J$5</f>
        <v>1.6991883634182459E-3</v>
      </c>
      <c r="K36" s="45">
        <f>I36/$K$4</f>
        <v>1.4388888888888889E-3</v>
      </c>
      <c r="L36" s="46">
        <f>I36-H36</f>
        <v>-6.7500000000000199E-4</v>
      </c>
      <c r="M36" s="46">
        <f>((I36-H36)/H36)*100</f>
        <v>-1.4673913043478304</v>
      </c>
      <c r="N36" s="47">
        <v>400</v>
      </c>
      <c r="O36" s="37">
        <v>18.13</v>
      </c>
      <c r="P36" s="51">
        <f>(R36)/J36</f>
        <v>0</v>
      </c>
      <c r="Q36" s="49">
        <f>I36/G36-1</f>
        <v>0.80577689243027906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72825137.438508689</v>
      </c>
      <c r="E37" s="39">
        <f>C37*K37</f>
        <v>61669019.955666669</v>
      </c>
      <c r="F37" s="40" t="s">
        <v>93</v>
      </c>
      <c r="G37" s="41">
        <v>0.61</v>
      </c>
      <c r="H37" s="42">
        <v>3.7</v>
      </c>
      <c r="I37" s="43">
        <v>3.6995</v>
      </c>
      <c r="J37" s="44">
        <f>I37/$J$5</f>
        <v>0.13869050966278657</v>
      </c>
      <c r="K37" s="45">
        <f>I37/$K$4</f>
        <v>0.11744444444444445</v>
      </c>
      <c r="L37" s="46">
        <f>I37-H37</f>
        <v>-5.0000000000016698E-4</v>
      </c>
      <c r="M37" s="46">
        <f>((I37-H37)/H37)*100</f>
        <v>-1.3513513513518026E-2</v>
      </c>
      <c r="N37" s="47">
        <v>1000</v>
      </c>
      <c r="O37" s="37">
        <v>3699.5</v>
      </c>
      <c r="P37" s="51">
        <f>(R37)/J37</f>
        <v>0</v>
      </c>
      <c r="Q37" s="49">
        <f>I37/G37-1</f>
        <v>5.0647540983606563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47177618.275881462</v>
      </c>
      <c r="E38" s="39">
        <f>C38*K38</f>
        <v>39950456.466666661</v>
      </c>
      <c r="F38" s="40" t="s">
        <v>56</v>
      </c>
      <c r="G38" s="41">
        <v>0.11650199999999999</v>
      </c>
      <c r="H38" s="42">
        <v>0.29998799999999998</v>
      </c>
      <c r="I38" s="43">
        <v>0.3</v>
      </c>
      <c r="J38" s="44">
        <f>I38/$J$5</f>
        <v>1.124669628296688E-2</v>
      </c>
      <c r="K38" s="45">
        <f>I38/$K$4</f>
        <v>9.5238095238095229E-3</v>
      </c>
      <c r="L38" s="46">
        <f>I38-H38</f>
        <v>1.2000000000012001E-5</v>
      </c>
      <c r="M38" s="46">
        <f>((I38-H38)/H38)*100</f>
        <v>4.0001600064042565E-3</v>
      </c>
      <c r="N38" s="47">
        <v>45300</v>
      </c>
      <c r="O38" s="37">
        <v>13590</v>
      </c>
      <c r="P38" s="51">
        <v>0</v>
      </c>
      <c r="Q38" s="49">
        <f>I38/G38-1</f>
        <v>1.5750630890456816</v>
      </c>
      <c r="R38" s="50"/>
    </row>
    <row r="39" spans="1:18" x14ac:dyDescent="0.25">
      <c r="A39" s="35" t="s">
        <v>102</v>
      </c>
      <c r="B39" s="36" t="s">
        <v>103</v>
      </c>
      <c r="C39" s="37">
        <v>4315726499</v>
      </c>
      <c r="D39" s="38">
        <f>C39*J39</f>
        <v>20224027.156085402</v>
      </c>
      <c r="E39" s="39">
        <f>C39*K39</f>
        <v>17125898.805555556</v>
      </c>
      <c r="F39" s="40" t="s">
        <v>39</v>
      </c>
      <c r="G39" s="41">
        <v>0.1</v>
      </c>
      <c r="H39" s="42">
        <v>0.12</v>
      </c>
      <c r="I39" s="43">
        <v>0.125</v>
      </c>
      <c r="J39" s="44">
        <f>I39/$J$5</f>
        <v>4.6861234512361998E-3</v>
      </c>
      <c r="K39" s="45">
        <f>I39/$K$4</f>
        <v>3.968253968253968E-3</v>
      </c>
      <c r="L39" s="46">
        <f>I39-H39</f>
        <v>5.0000000000000044E-3</v>
      </c>
      <c r="M39" s="46">
        <f>((I39-H39)/H39)*100</f>
        <v>4.1666666666666705</v>
      </c>
      <c r="N39" s="47">
        <v>2300</v>
      </c>
      <c r="O39" s="37">
        <v>287.5</v>
      </c>
      <c r="P39" s="51">
        <f>(R39)/J39</f>
        <v>0</v>
      </c>
      <c r="Q39" s="49">
        <f>I39/G39-1</f>
        <v>0.25</v>
      </c>
      <c r="R39" s="50"/>
    </row>
    <row r="40" spans="1:18" x14ac:dyDescent="0.25">
      <c r="A40" s="35" t="s">
        <v>104</v>
      </c>
      <c r="B40" s="36" t="s">
        <v>105</v>
      </c>
      <c r="C40" s="37">
        <v>106474237</v>
      </c>
      <c r="D40" s="38">
        <f>C40*J40</f>
        <v>7983534.0490163276</v>
      </c>
      <c r="E40" s="39">
        <f>C40*K40</f>
        <v>6760532.6663646363</v>
      </c>
      <c r="F40" s="40" t="s">
        <v>44</v>
      </c>
      <c r="G40" s="41">
        <v>1.7452379999999998</v>
      </c>
      <c r="H40" s="42">
        <v>2.0000780000000002</v>
      </c>
      <c r="I40" s="43">
        <v>2.0000780000000002</v>
      </c>
      <c r="J40" s="44">
        <f>I40/$J$5</f>
        <v>7.4980899360812772E-2</v>
      </c>
      <c r="K40" s="45">
        <f>I40/$K$4</f>
        <v>6.3494539682539694E-2</v>
      </c>
      <c r="L40" s="46">
        <f>I40-H40</f>
        <v>0</v>
      </c>
      <c r="M40" s="46">
        <f>((I40-H40)/H40)*100</f>
        <v>0</v>
      </c>
      <c r="N40" s="47">
        <v>0</v>
      </c>
      <c r="O40" s="37">
        <v>0</v>
      </c>
      <c r="P40" s="51">
        <f>(R40)/J40</f>
        <v>0</v>
      </c>
      <c r="Q40" s="49">
        <f>I40/G40-1</f>
        <v>0.14602019896426754</v>
      </c>
      <c r="R40" s="50">
        <v>0</v>
      </c>
    </row>
    <row r="41" spans="1:18" x14ac:dyDescent="0.25">
      <c r="A41" s="35" t="s">
        <v>106</v>
      </c>
      <c r="B41" s="36" t="s">
        <v>107</v>
      </c>
      <c r="C41" s="37">
        <v>1778001428</v>
      </c>
      <c r="D41" s="38">
        <f>C41*J41</f>
        <v>4065983.8837841391</v>
      </c>
      <c r="E41" s="39">
        <f>C41*K41</f>
        <v>3443113.8764444441</v>
      </c>
      <c r="F41" s="40" t="s">
        <v>39</v>
      </c>
      <c r="G41" s="41">
        <v>0.03</v>
      </c>
      <c r="H41" s="42">
        <v>6.0999999999999999E-2</v>
      </c>
      <c r="I41" s="43">
        <v>6.0999999999999999E-2</v>
      </c>
      <c r="J41" s="44">
        <f>I41/$J$5</f>
        <v>2.2868282442032655E-3</v>
      </c>
      <c r="K41" s="45">
        <f>I41/$K$4</f>
        <v>1.9365079365079364E-3</v>
      </c>
      <c r="L41" s="46">
        <f>I41-H41</f>
        <v>0</v>
      </c>
      <c r="M41" s="46">
        <f>((I41-H41)/H41)*100</f>
        <v>0</v>
      </c>
      <c r="N41" s="47">
        <v>0</v>
      </c>
      <c r="O41" s="37">
        <v>0</v>
      </c>
      <c r="P41" s="51">
        <f>(R41)/J41</f>
        <v>0</v>
      </c>
      <c r="Q41" s="49">
        <f>I41/G41-1</f>
        <v>1.0333333333333332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175190642</v>
      </c>
      <c r="D42" s="38">
        <f>C42*J42</f>
        <v>39406318.843839623</v>
      </c>
      <c r="E42" s="39">
        <f>C42*K42</f>
        <v>33369646.095238093</v>
      </c>
      <c r="F42" s="40" t="s">
        <v>47</v>
      </c>
      <c r="G42" s="41">
        <v>4.5</v>
      </c>
      <c r="H42" s="42">
        <v>6</v>
      </c>
      <c r="I42" s="43">
        <v>6</v>
      </c>
      <c r="J42" s="44">
        <f>I42/$J$5</f>
        <v>0.22493392565933759</v>
      </c>
      <c r="K42" s="45">
        <f>I42/$K$4</f>
        <v>0.19047619047619047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0.33333333333333326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463337661</v>
      </c>
      <c r="D43" s="38">
        <f>C43*J43</f>
        <v>312.66107698363612</v>
      </c>
      <c r="E43" s="39">
        <f>C43*K43</f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>I43/$J$5</f>
        <v>6.7480177697801279E-7</v>
      </c>
      <c r="K43" s="45">
        <f>I43/$K$4</f>
        <v>5.7142857142857149E-7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576000000</v>
      </c>
      <c r="D44" s="38">
        <f>C44*J44</f>
        <v>1520193.4431760672</v>
      </c>
      <c r="E44" s="39">
        <f>C44*K44</f>
        <v>1287314.2857142859</v>
      </c>
      <c r="F44" s="40" t="s">
        <v>56</v>
      </c>
      <c r="G44" s="41">
        <v>7.0000000000000007E-2</v>
      </c>
      <c r="H44" s="42">
        <v>7.0400000000000004E-2</v>
      </c>
      <c r="I44" s="43">
        <v>7.0400000000000004E-2</v>
      </c>
      <c r="J44" s="44">
        <f>I44/$J$5</f>
        <v>2.639224727736228E-3</v>
      </c>
      <c r="K44" s="45">
        <f>I44/$K$4</f>
        <v>2.2349206349206352E-3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5.7142857142857828E-3</v>
      </c>
      <c r="R44" s="50"/>
    </row>
    <row r="45" spans="1:18" x14ac:dyDescent="0.25">
      <c r="A45" s="35" t="s">
        <v>114</v>
      </c>
      <c r="B45" s="36" t="s">
        <v>115</v>
      </c>
      <c r="C45" s="37">
        <v>1818218786</v>
      </c>
      <c r="D45" s="38">
        <f>C45*J45</f>
        <v>71571340.617443636</v>
      </c>
      <c r="E45" s="39">
        <f>C45*K45</f>
        <v>60607292.866666667</v>
      </c>
      <c r="F45" s="40" t="s">
        <v>47</v>
      </c>
      <c r="G45" s="41">
        <v>0.9998999999999999</v>
      </c>
      <c r="H45" s="42">
        <v>1.05</v>
      </c>
      <c r="I45" s="43">
        <v>1.05</v>
      </c>
      <c r="J45" s="44">
        <f>I45/$J$5</f>
        <v>3.9363436990384082E-2</v>
      </c>
      <c r="K45" s="45">
        <f>I45/$K$4</f>
        <v>3.3333333333333333E-2</v>
      </c>
      <c r="L45" s="46">
        <f>I45-H45</f>
        <v>0</v>
      </c>
      <c r="M45" s="46">
        <f>((I45-H45)/H45)*100</f>
        <v>0</v>
      </c>
      <c r="N45" s="47">
        <v>37400</v>
      </c>
      <c r="O45" s="37">
        <v>39270</v>
      </c>
      <c r="P45" s="51">
        <f>(R45)/J45</f>
        <v>0</v>
      </c>
      <c r="Q45" s="49">
        <f>I45/G45-1</f>
        <v>5.0105010501050318E-2</v>
      </c>
      <c r="R45" s="50">
        <v>0</v>
      </c>
    </row>
    <row r="46" spans="1:18" x14ac:dyDescent="0.25">
      <c r="A46" s="35" t="s">
        <v>116</v>
      </c>
      <c r="B46" s="36" t="s">
        <v>117</v>
      </c>
      <c r="C46" s="37">
        <v>102712520</v>
      </c>
      <c r="D46" s="38">
        <f>C46*J46</f>
        <v>5814388.468387411</v>
      </c>
      <c r="E46" s="39">
        <f>C46*K46</f>
        <v>4923679.5301587302</v>
      </c>
      <c r="F46" s="40" t="s">
        <v>47</v>
      </c>
      <c r="G46" s="41">
        <v>1.4503460000000001</v>
      </c>
      <c r="H46" s="42">
        <v>1.51</v>
      </c>
      <c r="I46" s="43">
        <v>1.51</v>
      </c>
      <c r="J46" s="44">
        <f>I46/$J$5</f>
        <v>5.6608371290933289E-2</v>
      </c>
      <c r="K46" s="45">
        <f>I46/$K$4</f>
        <v>4.7936507936507937E-2</v>
      </c>
      <c r="L46" s="46">
        <f>I46-H46</f>
        <v>0</v>
      </c>
      <c r="M46" s="46">
        <f>((I46-H46)/H46)*100</f>
        <v>0</v>
      </c>
      <c r="N46" s="47">
        <v>0</v>
      </c>
      <c r="O46" s="37">
        <v>0</v>
      </c>
      <c r="P46" s="51">
        <v>0</v>
      </c>
      <c r="Q46" s="49">
        <f>I46/G46-1</f>
        <v>4.1130874977419074E-2</v>
      </c>
      <c r="R46" s="50"/>
    </row>
    <row r="47" spans="1:18" ht="13.8" thickBot="1" x14ac:dyDescent="0.4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198800</v>
      </c>
      <c r="O47" s="61">
        <f>SUM(O9:O46)</f>
        <v>1215942.21</v>
      </c>
      <c r="P47" s="62"/>
      <c r="Q47" s="63"/>
    </row>
    <row r="48" spans="1:18" ht="13.2" x14ac:dyDescent="0.35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6" x14ac:dyDescent="0.3">
      <c r="A49" s="130" t="s">
        <v>118</v>
      </c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>C50*J50</f>
        <v>82128205.583999991</v>
      </c>
      <c r="E50" s="39">
        <v>0</v>
      </c>
      <c r="F50" s="40" t="s">
        <v>93</v>
      </c>
      <c r="G50" s="70">
        <v>0.1</v>
      </c>
      <c r="H50" s="42">
        <v>0.13009999999999999</v>
      </c>
      <c r="I50" s="42">
        <v>0.14799999999999999</v>
      </c>
      <c r="J50" s="44">
        <f>I50</f>
        <v>0.14799999999999999</v>
      </c>
      <c r="K50" s="39">
        <v>0</v>
      </c>
      <c r="L50" s="46">
        <f>I50-H50</f>
        <v>1.7899999999999999E-2</v>
      </c>
      <c r="M50" s="46">
        <f>((I50-H50)/H50)*100</f>
        <v>13.758647194465794</v>
      </c>
      <c r="N50" s="47">
        <v>13045</v>
      </c>
      <c r="O50" s="37">
        <v>1930.66</v>
      </c>
      <c r="P50" s="71">
        <f>(R50)/J50</f>
        <v>0</v>
      </c>
      <c r="Q50" s="49">
        <f>J50/G50-1</f>
        <v>0.47999999999999976</v>
      </c>
      <c r="T50" s="52"/>
    </row>
    <row r="51" spans="1:20" x14ac:dyDescent="0.25">
      <c r="A51" s="35" t="s">
        <v>121</v>
      </c>
      <c r="B51" s="36" t="s">
        <v>122</v>
      </c>
      <c r="C51" s="40">
        <v>1057685</v>
      </c>
      <c r="D51" s="38">
        <f>C51*J51</f>
        <v>53941935</v>
      </c>
      <c r="E51" s="39">
        <v>0</v>
      </c>
      <c r="F51" s="40" t="s">
        <v>39</v>
      </c>
      <c r="G51" s="70">
        <v>39.9</v>
      </c>
      <c r="H51" s="42">
        <v>51</v>
      </c>
      <c r="I51" s="42">
        <v>51</v>
      </c>
      <c r="J51" s="44">
        <f>I51</f>
        <v>51</v>
      </c>
      <c r="K51" s="39">
        <v>0</v>
      </c>
      <c r="L51" s="46">
        <f>I51-H51</f>
        <v>0</v>
      </c>
      <c r="M51" s="46">
        <f>((I51-H51)/H51)*100</f>
        <v>0</v>
      </c>
      <c r="N51" s="47">
        <v>0</v>
      </c>
      <c r="O51" s="37">
        <v>0</v>
      </c>
      <c r="P51" s="72">
        <f>(R51)/J51</f>
        <v>1.0980392156862745E-2</v>
      </c>
      <c r="Q51" s="49">
        <f>J51/G51-1</f>
        <v>0.27819548872180455</v>
      </c>
      <c r="R51" s="52">
        <v>0.56000000000000005</v>
      </c>
      <c r="T51" s="52"/>
    </row>
    <row r="52" spans="1:20" x14ac:dyDescent="0.25">
      <c r="A52" s="35" t="s">
        <v>123</v>
      </c>
      <c r="B52" s="36" t="s">
        <v>124</v>
      </c>
      <c r="C52" s="40">
        <v>2992163203</v>
      </c>
      <c r="D52" s="38">
        <f>C52*J52</f>
        <v>712434058.63429999</v>
      </c>
      <c r="E52" s="39"/>
      <c r="F52" s="40" t="s">
        <v>56</v>
      </c>
      <c r="G52" s="70">
        <v>0.33</v>
      </c>
      <c r="H52" s="42">
        <v>0.23810000000000001</v>
      </c>
      <c r="I52" s="42">
        <v>0.23810000000000001</v>
      </c>
      <c r="J52" s="44">
        <f>I52</f>
        <v>0.23810000000000001</v>
      </c>
      <c r="K52" s="39">
        <v>0</v>
      </c>
      <c r="L52" s="46">
        <f>I52-H52</f>
        <v>0</v>
      </c>
      <c r="M52" s="46">
        <f>((I52-H52)/H52)*100</f>
        <v>0</v>
      </c>
      <c r="N52" s="47">
        <v>42360</v>
      </c>
      <c r="O52" s="37">
        <v>10087.620000000001</v>
      </c>
      <c r="P52" s="71">
        <v>0</v>
      </c>
      <c r="Q52" s="49">
        <f>J52/G52-1</f>
        <v>-0.27848484848484845</v>
      </c>
      <c r="R52" s="52"/>
      <c r="T52" s="52"/>
    </row>
    <row r="53" spans="1:20" x14ac:dyDescent="0.25">
      <c r="A53" s="35" t="s">
        <v>125</v>
      </c>
      <c r="B53" s="36" t="s">
        <v>126</v>
      </c>
      <c r="C53" s="40">
        <v>609740943</v>
      </c>
      <c r="D53" s="38">
        <f>C53*J53</f>
        <v>16341057.272400001</v>
      </c>
      <c r="E53" s="39">
        <v>0</v>
      </c>
      <c r="F53" s="40" t="s">
        <v>34</v>
      </c>
      <c r="G53" s="70">
        <v>2.3E-2</v>
      </c>
      <c r="H53" s="42">
        <v>2.6800000000000001E-2</v>
      </c>
      <c r="I53" s="42">
        <v>2.6800000000000001E-2</v>
      </c>
      <c r="J53" s="44">
        <f>I53</f>
        <v>2.6800000000000001E-2</v>
      </c>
      <c r="K53" s="39">
        <v>0</v>
      </c>
      <c r="L53" s="46">
        <f>I53-H53</f>
        <v>0</v>
      </c>
      <c r="M53" s="46">
        <f>((I53-H53)/H53)*100</f>
        <v>0</v>
      </c>
      <c r="N53" s="47">
        <v>0</v>
      </c>
      <c r="O53" s="37">
        <v>0</v>
      </c>
      <c r="P53" s="71">
        <f>(R53)/J53</f>
        <v>0</v>
      </c>
      <c r="Q53" s="49">
        <f>J53/G53-1</f>
        <v>0.16521739130434798</v>
      </c>
      <c r="T53" s="52"/>
    </row>
    <row r="54" spans="1:20" x14ac:dyDescent="0.25">
      <c r="A54" s="35" t="s">
        <v>127</v>
      </c>
      <c r="B54" s="36" t="s">
        <v>128</v>
      </c>
      <c r="C54" s="40">
        <v>2162695929</v>
      </c>
      <c r="D54" s="38">
        <f>C54*J54</f>
        <v>289801254.486</v>
      </c>
      <c r="E54" s="39">
        <v>0</v>
      </c>
      <c r="F54" s="40" t="s">
        <v>47</v>
      </c>
      <c r="G54" s="70">
        <v>9.0200000000000002E-2</v>
      </c>
      <c r="H54" s="42">
        <v>0.1386</v>
      </c>
      <c r="I54" s="42">
        <v>0.13400000000000001</v>
      </c>
      <c r="J54" s="44">
        <f>I54</f>
        <v>0.13400000000000001</v>
      </c>
      <c r="K54" s="39">
        <v>0</v>
      </c>
      <c r="L54" s="46">
        <f>I54-H54</f>
        <v>-4.599999999999993E-3</v>
      </c>
      <c r="M54" s="73">
        <f>((I54-H54)/H54)*100</f>
        <v>-3.3189033189033137</v>
      </c>
      <c r="N54" s="47">
        <v>66718</v>
      </c>
      <c r="O54" s="37">
        <v>8938.4699999999993</v>
      </c>
      <c r="P54" s="71">
        <f>(R54)/J54</f>
        <v>0</v>
      </c>
      <c r="Q54" s="49">
        <f>J54/G54-1</f>
        <v>0.48558758314855877</v>
      </c>
      <c r="R54" s="52"/>
      <c r="T54" s="52"/>
    </row>
    <row r="55" spans="1:20" x14ac:dyDescent="0.25">
      <c r="A55" s="35" t="s">
        <v>129</v>
      </c>
      <c r="B55" s="36" t="s">
        <v>130</v>
      </c>
      <c r="C55" s="40">
        <v>575926450</v>
      </c>
      <c r="D55" s="38">
        <f>C55*J55</f>
        <v>833307980.505</v>
      </c>
      <c r="E55" s="39">
        <v>0</v>
      </c>
      <c r="F55" s="40" t="s">
        <v>34</v>
      </c>
      <c r="G55" s="70">
        <v>0.95750000000000002</v>
      </c>
      <c r="H55" s="42">
        <v>1.4302999999999999</v>
      </c>
      <c r="I55" s="42">
        <v>1.4469000000000001</v>
      </c>
      <c r="J55" s="44">
        <f>I55</f>
        <v>1.4469000000000001</v>
      </c>
      <c r="K55" s="39">
        <v>0</v>
      </c>
      <c r="L55" s="46">
        <f>I55-H55</f>
        <v>1.660000000000017E-2</v>
      </c>
      <c r="M55" s="46">
        <f>((I55-H55)/H55)*100</f>
        <v>1.160595679228146</v>
      </c>
      <c r="N55" s="47">
        <v>1477</v>
      </c>
      <c r="O55" s="37">
        <v>2137.0300000000002</v>
      </c>
      <c r="P55" s="72">
        <f>(R55)/J55</f>
        <v>3.2483240030409838E-2</v>
      </c>
      <c r="Q55" s="49">
        <f>J55/G55-1</f>
        <v>0.51112271540469978</v>
      </c>
      <c r="R55" s="52">
        <v>4.7E-2</v>
      </c>
      <c r="T55" s="52"/>
    </row>
    <row r="56" spans="1:20" x14ac:dyDescent="0.25">
      <c r="A56" s="35" t="s">
        <v>131</v>
      </c>
      <c r="B56" s="36" t="s">
        <v>132</v>
      </c>
      <c r="C56" s="40">
        <v>164208222</v>
      </c>
      <c r="D56" s="38">
        <f>C56*J56</f>
        <v>21872535.170400001</v>
      </c>
      <c r="E56" s="39">
        <v>0</v>
      </c>
      <c r="F56" s="40" t="s">
        <v>34</v>
      </c>
      <c r="G56" s="70">
        <v>0.1595</v>
      </c>
      <c r="H56" s="42">
        <v>0.13</v>
      </c>
      <c r="I56" s="42">
        <v>0.13320000000000001</v>
      </c>
      <c r="J56" s="44">
        <f>I56</f>
        <v>0.13320000000000001</v>
      </c>
      <c r="K56" s="39">
        <v>0</v>
      </c>
      <c r="L56" s="46">
        <f>I56-H56</f>
        <v>3.2000000000000084E-3</v>
      </c>
      <c r="M56" s="46">
        <f>((I56-H56)/H56)*100</f>
        <v>2.4615384615384679</v>
      </c>
      <c r="N56" s="47">
        <v>3110</v>
      </c>
      <c r="O56" s="37">
        <v>414.1</v>
      </c>
      <c r="P56" s="71">
        <f>(R56)/J56</f>
        <v>0</v>
      </c>
      <c r="Q56" s="49">
        <f>J56/G56-1</f>
        <v>-0.16489028213166135</v>
      </c>
      <c r="T56" s="52"/>
    </row>
    <row r="57" spans="1:20" x14ac:dyDescent="0.25">
      <c r="A57" s="35" t="s">
        <v>133</v>
      </c>
      <c r="B57" s="36" t="s">
        <v>134</v>
      </c>
      <c r="C57" s="40">
        <v>953802800</v>
      </c>
      <c r="D57" s="38">
        <f>C57*J57</f>
        <v>19076056</v>
      </c>
      <c r="E57" s="39">
        <v>0</v>
      </c>
      <c r="F57" s="40" t="s">
        <v>93</v>
      </c>
      <c r="G57" s="70">
        <v>1.6799999999999999E-2</v>
      </c>
      <c r="H57" s="42">
        <v>2.1000000000000001E-2</v>
      </c>
      <c r="I57" s="42">
        <v>0.02</v>
      </c>
      <c r="J57" s="44">
        <f>I57</f>
        <v>0.02</v>
      </c>
      <c r="K57" s="39">
        <v>0</v>
      </c>
      <c r="L57" s="46">
        <f>I57-H57</f>
        <v>-1.0000000000000009E-3</v>
      </c>
      <c r="M57" s="73">
        <f>((I57-H57)/H57)*100</f>
        <v>-4.7619047619047654</v>
      </c>
      <c r="N57" s="47">
        <v>142989</v>
      </c>
      <c r="O57" s="37">
        <v>2863.93</v>
      </c>
      <c r="P57" s="71">
        <f>(R57)/J57</f>
        <v>0</v>
      </c>
      <c r="Q57" s="49">
        <f>J57/G57-1</f>
        <v>0.19047619047619047</v>
      </c>
      <c r="T57" s="52"/>
    </row>
    <row r="58" spans="1:20" x14ac:dyDescent="0.25">
      <c r="A58" s="35" t="s">
        <v>135</v>
      </c>
      <c r="B58" s="36" t="s">
        <v>136</v>
      </c>
      <c r="C58" s="40">
        <v>161273</v>
      </c>
      <c r="D58" s="38">
        <f>C58*J58</f>
        <v>2467476.9</v>
      </c>
      <c r="E58" s="39">
        <v>0</v>
      </c>
      <c r="F58" s="40" t="s">
        <v>137</v>
      </c>
      <c r="G58" s="70">
        <v>19.5</v>
      </c>
      <c r="H58" s="42">
        <v>17.801300000000001</v>
      </c>
      <c r="I58" s="42">
        <v>15.3</v>
      </c>
      <c r="J58" s="44">
        <f>I58</f>
        <v>15.3</v>
      </c>
      <c r="K58" s="39">
        <v>0</v>
      </c>
      <c r="L58" s="46">
        <f>I58-H58</f>
        <v>-2.5013000000000005</v>
      </c>
      <c r="M58" s="46">
        <f>((I58-H58)/H58)*100</f>
        <v>-14.051220978243165</v>
      </c>
      <c r="N58" s="47">
        <v>12</v>
      </c>
      <c r="O58" s="37">
        <v>183.6</v>
      </c>
      <c r="P58" s="71">
        <f>(R58)/J58</f>
        <v>0</v>
      </c>
      <c r="Q58" s="49">
        <f>J58/G58-1</f>
        <v>-0.2153846153846154</v>
      </c>
      <c r="T58" s="52"/>
    </row>
    <row r="59" spans="1:20" x14ac:dyDescent="0.25">
      <c r="A59" s="35" t="s">
        <v>138</v>
      </c>
      <c r="B59" s="36" t="s">
        <v>139</v>
      </c>
      <c r="C59" s="40">
        <v>805090451</v>
      </c>
      <c r="D59" s="38">
        <f>C59*J59</f>
        <v>1038405663.6998</v>
      </c>
      <c r="E59" s="39">
        <v>0</v>
      </c>
      <c r="F59" s="40" t="s">
        <v>93</v>
      </c>
      <c r="G59" s="70">
        <v>0.59499999999999997</v>
      </c>
      <c r="H59" s="42">
        <v>1.2125999999999999</v>
      </c>
      <c r="I59" s="42">
        <v>1.2898000000000001</v>
      </c>
      <c r="J59" s="44">
        <f>I59</f>
        <v>1.2898000000000001</v>
      </c>
      <c r="K59" s="39">
        <v>0</v>
      </c>
      <c r="L59" s="46">
        <f>I59-H59</f>
        <v>7.7200000000000157E-2</v>
      </c>
      <c r="M59" s="46">
        <f>((I59-H59)/H59)*100</f>
        <v>6.3664852383308723</v>
      </c>
      <c r="N59" s="47">
        <v>194374</v>
      </c>
      <c r="O59" s="37">
        <v>250711.46</v>
      </c>
      <c r="P59" s="71">
        <f>(R59)/J59</f>
        <v>0</v>
      </c>
      <c r="Q59" s="49">
        <f>J59/G59-1</f>
        <v>1.1677310924369748</v>
      </c>
      <c r="R59" s="52"/>
      <c r="T59" s="52"/>
    </row>
    <row r="60" spans="1:20" x14ac:dyDescent="0.25">
      <c r="A60" s="35" t="s">
        <v>140</v>
      </c>
      <c r="B60" s="36" t="s">
        <v>141</v>
      </c>
      <c r="C60" s="40">
        <v>260714518</v>
      </c>
      <c r="D60" s="38">
        <f>C60*J60</f>
        <v>95030441.811000004</v>
      </c>
      <c r="E60" s="39">
        <v>0</v>
      </c>
      <c r="F60" s="40" t="s">
        <v>34</v>
      </c>
      <c r="G60" s="70">
        <v>0.22600000000000001</v>
      </c>
      <c r="H60" s="42">
        <v>0.36449999999999999</v>
      </c>
      <c r="I60" s="42">
        <v>0.36449999999999999</v>
      </c>
      <c r="J60" s="44">
        <f>I60</f>
        <v>0.36449999999999999</v>
      </c>
      <c r="K60" s="39">
        <v>0</v>
      </c>
      <c r="L60" s="46">
        <f>I60-H60</f>
        <v>0</v>
      </c>
      <c r="M60" s="46">
        <f>((I60-H60)/H60)*100</f>
        <v>0</v>
      </c>
      <c r="N60" s="47">
        <v>0</v>
      </c>
      <c r="O60" s="37">
        <v>0</v>
      </c>
      <c r="P60" s="71">
        <f>(R60)/J60</f>
        <v>0</v>
      </c>
      <c r="Q60" s="49">
        <f>J60/G60-1</f>
        <v>0.61283185840707954</v>
      </c>
      <c r="T60" s="52"/>
    </row>
    <row r="61" spans="1:20" x14ac:dyDescent="0.25">
      <c r="A61" s="35" t="s">
        <v>142</v>
      </c>
      <c r="B61" s="36" t="s">
        <v>143</v>
      </c>
      <c r="C61" s="40">
        <v>562184788</v>
      </c>
      <c r="D61" s="38">
        <f>C61*J61</f>
        <v>387064226.53799999</v>
      </c>
      <c r="E61" s="39">
        <v>0</v>
      </c>
      <c r="F61" s="40" t="s">
        <v>34</v>
      </c>
      <c r="G61" s="70">
        <v>0.49440000000000001</v>
      </c>
      <c r="H61" s="42">
        <v>0.6915</v>
      </c>
      <c r="I61" s="42">
        <v>0.6885</v>
      </c>
      <c r="J61" s="44">
        <f>I61</f>
        <v>0.6885</v>
      </c>
      <c r="K61" s="39">
        <v>0</v>
      </c>
      <c r="L61" s="46">
        <f>I61-H61</f>
        <v>-3.0000000000000027E-3</v>
      </c>
      <c r="M61" s="46">
        <f>((I61-H61)/H61)*100</f>
        <v>-0.43383947939262507</v>
      </c>
      <c r="N61" s="47">
        <v>14284</v>
      </c>
      <c r="O61" s="37">
        <v>9834.2800000000007</v>
      </c>
      <c r="P61" s="71">
        <f>(R61)/J61</f>
        <v>0</v>
      </c>
      <c r="Q61" s="49">
        <f>J61/G61-1</f>
        <v>0.39259708737864085</v>
      </c>
      <c r="R61" s="52"/>
      <c r="T61" s="52"/>
    </row>
    <row r="62" spans="1:20" x14ac:dyDescent="0.25">
      <c r="A62" s="35" t="s">
        <v>144</v>
      </c>
      <c r="B62" s="36" t="s">
        <v>145</v>
      </c>
      <c r="C62" s="40">
        <v>364526035</v>
      </c>
      <c r="D62" s="38">
        <f>C62*J62</f>
        <v>80414443.320999995</v>
      </c>
      <c r="E62" s="39">
        <v>0</v>
      </c>
      <c r="F62" s="40" t="s">
        <v>34</v>
      </c>
      <c r="G62" s="70">
        <v>0.25950000000000001</v>
      </c>
      <c r="H62" s="42">
        <v>0.27310000000000001</v>
      </c>
      <c r="I62" s="42">
        <v>0.22059999999999999</v>
      </c>
      <c r="J62" s="44">
        <f>I62</f>
        <v>0.22059999999999999</v>
      </c>
      <c r="K62" s="39">
        <v>0</v>
      </c>
      <c r="L62" s="46">
        <f>I62-H62</f>
        <v>-5.2500000000000019E-2</v>
      </c>
      <c r="M62" s="46">
        <f>((I62-H62)/H62)*100</f>
        <v>-19.223727572317838</v>
      </c>
      <c r="N62" s="47">
        <v>101050</v>
      </c>
      <c r="O62" s="37">
        <v>22293.85</v>
      </c>
      <c r="P62" s="71">
        <f>(R62)/J62</f>
        <v>0</v>
      </c>
      <c r="Q62" s="49">
        <f>J62/G62-1</f>
        <v>-0.1499036608863199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>C64*J64</f>
        <v>35422873.9608</v>
      </c>
      <c r="E64" s="39">
        <v>0</v>
      </c>
      <c r="F64" s="40" t="s">
        <v>44</v>
      </c>
      <c r="G64" s="70">
        <v>4.2999999999999997E-2</v>
      </c>
      <c r="H64" s="42">
        <v>0.12759999999999999</v>
      </c>
      <c r="I64" s="42">
        <v>0.1028</v>
      </c>
      <c r="J64" s="44">
        <f>I64</f>
        <v>0.1028</v>
      </c>
      <c r="K64" s="39">
        <v>0</v>
      </c>
      <c r="L64" s="46">
        <f>I64-H64</f>
        <v>-2.4799999999999989E-2</v>
      </c>
      <c r="M64" s="46">
        <f>((I64-H64)/H64)*100</f>
        <v>-19.43573667711598</v>
      </c>
      <c r="N64" s="47">
        <v>1174</v>
      </c>
      <c r="O64" s="37">
        <v>120.64</v>
      </c>
      <c r="P64" s="71">
        <f>(R64)/J64</f>
        <v>0</v>
      </c>
      <c r="Q64" s="49">
        <f>J64/G64-1</f>
        <v>1.3906976744186048</v>
      </c>
      <c r="T64" s="52"/>
    </row>
    <row r="65" spans="1:20" ht="13.2" x14ac:dyDescent="0.35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580593</v>
      </c>
      <c r="O65" s="62">
        <f>SUM(O50:O64)</f>
        <v>309515.64</v>
      </c>
      <c r="P65" s="77"/>
      <c r="Q65" s="63"/>
    </row>
    <row r="66" spans="1:20" ht="12.6" hidden="1" x14ac:dyDescent="0.3">
      <c r="A66" s="134" t="s">
        <v>150</v>
      </c>
      <c r="B66" s="135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7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4" t="s">
        <v>154</v>
      </c>
      <c r="B69" s="135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7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157</v>
      </c>
      <c r="G70" s="89">
        <v>0.24</v>
      </c>
      <c r="H70" s="90">
        <v>0.36049999999999999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-5.0000000000000044E-4</v>
      </c>
      <c r="M70" s="46">
        <f>((I70-H70)/H70)*100</f>
        <v>-0.1386962552011097</v>
      </c>
      <c r="N70" s="92">
        <v>548</v>
      </c>
      <c r="O70" s="93">
        <v>197.28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70325681.099999994</v>
      </c>
      <c r="E71" s="39">
        <f>C71*K71</f>
        <v>70325681.099999994</v>
      </c>
      <c r="F71" s="89" t="s">
        <v>157</v>
      </c>
      <c r="G71" s="89">
        <v>0.1</v>
      </c>
      <c r="H71" s="90">
        <v>0.1497</v>
      </c>
      <c r="I71" s="90">
        <v>0.1492</v>
      </c>
      <c r="J71" s="91">
        <f>I71</f>
        <v>0.1492</v>
      </c>
      <c r="K71" s="91">
        <f>J71</f>
        <v>0.1492</v>
      </c>
      <c r="L71" s="46">
        <f>I71-H71</f>
        <v>-5.0000000000000044E-4</v>
      </c>
      <c r="M71" s="46">
        <f>((I71-H71)/H71)*100</f>
        <v>-0.33400133600534432</v>
      </c>
      <c r="N71" s="47">
        <v>8824</v>
      </c>
      <c r="O71" s="93">
        <v>1316.21</v>
      </c>
      <c r="P71" s="94">
        <f>(R71)/J71</f>
        <v>2.5415549597855226E-2</v>
      </c>
      <c r="Q71" s="49">
        <f>J71/G71-1</f>
        <v>0.49199999999999999</v>
      </c>
      <c r="R71" s="5">
        <v>3.7919999999999998E-3</v>
      </c>
      <c r="T71" s="52"/>
    </row>
    <row r="72" spans="1:20" ht="13.8" thickBot="1" x14ac:dyDescent="0.4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9372</v>
      </c>
      <c r="O72" s="62">
        <f>SUM(O70:O71)</f>
        <v>1513.49</v>
      </c>
      <c r="P72" s="87"/>
      <c r="Q72" s="63"/>
    </row>
    <row r="73" spans="1:20" ht="12.6" x14ac:dyDescent="0.3">
      <c r="A73" s="134" t="s">
        <v>160</v>
      </c>
      <c r="B73" s="135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7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2700314.4415000002</v>
      </c>
      <c r="E74" s="39">
        <f>C74*K74</f>
        <v>2700314.4415000002</v>
      </c>
      <c r="F74" s="89" t="s">
        <v>137</v>
      </c>
      <c r="G74" s="89">
        <v>0.1394</v>
      </c>
      <c r="H74" s="90">
        <v>0.1381</v>
      </c>
      <c r="I74" s="90">
        <v>0.12970000000000001</v>
      </c>
      <c r="J74" s="91">
        <f>I74</f>
        <v>0.12970000000000001</v>
      </c>
      <c r="K74" s="91">
        <f>J74</f>
        <v>0.12970000000000001</v>
      </c>
      <c r="L74" s="46">
        <f>I74-H74</f>
        <v>-8.3999999999999908E-3</v>
      </c>
      <c r="M74" s="46">
        <f>((I74-H74)/H74)*100</f>
        <v>-6.0825488776249026</v>
      </c>
      <c r="N74" s="92">
        <v>5028</v>
      </c>
      <c r="O74" s="93">
        <v>651.98</v>
      </c>
      <c r="P74" s="71">
        <f>(R74)/J74</f>
        <v>0</v>
      </c>
      <c r="Q74" s="49">
        <f>J74/G74-1</f>
        <v>-6.9583931133428867E-2</v>
      </c>
    </row>
    <row r="75" spans="1:20" ht="13.2" x14ac:dyDescent="0.35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0" t="s">
        <v>163</v>
      </c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106966.96957768656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3.3740088848900635E-3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459411.97323286283</v>
      </c>
      <c r="E78" s="39">
        <f>C78*K78</f>
        <v>389034.43428571429</v>
      </c>
      <c r="F78" s="40" t="s">
        <v>137</v>
      </c>
      <c r="G78" s="70">
        <v>4.2500000000000003E-2</v>
      </c>
      <c r="H78" s="42">
        <v>0.09</v>
      </c>
      <c r="I78" s="42">
        <v>0.09</v>
      </c>
      <c r="J78" s="44">
        <f>I78/$J$5</f>
        <v>3.3740088848900635E-3</v>
      </c>
      <c r="K78" s="45">
        <f>I78/$K$4</f>
        <v>2.8571428571428571E-3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1.117647058823529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32544.973289096331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4.873568389285648E-3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28729572.063206434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5.8107930795328874E-2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0</v>
      </c>
      <c r="O81" s="62">
        <f>SUM(O77:O80)</f>
        <v>0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4" t="s">
        <v>172</v>
      </c>
      <c r="B82" s="135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7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27374712.880466364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7.4321917936606127E-2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4">
        <v>0</v>
      </c>
      <c r="O83" s="105">
        <v>0</v>
      </c>
      <c r="P83" s="51">
        <f>(R83)/J83</f>
        <v>0</v>
      </c>
      <c r="Q83" s="49">
        <f>I83/G83-1</f>
        <v>0.52499999999999991</v>
      </c>
      <c r="R83" s="52"/>
    </row>
    <row r="84" spans="1:243" s="106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81273523.221803606</v>
      </c>
      <c r="E84" s="39">
        <f>C84*K84</f>
        <v>68823193.49777779</v>
      </c>
      <c r="F84" s="40" t="s">
        <v>175</v>
      </c>
      <c r="G84" s="40">
        <v>1.44347</v>
      </c>
      <c r="H84" s="42">
        <v>1.1881090000000001</v>
      </c>
      <c r="I84" s="42">
        <v>1.177516</v>
      </c>
      <c r="J84" s="44">
        <f>I84/$J$5</f>
        <v>4.4143882734446763E-2</v>
      </c>
      <c r="K84" s="45">
        <f>I84/$K$4</f>
        <v>3.738146031746032E-2</v>
      </c>
      <c r="L84" s="46">
        <f>I84-H84</f>
        <v>-1.0593000000000075E-2</v>
      </c>
      <c r="M84" s="46">
        <f>((I84-H84)/H84*100)</f>
        <v>-0.89158486300499984</v>
      </c>
      <c r="N84" s="104">
        <v>3100</v>
      </c>
      <c r="O84" s="105">
        <v>3650.3</v>
      </c>
      <c r="P84" s="48">
        <f>(R84)/J84</f>
        <v>4.9293353126411865E-2</v>
      </c>
      <c r="Q84" s="49">
        <f>I84/G84-1</f>
        <v>-0.18424629538542536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6" thickBot="1" x14ac:dyDescent="0.3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5" customHeight="1" thickBot="1" x14ac:dyDescent="0.3">
      <c r="A87" s="138" t="s">
        <v>178</v>
      </c>
      <c r="B87" s="139"/>
      <c r="C87" s="139"/>
      <c r="D87" s="140"/>
      <c r="E87" s="138" t="s">
        <v>179</v>
      </c>
      <c r="F87" s="139"/>
      <c r="G87" s="139"/>
      <c r="H87" s="140"/>
      <c r="I87" s="52"/>
      <c r="J87" s="141" t="s">
        <v>180</v>
      </c>
      <c r="K87" s="142"/>
      <c r="L87" s="143"/>
      <c r="M87" s="141" t="s">
        <v>181</v>
      </c>
      <c r="N87" s="142"/>
      <c r="O87" s="143"/>
      <c r="Q87" s="16"/>
    </row>
    <row r="88" spans="1:243" x14ac:dyDescent="0.25">
      <c r="A88" s="35" t="s">
        <v>102</v>
      </c>
      <c r="B88" s="113">
        <v>0.125</v>
      </c>
      <c r="D88" s="113">
        <v>4.1666666666666705</v>
      </c>
      <c r="E88" s="35" t="s">
        <v>35</v>
      </c>
      <c r="F88" s="114">
        <v>7.0194000000000006E-2</v>
      </c>
      <c r="H88" s="115">
        <v>-9.4364452701656436</v>
      </c>
      <c r="J88" s="35" t="s">
        <v>119</v>
      </c>
      <c r="K88" s="51">
        <v>0.14799999999999999</v>
      </c>
      <c r="L88" s="116">
        <v>13.758647194465794</v>
      </c>
      <c r="M88" s="59" t="s">
        <v>148</v>
      </c>
      <c r="N88" s="114">
        <v>0.1028</v>
      </c>
      <c r="O88" s="117">
        <v>-19.43573667711598</v>
      </c>
      <c r="Q88" s="16"/>
    </row>
    <row r="89" spans="1:243" x14ac:dyDescent="0.25">
      <c r="A89" s="35" t="s">
        <v>52</v>
      </c>
      <c r="B89" s="113">
        <v>31.956437999999999</v>
      </c>
      <c r="D89" s="113">
        <v>0.72620784925544279</v>
      </c>
      <c r="E89" s="35" t="s">
        <v>70</v>
      </c>
      <c r="F89" s="114">
        <v>11</v>
      </c>
      <c r="H89" s="115">
        <v>-8.3333333333333321</v>
      </c>
      <c r="J89" s="35" t="s">
        <v>138</v>
      </c>
      <c r="K89" s="51">
        <v>1.2898000000000001</v>
      </c>
      <c r="L89" s="116">
        <v>6.3664852383308723</v>
      </c>
      <c r="M89" s="59" t="s">
        <v>144</v>
      </c>
      <c r="N89" s="114">
        <v>0.22059999999999999</v>
      </c>
      <c r="O89" s="117">
        <v>-19.223727572317838</v>
      </c>
      <c r="Q89" s="16"/>
    </row>
    <row r="90" spans="1:243" x14ac:dyDescent="0.25">
      <c r="A90" s="35" t="s">
        <v>77</v>
      </c>
      <c r="B90" s="113">
        <v>2.6</v>
      </c>
      <c r="C90" s="113"/>
      <c r="D90" s="113">
        <v>7.6928994538032905E-3</v>
      </c>
      <c r="E90" s="35" t="s">
        <v>94</v>
      </c>
      <c r="F90" s="114">
        <v>4.4933490000000003</v>
      </c>
      <c r="H90" s="115">
        <v>-5.2599119890141104</v>
      </c>
      <c r="J90" s="35" t="s">
        <v>131</v>
      </c>
      <c r="K90" s="51">
        <v>0.13320000000000001</v>
      </c>
      <c r="L90" s="116">
        <v>2.4615384615384679</v>
      </c>
      <c r="M90" s="35" t="s">
        <v>135</v>
      </c>
      <c r="N90" s="114">
        <v>15.3</v>
      </c>
      <c r="O90" s="117">
        <v>-14.051220978243165</v>
      </c>
      <c r="Q90" s="16"/>
    </row>
    <row r="91" spans="1:243" x14ac:dyDescent="0.25">
      <c r="A91" s="35" t="s">
        <v>100</v>
      </c>
      <c r="B91" s="113">
        <v>0.3</v>
      </c>
      <c r="C91" s="113"/>
      <c r="D91" s="113">
        <v>4.0001600064042565E-3</v>
      </c>
      <c r="E91" s="35" t="s">
        <v>96</v>
      </c>
      <c r="F91" s="114">
        <v>4.5324999999999997E-2</v>
      </c>
      <c r="H91" s="115">
        <v>-1.4673913043478304</v>
      </c>
      <c r="J91" s="35" t="s">
        <v>129</v>
      </c>
      <c r="K91" s="51">
        <v>1.4469000000000001</v>
      </c>
      <c r="L91" s="116">
        <v>1.160595679228146</v>
      </c>
      <c r="M91" s="35" t="s">
        <v>133</v>
      </c>
      <c r="N91" s="114">
        <v>0.02</v>
      </c>
      <c r="O91" s="117">
        <v>-4.7619047619047654</v>
      </c>
      <c r="Q91" s="16"/>
    </row>
    <row r="92" spans="1:243" x14ac:dyDescent="0.25">
      <c r="A92" s="35"/>
      <c r="B92" s="113"/>
      <c r="C92" s="113"/>
      <c r="D92" s="113"/>
      <c r="E92" s="35" t="s">
        <v>62</v>
      </c>
      <c r="F92" s="114">
        <v>3.2485000000000004</v>
      </c>
      <c r="G92" s="114"/>
      <c r="H92" s="115">
        <v>-4.6153846153834235E-2</v>
      </c>
      <c r="J92" s="35"/>
      <c r="K92" s="51"/>
      <c r="L92" s="116"/>
      <c r="M92" s="35" t="s">
        <v>127</v>
      </c>
      <c r="N92" s="114">
        <v>0.13400000000000001</v>
      </c>
      <c r="O92" s="117">
        <v>-3.3189033189033137</v>
      </c>
      <c r="Q92" s="16"/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J93" s="118"/>
      <c r="K93" s="119"/>
      <c r="L93" s="120"/>
      <c r="M93" s="119"/>
      <c r="N93" s="119"/>
      <c r="O93" s="120"/>
      <c r="Q93" s="16"/>
    </row>
    <row r="94" spans="1:243" x14ac:dyDescent="0.25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OSGPY7FGTdJLM4AcGS+18DCs0E0SsT9tVTyxzkAfsT0FHFiFJWWVPbK0S+TCJpxytXbGu+8dy5KIC317q0x4bw==" saltValue="EtOitzGEgkdlTUybq+ze6Q==" spinCount="100000" sheet="1"/>
  <sortState xmlns:xlrd2="http://schemas.microsoft.com/office/spreadsheetml/2017/richdata2" ref="A9:XER46">
    <sortCondition ref="A9:A46"/>
  </sortState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J87:L87"/>
    <mergeCell ref="M87:O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6 L50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6 Q50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2026-07-23T12:52:33Z</dcterms:created>
  <dcterms:modified xsi:type="dcterms:W3CDTF">2026-07-23T12:58:20Z</dcterms:modified>
</cp:coreProperties>
</file>