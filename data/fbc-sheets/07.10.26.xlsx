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"/>
    </mc:Choice>
  </mc:AlternateContent>
  <xr:revisionPtr revIDLastSave="0" documentId="8_{7DEAF7B4-CBD2-440A-80B3-77E9CF45F7FE}" xr6:coauthVersionLast="47" xr6:coauthVersionMax="47" xr10:uidLastSave="{00000000-0000-0000-0000-000000000000}"/>
  <bookViews>
    <workbookView xWindow="-108" yWindow="-108" windowWidth="23256" windowHeight="12456" xr2:uid="{1DF7AEDB-B1AC-4347-B989-A01B1466AC6E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J85" i="1"/>
  <c r="E85" i="1"/>
  <c r="D85" i="1"/>
  <c r="Q84" i="1"/>
  <c r="M84" i="1"/>
  <c r="L84" i="1"/>
  <c r="K84" i="1"/>
  <c r="J84" i="1"/>
  <c r="D84" i="1" s="1"/>
  <c r="E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J75" i="1"/>
  <c r="K75" i="1" s="1"/>
  <c r="E75" i="1" s="1"/>
  <c r="O73" i="1"/>
  <c r="N73" i="1"/>
  <c r="Q72" i="1"/>
  <c r="P72" i="1"/>
  <c r="M72" i="1"/>
  <c r="L72" i="1"/>
  <c r="J72" i="1"/>
  <c r="K72" i="1" s="1"/>
  <c r="E72" i="1" s="1"/>
  <c r="D72" i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M64" i="1"/>
  <c r="L64" i="1"/>
  <c r="J64" i="1"/>
  <c r="P64" i="1" s="1"/>
  <c r="M63" i="1"/>
  <c r="L63" i="1"/>
  <c r="J63" i="1"/>
  <c r="Q63" i="1" s="1"/>
  <c r="D63" i="1"/>
  <c r="Q62" i="1"/>
  <c r="M62" i="1"/>
  <c r="L62" i="1"/>
  <c r="J62" i="1"/>
  <c r="P62" i="1" s="1"/>
  <c r="M61" i="1"/>
  <c r="L61" i="1"/>
  <c r="J61" i="1"/>
  <c r="Q61" i="1" s="1"/>
  <c r="D61" i="1"/>
  <c r="Q60" i="1"/>
  <c r="M60" i="1"/>
  <c r="L60" i="1"/>
  <c r="J60" i="1"/>
  <c r="P60" i="1" s="1"/>
  <c r="M59" i="1"/>
  <c r="L59" i="1"/>
  <c r="J59" i="1"/>
  <c r="Q59" i="1" s="1"/>
  <c r="D59" i="1"/>
  <c r="Q58" i="1"/>
  <c r="M58" i="1"/>
  <c r="L58" i="1"/>
  <c r="J58" i="1"/>
  <c r="P58" i="1" s="1"/>
  <c r="M57" i="1"/>
  <c r="L57" i="1"/>
  <c r="J57" i="1"/>
  <c r="Q57" i="1" s="1"/>
  <c r="D57" i="1"/>
  <c r="Q56" i="1"/>
  <c r="M56" i="1"/>
  <c r="L56" i="1"/>
  <c r="J56" i="1"/>
  <c r="P56" i="1" s="1"/>
  <c r="M55" i="1"/>
  <c r="L55" i="1"/>
  <c r="J55" i="1"/>
  <c r="Q55" i="1" s="1"/>
  <c r="D55" i="1"/>
  <c r="Q54" i="1"/>
  <c r="M54" i="1"/>
  <c r="L54" i="1"/>
  <c r="J54" i="1"/>
  <c r="P54" i="1" s="1"/>
  <c r="L53" i="1"/>
  <c r="J53" i="1"/>
  <c r="P53" i="1" s="1"/>
  <c r="D53" i="1"/>
  <c r="Q52" i="1"/>
  <c r="M52" i="1"/>
  <c r="L52" i="1"/>
  <c r="J52" i="1"/>
  <c r="D52" i="1"/>
  <c r="P51" i="1"/>
  <c r="M51" i="1"/>
  <c r="L51" i="1"/>
  <c r="J51" i="1"/>
  <c r="Q51" i="1" s="1"/>
  <c r="D51" i="1"/>
  <c r="Q50" i="1"/>
  <c r="P50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E44" i="1" s="1"/>
  <c r="J44" i="1"/>
  <c r="P44" i="1" s="1"/>
  <c r="D44" i="1"/>
  <c r="Q43" i="1"/>
  <c r="P43" i="1"/>
  <c r="M43" i="1"/>
  <c r="L43" i="1"/>
  <c r="K43" i="1"/>
  <c r="E43" i="1" s="1"/>
  <c r="J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E41" i="1" s="1"/>
  <c r="J41" i="1"/>
  <c r="P41" i="1" s="1"/>
  <c r="D41" i="1"/>
  <c r="Q40" i="1"/>
  <c r="P40" i="1"/>
  <c r="M40" i="1"/>
  <c r="L40" i="1"/>
  <c r="K40" i="1"/>
  <c r="E40" i="1" s="1"/>
  <c r="J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P38" i="1" s="1"/>
  <c r="D38" i="1"/>
  <c r="Q37" i="1"/>
  <c r="M37" i="1"/>
  <c r="L37" i="1"/>
  <c r="K37" i="1"/>
  <c r="E37" i="1" s="1"/>
  <c r="J37" i="1"/>
  <c r="D37" i="1" s="1"/>
  <c r="Q36" i="1"/>
  <c r="P36" i="1"/>
  <c r="M36" i="1"/>
  <c r="L36" i="1"/>
  <c r="K36" i="1"/>
  <c r="J36" i="1"/>
  <c r="E36" i="1"/>
  <c r="D36" i="1"/>
  <c r="Q35" i="1"/>
  <c r="P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D34" i="1" s="1"/>
  <c r="Q33" i="1"/>
  <c r="P33" i="1"/>
  <c r="M33" i="1"/>
  <c r="L33" i="1"/>
  <c r="K33" i="1"/>
  <c r="J33" i="1"/>
  <c r="E33" i="1"/>
  <c r="D33" i="1"/>
  <c r="Q32" i="1"/>
  <c r="P32" i="1"/>
  <c r="M32" i="1"/>
  <c r="L32" i="1"/>
  <c r="K32" i="1"/>
  <c r="E32" i="1" s="1"/>
  <c r="J32" i="1"/>
  <c r="D32" i="1" s="1"/>
  <c r="Q31" i="1"/>
  <c r="M31" i="1"/>
  <c r="L31" i="1"/>
  <c r="K31" i="1"/>
  <c r="E31" i="1" s="1"/>
  <c r="J31" i="1"/>
  <c r="D31" i="1" s="1"/>
  <c r="K30" i="1"/>
  <c r="E30" i="1" s="1"/>
  <c r="J30" i="1"/>
  <c r="D30" i="1" s="1"/>
  <c r="Q29" i="1"/>
  <c r="M29" i="1"/>
  <c r="L29" i="1"/>
  <c r="K29" i="1"/>
  <c r="E29" i="1" s="1"/>
  <c r="J29" i="1"/>
  <c r="D29" i="1" s="1"/>
  <c r="Q28" i="1"/>
  <c r="P28" i="1"/>
  <c r="M28" i="1"/>
  <c r="L28" i="1"/>
  <c r="K28" i="1"/>
  <c r="J28" i="1"/>
  <c r="E28" i="1"/>
  <c r="D28" i="1"/>
  <c r="Q27" i="1"/>
  <c r="P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P25" i="1"/>
  <c r="M25" i="1"/>
  <c r="L25" i="1"/>
  <c r="K25" i="1"/>
  <c r="J25" i="1"/>
  <c r="E25" i="1"/>
  <c r="D25" i="1"/>
  <c r="R24" i="1"/>
  <c r="P24" i="1" s="1"/>
  <c r="Q24" i="1"/>
  <c r="M24" i="1"/>
  <c r="L24" i="1"/>
  <c r="K24" i="1"/>
  <c r="E24" i="1" s="1"/>
  <c r="J24" i="1"/>
  <c r="D24" i="1"/>
  <c r="Q23" i="1"/>
  <c r="P23" i="1"/>
  <c r="M23" i="1"/>
  <c r="L23" i="1"/>
  <c r="K23" i="1"/>
  <c r="E23" i="1" s="1"/>
  <c r="J23" i="1"/>
  <c r="D23" i="1"/>
  <c r="Q22" i="1"/>
  <c r="L22" i="1"/>
  <c r="K22" i="1"/>
  <c r="J22" i="1"/>
  <c r="E22" i="1"/>
  <c r="D22" i="1"/>
  <c r="Q21" i="1"/>
  <c r="P21" i="1"/>
  <c r="M21" i="1"/>
  <c r="L21" i="1"/>
  <c r="K21" i="1"/>
  <c r="J21" i="1"/>
  <c r="D21" i="1" s="1"/>
  <c r="E21" i="1"/>
  <c r="Q20" i="1"/>
  <c r="M20" i="1"/>
  <c r="L20" i="1"/>
  <c r="K20" i="1"/>
  <c r="J20" i="1"/>
  <c r="D20" i="1" s="1"/>
  <c r="E20" i="1"/>
  <c r="Q19" i="1"/>
  <c r="P19" i="1"/>
  <c r="M19" i="1"/>
  <c r="L19" i="1"/>
  <c r="K19" i="1"/>
  <c r="J19" i="1"/>
  <c r="E19" i="1"/>
  <c r="D19" i="1"/>
  <c r="E18" i="1"/>
  <c r="D18" i="1"/>
  <c r="Q17" i="1"/>
  <c r="P17" i="1"/>
  <c r="M17" i="1"/>
  <c r="L17" i="1"/>
  <c r="K17" i="1"/>
  <c r="E17" i="1" s="1"/>
  <c r="J17" i="1"/>
  <c r="D17" i="1"/>
  <c r="Q16" i="1"/>
  <c r="P16" i="1"/>
  <c r="M16" i="1"/>
  <c r="L16" i="1"/>
  <c r="K16" i="1"/>
  <c r="E16" i="1" s="1"/>
  <c r="J16" i="1"/>
  <c r="D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E14" i="1" s="1"/>
  <c r="J14" i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E11" i="1" s="1"/>
  <c r="J11" i="1"/>
  <c r="D11" i="1"/>
  <c r="Q10" i="1"/>
  <c r="P10" i="1"/>
  <c r="M10" i="1"/>
  <c r="L10" i="1"/>
  <c r="K10" i="1"/>
  <c r="E10" i="1" s="1"/>
  <c r="J10" i="1"/>
  <c r="D10" i="1"/>
  <c r="Q9" i="1"/>
  <c r="M9" i="1"/>
  <c r="L9" i="1"/>
  <c r="K9" i="1"/>
  <c r="J9" i="1"/>
  <c r="P9" i="1" s="1"/>
  <c r="E9" i="1"/>
  <c r="D9" i="1"/>
  <c r="P84" i="1" l="1"/>
  <c r="K71" i="1"/>
  <c r="E71" i="1" s="1"/>
  <c r="P26" i="1"/>
  <c r="P29" i="1"/>
  <c r="P31" i="1"/>
  <c r="P34" i="1"/>
  <c r="P20" i="1"/>
  <c r="P55" i="1"/>
  <c r="P57" i="1"/>
  <c r="P59" i="1"/>
  <c r="P61" i="1"/>
  <c r="P63" i="1"/>
  <c r="P65" i="1"/>
  <c r="P71" i="1"/>
  <c r="D75" i="1"/>
  <c r="D54" i="1"/>
  <c r="D56" i="1"/>
  <c r="D58" i="1"/>
  <c r="D60" i="1"/>
  <c r="D62" i="1"/>
  <c r="D64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<sst xmlns="http://schemas.openxmlformats.org/spreadsheetml/2006/main" count="269" uniqueCount="185">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</sst>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</cellXfs>
  <cellStyles count="9">
    <cellStyle name="Comma 2 2 2 2 2 2 2 2 2 2 2 2 2 2 2" xfId="3" xr:uid="{A111E929-1960-4CEF-A5F7-11EA47C03BCC}"/>
    <cellStyle name="Comma 5 2 2 2 2 2 2 2 2 2 2 2 2 2" xfId="4" xr:uid="{1E1D1570-6A8D-47F3-AFDB-0FD79E2C0CC0}"/>
    <cellStyle name="Comma 6 2 2 2 2 2 2 2 2" xfId="6" xr:uid="{1A556A4A-AE1B-4876-A059-EBB1B19D8D17}"/>
    <cellStyle name="Hyperlink 2" xfId="8" xr:uid="{372F58BE-CDF6-4159-BA41-9A8CE45CB192}"/>
    <cellStyle name="Normal" xfId="0" builtinId="0"/>
    <cellStyle name="Normal 2" xfId="2" xr:uid="{7B9AF328-E4D0-400E-9FA6-6878CDB152CB}"/>
    <cellStyle name="Normal 20" xfId="7" xr:uid="{88D5841E-36DC-4B7F-8B6D-844A7D6A7E12}"/>
    <cellStyle name="Percent" xfId="1" builtinId="5"/>
    <cellStyle name="Percent 3" xfId="5" xr:uid="{4F6813F8-151A-40AD-85CC-F95792730C6D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D2277DB-1573-4B91-BA67-91FE68E59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5AC6325E-C0B4-4383-835F-FB08A003D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C0E7-0133-4A48-86B1-7DB83EA838EA}">
  <dimension ref="A1:II107"/>
  <sheetViews>
    <sheetView tabSelected="1" zoomScale="70" zoomScaleNormal="70" workbookViewId="0">
      <selection activeCell="O29" sqref="O29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26.705100000000002</v>
      </c>
      <c r="K5" s="22"/>
      <c r="L5" s="138" t="s">
        <v>12</v>
      </c>
      <c r="M5" s="139"/>
      <c r="N5" s="23" t="s">
        <v>13</v>
      </c>
      <c r="O5" s="24"/>
      <c r="P5" s="24"/>
      <c r="Q5" s="25"/>
    </row>
    <row r="6" spans="1:19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81411193.844995901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0.64594403316220494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2.3221826086956523E-2</v>
      </c>
      <c r="Q9" s="48">
        <f t="shared" ref="Q9:Q17" si="6">I9/G9-1</f>
        <v>0.91890538962122492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7253385.6113802223</v>
      </c>
      <c r="E10" s="39">
        <f t="shared" si="1"/>
        <v>6053199.6278271871</v>
      </c>
      <c r="F10" s="40" t="s">
        <v>34</v>
      </c>
      <c r="G10" s="41">
        <v>3.1600000000000003E-2</v>
      </c>
      <c r="H10" s="42">
        <v>0.108237</v>
      </c>
      <c r="I10" s="43">
        <v>0.11902599999999999</v>
      </c>
      <c r="J10" s="44">
        <f t="shared" ref="J10:J17" si="7">I10/$J$5</f>
        <v>4.4570512748501219E-3</v>
      </c>
      <c r="K10" s="45">
        <f t="shared" si="2"/>
        <v>3.7195624999999998E-3</v>
      </c>
      <c r="L10" s="46">
        <f t="shared" si="3"/>
        <v>1.0788999999999993E-2</v>
      </c>
      <c r="M10" s="46">
        <f t="shared" si="4"/>
        <v>9.9679407226733865</v>
      </c>
      <c r="N10" s="50">
        <v>151200</v>
      </c>
      <c r="O10" s="37">
        <v>17996.7</v>
      </c>
      <c r="P10" s="51">
        <f t="shared" si="5"/>
        <v>0</v>
      </c>
      <c r="Q10" s="48">
        <f t="shared" si="6"/>
        <v>2.7666455696202528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3338065.8090027743</v>
      </c>
      <c r="E11" s="39">
        <f t="shared" si="1"/>
        <v>2785730.663625</v>
      </c>
      <c r="F11" s="40" t="s">
        <v>39</v>
      </c>
      <c r="G11" s="41">
        <v>7.8E-2</v>
      </c>
      <c r="H11" s="42">
        <v>0.20399999999999999</v>
      </c>
      <c r="I11" s="43">
        <v>0.20399999999999999</v>
      </c>
      <c r="J11" s="44">
        <f t="shared" si="7"/>
        <v>7.6389903052225972E-3</v>
      </c>
      <c r="K11" s="45">
        <f t="shared" si="2"/>
        <v>6.3749999999999996E-3</v>
      </c>
      <c r="L11" s="46">
        <f t="shared" si="3"/>
        <v>0</v>
      </c>
      <c r="M11" s="46">
        <f t="shared" si="4"/>
        <v>0</v>
      </c>
      <c r="N11" s="50">
        <v>900</v>
      </c>
      <c r="O11" s="37">
        <v>183.6</v>
      </c>
      <c r="P11" s="51">
        <f t="shared" si="5"/>
        <v>0</v>
      </c>
      <c r="Q11" s="48">
        <f t="shared" si="6"/>
        <v>1.6153846153846154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147574486.90480471</v>
      </c>
      <c r="E12" s="39">
        <f t="shared" si="1"/>
        <v>123155982.19504689</v>
      </c>
      <c r="F12" s="40" t="s">
        <v>34</v>
      </c>
      <c r="G12" s="41">
        <v>97.381</v>
      </c>
      <c r="H12" s="42">
        <v>190.99950000000001</v>
      </c>
      <c r="I12" s="43">
        <v>190.99950000000001</v>
      </c>
      <c r="J12" s="44">
        <f t="shared" si="7"/>
        <v>7.1521731804037429</v>
      </c>
      <c r="K12" s="45">
        <f t="shared" si="2"/>
        <v>5.9687343750000004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0.96136309957794652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8831568.3521125168</v>
      </c>
      <c r="E13" s="39">
        <f t="shared" si="1"/>
        <v>7370247.375</v>
      </c>
      <c r="F13" s="40" t="s">
        <v>44</v>
      </c>
      <c r="G13" s="41">
        <v>13.6</v>
      </c>
      <c r="H13" s="42">
        <v>27</v>
      </c>
      <c r="I13" s="43">
        <v>27</v>
      </c>
      <c r="J13" s="44">
        <f t="shared" si="7"/>
        <v>1.0110428345147555</v>
      </c>
      <c r="K13" s="45">
        <f t="shared" si="2"/>
        <v>0.84375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0.98529411764705888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665434310.67473996</v>
      </c>
      <c r="E14" s="39">
        <f t="shared" si="1"/>
        <v>555327806.5625</v>
      </c>
      <c r="F14" s="40" t="s">
        <v>47</v>
      </c>
      <c r="G14" s="41">
        <v>11.5</v>
      </c>
      <c r="H14" s="42">
        <v>34</v>
      </c>
      <c r="I14" s="43">
        <v>34</v>
      </c>
      <c r="J14" s="44">
        <f t="shared" si="7"/>
        <v>1.2731650508704329</v>
      </c>
      <c r="K14" s="45">
        <f t="shared" si="2"/>
        <v>1.0625</v>
      </c>
      <c r="L14" s="46">
        <f t="shared" si="3"/>
        <v>0</v>
      </c>
      <c r="M14" s="46">
        <f t="shared" si="4"/>
        <v>0</v>
      </c>
      <c r="N14" s="50">
        <v>0</v>
      </c>
      <c r="O14" s="37">
        <v>0</v>
      </c>
      <c r="P14" s="51">
        <f t="shared" si="5"/>
        <v>0</v>
      </c>
      <c r="Q14" s="48">
        <f t="shared" si="6"/>
        <v>1.9565217391304346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31488522.37025886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0.29694702510007448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80501295.718420818</v>
      </c>
      <c r="E16" s="39">
        <f t="shared" si="1"/>
        <v>67181098.509062499</v>
      </c>
      <c r="F16" s="40" t="s">
        <v>34</v>
      </c>
      <c r="G16" s="41">
        <v>1.9</v>
      </c>
      <c r="H16" s="42">
        <v>6</v>
      </c>
      <c r="I16" s="43">
        <v>6.0049999999999999</v>
      </c>
      <c r="J16" s="44">
        <f t="shared" si="7"/>
        <v>0.22486341560226322</v>
      </c>
      <c r="K16" s="45">
        <f t="shared" si="2"/>
        <v>0.18765625</v>
      </c>
      <c r="L16" s="46">
        <f t="shared" si="3"/>
        <v>4.9999999999998934E-3</v>
      </c>
      <c r="M16" s="46">
        <f t="shared" si="4"/>
        <v>8.3333333333331566E-2</v>
      </c>
      <c r="N16" s="50">
        <v>2500</v>
      </c>
      <c r="O16" s="37">
        <v>15012.5</v>
      </c>
      <c r="P16" s="51">
        <f t="shared" si="5"/>
        <v>0.22235720233139053</v>
      </c>
      <c r="Q16" s="48">
        <f t="shared" si="6"/>
        <v>2.1605263157894736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1640151524.2147381</v>
      </c>
      <c r="E17" s="39">
        <f t="shared" si="1"/>
        <v>1368762827.165844</v>
      </c>
      <c r="F17" s="40" t="s">
        <v>34</v>
      </c>
      <c r="G17" s="41">
        <v>20.701700000000002</v>
      </c>
      <c r="H17" s="42">
        <v>32.499499999999998</v>
      </c>
      <c r="I17" s="43">
        <v>32.498600000000003</v>
      </c>
      <c r="J17" s="44">
        <f t="shared" si="7"/>
        <v>1.2169435800652311</v>
      </c>
      <c r="K17" s="45">
        <f t="shared" si="2"/>
        <v>1.0155812500000001</v>
      </c>
      <c r="L17" s="46">
        <f t="shared" si="3"/>
        <v>-8.9999999999434976E-4</v>
      </c>
      <c r="M17" s="46">
        <f t="shared" si="4"/>
        <v>-2.769273373419129E-3</v>
      </c>
      <c r="N17" s="50">
        <v>6171100</v>
      </c>
      <c r="O17" s="37">
        <v>200552213.55000001</v>
      </c>
      <c r="P17" s="47">
        <f t="shared" si="5"/>
        <v>0</v>
      </c>
      <c r="Q17" s="48">
        <f t="shared" si="6"/>
        <v>0.56985175130544841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338444599.83669406</v>
      </c>
      <c r="E19" s="39">
        <f t="shared" si="1"/>
        <v>282443652.59684062</v>
      </c>
      <c r="F19" s="40" t="s">
        <v>47</v>
      </c>
      <c r="G19" s="41">
        <v>12.45</v>
      </c>
      <c r="H19" s="42">
        <v>13.5</v>
      </c>
      <c r="I19" s="43">
        <v>13.450699999999999</v>
      </c>
      <c r="J19" s="44">
        <f t="shared" ref="J19:J45" si="8">I19/$J$5</f>
        <v>0.50367532793361558</v>
      </c>
      <c r="K19" s="45">
        <f t="shared" ref="K19:K45" si="9">I19/$K$4</f>
        <v>0.42033437499999998</v>
      </c>
      <c r="L19" s="46">
        <f t="shared" ref="L19:L29" si="10">I19-H19</f>
        <v>-4.9300000000000566E-2</v>
      </c>
      <c r="M19" s="46">
        <f>((I19-H19)/H19)*100</f>
        <v>-0.36518518518518939</v>
      </c>
      <c r="N19" s="50">
        <v>13700</v>
      </c>
      <c r="O19" s="37">
        <v>184275</v>
      </c>
      <c r="P19" s="51">
        <f>(R19)/J19</f>
        <v>0</v>
      </c>
      <c r="Q19" s="48">
        <f t="shared" ref="Q19:Q29" si="11">I19/G19-1</f>
        <v>8.0377510040160693E-2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3793232.7768853144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3.482480874439714E-2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84065157.228513643</v>
      </c>
      <c r="E21" s="39">
        <f t="shared" si="1"/>
        <v>70155263.446974367</v>
      </c>
      <c r="F21" s="40" t="s">
        <v>47</v>
      </c>
      <c r="G21" s="41">
        <v>2.85</v>
      </c>
      <c r="H21" s="42">
        <v>2.9024999999999999</v>
      </c>
      <c r="I21" s="43">
        <v>3.2529029999999999</v>
      </c>
      <c r="J21" s="44">
        <f t="shared" si="8"/>
        <v>0.12180830627857599</v>
      </c>
      <c r="K21" s="45">
        <f t="shared" si="9"/>
        <v>0.10165321875</v>
      </c>
      <c r="L21" s="46">
        <f t="shared" si="10"/>
        <v>0.35040300000000002</v>
      </c>
      <c r="M21" s="46">
        <f>((I21-H21)/H21)*100</f>
        <v>12.07245478036176</v>
      </c>
      <c r="N21" s="50">
        <v>21100</v>
      </c>
      <c r="O21" s="37">
        <v>68636.25</v>
      </c>
      <c r="P21" s="51">
        <f>(R21)/J21</f>
        <v>0</v>
      </c>
      <c r="Q21" s="48">
        <f t="shared" si="11"/>
        <v>0.14136947368421038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1989218.3020097283</v>
      </c>
      <c r="E23" s="39">
        <f t="shared" si="1"/>
        <v>1660071.05240625</v>
      </c>
      <c r="F23" s="40" t="s">
        <v>44</v>
      </c>
      <c r="G23" s="41">
        <v>0.1</v>
      </c>
      <c r="H23" s="42">
        <v>9.9000000000000005E-2</v>
      </c>
      <c r="I23" s="43">
        <v>9.9000000000000005E-2</v>
      </c>
      <c r="J23" s="44">
        <f t="shared" si="8"/>
        <v>3.707157059887437E-3</v>
      </c>
      <c r="K23" s="45">
        <f t="shared" si="9"/>
        <v>3.0937500000000001E-3</v>
      </c>
      <c r="L23" s="46">
        <f t="shared" si="10"/>
        <v>0</v>
      </c>
      <c r="M23" s="46">
        <f t="shared" ref="M23:M29" si="12">((I23-H23)/H23)*100</f>
        <v>0</v>
      </c>
      <c r="N23" s="50">
        <v>0</v>
      </c>
      <c r="O23" s="37">
        <v>0</v>
      </c>
      <c r="P23" s="51">
        <f t="shared" ref="P23:P29" si="13">(R23)/J23</f>
        <v>0</v>
      </c>
      <c r="Q23" s="48">
        <f t="shared" si="11"/>
        <v>-1.0000000000000009E-2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66496256.849815197</v>
      </c>
      <c r="E24" s="39">
        <f t="shared" si="1"/>
        <v>55493412.149999999</v>
      </c>
      <c r="F24" s="40" t="s">
        <v>34</v>
      </c>
      <c r="G24" s="41">
        <v>8.1687659999999997</v>
      </c>
      <c r="H24" s="42">
        <v>9.1999999999999993</v>
      </c>
      <c r="I24" s="43">
        <v>9.1999999999999993</v>
      </c>
      <c r="J24" s="44">
        <f t="shared" si="8"/>
        <v>0.34450348435317596</v>
      </c>
      <c r="K24" s="45">
        <f t="shared" si="9"/>
        <v>0.28749999999999998</v>
      </c>
      <c r="L24" s="46">
        <f t="shared" si="10"/>
        <v>0</v>
      </c>
      <c r="M24" s="46">
        <f t="shared" si="12"/>
        <v>0</v>
      </c>
      <c r="N24" s="50">
        <v>0</v>
      </c>
      <c r="O24" s="37">
        <v>0</v>
      </c>
      <c r="P24" s="47">
        <f t="shared" si="13"/>
        <v>4.3540923913043483E-2</v>
      </c>
      <c r="Q24" s="48">
        <f t="shared" si="11"/>
        <v>0.12624109932883365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108218565.57034048</v>
      </c>
      <c r="E25" s="39">
        <f t="shared" si="1"/>
        <v>90312112.981640622</v>
      </c>
      <c r="F25" s="40" t="s">
        <v>66</v>
      </c>
      <c r="G25" s="41">
        <v>1.6675</v>
      </c>
      <c r="H25" s="42">
        <v>1.7124999999999999</v>
      </c>
      <c r="I25" s="43">
        <v>1.7124999999999999</v>
      </c>
      <c r="J25" s="44">
        <f t="shared" si="8"/>
        <v>6.4126327929871066E-2</v>
      </c>
      <c r="K25" s="45">
        <f t="shared" si="9"/>
        <v>5.3515624999999997E-2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2.6986506746626615E-2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22410336.134296443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9.3615077269884772E-2</v>
      </c>
      <c r="K26" s="45">
        <f t="shared" si="9"/>
        <v>7.8125E-2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0.38927479855515434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23983974.060764384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9.3632264998071521E-2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-0.20269458891623682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32540425.467420079</v>
      </c>
      <c r="E28" s="39">
        <f t="shared" si="1"/>
        <v>27156103.629687499</v>
      </c>
      <c r="F28" s="40" t="s">
        <v>44</v>
      </c>
      <c r="G28" s="41">
        <v>0.8</v>
      </c>
      <c r="H28" s="42">
        <v>1.18</v>
      </c>
      <c r="I28" s="43">
        <v>1.1499999999999999</v>
      </c>
      <c r="J28" s="44">
        <f t="shared" si="8"/>
        <v>4.3062935544146995E-2</v>
      </c>
      <c r="K28" s="45">
        <f t="shared" si="9"/>
        <v>3.5937499999999997E-2</v>
      </c>
      <c r="L28" s="46">
        <f t="shared" si="10"/>
        <v>-3.0000000000000027E-2</v>
      </c>
      <c r="M28" s="46">
        <f t="shared" si="12"/>
        <v>-2.5423728813559343</v>
      </c>
      <c r="N28" s="50">
        <v>600</v>
      </c>
      <c r="O28" s="37">
        <v>690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119120349.9990124</v>
      </c>
      <c r="E29" s="39">
        <f t="shared" si="1"/>
        <v>99410026.836207077</v>
      </c>
      <c r="F29" s="40" t="s">
        <v>47</v>
      </c>
      <c r="G29" s="41">
        <v>5.15</v>
      </c>
      <c r="H29" s="42">
        <v>6.25</v>
      </c>
      <c r="I29" s="43">
        <v>7.0828570000000006</v>
      </c>
      <c r="J29" s="44">
        <f t="shared" si="8"/>
        <v>0.26522488213861772</v>
      </c>
      <c r="K29" s="45">
        <f t="shared" si="9"/>
        <v>0.22133928125000002</v>
      </c>
      <c r="L29" s="46">
        <f t="shared" si="10"/>
        <v>0.83285700000000062</v>
      </c>
      <c r="M29" s="46">
        <f t="shared" si="12"/>
        <v>13.325712000000008</v>
      </c>
      <c r="N29" s="50">
        <v>49700</v>
      </c>
      <c r="O29" s="37">
        <v>352018</v>
      </c>
      <c r="P29" s="51">
        <f t="shared" si="13"/>
        <v>0</v>
      </c>
      <c r="Q29" s="48">
        <f t="shared" si="11"/>
        <v>0.37531203883495157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13925004.301425571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5.3585270229282049E-2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2.2142857142857242E-2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4112567.3747711112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3.370142781715852E-2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112135683.88060705</v>
      </c>
      <c r="E33" s="39">
        <f t="shared" si="1"/>
        <v>93581082.862499997</v>
      </c>
      <c r="F33" s="40" t="s">
        <v>92</v>
      </c>
      <c r="G33" s="41">
        <v>1.44</v>
      </c>
      <c r="H33" s="42">
        <v>1.4</v>
      </c>
      <c r="I33" s="43">
        <v>1.2</v>
      </c>
      <c r="J33" s="44">
        <f t="shared" si="8"/>
        <v>4.4935237089544687E-2</v>
      </c>
      <c r="K33" s="45">
        <f t="shared" si="9"/>
        <v>3.7499999999999999E-2</v>
      </c>
      <c r="L33" s="46">
        <f t="shared" si="14"/>
        <v>-0.19999999999999996</v>
      </c>
      <c r="M33" s="46">
        <f t="shared" si="15"/>
        <v>-14.285714285714283</v>
      </c>
      <c r="N33" s="50">
        <v>50000</v>
      </c>
      <c r="O33" s="37">
        <v>60000</v>
      </c>
      <c r="P33" s="51">
        <f t="shared" si="16"/>
        <v>0</v>
      </c>
      <c r="Q33" s="48">
        <f t="shared" si="17"/>
        <v>-0.16666666666666663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38297800.480303191</v>
      </c>
      <c r="E34" s="39">
        <f t="shared" si="1"/>
        <v>31960830.987704527</v>
      </c>
      <c r="F34" s="40" t="s">
        <v>34</v>
      </c>
      <c r="G34" s="41">
        <v>3.6056249999999999</v>
      </c>
      <c r="H34" s="42">
        <v>4</v>
      </c>
      <c r="I34" s="43">
        <v>4.0346149999999996</v>
      </c>
      <c r="J34" s="44">
        <f t="shared" si="8"/>
        <v>0.15108031799169444</v>
      </c>
      <c r="K34" s="45">
        <f t="shared" si="9"/>
        <v>0.12608171874999999</v>
      </c>
      <c r="L34" s="46">
        <f t="shared" si="14"/>
        <v>3.4614999999999618E-2</v>
      </c>
      <c r="M34" s="46">
        <f t="shared" si="15"/>
        <v>0.86537499999999046</v>
      </c>
      <c r="N34" s="50">
        <v>1300</v>
      </c>
      <c r="O34" s="37">
        <v>5245</v>
      </c>
      <c r="P34" s="51">
        <f t="shared" si="16"/>
        <v>0</v>
      </c>
      <c r="Q34" s="48">
        <f t="shared" si="17"/>
        <v>0.11897798578609797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11236883.388416745</v>
      </c>
      <c r="E35" s="39">
        <f t="shared" si="1"/>
        <v>9377565.4555002507</v>
      </c>
      <c r="F35" s="40" t="s">
        <v>34</v>
      </c>
      <c r="G35" s="41">
        <v>2.5099999999999997E-2</v>
      </c>
      <c r="H35" s="42">
        <v>6.5526000000000001E-2</v>
      </c>
      <c r="I35" s="43">
        <v>6.3643000000000005E-2</v>
      </c>
      <c r="J35" s="44">
        <f t="shared" si="8"/>
        <v>2.3831777450749108E-3</v>
      </c>
      <c r="K35" s="45">
        <f t="shared" si="9"/>
        <v>1.9888437500000002E-3</v>
      </c>
      <c r="L35" s="46">
        <f t="shared" si="14"/>
        <v>-1.8829999999999958E-3</v>
      </c>
      <c r="M35" s="46">
        <f t="shared" si="15"/>
        <v>-2.8736684674785518</v>
      </c>
      <c r="N35" s="50">
        <v>6000</v>
      </c>
      <c r="O35" s="37">
        <v>381.86</v>
      </c>
      <c r="P35" s="51">
        <f t="shared" si="16"/>
        <v>0</v>
      </c>
      <c r="Q35" s="48">
        <f t="shared" si="17"/>
        <v>1.5355776892430284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68819007.436781734</v>
      </c>
      <c r="E36" s="39">
        <f t="shared" si="1"/>
        <v>57431827.359375</v>
      </c>
      <c r="F36" s="40" t="s">
        <v>92</v>
      </c>
      <c r="G36" s="41">
        <v>0.61</v>
      </c>
      <c r="H36" s="42">
        <v>3.501512</v>
      </c>
      <c r="I36" s="43">
        <v>3.5</v>
      </c>
      <c r="J36" s="44">
        <f t="shared" si="8"/>
        <v>0.13106110817783867</v>
      </c>
      <c r="K36" s="45">
        <f t="shared" si="9"/>
        <v>0.109375</v>
      </c>
      <c r="L36" s="46">
        <f t="shared" si="14"/>
        <v>-1.5119999999999578E-3</v>
      </c>
      <c r="M36" s="46">
        <f t="shared" si="15"/>
        <v>-4.318134565867425E-2</v>
      </c>
      <c r="N36" s="50">
        <v>31900</v>
      </c>
      <c r="O36" s="37">
        <v>111650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135023293.17572445</v>
      </c>
      <c r="E37" s="39">
        <f t="shared" si="1"/>
        <v>112681579.58084498</v>
      </c>
      <c r="F37" s="40" t="s">
        <v>56</v>
      </c>
      <c r="G37" s="41">
        <v>0.11650199999999999</v>
      </c>
      <c r="H37" s="42">
        <v>0.85289100000000007</v>
      </c>
      <c r="I37" s="43">
        <v>0.8595910000000001</v>
      </c>
      <c r="J37" s="44">
        <f t="shared" si="8"/>
        <v>3.2188271154199012E-2</v>
      </c>
      <c r="K37" s="45">
        <f t="shared" si="9"/>
        <v>2.6862218750000003E-2</v>
      </c>
      <c r="L37" s="46">
        <f t="shared" si="14"/>
        <v>6.7000000000000393E-3</v>
      </c>
      <c r="M37" s="46">
        <f t="shared" si="15"/>
        <v>0.78556345418113671</v>
      </c>
      <c r="N37" s="50">
        <v>18089000</v>
      </c>
      <c r="O37" s="37">
        <v>15549145.5</v>
      </c>
      <c r="P37" s="51">
        <v>0</v>
      </c>
      <c r="Q37" s="48">
        <f t="shared" si="17"/>
        <v>6.378336852586223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22867366.143863905</v>
      </c>
      <c r="E38" s="39">
        <f t="shared" si="1"/>
        <v>19083603.112765625</v>
      </c>
      <c r="F38" s="40" t="s">
        <v>39</v>
      </c>
      <c r="G38" s="41">
        <v>0.1</v>
      </c>
      <c r="H38" s="42">
        <v>0.14150499999999999</v>
      </c>
      <c r="I38" s="43">
        <v>0.14150000000000001</v>
      </c>
      <c r="J38" s="44">
        <f t="shared" si="8"/>
        <v>5.2986133734754786E-3</v>
      </c>
      <c r="K38" s="45">
        <f t="shared" si="9"/>
        <v>4.4218750000000005E-3</v>
      </c>
      <c r="L38" s="46">
        <f t="shared" si="14"/>
        <v>-4.9999999999772449E-6</v>
      </c>
      <c r="M38" s="46">
        <f t="shared" si="15"/>
        <v>-3.533444047897421E-3</v>
      </c>
      <c r="N38" s="50">
        <v>2700</v>
      </c>
      <c r="O38" s="37">
        <v>382.05</v>
      </c>
      <c r="P38" s="51">
        <f t="shared" ref="P38:P44" si="18">(R38)/J38</f>
        <v>0</v>
      </c>
      <c r="Q38" s="48">
        <f t="shared" si="17"/>
        <v>0.41500000000000004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7974075.1392056197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7.4892061815907823E-2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0.14597550591953667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3928166.6892091772</v>
      </c>
      <c r="E40" s="39">
        <f t="shared" si="1"/>
        <v>3278190.1328750001</v>
      </c>
      <c r="F40" s="40" t="s">
        <v>39</v>
      </c>
      <c r="G40" s="41">
        <v>0.03</v>
      </c>
      <c r="H40" s="42">
        <v>5.9229000000000004E-2</v>
      </c>
      <c r="I40" s="43">
        <v>5.9000000000000004E-2</v>
      </c>
      <c r="J40" s="44">
        <f t="shared" si="8"/>
        <v>2.2093158235692808E-3</v>
      </c>
      <c r="K40" s="45">
        <f t="shared" si="9"/>
        <v>1.8437500000000001E-3</v>
      </c>
      <c r="L40" s="46">
        <f t="shared" si="14"/>
        <v>-2.2900000000000004E-4</v>
      </c>
      <c r="M40" s="46">
        <f t="shared" si="15"/>
        <v>-0.38663492545881245</v>
      </c>
      <c r="N40" s="50">
        <v>31000</v>
      </c>
      <c r="O40" s="37">
        <v>1829</v>
      </c>
      <c r="P40" s="51">
        <f t="shared" si="18"/>
        <v>0</v>
      </c>
      <c r="Q40" s="48">
        <f t="shared" si="17"/>
        <v>0.96666666666666679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47233398.204837278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0.26961142253726816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0.60000000000000009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312.3028147432513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6.7402855634317038E-7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1552961.7938146647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2.6961142253726818E-3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47666362.308270708</v>
      </c>
      <c r="E44" s="39">
        <f t="shared" si="1"/>
        <v>39779217.877456255</v>
      </c>
      <c r="F44" s="40" t="s">
        <v>47</v>
      </c>
      <c r="G44" s="41">
        <v>0.9998999999999999</v>
      </c>
      <c r="H44" s="42">
        <v>0.7</v>
      </c>
      <c r="I44" s="43">
        <v>0.70010000000000006</v>
      </c>
      <c r="J44" s="44">
        <f t="shared" si="8"/>
        <v>2.6215966238658534E-2</v>
      </c>
      <c r="K44" s="45">
        <f t="shared" si="9"/>
        <v>2.1878125000000002E-2</v>
      </c>
      <c r="L44" s="46">
        <f t="shared" si="14"/>
        <v>1.0000000000010001E-4</v>
      </c>
      <c r="M44" s="46">
        <f t="shared" si="15"/>
        <v>1.4285714285728574E-2</v>
      </c>
      <c r="N44" s="50">
        <v>80400</v>
      </c>
      <c r="O44" s="37">
        <v>56288</v>
      </c>
      <c r="P44" s="51">
        <f t="shared" si="18"/>
        <v>0</v>
      </c>
      <c r="Q44" s="48">
        <f t="shared" si="17"/>
        <v>-0.29982998299829966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17115484.083564561</v>
      </c>
      <c r="E45" s="39">
        <f t="shared" si="1"/>
        <v>14283459.8125</v>
      </c>
      <c r="F45" s="40" t="s">
        <v>47</v>
      </c>
      <c r="G45" s="41">
        <v>1.4503460000000001</v>
      </c>
      <c r="H45" s="42">
        <v>4.5</v>
      </c>
      <c r="I45" s="43">
        <v>4.45</v>
      </c>
      <c r="J45" s="44">
        <f t="shared" si="8"/>
        <v>0.1666348375403949</v>
      </c>
      <c r="K45" s="45">
        <f t="shared" si="9"/>
        <v>0.13906250000000001</v>
      </c>
      <c r="L45" s="46">
        <f t="shared" si="14"/>
        <v>-4.9999999999999822E-2</v>
      </c>
      <c r="M45" s="46">
        <f t="shared" si="15"/>
        <v>-1.1111111111111072</v>
      </c>
      <c r="N45" s="50">
        <v>200</v>
      </c>
      <c r="O45" s="37">
        <v>890</v>
      </c>
      <c r="P45" s="51">
        <v>0</v>
      </c>
      <c r="Q45" s="48">
        <f t="shared" si="17"/>
        <v>2.0682333732778244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24703300</v>
      </c>
      <c r="O47" s="61">
        <f>SUM(O9:O45)</f>
        <v>216976837.01000005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40" t="s">
        <v>118</v>
      </c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3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90268120.215599999</v>
      </c>
      <c r="E50" s="39">
        <v>0</v>
      </c>
      <c r="F50" s="40" t="s">
        <v>92</v>
      </c>
      <c r="G50" s="70">
        <v>0.1</v>
      </c>
      <c r="H50" s="42">
        <v>0.16220000000000001</v>
      </c>
      <c r="I50" s="42">
        <v>0.15939999999999999</v>
      </c>
      <c r="J50" s="44">
        <f t="shared" ref="J50:J65" si="20">I50</f>
        <v>0.15939999999999999</v>
      </c>
      <c r="K50" s="39">
        <v>0</v>
      </c>
      <c r="L50" s="46">
        <f t="shared" ref="L50:L65" si="21">I50-H50</f>
        <v>-2.8000000000000247E-3</v>
      </c>
      <c r="M50" s="46">
        <f t="shared" ref="M50:M65" si="22">((I50-H50)/H50)*100</f>
        <v>-1.7262638717632703</v>
      </c>
      <c r="N50" s="50">
        <v>813068</v>
      </c>
      <c r="O50" s="37">
        <v>129587.45</v>
      </c>
      <c r="P50" s="71">
        <f>(R50)/J50</f>
        <v>0</v>
      </c>
      <c r="Q50" s="48">
        <f t="shared" ref="Q50:Q65" si="23">J50/G50-1</f>
        <v>0.59399999999999986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41729387.417600006</v>
      </c>
      <c r="E51" s="39">
        <v>0</v>
      </c>
      <c r="F51" s="40" t="s">
        <v>39</v>
      </c>
      <c r="G51" s="70">
        <v>39.9</v>
      </c>
      <c r="H51" s="42">
        <v>38.562600000000003</v>
      </c>
      <c r="I51" s="42">
        <v>37.529600000000002</v>
      </c>
      <c r="J51" s="44">
        <f t="shared" si="20"/>
        <v>37.529600000000002</v>
      </c>
      <c r="K51" s="39">
        <v>0</v>
      </c>
      <c r="L51" s="46">
        <f t="shared" si="21"/>
        <v>-1.0330000000000013</v>
      </c>
      <c r="M51" s="46">
        <f t="shared" si="22"/>
        <v>-2.6787612868426951</v>
      </c>
      <c r="N51" s="50">
        <v>1056</v>
      </c>
      <c r="O51" s="37">
        <v>39631.300000000003</v>
      </c>
      <c r="P51" s="72">
        <f>(R51)/J51</f>
        <v>1.4921555252387449E-2</v>
      </c>
      <c r="Q51" s="48">
        <f t="shared" si="23"/>
        <v>-5.9408521303258022E-2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675032018.59679997</v>
      </c>
      <c r="E52" s="39"/>
      <c r="F52" s="40" t="s">
        <v>56</v>
      </c>
      <c r="G52" s="70">
        <v>0.33</v>
      </c>
      <c r="H52" s="42">
        <v>0.22589999999999999</v>
      </c>
      <c r="I52" s="42">
        <v>0.22559999999999999</v>
      </c>
      <c r="J52" s="44">
        <f t="shared" si="20"/>
        <v>0.22559999999999999</v>
      </c>
      <c r="K52" s="39">
        <v>0</v>
      </c>
      <c r="L52" s="46">
        <f t="shared" si="21"/>
        <v>-2.9999999999999472E-4</v>
      </c>
      <c r="M52" s="46">
        <f t="shared" si="22"/>
        <v>-0.13280212483399501</v>
      </c>
      <c r="N52" s="50">
        <v>82697</v>
      </c>
      <c r="O52" s="37">
        <v>18660.34</v>
      </c>
      <c r="P52" s="71">
        <v>0</v>
      </c>
      <c r="Q52" s="48">
        <f t="shared" si="23"/>
        <v>-0.3163636363636364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344733731.0826</v>
      </c>
      <c r="E54" s="39">
        <v>0</v>
      </c>
      <c r="F54" s="40" t="s">
        <v>47</v>
      </c>
      <c r="G54" s="70">
        <v>9.0200000000000002E-2</v>
      </c>
      <c r="H54" s="42">
        <v>0.16009999999999999</v>
      </c>
      <c r="I54" s="42">
        <v>0.15939999999999999</v>
      </c>
      <c r="J54" s="44">
        <f t="shared" si="20"/>
        <v>0.15939999999999999</v>
      </c>
      <c r="K54" s="39">
        <v>0</v>
      </c>
      <c r="L54" s="46">
        <f t="shared" si="21"/>
        <v>-7.0000000000000617E-4</v>
      </c>
      <c r="M54" s="74">
        <f t="shared" si="22"/>
        <v>-0.43722673329169659</v>
      </c>
      <c r="N54" s="50">
        <v>11507</v>
      </c>
      <c r="O54" s="37">
        <v>1834.12</v>
      </c>
      <c r="P54" s="71">
        <f t="shared" si="24"/>
        <v>0</v>
      </c>
      <c r="Q54" s="48">
        <f t="shared" si="23"/>
        <v>0.7671840354767181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835150945.14499998</v>
      </c>
      <c r="E55" s="39">
        <v>0</v>
      </c>
      <c r="F55" s="40" t="s">
        <v>34</v>
      </c>
      <c r="G55" s="70">
        <v>0.95750000000000002</v>
      </c>
      <c r="H55" s="42">
        <v>1.4964</v>
      </c>
      <c r="I55" s="42">
        <v>1.4500999999999999</v>
      </c>
      <c r="J55" s="44">
        <f t="shared" si="20"/>
        <v>1.4500999999999999</v>
      </c>
      <c r="K55" s="39">
        <v>0</v>
      </c>
      <c r="L55" s="46">
        <f t="shared" si="21"/>
        <v>-4.6300000000000008E-2</v>
      </c>
      <c r="M55" s="46">
        <f t="shared" si="22"/>
        <v>-3.0940924886394017</v>
      </c>
      <c r="N55" s="50">
        <v>2115912</v>
      </c>
      <c r="O55" s="37">
        <v>3068383.43</v>
      </c>
      <c r="P55" s="72">
        <f t="shared" si="24"/>
        <v>3.2411557823598371E-2</v>
      </c>
      <c r="Q55" s="48">
        <f t="shared" si="23"/>
        <v>0.51446475195822439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20575290.216600001</v>
      </c>
      <c r="E56" s="39">
        <v>0</v>
      </c>
      <c r="F56" s="40" t="s">
        <v>34</v>
      </c>
      <c r="G56" s="70">
        <v>0.1595</v>
      </c>
      <c r="H56" s="42">
        <v>0.1273</v>
      </c>
      <c r="I56" s="42">
        <v>0.12529999999999999</v>
      </c>
      <c r="J56" s="44">
        <f t="shared" si="20"/>
        <v>0.12529999999999999</v>
      </c>
      <c r="K56" s="39">
        <v>0</v>
      </c>
      <c r="L56" s="46">
        <f t="shared" si="21"/>
        <v>-2.0000000000000018E-3</v>
      </c>
      <c r="M56" s="46">
        <f t="shared" si="22"/>
        <v>-1.5710919088766706</v>
      </c>
      <c r="N56" s="50">
        <v>20000</v>
      </c>
      <c r="O56" s="37">
        <v>2506.86</v>
      </c>
      <c r="P56" s="71">
        <f t="shared" si="24"/>
        <v>0</v>
      </c>
      <c r="Q56" s="48">
        <f t="shared" si="23"/>
        <v>-0.21442006269592484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24627223.150000002</v>
      </c>
      <c r="E57" s="39">
        <v>0</v>
      </c>
      <c r="F57" s="40" t="s">
        <v>92</v>
      </c>
      <c r="G57" s="70">
        <v>1.6799999999999999E-2</v>
      </c>
      <c r="H57" s="42">
        <v>2.5000000000000001E-2</v>
      </c>
      <c r="I57" s="42">
        <v>2.5000000000000001E-2</v>
      </c>
      <c r="J57" s="44">
        <f t="shared" si="20"/>
        <v>2.5000000000000001E-2</v>
      </c>
      <c r="K57" s="39">
        <v>0</v>
      </c>
      <c r="L57" s="46">
        <f t="shared" si="21"/>
        <v>0</v>
      </c>
      <c r="M57" s="74">
        <f t="shared" si="22"/>
        <v>0</v>
      </c>
      <c r="N57" s="50">
        <v>5435</v>
      </c>
      <c r="O57" s="37">
        <v>135.88</v>
      </c>
      <c r="P57" s="71">
        <f t="shared" si="24"/>
        <v>0</v>
      </c>
      <c r="Q57" s="48">
        <f t="shared" si="23"/>
        <v>0.48809523809523836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3982112404.8692999</v>
      </c>
      <c r="E59" s="39">
        <v>0</v>
      </c>
      <c r="F59" s="40" t="s">
        <v>47</v>
      </c>
      <c r="G59" s="70">
        <v>0.78169999999999995</v>
      </c>
      <c r="H59" s="51">
        <v>0.89</v>
      </c>
      <c r="I59" s="42">
        <v>0.88529999999999998</v>
      </c>
      <c r="J59" s="44">
        <f t="shared" si="20"/>
        <v>0.88529999999999998</v>
      </c>
      <c r="K59" s="39">
        <v>0</v>
      </c>
      <c r="L59" s="46">
        <f t="shared" si="21"/>
        <v>-4.7000000000000375E-3</v>
      </c>
      <c r="M59" s="46">
        <f t="shared" si="22"/>
        <v>-0.52808988764045361</v>
      </c>
      <c r="N59" s="75">
        <v>4604</v>
      </c>
      <c r="O59" s="76">
        <v>4076.14</v>
      </c>
      <c r="P59" s="71">
        <f t="shared" si="24"/>
        <v>0</v>
      </c>
      <c r="Q59" s="48">
        <f t="shared" si="23"/>
        <v>0.13253166176282472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1170037952.4383001</v>
      </c>
      <c r="E60" s="39">
        <v>0</v>
      </c>
      <c r="F60" s="40" t="s">
        <v>92</v>
      </c>
      <c r="G60" s="70">
        <v>0.59499999999999997</v>
      </c>
      <c r="H60" s="42">
        <v>1.4965999999999999</v>
      </c>
      <c r="I60" s="42">
        <v>1.4533</v>
      </c>
      <c r="J60" s="44">
        <f t="shared" si="20"/>
        <v>1.4533</v>
      </c>
      <c r="K60" s="39">
        <v>0</v>
      </c>
      <c r="L60" s="46">
        <f t="shared" si="21"/>
        <v>-4.3299999999999894E-2</v>
      </c>
      <c r="M60" s="46">
        <f t="shared" si="22"/>
        <v>-2.8932246425230455</v>
      </c>
      <c r="N60" s="50">
        <v>2256095</v>
      </c>
      <c r="O60" s="37">
        <v>3278846.47</v>
      </c>
      <c r="P60" s="71">
        <f t="shared" si="24"/>
        <v>0</v>
      </c>
      <c r="Q60" s="48">
        <f t="shared" si="23"/>
        <v>1.4425210084033617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105328665.272</v>
      </c>
      <c r="E61" s="39">
        <v>0</v>
      </c>
      <c r="F61" s="40" t="s">
        <v>34</v>
      </c>
      <c r="G61" s="70">
        <v>0.22600000000000001</v>
      </c>
      <c r="H61" s="42">
        <v>0.40410000000000001</v>
      </c>
      <c r="I61" s="42">
        <v>0.40400000000000003</v>
      </c>
      <c r="J61" s="44">
        <f t="shared" si="20"/>
        <v>0.40400000000000003</v>
      </c>
      <c r="K61" s="39">
        <v>0</v>
      </c>
      <c r="L61" s="46">
        <f t="shared" si="21"/>
        <v>-9.9999999999988987E-5</v>
      </c>
      <c r="M61" s="46">
        <f t="shared" si="22"/>
        <v>-2.4746349913385049E-2</v>
      </c>
      <c r="N61" s="50">
        <v>3602</v>
      </c>
      <c r="O61" s="37">
        <v>1455.31</v>
      </c>
      <c r="P61" s="71">
        <f t="shared" si="24"/>
        <v>0</v>
      </c>
      <c r="Q61" s="48">
        <f t="shared" si="23"/>
        <v>0.78761061946902666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396733804.89160001</v>
      </c>
      <c r="E62" s="39">
        <v>0</v>
      </c>
      <c r="F62" s="40" t="s">
        <v>34</v>
      </c>
      <c r="G62" s="70">
        <v>0.49440000000000001</v>
      </c>
      <c r="H62" s="42">
        <v>0.7288</v>
      </c>
      <c r="I62" s="42">
        <v>0.70569999999999999</v>
      </c>
      <c r="J62" s="44">
        <f t="shared" si="20"/>
        <v>0.70569999999999999</v>
      </c>
      <c r="K62" s="39">
        <v>0</v>
      </c>
      <c r="L62" s="46">
        <f t="shared" si="21"/>
        <v>-2.3100000000000009E-2</v>
      </c>
      <c r="M62" s="46">
        <f t="shared" si="22"/>
        <v>-3.1695938529088927</v>
      </c>
      <c r="N62" s="50">
        <v>8032</v>
      </c>
      <c r="O62" s="37">
        <v>5668.14</v>
      </c>
      <c r="P62" s="71">
        <f t="shared" si="24"/>
        <v>0</v>
      </c>
      <c r="Q62" s="48">
        <f t="shared" si="23"/>
        <v>0.42738673139158578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82309978.702999994</v>
      </c>
      <c r="E63" s="39">
        <v>0</v>
      </c>
      <c r="F63" s="40" t="s">
        <v>34</v>
      </c>
      <c r="G63" s="70">
        <v>0.25950000000000001</v>
      </c>
      <c r="H63" s="42">
        <v>0.21829999999999999</v>
      </c>
      <c r="I63" s="42">
        <v>0.2258</v>
      </c>
      <c r="J63" s="44">
        <f t="shared" si="20"/>
        <v>0.2258</v>
      </c>
      <c r="K63" s="39">
        <v>0</v>
      </c>
      <c r="L63" s="46">
        <f t="shared" si="21"/>
        <v>7.5000000000000067E-3</v>
      </c>
      <c r="M63" s="46">
        <f t="shared" si="22"/>
        <v>3.435639028859371</v>
      </c>
      <c r="N63" s="50">
        <v>5890</v>
      </c>
      <c r="O63" s="37">
        <v>1330.06</v>
      </c>
      <c r="P63" s="71">
        <f t="shared" si="24"/>
        <v>0</v>
      </c>
      <c r="Q63" s="48">
        <f t="shared" si="23"/>
        <v>-0.12986512524084781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360000000</v>
      </c>
      <c r="E64" s="39">
        <v>0</v>
      </c>
      <c r="F64" s="40" t="s">
        <v>66</v>
      </c>
      <c r="G64" s="70">
        <v>10</v>
      </c>
      <c r="H64" s="42">
        <v>12</v>
      </c>
      <c r="I64" s="42">
        <v>12</v>
      </c>
      <c r="J64" s="44">
        <f t="shared" si="20"/>
        <v>12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0.19999999999999996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0</v>
      </c>
      <c r="M65" s="46">
        <f t="shared" si="22"/>
        <v>0</v>
      </c>
      <c r="N65" s="50">
        <v>42</v>
      </c>
      <c r="O65" s="37">
        <v>5.04</v>
      </c>
      <c r="P65" s="71">
        <f t="shared" si="24"/>
        <v>0</v>
      </c>
      <c r="Q65" s="48">
        <f t="shared" si="23"/>
        <v>1.7906976744186047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5327940</v>
      </c>
      <c r="O66" s="62">
        <f>SUM(O50:O65)</f>
        <v>6552120.5399999991</v>
      </c>
      <c r="P66" s="80"/>
      <c r="Q66" s="63"/>
    </row>
    <row r="67" spans="1:20" ht="12.6" hidden="1" x14ac:dyDescent="0.3">
      <c r="A67" s="134" t="s">
        <v>152</v>
      </c>
      <c r="B67" s="135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7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4" t="s">
        <v>156</v>
      </c>
      <c r="B70" s="135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7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46038844.0035</v>
      </c>
      <c r="E71" s="39">
        <f>C71*K71</f>
        <v>46038844.0035</v>
      </c>
      <c r="F71" s="92" t="s">
        <v>159</v>
      </c>
      <c r="G71" s="92">
        <v>0.24</v>
      </c>
      <c r="H71" s="93">
        <v>0.33050000000000002</v>
      </c>
      <c r="I71" s="93">
        <v>0.33050000000000002</v>
      </c>
      <c r="J71" s="94">
        <f>I71</f>
        <v>0.33050000000000002</v>
      </c>
      <c r="K71" s="94">
        <f>J71</f>
        <v>0.33050000000000002</v>
      </c>
      <c r="L71" s="46">
        <f>I71-H71</f>
        <v>0</v>
      </c>
      <c r="M71" s="46">
        <f>((I71-H71)/H71)*100</f>
        <v>0</v>
      </c>
      <c r="N71" s="95">
        <v>211</v>
      </c>
      <c r="O71" s="96">
        <v>69.739999999999995</v>
      </c>
      <c r="P71" s="71">
        <f>(R71)/J71</f>
        <v>0</v>
      </c>
      <c r="Q71" s="48">
        <f>J71/G71-1</f>
        <v>0.37708333333333344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88737362.174999997</v>
      </c>
      <c r="E72" s="39">
        <f>C72*K72</f>
        <v>88737362.174999997</v>
      </c>
      <c r="F72" s="92" t="s">
        <v>159</v>
      </c>
      <c r="G72" s="92">
        <v>0.1</v>
      </c>
      <c r="H72" s="93">
        <v>0.17019999999999999</v>
      </c>
      <c r="I72" s="93">
        <v>0.1641</v>
      </c>
      <c r="J72" s="94">
        <f>I72</f>
        <v>0.1641</v>
      </c>
      <c r="K72" s="94">
        <f>J72</f>
        <v>0.1641</v>
      </c>
      <c r="L72" s="46">
        <f>I72-H72</f>
        <v>-6.0999999999999943E-3</v>
      </c>
      <c r="M72" s="46">
        <f>((I72-H72)/H72)*100</f>
        <v>-3.5840188014101027</v>
      </c>
      <c r="N72" s="50">
        <v>2693</v>
      </c>
      <c r="O72" s="96">
        <v>441.87</v>
      </c>
      <c r="P72" s="97">
        <f>(R72)/J72</f>
        <v>2.3107861060329069E-2</v>
      </c>
      <c r="Q72" s="48">
        <f>J72/G72-1</f>
        <v>0.64099999999999979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2904</v>
      </c>
      <c r="O73" s="62">
        <f>SUM(O71:O72)</f>
        <v>511.61</v>
      </c>
      <c r="P73" s="90"/>
      <c r="Q73" s="63"/>
    </row>
    <row r="74" spans="1:20" ht="12.6" x14ac:dyDescent="0.3">
      <c r="A74" s="134" t="s">
        <v>162</v>
      </c>
      <c r="B74" s="135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7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7644911.1689999998</v>
      </c>
      <c r="E75" s="39">
        <f>C75*K75</f>
        <v>7644911.1689999998</v>
      </c>
      <c r="F75" s="92" t="s">
        <v>137</v>
      </c>
      <c r="G75" s="92">
        <v>0.1394</v>
      </c>
      <c r="H75" s="93">
        <v>0.1105</v>
      </c>
      <c r="I75" s="93">
        <v>0.11899999999999999</v>
      </c>
      <c r="J75" s="94">
        <f>I75</f>
        <v>0.11899999999999999</v>
      </c>
      <c r="K75" s="94">
        <f>J75</f>
        <v>0.11899999999999999</v>
      </c>
      <c r="L75" s="46">
        <f>I75-H75</f>
        <v>8.4999999999999937E-3</v>
      </c>
      <c r="M75" s="46">
        <f>((I75-H75)/H75)*100</f>
        <v>7.6923076923076872</v>
      </c>
      <c r="N75" s="95">
        <v>98</v>
      </c>
      <c r="O75" s="96">
        <v>11.66</v>
      </c>
      <c r="P75" s="71">
        <f>(R75)/J75</f>
        <v>0</v>
      </c>
      <c r="Q75" s="48">
        <f>J75/G75-1</f>
        <v>-0.14634146341463417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40" t="s">
        <v>165</v>
      </c>
      <c r="B77" s="141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3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154330.80235610425</v>
      </c>
      <c r="E78" s="39">
        <f>C78*K78</f>
        <v>128794.35968750001</v>
      </c>
      <c r="F78" s="40" t="s">
        <v>137</v>
      </c>
      <c r="G78" s="70">
        <v>0.105</v>
      </c>
      <c r="H78" s="42">
        <v>0.13</v>
      </c>
      <c r="I78" s="42">
        <v>0.13</v>
      </c>
      <c r="J78" s="44">
        <f>I78/$J$5</f>
        <v>4.867984018034008E-3</v>
      </c>
      <c r="K78" s="45">
        <f>I78/$K$4</f>
        <v>4.0625000000000001E-3</v>
      </c>
      <c r="L78" s="46">
        <f>I78-H78</f>
        <v>0</v>
      </c>
      <c r="M78" s="98">
        <f>((I78-H78)/H78)*100</f>
        <v>0</v>
      </c>
      <c r="N78" s="37">
        <v>100</v>
      </c>
      <c r="O78" s="37">
        <v>13</v>
      </c>
      <c r="P78" s="40">
        <v>0</v>
      </c>
      <c r="Q78" s="48">
        <f>I78/G78-1</f>
        <v>0.23809523809523814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407898.2726145942</v>
      </c>
      <c r="E79" s="39">
        <f>C79*K79</f>
        <v>340405.13</v>
      </c>
      <c r="F79" s="40" t="s">
        <v>137</v>
      </c>
      <c r="G79" s="70">
        <v>4.2500000000000003E-2</v>
      </c>
      <c r="H79" s="42">
        <v>8.1000000000000003E-2</v>
      </c>
      <c r="I79" s="42">
        <v>0.08</v>
      </c>
      <c r="J79" s="44">
        <f>I79/$J$5</f>
        <v>2.9956824726363128E-3</v>
      </c>
      <c r="K79" s="45">
        <f>I79/$K$4</f>
        <v>2.5000000000000001E-3</v>
      </c>
      <c r="L79" s="46">
        <f>I79-H79</f>
        <v>-1.0000000000000009E-3</v>
      </c>
      <c r="M79" s="98">
        <f>((I79-H79)/H79)*100</f>
        <v>-1.2345679012345689</v>
      </c>
      <c r="N79" s="37">
        <v>9800</v>
      </c>
      <c r="O79" s="37">
        <v>784</v>
      </c>
      <c r="P79" s="40">
        <v>0</v>
      </c>
      <c r="Q79" s="48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1465695.2806767246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4.4935237089544691E-3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100</v>
      </c>
      <c r="O80" s="37">
        <v>12</v>
      </c>
      <c r="P80" s="40">
        <v>0</v>
      </c>
      <c r="Q80" s="48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422599.86182414595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6.328379223444211E-2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10000</v>
      </c>
      <c r="O82" s="62">
        <f>SUM(O78:O81)</f>
        <v>809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4" t="s">
        <v>174</v>
      </c>
      <c r="B83" s="135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7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27584711.834069148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7.4892061815907823E-2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0.53846153846153832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78517784.205076933</v>
      </c>
      <c r="E85" s="39">
        <f>C85*K85</f>
        <v>65525789.967968747</v>
      </c>
      <c r="F85" s="40" t="s">
        <v>177</v>
      </c>
      <c r="G85" s="40">
        <v>1.44347</v>
      </c>
      <c r="H85" s="42">
        <v>1.0637319999999999</v>
      </c>
      <c r="I85" s="42">
        <v>1.138895</v>
      </c>
      <c r="J85" s="44">
        <f>I85/$J$5</f>
        <v>4.2647097370914169E-2</v>
      </c>
      <c r="K85" s="45">
        <f>I85/$K$4</f>
        <v>3.559046875E-2</v>
      </c>
      <c r="L85" s="46">
        <f>I85-H85</f>
        <v>7.5163000000000091E-2</v>
      </c>
      <c r="M85" s="46">
        <f>((I85-H85)/H85*100)</f>
        <v>7.0659715041006672</v>
      </c>
      <c r="N85" s="76">
        <v>5280723</v>
      </c>
      <c r="O85" s="76">
        <v>6014127.0374999996</v>
      </c>
      <c r="P85" s="47">
        <f>(R85)/J85</f>
        <v>5.1023402157354278E-2</v>
      </c>
      <c r="Q85" s="48">
        <f>I85/G85-1</f>
        <v>-0.21100196055338871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4" t="s">
        <v>180</v>
      </c>
      <c r="B88" s="145"/>
      <c r="C88" s="145"/>
      <c r="D88" s="146"/>
      <c r="E88" s="144" t="s">
        <v>181</v>
      </c>
      <c r="F88" s="145"/>
      <c r="G88" s="145"/>
      <c r="H88" s="146"/>
      <c r="I88" s="52"/>
      <c r="J88" s="147" t="s">
        <v>182</v>
      </c>
      <c r="K88" s="148"/>
      <c r="L88" s="149"/>
      <c r="M88" s="147" t="s">
        <v>183</v>
      </c>
      <c r="N88" s="148"/>
      <c r="O88" s="149"/>
      <c r="P88" s="115"/>
      <c r="Q88" s="16"/>
    </row>
    <row r="89" spans="1:243" ht="15" customHeight="1" x14ac:dyDescent="0.25">
      <c r="A89" s="35" t="s">
        <v>81</v>
      </c>
      <c r="B89" s="116">
        <v>7.0828570000000006</v>
      </c>
      <c r="D89" s="116">
        <v>13.325712000000008</v>
      </c>
      <c r="E89" s="35" t="s">
        <v>90</v>
      </c>
      <c r="F89" s="117">
        <v>1.2</v>
      </c>
      <c r="H89" s="118">
        <v>-14.285714285714283</v>
      </c>
      <c r="J89" s="35" t="s">
        <v>146</v>
      </c>
      <c r="K89" s="51">
        <v>0.2258</v>
      </c>
      <c r="L89" s="119">
        <v>3.435639028859371</v>
      </c>
      <c r="M89" s="35" t="s">
        <v>144</v>
      </c>
      <c r="N89" s="117">
        <v>0.70569999999999999</v>
      </c>
      <c r="O89" s="118">
        <v>-3.1695938529088927</v>
      </c>
      <c r="P89" s="118">
        <v>-1.3931214627775275</v>
      </c>
      <c r="Q89" s="16"/>
    </row>
    <row r="90" spans="1:243" ht="15" customHeight="1" x14ac:dyDescent="0.25">
      <c r="A90" s="35" t="s">
        <v>62</v>
      </c>
      <c r="B90" s="116">
        <v>3.2529029999999999</v>
      </c>
      <c r="D90" s="116">
        <v>12.07245478036176</v>
      </c>
      <c r="E90" s="35" t="s">
        <v>95</v>
      </c>
      <c r="F90" s="117">
        <v>6.3643000000000005E-2</v>
      </c>
      <c r="H90" s="118">
        <v>-2.8736684674785518</v>
      </c>
      <c r="J90" s="35"/>
      <c r="K90" s="51"/>
      <c r="L90" s="119"/>
      <c r="M90" s="35" t="s">
        <v>129</v>
      </c>
      <c r="N90" s="117">
        <v>1.4500999999999999</v>
      </c>
      <c r="O90" s="118">
        <v>-3.0940924886394017</v>
      </c>
      <c r="P90" s="118">
        <v>-0.80321285140561771</v>
      </c>
      <c r="Q90" s="16"/>
    </row>
    <row r="91" spans="1:243" ht="15" customHeight="1" x14ac:dyDescent="0.25">
      <c r="A91" s="35" t="s">
        <v>35</v>
      </c>
      <c r="B91" s="116">
        <v>0.11902599999999999</v>
      </c>
      <c r="C91" s="116"/>
      <c r="D91" s="116">
        <v>9.9679407226733865</v>
      </c>
      <c r="E91" s="120" t="s">
        <v>79</v>
      </c>
      <c r="F91" s="117">
        <v>1.1499999999999999</v>
      </c>
      <c r="G91" s="121"/>
      <c r="H91" s="118">
        <v>-2.5423728813559343</v>
      </c>
      <c r="J91" s="35"/>
      <c r="K91" s="51"/>
      <c r="L91" s="119"/>
      <c r="M91" s="35" t="s">
        <v>140</v>
      </c>
      <c r="N91" s="117">
        <v>1.4533</v>
      </c>
      <c r="O91" s="118">
        <v>-2.8932246425230455</v>
      </c>
      <c r="P91" s="118">
        <v>-0.77994428969359408</v>
      </c>
      <c r="Q91" s="16"/>
    </row>
    <row r="92" spans="1:243" ht="15" customHeight="1" x14ac:dyDescent="0.25">
      <c r="A92" s="35" t="s">
        <v>93</v>
      </c>
      <c r="B92" s="116">
        <v>4.0346149999999996</v>
      </c>
      <c r="C92" s="116"/>
      <c r="D92" s="116">
        <v>0.86537499999999046</v>
      </c>
      <c r="E92" s="120" t="s">
        <v>115</v>
      </c>
      <c r="F92" s="117">
        <v>4.45</v>
      </c>
      <c r="G92" s="121"/>
      <c r="H92" s="118">
        <v>-1.1111111111111072</v>
      </c>
      <c r="J92" s="35"/>
      <c r="K92" s="51"/>
      <c r="L92" s="119"/>
      <c r="M92" s="35" t="s">
        <v>121</v>
      </c>
      <c r="N92" s="117">
        <v>37.529600000000002</v>
      </c>
      <c r="O92" s="118">
        <v>-2.6787612868426951</v>
      </c>
      <c r="P92" s="118">
        <v>-0.56417489421721045</v>
      </c>
      <c r="Q92" s="16"/>
    </row>
    <row r="93" spans="1:243" ht="15" customHeight="1" x14ac:dyDescent="0.25">
      <c r="A93" s="35" t="s">
        <v>99</v>
      </c>
      <c r="B93" s="116">
        <v>0.8595910000000001</v>
      </c>
      <c r="C93" s="116"/>
      <c r="D93" s="116">
        <v>0.78556345418113671</v>
      </c>
      <c r="E93" s="120" t="s">
        <v>105</v>
      </c>
      <c r="F93" s="117">
        <v>5.9000000000000004E-2</v>
      </c>
      <c r="G93" s="121"/>
      <c r="H93" s="118">
        <v>-0.38663492545881245</v>
      </c>
      <c r="J93" s="120"/>
      <c r="K93" s="121"/>
      <c r="L93" s="119"/>
      <c r="M93" s="35" t="s">
        <v>119</v>
      </c>
      <c r="N93" s="117">
        <v>0.15939999999999999</v>
      </c>
      <c r="O93" s="118">
        <v>-1.7262638717632703</v>
      </c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7BCwc2/wKJuT1iWTVfZeH8ipnTNDxhBhFW2p7QTeJp5Y5sRtMvzJLV4bT9mqtLBuaosKKzWSAFnRWCvBJk0rWw==" saltValue="LdR6tvvnXhcdRY2Ax6CfcQ==" spinCount="100000" sheet="1" objects="1" scenarios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2026-10-07T13:41:24Z</dcterms:created>
  <dcterms:modified xsi:type="dcterms:W3CDTF">2026-10-07T13:50:55Z</dcterms:modified>
</cp:coreProperties>
</file>