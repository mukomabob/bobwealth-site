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Oct/"/>
    </mc:Choice>
  </mc:AlternateContent>
  <xr:revisionPtr revIDLastSave="0" documentId="8_{559C9C19-E375-4705-9F67-0E2FDA30C209}" xr6:coauthVersionLast="47" xr6:coauthVersionMax="47" xr10:uidLastSave="{00000000-0000-0000-0000-000000000000}"/>
  <bookViews>
    <workbookView xWindow="-108" yWindow="-108" windowWidth="23256" windowHeight="12456" xr2:uid="{641203AD-72C4-4DF5-AEBD-A1AFBAA12112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M85" i="1"/>
  <c r="L85" i="1"/>
  <c r="K85" i="1"/>
  <c r="J85" i="1"/>
  <c r="P85" i="1" s="1"/>
  <c r="E85" i="1"/>
  <c r="D85" i="1"/>
  <c r="Q84" i="1"/>
  <c r="M84" i="1"/>
  <c r="L84" i="1"/>
  <c r="K84" i="1"/>
  <c r="J84" i="1"/>
  <c r="P84" i="1" s="1"/>
  <c r="E84" i="1"/>
  <c r="D84" i="1"/>
  <c r="O82" i="1"/>
  <c r="N82" i="1"/>
  <c r="Q81" i="1"/>
  <c r="M81" i="1"/>
  <c r="L81" i="1"/>
  <c r="K81" i="1"/>
  <c r="J81" i="1"/>
  <c r="E81" i="1"/>
  <c r="D81" i="1"/>
  <c r="Q80" i="1"/>
  <c r="M80" i="1"/>
  <c r="L80" i="1"/>
  <c r="K80" i="1"/>
  <c r="J80" i="1"/>
  <c r="E80" i="1"/>
  <c r="D80" i="1"/>
  <c r="Q79" i="1"/>
  <c r="M79" i="1"/>
  <c r="L79" i="1"/>
  <c r="K79" i="1"/>
  <c r="J79" i="1"/>
  <c r="E79" i="1"/>
  <c r="D79" i="1"/>
  <c r="Q78" i="1"/>
  <c r="M78" i="1"/>
  <c r="L78" i="1"/>
  <c r="K78" i="1"/>
  <c r="J78" i="1"/>
  <c r="E78" i="1"/>
  <c r="D78" i="1"/>
  <c r="M75" i="1"/>
  <c r="L75" i="1"/>
  <c r="J75" i="1"/>
  <c r="D75" i="1"/>
  <c r="O73" i="1"/>
  <c r="N73" i="1"/>
  <c r="M72" i="1"/>
  <c r="L72" i="1"/>
  <c r="J72" i="1"/>
  <c r="D72" i="1"/>
  <c r="M71" i="1"/>
  <c r="L71" i="1"/>
  <c r="J71" i="1"/>
  <c r="D71" i="1"/>
  <c r="M68" i="1"/>
  <c r="L68" i="1"/>
  <c r="D68" i="1"/>
  <c r="O66" i="1"/>
  <c r="N66" i="1"/>
  <c r="M65" i="1"/>
  <c r="L65" i="1"/>
  <c r="J65" i="1"/>
  <c r="D65" i="1"/>
  <c r="M64" i="1"/>
  <c r="L64" i="1"/>
  <c r="J64" i="1"/>
  <c r="D64" i="1"/>
  <c r="M63" i="1"/>
  <c r="L63" i="1"/>
  <c r="J63" i="1"/>
  <c r="D63" i="1"/>
  <c r="M62" i="1"/>
  <c r="L62" i="1"/>
  <c r="J62" i="1"/>
  <c r="D62" i="1"/>
  <c r="M61" i="1"/>
  <c r="L61" i="1"/>
  <c r="J61" i="1"/>
  <c r="D61" i="1"/>
  <c r="M60" i="1"/>
  <c r="L60" i="1"/>
  <c r="J60" i="1"/>
  <c r="D60" i="1"/>
  <c r="M59" i="1"/>
  <c r="L59" i="1"/>
  <c r="J59" i="1"/>
  <c r="D59" i="1"/>
  <c r="M58" i="1"/>
  <c r="L58" i="1"/>
  <c r="J58" i="1"/>
  <c r="D58" i="1"/>
  <c r="M57" i="1"/>
  <c r="L57" i="1"/>
  <c r="J57" i="1"/>
  <c r="D57" i="1"/>
  <c r="M56" i="1"/>
  <c r="L56" i="1"/>
  <c r="J56" i="1"/>
  <c r="D56" i="1"/>
  <c r="M55" i="1"/>
  <c r="L55" i="1"/>
  <c r="J55" i="1"/>
  <c r="D55" i="1"/>
  <c r="M54" i="1"/>
  <c r="L54" i="1"/>
  <c r="J54" i="1"/>
  <c r="D54" i="1"/>
  <c r="L53" i="1"/>
  <c r="J53" i="1"/>
  <c r="P53" i="1" s="1"/>
  <c r="D53" i="1"/>
  <c r="M52" i="1"/>
  <c r="L52" i="1"/>
  <c r="J52" i="1"/>
  <c r="Q52" i="1" s="1"/>
  <c r="D52" i="1"/>
  <c r="M51" i="1"/>
  <c r="L51" i="1"/>
  <c r="J51" i="1"/>
  <c r="D51" i="1"/>
  <c r="M50" i="1"/>
  <c r="L50" i="1"/>
  <c r="J50" i="1"/>
  <c r="D50" i="1"/>
  <c r="O47" i="1"/>
  <c r="N47" i="1"/>
  <c r="Q45" i="1"/>
  <c r="M45" i="1"/>
  <c r="L45" i="1"/>
  <c r="K45" i="1"/>
  <c r="J45" i="1"/>
  <c r="E45" i="1"/>
  <c r="D45" i="1"/>
  <c r="Q44" i="1"/>
  <c r="M44" i="1"/>
  <c r="L44" i="1"/>
  <c r="K44" i="1"/>
  <c r="J44" i="1"/>
  <c r="P44" i="1" s="1"/>
  <c r="E44" i="1"/>
  <c r="D44" i="1"/>
  <c r="Q43" i="1"/>
  <c r="M43" i="1"/>
  <c r="L43" i="1"/>
  <c r="K43" i="1"/>
  <c r="J43" i="1"/>
  <c r="P43" i="1" s="1"/>
  <c r="E43" i="1"/>
  <c r="D43" i="1"/>
  <c r="Q42" i="1"/>
  <c r="M42" i="1"/>
  <c r="L42" i="1"/>
  <c r="K42" i="1"/>
  <c r="J42" i="1"/>
  <c r="P42" i="1" s="1"/>
  <c r="E42" i="1"/>
  <c r="D42" i="1"/>
  <c r="Q41" i="1"/>
  <c r="M41" i="1"/>
  <c r="L41" i="1"/>
  <c r="K41" i="1"/>
  <c r="J41" i="1"/>
  <c r="P41" i="1" s="1"/>
  <c r="E41" i="1"/>
  <c r="D41" i="1"/>
  <c r="Q40" i="1"/>
  <c r="M40" i="1"/>
  <c r="L40" i="1"/>
  <c r="K40" i="1"/>
  <c r="J40" i="1"/>
  <c r="P40" i="1" s="1"/>
  <c r="E40" i="1"/>
  <c r="D40" i="1"/>
  <c r="Q39" i="1"/>
  <c r="M39" i="1"/>
  <c r="L39" i="1"/>
  <c r="K39" i="1"/>
  <c r="J39" i="1"/>
  <c r="P39" i="1" s="1"/>
  <c r="E39" i="1"/>
  <c r="D39" i="1"/>
  <c r="Q38" i="1"/>
  <c r="M38" i="1"/>
  <c r="L38" i="1"/>
  <c r="K38" i="1"/>
  <c r="J38" i="1"/>
  <c r="P38" i="1" s="1"/>
  <c r="E38" i="1"/>
  <c r="D38" i="1"/>
  <c r="Q37" i="1"/>
  <c r="M37" i="1"/>
  <c r="L37" i="1"/>
  <c r="K37" i="1"/>
  <c r="J37" i="1"/>
  <c r="E37" i="1"/>
  <c r="D37" i="1"/>
  <c r="Q36" i="1"/>
  <c r="M36" i="1"/>
  <c r="L36" i="1"/>
  <c r="K36" i="1"/>
  <c r="J36" i="1"/>
  <c r="P36" i="1" s="1"/>
  <c r="E36" i="1"/>
  <c r="D36" i="1"/>
  <c r="Q35" i="1"/>
  <c r="M35" i="1"/>
  <c r="L35" i="1"/>
  <c r="K35" i="1"/>
  <c r="J35" i="1"/>
  <c r="P35" i="1" s="1"/>
  <c r="E35" i="1"/>
  <c r="D35" i="1"/>
  <c r="Q34" i="1"/>
  <c r="M34" i="1"/>
  <c r="L34" i="1"/>
  <c r="K34" i="1"/>
  <c r="J34" i="1"/>
  <c r="P34" i="1" s="1"/>
  <c r="E34" i="1"/>
  <c r="D34" i="1"/>
  <c r="Q33" i="1"/>
  <c r="M33" i="1"/>
  <c r="L33" i="1"/>
  <c r="K33" i="1"/>
  <c r="J33" i="1"/>
  <c r="P33" i="1" s="1"/>
  <c r="E33" i="1"/>
  <c r="D33" i="1"/>
  <c r="Q32" i="1"/>
  <c r="M32" i="1"/>
  <c r="L32" i="1"/>
  <c r="K32" i="1"/>
  <c r="J32" i="1"/>
  <c r="P32" i="1" s="1"/>
  <c r="E32" i="1"/>
  <c r="D32" i="1"/>
  <c r="Q31" i="1"/>
  <c r="M31" i="1"/>
  <c r="L31" i="1"/>
  <c r="K31" i="1"/>
  <c r="J31" i="1"/>
  <c r="P31" i="1" s="1"/>
  <c r="E31" i="1"/>
  <c r="D31" i="1"/>
  <c r="K30" i="1"/>
  <c r="J30" i="1"/>
  <c r="E30" i="1"/>
  <c r="D30" i="1"/>
  <c r="Q29" i="1"/>
  <c r="M29" i="1"/>
  <c r="L29" i="1"/>
  <c r="K29" i="1"/>
  <c r="J29" i="1"/>
  <c r="P29" i="1" s="1"/>
  <c r="E29" i="1"/>
  <c r="D29" i="1"/>
  <c r="Q28" i="1"/>
  <c r="M28" i="1"/>
  <c r="L28" i="1"/>
  <c r="K28" i="1"/>
  <c r="J28" i="1"/>
  <c r="P28" i="1" s="1"/>
  <c r="E28" i="1"/>
  <c r="D28" i="1"/>
  <c r="Q27" i="1"/>
  <c r="M27" i="1"/>
  <c r="L27" i="1"/>
  <c r="K27" i="1"/>
  <c r="J27" i="1"/>
  <c r="P27" i="1" s="1"/>
  <c r="E27" i="1"/>
  <c r="D27" i="1"/>
  <c r="Q26" i="1"/>
  <c r="M26" i="1"/>
  <c r="L26" i="1"/>
  <c r="K26" i="1"/>
  <c r="J26" i="1"/>
  <c r="P26" i="1" s="1"/>
  <c r="E26" i="1"/>
  <c r="D26" i="1"/>
  <c r="Q25" i="1"/>
  <c r="M25" i="1"/>
  <c r="L25" i="1"/>
  <c r="K25" i="1"/>
  <c r="E25" i="1" s="1"/>
  <c r="J25" i="1"/>
  <c r="P25" i="1" s="1"/>
  <c r="D25" i="1"/>
  <c r="R24" i="1"/>
  <c r="P24" i="1" s="1"/>
  <c r="Q24" i="1"/>
  <c r="M24" i="1"/>
  <c r="L24" i="1"/>
  <c r="K24" i="1"/>
  <c r="J24" i="1"/>
  <c r="E24" i="1"/>
  <c r="D24" i="1"/>
  <c r="Q23" i="1"/>
  <c r="M23" i="1"/>
  <c r="L23" i="1"/>
  <c r="K23" i="1"/>
  <c r="J23" i="1"/>
  <c r="P23" i="1" s="1"/>
  <c r="E23" i="1"/>
  <c r="D23" i="1"/>
  <c r="Q22" i="1"/>
  <c r="L22" i="1"/>
  <c r="K22" i="1"/>
  <c r="J22" i="1"/>
  <c r="E22" i="1"/>
  <c r="D22" i="1"/>
  <c r="Q21" i="1"/>
  <c r="P21" i="1"/>
  <c r="M21" i="1"/>
  <c r="L21" i="1"/>
  <c r="K21" i="1"/>
  <c r="J21" i="1"/>
  <c r="E21" i="1"/>
  <c r="D21" i="1"/>
  <c r="Q20" i="1"/>
  <c r="M20" i="1"/>
  <c r="L20" i="1"/>
  <c r="K20" i="1"/>
  <c r="J20" i="1"/>
  <c r="P20" i="1" s="1"/>
  <c r="E20" i="1"/>
  <c r="D20" i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J17" i="1"/>
  <c r="P17" i="1" s="1"/>
  <c r="E17" i="1"/>
  <c r="D17" i="1"/>
  <c r="Q16" i="1"/>
  <c r="M16" i="1"/>
  <c r="L16" i="1"/>
  <c r="K16" i="1"/>
  <c r="J16" i="1"/>
  <c r="P16" i="1" s="1"/>
  <c r="E16" i="1"/>
  <c r="D16" i="1"/>
  <c r="Q15" i="1"/>
  <c r="M15" i="1"/>
  <c r="L15" i="1"/>
  <c r="K15" i="1"/>
  <c r="J15" i="1"/>
  <c r="P15" i="1" s="1"/>
  <c r="E15" i="1"/>
  <c r="D15" i="1"/>
  <c r="Q14" i="1"/>
  <c r="M14" i="1"/>
  <c r="L14" i="1"/>
  <c r="K14" i="1"/>
  <c r="J14" i="1"/>
  <c r="P14" i="1" s="1"/>
  <c r="E14" i="1"/>
  <c r="D14" i="1"/>
  <c r="Q13" i="1"/>
  <c r="M13" i="1"/>
  <c r="L13" i="1"/>
  <c r="K13" i="1"/>
  <c r="J13" i="1"/>
  <c r="P13" i="1" s="1"/>
  <c r="E13" i="1"/>
  <c r="D13" i="1"/>
  <c r="Q12" i="1"/>
  <c r="M12" i="1"/>
  <c r="L12" i="1"/>
  <c r="K12" i="1"/>
  <c r="J12" i="1"/>
  <c r="P12" i="1" s="1"/>
  <c r="E12" i="1"/>
  <c r="D12" i="1"/>
  <c r="Q11" i="1"/>
  <c r="M11" i="1"/>
  <c r="L11" i="1"/>
  <c r="K11" i="1"/>
  <c r="J11" i="1"/>
  <c r="P11" i="1" s="1"/>
  <c r="E11" i="1"/>
  <c r="D11" i="1"/>
  <c r="Q10" i="1"/>
  <c r="M10" i="1"/>
  <c r="L10" i="1"/>
  <c r="K10" i="1"/>
  <c r="J10" i="1"/>
  <c r="P10" i="1" s="1"/>
  <c r="E10" i="1"/>
  <c r="D10" i="1"/>
  <c r="Q9" i="1"/>
  <c r="M9" i="1"/>
  <c r="L9" i="1"/>
  <c r="K9" i="1"/>
  <c r="J9" i="1"/>
  <c r="P9" i="1" s="1"/>
  <c r="E9" i="1"/>
  <c r="D9" i="1"/>
  <c r="K75" i="1" l="1"/>
  <c r="E75" i="1" s="1"/>
  <c r="P75" i="1"/>
  <c r="Q75" i="1"/>
  <c r="P72" i="1"/>
  <c r="Q72" i="1"/>
  <c r="K72" i="1"/>
  <c r="E72" i="1" s="1"/>
  <c r="P71" i="1"/>
  <c r="K71" i="1"/>
  <c r="E71" i="1" s="1"/>
  <c r="Q71" i="1"/>
  <c r="Q65" i="1"/>
  <c r="P65" i="1"/>
  <c r="Q64" i="1"/>
  <c r="P64" i="1"/>
  <c r="Q63" i="1"/>
  <c r="P63" i="1"/>
  <c r="Q62" i="1"/>
  <c r="P62" i="1"/>
  <c r="Q61" i="1"/>
  <c r="P61" i="1"/>
  <c r="Q60" i="1"/>
  <c r="P60" i="1"/>
  <c r="Q59" i="1"/>
  <c r="P59" i="1"/>
  <c r="Q58" i="1"/>
  <c r="P58" i="1"/>
  <c r="Q57" i="1"/>
  <c r="P57" i="1"/>
  <c r="Q56" i="1"/>
  <c r="P56" i="1"/>
  <c r="Q55" i="1"/>
  <c r="P55" i="1"/>
  <c r="Q54" i="1"/>
  <c r="P54" i="1"/>
  <c r="P51" i="1"/>
  <c r="Q51" i="1"/>
  <c r="P50" i="1"/>
  <c r="Q50" i="1"/>
</calcChain>
</file>

<file path=xl/sharedStrings.xml><?xml version="1.0" encoding="utf-8"?>
<sst xmlns="http://schemas.openxmlformats.org/spreadsheetml/2006/main" count="273" uniqueCount="185">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</sst>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-* #,##0_-;\-* #,##0_-;_-* &quot;-&quot;??_-;_-@_-"/>
    <numFmt numFmtId="172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9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50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8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9" fontId="15" fillId="5" borderId="0" xfId="1" applyFont="1" applyFill="1" applyBorder="1"/>
    <xf numFmtId="10" fontId="15" fillId="5" borderId="6" xfId="5" applyNumberFormat="1" applyFont="1" applyFill="1" applyBorder="1" applyAlignment="1"/>
    <xf numFmtId="169" fontId="4" fillId="3" borderId="0" xfId="2" applyNumberFormat="1" applyFont="1" applyFill="1" applyAlignment="1"/>
    <xf numFmtId="166" fontId="15" fillId="5" borderId="0" xfId="6" applyNumberFormat="1" applyFont="1" applyFill="1" applyBorder="1"/>
    <xf numFmtId="164" fontId="15" fillId="5" borderId="0" xfId="6" applyFont="1" applyFill="1" applyBorder="1"/>
    <xf numFmtId="164" fontId="4" fillId="3" borderId="0" xfId="2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6" fontId="15" fillId="5" borderId="0" xfId="4" applyNumberFormat="1" applyFont="1" applyFill="1" applyBorder="1" applyAlignment="1">
      <alignment horizontal="right"/>
    </xf>
    <xf numFmtId="167" fontId="15" fillId="9" borderId="0" xfId="3" applyNumberFormat="1" applyFont="1" applyFill="1" applyBorder="1"/>
    <xf numFmtId="171" fontId="15" fillId="5" borderId="0" xfId="6" applyNumberFormat="1" applyFont="1" applyFill="1" applyBorder="1"/>
    <xf numFmtId="166" fontId="15" fillId="5" borderId="0" xfId="6" applyNumberFormat="1" applyFont="1" applyFill="1" applyBorder="1" applyAlignment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6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2" fontId="15" fillId="5" borderId="0" xfId="3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4" applyNumberFormat="1" applyFont="1" applyFill="1" applyBorder="1" applyAlignment="1"/>
    <xf numFmtId="164" fontId="15" fillId="5" borderId="12" xfId="4" applyFont="1" applyFill="1" applyBorder="1" applyAlignment="1"/>
    <xf numFmtId="168" fontId="15" fillId="5" borderId="12" xfId="3" applyNumberFormat="1" applyFont="1" applyFill="1" applyBorder="1"/>
    <xf numFmtId="167" fontId="15" fillId="5" borderId="12" xfId="3" applyNumberFormat="1" applyFont="1" applyFill="1" applyBorder="1"/>
    <xf numFmtId="166" fontId="15" fillId="5" borderId="12" xfId="3" applyNumberFormat="1" applyFont="1" applyFill="1" applyBorder="1"/>
    <xf numFmtId="164" fontId="15" fillId="5" borderId="12" xfId="3" applyFont="1" applyFill="1" applyBorder="1"/>
    <xf numFmtId="167" fontId="15" fillId="5" borderId="13" xfId="3" applyNumberFormat="1" applyFont="1" applyFill="1" applyBorder="1"/>
    <xf numFmtId="164" fontId="15" fillId="5" borderId="14" xfId="3" applyFont="1" applyFill="1" applyBorder="1" applyAlignment="1">
      <alignment horizontal="left"/>
    </xf>
    <xf numFmtId="0" fontId="15" fillId="5" borderId="0" xfId="4" applyNumberFormat="1" applyFont="1" applyFill="1" applyBorder="1" applyAlignment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15" fillId="5" borderId="5" xfId="3" applyFont="1" applyFill="1" applyBorder="1"/>
    <xf numFmtId="0" fontId="21" fillId="3" borderId="0" xfId="2" applyFont="1" applyFill="1" applyAlignment="1"/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0" fontId="23" fillId="2" borderId="16" xfId="7" applyFont="1" applyFill="1" applyBorder="1"/>
    <xf numFmtId="164" fontId="24" fillId="5" borderId="0" xfId="3" applyFont="1" applyFill="1" applyBorder="1" applyAlignment="1">
      <alignment horizontal="left"/>
    </xf>
    <xf numFmtId="164" fontId="25" fillId="5" borderId="0" xfId="3" applyFont="1" applyFill="1" applyBorder="1" applyAlignment="1">
      <alignment horizontal="left"/>
    </xf>
    <xf numFmtId="172" fontId="25" fillId="5" borderId="6" xfId="6" applyNumberFormat="1" applyFont="1" applyFill="1" applyBorder="1" applyAlignment="1">
      <alignment horizontal="left"/>
    </xf>
    <xf numFmtId="164" fontId="24" fillId="5" borderId="6" xfId="3" applyFont="1" applyFill="1" applyBorder="1" applyAlignment="1">
      <alignment horizontal="left"/>
    </xf>
    <xf numFmtId="164" fontId="15" fillId="5" borderId="5" xfId="3" applyFont="1" applyFill="1" applyBorder="1" applyAlignment="1"/>
    <xf numFmtId="164" fontId="15" fillId="5" borderId="0" xfId="3" applyFont="1" applyFill="1" applyBorder="1" applyAlignment="1"/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6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6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 2 2 2 2 2" xfId="3" xr:uid="{E8BF4161-BB36-42B5-B656-9DC8E1AA796A}"/>
    <cellStyle name="Comma 5 2 2 2 2 2 2 2 2 2 2 2 2 2" xfId="4" xr:uid="{57116209-FE73-4CDE-96D1-1F917A131D87}"/>
    <cellStyle name="Comma 6 2 2 2 2 2 2 2 2" xfId="6" xr:uid="{6758C431-C3F9-4726-B989-F305E2F7183C}"/>
    <cellStyle name="Hyperlink 2" xfId="8" xr:uid="{2A048E6B-A9EB-4456-B787-27C5FB5FDD7A}"/>
    <cellStyle name="Normal" xfId="0" builtinId="0"/>
    <cellStyle name="Normal 2" xfId="2" xr:uid="{ABB8C3A0-72D2-4764-B3CF-149E6263F931}"/>
    <cellStyle name="Normal 20" xfId="7" xr:uid="{57C9A293-C3F9-43D0-82A7-DD03FF0445A1}"/>
    <cellStyle name="Percent" xfId="1" builtinId="5"/>
    <cellStyle name="Percent 3" xfId="5" xr:uid="{B118FF84-C7B0-4629-A584-FB16CE9E69B4}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90730E26-9A67-46E5-BDF9-3E7F21ECC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4520" y="177165"/>
          <a:ext cx="756285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149714</xdr:rowOff>
    </xdr:from>
    <xdr:to>
      <xdr:col>5</xdr:col>
      <xdr:colOff>1135381</xdr:colOff>
      <xdr:row>4</xdr:row>
      <xdr:rowOff>152691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CAF2FB0F-CB52-4368-9245-8B8177B25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714"/>
          <a:ext cx="63741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898EB-17A7-4259-9388-2A3796B42CAF}">
  <dimension ref="A1:II107"/>
  <sheetViews>
    <sheetView tabSelected="1" zoomScale="70" zoomScaleNormal="70" workbookViewId="0">
      <selection activeCell="T61" sqref="T61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6.33203125" style="5" hidden="1" customWidth="1"/>
    <col min="4" max="4" width="23.3320312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2" width="9.33203125" style="5" customWidth="1"/>
    <col min="23" max="23" width="9.88671875" style="5" bestFit="1" customWidth="1"/>
    <col min="24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9.109375" style="5"/>
  </cols>
  <sheetData>
    <row r="1" spans="1:19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32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26.6053</v>
      </c>
      <c r="K5" s="22"/>
      <c r="L5" s="148" t="s">
        <v>12</v>
      </c>
      <c r="M5" s="149"/>
      <c r="N5" s="23" t="s">
        <v>13</v>
      </c>
      <c r="O5" s="24"/>
      <c r="P5" s="24"/>
      <c r="Q5" s="25"/>
    </row>
    <row r="6" spans="1:19" ht="6.6" customHeight="1" x14ac:dyDescent="0.3">
      <c r="A6" s="138"/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1"/>
    </row>
    <row r="7" spans="1:19" s="32" customFormat="1" ht="27.75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5">
      <c r="A9" s="35" t="s">
        <v>32</v>
      </c>
      <c r="B9" s="36" t="s">
        <v>33</v>
      </c>
      <c r="C9" s="37">
        <v>126034439</v>
      </c>
      <c r="D9" s="38">
        <f t="shared" ref="D9:D45" si="0">C9*J9</f>
        <v>90006665.626773611</v>
      </c>
      <c r="E9" s="39">
        <f t="shared" ref="E9:E45" si="1">C9*K9</f>
        <v>74832948.15625</v>
      </c>
      <c r="F9" s="40" t="s">
        <v>34</v>
      </c>
      <c r="G9" s="41">
        <v>8.9894999999999996</v>
      </c>
      <c r="H9" s="42">
        <v>19</v>
      </c>
      <c r="I9" s="43">
        <v>19</v>
      </c>
      <c r="J9" s="44">
        <f>(I9/$J$5)</f>
        <v>0.71414342255114582</v>
      </c>
      <c r="K9" s="45">
        <f t="shared" ref="K9:K17" si="2">I9/$K$4</f>
        <v>0.59375</v>
      </c>
      <c r="L9" s="46">
        <f t="shared" ref="L9:L17" si="3">I9-H9</f>
        <v>0</v>
      </c>
      <c r="M9" s="46">
        <f t="shared" ref="M9:M17" si="4">((I9-H9)/H9)*100</f>
        <v>0</v>
      </c>
      <c r="N9" s="37">
        <v>7700</v>
      </c>
      <c r="O9" s="37">
        <v>146300</v>
      </c>
      <c r="P9" s="47">
        <f t="shared" ref="P9:P17" si="5">(R9)/J9</f>
        <v>2.1004184210526314E-2</v>
      </c>
      <c r="Q9" s="48">
        <f t="shared" ref="Q9:Q17" si="6">I9/G9-1</f>
        <v>1.113576950887146</v>
      </c>
      <c r="R9" s="49">
        <v>1.4999999999999999E-2</v>
      </c>
    </row>
    <row r="10" spans="1:19" x14ac:dyDescent="0.25">
      <c r="A10" s="35" t="s">
        <v>35</v>
      </c>
      <c r="B10" s="36" t="s">
        <v>36</v>
      </c>
      <c r="C10" s="37">
        <v>1627395595</v>
      </c>
      <c r="D10" s="38">
        <f t="shared" si="0"/>
        <v>7999074.4982894389</v>
      </c>
      <c r="E10" s="39">
        <f t="shared" si="1"/>
        <v>6650555.5234168749</v>
      </c>
      <c r="F10" s="40" t="s">
        <v>34</v>
      </c>
      <c r="G10" s="41">
        <v>3.1600000000000003E-2</v>
      </c>
      <c r="H10" s="42">
        <v>0.138236</v>
      </c>
      <c r="I10" s="43">
        <v>0.130772</v>
      </c>
      <c r="J10" s="44">
        <f t="shared" ref="J10:J17" si="7">I10/$J$5</f>
        <v>4.9152612449399179E-3</v>
      </c>
      <c r="K10" s="45">
        <f t="shared" si="2"/>
        <v>4.086625E-3</v>
      </c>
      <c r="L10" s="46">
        <f t="shared" si="3"/>
        <v>-7.4639999999999984E-3</v>
      </c>
      <c r="M10" s="46">
        <f t="shared" si="4"/>
        <v>-5.3994617899823485</v>
      </c>
      <c r="N10" s="50">
        <v>130900</v>
      </c>
      <c r="O10" s="37">
        <v>17118</v>
      </c>
      <c r="P10" s="51">
        <f t="shared" si="5"/>
        <v>0</v>
      </c>
      <c r="Q10" s="48">
        <f t="shared" si="6"/>
        <v>3.1383544303797466</v>
      </c>
      <c r="R10" s="49"/>
    </row>
    <row r="11" spans="1:19" x14ac:dyDescent="0.25">
      <c r="A11" s="35" t="s">
        <v>37</v>
      </c>
      <c r="B11" s="36" t="s">
        <v>38</v>
      </c>
      <c r="C11" s="37">
        <v>436977359</v>
      </c>
      <c r="D11" s="38">
        <f t="shared" si="0"/>
        <v>2956400.5901079862</v>
      </c>
      <c r="E11" s="39">
        <f t="shared" si="1"/>
        <v>2457997.6443749997</v>
      </c>
      <c r="F11" s="40" t="s">
        <v>39</v>
      </c>
      <c r="G11" s="41">
        <v>7.8E-2</v>
      </c>
      <c r="H11" s="42">
        <v>0.18</v>
      </c>
      <c r="I11" s="43">
        <v>0.18</v>
      </c>
      <c r="J11" s="44">
        <f t="shared" si="7"/>
        <v>6.7655692662740132E-3</v>
      </c>
      <c r="K11" s="45">
        <f t="shared" si="2"/>
        <v>5.6249999999999998E-3</v>
      </c>
      <c r="L11" s="46">
        <f t="shared" si="3"/>
        <v>0</v>
      </c>
      <c r="M11" s="46">
        <f t="shared" si="4"/>
        <v>0</v>
      </c>
      <c r="N11" s="50">
        <v>0</v>
      </c>
      <c r="O11" s="37">
        <v>0</v>
      </c>
      <c r="P11" s="51">
        <f t="shared" si="5"/>
        <v>0</v>
      </c>
      <c r="Q11" s="48">
        <f t="shared" si="6"/>
        <v>1.3076923076923075</v>
      </c>
      <c r="R11" s="49"/>
    </row>
    <row r="12" spans="1:19" x14ac:dyDescent="0.25">
      <c r="A12" s="35" t="s">
        <v>40</v>
      </c>
      <c r="B12" s="36" t="s">
        <v>41</v>
      </c>
      <c r="C12" s="37">
        <v>20633517</v>
      </c>
      <c r="D12" s="38">
        <f t="shared" si="0"/>
        <v>155108320.52260265</v>
      </c>
      <c r="E12" s="39">
        <f t="shared" si="1"/>
        <v>128959481.25</v>
      </c>
      <c r="F12" s="40" t="s">
        <v>34</v>
      </c>
      <c r="G12" s="41">
        <v>97.381</v>
      </c>
      <c r="H12" s="42">
        <v>190.375</v>
      </c>
      <c r="I12" s="43">
        <v>200</v>
      </c>
      <c r="J12" s="44">
        <f t="shared" si="7"/>
        <v>7.5172991847489037</v>
      </c>
      <c r="K12" s="45">
        <f t="shared" si="2"/>
        <v>6.25</v>
      </c>
      <c r="L12" s="46">
        <f t="shared" si="3"/>
        <v>9.625</v>
      </c>
      <c r="M12" s="46">
        <f t="shared" si="4"/>
        <v>5.055810899540381</v>
      </c>
      <c r="N12" s="50">
        <v>12900</v>
      </c>
      <c r="O12" s="37">
        <v>2580000</v>
      </c>
      <c r="P12" s="51">
        <f t="shared" si="5"/>
        <v>0</v>
      </c>
      <c r="Q12" s="48">
        <f t="shared" si="6"/>
        <v>1.053788726753679</v>
      </c>
      <c r="R12" s="49"/>
    </row>
    <row r="13" spans="1:19" x14ac:dyDescent="0.25">
      <c r="A13" s="35" t="s">
        <v>42</v>
      </c>
      <c r="B13" s="36" t="s">
        <v>43</v>
      </c>
      <c r="C13" s="37">
        <v>8735108</v>
      </c>
      <c r="D13" s="38">
        <f t="shared" si="0"/>
        <v>9849663.0370640438</v>
      </c>
      <c r="E13" s="39">
        <f t="shared" si="1"/>
        <v>8189163.75</v>
      </c>
      <c r="F13" s="40" t="s">
        <v>44</v>
      </c>
      <c r="G13" s="41">
        <v>13.6</v>
      </c>
      <c r="H13" s="42">
        <v>30</v>
      </c>
      <c r="I13" s="43">
        <v>30</v>
      </c>
      <c r="J13" s="44">
        <f t="shared" si="7"/>
        <v>1.1275948777123355</v>
      </c>
      <c r="K13" s="45">
        <f t="shared" si="2"/>
        <v>0.9375</v>
      </c>
      <c r="L13" s="46">
        <f t="shared" si="3"/>
        <v>0</v>
      </c>
      <c r="M13" s="46">
        <f t="shared" si="4"/>
        <v>0</v>
      </c>
      <c r="N13" s="50">
        <v>100</v>
      </c>
      <c r="O13" s="37">
        <v>3000</v>
      </c>
      <c r="P13" s="51">
        <f t="shared" si="5"/>
        <v>0</v>
      </c>
      <c r="Q13" s="48">
        <f t="shared" si="6"/>
        <v>1.2058823529411766</v>
      </c>
      <c r="R13" s="49"/>
    </row>
    <row r="14" spans="1:19" x14ac:dyDescent="0.25">
      <c r="A14" s="35" t="s">
        <v>45</v>
      </c>
      <c r="B14" s="36" t="s">
        <v>46</v>
      </c>
      <c r="C14" s="37">
        <v>622766140</v>
      </c>
      <c r="D14" s="38">
        <f t="shared" si="0"/>
        <v>655452929.76318705</v>
      </c>
      <c r="E14" s="39">
        <f t="shared" si="1"/>
        <v>544953807.25714123</v>
      </c>
      <c r="F14" s="40" t="s">
        <v>47</v>
      </c>
      <c r="G14" s="41">
        <v>11.5</v>
      </c>
      <c r="H14" s="42">
        <v>30</v>
      </c>
      <c r="I14" s="43">
        <v>28.001718</v>
      </c>
      <c r="J14" s="44">
        <f t="shared" si="7"/>
        <v>1.0524864594648435</v>
      </c>
      <c r="K14" s="45">
        <f t="shared" si="2"/>
        <v>0.87505368750000001</v>
      </c>
      <c r="L14" s="46">
        <f t="shared" si="3"/>
        <v>-1.9982819999999997</v>
      </c>
      <c r="M14" s="46">
        <f t="shared" si="4"/>
        <v>-6.6609399999999983</v>
      </c>
      <c r="N14" s="50">
        <v>631500</v>
      </c>
      <c r="O14" s="37">
        <v>17683085.100000001</v>
      </c>
      <c r="P14" s="51">
        <f t="shared" si="5"/>
        <v>0</v>
      </c>
      <c r="Q14" s="48">
        <f t="shared" si="6"/>
        <v>1.4349319999999999</v>
      </c>
      <c r="R14" s="49"/>
    </row>
    <row r="15" spans="1:19" x14ac:dyDescent="0.25">
      <c r="A15" s="35" t="s">
        <v>48</v>
      </c>
      <c r="B15" s="36" t="s">
        <v>49</v>
      </c>
      <c r="C15" s="37">
        <v>106040875</v>
      </c>
      <c r="D15" s="38">
        <f t="shared" si="0"/>
        <v>31606639.983386766</v>
      </c>
      <c r="E15" s="39">
        <f t="shared" si="1"/>
        <v>26278254.3359375</v>
      </c>
      <c r="F15" s="40" t="s">
        <v>34</v>
      </c>
      <c r="G15" s="41">
        <v>5.39</v>
      </c>
      <c r="H15" s="42">
        <v>7.93</v>
      </c>
      <c r="I15" s="43">
        <v>7.93</v>
      </c>
      <c r="J15" s="44">
        <f t="shared" si="7"/>
        <v>0.298060912675294</v>
      </c>
      <c r="K15" s="45">
        <f t="shared" si="2"/>
        <v>0.24781249999999999</v>
      </c>
      <c r="L15" s="46">
        <f t="shared" si="3"/>
        <v>0</v>
      </c>
      <c r="M15" s="46">
        <f t="shared" si="4"/>
        <v>0</v>
      </c>
      <c r="N15" s="50">
        <v>0</v>
      </c>
      <c r="O15" s="37">
        <v>0</v>
      </c>
      <c r="P15" s="51">
        <f t="shared" si="5"/>
        <v>0</v>
      </c>
      <c r="Q15" s="48">
        <f t="shared" si="6"/>
        <v>0.4712430426716141</v>
      </c>
      <c r="R15" s="49"/>
    </row>
    <row r="16" spans="1:19" x14ac:dyDescent="0.25">
      <c r="A16" s="35" t="s">
        <v>50</v>
      </c>
      <c r="B16" s="36" t="s">
        <v>51</v>
      </c>
      <c r="C16" s="37">
        <v>358000858</v>
      </c>
      <c r="D16" s="38">
        <f t="shared" si="0"/>
        <v>68625588.728561595</v>
      </c>
      <c r="E16" s="39">
        <f t="shared" si="1"/>
        <v>57056386.743749999</v>
      </c>
      <c r="F16" s="40" t="s">
        <v>34</v>
      </c>
      <c r="G16" s="41">
        <v>1.9</v>
      </c>
      <c r="H16" s="42">
        <v>5.0999999999999996</v>
      </c>
      <c r="I16" s="43">
        <v>5.0999999999999996</v>
      </c>
      <c r="J16" s="44">
        <f t="shared" si="7"/>
        <v>0.19169112921109702</v>
      </c>
      <c r="K16" s="45">
        <f t="shared" si="2"/>
        <v>0.15937499999999999</v>
      </c>
      <c r="L16" s="46">
        <f t="shared" si="3"/>
        <v>0</v>
      </c>
      <c r="M16" s="46">
        <f t="shared" si="4"/>
        <v>0</v>
      </c>
      <c r="N16" s="50">
        <v>0</v>
      </c>
      <c r="O16" s="37">
        <v>0</v>
      </c>
      <c r="P16" s="51">
        <f t="shared" si="5"/>
        <v>0.26083627450980396</v>
      </c>
      <c r="Q16" s="48">
        <f t="shared" si="6"/>
        <v>1.6842105263157894</v>
      </c>
      <c r="R16" s="49">
        <v>0.05</v>
      </c>
      <c r="S16" s="52"/>
    </row>
    <row r="17" spans="1:19" x14ac:dyDescent="0.25">
      <c r="A17" s="35" t="s">
        <v>52</v>
      </c>
      <c r="B17" s="36" t="s">
        <v>53</v>
      </c>
      <c r="C17" s="37">
        <v>1350855925</v>
      </c>
      <c r="D17" s="38">
        <f t="shared" si="0"/>
        <v>1878014028.9093697</v>
      </c>
      <c r="E17" s="39">
        <f t="shared" si="1"/>
        <v>1561410207.6044517</v>
      </c>
      <c r="F17" s="40" t="s">
        <v>34</v>
      </c>
      <c r="G17" s="41">
        <v>20.701700000000002</v>
      </c>
      <c r="H17" s="42">
        <v>37.050207</v>
      </c>
      <c r="I17" s="43">
        <v>36.987754000000002</v>
      </c>
      <c r="J17" s="44">
        <f t="shared" si="7"/>
        <v>1.3902400649494651</v>
      </c>
      <c r="K17" s="45">
        <f t="shared" si="2"/>
        <v>1.1558673125000001</v>
      </c>
      <c r="L17" s="46">
        <f t="shared" si="3"/>
        <v>-6.2452999999997871E-2</v>
      </c>
      <c r="M17" s="46">
        <f t="shared" si="4"/>
        <v>-0.16856316079421058</v>
      </c>
      <c r="N17" s="50">
        <v>130500</v>
      </c>
      <c r="O17" s="37">
        <v>4826901.95</v>
      </c>
      <c r="P17" s="47">
        <f t="shared" si="5"/>
        <v>0</v>
      </c>
      <c r="Q17" s="48">
        <f t="shared" si="6"/>
        <v>0.78670128540168194</v>
      </c>
      <c r="R17" s="49"/>
    </row>
    <row r="18" spans="1:19" ht="11.25" hidden="1" customHeight="1" x14ac:dyDescent="0.25">
      <c r="A18" s="35" t="s">
        <v>54</v>
      </c>
      <c r="B18" s="36" t="s">
        <v>55</v>
      </c>
      <c r="C18" s="37"/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0" t="s">
        <v>57</v>
      </c>
      <c r="O18" s="37" t="s">
        <v>57</v>
      </c>
      <c r="P18" s="51"/>
      <c r="Q18" s="48"/>
      <c r="R18" s="49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298023669.66732198</v>
      </c>
      <c r="E19" s="39">
        <f t="shared" si="1"/>
        <v>247781535.58125001</v>
      </c>
      <c r="F19" s="40" t="s">
        <v>47</v>
      </c>
      <c r="G19" s="41">
        <v>12.45</v>
      </c>
      <c r="H19" s="42">
        <v>11.8</v>
      </c>
      <c r="I19" s="43">
        <v>11.8</v>
      </c>
      <c r="J19" s="44">
        <f t="shared" ref="J19:J45" si="8">I19/$J$5</f>
        <v>0.44352065190018536</v>
      </c>
      <c r="K19" s="45">
        <f t="shared" ref="K19:K45" si="9">I19/$K$4</f>
        <v>0.36875000000000002</v>
      </c>
      <c r="L19" s="46">
        <f t="shared" ref="L19:L29" si="10">I19-H19</f>
        <v>0</v>
      </c>
      <c r="M19" s="46">
        <f>((I19-H19)/H19)*100</f>
        <v>0</v>
      </c>
      <c r="N19" s="50">
        <v>0</v>
      </c>
      <c r="O19" s="37">
        <v>0</v>
      </c>
      <c r="P19" s="51">
        <f>(R19)/J19</f>
        <v>0</v>
      </c>
      <c r="Q19" s="48">
        <f t="shared" ref="Q19:Q29" si="11">I19/G19-1</f>
        <v>-5.2208835341365334E-2</v>
      </c>
      <c r="R19" s="49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3807461.6948502744</v>
      </c>
      <c r="E20" s="39">
        <f t="shared" si="1"/>
        <v>3165583.1446875003</v>
      </c>
      <c r="F20" s="40" t="s">
        <v>47</v>
      </c>
      <c r="G20" s="41">
        <v>0.35</v>
      </c>
      <c r="H20" s="42">
        <v>0.93</v>
      </c>
      <c r="I20" s="43">
        <v>0.93</v>
      </c>
      <c r="J20" s="44">
        <f t="shared" si="8"/>
        <v>3.4955441209082401E-2</v>
      </c>
      <c r="K20" s="45">
        <f t="shared" si="9"/>
        <v>2.9062500000000002E-2</v>
      </c>
      <c r="L20" s="46">
        <f t="shared" si="10"/>
        <v>0</v>
      </c>
      <c r="M20" s="46">
        <f>((I20-H20)/H20)*100</f>
        <v>0</v>
      </c>
      <c r="N20" s="50">
        <v>0</v>
      </c>
      <c r="O20" s="37">
        <v>0</v>
      </c>
      <c r="P20" s="51">
        <f>(R20)/J20</f>
        <v>0</v>
      </c>
      <c r="Q20" s="48">
        <f t="shared" si="11"/>
        <v>1.6571428571428575</v>
      </c>
      <c r="R20" s="49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103636710.68352096</v>
      </c>
      <c r="E21" s="39">
        <f t="shared" si="1"/>
        <v>86165180.585883752</v>
      </c>
      <c r="F21" s="40" t="s">
        <v>47</v>
      </c>
      <c r="G21" s="41">
        <v>2.85</v>
      </c>
      <c r="H21" s="42">
        <v>3.7075760000000004</v>
      </c>
      <c r="I21" s="43">
        <v>3.9952380000000001</v>
      </c>
      <c r="J21" s="44">
        <f t="shared" si="8"/>
        <v>0.1501669968013892</v>
      </c>
      <c r="K21" s="45">
        <f t="shared" si="9"/>
        <v>0.1248511875</v>
      </c>
      <c r="L21" s="46">
        <f t="shared" si="10"/>
        <v>0.28766199999999964</v>
      </c>
      <c r="M21" s="46">
        <f>((I21-H21)/H21)*100</f>
        <v>7.7587620590919668</v>
      </c>
      <c r="N21" s="50">
        <v>2100</v>
      </c>
      <c r="O21" s="37">
        <v>8390</v>
      </c>
      <c r="P21" s="51">
        <f>(R21)/J21</f>
        <v>0</v>
      </c>
      <c r="Q21" s="48">
        <f t="shared" si="11"/>
        <v>0.40183789473684217</v>
      </c>
      <c r="R21" s="49"/>
    </row>
    <row r="22" spans="1:19" ht="12" hidden="1" customHeight="1" x14ac:dyDescent="0.25">
      <c r="A22" s="35" t="s">
        <v>64</v>
      </c>
      <c r="B22" s="36" t="s">
        <v>65</v>
      </c>
      <c r="C22" s="37"/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3" t="s">
        <v>57</v>
      </c>
      <c r="O22" s="53" t="s">
        <v>57</v>
      </c>
      <c r="P22" s="53" t="s">
        <v>67</v>
      </c>
      <c r="Q22" s="48">
        <f t="shared" si="11"/>
        <v>-1</v>
      </c>
      <c r="R22" s="49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 t="shared" si="0"/>
        <v>2006764.3660661597</v>
      </c>
      <c r="E23" s="39">
        <f t="shared" si="1"/>
        <v>1668455.2496406247</v>
      </c>
      <c r="F23" s="40" t="s">
        <v>44</v>
      </c>
      <c r="G23" s="41">
        <v>0.1</v>
      </c>
      <c r="H23" s="42">
        <v>9.7707999999999989E-2</v>
      </c>
      <c r="I23" s="43">
        <v>9.9499999999999991E-2</v>
      </c>
      <c r="J23" s="44">
        <f t="shared" si="8"/>
        <v>3.7398563444125794E-3</v>
      </c>
      <c r="K23" s="45">
        <f t="shared" si="9"/>
        <v>3.1093749999999997E-3</v>
      </c>
      <c r="L23" s="46">
        <f t="shared" si="10"/>
        <v>1.7920000000000019E-3</v>
      </c>
      <c r="M23" s="46">
        <f t="shared" ref="M23:M29" si="12">((I23-H23)/H23)*100</f>
        <v>1.8340361075858704</v>
      </c>
      <c r="N23" s="50">
        <v>6500</v>
      </c>
      <c r="O23" s="37">
        <v>646.75</v>
      </c>
      <c r="P23" s="51">
        <f t="shared" ref="P23:P29" si="13">(R23)/J23</f>
        <v>0</v>
      </c>
      <c r="Q23" s="48">
        <f t="shared" si="11"/>
        <v>-5.0000000000001155E-3</v>
      </c>
      <c r="R23" s="49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 t="shared" si="0"/>
        <v>80122037.852420375</v>
      </c>
      <c r="E24" s="39">
        <f t="shared" si="1"/>
        <v>66614714.177343749</v>
      </c>
      <c r="F24" s="40" t="s">
        <v>34</v>
      </c>
      <c r="G24" s="41">
        <v>8.1687659999999997</v>
      </c>
      <c r="H24" s="42">
        <v>10.0055</v>
      </c>
      <c r="I24" s="43">
        <v>11.043749999999999</v>
      </c>
      <c r="J24" s="44">
        <f t="shared" si="8"/>
        <v>0.41509586435785351</v>
      </c>
      <c r="K24" s="45">
        <f t="shared" si="9"/>
        <v>0.34511718749999998</v>
      </c>
      <c r="L24" s="46">
        <f t="shared" si="10"/>
        <v>1.0382499999999997</v>
      </c>
      <c r="M24" s="46">
        <f t="shared" si="12"/>
        <v>10.376792763979809</v>
      </c>
      <c r="N24" s="50">
        <v>1600</v>
      </c>
      <c r="O24" s="37">
        <v>17670</v>
      </c>
      <c r="P24" s="47">
        <f t="shared" si="13"/>
        <v>3.6136230899830223E-2</v>
      </c>
      <c r="Q24" s="48">
        <f t="shared" si="11"/>
        <v>0.35194838486008773</v>
      </c>
      <c r="R24" s="49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 t="shared" si="0"/>
        <v>109100235.49743849</v>
      </c>
      <c r="E25" s="39">
        <f t="shared" si="1"/>
        <v>90707640.483750001</v>
      </c>
      <c r="F25" s="40" t="s">
        <v>66</v>
      </c>
      <c r="G25" s="41">
        <v>1.6675</v>
      </c>
      <c r="H25" s="42">
        <v>1.719571</v>
      </c>
      <c r="I25" s="43">
        <v>1.72</v>
      </c>
      <c r="J25" s="44">
        <f t="shared" si="8"/>
        <v>6.4648772988840572E-2</v>
      </c>
      <c r="K25" s="45">
        <f t="shared" si="9"/>
        <v>5.3749999999999999E-2</v>
      </c>
      <c r="L25" s="46">
        <f t="shared" si="10"/>
        <v>4.290000000000127E-4</v>
      </c>
      <c r="M25" s="46">
        <f t="shared" si="12"/>
        <v>2.4948082981162904E-2</v>
      </c>
      <c r="N25" s="50">
        <v>11300</v>
      </c>
      <c r="O25" s="37">
        <v>19436</v>
      </c>
      <c r="P25" s="51">
        <f t="shared" si="13"/>
        <v>0</v>
      </c>
      <c r="Q25" s="48">
        <f t="shared" si="11"/>
        <v>3.1484257871064569E-2</v>
      </c>
      <c r="R25" s="49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 t="shared" si="0"/>
        <v>24293952.291460726</v>
      </c>
      <c r="E26" s="39">
        <f t="shared" si="1"/>
        <v>20198371.528125003</v>
      </c>
      <c r="F26" s="40" t="s">
        <v>44</v>
      </c>
      <c r="G26" s="41">
        <v>1.7994999999999999</v>
      </c>
      <c r="H26" s="42">
        <v>2.7</v>
      </c>
      <c r="I26" s="43">
        <v>2.7</v>
      </c>
      <c r="J26" s="44">
        <f t="shared" si="8"/>
        <v>0.10148353899411021</v>
      </c>
      <c r="K26" s="45">
        <f t="shared" si="9"/>
        <v>8.4375000000000006E-2</v>
      </c>
      <c r="L26" s="46">
        <f t="shared" si="10"/>
        <v>0</v>
      </c>
      <c r="M26" s="46">
        <f t="shared" si="12"/>
        <v>0</v>
      </c>
      <c r="N26" s="50">
        <v>0</v>
      </c>
      <c r="O26" s="37">
        <v>0</v>
      </c>
      <c r="P26" s="51">
        <f t="shared" si="13"/>
        <v>0</v>
      </c>
      <c r="Q26" s="48">
        <f t="shared" si="11"/>
        <v>0.50041678243956667</v>
      </c>
      <c r="R26" s="49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 t="shared" si="0"/>
        <v>24545405.28865106</v>
      </c>
      <c r="E27" s="39">
        <f t="shared" si="1"/>
        <v>20407433.478942126</v>
      </c>
      <c r="F27" s="40" t="s">
        <v>34</v>
      </c>
      <c r="G27" s="41">
        <v>3.1361369999999997</v>
      </c>
      <c r="H27" s="42">
        <v>2.5494280000000002</v>
      </c>
      <c r="I27" s="43">
        <v>2.5494280000000002</v>
      </c>
      <c r="J27" s="44">
        <f t="shared" si="8"/>
        <v>9.5824065129880148E-2</v>
      </c>
      <c r="K27" s="45">
        <f t="shared" si="9"/>
        <v>7.9669625000000008E-2</v>
      </c>
      <c r="L27" s="46">
        <f t="shared" si="10"/>
        <v>0</v>
      </c>
      <c r="M27" s="46">
        <f t="shared" si="12"/>
        <v>0</v>
      </c>
      <c r="N27" s="50">
        <v>0</v>
      </c>
      <c r="O27" s="37">
        <v>0</v>
      </c>
      <c r="P27" s="51">
        <f t="shared" si="13"/>
        <v>0</v>
      </c>
      <c r="Q27" s="48">
        <f t="shared" si="11"/>
        <v>-0.18708015625592878</v>
      </c>
      <c r="R27" s="49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 t="shared" si="0"/>
        <v>32662488.908225048</v>
      </c>
      <c r="E28" s="39">
        <f t="shared" si="1"/>
        <v>27156103.629687499</v>
      </c>
      <c r="F28" s="40" t="s">
        <v>44</v>
      </c>
      <c r="G28" s="41">
        <v>0.8</v>
      </c>
      <c r="H28" s="42">
        <v>1.1499999999999999</v>
      </c>
      <c r="I28" s="43">
        <v>1.1499999999999999</v>
      </c>
      <c r="J28" s="44">
        <f t="shared" si="8"/>
        <v>4.3224470312306189E-2</v>
      </c>
      <c r="K28" s="45">
        <f t="shared" si="9"/>
        <v>3.5937499999999997E-2</v>
      </c>
      <c r="L28" s="46">
        <f t="shared" si="10"/>
        <v>0</v>
      </c>
      <c r="M28" s="46">
        <f t="shared" si="12"/>
        <v>0</v>
      </c>
      <c r="N28" s="50">
        <v>0</v>
      </c>
      <c r="O28" s="37">
        <v>0</v>
      </c>
      <c r="P28" s="51">
        <f t="shared" si="13"/>
        <v>0</v>
      </c>
      <c r="Q28" s="48">
        <f t="shared" si="11"/>
        <v>0.43749999999999978</v>
      </c>
      <c r="R28" s="49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 t="shared" si="0"/>
        <v>121207077.43344371</v>
      </c>
      <c r="E29" s="39">
        <f t="shared" si="1"/>
        <v>100773458.03874999</v>
      </c>
      <c r="F29" s="40" t="s">
        <v>47</v>
      </c>
      <c r="G29" s="41">
        <v>5.15</v>
      </c>
      <c r="H29" s="42">
        <v>7.18</v>
      </c>
      <c r="I29" s="43">
        <v>7.18</v>
      </c>
      <c r="J29" s="44">
        <f t="shared" si="8"/>
        <v>0.26987104073248563</v>
      </c>
      <c r="K29" s="45">
        <f t="shared" si="9"/>
        <v>0.22437499999999999</v>
      </c>
      <c r="L29" s="46">
        <f t="shared" si="10"/>
        <v>0</v>
      </c>
      <c r="M29" s="46">
        <f t="shared" si="12"/>
        <v>0</v>
      </c>
      <c r="N29" s="50">
        <v>0</v>
      </c>
      <c r="O29" s="37">
        <v>0</v>
      </c>
      <c r="P29" s="51">
        <f t="shared" si="13"/>
        <v>0</v>
      </c>
      <c r="Q29" s="48">
        <f t="shared" si="11"/>
        <v>0.39417475728155327</v>
      </c>
      <c r="R29" s="49"/>
    </row>
    <row r="30" spans="1:19" ht="12" hidden="1" customHeight="1" x14ac:dyDescent="0.25">
      <c r="A30" s="35" t="s">
        <v>83</v>
      </c>
      <c r="B30" s="36" t="s">
        <v>84</v>
      </c>
      <c r="C30" s="37"/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1">
        <v>0</v>
      </c>
      <c r="I30" s="54"/>
      <c r="J30" s="55">
        <f t="shared" si="8"/>
        <v>0</v>
      </c>
      <c r="K30" s="56">
        <f t="shared" si="9"/>
        <v>0</v>
      </c>
      <c r="L30" s="46">
        <v>0</v>
      </c>
      <c r="M30" s="46">
        <v>0</v>
      </c>
      <c r="N30" s="53" t="s">
        <v>57</v>
      </c>
      <c r="O30" s="53" t="s">
        <v>57</v>
      </c>
      <c r="P30" s="53" t="s">
        <v>85</v>
      </c>
      <c r="Q30" s="48">
        <v>0</v>
      </c>
      <c r="R30" s="49"/>
    </row>
    <row r="31" spans="1:19" ht="12" customHeight="1" x14ac:dyDescent="0.25">
      <c r="A31" s="35" t="s">
        <v>86</v>
      </c>
      <c r="B31" s="36" t="s">
        <v>87</v>
      </c>
      <c r="C31" s="37">
        <v>259866270</v>
      </c>
      <c r="D31" s="38">
        <f t="shared" si="0"/>
        <v>11232581.872784745</v>
      </c>
      <c r="E31" s="39">
        <f t="shared" si="1"/>
        <v>9338944.078125</v>
      </c>
      <c r="F31" s="40" t="s">
        <v>39</v>
      </c>
      <c r="G31" s="41">
        <v>1.4</v>
      </c>
      <c r="H31" s="42">
        <v>1.1499999999999999</v>
      </c>
      <c r="I31" s="43">
        <v>1.1499999999999999</v>
      </c>
      <c r="J31" s="44">
        <f t="shared" si="8"/>
        <v>4.3224470312306189E-2</v>
      </c>
      <c r="K31" s="45">
        <f t="shared" si="9"/>
        <v>3.5937499999999997E-2</v>
      </c>
      <c r="L31" s="46">
        <f t="shared" ref="L31:L45" si="14">I31-H31</f>
        <v>0</v>
      </c>
      <c r="M31" s="46">
        <f t="shared" ref="M31:M45" si="15">((I31-H31)/H31)*100</f>
        <v>0</v>
      </c>
      <c r="N31" s="50">
        <v>0</v>
      </c>
      <c r="O31" s="37">
        <v>0</v>
      </c>
      <c r="P31" s="51">
        <f t="shared" ref="P31:P36" si="16">(R31)/J31</f>
        <v>0</v>
      </c>
      <c r="Q31" s="48">
        <f t="shared" ref="Q31:Q45" si="17">I31/G31-1</f>
        <v>-0.1785714285714286</v>
      </c>
      <c r="R31" s="49"/>
    </row>
    <row r="32" spans="1:19" x14ac:dyDescent="0.25">
      <c r="A32" s="35" t="s">
        <v>88</v>
      </c>
      <c r="B32" s="36" t="s">
        <v>89</v>
      </c>
      <c r="C32" s="37">
        <v>122029470</v>
      </c>
      <c r="D32" s="38">
        <f t="shared" si="0"/>
        <v>4357327.1678951178</v>
      </c>
      <c r="E32" s="39">
        <f t="shared" si="1"/>
        <v>3622749.890625</v>
      </c>
      <c r="F32" s="40" t="s">
        <v>39</v>
      </c>
      <c r="G32" s="41">
        <v>0.65</v>
      </c>
      <c r="H32" s="42">
        <v>0.95</v>
      </c>
      <c r="I32" s="43">
        <v>0.95</v>
      </c>
      <c r="J32" s="44">
        <f t="shared" si="8"/>
        <v>3.5707171127557287E-2</v>
      </c>
      <c r="K32" s="45">
        <f t="shared" si="9"/>
        <v>2.9687499999999999E-2</v>
      </c>
      <c r="L32" s="46">
        <f t="shared" si="14"/>
        <v>0</v>
      </c>
      <c r="M32" s="46">
        <f t="shared" si="15"/>
        <v>0</v>
      </c>
      <c r="N32" s="50">
        <v>0</v>
      </c>
      <c r="O32" s="37">
        <v>0</v>
      </c>
      <c r="P32" s="51">
        <f t="shared" si="16"/>
        <v>0</v>
      </c>
      <c r="Q32" s="48">
        <f t="shared" si="17"/>
        <v>0.46153846153846145</v>
      </c>
      <c r="R32" s="49"/>
    </row>
    <row r="33" spans="1:18" x14ac:dyDescent="0.25">
      <c r="A33" s="35" t="s">
        <v>90</v>
      </c>
      <c r="B33" s="36" t="s">
        <v>91</v>
      </c>
      <c r="C33" s="37">
        <v>2495495543</v>
      </c>
      <c r="D33" s="38">
        <f t="shared" si="0"/>
        <v>93796933.054692104</v>
      </c>
      <c r="E33" s="39">
        <f t="shared" si="1"/>
        <v>77984235.71875</v>
      </c>
      <c r="F33" s="40" t="s">
        <v>92</v>
      </c>
      <c r="G33" s="41">
        <v>1.44</v>
      </c>
      <c r="H33" s="42">
        <v>1</v>
      </c>
      <c r="I33" s="43">
        <v>1</v>
      </c>
      <c r="J33" s="44">
        <f t="shared" si="8"/>
        <v>3.7586495923744516E-2</v>
      </c>
      <c r="K33" s="45">
        <f t="shared" si="9"/>
        <v>3.125E-2</v>
      </c>
      <c r="L33" s="46">
        <f t="shared" si="14"/>
        <v>0</v>
      </c>
      <c r="M33" s="46">
        <f t="shared" si="15"/>
        <v>0</v>
      </c>
      <c r="N33" s="50">
        <v>2600</v>
      </c>
      <c r="O33" s="37">
        <v>2600</v>
      </c>
      <c r="P33" s="51">
        <f t="shared" si="16"/>
        <v>0</v>
      </c>
      <c r="Q33" s="48">
        <f t="shared" si="17"/>
        <v>-0.30555555555555558</v>
      </c>
      <c r="R33" s="49">
        <v>0</v>
      </c>
    </row>
    <row r="34" spans="1:18" x14ac:dyDescent="0.25">
      <c r="A34" s="35" t="s">
        <v>93</v>
      </c>
      <c r="B34" s="36" t="s">
        <v>94</v>
      </c>
      <c r="C34" s="37">
        <v>259005925</v>
      </c>
      <c r="D34" s="38">
        <f t="shared" si="0"/>
        <v>37095694.362119578</v>
      </c>
      <c r="E34" s="39">
        <f t="shared" si="1"/>
        <v>30841939.912890628</v>
      </c>
      <c r="F34" s="40" t="s">
        <v>34</v>
      </c>
      <c r="G34" s="41">
        <v>3.6056249999999999</v>
      </c>
      <c r="H34" s="42">
        <v>3.7549999999999999</v>
      </c>
      <c r="I34" s="43">
        <v>3.8105000000000002</v>
      </c>
      <c r="J34" s="44">
        <f t="shared" si="8"/>
        <v>0.14322334271742848</v>
      </c>
      <c r="K34" s="45">
        <f t="shared" si="9"/>
        <v>0.11907812500000001</v>
      </c>
      <c r="L34" s="46">
        <f t="shared" si="14"/>
        <v>5.5500000000000327E-2</v>
      </c>
      <c r="M34" s="46">
        <f t="shared" si="15"/>
        <v>1.4780292942743098</v>
      </c>
      <c r="N34" s="50">
        <v>20500</v>
      </c>
      <c r="O34" s="37">
        <v>78115.25</v>
      </c>
      <c r="P34" s="51">
        <f t="shared" si="16"/>
        <v>0</v>
      </c>
      <c r="Q34" s="48">
        <f t="shared" si="17"/>
        <v>5.6820939504246937E-2</v>
      </c>
      <c r="R34" s="49"/>
    </row>
    <row r="35" spans="1:18" x14ac:dyDescent="0.25">
      <c r="A35" s="35" t="s">
        <v>95</v>
      </c>
      <c r="B35" s="36" t="s">
        <v>96</v>
      </c>
      <c r="C35" s="37">
        <v>4715084056</v>
      </c>
      <c r="D35" s="38">
        <f t="shared" si="0"/>
        <v>10633409.259057406</v>
      </c>
      <c r="E35" s="39">
        <f t="shared" si="1"/>
        <v>8840782.6050000004</v>
      </c>
      <c r="F35" s="40" t="s">
        <v>34</v>
      </c>
      <c r="G35" s="41">
        <v>2.5099999999999997E-2</v>
      </c>
      <c r="H35" s="42">
        <v>0.06</v>
      </c>
      <c r="I35" s="43">
        <v>0.06</v>
      </c>
      <c r="J35" s="44">
        <f t="shared" si="8"/>
        <v>2.2551897554246711E-3</v>
      </c>
      <c r="K35" s="45">
        <f t="shared" si="9"/>
        <v>1.8749999999999999E-3</v>
      </c>
      <c r="L35" s="46">
        <f t="shared" si="14"/>
        <v>0</v>
      </c>
      <c r="M35" s="46">
        <f t="shared" si="15"/>
        <v>0</v>
      </c>
      <c r="N35" s="50">
        <v>757100</v>
      </c>
      <c r="O35" s="37">
        <v>45426</v>
      </c>
      <c r="P35" s="51">
        <f t="shared" si="16"/>
        <v>0</v>
      </c>
      <c r="Q35" s="48">
        <f t="shared" si="17"/>
        <v>1.3904382470119523</v>
      </c>
      <c r="R35" s="49"/>
    </row>
    <row r="36" spans="1:18" x14ac:dyDescent="0.25">
      <c r="A36" s="35" t="s">
        <v>97</v>
      </c>
      <c r="B36" s="36" t="s">
        <v>98</v>
      </c>
      <c r="C36" s="37">
        <v>525090993</v>
      </c>
      <c r="D36" s="38">
        <f t="shared" si="0"/>
        <v>69077156.637963101</v>
      </c>
      <c r="E36" s="39">
        <f t="shared" si="1"/>
        <v>57431827.359375</v>
      </c>
      <c r="F36" s="40" t="s">
        <v>92</v>
      </c>
      <c r="G36" s="41">
        <v>0.61</v>
      </c>
      <c r="H36" s="42">
        <v>3.5</v>
      </c>
      <c r="I36" s="43">
        <v>3.5</v>
      </c>
      <c r="J36" s="44">
        <f t="shared" si="8"/>
        <v>0.1315527357331058</v>
      </c>
      <c r="K36" s="45">
        <f t="shared" si="9"/>
        <v>0.109375</v>
      </c>
      <c r="L36" s="46">
        <f t="shared" si="14"/>
        <v>0</v>
      </c>
      <c r="M36" s="46">
        <f t="shared" si="15"/>
        <v>0</v>
      </c>
      <c r="N36" s="50">
        <v>0</v>
      </c>
      <c r="O36" s="37">
        <v>0</v>
      </c>
      <c r="P36" s="51">
        <f t="shared" si="16"/>
        <v>0</v>
      </c>
      <c r="Q36" s="48">
        <f t="shared" si="17"/>
        <v>4.7377049180327866</v>
      </c>
      <c r="R36" s="49"/>
    </row>
    <row r="37" spans="1:18" x14ac:dyDescent="0.25">
      <c r="A37" s="35" t="s">
        <v>99</v>
      </c>
      <c r="B37" s="36" t="s">
        <v>100</v>
      </c>
      <c r="C37" s="37">
        <v>4194797929</v>
      </c>
      <c r="D37" s="38">
        <f t="shared" si="0"/>
        <v>133621688.2369408</v>
      </c>
      <c r="E37" s="39">
        <f t="shared" si="1"/>
        <v>111095159.43907128</v>
      </c>
      <c r="F37" s="40" t="s">
        <v>56</v>
      </c>
      <c r="G37" s="41">
        <v>0.11650199999999999</v>
      </c>
      <c r="H37" s="42">
        <v>0.84813999999999989</v>
      </c>
      <c r="I37" s="43">
        <v>0.84748900000000005</v>
      </c>
      <c r="J37" s="44">
        <f t="shared" si="8"/>
        <v>3.185414184391832E-2</v>
      </c>
      <c r="K37" s="45">
        <f t="shared" si="9"/>
        <v>2.6484031250000001E-2</v>
      </c>
      <c r="L37" s="46">
        <f t="shared" si="14"/>
        <v>-6.5099999999984615E-4</v>
      </c>
      <c r="M37" s="46">
        <f t="shared" si="15"/>
        <v>-7.6756195911034289E-2</v>
      </c>
      <c r="N37" s="50">
        <v>552500</v>
      </c>
      <c r="O37" s="37">
        <v>468237.6</v>
      </c>
      <c r="P37" s="51">
        <v>0</v>
      </c>
      <c r="Q37" s="48">
        <f t="shared" si="17"/>
        <v>6.2744588075741197</v>
      </c>
      <c r="R37" s="49"/>
    </row>
    <row r="38" spans="1:18" x14ac:dyDescent="0.25">
      <c r="A38" s="35" t="s">
        <v>101</v>
      </c>
      <c r="B38" s="36" t="s">
        <v>102</v>
      </c>
      <c r="C38" s="37">
        <v>4315726499</v>
      </c>
      <c r="D38" s="38">
        <f t="shared" si="0"/>
        <v>22385399.031847041</v>
      </c>
      <c r="E38" s="39">
        <f t="shared" si="1"/>
        <v>18611570.526937503</v>
      </c>
      <c r="F38" s="40" t="s">
        <v>39</v>
      </c>
      <c r="G38" s="41">
        <v>0.1</v>
      </c>
      <c r="H38" s="42">
        <v>0.12</v>
      </c>
      <c r="I38" s="43">
        <v>0.13800000000000001</v>
      </c>
      <c r="J38" s="44">
        <f t="shared" si="8"/>
        <v>5.1869364374767437E-3</v>
      </c>
      <c r="K38" s="45">
        <f t="shared" si="9"/>
        <v>4.3125000000000004E-3</v>
      </c>
      <c r="L38" s="46">
        <f t="shared" si="14"/>
        <v>1.8000000000000016E-2</v>
      </c>
      <c r="M38" s="46">
        <f t="shared" si="15"/>
        <v>15.000000000000014</v>
      </c>
      <c r="N38" s="50">
        <v>9500</v>
      </c>
      <c r="O38" s="37">
        <v>1311</v>
      </c>
      <c r="P38" s="51">
        <f t="shared" ref="P38:P44" si="18">(R38)/J38</f>
        <v>0</v>
      </c>
      <c r="Q38" s="48">
        <f t="shared" si="17"/>
        <v>0.38000000000000012</v>
      </c>
      <c r="R38" s="49"/>
    </row>
    <row r="39" spans="1:18" x14ac:dyDescent="0.25">
      <c r="A39" s="35" t="s">
        <v>103</v>
      </c>
      <c r="B39" s="36" t="s">
        <v>104</v>
      </c>
      <c r="C39" s="37">
        <v>106474237</v>
      </c>
      <c r="D39" s="38">
        <f t="shared" si="0"/>
        <v>9484724.5357128084</v>
      </c>
      <c r="E39" s="39">
        <f t="shared" si="1"/>
        <v>7885748.1778124999</v>
      </c>
      <c r="F39" s="40" t="s">
        <v>44</v>
      </c>
      <c r="G39" s="41">
        <v>1.7452379999999998</v>
      </c>
      <c r="H39" s="42">
        <v>2.37</v>
      </c>
      <c r="I39" s="43">
        <v>2.37</v>
      </c>
      <c r="J39" s="44">
        <f t="shared" si="8"/>
        <v>8.9079995339274506E-2</v>
      </c>
      <c r="K39" s="45">
        <f t="shared" si="9"/>
        <v>7.4062500000000003E-2</v>
      </c>
      <c r="L39" s="46">
        <f t="shared" si="14"/>
        <v>0</v>
      </c>
      <c r="M39" s="46">
        <f t="shared" si="15"/>
        <v>0</v>
      </c>
      <c r="N39" s="50">
        <v>0</v>
      </c>
      <c r="O39" s="37">
        <v>0</v>
      </c>
      <c r="P39" s="51">
        <f t="shared" si="18"/>
        <v>0</v>
      </c>
      <c r="Q39" s="48">
        <f t="shared" si="17"/>
        <v>0.35798097451465094</v>
      </c>
      <c r="R39" s="49">
        <v>0</v>
      </c>
    </row>
    <row r="40" spans="1:18" x14ac:dyDescent="0.25">
      <c r="A40" s="35" t="s">
        <v>105</v>
      </c>
      <c r="B40" s="36" t="s">
        <v>106</v>
      </c>
      <c r="C40" s="37">
        <v>1778001428</v>
      </c>
      <c r="D40" s="38">
        <f t="shared" si="0"/>
        <v>3408271.0147226304</v>
      </c>
      <c r="E40" s="39">
        <f t="shared" si="1"/>
        <v>2833689.7758749998</v>
      </c>
      <c r="F40" s="40" t="s">
        <v>39</v>
      </c>
      <c r="G40" s="41">
        <v>0.03</v>
      </c>
      <c r="H40" s="42">
        <v>5.0999999999999997E-2</v>
      </c>
      <c r="I40" s="43">
        <v>5.0999999999999997E-2</v>
      </c>
      <c r="J40" s="44">
        <f t="shared" si="8"/>
        <v>1.9169112921109703E-3</v>
      </c>
      <c r="K40" s="45">
        <f t="shared" si="9"/>
        <v>1.5937499999999999E-3</v>
      </c>
      <c r="L40" s="46">
        <f t="shared" si="14"/>
        <v>0</v>
      </c>
      <c r="M40" s="46">
        <f t="shared" si="15"/>
        <v>0</v>
      </c>
      <c r="N40" s="50">
        <v>0</v>
      </c>
      <c r="O40" s="37">
        <v>0</v>
      </c>
      <c r="P40" s="51">
        <f t="shared" si="18"/>
        <v>0</v>
      </c>
      <c r="Q40" s="48">
        <f t="shared" si="17"/>
        <v>0.7</v>
      </c>
      <c r="R40" s="49">
        <v>0</v>
      </c>
    </row>
    <row r="41" spans="1:18" x14ac:dyDescent="0.25">
      <c r="A41" s="35" t="s">
        <v>107</v>
      </c>
      <c r="B41" s="36" t="s">
        <v>108</v>
      </c>
      <c r="C41" s="37">
        <v>175190642</v>
      </c>
      <c r="D41" s="38">
        <f t="shared" si="0"/>
        <v>49386017.635583885</v>
      </c>
      <c r="E41" s="39">
        <f t="shared" si="1"/>
        <v>41060306.71875</v>
      </c>
      <c r="F41" s="40" t="s">
        <v>47</v>
      </c>
      <c r="G41" s="41">
        <v>4.5</v>
      </c>
      <c r="H41" s="42">
        <v>7.5</v>
      </c>
      <c r="I41" s="43">
        <v>7.5</v>
      </c>
      <c r="J41" s="44">
        <f t="shared" si="8"/>
        <v>0.28189871942808387</v>
      </c>
      <c r="K41" s="45">
        <f t="shared" si="9"/>
        <v>0.234375</v>
      </c>
      <c r="L41" s="46">
        <f t="shared" si="14"/>
        <v>0</v>
      </c>
      <c r="M41" s="46">
        <f t="shared" si="15"/>
        <v>0</v>
      </c>
      <c r="N41" s="50">
        <v>0</v>
      </c>
      <c r="O41" s="37">
        <v>0</v>
      </c>
      <c r="P41" s="51">
        <f t="shared" si="18"/>
        <v>0</v>
      </c>
      <c r="Q41" s="48">
        <f t="shared" si="17"/>
        <v>0.66666666666666674</v>
      </c>
      <c r="R41" s="49"/>
    </row>
    <row r="42" spans="1:18" ht="12" customHeight="1" x14ac:dyDescent="0.25">
      <c r="A42" s="35" t="s">
        <v>109</v>
      </c>
      <c r="B42" s="36" t="s">
        <v>110</v>
      </c>
      <c r="C42" s="37">
        <v>463337661</v>
      </c>
      <c r="D42" s="38">
        <f t="shared" si="0"/>
        <v>313.47430391688874</v>
      </c>
      <c r="E42" s="39">
        <f t="shared" si="1"/>
        <v>260.62743431249999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6.7655692662740136E-7</v>
      </c>
      <c r="K42" s="45">
        <f t="shared" si="9"/>
        <v>5.6250000000000001E-7</v>
      </c>
      <c r="L42" s="46">
        <f t="shared" si="14"/>
        <v>0</v>
      </c>
      <c r="M42" s="46">
        <f t="shared" si="15"/>
        <v>0</v>
      </c>
      <c r="N42" s="50">
        <v>0</v>
      </c>
      <c r="O42" s="37">
        <v>0</v>
      </c>
      <c r="P42" s="51">
        <f t="shared" si="18"/>
        <v>0</v>
      </c>
      <c r="Q42" s="48">
        <f t="shared" si="17"/>
        <v>0</v>
      </c>
      <c r="R42" s="49">
        <v>0</v>
      </c>
    </row>
    <row r="43" spans="1:18" ht="12" customHeight="1" x14ac:dyDescent="0.25">
      <c r="A43" s="35" t="s">
        <v>111</v>
      </c>
      <c r="B43" s="36" t="s">
        <v>112</v>
      </c>
      <c r="C43" s="37">
        <v>576000000</v>
      </c>
      <c r="D43" s="38">
        <f t="shared" si="0"/>
        <v>1558787.1589495328</v>
      </c>
      <c r="E43" s="39">
        <f t="shared" si="1"/>
        <v>1296000.0000000002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2.7062277065096054E-3</v>
      </c>
      <c r="K43" s="45">
        <f t="shared" si="9"/>
        <v>2.2500000000000003E-3</v>
      </c>
      <c r="L43" s="46">
        <f t="shared" si="14"/>
        <v>0</v>
      </c>
      <c r="M43" s="46">
        <f t="shared" si="15"/>
        <v>0</v>
      </c>
      <c r="N43" s="50">
        <v>1000</v>
      </c>
      <c r="O43" s="37">
        <v>72</v>
      </c>
      <c r="P43" s="51">
        <f t="shared" si="18"/>
        <v>0</v>
      </c>
      <c r="Q43" s="48">
        <f t="shared" si="17"/>
        <v>2.8571428571428692E-2</v>
      </c>
      <c r="R43" s="49"/>
    </row>
    <row r="44" spans="1:18" ht="12" customHeight="1" x14ac:dyDescent="0.25">
      <c r="A44" s="35" t="s">
        <v>113</v>
      </c>
      <c r="B44" s="36" t="s">
        <v>114</v>
      </c>
      <c r="C44" s="37">
        <v>1818218786</v>
      </c>
      <c r="D44" s="38">
        <f t="shared" si="0"/>
        <v>49229811.462443426</v>
      </c>
      <c r="E44" s="39">
        <f t="shared" si="1"/>
        <v>40930434.465679564</v>
      </c>
      <c r="F44" s="40" t="s">
        <v>47</v>
      </c>
      <c r="G44" s="41">
        <v>0.9998999999999999</v>
      </c>
      <c r="H44" s="42">
        <v>0.74583299999999997</v>
      </c>
      <c r="I44" s="43">
        <v>0.72036100000000003</v>
      </c>
      <c r="J44" s="44">
        <f t="shared" si="8"/>
        <v>2.7075845790124526E-2</v>
      </c>
      <c r="K44" s="45">
        <f t="shared" si="9"/>
        <v>2.2511281250000001E-2</v>
      </c>
      <c r="L44" s="46">
        <f t="shared" si="14"/>
        <v>-2.5471999999999939E-2</v>
      </c>
      <c r="M44" s="46">
        <f t="shared" si="15"/>
        <v>-3.4152417498287067</v>
      </c>
      <c r="N44" s="50">
        <v>35600</v>
      </c>
      <c r="O44" s="37">
        <v>25644.85</v>
      </c>
      <c r="P44" s="51">
        <f t="shared" si="18"/>
        <v>0</v>
      </c>
      <c r="Q44" s="48">
        <f t="shared" si="17"/>
        <v>-0.27956695669566944</v>
      </c>
      <c r="R44" s="49">
        <v>0</v>
      </c>
    </row>
    <row r="45" spans="1:18" ht="12" customHeight="1" x14ac:dyDescent="0.25">
      <c r="A45" s="35" t="s">
        <v>115</v>
      </c>
      <c r="B45" s="36" t="s">
        <v>116</v>
      </c>
      <c r="C45" s="37">
        <v>102712520</v>
      </c>
      <c r="D45" s="38">
        <f t="shared" si="0"/>
        <v>17372716.714338873</v>
      </c>
      <c r="E45" s="39">
        <f t="shared" si="1"/>
        <v>14443948.125</v>
      </c>
      <c r="F45" s="40" t="s">
        <v>47</v>
      </c>
      <c r="G45" s="41">
        <v>1.4503460000000001</v>
      </c>
      <c r="H45" s="42">
        <v>4.5</v>
      </c>
      <c r="I45" s="43">
        <v>4.5</v>
      </c>
      <c r="J45" s="44">
        <f t="shared" si="8"/>
        <v>0.16913923165685033</v>
      </c>
      <c r="K45" s="45">
        <f t="shared" si="9"/>
        <v>0.140625</v>
      </c>
      <c r="L45" s="46">
        <f t="shared" si="14"/>
        <v>0</v>
      </c>
      <c r="M45" s="46">
        <f t="shared" si="15"/>
        <v>0</v>
      </c>
      <c r="N45" s="50">
        <v>44300</v>
      </c>
      <c r="O45" s="37">
        <v>199350</v>
      </c>
      <c r="P45" s="51">
        <v>0</v>
      </c>
      <c r="Q45" s="48">
        <f t="shared" si="17"/>
        <v>2.1027079055618452</v>
      </c>
      <c r="R45" s="49"/>
    </row>
    <row r="46" spans="1:18" ht="12" customHeight="1" x14ac:dyDescent="0.25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50"/>
      <c r="O46" s="37"/>
      <c r="P46" s="51"/>
      <c r="Q46" s="48"/>
      <c r="R46" s="49"/>
    </row>
    <row r="47" spans="1:18" ht="14.25" customHeight="1" thickBot="1" x14ac:dyDescent="0.4">
      <c r="A47" s="57"/>
      <c r="B47" s="58" t="s">
        <v>117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SUM(N9:N45)</f>
        <v>2358200</v>
      </c>
      <c r="O47" s="61">
        <f>SUM(O9:O45)</f>
        <v>26123304.500000004</v>
      </c>
      <c r="P47" s="62"/>
      <c r="Q47" s="63"/>
    </row>
    <row r="48" spans="1:18" ht="13.5" customHeight="1" x14ac:dyDescent="0.35">
      <c r="A48" s="64"/>
      <c r="B48" s="65" t="s">
        <v>117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75" customHeight="1" x14ac:dyDescent="0.3">
      <c r="A49" s="134" t="s">
        <v>118</v>
      </c>
      <c r="B49" s="135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7"/>
    </row>
    <row r="50" spans="1:20" ht="11.4" customHeight="1" x14ac:dyDescent="0.25">
      <c r="A50" s="35" t="s">
        <v>119</v>
      </c>
      <c r="B50" s="36" t="s">
        <v>120</v>
      </c>
      <c r="C50" s="40">
        <v>566299374</v>
      </c>
      <c r="D50" s="38">
        <f t="shared" ref="D50:D65" si="19">C50*J50</f>
        <v>107540251.1226</v>
      </c>
      <c r="E50" s="39">
        <v>0</v>
      </c>
      <c r="F50" s="40" t="s">
        <v>92</v>
      </c>
      <c r="G50" s="70">
        <v>0.1</v>
      </c>
      <c r="H50" s="42">
        <v>0.16880000000000001</v>
      </c>
      <c r="I50" s="42">
        <v>0.18990000000000001</v>
      </c>
      <c r="J50" s="44">
        <f t="shared" ref="J50:J65" si="20">I50</f>
        <v>0.18990000000000001</v>
      </c>
      <c r="K50" s="39">
        <v>0</v>
      </c>
      <c r="L50" s="46">
        <f t="shared" ref="L50:L65" si="21">I50-H50</f>
        <v>2.1100000000000008E-2</v>
      </c>
      <c r="M50" s="46">
        <f t="shared" ref="M50:M65" si="22">((I50-H50)/H50)*100</f>
        <v>12.500000000000004</v>
      </c>
      <c r="N50" s="50">
        <v>1733300</v>
      </c>
      <c r="O50" s="37">
        <v>329075.48</v>
      </c>
      <c r="P50" s="71">
        <f>(R50)/J50</f>
        <v>0</v>
      </c>
      <c r="Q50" s="48">
        <f t="shared" ref="Q50:Q65" si="23">J50/G50-1</f>
        <v>0.89900000000000002</v>
      </c>
      <c r="T50" s="52"/>
    </row>
    <row r="51" spans="1:20" ht="12" customHeight="1" x14ac:dyDescent="0.25">
      <c r="A51" s="35" t="s">
        <v>121</v>
      </c>
      <c r="B51" s="36" t="s">
        <v>122</v>
      </c>
      <c r="C51" s="40">
        <v>19335079</v>
      </c>
      <c r="D51" s="38">
        <f t="shared" si="19"/>
        <v>676625289.08130002</v>
      </c>
      <c r="E51" s="39">
        <v>0</v>
      </c>
      <c r="F51" s="40" t="s">
        <v>39</v>
      </c>
      <c r="G51" s="70">
        <v>39.9</v>
      </c>
      <c r="H51" s="42">
        <v>33.2059</v>
      </c>
      <c r="I51" s="42">
        <v>34.994700000000002</v>
      </c>
      <c r="J51" s="44">
        <f t="shared" si="20"/>
        <v>34.994700000000002</v>
      </c>
      <c r="K51" s="39">
        <v>0</v>
      </c>
      <c r="L51" s="46">
        <f t="shared" si="21"/>
        <v>1.7888000000000019</v>
      </c>
      <c r="M51" s="46">
        <f t="shared" si="22"/>
        <v>5.3869944798966509</v>
      </c>
      <c r="N51" s="50">
        <v>666</v>
      </c>
      <c r="O51" s="37">
        <v>23306.5</v>
      </c>
      <c r="P51" s="72">
        <f>(R51)/J51</f>
        <v>1.6002423224088218E-2</v>
      </c>
      <c r="Q51" s="48">
        <f t="shared" si="23"/>
        <v>-0.12293984962406013</v>
      </c>
      <c r="R51" s="52">
        <v>0.56000000000000005</v>
      </c>
      <c r="T51" s="52"/>
    </row>
    <row r="52" spans="1:20" ht="12" customHeight="1" x14ac:dyDescent="0.25">
      <c r="A52" s="35" t="s">
        <v>123</v>
      </c>
      <c r="B52" s="36" t="s">
        <v>124</v>
      </c>
      <c r="C52" s="40">
        <v>2992163203</v>
      </c>
      <c r="D52" s="38">
        <f t="shared" si="19"/>
        <v>656181390.41789997</v>
      </c>
      <c r="E52" s="39"/>
      <c r="F52" s="40" t="s">
        <v>56</v>
      </c>
      <c r="G52" s="70">
        <v>0.33</v>
      </c>
      <c r="H52" s="42">
        <v>0.224</v>
      </c>
      <c r="I52" s="42">
        <v>0.21929999999999999</v>
      </c>
      <c r="J52" s="44">
        <f t="shared" si="20"/>
        <v>0.21929999999999999</v>
      </c>
      <c r="K52" s="39">
        <v>0</v>
      </c>
      <c r="L52" s="46">
        <f t="shared" si="21"/>
        <v>-4.7000000000000097E-3</v>
      </c>
      <c r="M52" s="46">
        <f t="shared" si="22"/>
        <v>-2.09821428571429</v>
      </c>
      <c r="N52" s="50">
        <v>157092</v>
      </c>
      <c r="O52" s="37">
        <v>34446.04</v>
      </c>
      <c r="P52" s="71">
        <v>0</v>
      </c>
      <c r="Q52" s="48">
        <f t="shared" si="23"/>
        <v>-0.33545454545454545</v>
      </c>
      <c r="R52" s="52"/>
      <c r="T52" s="52"/>
    </row>
    <row r="53" spans="1:20" ht="7.5" hidden="1" customHeight="1" x14ac:dyDescent="0.25">
      <c r="A53" s="35" t="s">
        <v>125</v>
      </c>
      <c r="B53" s="36" t="s">
        <v>126</v>
      </c>
      <c r="C53" s="40">
        <v>609740943</v>
      </c>
      <c r="D53" s="38">
        <f t="shared" si="19"/>
        <v>0</v>
      </c>
      <c r="E53" s="39">
        <v>0</v>
      </c>
      <c r="F53" s="40" t="s">
        <v>34</v>
      </c>
      <c r="G53" s="70">
        <v>2.3E-2</v>
      </c>
      <c r="H53" s="42">
        <v>0</v>
      </c>
      <c r="I53" s="42"/>
      <c r="J53" s="44">
        <f t="shared" si="20"/>
        <v>0</v>
      </c>
      <c r="K53" s="39">
        <v>0</v>
      </c>
      <c r="L53" s="46">
        <f t="shared" si="21"/>
        <v>0</v>
      </c>
      <c r="M53" s="46">
        <v>0</v>
      </c>
      <c r="N53" s="53" t="s">
        <v>57</v>
      </c>
      <c r="O53" s="73" t="s">
        <v>57</v>
      </c>
      <c r="P53" s="71" t="e">
        <f t="shared" ref="P53:P65" si="24">(R53)/J53</f>
        <v>#DIV/0!</v>
      </c>
      <c r="Q53" s="48">
        <v>0</v>
      </c>
      <c r="T53" s="52"/>
    </row>
    <row r="54" spans="1:20" ht="12" customHeight="1" x14ac:dyDescent="0.25">
      <c r="A54" s="35" t="s">
        <v>127</v>
      </c>
      <c r="B54" s="36" t="s">
        <v>128</v>
      </c>
      <c r="C54" s="40">
        <v>2162285929</v>
      </c>
      <c r="D54" s="38">
        <f t="shared" si="19"/>
        <v>365642550.59390002</v>
      </c>
      <c r="E54" s="39">
        <v>0</v>
      </c>
      <c r="F54" s="40" t="s">
        <v>47</v>
      </c>
      <c r="G54" s="70">
        <v>9.0200000000000002E-2</v>
      </c>
      <c r="H54" s="42">
        <v>0.16170000000000001</v>
      </c>
      <c r="I54" s="42">
        <v>0.1691</v>
      </c>
      <c r="J54" s="44">
        <f t="shared" si="20"/>
        <v>0.1691</v>
      </c>
      <c r="K54" s="39">
        <v>0</v>
      </c>
      <c r="L54" s="46">
        <f t="shared" si="21"/>
        <v>7.3999999999999899E-3</v>
      </c>
      <c r="M54" s="74">
        <f t="shared" si="22"/>
        <v>4.5763760049474271</v>
      </c>
      <c r="N54" s="50">
        <v>1389</v>
      </c>
      <c r="O54" s="37">
        <v>234.91</v>
      </c>
      <c r="P54" s="71">
        <f t="shared" si="24"/>
        <v>0</v>
      </c>
      <c r="Q54" s="48">
        <f t="shared" si="23"/>
        <v>0.87472283813747231</v>
      </c>
      <c r="R54" s="52"/>
      <c r="T54" s="52"/>
    </row>
    <row r="55" spans="1:20" ht="12" customHeight="1" x14ac:dyDescent="0.25">
      <c r="A55" s="35" t="s">
        <v>129</v>
      </c>
      <c r="B55" s="36" t="s">
        <v>130</v>
      </c>
      <c r="C55" s="40">
        <v>575926450</v>
      </c>
      <c r="D55" s="38">
        <f t="shared" si="19"/>
        <v>960702911.245</v>
      </c>
      <c r="E55" s="39">
        <v>0</v>
      </c>
      <c r="F55" s="40" t="s">
        <v>34</v>
      </c>
      <c r="G55" s="70">
        <v>0.95750000000000002</v>
      </c>
      <c r="H55" s="42">
        <v>1.5066999999999999</v>
      </c>
      <c r="I55" s="42">
        <v>1.6680999999999999</v>
      </c>
      <c r="J55" s="44">
        <f t="shared" si="20"/>
        <v>1.6680999999999999</v>
      </c>
      <c r="K55" s="39">
        <v>0</v>
      </c>
      <c r="L55" s="46">
        <f t="shared" si="21"/>
        <v>0.16139999999999999</v>
      </c>
      <c r="M55" s="46">
        <f t="shared" si="22"/>
        <v>10.712152386009159</v>
      </c>
      <c r="N55" s="50">
        <v>470538</v>
      </c>
      <c r="O55" s="37">
        <v>784907.92</v>
      </c>
      <c r="P55" s="72">
        <f t="shared" si="24"/>
        <v>2.8175768838798635E-2</v>
      </c>
      <c r="Q55" s="48">
        <f t="shared" si="23"/>
        <v>0.74214099216710161</v>
      </c>
      <c r="R55" s="52">
        <v>4.7E-2</v>
      </c>
      <c r="T55" s="52"/>
    </row>
    <row r="56" spans="1:20" ht="12" customHeight="1" x14ac:dyDescent="0.25">
      <c r="A56" s="35" t="s">
        <v>131</v>
      </c>
      <c r="B56" s="36" t="s">
        <v>132</v>
      </c>
      <c r="C56" s="40">
        <v>182365267</v>
      </c>
      <c r="D56" s="38">
        <f t="shared" si="19"/>
        <v>23780430.816799998</v>
      </c>
      <c r="E56" s="39">
        <v>0</v>
      </c>
      <c r="F56" s="40" t="s">
        <v>34</v>
      </c>
      <c r="G56" s="70">
        <v>0.1595</v>
      </c>
      <c r="H56" s="42">
        <v>0.14000000000000001</v>
      </c>
      <c r="I56" s="42">
        <v>0.13039999999999999</v>
      </c>
      <c r="J56" s="44">
        <f t="shared" si="20"/>
        <v>0.13039999999999999</v>
      </c>
      <c r="K56" s="39">
        <v>0</v>
      </c>
      <c r="L56" s="46">
        <f t="shared" si="21"/>
        <v>-9.6000000000000252E-3</v>
      </c>
      <c r="M56" s="46">
        <f t="shared" si="22"/>
        <v>-6.8571428571428745</v>
      </c>
      <c r="N56" s="50">
        <v>2264</v>
      </c>
      <c r="O56" s="37">
        <v>295.12</v>
      </c>
      <c r="P56" s="71">
        <f t="shared" si="24"/>
        <v>0</v>
      </c>
      <c r="Q56" s="48">
        <f t="shared" si="23"/>
        <v>-0.18244514106583076</v>
      </c>
      <c r="T56" s="52"/>
    </row>
    <row r="57" spans="1:20" ht="12" customHeight="1" x14ac:dyDescent="0.25">
      <c r="A57" s="35" t="s">
        <v>133</v>
      </c>
      <c r="B57" s="36" t="s">
        <v>134</v>
      </c>
      <c r="C57" s="40">
        <v>4558531619</v>
      </c>
      <c r="D57" s="38">
        <f t="shared" si="19"/>
        <v>104846227.237</v>
      </c>
      <c r="E57" s="39">
        <v>0</v>
      </c>
      <c r="F57" s="40" t="s">
        <v>92</v>
      </c>
      <c r="G57" s="70">
        <v>1.6799999999999999E-2</v>
      </c>
      <c r="H57" s="42">
        <v>2.1999999999999999E-2</v>
      </c>
      <c r="I57" s="42">
        <v>2.3E-2</v>
      </c>
      <c r="J57" s="44">
        <f t="shared" si="20"/>
        <v>2.3E-2</v>
      </c>
      <c r="K57" s="39">
        <v>0</v>
      </c>
      <c r="L57" s="46">
        <f t="shared" si="21"/>
        <v>1.0000000000000009E-3</v>
      </c>
      <c r="M57" s="74">
        <f t="shared" si="22"/>
        <v>4.5454545454545494</v>
      </c>
      <c r="N57" s="50">
        <v>4550</v>
      </c>
      <c r="O57" s="37">
        <v>104.65</v>
      </c>
      <c r="P57" s="71">
        <f t="shared" si="24"/>
        <v>0</v>
      </c>
      <c r="Q57" s="48">
        <f t="shared" si="23"/>
        <v>0.36904761904761907</v>
      </c>
      <c r="R57" s="52"/>
      <c r="T57" s="52"/>
    </row>
    <row r="58" spans="1:20" ht="12" customHeight="1" x14ac:dyDescent="0.25">
      <c r="A58" s="35" t="s">
        <v>135</v>
      </c>
      <c r="B58" s="36" t="s">
        <v>136</v>
      </c>
      <c r="C58" s="40">
        <v>161273</v>
      </c>
      <c r="D58" s="38">
        <f t="shared" si="19"/>
        <v>2692646.2626</v>
      </c>
      <c r="E58" s="39">
        <v>0</v>
      </c>
      <c r="F58" s="40" t="s">
        <v>137</v>
      </c>
      <c r="G58" s="70">
        <v>19.5</v>
      </c>
      <c r="H58" s="42">
        <v>16.8</v>
      </c>
      <c r="I58" s="42">
        <v>16.696200000000001</v>
      </c>
      <c r="J58" s="44">
        <f t="shared" si="20"/>
        <v>16.696200000000001</v>
      </c>
      <c r="K58" s="39">
        <v>0</v>
      </c>
      <c r="L58" s="46">
        <f t="shared" si="21"/>
        <v>-0.10379999999999967</v>
      </c>
      <c r="M58" s="46">
        <f t="shared" si="22"/>
        <v>-0.61785714285714088</v>
      </c>
      <c r="N58" s="50">
        <v>26</v>
      </c>
      <c r="O58" s="37">
        <v>434.1</v>
      </c>
      <c r="P58" s="71">
        <f t="shared" si="24"/>
        <v>0</v>
      </c>
      <c r="Q58" s="48">
        <f t="shared" si="23"/>
        <v>-0.14378461538461529</v>
      </c>
      <c r="T58" s="52"/>
    </row>
    <row r="59" spans="1:20" ht="12" customHeight="1" x14ac:dyDescent="0.25">
      <c r="A59" s="35" t="s">
        <v>138</v>
      </c>
      <c r="B59" s="36" t="s">
        <v>139</v>
      </c>
      <c r="C59" s="40">
        <v>4498037281</v>
      </c>
      <c r="D59" s="38">
        <f t="shared" si="19"/>
        <v>4036538655.9693999</v>
      </c>
      <c r="E59" s="39">
        <v>0</v>
      </c>
      <c r="F59" s="40" t="s">
        <v>47</v>
      </c>
      <c r="G59" s="70">
        <v>0.78169999999999995</v>
      </c>
      <c r="H59" s="51">
        <v>0.89</v>
      </c>
      <c r="I59" s="42">
        <v>0.89739999999999998</v>
      </c>
      <c r="J59" s="44">
        <f t="shared" si="20"/>
        <v>0.89739999999999998</v>
      </c>
      <c r="K59" s="39">
        <v>0</v>
      </c>
      <c r="L59" s="46">
        <f t="shared" si="21"/>
        <v>7.3999999999999622E-3</v>
      </c>
      <c r="M59" s="46">
        <f t="shared" si="22"/>
        <v>0.83146067415729907</v>
      </c>
      <c r="N59" s="75">
        <v>11897</v>
      </c>
      <c r="O59" s="76">
        <v>10676.48</v>
      </c>
      <c r="P59" s="71">
        <f t="shared" si="24"/>
        <v>0</v>
      </c>
      <c r="Q59" s="48">
        <f t="shared" si="23"/>
        <v>0.14801074581041318</v>
      </c>
      <c r="R59" s="52"/>
      <c r="S59" s="52"/>
      <c r="T59" s="52"/>
    </row>
    <row r="60" spans="1:20" ht="12" customHeight="1" x14ac:dyDescent="0.25">
      <c r="A60" s="35" t="s">
        <v>140</v>
      </c>
      <c r="B60" s="36" t="s">
        <v>141</v>
      </c>
      <c r="C60" s="40">
        <v>805090451</v>
      </c>
      <c r="D60" s="38">
        <f t="shared" si="19"/>
        <v>1208118730.7705998</v>
      </c>
      <c r="E60" s="39">
        <v>0</v>
      </c>
      <c r="F60" s="40" t="s">
        <v>92</v>
      </c>
      <c r="G60" s="70">
        <v>0.59499999999999997</v>
      </c>
      <c r="H60" s="42">
        <v>1.5967</v>
      </c>
      <c r="I60" s="42">
        <v>1.5005999999999999</v>
      </c>
      <c r="J60" s="44">
        <f t="shared" si="20"/>
        <v>1.5005999999999999</v>
      </c>
      <c r="K60" s="39">
        <v>0</v>
      </c>
      <c r="L60" s="46">
        <f t="shared" si="21"/>
        <v>-9.6100000000000074E-2</v>
      </c>
      <c r="M60" s="46">
        <f t="shared" si="22"/>
        <v>-6.0186634934552563</v>
      </c>
      <c r="N60" s="50">
        <v>181991</v>
      </c>
      <c r="O60" s="37">
        <v>273103.48</v>
      </c>
      <c r="P60" s="71">
        <f t="shared" si="24"/>
        <v>0</v>
      </c>
      <c r="Q60" s="48">
        <f t="shared" si="23"/>
        <v>1.5220168067226889</v>
      </c>
      <c r="T60" s="52"/>
    </row>
    <row r="61" spans="1:20" ht="12" customHeight="1" x14ac:dyDescent="0.25">
      <c r="A61" s="35" t="s">
        <v>142</v>
      </c>
      <c r="B61" s="36" t="s">
        <v>143</v>
      </c>
      <c r="C61" s="40">
        <v>394429709</v>
      </c>
      <c r="D61" s="38">
        <f t="shared" si="19"/>
        <v>149922732.39089999</v>
      </c>
      <c r="E61" s="39">
        <v>0</v>
      </c>
      <c r="F61" s="40" t="s">
        <v>34</v>
      </c>
      <c r="G61" s="70">
        <v>0.22600000000000001</v>
      </c>
      <c r="H61" s="42">
        <v>0.36020000000000002</v>
      </c>
      <c r="I61" s="42">
        <v>0.38009999999999999</v>
      </c>
      <c r="J61" s="44">
        <f t="shared" si="20"/>
        <v>0.38009999999999999</v>
      </c>
      <c r="K61" s="39">
        <v>0</v>
      </c>
      <c r="L61" s="46">
        <f t="shared" si="21"/>
        <v>1.9899999999999973E-2</v>
      </c>
      <c r="M61" s="46">
        <f t="shared" si="22"/>
        <v>5.5247084952803922</v>
      </c>
      <c r="N61" s="50">
        <v>8635</v>
      </c>
      <c r="O61" s="37">
        <v>3282.28</v>
      </c>
      <c r="P61" s="71">
        <f t="shared" si="24"/>
        <v>0</v>
      </c>
      <c r="Q61" s="48">
        <f t="shared" si="23"/>
        <v>0.68185840707964585</v>
      </c>
      <c r="T61" s="52"/>
    </row>
    <row r="62" spans="1:20" ht="12" customHeight="1" x14ac:dyDescent="0.25">
      <c r="A62" s="35" t="s">
        <v>144</v>
      </c>
      <c r="B62" s="36" t="s">
        <v>145</v>
      </c>
      <c r="C62" s="40">
        <v>562184788</v>
      </c>
      <c r="D62" s="38">
        <f t="shared" si="19"/>
        <v>390549772.22359997</v>
      </c>
      <c r="E62" s="39">
        <v>0</v>
      </c>
      <c r="F62" s="40" t="s">
        <v>34</v>
      </c>
      <c r="G62" s="70">
        <v>0.49440000000000001</v>
      </c>
      <c r="H62" s="42">
        <v>0.70179999999999998</v>
      </c>
      <c r="I62" s="42">
        <v>0.69469999999999998</v>
      </c>
      <c r="J62" s="44">
        <f t="shared" si="20"/>
        <v>0.69469999999999998</v>
      </c>
      <c r="K62" s="39">
        <v>0</v>
      </c>
      <c r="L62" s="46">
        <f t="shared" si="21"/>
        <v>-7.0999999999999952E-3</v>
      </c>
      <c r="M62" s="46">
        <f t="shared" si="22"/>
        <v>-1.0116842405243651</v>
      </c>
      <c r="N62" s="50">
        <v>47347</v>
      </c>
      <c r="O62" s="37">
        <v>32893.980000000003</v>
      </c>
      <c r="P62" s="71">
        <f t="shared" si="24"/>
        <v>0</v>
      </c>
      <c r="Q62" s="48">
        <f t="shared" si="23"/>
        <v>0.40513754045307437</v>
      </c>
      <c r="R62" s="52"/>
      <c r="T62" s="52"/>
    </row>
    <row r="63" spans="1:20" ht="12" customHeight="1" x14ac:dyDescent="0.25">
      <c r="A63" s="35" t="s">
        <v>146</v>
      </c>
      <c r="B63" s="36" t="s">
        <v>147</v>
      </c>
      <c r="C63" s="40">
        <v>364526035</v>
      </c>
      <c r="D63" s="38">
        <f t="shared" si="19"/>
        <v>78373097.525000006</v>
      </c>
      <c r="E63" s="39">
        <v>0</v>
      </c>
      <c r="F63" s="40" t="s">
        <v>34</v>
      </c>
      <c r="G63" s="70">
        <v>0.25950000000000001</v>
      </c>
      <c r="H63" s="42">
        <v>0.21099999999999999</v>
      </c>
      <c r="I63" s="42">
        <v>0.215</v>
      </c>
      <c r="J63" s="44">
        <f t="shared" si="20"/>
        <v>0.215</v>
      </c>
      <c r="K63" s="39">
        <v>0</v>
      </c>
      <c r="L63" s="46">
        <f t="shared" si="21"/>
        <v>4.0000000000000036E-3</v>
      </c>
      <c r="M63" s="46">
        <f t="shared" si="22"/>
        <v>1.8957345971563999</v>
      </c>
      <c r="N63" s="50">
        <v>40001</v>
      </c>
      <c r="O63" s="37">
        <v>8601.25</v>
      </c>
      <c r="P63" s="71">
        <f t="shared" si="24"/>
        <v>0</v>
      </c>
      <c r="Q63" s="48">
        <f t="shared" si="23"/>
        <v>-0.17148362235067438</v>
      </c>
      <c r="R63" s="52"/>
      <c r="T63" s="52"/>
    </row>
    <row r="64" spans="1:20" x14ac:dyDescent="0.25">
      <c r="A64" s="35" t="s">
        <v>148</v>
      </c>
      <c r="B64" s="36" t="s">
        <v>149</v>
      </c>
      <c r="C64" s="40">
        <v>1000000000</v>
      </c>
      <c r="D64" s="38">
        <f t="shared" si="19"/>
        <v>279100000</v>
      </c>
      <c r="E64" s="39">
        <v>0</v>
      </c>
      <c r="F64" s="40" t="s">
        <v>66</v>
      </c>
      <c r="G64" s="70">
        <v>10</v>
      </c>
      <c r="H64" s="42">
        <v>0.33600000000000002</v>
      </c>
      <c r="I64" s="42">
        <v>0.27910000000000001</v>
      </c>
      <c r="J64" s="44">
        <f t="shared" si="20"/>
        <v>0.27910000000000001</v>
      </c>
      <c r="K64" s="39">
        <v>0</v>
      </c>
      <c r="L64" s="46">
        <f t="shared" si="21"/>
        <v>-5.6900000000000006E-2</v>
      </c>
      <c r="M64" s="46">
        <f t="shared" si="22"/>
        <v>-16.93452380952381</v>
      </c>
      <c r="N64" s="50">
        <v>110</v>
      </c>
      <c r="O64" s="37">
        <v>30.7</v>
      </c>
      <c r="P64" s="71">
        <f t="shared" si="24"/>
        <v>0</v>
      </c>
      <c r="Q64" s="48">
        <f t="shared" si="23"/>
        <v>-0.97209000000000001</v>
      </c>
      <c r="T64" s="52"/>
    </row>
    <row r="65" spans="1:20" x14ac:dyDescent="0.25">
      <c r="A65" s="35" t="s">
        <v>150</v>
      </c>
      <c r="B65" s="36" t="s">
        <v>151</v>
      </c>
      <c r="C65" s="40">
        <v>344580486</v>
      </c>
      <c r="D65" s="38">
        <f t="shared" si="19"/>
        <v>37903853.460000001</v>
      </c>
      <c r="E65" s="39">
        <v>0</v>
      </c>
      <c r="F65" s="40" t="s">
        <v>44</v>
      </c>
      <c r="G65" s="70">
        <v>4.2999999999999997E-2</v>
      </c>
      <c r="H65" s="42">
        <v>0.11</v>
      </c>
      <c r="I65" s="42">
        <v>0.11</v>
      </c>
      <c r="J65" s="44">
        <f t="shared" si="20"/>
        <v>0.11</v>
      </c>
      <c r="K65" s="39">
        <v>0</v>
      </c>
      <c r="L65" s="46">
        <f t="shared" si="21"/>
        <v>0</v>
      </c>
      <c r="M65" s="46">
        <f t="shared" si="22"/>
        <v>0</v>
      </c>
      <c r="N65" s="50">
        <v>1814</v>
      </c>
      <c r="O65" s="37">
        <v>199.54</v>
      </c>
      <c r="P65" s="71">
        <f t="shared" si="24"/>
        <v>0</v>
      </c>
      <c r="Q65" s="48">
        <f t="shared" si="23"/>
        <v>1.558139534883721</v>
      </c>
      <c r="T65" s="52"/>
    </row>
    <row r="66" spans="1:20" ht="13.2" x14ac:dyDescent="0.35">
      <c r="A66" s="77"/>
      <c r="B66" s="36" t="s">
        <v>117</v>
      </c>
      <c r="C66" s="40"/>
      <c r="D66" s="78"/>
      <c r="E66" s="78"/>
      <c r="F66" s="40"/>
      <c r="G66" s="40"/>
      <c r="H66" s="42"/>
      <c r="I66" s="42"/>
      <c r="J66" s="42"/>
      <c r="K66" s="42"/>
      <c r="L66" s="46"/>
      <c r="M66" s="79"/>
      <c r="N66" s="61">
        <f>SUM(N50:N65)</f>
        <v>2661620</v>
      </c>
      <c r="O66" s="62">
        <f>SUM(O50:O65)</f>
        <v>1501592.4300000002</v>
      </c>
      <c r="P66" s="80"/>
      <c r="Q66" s="63"/>
    </row>
    <row r="67" spans="1:20" ht="12.6" hidden="1" x14ac:dyDescent="0.3">
      <c r="A67" s="138" t="s">
        <v>152</v>
      </c>
      <c r="B67" s="139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1"/>
    </row>
    <row r="68" spans="1:20" ht="12.6" hidden="1" thickBot="1" x14ac:dyDescent="0.3">
      <c r="A68" s="81" t="s">
        <v>153</v>
      </c>
      <c r="B68" s="82" t="s">
        <v>154</v>
      </c>
      <c r="C68" s="83">
        <v>20000</v>
      </c>
      <c r="D68" s="84">
        <f>C68*J68</f>
        <v>0</v>
      </c>
      <c r="E68" s="84"/>
      <c r="F68" s="83" t="s">
        <v>155</v>
      </c>
      <c r="G68" s="83"/>
      <c r="H68" s="85">
        <v>100</v>
      </c>
      <c r="I68" s="85"/>
      <c r="J68" s="85"/>
      <c r="K68" s="85"/>
      <c r="L68" s="86">
        <f>I68-H68</f>
        <v>-100</v>
      </c>
      <c r="M68" s="87">
        <f>((I68-H68)/H68)*100</f>
        <v>-100</v>
      </c>
      <c r="N68" s="88" t="s">
        <v>57</v>
      </c>
      <c r="O68" s="88" t="s">
        <v>57</v>
      </c>
      <c r="P68" s="88"/>
      <c r="Q68" s="89">
        <v>100</v>
      </c>
    </row>
    <row r="69" spans="1:20" ht="12.6" thickBot="1" x14ac:dyDescent="0.3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9"/>
      <c r="N69" s="90"/>
      <c r="O69" s="90"/>
      <c r="P69" s="90"/>
      <c r="Q69" s="63"/>
    </row>
    <row r="70" spans="1:20" ht="12.6" x14ac:dyDescent="0.3">
      <c r="A70" s="138" t="s">
        <v>156</v>
      </c>
      <c r="B70" s="139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1"/>
    </row>
    <row r="71" spans="1:20" x14ac:dyDescent="0.25">
      <c r="A71" s="35" t="s">
        <v>157</v>
      </c>
      <c r="B71" s="91" t="s">
        <v>158</v>
      </c>
      <c r="C71" s="92">
        <v>181618500</v>
      </c>
      <c r="D71" s="38">
        <f>C71*J71</f>
        <v>60733226.399999999</v>
      </c>
      <c r="E71" s="39">
        <f>C71*K71</f>
        <v>60733226.399999999</v>
      </c>
      <c r="F71" s="92" t="s">
        <v>159</v>
      </c>
      <c r="G71" s="92">
        <v>0.24</v>
      </c>
      <c r="H71" s="93">
        <v>0.35</v>
      </c>
      <c r="I71" s="93">
        <v>0.33439999999999998</v>
      </c>
      <c r="J71" s="94">
        <f>I71</f>
        <v>0.33439999999999998</v>
      </c>
      <c r="K71" s="94">
        <f>J71</f>
        <v>0.33439999999999998</v>
      </c>
      <c r="L71" s="46">
        <f>I71-H71</f>
        <v>-1.5600000000000003E-2</v>
      </c>
      <c r="M71" s="46">
        <f>((I71-H71)/H71)*100</f>
        <v>-4.4571428571428582</v>
      </c>
      <c r="N71" s="95">
        <v>1227</v>
      </c>
      <c r="O71" s="96">
        <v>410.31</v>
      </c>
      <c r="P71" s="71">
        <f>(R71)/J71</f>
        <v>0</v>
      </c>
      <c r="Q71" s="48">
        <f>J71/G71-1</f>
        <v>0.39333333333333331</v>
      </c>
      <c r="T71" s="52"/>
    </row>
    <row r="72" spans="1:20" x14ac:dyDescent="0.25">
      <c r="A72" s="35" t="s">
        <v>160</v>
      </c>
      <c r="B72" s="91" t="s">
        <v>161</v>
      </c>
      <c r="C72" s="92">
        <v>540751750</v>
      </c>
      <c r="D72" s="38">
        <f>C72*J72</f>
        <v>80355710.050000012</v>
      </c>
      <c r="E72" s="39">
        <f>C72*K72</f>
        <v>80355710.050000012</v>
      </c>
      <c r="F72" s="92" t="s">
        <v>159</v>
      </c>
      <c r="G72" s="92">
        <v>0.1</v>
      </c>
      <c r="H72" s="93">
        <v>0.1447</v>
      </c>
      <c r="I72" s="93">
        <v>0.14860000000000001</v>
      </c>
      <c r="J72" s="94">
        <f>I72</f>
        <v>0.14860000000000001</v>
      </c>
      <c r="K72" s="94">
        <f>J72</f>
        <v>0.14860000000000001</v>
      </c>
      <c r="L72" s="46">
        <f>I72-H72</f>
        <v>3.9000000000000146E-3</v>
      </c>
      <c r="M72" s="46">
        <f>((I72-H72)/H72)*100</f>
        <v>2.695231513476168</v>
      </c>
      <c r="N72" s="50">
        <v>6129</v>
      </c>
      <c r="O72" s="96">
        <v>910.47</v>
      </c>
      <c r="P72" s="97">
        <f>(R72)/J72</f>
        <v>2.5518169582772542E-2</v>
      </c>
      <c r="Q72" s="48">
        <f>J72/G72-1</f>
        <v>0.48599999999999999</v>
      </c>
      <c r="R72" s="5">
        <v>3.7919999999999998E-3</v>
      </c>
      <c r="T72" s="52"/>
    </row>
    <row r="73" spans="1:20" ht="13.8" thickBot="1" x14ac:dyDescent="0.4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9"/>
      <c r="N73" s="61">
        <f>SUM(N71:N72)</f>
        <v>7356</v>
      </c>
      <c r="O73" s="62">
        <f>SUM(O71:O72)</f>
        <v>1320.78</v>
      </c>
      <c r="P73" s="90"/>
      <c r="Q73" s="63"/>
    </row>
    <row r="74" spans="1:20" ht="12.6" x14ac:dyDescent="0.3">
      <c r="A74" s="138" t="s">
        <v>162</v>
      </c>
      <c r="B74" s="139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1"/>
    </row>
    <row r="75" spans="1:20" x14ac:dyDescent="0.25">
      <c r="A75" s="35" t="s">
        <v>163</v>
      </c>
      <c r="B75" s="91" t="s">
        <v>164</v>
      </c>
      <c r="C75" s="92">
        <v>83887224</v>
      </c>
      <c r="D75" s="38">
        <f>C75*J75</f>
        <v>9932247.3216000013</v>
      </c>
      <c r="E75" s="39">
        <f>C75*K75</f>
        <v>9932247.3216000013</v>
      </c>
      <c r="F75" s="92" t="s">
        <v>137</v>
      </c>
      <c r="G75" s="92">
        <v>0.1394</v>
      </c>
      <c r="H75" s="93">
        <v>0.11799999999999999</v>
      </c>
      <c r="I75" s="93">
        <v>0.11840000000000001</v>
      </c>
      <c r="J75" s="94">
        <f>I75</f>
        <v>0.11840000000000001</v>
      </c>
      <c r="K75" s="94">
        <f>J75</f>
        <v>0.11840000000000001</v>
      </c>
      <c r="L75" s="46">
        <f>I75-H75</f>
        <v>4.0000000000001146E-4</v>
      </c>
      <c r="M75" s="46">
        <f>((I75-H75)/H75)*100</f>
        <v>0.33898305084746738</v>
      </c>
      <c r="N75" s="95">
        <v>617</v>
      </c>
      <c r="O75" s="96">
        <v>73.06</v>
      </c>
      <c r="P75" s="71">
        <f>(R75)/J75</f>
        <v>0</v>
      </c>
      <c r="Q75" s="48">
        <f>J75/G75-1</f>
        <v>-0.15064562410329985</v>
      </c>
    </row>
    <row r="76" spans="1:20" ht="13.2" x14ac:dyDescent="0.35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9"/>
      <c r="N76" s="61"/>
      <c r="O76" s="62"/>
      <c r="P76" s="90"/>
      <c r="Q76" s="63"/>
    </row>
    <row r="77" spans="1:20" ht="12.6" x14ac:dyDescent="0.3">
      <c r="A77" s="134" t="s">
        <v>165</v>
      </c>
      <c r="B77" s="135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7"/>
    </row>
    <row r="78" spans="1:20" x14ac:dyDescent="0.25">
      <c r="A78" s="35" t="s">
        <v>166</v>
      </c>
      <c r="B78" s="36" t="s">
        <v>167</v>
      </c>
      <c r="C78" s="40">
        <v>31703227</v>
      </c>
      <c r="D78" s="38">
        <f>C78*J78</f>
        <v>119161.32124050471</v>
      </c>
      <c r="E78" s="39">
        <f>C78*K78</f>
        <v>99072.584375000006</v>
      </c>
      <c r="F78" s="40" t="s">
        <v>137</v>
      </c>
      <c r="G78" s="70">
        <v>0.105</v>
      </c>
      <c r="H78" s="42">
        <v>0.1</v>
      </c>
      <c r="I78" s="42">
        <v>0.1</v>
      </c>
      <c r="J78" s="44">
        <f>I78/$J$5</f>
        <v>3.7586495923744518E-3</v>
      </c>
      <c r="K78" s="45">
        <f>I78/$K$4</f>
        <v>3.1250000000000002E-3</v>
      </c>
      <c r="L78" s="46">
        <f>I78-H78</f>
        <v>0</v>
      </c>
      <c r="M78" s="98">
        <f>((I78-H78)/H78)*100</f>
        <v>0</v>
      </c>
      <c r="N78" s="37">
        <v>0</v>
      </c>
      <c r="O78" s="37">
        <v>0</v>
      </c>
      <c r="P78" s="40">
        <v>0</v>
      </c>
      <c r="Q78" s="48">
        <f>I78/G78-1</f>
        <v>-4.7619047619047561E-2</v>
      </c>
    </row>
    <row r="79" spans="1:20" x14ac:dyDescent="0.25">
      <c r="A79" s="35" t="s">
        <v>168</v>
      </c>
      <c r="B79" s="36" t="s">
        <v>169</v>
      </c>
      <c r="C79" s="40">
        <v>136162052</v>
      </c>
      <c r="D79" s="38">
        <f>C79*J79</f>
        <v>460606.89712200203</v>
      </c>
      <c r="E79" s="39">
        <f>C79*K79</f>
        <v>382955.77124999999</v>
      </c>
      <c r="F79" s="40" t="s">
        <v>137</v>
      </c>
      <c r="G79" s="70">
        <v>4.2500000000000003E-2</v>
      </c>
      <c r="H79" s="42">
        <v>0.09</v>
      </c>
      <c r="I79" s="42">
        <v>0.09</v>
      </c>
      <c r="J79" s="44">
        <f>I79/$J$5</f>
        <v>3.3827846331370066E-3</v>
      </c>
      <c r="K79" s="45">
        <f>I79/$K$4</f>
        <v>2.8124999999999999E-3</v>
      </c>
      <c r="L79" s="46">
        <f>I79-H79</f>
        <v>0</v>
      </c>
      <c r="M79" s="98">
        <f>((I79-H79)/H79)*100</f>
        <v>0</v>
      </c>
      <c r="N79" s="37">
        <v>1900</v>
      </c>
      <c r="O79" s="37">
        <v>171</v>
      </c>
      <c r="P79" s="40">
        <v>0</v>
      </c>
      <c r="Q79" s="48">
        <f>I79/G79-1</f>
        <v>1.117647058823529</v>
      </c>
    </row>
    <row r="80" spans="1:20" x14ac:dyDescent="0.25">
      <c r="A80" s="35" t="s">
        <v>170</v>
      </c>
      <c r="B80" s="36" t="s">
        <v>171</v>
      </c>
      <c r="C80" s="40">
        <v>326179492</v>
      </c>
      <c r="D80" s="38">
        <f>C80*J80</f>
        <v>1593792.7390407177</v>
      </c>
      <c r="E80" s="39">
        <f>C80*K80</f>
        <v>1325104.18625</v>
      </c>
      <c r="F80" s="40" t="s">
        <v>137</v>
      </c>
      <c r="G80" s="70">
        <v>6.0499999999999998E-2</v>
      </c>
      <c r="H80" s="42">
        <v>0.13</v>
      </c>
      <c r="I80" s="42">
        <v>0.13</v>
      </c>
      <c r="J80" s="44">
        <f>I80/$J$5</f>
        <v>4.8862444700867877E-3</v>
      </c>
      <c r="K80" s="45">
        <f>I80/$K$4</f>
        <v>4.0625000000000001E-3</v>
      </c>
      <c r="L80" s="46">
        <f>I80-H80</f>
        <v>0</v>
      </c>
      <c r="M80" s="98">
        <f>((I80-H80)/H80)*100</f>
        <v>0</v>
      </c>
      <c r="N80" s="37">
        <v>0</v>
      </c>
      <c r="O80" s="37">
        <v>0</v>
      </c>
      <c r="P80" s="40">
        <v>0</v>
      </c>
      <c r="Q80" s="48">
        <f>I80/G80-1</f>
        <v>1.1487603305785123</v>
      </c>
    </row>
    <row r="81" spans="1:243" x14ac:dyDescent="0.25">
      <c r="A81" s="35" t="s">
        <v>172</v>
      </c>
      <c r="B81" s="36" t="s">
        <v>173</v>
      </c>
      <c r="C81" s="37">
        <v>6677853</v>
      </c>
      <c r="D81" s="38">
        <f>C81*J81</f>
        <v>424185.08981293195</v>
      </c>
      <c r="E81" s="39">
        <f>C81*K81</f>
        <v>352674.11156250001</v>
      </c>
      <c r="F81" s="40" t="s">
        <v>137</v>
      </c>
      <c r="G81" s="70">
        <v>1.85</v>
      </c>
      <c r="H81" s="42">
        <v>1.69</v>
      </c>
      <c r="I81" s="42">
        <v>1.69</v>
      </c>
      <c r="J81" s="44">
        <f>I81/$J$5</f>
        <v>6.3521178111128229E-2</v>
      </c>
      <c r="K81" s="45">
        <f>I81/$K$4</f>
        <v>5.2812499999999998E-2</v>
      </c>
      <c r="L81" s="46">
        <f>I81-H81</f>
        <v>0</v>
      </c>
      <c r="M81" s="98">
        <f>((I81-H81)/H81)*100</f>
        <v>0</v>
      </c>
      <c r="N81" s="37">
        <v>0</v>
      </c>
      <c r="O81" s="37">
        <v>0</v>
      </c>
      <c r="P81" s="40">
        <v>0</v>
      </c>
      <c r="Q81" s="48">
        <f>I81/G81-1</f>
        <v>-8.6486486486486602E-2</v>
      </c>
    </row>
    <row r="82" spans="1:243" ht="15" thickBot="1" x14ac:dyDescent="0.4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1">
        <f>SUM(N78:N81)</f>
        <v>1900</v>
      </c>
      <c r="O82" s="62">
        <f>SUM(O78:O81)</f>
        <v>171</v>
      </c>
      <c r="P82" s="80"/>
      <c r="Q82" s="63"/>
      <c r="V82" s="99"/>
      <c r="W82" s="99"/>
      <c r="DU82" s="100"/>
      <c r="DV82" s="100"/>
      <c r="DW82" s="101"/>
      <c r="DX82" s="102"/>
      <c r="DY82" s="102"/>
      <c r="DZ82" s="103"/>
      <c r="EA82" s="103"/>
      <c r="EB82" s="104"/>
      <c r="EC82" s="104"/>
      <c r="ED82" s="105"/>
      <c r="EE82" s="105"/>
      <c r="EF82" s="103"/>
      <c r="EG82" s="106"/>
      <c r="EH82" s="107"/>
      <c r="EI82" s="101"/>
      <c r="EJ82" s="100"/>
      <c r="EK82" s="100"/>
      <c r="EL82" s="101"/>
      <c r="EM82" s="102"/>
      <c r="EN82" s="102"/>
      <c r="EO82" s="103"/>
      <c r="EP82" s="103"/>
      <c r="EQ82" s="104"/>
      <c r="ER82" s="104"/>
      <c r="ES82" s="105"/>
      <c r="ET82" s="105"/>
      <c r="EU82" s="103"/>
      <c r="EV82" s="106"/>
      <c r="EW82" s="107"/>
      <c r="EX82" s="101"/>
      <c r="EY82" s="100"/>
      <c r="EZ82" s="100"/>
      <c r="FA82" s="101"/>
      <c r="FB82" s="102"/>
      <c r="FC82" s="102"/>
      <c r="FD82" s="103"/>
      <c r="FE82" s="103"/>
      <c r="FF82" s="104"/>
      <c r="FG82" s="104"/>
      <c r="FH82" s="105"/>
      <c r="FI82" s="105"/>
      <c r="FJ82" s="103"/>
      <c r="FK82" s="106"/>
      <c r="FL82" s="107"/>
      <c r="FM82" s="101"/>
      <c r="FN82" s="100"/>
      <c r="FO82" s="100"/>
      <c r="FP82" s="101"/>
      <c r="FQ82" s="102"/>
      <c r="FR82" s="102"/>
      <c r="FS82" s="103"/>
      <c r="FT82" s="103"/>
      <c r="FU82" s="104"/>
      <c r="FV82" s="104"/>
      <c r="FW82" s="105"/>
      <c r="FX82" s="105"/>
      <c r="FY82" s="103"/>
      <c r="FZ82" s="106"/>
      <c r="GA82" s="107"/>
      <c r="GB82" s="101"/>
      <c r="GC82" s="100"/>
      <c r="GD82" s="100"/>
      <c r="GE82" s="101"/>
      <c r="GF82" s="102"/>
      <c r="GG82" s="102"/>
      <c r="GH82" s="103"/>
      <c r="GI82" s="103"/>
      <c r="GJ82" s="104"/>
      <c r="GK82" s="104"/>
      <c r="GL82" s="105"/>
      <c r="GM82" s="105"/>
      <c r="GN82" s="103"/>
      <c r="GO82" s="106"/>
      <c r="GP82" s="107"/>
      <c r="GQ82" s="101"/>
      <c r="GR82" s="100"/>
      <c r="GS82" s="100"/>
      <c r="GT82" s="101"/>
      <c r="GU82" s="102"/>
      <c r="GV82" s="102"/>
      <c r="GW82" s="103"/>
      <c r="GX82" s="103"/>
      <c r="GY82" s="104"/>
      <c r="GZ82" s="104"/>
      <c r="HA82" s="105"/>
      <c r="HB82" s="105"/>
      <c r="HC82" s="103"/>
      <c r="HD82" s="106"/>
      <c r="HE82" s="107"/>
      <c r="HF82" s="101"/>
      <c r="HG82" s="100"/>
      <c r="HH82" s="100"/>
      <c r="HI82" s="101"/>
      <c r="HJ82" s="102"/>
      <c r="HK82" s="102"/>
      <c r="HL82" s="103"/>
      <c r="HM82" s="103"/>
      <c r="HN82" s="104"/>
      <c r="HO82" s="104"/>
      <c r="HP82" s="105"/>
      <c r="HQ82" s="105"/>
      <c r="HR82" s="103"/>
      <c r="HS82" s="106"/>
      <c r="HT82" s="107"/>
      <c r="HU82" s="101"/>
      <c r="HV82" s="100"/>
      <c r="HW82" s="100"/>
      <c r="HX82" s="101"/>
      <c r="HY82" s="102"/>
      <c r="HZ82" s="102"/>
      <c r="IA82" s="103"/>
      <c r="IB82" s="103"/>
      <c r="IC82" s="104"/>
      <c r="ID82" s="104"/>
      <c r="IE82" s="105"/>
      <c r="IF82" s="105"/>
      <c r="IG82" s="103"/>
      <c r="IH82" s="106"/>
      <c r="II82" s="107"/>
    </row>
    <row r="83" spans="1:243" ht="13.2" thickTop="1" x14ac:dyDescent="0.3">
      <c r="A83" s="138" t="s">
        <v>174</v>
      </c>
      <c r="B83" s="139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1"/>
    </row>
    <row r="84" spans="1:243" x14ac:dyDescent="0.25">
      <c r="A84" s="35" t="s">
        <v>175</v>
      </c>
      <c r="B84" s="36" t="s">
        <v>176</v>
      </c>
      <c r="C84" s="40">
        <v>368326244</v>
      </c>
      <c r="D84" s="38">
        <f>C84*J84</f>
        <v>26303776.450556841</v>
      </c>
      <c r="E84" s="39">
        <f>C84*K84</f>
        <v>21869370.737500001</v>
      </c>
      <c r="F84" s="40" t="s">
        <v>177</v>
      </c>
      <c r="G84" s="40">
        <v>1.3</v>
      </c>
      <c r="H84" s="42">
        <v>1.9</v>
      </c>
      <c r="I84" s="42">
        <v>1.9</v>
      </c>
      <c r="J84" s="44">
        <f>I84/$J$5</f>
        <v>7.1414342255114574E-2</v>
      </c>
      <c r="K84" s="45">
        <f>I84/$K$4</f>
        <v>5.9374999999999997E-2</v>
      </c>
      <c r="L84" s="46">
        <f>I84-H84</f>
        <v>0</v>
      </c>
      <c r="M84" s="46">
        <f>((I84-H84)/H84*100)</f>
        <v>0</v>
      </c>
      <c r="N84" s="108">
        <v>0</v>
      </c>
      <c r="O84" s="76">
        <v>0</v>
      </c>
      <c r="P84" s="51">
        <f>(R84)/J84</f>
        <v>0</v>
      </c>
      <c r="Q84" s="48">
        <f>I84/G84-1</f>
        <v>0.46153846153846145</v>
      </c>
      <c r="R84" s="52"/>
    </row>
    <row r="85" spans="1:243" s="109" customFormat="1" ht="12.6" thickBot="1" x14ac:dyDescent="0.3">
      <c r="A85" s="35" t="s">
        <v>178</v>
      </c>
      <c r="B85" s="36" t="s">
        <v>179</v>
      </c>
      <c r="C85" s="40">
        <v>1869440929</v>
      </c>
      <c r="D85" s="38">
        <f>C85*J85</f>
        <v>70741503.141489059</v>
      </c>
      <c r="E85" s="39">
        <f>C85*K85</f>
        <v>58815591.047820583</v>
      </c>
      <c r="F85" s="40" t="s">
        <v>177</v>
      </c>
      <c r="G85" s="40">
        <v>1.44347</v>
      </c>
      <c r="H85" s="42">
        <v>1.0505500000000001</v>
      </c>
      <c r="I85" s="42">
        <v>1.0067709999999999</v>
      </c>
      <c r="J85" s="44">
        <f>I85/$J$5</f>
        <v>3.7840994087644186E-2</v>
      </c>
      <c r="K85" s="45">
        <f>I85/$K$4</f>
        <v>3.1461593749999996E-2</v>
      </c>
      <c r="L85" s="46">
        <f>I85-H85</f>
        <v>-4.3779000000000234E-2</v>
      </c>
      <c r="M85" s="46">
        <f>((I85-H85)/H85*100)</f>
        <v>-4.1672457284279885</v>
      </c>
      <c r="N85" s="76">
        <v>109297</v>
      </c>
      <c r="O85" s="76">
        <v>110048.8625</v>
      </c>
      <c r="P85" s="47">
        <f>(R85)/J85</f>
        <v>5.7503774741227157E-2</v>
      </c>
      <c r="Q85" s="48">
        <f>I85/G85-1</f>
        <v>-0.30253417112929271</v>
      </c>
      <c r="R85" s="52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6" thickBot="1" x14ac:dyDescent="0.3">
      <c r="A86" s="81"/>
      <c r="B86" s="82"/>
      <c r="C86" s="83"/>
      <c r="D86" s="110"/>
      <c r="E86" s="84"/>
      <c r="F86" s="83"/>
      <c r="G86" s="83"/>
      <c r="H86" s="85"/>
      <c r="I86" s="85"/>
      <c r="J86" s="85"/>
      <c r="K86" s="85"/>
      <c r="L86" s="86"/>
      <c r="M86" s="86"/>
      <c r="N86" s="86"/>
      <c r="O86" s="86"/>
      <c r="P86" s="86"/>
      <c r="Q86" s="89"/>
    </row>
    <row r="87" spans="1:243" ht="12.6" thickBot="1" x14ac:dyDescent="0.3">
      <c r="A87" s="111"/>
      <c r="B87" s="112"/>
      <c r="C87" s="112"/>
      <c r="D87" s="112"/>
      <c r="E87" s="112"/>
      <c r="F87" s="73"/>
      <c r="G87" s="73"/>
      <c r="H87" s="59"/>
      <c r="M87" s="113"/>
      <c r="N87" s="113"/>
      <c r="O87" s="59"/>
      <c r="P87" s="59"/>
      <c r="Q87" s="114"/>
    </row>
    <row r="88" spans="1:243" ht="15" customHeight="1" thickBot="1" x14ac:dyDescent="0.3">
      <c r="A88" s="142" t="s">
        <v>180</v>
      </c>
      <c r="B88" s="143"/>
      <c r="C88" s="143"/>
      <c r="D88" s="144"/>
      <c r="E88" s="142" t="s">
        <v>181</v>
      </c>
      <c r="F88" s="143"/>
      <c r="G88" s="143"/>
      <c r="H88" s="144"/>
      <c r="I88" s="52"/>
      <c r="J88" s="145" t="s">
        <v>182</v>
      </c>
      <c r="K88" s="146"/>
      <c r="L88" s="147"/>
      <c r="M88" s="145" t="s">
        <v>183</v>
      </c>
      <c r="N88" s="146"/>
      <c r="O88" s="147"/>
      <c r="P88" s="115"/>
      <c r="Q88" s="16"/>
    </row>
    <row r="89" spans="1:243" ht="15" customHeight="1" x14ac:dyDescent="0.25">
      <c r="A89" s="35" t="s">
        <v>101</v>
      </c>
      <c r="B89" s="116">
        <v>0.13800000000000001</v>
      </c>
      <c r="D89" s="116">
        <v>15.000000000000014</v>
      </c>
      <c r="E89" s="35" t="s">
        <v>45</v>
      </c>
      <c r="F89" s="117">
        <v>28.001718</v>
      </c>
      <c r="H89" s="118">
        <v>-6.6609399999999983</v>
      </c>
      <c r="J89" s="35" t="s">
        <v>119</v>
      </c>
      <c r="K89" s="51">
        <v>0.18990000000000001</v>
      </c>
      <c r="L89" s="119">
        <v>12.500000000000004</v>
      </c>
      <c r="M89" s="35" t="s">
        <v>148</v>
      </c>
      <c r="N89" s="117">
        <v>0.27910000000000001</v>
      </c>
      <c r="O89" s="118">
        <v>-16.93452380952381</v>
      </c>
      <c r="P89" s="118">
        <v>-1.3931214627775275</v>
      </c>
      <c r="Q89" s="16"/>
    </row>
    <row r="90" spans="1:243" ht="15" customHeight="1" x14ac:dyDescent="0.25">
      <c r="A90" s="35" t="s">
        <v>70</v>
      </c>
      <c r="B90" s="116">
        <v>11.043749999999999</v>
      </c>
      <c r="D90" s="116">
        <v>10.376792763979809</v>
      </c>
      <c r="E90" s="35" t="s">
        <v>35</v>
      </c>
      <c r="F90" s="117">
        <v>0.130772</v>
      </c>
      <c r="H90" s="118">
        <v>-5.3994617899823485</v>
      </c>
      <c r="J90" s="35" t="s">
        <v>129</v>
      </c>
      <c r="K90" s="51">
        <v>1.6680999999999999</v>
      </c>
      <c r="L90" s="119">
        <v>10.712152386009159</v>
      </c>
      <c r="M90" s="35" t="s">
        <v>131</v>
      </c>
      <c r="N90" s="117">
        <v>0.13039999999999999</v>
      </c>
      <c r="O90" s="118">
        <v>-6.8571428571428745</v>
      </c>
      <c r="P90" s="118">
        <v>-0.80321285140561771</v>
      </c>
      <c r="Q90" s="16"/>
    </row>
    <row r="91" spans="1:243" ht="15" customHeight="1" x14ac:dyDescent="0.25">
      <c r="A91" s="35" t="s">
        <v>62</v>
      </c>
      <c r="B91" s="116">
        <v>3.9952380000000001</v>
      </c>
      <c r="C91" s="116"/>
      <c r="D91" s="116">
        <v>7.7587620590919668</v>
      </c>
      <c r="E91" s="120" t="s">
        <v>113</v>
      </c>
      <c r="F91" s="117">
        <v>0.72036100000000003</v>
      </c>
      <c r="G91" s="121"/>
      <c r="H91" s="118">
        <v>-3.4152417498287067</v>
      </c>
      <c r="J91" s="35" t="s">
        <v>142</v>
      </c>
      <c r="K91" s="51">
        <v>0.38009999999999999</v>
      </c>
      <c r="L91" s="119">
        <v>5.5247084952803922</v>
      </c>
      <c r="M91" s="35" t="s">
        <v>140</v>
      </c>
      <c r="N91" s="117">
        <v>1.5005999999999999</v>
      </c>
      <c r="O91" s="118">
        <v>-6.0186634934552563</v>
      </c>
      <c r="P91" s="118">
        <v>-0.77994428969359408</v>
      </c>
      <c r="Q91" s="16"/>
    </row>
    <row r="92" spans="1:243" ht="15" customHeight="1" x14ac:dyDescent="0.25">
      <c r="A92" s="35" t="s">
        <v>40</v>
      </c>
      <c r="B92" s="116">
        <v>200</v>
      </c>
      <c r="C92" s="116"/>
      <c r="D92" s="116">
        <v>5.055810899540381</v>
      </c>
      <c r="E92" s="120" t="s">
        <v>52</v>
      </c>
      <c r="F92" s="117">
        <v>36.987754000000002</v>
      </c>
      <c r="G92" s="121"/>
      <c r="H92" s="118">
        <v>-0.16856316079421058</v>
      </c>
      <c r="J92" s="35" t="s">
        <v>121</v>
      </c>
      <c r="K92" s="51">
        <v>34.994700000000002</v>
      </c>
      <c r="L92" s="119">
        <v>5.3869944798966509</v>
      </c>
      <c r="M92" s="35" t="s">
        <v>123</v>
      </c>
      <c r="N92" s="117">
        <v>0.21929999999999999</v>
      </c>
      <c r="O92" s="118">
        <v>-2.09821428571429</v>
      </c>
      <c r="P92" s="118">
        <v>-0.56417489421721045</v>
      </c>
      <c r="Q92" s="16"/>
    </row>
    <row r="93" spans="1:243" ht="15" customHeight="1" x14ac:dyDescent="0.25">
      <c r="A93" s="35" t="s">
        <v>68</v>
      </c>
      <c r="B93" s="116">
        <v>9.9499999999999991E-2</v>
      </c>
      <c r="C93" s="116"/>
      <c r="D93" s="116">
        <v>1.8340361075858704</v>
      </c>
      <c r="E93" s="120" t="s">
        <v>99</v>
      </c>
      <c r="F93" s="117">
        <v>0.84748900000000005</v>
      </c>
      <c r="G93" s="121"/>
      <c r="H93" s="118">
        <v>-7.6756195911034289E-2</v>
      </c>
      <c r="J93" s="120" t="s">
        <v>127</v>
      </c>
      <c r="K93" s="121">
        <v>0.1691</v>
      </c>
      <c r="L93" s="119">
        <v>4.5763760049474271</v>
      </c>
      <c r="M93" s="35" t="s">
        <v>144</v>
      </c>
      <c r="N93" s="117">
        <v>0.69469999999999998</v>
      </c>
      <c r="O93" s="118">
        <v>-1.0116842405243651</v>
      </c>
      <c r="P93" s="118">
        <v>-0.53029298687524906</v>
      </c>
      <c r="Q93" s="16"/>
    </row>
    <row r="94" spans="1:243" ht="15.75" customHeight="1" thickBot="1" x14ac:dyDescent="0.3">
      <c r="A94" s="122"/>
      <c r="B94" s="123"/>
      <c r="C94" s="123"/>
      <c r="D94" s="123"/>
      <c r="E94" s="122"/>
      <c r="F94" s="123"/>
      <c r="G94" s="123"/>
      <c r="H94" s="124"/>
      <c r="J94" s="122"/>
      <c r="K94" s="123"/>
      <c r="L94" s="124"/>
      <c r="M94" s="123"/>
      <c r="N94" s="123"/>
      <c r="O94" s="124"/>
      <c r="P94" s="124"/>
      <c r="Q94" s="16"/>
    </row>
    <row r="95" spans="1:243" x14ac:dyDescent="0.25">
      <c r="A95" s="125"/>
      <c r="B95" s="126"/>
      <c r="C95" s="126"/>
      <c r="D95" s="126"/>
      <c r="E95" s="113"/>
      <c r="F95" s="113"/>
      <c r="G95" s="113"/>
      <c r="H95" s="113"/>
      <c r="I95" s="113"/>
      <c r="J95" s="113"/>
      <c r="K95" s="113"/>
      <c r="L95" s="113"/>
      <c r="M95" s="126"/>
      <c r="Q95" s="16"/>
    </row>
    <row r="96" spans="1:243" x14ac:dyDescent="0.25">
      <c r="A96" s="12" t="s">
        <v>184</v>
      </c>
      <c r="B96" s="127"/>
      <c r="C96" s="127"/>
      <c r="D96" s="127"/>
      <c r="E96" s="127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5">
      <c r="A97" s="125"/>
      <c r="B97" s="126"/>
      <c r="C97" s="126"/>
      <c r="D97" s="126"/>
      <c r="E97" s="126"/>
      <c r="F97" s="113"/>
      <c r="G97" s="113"/>
      <c r="H97" s="126"/>
      <c r="I97" s="113"/>
      <c r="J97" s="113"/>
      <c r="K97" s="113"/>
      <c r="L97" s="113"/>
      <c r="M97" s="126"/>
      <c r="Q97" s="16"/>
    </row>
    <row r="98" spans="1:17" ht="12.6" thickBot="1" x14ac:dyDescent="0.3">
      <c r="A98" s="128"/>
      <c r="B98" s="129"/>
      <c r="C98" s="129"/>
      <c r="D98" s="129"/>
      <c r="E98" s="129"/>
      <c r="F98" s="130"/>
      <c r="G98" s="130"/>
      <c r="H98" s="130"/>
      <c r="I98" s="131"/>
      <c r="J98" s="131"/>
      <c r="K98" s="131"/>
      <c r="L98" s="131"/>
      <c r="M98" s="131"/>
      <c r="N98" s="131"/>
      <c r="O98" s="131"/>
      <c r="P98" s="131"/>
      <c r="Q98" s="132"/>
    </row>
    <row r="99" spans="1:17" x14ac:dyDescent="0.25">
      <c r="I99" s="32"/>
      <c r="J99" s="32"/>
      <c r="K99" s="32"/>
      <c r="L99" s="32"/>
      <c r="M99" s="32"/>
      <c r="N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32"/>
      <c r="J101" s="32"/>
      <c r="K101" s="32"/>
      <c r="O101" s="32"/>
      <c r="P101" s="32"/>
    </row>
    <row r="102" spans="1:17" x14ac:dyDescent="0.25">
      <c r="I102" s="133"/>
      <c r="J102" s="133"/>
      <c r="K102" s="133"/>
      <c r="O102" s="133"/>
      <c r="P102" s="133"/>
    </row>
    <row r="104" spans="1:17" x14ac:dyDescent="0.25">
      <c r="I104" s="32"/>
      <c r="J104" s="32"/>
      <c r="K104" s="32"/>
      <c r="O104" s="32"/>
      <c r="P104" s="32"/>
    </row>
    <row r="105" spans="1:17" x14ac:dyDescent="0.25">
      <c r="I105" s="133"/>
      <c r="J105" s="133"/>
      <c r="K105" s="133"/>
      <c r="O105" s="133"/>
      <c r="P105" s="133"/>
    </row>
    <row r="106" spans="1:17" x14ac:dyDescent="0.25">
      <c r="I106" s="32"/>
      <c r="J106" s="32"/>
      <c r="K106" s="32"/>
      <c r="O106" s="32"/>
      <c r="P106" s="32"/>
    </row>
    <row r="107" spans="1:17" x14ac:dyDescent="0.25">
      <c r="I107" s="133"/>
      <c r="J107" s="133"/>
      <c r="K107" s="133"/>
      <c r="O107" s="133"/>
      <c r="P107" s="133"/>
    </row>
  </sheetData>
  <sheetProtection algorithmName="SHA-512" hashValue="eja9iKV6tc5SWws3qxbzuQHcOAGGpukA+YSz79RyHN1oGIoaRGRTKeCh28SMzw4MRfKPrVnE5unnBwkQ4qeXeg==" saltValue="CCErfiW2BHaVhq7qQbrlgg==" spinCount="100000" sheet="1"/>
  <mergeCells count="12">
    <mergeCell ref="A74:Q74"/>
    <mergeCell ref="L5:M5"/>
    <mergeCell ref="A6:Q6"/>
    <mergeCell ref="A49:Q49"/>
    <mergeCell ref="A67:Q67"/>
    <mergeCell ref="A70:Q70"/>
    <mergeCell ref="A77:Q77"/>
    <mergeCell ref="A83:Q83"/>
    <mergeCell ref="A88:D88"/>
    <mergeCell ref="E88:H88"/>
    <mergeCell ref="J88:L88"/>
    <mergeCell ref="M88:O88"/>
  </mergeCells>
  <conditionalFormatting sqref="A9:A11">
    <cfRule type="duplicateValues" dxfId="40" priority="45" stopIfTrue="1"/>
  </conditionalFormatting>
  <conditionalFormatting sqref="A29:A34">
    <cfRule type="duplicateValues" dxfId="39" priority="46" stopIfTrue="1"/>
  </conditionalFormatting>
  <conditionalFormatting sqref="A92:A93">
    <cfRule type="duplicateValues" dxfId="38" priority="47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1" stopIfTrue="1" operator="lessThan">
      <formula>0</formula>
    </cfRule>
    <cfRule type="cellIs" dxfId="31" priority="22" stopIfTrue="1" operator="greaterThan">
      <formula>0</formula>
    </cfRule>
    <cfRule type="cellIs" priority="24" stopIfTrue="1" operator="greaterThan">
      <formula>0</formula>
    </cfRule>
    <cfRule type="cellIs" dxfId="30" priority="20" stopIfTrue="1" operator="greaterThan">
      <formula>0</formula>
    </cfRule>
  </conditionalFormatting>
  <conditionalFormatting sqref="L71:M72">
    <cfRule type="cellIs" dxfId="29" priority="11" stopIfTrue="1" operator="lessThan">
      <formula>0</formula>
    </cfRule>
    <cfRule type="cellIs" priority="14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</conditionalFormatting>
  <conditionalFormatting sqref="L75:M75">
    <cfRule type="cellIs" dxfId="24" priority="2" stopIfTrue="1" operator="greaterThan">
      <formula>0</formula>
    </cfRule>
    <cfRule type="cellIs" dxfId="23" priority="3" stopIfTrue="1" operator="lessThan">
      <formula>0</formula>
    </cfRule>
    <cfRule type="cellIs" dxfId="22" priority="4" stopIfTrue="1" operator="greaterThan">
      <formula>0</formula>
    </cfRule>
    <cfRule type="cellIs" dxfId="21" priority="5" stopIfTrue="1" operator="greaterThan">
      <formula>0</formula>
    </cfRule>
    <cfRule type="cellIs" dxfId="20" priority="1" stopIfTrue="1" operator="lessThan">
      <formula>0</formula>
    </cfRule>
    <cfRule type="cellIs" priority="6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7" stopIfTrue="1" operator="lessThan">
      <formula>0</formula>
    </cfRule>
  </conditionalFormatting>
  <conditionalFormatting sqref="L84:M85">
    <cfRule type="cellIs" priority="34" stopIfTrue="1" operator="greaterThan">
      <formula>0</formula>
    </cfRule>
    <cfRule type="cellIs" dxfId="14" priority="32" stopIfTrue="1" operator="greaterThan">
      <formula>0</formula>
    </cfRule>
    <cfRule type="cellIs" dxfId="13" priority="33" stopIfTrue="1" operator="greaterThan">
      <formula>0</formula>
    </cfRule>
    <cfRule type="cellIs" dxfId="12" priority="30" stopIfTrue="1" operator="greaterThan">
      <formula>0</formula>
    </cfRule>
    <cfRule type="cellIs" dxfId="11" priority="29" stopIfTrue="1" operator="less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Rufaro Mutetse</dc:creator>
  <cp:lastModifiedBy>Nelson Mrewa</cp:lastModifiedBy>
  <dcterms:created xsi:type="dcterms:W3CDTF">2026-10-29T13:21:26Z</dcterms:created>
  <dcterms:modified xsi:type="dcterms:W3CDTF">2026-10-29T13:25:05Z</dcterms:modified>
</cp:coreProperties>
</file>