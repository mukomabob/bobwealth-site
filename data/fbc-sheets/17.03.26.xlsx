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17.03.26/"/>
    </mc:Choice>
  </mc:AlternateContent>
  <xr:revisionPtr revIDLastSave="0" documentId="8_{4BE79441-3C17-4477-B526-3E1D4CA43D8F}" xr6:coauthVersionLast="47" xr6:coauthVersionMax="47" xr10:uidLastSave="{00000000-0000-0000-0000-000000000000}"/>
  <bookViews>
    <workbookView xWindow="-108" yWindow="-108" windowWidth="23256" windowHeight="12456" xr2:uid="{579845E7-BBB8-425F-B908-7893578DF3BC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P82" i="1"/>
  <c r="M82" i="1"/>
  <c r="L82" i="1"/>
  <c r="K82" i="1"/>
  <c r="J82" i="1"/>
  <c r="E82" i="1"/>
  <c r="D82" i="1"/>
  <c r="Q81" i="1"/>
  <c r="P81" i="1"/>
  <c r="M81" i="1"/>
  <c r="L81" i="1"/>
  <c r="K81" i="1"/>
  <c r="J81" i="1"/>
  <c r="D81" i="1" s="1"/>
  <c r="E81" i="1"/>
  <c r="O79" i="1"/>
  <c r="N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Q75" i="1"/>
  <c r="M75" i="1"/>
  <c r="L75" i="1"/>
  <c r="K75" i="1"/>
  <c r="J75" i="1"/>
  <c r="E75" i="1"/>
  <c r="D75" i="1"/>
  <c r="O73" i="1"/>
  <c r="N73" i="1"/>
  <c r="Q72" i="1"/>
  <c r="M72" i="1"/>
  <c r="L72" i="1"/>
  <c r="J72" i="1"/>
  <c r="K72" i="1" s="1"/>
  <c r="E72" i="1" s="1"/>
  <c r="D72" i="1"/>
  <c r="Q71" i="1"/>
  <c r="M71" i="1"/>
  <c r="L71" i="1"/>
  <c r="K71" i="1"/>
  <c r="E71" i="1" s="1"/>
  <c r="J71" i="1"/>
  <c r="D71" i="1"/>
  <c r="M68" i="1"/>
  <c r="L68" i="1"/>
  <c r="D68" i="1"/>
  <c r="O66" i="1"/>
  <c r="N66" i="1"/>
  <c r="Q65" i="1"/>
  <c r="P65" i="1"/>
  <c r="M65" i="1"/>
  <c r="L65" i="1"/>
  <c r="J65" i="1"/>
  <c r="D65" i="1"/>
  <c r="Q64" i="1"/>
  <c r="P64" i="1"/>
  <c r="M64" i="1"/>
  <c r="L64" i="1"/>
  <c r="J64" i="1"/>
  <c r="D64" i="1"/>
  <c r="Q63" i="1"/>
  <c r="P63" i="1"/>
  <c r="M63" i="1"/>
  <c r="L63" i="1"/>
  <c r="J63" i="1"/>
  <c r="D63" i="1"/>
  <c r="Q62" i="1"/>
  <c r="P62" i="1"/>
  <c r="M62" i="1"/>
  <c r="L62" i="1"/>
  <c r="J62" i="1"/>
  <c r="D62" i="1"/>
  <c r="Q61" i="1"/>
  <c r="P61" i="1"/>
  <c r="M61" i="1"/>
  <c r="L61" i="1"/>
  <c r="J61" i="1"/>
  <c r="D61" i="1"/>
  <c r="Q60" i="1"/>
  <c r="P60" i="1"/>
  <c r="M60" i="1"/>
  <c r="L60" i="1"/>
  <c r="J60" i="1"/>
  <c r="D60" i="1"/>
  <c r="Q59" i="1"/>
  <c r="P59" i="1"/>
  <c r="M59" i="1"/>
  <c r="L59" i="1"/>
  <c r="J59" i="1"/>
  <c r="D59" i="1"/>
  <c r="Q58" i="1"/>
  <c r="P58" i="1"/>
  <c r="M58" i="1"/>
  <c r="L58" i="1"/>
  <c r="J58" i="1"/>
  <c r="D58" i="1"/>
  <c r="Q57" i="1"/>
  <c r="P57" i="1"/>
  <c r="M57" i="1"/>
  <c r="L57" i="1"/>
  <c r="J57" i="1"/>
  <c r="D57" i="1"/>
  <c r="Q56" i="1"/>
  <c r="P56" i="1"/>
  <c r="M56" i="1"/>
  <c r="L56" i="1"/>
  <c r="J56" i="1"/>
  <c r="D56" i="1"/>
  <c r="Q55" i="1"/>
  <c r="P55" i="1"/>
  <c r="M55" i="1"/>
  <c r="L55" i="1"/>
  <c r="J55" i="1"/>
  <c r="D55" i="1"/>
  <c r="Q54" i="1"/>
  <c r="P54" i="1"/>
  <c r="M54" i="1"/>
  <c r="L54" i="1"/>
  <c r="J54" i="1"/>
  <c r="D54" i="1"/>
  <c r="Q53" i="1"/>
  <c r="P53" i="1"/>
  <c r="M53" i="1"/>
  <c r="L53" i="1"/>
  <c r="J53" i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E47" i="1" s="1"/>
  <c r="J47" i="1"/>
  <c r="D47" i="1" s="1"/>
  <c r="Q46" i="1"/>
  <c r="P46" i="1"/>
  <c r="M46" i="1"/>
  <c r="L46" i="1"/>
  <c r="K46" i="1"/>
  <c r="J46" i="1"/>
  <c r="E46" i="1"/>
  <c r="D46" i="1"/>
  <c r="Q45" i="1"/>
  <c r="P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D44" i="1" s="1"/>
  <c r="Q43" i="1"/>
  <c r="P43" i="1"/>
  <c r="M43" i="1"/>
  <c r="L43" i="1"/>
  <c r="K43" i="1"/>
  <c r="J43" i="1"/>
  <c r="E43" i="1"/>
  <c r="D43" i="1"/>
  <c r="Q42" i="1"/>
  <c r="P42" i="1"/>
  <c r="M42" i="1"/>
  <c r="L42" i="1"/>
  <c r="K42" i="1"/>
  <c r="J42" i="1"/>
  <c r="D42" i="1" s="1"/>
  <c r="E42" i="1"/>
  <c r="T41" i="1"/>
  <c r="U41" i="1" s="1"/>
  <c r="Q41" i="1"/>
  <c r="P41" i="1"/>
  <c r="M41" i="1"/>
  <c r="L41" i="1"/>
  <c r="K41" i="1"/>
  <c r="E41" i="1" s="1"/>
  <c r="J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D39" i="1" s="1"/>
  <c r="U38" i="1"/>
  <c r="Q38" i="1"/>
  <c r="P38" i="1"/>
  <c r="M38" i="1"/>
  <c r="L38" i="1"/>
  <c r="K38" i="1"/>
  <c r="E38" i="1" s="1"/>
  <c r="J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E36" i="1" s="1"/>
  <c r="J36" i="1"/>
  <c r="P36" i="1" s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E33" i="1" s="1"/>
  <c r="J33" i="1"/>
  <c r="P33" i="1" s="1"/>
  <c r="D33" i="1"/>
  <c r="Q32" i="1"/>
  <c r="P32" i="1"/>
  <c r="M32" i="1"/>
  <c r="L32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E29" i="1" s="1"/>
  <c r="J29" i="1"/>
  <c r="P29" i="1" s="1"/>
  <c r="D29" i="1"/>
  <c r="Q28" i="1"/>
  <c r="P28" i="1"/>
  <c r="M28" i="1"/>
  <c r="L28" i="1"/>
  <c r="K28" i="1"/>
  <c r="E28" i="1" s="1"/>
  <c r="J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E26" i="1" s="1"/>
  <c r="J26" i="1"/>
  <c r="P26" i="1" s="1"/>
  <c r="D26" i="1"/>
  <c r="Q25" i="1"/>
  <c r="P25" i="1"/>
  <c r="M25" i="1"/>
  <c r="L25" i="1"/>
  <c r="K25" i="1"/>
  <c r="E25" i="1" s="1"/>
  <c r="J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D23" i="1"/>
  <c r="Q22" i="1"/>
  <c r="P22" i="1"/>
  <c r="M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P20" i="1" s="1"/>
  <c r="D20" i="1"/>
  <c r="Q19" i="1"/>
  <c r="P19" i="1"/>
  <c r="M19" i="1"/>
  <c r="L19" i="1"/>
  <c r="K19" i="1"/>
  <c r="E19" i="1" s="1"/>
  <c r="J19" i="1"/>
  <c r="D19" i="1"/>
  <c r="Q18" i="1"/>
  <c r="M18" i="1"/>
  <c r="L18" i="1"/>
  <c r="K18" i="1"/>
  <c r="J18" i="1"/>
  <c r="P18" i="1" s="1"/>
  <c r="E18" i="1"/>
  <c r="D18" i="1"/>
  <c r="Q17" i="1"/>
  <c r="M17" i="1"/>
  <c r="L17" i="1"/>
  <c r="K17" i="1"/>
  <c r="E17" i="1" s="1"/>
  <c r="J17" i="1"/>
  <c r="P17" i="1" s="1"/>
  <c r="D17" i="1"/>
  <c r="Q16" i="1"/>
  <c r="P16" i="1"/>
  <c r="M16" i="1"/>
  <c r="L16" i="1"/>
  <c r="K16" i="1"/>
  <c r="E16" i="1" s="1"/>
  <c r="J16" i="1"/>
  <c r="D16" i="1"/>
  <c r="U15" i="1"/>
  <c r="Q15" i="1"/>
  <c r="M15" i="1"/>
  <c r="L15" i="1"/>
  <c r="K15" i="1"/>
  <c r="J15" i="1"/>
  <c r="P15" i="1" s="1"/>
  <c r="E15" i="1"/>
  <c r="D15" i="1"/>
  <c r="U14" i="1"/>
  <c r="Q14" i="1"/>
  <c r="P14" i="1"/>
  <c r="M14" i="1"/>
  <c r="L14" i="1"/>
  <c r="K14" i="1"/>
  <c r="J14" i="1"/>
  <c r="E14" i="1"/>
  <c r="D14" i="1"/>
  <c r="Q13" i="1"/>
  <c r="P13" i="1"/>
  <c r="M13" i="1"/>
  <c r="L13" i="1"/>
  <c r="K13" i="1"/>
  <c r="E13" i="1" s="1"/>
  <c r="J13" i="1"/>
  <c r="D13" i="1" s="1"/>
  <c r="Q12" i="1"/>
  <c r="M12" i="1"/>
  <c r="L12" i="1"/>
  <c r="K12" i="1"/>
  <c r="J12" i="1"/>
  <c r="D12" i="1" s="1"/>
  <c r="E12" i="1"/>
  <c r="Q11" i="1"/>
  <c r="P11" i="1"/>
  <c r="M11" i="1"/>
  <c r="L11" i="1"/>
  <c r="K11" i="1"/>
  <c r="J11" i="1"/>
  <c r="E11" i="1"/>
  <c r="D11" i="1"/>
  <c r="Q10" i="1"/>
  <c r="P10" i="1"/>
  <c r="M10" i="1"/>
  <c r="L10" i="1"/>
  <c r="K10" i="1"/>
  <c r="J10" i="1"/>
  <c r="D10" i="1" s="1"/>
  <c r="E10" i="1"/>
  <c r="P12" i="1" l="1"/>
  <c r="P44" i="1"/>
  <c r="P47" i="1"/>
</calcChain>
</file>

<file path=xl/sharedStrings.xml><?xml version="1.0" encoding="utf-8"?>
<sst xmlns="http://schemas.openxmlformats.org/spreadsheetml/2006/main" count="280" uniqueCount="196">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</sst>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29983D63-1032-4EAB-975F-C2C5110C4150}"/>
    <cellStyle name="Comma 5 2 2 2 2 2" xfId="4" xr:uid="{D6B7EEC8-EC87-49C2-A8AA-0782212531E3}"/>
    <cellStyle name="Comma 6" xfId="5" xr:uid="{AC8E9467-00FD-4CF7-91DB-EF575E9AD21B}"/>
    <cellStyle name="Hyperlink 2" xfId="9" xr:uid="{D29E4937-1FB5-4756-BE3D-AD3142344D6C}"/>
    <cellStyle name="Normal" xfId="0" builtinId="0"/>
    <cellStyle name="Normal 2" xfId="2" xr:uid="{A3E82A00-16C4-4778-8BBC-70C0F090F6CE}"/>
    <cellStyle name="Normal 20" xfId="8" xr:uid="{AD6E11A1-8AC1-4CA3-9F3A-88E32C4B681F}"/>
    <cellStyle name="Percent 3" xfId="6" xr:uid="{975BBAB7-9081-454C-AF04-4FF8BA4D61C4}"/>
    <cellStyle name="Percent 4" xfId="7" xr:uid="{440F2CB5-8563-4DEE-8388-C8505724BFA1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2C1BA58-84A0-411F-89D3-10041554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A6FF649D-CD2A-46B9-B76D-D05B32771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6BBF-F3A9-4B77-B976-5F810FFFFD39}">
  <dimension ref="A1:IO104"/>
  <sheetViews>
    <sheetView tabSelected="1" zoomScale="70" zoomScaleNormal="70" workbookViewId="0">
      <pane ySplit="7" topLeftCell="A10" activePane="bottomLeft" state="frozen"/>
      <selection pane="bottomLeft" activeCell="L89" sqref="L89:N90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25.293299999999999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66829405.393918559</v>
      </c>
      <c r="E10" s="40">
        <f t="shared" ref="E10:E30" si="1">C10*K10</f>
        <v>56344539.981666669</v>
      </c>
      <c r="F10" s="41" t="s">
        <v>35</v>
      </c>
      <c r="G10" s="42">
        <v>8.9894999999999996</v>
      </c>
      <c r="H10" s="43">
        <v>13.45</v>
      </c>
      <c r="I10" s="43">
        <v>13.55</v>
      </c>
      <c r="J10" s="44">
        <f>(I10/$J$5)</f>
        <v>0.53571499171717418</v>
      </c>
      <c r="K10" s="45">
        <f t="shared" ref="K10:K30" si="2">I10/$K$4</f>
        <v>0.45166666666666672</v>
      </c>
      <c r="L10" s="46">
        <f t="shared" ref="L10:L30" si="3">I10-H10</f>
        <v>0.10000000000000142</v>
      </c>
      <c r="M10" s="46">
        <f t="shared" ref="M10:M30" si="4">((I10-H10)/H10)*100</f>
        <v>0.74349442379183217</v>
      </c>
      <c r="N10" s="47">
        <v>5100</v>
      </c>
      <c r="O10" s="38">
        <v>69105</v>
      </c>
      <c r="P10" s="48">
        <f t="shared" ref="P10:P30" si="5">(R10)/J10</f>
        <v>1.8666642066420661E-2</v>
      </c>
      <c r="Q10" s="49">
        <f t="shared" ref="Q10:Q30" si="6">I10/G10-1</f>
        <v>0.50731408865899108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2187593.1661744416</v>
      </c>
      <c r="E11" s="40">
        <f t="shared" si="1"/>
        <v>1844381.6743333335</v>
      </c>
      <c r="F11" s="41" t="s">
        <v>35</v>
      </c>
      <c r="G11" s="42">
        <v>3.1600000000000003E-2</v>
      </c>
      <c r="H11" s="43">
        <v>3.4000000000000002E-2</v>
      </c>
      <c r="I11" s="43">
        <v>3.4000000000000002E-2</v>
      </c>
      <c r="J11" s="44">
        <f t="shared" ref="J11:J30" si="7">I11/$J$5</f>
        <v>1.3442294995117286E-3</v>
      </c>
      <c r="K11" s="45">
        <f t="shared" si="2"/>
        <v>1.1333333333333334E-3</v>
      </c>
      <c r="L11" s="46">
        <f t="shared" si="3"/>
        <v>0</v>
      </c>
      <c r="M11" s="46">
        <f t="shared" si="4"/>
        <v>0</v>
      </c>
      <c r="N11" s="47">
        <v>52700</v>
      </c>
      <c r="O11" s="38">
        <v>1791.8</v>
      </c>
      <c r="P11" s="41">
        <f t="shared" si="5"/>
        <v>0</v>
      </c>
      <c r="Q11" s="49">
        <f t="shared" si="6"/>
        <v>7.5949367088607556E-2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4275910.8677989822</v>
      </c>
      <c r="E12" s="40">
        <f t="shared" si="1"/>
        <v>3605063.2117500002</v>
      </c>
      <c r="F12" s="41" t="s">
        <v>42</v>
      </c>
      <c r="G12" s="42">
        <v>7.8E-2</v>
      </c>
      <c r="H12" s="43">
        <v>0.2475</v>
      </c>
      <c r="I12" s="43">
        <v>0.2475</v>
      </c>
      <c r="J12" s="44">
        <f t="shared" si="7"/>
        <v>9.7852000332103763E-3</v>
      </c>
      <c r="K12" s="45">
        <f t="shared" si="2"/>
        <v>8.2500000000000004E-3</v>
      </c>
      <c r="L12" s="46">
        <f t="shared" si="3"/>
        <v>0</v>
      </c>
      <c r="M12" s="46">
        <f t="shared" si="4"/>
        <v>0</v>
      </c>
      <c r="N12" s="47">
        <v>7900</v>
      </c>
      <c r="O12" s="38">
        <v>1955.25</v>
      </c>
      <c r="P12" s="41">
        <f t="shared" si="5"/>
        <v>0</v>
      </c>
      <c r="Q12" s="49">
        <f t="shared" si="6"/>
        <v>2.1730769230769229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174566636.33570948</v>
      </c>
      <c r="E13" s="40">
        <f t="shared" si="1"/>
        <v>147178876.76100001</v>
      </c>
      <c r="F13" s="41" t="s">
        <v>35</v>
      </c>
      <c r="G13" s="42">
        <v>97.381</v>
      </c>
      <c r="H13" s="43">
        <v>213.99</v>
      </c>
      <c r="I13" s="43">
        <v>213.99</v>
      </c>
      <c r="J13" s="44">
        <f t="shared" si="7"/>
        <v>8.4603432529563172</v>
      </c>
      <c r="K13" s="45">
        <f t="shared" si="2"/>
        <v>7.133</v>
      </c>
      <c r="L13" s="46">
        <f t="shared" si="3"/>
        <v>0</v>
      </c>
      <c r="M13" s="46">
        <f t="shared" si="4"/>
        <v>0</v>
      </c>
      <c r="N13" s="47">
        <v>0</v>
      </c>
      <c r="O13" s="38">
        <v>0</v>
      </c>
      <c r="P13" s="55">
        <f t="shared" si="5"/>
        <v>0</v>
      </c>
      <c r="Q13" s="49">
        <f t="shared" si="6"/>
        <v>1.1974512481900987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4489584.3563315189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0.5139701027544844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400</v>
      </c>
      <c r="O14" s="38">
        <v>5200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289957643.99584079</v>
      </c>
      <c r="E15" s="40">
        <f t="shared" si="1"/>
        <v>244466189.22933334</v>
      </c>
      <c r="F15" s="41" t="s">
        <v>53</v>
      </c>
      <c r="G15" s="42">
        <v>11.5</v>
      </c>
      <c r="H15" s="43">
        <v>14.05</v>
      </c>
      <c r="I15" s="43">
        <v>14.032</v>
      </c>
      <c r="J15" s="44">
        <f t="shared" si="7"/>
        <v>0.55477142168084037</v>
      </c>
      <c r="K15" s="45">
        <f t="shared" si="2"/>
        <v>0.46773333333333333</v>
      </c>
      <c r="L15" s="46">
        <f t="shared" si="3"/>
        <v>-1.8000000000000682E-2</v>
      </c>
      <c r="M15" s="46">
        <f t="shared" si="4"/>
        <v>-0.12811387900356358</v>
      </c>
      <c r="N15" s="47">
        <v>15500</v>
      </c>
      <c r="O15" s="38">
        <v>217496</v>
      </c>
      <c r="P15" s="48">
        <f t="shared" si="5"/>
        <v>1.4420353477765109E-2</v>
      </c>
      <c r="Q15" s="49">
        <f t="shared" si="6"/>
        <v>0.22017391304347833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25951260.462256808</v>
      </c>
      <c r="E16" s="40">
        <f t="shared" si="1"/>
        <v>21879767.208333336</v>
      </c>
      <c r="F16" s="41" t="s">
        <v>35</v>
      </c>
      <c r="G16" s="42">
        <v>5.39</v>
      </c>
      <c r="H16" s="43">
        <v>5.39</v>
      </c>
      <c r="I16" s="43">
        <v>6.19</v>
      </c>
      <c r="J16" s="44">
        <f t="shared" si="7"/>
        <v>0.24472884123463529</v>
      </c>
      <c r="K16" s="45">
        <f t="shared" si="2"/>
        <v>0.20633333333333334</v>
      </c>
      <c r="L16" s="46">
        <f t="shared" si="3"/>
        <v>0.80000000000000071</v>
      </c>
      <c r="M16" s="46">
        <f t="shared" si="4"/>
        <v>14.842300556586284</v>
      </c>
      <c r="N16" s="47">
        <v>5600</v>
      </c>
      <c r="O16" s="38">
        <v>34664</v>
      </c>
      <c r="P16" s="41">
        <f t="shared" si="5"/>
        <v>0</v>
      </c>
      <c r="Q16" s="49">
        <f t="shared" si="6"/>
        <v>0.14842300556586285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36905794.704214163</v>
      </c>
      <c r="E17" s="40">
        <f t="shared" si="1"/>
        <v>31115644.573070001</v>
      </c>
      <c r="F17" s="41" t="s">
        <v>35</v>
      </c>
      <c r="G17" s="42">
        <v>1.9</v>
      </c>
      <c r="H17" s="43">
        <v>2.64</v>
      </c>
      <c r="I17" s="43">
        <v>2.60745</v>
      </c>
      <c r="J17" s="44">
        <f t="shared" si="7"/>
        <v>0.10308856495593696</v>
      </c>
      <c r="K17" s="45">
        <f t="shared" si="2"/>
        <v>8.6915000000000006E-2</v>
      </c>
      <c r="L17" s="46">
        <f t="shared" si="3"/>
        <v>-3.2550000000000079E-2</v>
      </c>
      <c r="M17" s="46">
        <f t="shared" si="4"/>
        <v>-1.2329545454545483</v>
      </c>
      <c r="N17" s="47">
        <v>259000</v>
      </c>
      <c r="O17" s="38">
        <v>675329.5</v>
      </c>
      <c r="P17" s="41">
        <f t="shared" si="5"/>
        <v>0</v>
      </c>
      <c r="Q17" s="49">
        <f t="shared" si="6"/>
        <v>0.37234210526315792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1353463296.9351194</v>
      </c>
      <c r="E18" s="40">
        <f t="shared" si="1"/>
        <v>1141118440.2789686</v>
      </c>
      <c r="F18" s="41" t="s">
        <v>35</v>
      </c>
      <c r="G18" s="42">
        <v>20.701700000000002</v>
      </c>
      <c r="H18" s="43">
        <v>26.119199999999999</v>
      </c>
      <c r="I18" s="43">
        <v>25.516697000000001</v>
      </c>
      <c r="J18" s="44">
        <f t="shared" si="7"/>
        <v>1.0088322599265418</v>
      </c>
      <c r="K18" s="45">
        <f t="shared" si="2"/>
        <v>0.85055656666666668</v>
      </c>
      <c r="L18" s="46">
        <f t="shared" si="3"/>
        <v>-0.60250299999999868</v>
      </c>
      <c r="M18" s="46">
        <f t="shared" si="4"/>
        <v>-2.3067436981224492</v>
      </c>
      <c r="N18" s="47">
        <v>34000</v>
      </c>
      <c r="O18" s="38">
        <v>867567.7</v>
      </c>
      <c r="P18" s="48">
        <f t="shared" si="5"/>
        <v>3.9649802637073288E-2</v>
      </c>
      <c r="Q18" s="49">
        <f t="shared" si="6"/>
        <v>0.23258944917567148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1189934399.9888742</v>
      </c>
      <c r="E19" s="40">
        <f t="shared" si="1"/>
        <v>1003245591.9746197</v>
      </c>
      <c r="F19" s="41" t="s">
        <v>64</v>
      </c>
      <c r="G19" s="42">
        <v>6.1399460000000001</v>
      </c>
      <c r="H19" s="43">
        <v>10.1944</v>
      </c>
      <c r="I19" s="43">
        <v>10.058731999999999</v>
      </c>
      <c r="J19" s="44">
        <f t="shared" si="7"/>
        <v>0.39768365535537076</v>
      </c>
      <c r="K19" s="45">
        <f t="shared" si="2"/>
        <v>0.33529106666666664</v>
      </c>
      <c r="L19" s="46">
        <f t="shared" si="3"/>
        <v>-0.13566800000000079</v>
      </c>
      <c r="M19" s="46">
        <f t="shared" si="4"/>
        <v>-1.3308090716471865</v>
      </c>
      <c r="N19" s="47">
        <v>18000</v>
      </c>
      <c r="O19" s="38">
        <v>181057.18</v>
      </c>
      <c r="P19" s="48">
        <f t="shared" si="5"/>
        <v>6.1858212347242182E-2</v>
      </c>
      <c r="Q19" s="49">
        <f t="shared" si="6"/>
        <v>0.63824437543913226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305512691.52305156</v>
      </c>
      <c r="E20" s="40">
        <f t="shared" si="1"/>
        <v>257580805.35000002</v>
      </c>
      <c r="F20" s="41" t="s">
        <v>53</v>
      </c>
      <c r="G20" s="42">
        <v>12.45</v>
      </c>
      <c r="H20" s="43">
        <v>11.5</v>
      </c>
      <c r="I20" s="43">
        <v>11.5</v>
      </c>
      <c r="J20" s="44">
        <f t="shared" si="7"/>
        <v>0.45466586012896698</v>
      </c>
      <c r="K20" s="45">
        <f t="shared" si="2"/>
        <v>0.38333333333333336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48">
        <f t="shared" si="5"/>
        <v>1.4076271304347826E-2</v>
      </c>
      <c r="Q20" s="49">
        <f t="shared" si="6"/>
        <v>-7.6305220883534086E-2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2239332.6027050642</v>
      </c>
      <c r="E21" s="40">
        <f t="shared" si="1"/>
        <v>1888003.7106666665</v>
      </c>
      <c r="F21" s="41" t="s">
        <v>53</v>
      </c>
      <c r="G21" s="42">
        <v>0.35</v>
      </c>
      <c r="H21" s="43">
        <v>0.46</v>
      </c>
      <c r="I21" s="43">
        <v>0.52</v>
      </c>
      <c r="J21" s="44">
        <f t="shared" si="7"/>
        <v>2.0558804110179376E-2</v>
      </c>
      <c r="K21" s="45">
        <f t="shared" si="2"/>
        <v>1.7333333333333333E-2</v>
      </c>
      <c r="L21" s="46">
        <f t="shared" si="3"/>
        <v>0.06</v>
      </c>
      <c r="M21" s="46">
        <f t="shared" si="4"/>
        <v>13.043478260869565</v>
      </c>
      <c r="N21" s="47">
        <v>1000</v>
      </c>
      <c r="O21" s="38">
        <v>520</v>
      </c>
      <c r="P21" s="55">
        <f t="shared" si="5"/>
        <v>0</v>
      </c>
      <c r="Q21" s="49">
        <f t="shared" si="6"/>
        <v>0.48571428571428577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114045654.29904363</v>
      </c>
      <c r="E22" s="40">
        <f t="shared" si="1"/>
        <v>96153031.596066684</v>
      </c>
      <c r="F22" s="41" t="s">
        <v>53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0.16524929526791682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53253290.979116999</v>
      </c>
      <c r="E23" s="40">
        <f t="shared" si="1"/>
        <v>44898382.157403335</v>
      </c>
      <c r="F23" s="41" t="s">
        <v>76</v>
      </c>
      <c r="G23" s="42">
        <v>0.88420599999999994</v>
      </c>
      <c r="H23" s="43">
        <v>1.08</v>
      </c>
      <c r="I23" s="43">
        <v>1.0896999999999999</v>
      </c>
      <c r="J23" s="44">
        <f t="shared" si="7"/>
        <v>4.3082555459350892E-2</v>
      </c>
      <c r="K23" s="45">
        <f t="shared" si="2"/>
        <v>3.6323333333333332E-2</v>
      </c>
      <c r="L23" s="46">
        <f t="shared" si="3"/>
        <v>9.6999999999998199E-3</v>
      </c>
      <c r="M23" s="46">
        <f t="shared" si="4"/>
        <v>0.89814814814813149</v>
      </c>
      <c r="N23" s="47">
        <v>2500</v>
      </c>
      <c r="O23" s="38">
        <v>2724.25</v>
      </c>
      <c r="P23" s="41">
        <f t="shared" si="5"/>
        <v>0</v>
      </c>
      <c r="Q23" s="49">
        <f t="shared" si="6"/>
        <v>0.23240511826429588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2121465.459232287</v>
      </c>
      <c r="E24" s="40">
        <f t="shared" si="1"/>
        <v>1788628.7433333334</v>
      </c>
      <c r="F24" s="41" t="s">
        <v>49</v>
      </c>
      <c r="G24" s="42">
        <v>0.1</v>
      </c>
      <c r="H24" s="43">
        <v>0.1</v>
      </c>
      <c r="I24" s="43">
        <v>0.1</v>
      </c>
      <c r="J24" s="44">
        <f t="shared" si="7"/>
        <v>3.9536161750344957E-3</v>
      </c>
      <c r="K24" s="45">
        <f t="shared" si="2"/>
        <v>3.3333333333333335E-3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1">
        <f t="shared" si="5"/>
        <v>0</v>
      </c>
      <c r="Q24" s="49">
        <f t="shared" si="6"/>
        <v>0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56929440.106273212</v>
      </c>
      <c r="E25" s="40">
        <f t="shared" si="1"/>
        <v>47997780.248000003</v>
      </c>
      <c r="F25" s="41" t="s">
        <v>35</v>
      </c>
      <c r="G25" s="42">
        <v>8.1687659999999997</v>
      </c>
      <c r="H25" s="43">
        <v>7.4704999999999995</v>
      </c>
      <c r="I25" s="43">
        <v>7.46</v>
      </c>
      <c r="J25" s="44">
        <f t="shared" si="7"/>
        <v>0.29493976665757338</v>
      </c>
      <c r="K25" s="45">
        <f t="shared" si="2"/>
        <v>0.24866666666666667</v>
      </c>
      <c r="L25" s="46">
        <f t="shared" si="3"/>
        <v>-1.049999999999951E-2</v>
      </c>
      <c r="M25" s="46">
        <f t="shared" si="4"/>
        <v>-0.14055284117528291</v>
      </c>
      <c r="N25" s="47">
        <v>69700</v>
      </c>
      <c r="O25" s="38">
        <v>519962</v>
      </c>
      <c r="P25" s="41">
        <f t="shared" si="5"/>
        <v>0</v>
      </c>
      <c r="Q25" s="49">
        <f t="shared" si="6"/>
        <v>-8.6765369457271757E-2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78735839.138931945</v>
      </c>
      <c r="E26" s="40">
        <f t="shared" si="1"/>
        <v>66382973.336424895</v>
      </c>
      <c r="F26" s="41" t="s">
        <v>76</v>
      </c>
      <c r="G26" s="42">
        <v>1.6675</v>
      </c>
      <c r="H26" s="43">
        <v>1.2795000000000001</v>
      </c>
      <c r="I26" s="43">
        <v>1.180083</v>
      </c>
      <c r="J26" s="44">
        <f t="shared" si="7"/>
        <v>4.6655952366832329E-2</v>
      </c>
      <c r="K26" s="45">
        <f t="shared" si="2"/>
        <v>3.9336099999999999E-2</v>
      </c>
      <c r="L26" s="46">
        <f t="shared" si="3"/>
        <v>-9.9417000000000089E-2</v>
      </c>
      <c r="M26" s="46">
        <f t="shared" si="4"/>
        <v>-7.7699882766705812</v>
      </c>
      <c r="N26" s="47">
        <v>600</v>
      </c>
      <c r="O26" s="38">
        <v>708.05</v>
      </c>
      <c r="P26" s="55">
        <f t="shared" si="5"/>
        <v>0</v>
      </c>
      <c r="Q26" s="49">
        <f t="shared" si="6"/>
        <v>-0.29230404797601195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17343672.279912073</v>
      </c>
      <c r="E27" s="40">
        <f t="shared" si="1"/>
        <v>14622623.535916667</v>
      </c>
      <c r="F27" s="41" t="s">
        <v>49</v>
      </c>
      <c r="G27" s="42">
        <v>1.7994999999999999</v>
      </c>
      <c r="H27" s="43">
        <v>1.8325</v>
      </c>
      <c r="I27" s="43">
        <v>1.8325</v>
      </c>
      <c r="J27" s="44">
        <f t="shared" si="7"/>
        <v>7.2450016407507131E-2</v>
      </c>
      <c r="K27" s="45">
        <f t="shared" si="2"/>
        <v>6.1083333333333337E-2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5">
        <f t="shared" si="5"/>
        <v>0</v>
      </c>
      <c r="Q27" s="49">
        <f t="shared" si="6"/>
        <v>1.8338427340928165E-2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30381651.385940149</v>
      </c>
      <c r="E28" s="40">
        <f t="shared" si="1"/>
        <v>25615074.100000001</v>
      </c>
      <c r="F28" s="41" t="s">
        <v>35</v>
      </c>
      <c r="G28" s="42">
        <v>3.1361369999999997</v>
      </c>
      <c r="H28" s="43">
        <v>3</v>
      </c>
      <c r="I28" s="43">
        <v>3</v>
      </c>
      <c r="J28" s="44">
        <f t="shared" si="7"/>
        <v>0.11860848525103486</v>
      </c>
      <c r="K28" s="45">
        <f t="shared" si="2"/>
        <v>0.1</v>
      </c>
      <c r="L28" s="46">
        <f t="shared" si="3"/>
        <v>0</v>
      </c>
      <c r="M28" s="46">
        <f t="shared" si="4"/>
        <v>0</v>
      </c>
      <c r="N28" s="47">
        <v>700</v>
      </c>
      <c r="O28" s="38">
        <v>2100</v>
      </c>
      <c r="P28" s="48">
        <f t="shared" si="5"/>
        <v>0.12646649999999998</v>
      </c>
      <c r="Q28" s="49">
        <f t="shared" si="6"/>
        <v>-4.3409136781970892E-2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22410124.336247899</v>
      </c>
      <c r="E29" s="40">
        <f t="shared" si="1"/>
        <v>18894199.929133967</v>
      </c>
      <c r="F29" s="41" t="s">
        <v>49</v>
      </c>
      <c r="G29" s="42">
        <v>0.8</v>
      </c>
      <c r="H29" s="43">
        <v>0.75</v>
      </c>
      <c r="I29" s="43">
        <v>0.75011899999999998</v>
      </c>
      <c r="J29" s="44">
        <f t="shared" si="7"/>
        <v>2.9656826116007007E-2</v>
      </c>
      <c r="K29" s="45">
        <f t="shared" si="2"/>
        <v>2.5003966666666665E-2</v>
      </c>
      <c r="L29" s="46">
        <f t="shared" si="3"/>
        <v>1.1899999999998023E-4</v>
      </c>
      <c r="M29" s="46">
        <f t="shared" si="4"/>
        <v>1.5866666666664031E-2</v>
      </c>
      <c r="N29" s="47">
        <v>48200</v>
      </c>
      <c r="O29" s="38">
        <v>36155.75</v>
      </c>
      <c r="P29" s="41">
        <f t="shared" si="5"/>
        <v>0</v>
      </c>
      <c r="Q29" s="49">
        <f t="shared" si="6"/>
        <v>-6.235125000000008E-2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80216574.301494852</v>
      </c>
      <c r="E30" s="40">
        <f t="shared" si="1"/>
        <v>67631395.959333315</v>
      </c>
      <c r="F30" s="41" t="s">
        <v>53</v>
      </c>
      <c r="G30" s="42">
        <v>5.15</v>
      </c>
      <c r="H30" s="43">
        <v>5.0199999999999996</v>
      </c>
      <c r="I30" s="43">
        <v>5.0199999999999996</v>
      </c>
      <c r="J30" s="44">
        <f t="shared" si="7"/>
        <v>0.19847153198673165</v>
      </c>
      <c r="K30" s="45">
        <f t="shared" si="2"/>
        <v>0.16733333333333331</v>
      </c>
      <c r="L30" s="46">
        <f t="shared" si="3"/>
        <v>0</v>
      </c>
      <c r="M30" s="46">
        <f t="shared" si="4"/>
        <v>0</v>
      </c>
      <c r="N30" s="47">
        <v>0</v>
      </c>
      <c r="O30" s="38">
        <v>0</v>
      </c>
      <c r="P30" s="55">
        <f t="shared" si="5"/>
        <v>0</v>
      </c>
      <c r="Q30" s="49">
        <f t="shared" si="6"/>
        <v>-2.5242718446602086E-2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14254446.429529246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4.4950243740437199E-3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13150867.051748883</v>
      </c>
      <c r="E33" s="40">
        <f t="shared" si="9"/>
        <v>11087627.52</v>
      </c>
      <c r="F33" s="41" t="s">
        <v>42</v>
      </c>
      <c r="G33" s="42">
        <v>1.4</v>
      </c>
      <c r="H33" s="43">
        <v>1.24125</v>
      </c>
      <c r="I33" s="43">
        <v>1.28</v>
      </c>
      <c r="J33" s="44">
        <f t="shared" si="10"/>
        <v>5.0606287040441546E-2</v>
      </c>
      <c r="K33" s="45">
        <f t="shared" si="11"/>
        <v>4.2666666666666665E-2</v>
      </c>
      <c r="L33" s="46">
        <f t="shared" si="12"/>
        <v>3.8750000000000062E-2</v>
      </c>
      <c r="M33" s="46">
        <f t="shared" si="13"/>
        <v>3.1218529707955742</v>
      </c>
      <c r="N33" s="47">
        <v>100</v>
      </c>
      <c r="O33" s="38">
        <v>128</v>
      </c>
      <c r="P33" s="55">
        <f t="shared" si="14"/>
        <v>0</v>
      </c>
      <c r="Q33" s="49">
        <f t="shared" si="15"/>
        <v>-8.5714285714285632E-2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3618432.6481716502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2.9652121312758715E-2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115434909.05931611</v>
      </c>
      <c r="E35" s="40">
        <f t="shared" si="9"/>
        <v>97324326.177000001</v>
      </c>
      <c r="F35" s="41" t="s">
        <v>108</v>
      </c>
      <c r="G35" s="42">
        <v>1.44</v>
      </c>
      <c r="H35" s="43">
        <v>1.17</v>
      </c>
      <c r="I35" s="43">
        <v>1.17</v>
      </c>
      <c r="J35" s="44">
        <f t="shared" si="10"/>
        <v>4.6257309247903597E-2</v>
      </c>
      <c r="K35" s="45">
        <f t="shared" si="11"/>
        <v>3.9E-2</v>
      </c>
      <c r="L35" s="46">
        <f t="shared" si="12"/>
        <v>0</v>
      </c>
      <c r="M35" s="46">
        <f t="shared" si="13"/>
        <v>0</v>
      </c>
      <c r="N35" s="47">
        <v>0</v>
      </c>
      <c r="O35" s="38">
        <v>0</v>
      </c>
      <c r="P35" s="55">
        <f t="shared" si="14"/>
        <v>0</v>
      </c>
      <c r="Q35" s="49">
        <f t="shared" si="15"/>
        <v>-0.1875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43095200.187401406</v>
      </c>
      <c r="E36" s="40">
        <f t="shared" si="9"/>
        <v>36333994.230000004</v>
      </c>
      <c r="F36" s="41" t="s">
        <v>35</v>
      </c>
      <c r="G36" s="42">
        <v>3.6056249999999999</v>
      </c>
      <c r="H36" s="43">
        <v>3.96</v>
      </c>
      <c r="I36" s="43">
        <v>4.3</v>
      </c>
      <c r="J36" s="44">
        <f t="shared" si="10"/>
        <v>0.17000549552648331</v>
      </c>
      <c r="K36" s="45">
        <f t="shared" si="11"/>
        <v>0.14333333333333334</v>
      </c>
      <c r="L36" s="46">
        <f t="shared" si="12"/>
        <v>0.33999999999999986</v>
      </c>
      <c r="M36" s="46">
        <f t="shared" si="13"/>
        <v>8.585858585858583</v>
      </c>
      <c r="N36" s="47">
        <v>419900</v>
      </c>
      <c r="O36" s="38">
        <v>1805570</v>
      </c>
      <c r="P36" s="62">
        <f t="shared" si="14"/>
        <v>5.3527681395348838E-2</v>
      </c>
      <c r="Q36" s="49">
        <f t="shared" si="15"/>
        <v>0.19258103657479642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6522147.9944203403</v>
      </c>
      <c r="E37" s="40">
        <f t="shared" si="9"/>
        <v>5498888.1955757327</v>
      </c>
      <c r="F37" s="41" t="s">
        <v>35</v>
      </c>
      <c r="G37" s="42">
        <v>2.5099999999999997E-2</v>
      </c>
      <c r="H37" s="43">
        <v>3.4986999999999997E-2</v>
      </c>
      <c r="I37" s="43">
        <v>3.4986999999999997E-2</v>
      </c>
      <c r="J37" s="44">
        <f t="shared" si="10"/>
        <v>1.3832516911593189E-3</v>
      </c>
      <c r="K37" s="45">
        <f t="shared" si="11"/>
        <v>1.1662333333333332E-3</v>
      </c>
      <c r="L37" s="46">
        <f t="shared" si="12"/>
        <v>0</v>
      </c>
      <c r="M37" s="46">
        <f t="shared" si="13"/>
        <v>0</v>
      </c>
      <c r="N37" s="47">
        <v>0</v>
      </c>
      <c r="O37" s="38">
        <v>0</v>
      </c>
      <c r="P37" s="41">
        <f t="shared" si="14"/>
        <v>0</v>
      </c>
      <c r="Q37" s="49">
        <f t="shared" si="15"/>
        <v>0.39390438247011961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9289342.6717747394</v>
      </c>
      <c r="E38" s="40">
        <f t="shared" si="9"/>
        <v>7831937.7000000002</v>
      </c>
      <c r="F38" s="41" t="s">
        <v>108</v>
      </c>
      <c r="G38" s="42">
        <v>0.61</v>
      </c>
      <c r="H38" s="43">
        <v>0.89818200000000004</v>
      </c>
      <c r="I38" s="43">
        <v>0.9</v>
      </c>
      <c r="J38" s="44">
        <f t="shared" si="10"/>
        <v>3.5582545575310459E-2</v>
      </c>
      <c r="K38" s="45">
        <f t="shared" si="11"/>
        <v>3.0000000000000002E-2</v>
      </c>
      <c r="L38" s="46">
        <f t="shared" si="12"/>
        <v>1.8179999999999863E-3</v>
      </c>
      <c r="M38" s="46">
        <f t="shared" si="13"/>
        <v>0.2024088659091349</v>
      </c>
      <c r="N38" s="47">
        <v>5200</v>
      </c>
      <c r="O38" s="38">
        <v>4680</v>
      </c>
      <c r="P38" s="41">
        <f t="shared" si="14"/>
        <v>0</v>
      </c>
      <c r="Q38" s="49">
        <f t="shared" si="15"/>
        <v>0.47540983606557385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18359175.384006832</v>
      </c>
      <c r="E39" s="40">
        <f t="shared" si="9"/>
        <v>15478804.358010001</v>
      </c>
      <c r="F39" s="41" t="s">
        <v>64</v>
      </c>
      <c r="G39" s="42">
        <v>0.11650199999999999</v>
      </c>
      <c r="H39" s="43">
        <v>0.11042</v>
      </c>
      <c r="I39" s="43">
        <v>0.11070000000000001</v>
      </c>
      <c r="J39" s="44">
        <f t="shared" si="10"/>
        <v>4.3766531057631867E-3</v>
      </c>
      <c r="K39" s="45">
        <f t="shared" si="11"/>
        <v>3.6900000000000001E-3</v>
      </c>
      <c r="L39" s="46">
        <f t="shared" si="12"/>
        <v>2.8000000000000247E-4</v>
      </c>
      <c r="M39" s="46">
        <f t="shared" si="13"/>
        <v>0.25357725049810043</v>
      </c>
      <c r="N39" s="47">
        <v>4000</v>
      </c>
      <c r="O39" s="38">
        <v>442.8</v>
      </c>
      <c r="P39" s="41">
        <v>0</v>
      </c>
      <c r="Q39" s="49">
        <f t="shared" si="15"/>
        <v>-4.9801720142143346E-2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46633482.295706771</v>
      </c>
      <c r="E40" s="40">
        <f t="shared" si="9"/>
        <v>39317155.258333333</v>
      </c>
      <c r="F40" s="41" t="s">
        <v>35</v>
      </c>
      <c r="G40" s="42">
        <v>2.6005000000000003</v>
      </c>
      <c r="H40" s="43">
        <v>3.25</v>
      </c>
      <c r="I40" s="43">
        <v>3.25</v>
      </c>
      <c r="J40" s="44">
        <f t="shared" si="10"/>
        <v>0.1284925256886211</v>
      </c>
      <c r="K40" s="45">
        <f t="shared" si="11"/>
        <v>0.10833333333333334</v>
      </c>
      <c r="L40" s="46">
        <f t="shared" si="12"/>
        <v>0</v>
      </c>
      <c r="M40" s="46">
        <f t="shared" si="13"/>
        <v>0</v>
      </c>
      <c r="N40" s="47">
        <v>0</v>
      </c>
      <c r="O40" s="38">
        <v>0</v>
      </c>
      <c r="P40" s="62">
        <f t="shared" ref="P40:P47" si="16">(R40)/J40</f>
        <v>0.10060507356923076</v>
      </c>
      <c r="Q40" s="49">
        <f t="shared" si="15"/>
        <v>0.24975966160353757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16892098.832536682</v>
      </c>
      <c r="E41" s="40">
        <f t="shared" si="9"/>
        <v>14241897.446699999</v>
      </c>
      <c r="F41" s="41" t="s">
        <v>42</v>
      </c>
      <c r="G41" s="42">
        <v>0.1</v>
      </c>
      <c r="H41" s="43">
        <v>9.9000000000000005E-2</v>
      </c>
      <c r="I41" s="43">
        <v>9.9000000000000005E-2</v>
      </c>
      <c r="J41" s="44">
        <f t="shared" si="10"/>
        <v>3.914080013284151E-3</v>
      </c>
      <c r="K41" s="45">
        <f t="shared" si="11"/>
        <v>3.3E-3</v>
      </c>
      <c r="L41" s="46">
        <f t="shared" si="12"/>
        <v>0</v>
      </c>
      <c r="M41" s="46">
        <f t="shared" si="13"/>
        <v>0</v>
      </c>
      <c r="N41" s="47">
        <v>0</v>
      </c>
      <c r="O41" s="38">
        <v>0</v>
      </c>
      <c r="P41" s="41">
        <f t="shared" si="16"/>
        <v>0</v>
      </c>
      <c r="Q41" s="49">
        <f t="shared" si="15"/>
        <v>-1.0000000000000009E-2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13218089.54070841</v>
      </c>
      <c r="E42" s="40">
        <f t="shared" si="9"/>
        <v>11144303.472666668</v>
      </c>
      <c r="F42" s="41" t="s">
        <v>49</v>
      </c>
      <c r="G42" s="42">
        <v>1.7452379999999998</v>
      </c>
      <c r="H42" s="43">
        <v>3.14</v>
      </c>
      <c r="I42" s="43">
        <v>3.14</v>
      </c>
      <c r="J42" s="44">
        <f t="shared" si="10"/>
        <v>0.12414354789608316</v>
      </c>
      <c r="K42" s="45">
        <f t="shared" si="11"/>
        <v>0.10466666666666667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5">
        <f t="shared" si="16"/>
        <v>0</v>
      </c>
      <c r="Q42" s="49">
        <f t="shared" si="15"/>
        <v>0.7991815442936725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2108860.5614925693</v>
      </c>
      <c r="E43" s="40">
        <f t="shared" si="9"/>
        <v>1778001.4280000001</v>
      </c>
      <c r="F43" s="41" t="s">
        <v>42</v>
      </c>
      <c r="G43" s="42">
        <v>0.03</v>
      </c>
      <c r="H43" s="43">
        <v>0.03</v>
      </c>
      <c r="I43" s="43">
        <v>0.03</v>
      </c>
      <c r="J43" s="44">
        <f t="shared" si="10"/>
        <v>1.1860848525103486E-3</v>
      </c>
      <c r="K43" s="45">
        <f t="shared" si="11"/>
        <v>1E-3</v>
      </c>
      <c r="L43" s="46">
        <f t="shared" si="12"/>
        <v>0</v>
      </c>
      <c r="M43" s="46">
        <f t="shared" si="13"/>
        <v>0</v>
      </c>
      <c r="N43" s="47">
        <v>0</v>
      </c>
      <c r="O43" s="38">
        <v>0</v>
      </c>
      <c r="P43" s="41">
        <f t="shared" si="16"/>
        <v>0</v>
      </c>
      <c r="Q43" s="49">
        <f t="shared" si="15"/>
        <v>0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29292756.653153762</v>
      </c>
      <c r="E44" s="40">
        <f t="shared" si="9"/>
        <v>24697016.061840467</v>
      </c>
      <c r="F44" s="41" t="s">
        <v>53</v>
      </c>
      <c r="G44" s="42">
        <v>4.5</v>
      </c>
      <c r="H44" s="43">
        <v>4.2013790000000002</v>
      </c>
      <c r="I44" s="43">
        <v>4.2291670000000003</v>
      </c>
      <c r="J44" s="44">
        <f t="shared" si="10"/>
        <v>0.16720503058122113</v>
      </c>
      <c r="K44" s="45">
        <f t="shared" si="11"/>
        <v>0.14097223333333334</v>
      </c>
      <c r="L44" s="46">
        <f t="shared" si="12"/>
        <v>2.7788000000000146E-2</v>
      </c>
      <c r="M44" s="46">
        <f t="shared" si="13"/>
        <v>0.66140188733271021</v>
      </c>
      <c r="N44" s="47">
        <v>1200</v>
      </c>
      <c r="O44" s="38">
        <v>5075</v>
      </c>
      <c r="P44" s="55">
        <f t="shared" si="16"/>
        <v>0</v>
      </c>
      <c r="Q44" s="49">
        <f t="shared" si="15"/>
        <v>-6.0185111111111023E-2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329.73466878580496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7.1165091150620925E-7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1821826.3334558955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3.1628929400275966E-3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49937128.472841501</v>
      </c>
      <c r="E47" s="40">
        <f t="shared" si="9"/>
        <v>42102492.386737399</v>
      </c>
      <c r="F47" s="41" t="s">
        <v>53</v>
      </c>
      <c r="G47" s="42">
        <v>0.9998999999999999</v>
      </c>
      <c r="H47" s="43">
        <v>0.69467699999999999</v>
      </c>
      <c r="I47" s="43">
        <v>0.69467699999999999</v>
      </c>
      <c r="J47" s="44">
        <f t="shared" si="10"/>
        <v>2.7464862236244381E-2</v>
      </c>
      <c r="K47" s="45">
        <f t="shared" si="11"/>
        <v>2.31559E-2</v>
      </c>
      <c r="L47" s="46">
        <f t="shared" si="12"/>
        <v>0</v>
      </c>
      <c r="M47" s="46">
        <f t="shared" si="13"/>
        <v>0</v>
      </c>
      <c r="N47" s="47">
        <v>0</v>
      </c>
      <c r="O47" s="38">
        <v>0</v>
      </c>
      <c r="P47" s="55">
        <f t="shared" si="16"/>
        <v>0</v>
      </c>
      <c r="Q47" s="49">
        <f t="shared" si="15"/>
        <v>-0.30525352535253525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4060858.804505541</v>
      </c>
      <c r="E48" s="40">
        <f t="shared" si="9"/>
        <v>3423750.6666666665</v>
      </c>
      <c r="F48" s="41" t="s">
        <v>53</v>
      </c>
      <c r="G48" s="42">
        <v>1.4503460000000001</v>
      </c>
      <c r="H48" s="43">
        <v>1</v>
      </c>
      <c r="I48" s="43">
        <v>1</v>
      </c>
      <c r="J48" s="44">
        <f t="shared" si="10"/>
        <v>3.9536161750344953E-2</v>
      </c>
      <c r="K48" s="45">
        <f t="shared" si="11"/>
        <v>3.3333333333333333E-2</v>
      </c>
      <c r="L48" s="46">
        <f t="shared" si="12"/>
        <v>0</v>
      </c>
      <c r="M48" s="46">
        <f t="shared" si="13"/>
        <v>0</v>
      </c>
      <c r="N48" s="47">
        <v>300</v>
      </c>
      <c r="O48" s="38">
        <v>300</v>
      </c>
      <c r="P48" s="41">
        <v>0</v>
      </c>
      <c r="Q48" s="49">
        <f t="shared" si="15"/>
        <v>-0.31050935431959004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951600</v>
      </c>
      <c r="O49" s="69">
        <f>SUM(O10:O48)</f>
        <v>4432532.2799999993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64861731.581999995</v>
      </c>
      <c r="E52" s="40">
        <f>C52*K52</f>
        <v>0</v>
      </c>
      <c r="F52" s="41" t="s">
        <v>108</v>
      </c>
      <c r="G52" s="77">
        <v>4</v>
      </c>
      <c r="H52" s="43">
        <v>4.22</v>
      </c>
      <c r="I52" s="43">
        <v>4.3884999999999996</v>
      </c>
      <c r="J52" s="44">
        <f t="shared" ref="J52:J65" si="18">I52</f>
        <v>4.3884999999999996</v>
      </c>
      <c r="K52" s="40">
        <v>0</v>
      </c>
      <c r="L52" s="46">
        <f t="shared" ref="L52:L65" si="19">I52-H52</f>
        <v>0.16849999999999987</v>
      </c>
      <c r="M52" s="46">
        <f t="shared" ref="M52:M65" si="20">((I52-H52)/H52)*100</f>
        <v>3.992890995260661</v>
      </c>
      <c r="N52" s="47">
        <v>76</v>
      </c>
      <c r="O52" s="38">
        <v>333.52</v>
      </c>
      <c r="P52" s="55">
        <v>0</v>
      </c>
      <c r="Q52" s="49">
        <f t="shared" ref="Q52:Q65" si="21">J52/G52-1</f>
        <v>9.7124999999999906E-2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66756988.2399</v>
      </c>
      <c r="E53" s="40">
        <v>0</v>
      </c>
      <c r="F53" s="41" t="s">
        <v>108</v>
      </c>
      <c r="G53" s="77">
        <v>0.1</v>
      </c>
      <c r="H53" s="43">
        <v>0.121</v>
      </c>
      <c r="I53" s="43">
        <v>0.1203</v>
      </c>
      <c r="J53" s="44">
        <f t="shared" si="18"/>
        <v>0.1203</v>
      </c>
      <c r="K53" s="40">
        <v>0</v>
      </c>
      <c r="L53" s="46">
        <f t="shared" si="19"/>
        <v>-6.999999999999923E-4</v>
      </c>
      <c r="M53" s="46">
        <f t="shared" si="20"/>
        <v>-0.57851239669420851</v>
      </c>
      <c r="N53" s="47">
        <v>741525</v>
      </c>
      <c r="O53" s="38">
        <v>89218.45</v>
      </c>
      <c r="P53" s="41">
        <f t="shared" ref="P53:P65" si="22">(R53)/J53</f>
        <v>0</v>
      </c>
      <c r="Q53" s="49">
        <f t="shared" si="21"/>
        <v>0.20300000000000007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73468780</v>
      </c>
      <c r="E54" s="40">
        <v>0</v>
      </c>
      <c r="F54" s="41" t="s">
        <v>42</v>
      </c>
      <c r="G54" s="77">
        <v>39.9</v>
      </c>
      <c r="H54" s="43">
        <v>70</v>
      </c>
      <c r="I54" s="43">
        <v>70</v>
      </c>
      <c r="J54" s="44">
        <f t="shared" si="18"/>
        <v>70</v>
      </c>
      <c r="K54" s="40">
        <v>0</v>
      </c>
      <c r="L54" s="46">
        <f t="shared" si="19"/>
        <v>0</v>
      </c>
      <c r="M54" s="46">
        <f t="shared" si="20"/>
        <v>0</v>
      </c>
      <c r="N54" s="47">
        <v>1</v>
      </c>
      <c r="O54" s="38">
        <v>70</v>
      </c>
      <c r="P54" s="48">
        <f t="shared" si="22"/>
        <v>8.0000000000000007E-5</v>
      </c>
      <c r="Q54" s="49">
        <f t="shared" si="21"/>
        <v>0.75438596491228083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14633782.632000001</v>
      </c>
      <c r="E55" s="40">
        <v>0</v>
      </c>
      <c r="F55" s="41" t="s">
        <v>35</v>
      </c>
      <c r="G55" s="77">
        <v>2.3E-2</v>
      </c>
      <c r="H55" s="43">
        <v>2.41E-2</v>
      </c>
      <c r="I55" s="43">
        <v>2.4E-2</v>
      </c>
      <c r="J55" s="44">
        <f t="shared" si="18"/>
        <v>2.4E-2</v>
      </c>
      <c r="K55" s="40">
        <v>0</v>
      </c>
      <c r="L55" s="46">
        <f t="shared" si="19"/>
        <v>-9.9999999999999395E-5</v>
      </c>
      <c r="M55" s="46">
        <f t="shared" si="20"/>
        <v>-0.41493775933609706</v>
      </c>
      <c r="N55" s="47">
        <v>5000</v>
      </c>
      <c r="O55" s="38">
        <v>120</v>
      </c>
      <c r="P55" s="41">
        <f t="shared" si="22"/>
        <v>0</v>
      </c>
      <c r="Q55" s="49">
        <f t="shared" si="21"/>
        <v>4.3478260869565188E-2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207768758.6293</v>
      </c>
      <c r="E56" s="40">
        <v>0</v>
      </c>
      <c r="F56" s="41" t="s">
        <v>53</v>
      </c>
      <c r="G56" s="77">
        <v>9.0200000000000002E-2</v>
      </c>
      <c r="H56" s="43">
        <v>9.8100000000000007E-2</v>
      </c>
      <c r="I56" s="43">
        <v>9.6100000000000005E-2</v>
      </c>
      <c r="J56" s="44">
        <f t="shared" si="18"/>
        <v>9.6100000000000005E-2</v>
      </c>
      <c r="K56" s="40">
        <v>0</v>
      </c>
      <c r="L56" s="46">
        <f t="shared" si="19"/>
        <v>-2.0000000000000018E-3</v>
      </c>
      <c r="M56" s="78">
        <f t="shared" si="20"/>
        <v>-2.0387359836901138</v>
      </c>
      <c r="N56" s="47">
        <v>83776</v>
      </c>
      <c r="O56" s="38">
        <v>8048.74</v>
      </c>
      <c r="P56" s="48">
        <f t="shared" si="22"/>
        <v>6.3891779396462012E-2</v>
      </c>
      <c r="Q56" s="49">
        <f t="shared" si="21"/>
        <v>6.5410199556541038E-2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747898932.05999994</v>
      </c>
      <c r="E57" s="40">
        <v>0</v>
      </c>
      <c r="F57" s="41" t="s">
        <v>35</v>
      </c>
      <c r="G57" s="77">
        <v>0.95750000000000002</v>
      </c>
      <c r="H57" s="43">
        <v>1.3</v>
      </c>
      <c r="I57" s="43">
        <v>1.2986</v>
      </c>
      <c r="J57" s="44">
        <f t="shared" si="18"/>
        <v>1.2986</v>
      </c>
      <c r="K57" s="40">
        <v>0</v>
      </c>
      <c r="L57" s="46">
        <f t="shared" si="19"/>
        <v>-1.4000000000000679E-3</v>
      </c>
      <c r="M57" s="46">
        <f t="shared" si="20"/>
        <v>-0.10769230769231292</v>
      </c>
      <c r="N57" s="47">
        <v>43115</v>
      </c>
      <c r="O57" s="38">
        <v>55990.9</v>
      </c>
      <c r="P57" s="48">
        <f t="shared" si="22"/>
        <v>2.2716771908208838E-2</v>
      </c>
      <c r="Q57" s="49">
        <f t="shared" si="21"/>
        <v>0.35624020887728447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24664074.944400001</v>
      </c>
      <c r="E58" s="40">
        <v>0</v>
      </c>
      <c r="F58" s="41" t="s">
        <v>35</v>
      </c>
      <c r="G58" s="77">
        <v>0.1595</v>
      </c>
      <c r="H58" s="43">
        <v>0.1545</v>
      </c>
      <c r="I58" s="43">
        <v>0.1502</v>
      </c>
      <c r="J58" s="44">
        <f t="shared" si="18"/>
        <v>0.1502</v>
      </c>
      <c r="K58" s="40">
        <v>0</v>
      </c>
      <c r="L58" s="46">
        <f t="shared" si="19"/>
        <v>-4.2999999999999983E-3</v>
      </c>
      <c r="M58" s="46">
        <f t="shared" si="20"/>
        <v>-2.7831715210355976</v>
      </c>
      <c r="N58" s="47">
        <v>345</v>
      </c>
      <c r="O58" s="38">
        <v>51.84</v>
      </c>
      <c r="P58" s="41">
        <f t="shared" si="22"/>
        <v>0</v>
      </c>
      <c r="Q58" s="49">
        <f t="shared" si="21"/>
        <v>-5.8307210031347978E-2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19418063.714000002</v>
      </c>
      <c r="E59" s="40">
        <v>0</v>
      </c>
      <c r="F59" s="41" t="s">
        <v>108</v>
      </c>
      <c r="G59" s="77">
        <v>1.6799999999999999E-2</v>
      </c>
      <c r="H59" s="43">
        <v>6.0100000000000001E-2</v>
      </c>
      <c r="I59" s="43">
        <v>5.2400000000000002E-2</v>
      </c>
      <c r="J59" s="44">
        <f t="shared" si="18"/>
        <v>5.2400000000000002E-2</v>
      </c>
      <c r="K59" s="40">
        <v>0</v>
      </c>
      <c r="L59" s="46">
        <f t="shared" si="19"/>
        <v>-7.6999999999999985E-3</v>
      </c>
      <c r="M59" s="78">
        <f t="shared" si="20"/>
        <v>-12.811980033277868</v>
      </c>
      <c r="N59" s="47">
        <v>25918</v>
      </c>
      <c r="O59" s="38">
        <v>1357.05</v>
      </c>
      <c r="P59" s="55">
        <f t="shared" si="22"/>
        <v>0</v>
      </c>
      <c r="Q59" s="49">
        <f t="shared" si="21"/>
        <v>2.1190476190476195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2096549</v>
      </c>
      <c r="E60" s="40">
        <v>0</v>
      </c>
      <c r="F60" s="41" t="s">
        <v>155</v>
      </c>
      <c r="G60" s="77">
        <v>19.5</v>
      </c>
      <c r="H60" s="43">
        <v>13</v>
      </c>
      <c r="I60" s="43">
        <v>13</v>
      </c>
      <c r="J60" s="44">
        <f t="shared" si="18"/>
        <v>13</v>
      </c>
      <c r="K60" s="40">
        <v>0</v>
      </c>
      <c r="L60" s="46">
        <f t="shared" si="19"/>
        <v>0</v>
      </c>
      <c r="M60" s="46">
        <f t="shared" si="20"/>
        <v>0</v>
      </c>
      <c r="N60" s="47">
        <v>0</v>
      </c>
      <c r="O60" s="38">
        <v>0</v>
      </c>
      <c r="P60" s="41">
        <f t="shared" si="22"/>
        <v>0</v>
      </c>
      <c r="Q60" s="49">
        <f t="shared" si="21"/>
        <v>-0.33333333333333337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805091101</v>
      </c>
      <c r="E61" s="40">
        <v>0</v>
      </c>
      <c r="F61" s="41" t="s">
        <v>108</v>
      </c>
      <c r="G61" s="77">
        <v>0.59499999999999997</v>
      </c>
      <c r="H61" s="43">
        <v>0.9929</v>
      </c>
      <c r="I61" s="43">
        <v>1</v>
      </c>
      <c r="J61" s="44">
        <f t="shared" si="18"/>
        <v>1</v>
      </c>
      <c r="K61" s="40">
        <v>0</v>
      </c>
      <c r="L61" s="46">
        <f t="shared" si="19"/>
        <v>7.0999999999999952E-3</v>
      </c>
      <c r="M61" s="46">
        <f t="shared" si="20"/>
        <v>0.71507704703394048</v>
      </c>
      <c r="N61" s="47">
        <v>7728</v>
      </c>
      <c r="O61" s="38">
        <v>7728</v>
      </c>
      <c r="P61" s="62">
        <f t="shared" si="22"/>
        <v>2.3E-2</v>
      </c>
      <c r="Q61" s="49">
        <f t="shared" si="21"/>
        <v>0.68067226890756305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85931505.132799998</v>
      </c>
      <c r="E62" s="40">
        <v>0</v>
      </c>
      <c r="F62" s="41" t="s">
        <v>35</v>
      </c>
      <c r="G62" s="77">
        <v>0.22600000000000001</v>
      </c>
      <c r="H62" s="43">
        <v>0.28100000000000003</v>
      </c>
      <c r="I62" s="43">
        <v>0.3296</v>
      </c>
      <c r="J62" s="44">
        <f t="shared" si="18"/>
        <v>0.3296</v>
      </c>
      <c r="K62" s="40">
        <v>0</v>
      </c>
      <c r="L62" s="46">
        <f t="shared" si="19"/>
        <v>4.8599999999999977E-2</v>
      </c>
      <c r="M62" s="46">
        <f t="shared" si="20"/>
        <v>17.295373665480419</v>
      </c>
      <c r="N62" s="47">
        <v>99619</v>
      </c>
      <c r="O62" s="38">
        <v>32831.56</v>
      </c>
      <c r="P62" s="62">
        <f t="shared" si="22"/>
        <v>2.1844660194174758E-2</v>
      </c>
      <c r="Q62" s="49">
        <f t="shared" si="21"/>
        <v>0.45840707964601757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417197331.17479998</v>
      </c>
      <c r="E63" s="40">
        <v>0</v>
      </c>
      <c r="F63" s="41" t="s">
        <v>35</v>
      </c>
      <c r="G63" s="77">
        <v>0.49440000000000001</v>
      </c>
      <c r="H63" s="43">
        <v>0.74550000000000005</v>
      </c>
      <c r="I63" s="43">
        <v>0.74209999999999998</v>
      </c>
      <c r="J63" s="44">
        <f t="shared" si="18"/>
        <v>0.74209999999999998</v>
      </c>
      <c r="K63" s="40">
        <v>0</v>
      </c>
      <c r="L63" s="46">
        <f t="shared" si="19"/>
        <v>-3.4000000000000696E-3</v>
      </c>
      <c r="M63" s="46">
        <f t="shared" si="20"/>
        <v>-0.45606975184440907</v>
      </c>
      <c r="N63" s="47">
        <v>3756</v>
      </c>
      <c r="O63" s="38">
        <v>2787.3</v>
      </c>
      <c r="P63" s="48">
        <f t="shared" si="22"/>
        <v>1.6709338364101874E-2</v>
      </c>
      <c r="Q63" s="49">
        <f t="shared" si="21"/>
        <v>0.50101132686084138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15678412.113</v>
      </c>
      <c r="E65" s="40">
        <v>0</v>
      </c>
      <c r="F65" s="41" t="s">
        <v>49</v>
      </c>
      <c r="G65" s="77">
        <v>4.2999999999999997E-2</v>
      </c>
      <c r="H65" s="43">
        <v>4.5499999999999999E-2</v>
      </c>
      <c r="I65" s="43">
        <v>4.5499999999999999E-2</v>
      </c>
      <c r="J65" s="44">
        <f t="shared" si="18"/>
        <v>4.5499999999999999E-2</v>
      </c>
      <c r="K65" s="40">
        <v>0</v>
      </c>
      <c r="L65" s="46">
        <f t="shared" si="19"/>
        <v>0</v>
      </c>
      <c r="M65" s="46">
        <f t="shared" si="20"/>
        <v>0</v>
      </c>
      <c r="N65" s="47">
        <v>100</v>
      </c>
      <c r="O65" s="38">
        <v>4.55</v>
      </c>
      <c r="P65" s="41">
        <f t="shared" si="22"/>
        <v>0</v>
      </c>
      <c r="Q65" s="49">
        <f t="shared" si="21"/>
        <v>5.8139534883721034E-2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1010959</v>
      </c>
      <c r="O66" s="69">
        <f>SUM(O52:O65)</f>
        <v>198541.90999999997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50148211.32</v>
      </c>
      <c r="E71" s="97">
        <f>C71*K71</f>
        <v>50148211.32</v>
      </c>
      <c r="F71" s="95" t="s">
        <v>173</v>
      </c>
      <c r="G71" s="95">
        <v>0.24</v>
      </c>
      <c r="H71" s="98">
        <v>0.36</v>
      </c>
      <c r="I71" s="98">
        <v>0.36</v>
      </c>
      <c r="J71" s="99">
        <f>I71</f>
        <v>0.36</v>
      </c>
      <c r="K71" s="99">
        <f>J71</f>
        <v>0.36</v>
      </c>
      <c r="L71" s="100">
        <f>I71-H71</f>
        <v>0</v>
      </c>
      <c r="M71" s="100">
        <f>((I71-H71)/H71)*100</f>
        <v>0</v>
      </c>
      <c r="N71" s="101">
        <v>400</v>
      </c>
      <c r="O71" s="102">
        <v>144</v>
      </c>
      <c r="P71" s="103">
        <v>0</v>
      </c>
      <c r="Q71" s="104">
        <f>J71/G71-1</f>
        <v>0.5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70702762.5</v>
      </c>
      <c r="E72" s="97">
        <f>C72*K72</f>
        <v>70702762.5</v>
      </c>
      <c r="F72" s="95" t="s">
        <v>173</v>
      </c>
      <c r="G72" s="95">
        <v>0.1</v>
      </c>
      <c r="H72" s="98">
        <v>0.14069999999999999</v>
      </c>
      <c r="I72" s="98">
        <v>0.15</v>
      </c>
      <c r="J72" s="99">
        <f>I72</f>
        <v>0.15</v>
      </c>
      <c r="K72" s="99">
        <f>J72</f>
        <v>0.15</v>
      </c>
      <c r="L72" s="100">
        <f>I72-H72</f>
        <v>9.3000000000000027E-3</v>
      </c>
      <c r="M72" s="100">
        <f>((I72-H72)/H72)*100</f>
        <v>6.6098081023454185</v>
      </c>
      <c r="N72" s="47">
        <v>270</v>
      </c>
      <c r="O72" s="102">
        <v>40.5</v>
      </c>
      <c r="P72" s="103">
        <v>0</v>
      </c>
      <c r="Q72" s="104">
        <f>J72/G72-1</f>
        <v>0.49999999999999978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670</v>
      </c>
      <c r="O73" s="69">
        <f>SUM(O71:O72)</f>
        <v>184.5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108980.37161461732</v>
      </c>
      <c r="E75" s="40">
        <f>C75*K75</f>
        <v>91882.441112000015</v>
      </c>
      <c r="F75" s="41" t="s">
        <v>155</v>
      </c>
      <c r="G75" s="77">
        <v>0.105</v>
      </c>
      <c r="H75" s="43">
        <v>6.0720000000000003E-2</v>
      </c>
      <c r="I75" s="43">
        <v>6.0720000000000003E-2</v>
      </c>
      <c r="J75" s="44">
        <f>I75/$J$5</f>
        <v>2.400635741480946E-3</v>
      </c>
      <c r="K75" s="45">
        <f>I75/$K$4</f>
        <v>2.0240000000000002E-3</v>
      </c>
      <c r="L75" s="46">
        <f>I75-H75</f>
        <v>0</v>
      </c>
      <c r="M75" s="111">
        <f>((I75-H75)/H75)*100</f>
        <v>0</v>
      </c>
      <c r="N75" s="38">
        <v>0</v>
      </c>
      <c r="O75" s="38">
        <v>0</v>
      </c>
      <c r="P75" s="41">
        <v>0</v>
      </c>
      <c r="Q75" s="49">
        <f>I75/G75-1</f>
        <v>-0.42171428571428571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430665.99297047051</v>
      </c>
      <c r="E76" s="40">
        <f>C76*K76</f>
        <v>363098.80533333332</v>
      </c>
      <c r="F76" s="41" t="s">
        <v>155</v>
      </c>
      <c r="G76" s="77">
        <v>4.2500000000000003E-2</v>
      </c>
      <c r="H76" s="43">
        <v>0.08</v>
      </c>
      <c r="I76" s="43">
        <v>0.08</v>
      </c>
      <c r="J76" s="44">
        <f>I76/$J$5</f>
        <v>3.1628929400275966E-3</v>
      </c>
      <c r="K76" s="45">
        <f>I76/$K$4</f>
        <v>2.6666666666666666E-3</v>
      </c>
      <c r="L76" s="46">
        <f>I76-H76</f>
        <v>0</v>
      </c>
      <c r="M76" s="111">
        <f>((I76-H76)/H76)*100</f>
        <v>0</v>
      </c>
      <c r="N76" s="38">
        <v>24500</v>
      </c>
      <c r="O76" s="38">
        <v>1960</v>
      </c>
      <c r="P76" s="41">
        <v>0</v>
      </c>
      <c r="Q76" s="49">
        <f>I76/G76-1</f>
        <v>0.88235294117647056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1322711.6353263515</v>
      </c>
      <c r="E77" s="40">
        <f>C77*K77</f>
        <v>1115191.40686</v>
      </c>
      <c r="F77" s="41" t="s">
        <v>155</v>
      </c>
      <c r="G77" s="77">
        <v>6.0499999999999998E-2</v>
      </c>
      <c r="H77" s="43">
        <v>6.7667000000000005E-2</v>
      </c>
      <c r="I77" s="43">
        <v>6.7667000000000005E-2</v>
      </c>
      <c r="J77" s="44">
        <f>I77/$J$5</f>
        <v>2.6752934571605924E-3</v>
      </c>
      <c r="K77" s="45">
        <f>I77/$K$4</f>
        <v>2.2555666666666668E-3</v>
      </c>
      <c r="L77" s="46">
        <f>I77-H77</f>
        <v>0</v>
      </c>
      <c r="M77" s="111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0.11846280991735547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2880844.7744999668</v>
      </c>
      <c r="E78" s="40">
        <f>C78*K78</f>
        <v>2428869.0378286666</v>
      </c>
      <c r="F78" s="41" t="s">
        <v>155</v>
      </c>
      <c r="G78" s="77">
        <v>1.85</v>
      </c>
      <c r="H78" s="43">
        <v>1.7704550000000001</v>
      </c>
      <c r="I78" s="43">
        <v>1.7704550000000001</v>
      </c>
      <c r="J78" s="44">
        <f>I78/$J$5</f>
        <v>6.9996995251706981E-2</v>
      </c>
      <c r="K78" s="45">
        <f>I78/$K$4</f>
        <v>5.9015166666666667E-2</v>
      </c>
      <c r="L78" s="46">
        <f>I78-H78</f>
        <v>0</v>
      </c>
      <c r="M78" s="111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-4.2997297297297288E-2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24500</v>
      </c>
      <c r="O79" s="69">
        <f>SUM(O75:O78)</f>
        <v>1960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30726254.574926957</v>
      </c>
      <c r="E81" s="40">
        <f>C81*K81</f>
        <v>25905612.494666666</v>
      </c>
      <c r="F81" s="41" t="s">
        <v>188</v>
      </c>
      <c r="G81" s="41">
        <v>1.3</v>
      </c>
      <c r="H81" s="43">
        <v>1.84</v>
      </c>
      <c r="I81" s="43">
        <v>2.11</v>
      </c>
      <c r="J81" s="44">
        <f>I81/$J$5</f>
        <v>8.3421301293227848E-2</v>
      </c>
      <c r="K81" s="45">
        <f>I81/$K$4</f>
        <v>7.0333333333333331E-2</v>
      </c>
      <c r="L81" s="46">
        <f>I81-H81</f>
        <v>0.2699999999999998</v>
      </c>
      <c r="M81" s="46">
        <f>((I81-H81)/H81*100)</f>
        <v>14.673913043478247</v>
      </c>
      <c r="N81" s="120">
        <v>200</v>
      </c>
      <c r="O81" s="38">
        <v>422</v>
      </c>
      <c r="P81" s="55">
        <f>(R81)/J81</f>
        <v>0</v>
      </c>
      <c r="Q81" s="49">
        <f>I81/G81-1</f>
        <v>0.62307692307692286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82674045.79177095</v>
      </c>
      <c r="E82" s="40">
        <f>C82*K82</f>
        <v>69703314.747500002</v>
      </c>
      <c r="F82" s="41" t="s">
        <v>188</v>
      </c>
      <c r="G82" s="41">
        <v>1.44347</v>
      </c>
      <c r="H82" s="43">
        <v>1.149983</v>
      </c>
      <c r="I82" s="43">
        <v>1.135785</v>
      </c>
      <c r="J82" s="44">
        <f>I82/$J$5</f>
        <v>4.490457947361555E-2</v>
      </c>
      <c r="K82" s="45">
        <f>I82/$K$4</f>
        <v>3.7859500000000004E-2</v>
      </c>
      <c r="L82" s="46">
        <f>I82-H82</f>
        <v>-1.4197999999999933E-2</v>
      </c>
      <c r="M82" s="46">
        <f>((I82-H82)/H82*100)</f>
        <v>-1.2346269466592057</v>
      </c>
      <c r="N82" s="121">
        <v>236550</v>
      </c>
      <c r="O82" s="38">
        <v>268672</v>
      </c>
      <c r="P82" s="48">
        <f>(R82)/J82</f>
        <v>4.2378751172096822E-2</v>
      </c>
      <c r="Q82" s="49">
        <f>I82/G82-1</f>
        <v>-0.21315649095582168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236750</v>
      </c>
      <c r="O83" s="69">
        <f>SUM(O81:O82)</f>
        <v>269094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55</v>
      </c>
      <c r="B86" s="130">
        <v>6.19</v>
      </c>
      <c r="C86" s="130"/>
      <c r="D86" s="130">
        <v>14.842300556586284</v>
      </c>
      <c r="E86" s="36" t="s">
        <v>85</v>
      </c>
      <c r="F86" s="131">
        <v>1.180083</v>
      </c>
      <c r="G86" s="131"/>
      <c r="H86" s="132">
        <v>-7.7699882766705812</v>
      </c>
      <c r="L86" s="36" t="s">
        <v>157</v>
      </c>
      <c r="M86" s="130">
        <v>0.3296</v>
      </c>
      <c r="N86" s="133">
        <v>17.295373665480419</v>
      </c>
      <c r="O86" s="36" t="s">
        <v>151</v>
      </c>
      <c r="P86" s="131">
        <v>5.2400000000000002E-2</v>
      </c>
      <c r="Q86" s="132">
        <v>-12.811980033277868</v>
      </c>
    </row>
    <row r="87" spans="1:44" x14ac:dyDescent="0.25">
      <c r="A87" s="36" t="s">
        <v>69</v>
      </c>
      <c r="B87" s="130">
        <v>0.52</v>
      </c>
      <c r="C87" s="130"/>
      <c r="D87" s="130">
        <v>13.043478260869565</v>
      </c>
      <c r="E87" s="36" t="s">
        <v>50</v>
      </c>
      <c r="F87" s="131">
        <v>25.516697000000001</v>
      </c>
      <c r="G87" s="131"/>
      <c r="H87" s="132">
        <v>-2.3067436981224492</v>
      </c>
      <c r="L87" s="36" t="s">
        <v>109</v>
      </c>
      <c r="M87" s="130">
        <v>4.3884999999999996</v>
      </c>
      <c r="N87" s="133">
        <v>3.992890995260661</v>
      </c>
      <c r="O87" s="36" t="s">
        <v>149</v>
      </c>
      <c r="P87" s="131">
        <v>0.1502</v>
      </c>
      <c r="Q87" s="132">
        <v>-2.7831715210355976</v>
      </c>
    </row>
    <row r="88" spans="1:44" x14ac:dyDescent="0.25">
      <c r="A88" s="36" t="s">
        <v>110</v>
      </c>
      <c r="B88" s="130">
        <v>4.3</v>
      </c>
      <c r="C88" s="130"/>
      <c r="D88" s="130">
        <v>8.585858585858583</v>
      </c>
      <c r="E88" s="36" t="s">
        <v>54</v>
      </c>
      <c r="F88" s="131">
        <v>10.058731999999999</v>
      </c>
      <c r="G88" s="131"/>
      <c r="H88" s="132">
        <v>-1.3308090716471865</v>
      </c>
      <c r="L88" s="36" t="s">
        <v>102</v>
      </c>
      <c r="M88" s="130">
        <v>1</v>
      </c>
      <c r="N88" s="133">
        <v>0.71507704703394048</v>
      </c>
      <c r="O88" s="36" t="s">
        <v>145</v>
      </c>
      <c r="P88" s="131">
        <v>9.6100000000000005E-2</v>
      </c>
      <c r="Q88" s="132">
        <v>-2.0387359836901138</v>
      </c>
    </row>
    <row r="89" spans="1:44" x14ac:dyDescent="0.25">
      <c r="A89" s="36" t="s">
        <v>100</v>
      </c>
      <c r="B89" s="130">
        <v>1.28</v>
      </c>
      <c r="C89" s="130"/>
      <c r="D89" s="130">
        <v>3.1218529707955742</v>
      </c>
      <c r="E89" s="36" t="s">
        <v>58</v>
      </c>
      <c r="F89" s="131">
        <v>2.60745</v>
      </c>
      <c r="G89" s="131"/>
      <c r="H89" s="132">
        <v>-1.2329545454545483</v>
      </c>
      <c r="L89" s="36"/>
      <c r="M89" s="130"/>
      <c r="N89" s="133"/>
      <c r="O89" s="36" t="s">
        <v>140</v>
      </c>
      <c r="P89" s="131">
        <v>0.1203</v>
      </c>
      <c r="Q89" s="132">
        <v>-0.57851239669420851</v>
      </c>
    </row>
    <row r="90" spans="1:44" x14ac:dyDescent="0.25">
      <c r="A90" s="36" t="s">
        <v>74</v>
      </c>
      <c r="B90" s="130">
        <v>1.0896999999999999</v>
      </c>
      <c r="C90" s="130"/>
      <c r="D90" s="130">
        <v>0.89814814814813149</v>
      </c>
      <c r="E90" s="36" t="s">
        <v>81</v>
      </c>
      <c r="F90" s="131">
        <v>7.46</v>
      </c>
      <c r="G90" s="131"/>
      <c r="H90" s="132">
        <v>-0.14055284117528291</v>
      </c>
      <c r="L90" s="36"/>
      <c r="M90" s="130"/>
      <c r="N90" s="133"/>
      <c r="O90" s="36" t="s">
        <v>159</v>
      </c>
      <c r="P90" s="131">
        <v>0.74209999999999998</v>
      </c>
      <c r="Q90" s="134">
        <v>-0.45606975184440907</v>
      </c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uL5uXsTC4iPN13gI/xp3XxWLdCJhSz9aAQ+roRbPNOLu09WkeXkAtGOMwBnpwz4ZYziHT+sawjenbA5q0VGTLw==" saltValue="ub5aHcYUrcwJAe8OlvIzig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2026-03-17T13:59:52Z</dcterms:created>
  <dcterms:modified xsi:type="dcterms:W3CDTF">2026-03-17T14:02:29Z</dcterms:modified>
</cp:coreProperties>
</file>