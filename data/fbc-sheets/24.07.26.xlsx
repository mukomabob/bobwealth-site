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ly/24.07.26/"/>
    </mc:Choice>
  </mc:AlternateContent>
  <xr:revisionPtr revIDLastSave="0" documentId="8_{FFD95531-8532-42DF-BC3B-0B1E740730CC}" xr6:coauthVersionLast="47" xr6:coauthVersionMax="47" xr10:uidLastSave="{00000000-0000-0000-0000-000000000000}"/>
  <bookViews>
    <workbookView xWindow="-108" yWindow="-108" windowWidth="23256" windowHeight="12456" xr2:uid="{168CE0F6-E38A-4C54-8355-0F499855143B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E84" i="1" s="1"/>
  <c r="J84" i="1"/>
  <c r="P84" i="1" s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 s="1"/>
  <c r="M74" i="1"/>
  <c r="L74" i="1"/>
  <c r="J74" i="1"/>
  <c r="K74" i="1" s="1"/>
  <c r="E74" i="1" s="1"/>
  <c r="O72" i="1"/>
  <c r="N72" i="1"/>
  <c r="M71" i="1"/>
  <c r="L71" i="1"/>
  <c r="J71" i="1"/>
  <c r="Q71" i="1" s="1"/>
  <c r="D71" i="1"/>
  <c r="M70" i="1"/>
  <c r="L70" i="1"/>
  <c r="J70" i="1"/>
  <c r="P70" i="1" s="1"/>
  <c r="M67" i="1"/>
  <c r="L67" i="1"/>
  <c r="D67" i="1"/>
  <c r="O65" i="1"/>
  <c r="N65" i="1"/>
  <c r="M64" i="1"/>
  <c r="L64" i="1"/>
  <c r="J64" i="1"/>
  <c r="Q64" i="1" s="1"/>
  <c r="M63" i="1"/>
  <c r="L63" i="1"/>
  <c r="J63" i="1"/>
  <c r="P63" i="1" s="1"/>
  <c r="M62" i="1"/>
  <c r="L62" i="1"/>
  <c r="J62" i="1"/>
  <c r="Q62" i="1" s="1"/>
  <c r="M61" i="1"/>
  <c r="L61" i="1"/>
  <c r="J61" i="1"/>
  <c r="Q61" i="1" s="1"/>
  <c r="M60" i="1"/>
  <c r="L60" i="1"/>
  <c r="J60" i="1"/>
  <c r="Q60" i="1" s="1"/>
  <c r="M59" i="1"/>
  <c r="L59" i="1"/>
  <c r="J59" i="1"/>
  <c r="Q59" i="1" s="1"/>
  <c r="D59" i="1"/>
  <c r="M58" i="1"/>
  <c r="L58" i="1"/>
  <c r="J58" i="1"/>
  <c r="Q58" i="1" s="1"/>
  <c r="M57" i="1"/>
  <c r="L57" i="1"/>
  <c r="J57" i="1"/>
  <c r="Q57" i="1" s="1"/>
  <c r="D57" i="1"/>
  <c r="M56" i="1"/>
  <c r="L56" i="1"/>
  <c r="J56" i="1"/>
  <c r="Q56" i="1" s="1"/>
  <c r="M55" i="1"/>
  <c r="L55" i="1"/>
  <c r="J55" i="1"/>
  <c r="Q55" i="1" s="1"/>
  <c r="M54" i="1"/>
  <c r="L54" i="1"/>
  <c r="J54" i="1"/>
  <c r="Q54" i="1" s="1"/>
  <c r="M53" i="1"/>
  <c r="L53" i="1"/>
  <c r="J53" i="1"/>
  <c r="Q53" i="1" s="1"/>
  <c r="M52" i="1"/>
  <c r="L52" i="1"/>
  <c r="J52" i="1"/>
  <c r="Q52" i="1" s="1"/>
  <c r="M51" i="1"/>
  <c r="L51" i="1"/>
  <c r="J51" i="1"/>
  <c r="D51" i="1" s="1"/>
  <c r="M50" i="1"/>
  <c r="L50" i="1"/>
  <c r="J50" i="1"/>
  <c r="P50" i="1" s="1"/>
  <c r="O47" i="1"/>
  <c r="N47" i="1"/>
  <c r="Q46" i="1"/>
  <c r="M46" i="1"/>
  <c r="L46" i="1"/>
  <c r="K46" i="1"/>
  <c r="E46" i="1" s="1"/>
  <c r="J46" i="1"/>
  <c r="D46" i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D42" i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J38" i="1"/>
  <c r="D38" i="1" s="1"/>
  <c r="E38" i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Q25" i="1"/>
  <c r="M25" i="1"/>
  <c r="L25" i="1"/>
  <c r="K25" i="1"/>
  <c r="E25" i="1" s="1"/>
  <c r="J25" i="1"/>
  <c r="P25" i="1" s="1"/>
  <c r="R24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P15" i="1" s="1"/>
  <c r="D15" i="1"/>
  <c r="Q14" i="1"/>
  <c r="M14" i="1"/>
  <c r="L14" i="1"/>
  <c r="K14" i="1"/>
  <c r="E14" i="1" s="1"/>
  <c r="J14" i="1"/>
  <c r="D14" i="1" s="1"/>
  <c r="Q13" i="1"/>
  <c r="M13" i="1"/>
  <c r="L13" i="1"/>
  <c r="K13" i="1"/>
  <c r="E13" i="1" s="1"/>
  <c r="J13" i="1"/>
  <c r="P13" i="1" s="1"/>
  <c r="Q12" i="1"/>
  <c r="M12" i="1"/>
  <c r="L12" i="1"/>
  <c r="K12" i="1"/>
  <c r="J12" i="1"/>
  <c r="P12" i="1" s="1"/>
  <c r="E12" i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P10" i="1" s="1"/>
  <c r="D10" i="1"/>
  <c r="Q9" i="1"/>
  <c r="M9" i="1"/>
  <c r="L9" i="1"/>
  <c r="K9" i="1"/>
  <c r="E9" i="1" s="1"/>
  <c r="J9" i="1"/>
  <c r="P9" i="1" s="1"/>
  <c r="D43" i="1" l="1"/>
  <c r="D61" i="1"/>
  <c r="Q63" i="1"/>
  <c r="D34" i="1"/>
  <c r="D45" i="1"/>
  <c r="P33" i="1"/>
  <c r="P51" i="1"/>
  <c r="K71" i="1"/>
  <c r="E71" i="1" s="1"/>
  <c r="Q51" i="1"/>
  <c r="D12" i="1"/>
  <c r="D39" i="1"/>
  <c r="D53" i="1"/>
  <c r="D74" i="1"/>
  <c r="P11" i="1"/>
  <c r="P56" i="1"/>
  <c r="P61" i="1"/>
  <c r="P24" i="1"/>
  <c r="D25" i="1"/>
  <c r="P21" i="1"/>
  <c r="P28" i="1"/>
  <c r="P37" i="1"/>
  <c r="D55" i="1"/>
  <c r="P59" i="1"/>
  <c r="P64" i="1"/>
  <c r="P57" i="1"/>
  <c r="D40" i="1"/>
  <c r="P62" i="1"/>
  <c r="Q74" i="1"/>
  <c r="P54" i="1"/>
  <c r="P19" i="1"/>
  <c r="D9" i="1"/>
  <c r="P27" i="1"/>
  <c r="P36" i="1"/>
  <c r="P55" i="1"/>
  <c r="D63" i="1"/>
  <c r="P71" i="1"/>
  <c r="P74" i="1"/>
  <c r="P53" i="1"/>
  <c r="P60" i="1"/>
  <c r="P14" i="1"/>
  <c r="P17" i="1"/>
  <c r="D13" i="1"/>
  <c r="D54" i="1"/>
  <c r="P58" i="1"/>
  <c r="K70" i="1"/>
  <c r="E70" i="1" s="1"/>
  <c r="D70" i="1"/>
  <c r="D23" i="1"/>
  <c r="D41" i="1"/>
  <c r="D44" i="1"/>
  <c r="D56" i="1"/>
  <c r="D58" i="1"/>
  <c r="D60" i="1"/>
  <c r="D62" i="1"/>
  <c r="D64" i="1"/>
  <c r="D20" i="1"/>
  <c r="D26" i="1"/>
  <c r="D29" i="1"/>
  <c r="D32" i="1"/>
  <c r="D35" i="1"/>
  <c r="D50" i="1"/>
  <c r="D52" i="1"/>
  <c r="Q50" i="1"/>
  <c r="Q70" i="1"/>
</calcChain>
</file>

<file path=xl/sharedStrings.xml><?xml version="1.0" encoding="utf-8"?>
<sst xmlns="http://schemas.openxmlformats.org/spreadsheetml/2006/main" count="266" uniqueCount="183">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</sst>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7C6F9790-6BFD-4DD3-BF29-90CCF228AFB7}"/>
    <cellStyle name="Comma 5 2 2 2 2 2 2 2 2" xfId="5" xr:uid="{BE9A6B6F-EEAF-421F-A062-B0849B15D859}"/>
    <cellStyle name="Comma 6 2 2 2" xfId="6" xr:uid="{80C0C4EE-8132-4511-8B2A-E26E2BE1D60A}"/>
    <cellStyle name="Hyperlink 2" xfId="9" xr:uid="{DF55718C-D945-4D58-AF1E-E71A72C08A5F}"/>
    <cellStyle name="Normal" xfId="0" builtinId="0"/>
    <cellStyle name="Normal 2" xfId="3" xr:uid="{207367A6-D850-4334-B2E9-DB5CF1DE3D29}"/>
    <cellStyle name="Normal 20" xfId="8" xr:uid="{E6D63191-F7AD-41F3-85F0-7354B616C7E5}"/>
    <cellStyle name="Percent" xfId="2" builtinId="5"/>
    <cellStyle name="Percent 3" xfId="7" xr:uid="{0121F415-F80D-466D-BB37-ECEEBD3F32D0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5D595F8-8E62-455F-95B9-AD2CC84D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00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7</xdr:col>
      <xdr:colOff>10886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B3C98E3-B406-4524-9F07-921873BD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198327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D09E-1A8B-4B73-9788-9C25CD3A5F7A}">
  <dimension ref="A1:II106"/>
  <sheetViews>
    <sheetView tabSelected="1" zoomScale="70" zoomScaleNormal="70" workbookViewId="0">
      <selection activeCell="T28" sqref="T28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7.77734375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26.650300000000001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>C9*J9</f>
        <v>74721265.284068108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0.59286387020033549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2.5300917721518986E-2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4573754.5192924654</v>
      </c>
      <c r="E10" s="39">
        <f>C10*K10</f>
        <v>3869585.0814444451</v>
      </c>
      <c r="F10" s="40" t="s">
        <v>34</v>
      </c>
      <c r="G10" s="41">
        <v>3.1600000000000003E-2</v>
      </c>
      <c r="H10" s="42">
        <v>7.0194000000000006E-2</v>
      </c>
      <c r="I10" s="43">
        <v>7.4900000000000008E-2</v>
      </c>
      <c r="J10" s="44">
        <f>I10/$J$5</f>
        <v>2.8104749289876662E-3</v>
      </c>
      <c r="K10" s="45">
        <f>I10/$K$4</f>
        <v>2.3777777777777781E-3</v>
      </c>
      <c r="L10" s="46">
        <f>I10-H10</f>
        <v>4.7060000000000018E-3</v>
      </c>
      <c r="M10" s="46">
        <f>((I10-H10)/H10)*100</f>
        <v>6.7042767188078773</v>
      </c>
      <c r="N10" s="47">
        <v>5900</v>
      </c>
      <c r="O10" s="37">
        <v>441.91</v>
      </c>
      <c r="P10" s="51">
        <f>(R10)/J10</f>
        <v>0</v>
      </c>
      <c r="Q10" s="49">
        <f>I10/G10-1</f>
        <v>1.3702531645569622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3603063.2225054498</v>
      </c>
      <c r="E11" s="39">
        <f>C11*K11</f>
        <v>3048340.1840868886</v>
      </c>
      <c r="F11" s="40" t="s">
        <v>39</v>
      </c>
      <c r="G11" s="41">
        <v>7.8E-2</v>
      </c>
      <c r="H11" s="42">
        <v>0.22</v>
      </c>
      <c r="I11" s="43">
        <v>0.21974299999999999</v>
      </c>
      <c r="J11" s="44">
        <f>I11/$J$5</f>
        <v>8.2454231284450827E-3</v>
      </c>
      <c r="K11" s="45">
        <f>I11/$K$4</f>
        <v>6.9759682539682535E-3</v>
      </c>
      <c r="L11" s="46">
        <f>I11-H11</f>
        <v>-2.5700000000000722E-4</v>
      </c>
      <c r="M11" s="46">
        <f>((I11-H11)/H11)*100</f>
        <v>-0.1168181818181851</v>
      </c>
      <c r="N11" s="47">
        <v>7600</v>
      </c>
      <c r="O11" s="37">
        <v>1670.05</v>
      </c>
      <c r="P11" s="51">
        <f>(R11)/J11</f>
        <v>0</v>
      </c>
      <c r="Q11" s="49">
        <f>I11/G11-1</f>
        <v>1.8172179487179485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147025896.32323089</v>
      </c>
      <c r="E12" s="39">
        <f>C12*K12</f>
        <v>124389976.02485715</v>
      </c>
      <c r="F12" s="40" t="s">
        <v>34</v>
      </c>
      <c r="G12" s="41">
        <v>97.381</v>
      </c>
      <c r="H12" s="42">
        <v>189.899</v>
      </c>
      <c r="I12" s="43">
        <v>189.899</v>
      </c>
      <c r="J12" s="44">
        <f>I12/$J$5</f>
        <v>7.1255858283021203</v>
      </c>
      <c r="K12" s="45">
        <f>I12/$K$4</f>
        <v>6.0285396825396829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0.95006212710898441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6227586.6312949574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0.71293756543078313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772971872.18524814</v>
      </c>
      <c r="E14" s="39">
        <f>C14*K14</f>
        <v>653966104.29519117</v>
      </c>
      <c r="F14" s="40" t="s">
        <v>47</v>
      </c>
      <c r="G14" s="41">
        <v>11.5</v>
      </c>
      <c r="H14" s="42">
        <v>37.333332999999996</v>
      </c>
      <c r="I14" s="43">
        <v>39.413527999999999</v>
      </c>
      <c r="J14" s="44">
        <f>I14/$J$5</f>
        <v>1.4789149840714737</v>
      </c>
      <c r="K14" s="45">
        <f>I14/$K$4</f>
        <v>1.2512231111111112</v>
      </c>
      <c r="L14" s="46">
        <f>I14-H14</f>
        <v>2.0801950000000033</v>
      </c>
      <c r="M14" s="46">
        <f>((I14-H14)/H14)*100</f>
        <v>5.5719509426067146</v>
      </c>
      <c r="N14" s="47">
        <v>75400</v>
      </c>
      <c r="O14" s="37">
        <v>2971780</v>
      </c>
      <c r="P14" s="51">
        <f>(R14)/J14</f>
        <v>0</v>
      </c>
      <c r="Q14" s="49">
        <f>I14/G14-1</f>
        <v>2.427263304347826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23873849.450099997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0.2251381785570894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80599661.091995209</v>
      </c>
      <c r="E16" s="39">
        <f>C16*K16</f>
        <v>68190639.619047612</v>
      </c>
      <c r="F16" s="40" t="s">
        <v>34</v>
      </c>
      <c r="G16" s="41">
        <v>1.9</v>
      </c>
      <c r="H16" s="42">
        <v>6</v>
      </c>
      <c r="I16" s="43">
        <v>6</v>
      </c>
      <c r="J16" s="44">
        <f>I16/$J$5</f>
        <v>0.2251381785570894</v>
      </c>
      <c r="K16" s="45">
        <f>I16/$K$4</f>
        <v>0.19047619047619047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2.1578947368421053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1618352070.2341335</v>
      </c>
      <c r="E17" s="39">
        <f>C17*K17</f>
        <v>1369192640.5511343</v>
      </c>
      <c r="F17" s="40" t="s">
        <v>34</v>
      </c>
      <c r="G17" s="41">
        <v>20.701700000000002</v>
      </c>
      <c r="H17" s="42">
        <v>31.956437999999999</v>
      </c>
      <c r="I17" s="43">
        <v>32.000855000000001</v>
      </c>
      <c r="J17" s="44">
        <f>I17/$J$5</f>
        <v>1.2007690344949213</v>
      </c>
      <c r="K17" s="45">
        <f>I17/$K$4</f>
        <v>1.0159001587301588</v>
      </c>
      <c r="L17" s="46">
        <f>I17-H17</f>
        <v>4.4417000000002815E-2</v>
      </c>
      <c r="M17" s="46">
        <f>((I17-H17)/H17)*100</f>
        <v>0.13899233700577898</v>
      </c>
      <c r="N17" s="47">
        <v>23400</v>
      </c>
      <c r="O17" s="37">
        <v>748820</v>
      </c>
      <c r="P17" s="48">
        <f>(R17)/J17</f>
        <v>4.16399811817528E-2</v>
      </c>
      <c r="Q17" s="49">
        <f>I17/G17-1</f>
        <v>0.54580807373307505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274828208.47420102</v>
      </c>
      <c r="E19" s="39">
        <f>C19*K19</f>
        <v>232516006.48571429</v>
      </c>
      <c r="F19" s="40" t="s">
        <v>47</v>
      </c>
      <c r="G19" s="41">
        <v>12.45</v>
      </c>
      <c r="H19" s="42">
        <v>10.881578999999999</v>
      </c>
      <c r="I19" s="43">
        <v>10.9</v>
      </c>
      <c r="J19" s="44">
        <f>I19/$J$5</f>
        <v>0.40900102437871244</v>
      </c>
      <c r="K19" s="45">
        <f>I19/$K$4</f>
        <v>0.34603174603174602</v>
      </c>
      <c r="L19" s="46">
        <f>I19-H19</f>
        <v>1.8421000000001797E-2</v>
      </c>
      <c r="M19" s="46">
        <f>((I19-H19)/H19)*100</f>
        <v>0.16928609349802817</v>
      </c>
      <c r="N19" s="47">
        <v>1200</v>
      </c>
      <c r="O19" s="37">
        <v>13080</v>
      </c>
      <c r="P19" s="51">
        <f>(R19)/J19</f>
        <v>0</v>
      </c>
      <c r="Q19" s="49">
        <f>I19/G19-1</f>
        <v>-0.12449799196787137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2860992.3227881109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2.6266120831660428E-2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82932768.098295331</v>
      </c>
      <c r="E21" s="39">
        <f>C21*K21</f>
        <v>70164544.433333337</v>
      </c>
      <c r="F21" s="40" t="s">
        <v>47</v>
      </c>
      <c r="G21" s="41">
        <v>2.85</v>
      </c>
      <c r="H21" s="42">
        <v>3.2485000000000004</v>
      </c>
      <c r="I21" s="43">
        <v>3.2025000000000001</v>
      </c>
      <c r="J21" s="44">
        <f>I21/$J$5</f>
        <v>0.12016750280484648</v>
      </c>
      <c r="K21" s="45">
        <f>I21/$K$4</f>
        <v>0.10166666666666667</v>
      </c>
      <c r="L21" s="46">
        <f>I21-H21</f>
        <v>-4.6000000000000263E-2</v>
      </c>
      <c r="M21" s="46">
        <f>((I21-H21)/H21)*100</f>
        <v>-1.4160381714637604</v>
      </c>
      <c r="N21" s="47">
        <v>200</v>
      </c>
      <c r="O21" s="37">
        <v>640.5</v>
      </c>
      <c r="P21" s="51">
        <f>(R21)/J21</f>
        <v>0</v>
      </c>
      <c r="Q21" s="49">
        <f>I21/G21-1</f>
        <v>0.12368421052631584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2214787.3956390736</v>
      </c>
      <c r="E23" s="39">
        <f>C23*K23</f>
        <v>1873801.5406349206</v>
      </c>
      <c r="F23" s="40" t="s">
        <v>44</v>
      </c>
      <c r="G23" s="41">
        <v>0.1</v>
      </c>
      <c r="H23" s="42">
        <v>0.1235</v>
      </c>
      <c r="I23" s="43">
        <v>0.11</v>
      </c>
      <c r="J23" s="44">
        <f>I23/$J$5</f>
        <v>4.1275332735466394E-3</v>
      </c>
      <c r="K23" s="45">
        <f>I23/$K$4</f>
        <v>3.4920634920634921E-3</v>
      </c>
      <c r="L23" s="46">
        <f>I23-H23</f>
        <v>-1.3499999999999998E-2</v>
      </c>
      <c r="M23" s="46">
        <f>((I23-H23)/H23)*100</f>
        <v>-10.931174089068826</v>
      </c>
      <c r="N23" s="47">
        <v>400</v>
      </c>
      <c r="O23" s="37">
        <v>44</v>
      </c>
      <c r="P23" s="51">
        <f>(R23)/J23</f>
        <v>0</v>
      </c>
      <c r="Q23" s="49">
        <f>I23/G23-1</f>
        <v>9.9999999999999867E-2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86766800.52557306</v>
      </c>
      <c r="E24" s="39">
        <f>C24*K24</f>
        <v>73408294.096719995</v>
      </c>
      <c r="F24" s="40" t="s">
        <v>34</v>
      </c>
      <c r="G24" s="41">
        <v>8.1687659999999997</v>
      </c>
      <c r="H24" s="42">
        <v>11</v>
      </c>
      <c r="I24" s="43">
        <v>11.97987</v>
      </c>
      <c r="J24" s="44">
        <f>I24/$J$5</f>
        <v>0.44952101852511978</v>
      </c>
      <c r="K24" s="45">
        <f>I24/$K$4</f>
        <v>0.38031333333333334</v>
      </c>
      <c r="L24" s="46">
        <f>I24-H24</f>
        <v>0.97987000000000002</v>
      </c>
      <c r="M24" s="46">
        <f>((I24-H24)/H24)*100</f>
        <v>8.9079090909090919</v>
      </c>
      <c r="N24" s="47">
        <v>254600</v>
      </c>
      <c r="O24" s="37">
        <v>3050075</v>
      </c>
      <c r="P24" s="48">
        <f>(R24)/J24</f>
        <v>3.336885124796847E-2</v>
      </c>
      <c r="Q24" s="49">
        <f>I24/G24-1</f>
        <v>0.46654586506701268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120314203.48363806</v>
      </c>
      <c r="E25" s="39">
        <f>C25*K25</f>
        <v>101790781.49523808</v>
      </c>
      <c r="F25" s="40" t="s">
        <v>66</v>
      </c>
      <c r="G25" s="41">
        <v>1.6675</v>
      </c>
      <c r="H25" s="42">
        <v>1.9</v>
      </c>
      <c r="I25" s="43">
        <v>1.9</v>
      </c>
      <c r="J25" s="44">
        <f>I25/$J$5</f>
        <v>7.1293756543078304E-2</v>
      </c>
      <c r="K25" s="45">
        <f>I25/$K$4</f>
        <v>6.0317460317460311E-2</v>
      </c>
      <c r="L25" s="46">
        <f>I25-H25</f>
        <v>0</v>
      </c>
      <c r="M25" s="46">
        <f>((I25-H25)/H25)*100</f>
        <v>0</v>
      </c>
      <c r="N25" s="47">
        <v>100</v>
      </c>
      <c r="O25" s="37">
        <v>190</v>
      </c>
      <c r="P25" s="51">
        <f>(R25)/J25</f>
        <v>0</v>
      </c>
      <c r="Q25" s="49">
        <f>I25/G25-1</f>
        <v>0.13943028485757125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25151187.776497822</v>
      </c>
      <c r="E26" s="39">
        <f>C26*K26</f>
        <v>21278942.844444443</v>
      </c>
      <c r="F26" s="40" t="s">
        <v>44</v>
      </c>
      <c r="G26" s="41">
        <v>1.7994999999999999</v>
      </c>
      <c r="H26" s="42">
        <v>2.75</v>
      </c>
      <c r="I26" s="43">
        <v>2.8</v>
      </c>
      <c r="J26" s="44">
        <f>I26/$J$5</f>
        <v>0.10506448332664171</v>
      </c>
      <c r="K26" s="45">
        <f>I26/$K$4</f>
        <v>8.8888888888888878E-2</v>
      </c>
      <c r="L26" s="46">
        <f>I26-H26</f>
        <v>4.9999999999999822E-2</v>
      </c>
      <c r="M26" s="46">
        <f>((I26-H26)/H26)*100</f>
        <v>1.8181818181818119</v>
      </c>
      <c r="N26" s="47">
        <v>5500</v>
      </c>
      <c r="O26" s="37">
        <v>15400</v>
      </c>
      <c r="P26" s="51">
        <f>(R26)/J26</f>
        <v>0</v>
      </c>
      <c r="Q26" s="49">
        <f>I26/G26-1</f>
        <v>0.55598777438177271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24990034.881408464</v>
      </c>
      <c r="E27" s="39">
        <f>C27*K27</f>
        <v>21142600.844444443</v>
      </c>
      <c r="F27" s="40" t="s">
        <v>34</v>
      </c>
      <c r="G27" s="41">
        <v>3.1361369999999997</v>
      </c>
      <c r="H27" s="42">
        <v>2.6</v>
      </c>
      <c r="I27" s="43">
        <v>2.6</v>
      </c>
      <c r="J27" s="44">
        <f>I27/$J$5</f>
        <v>9.7559877374738743E-2</v>
      </c>
      <c r="K27" s="45">
        <f>I27/$K$4</f>
        <v>8.2539682539682538E-2</v>
      </c>
      <c r="L27" s="46">
        <f>I27-H27</f>
        <v>0</v>
      </c>
      <c r="M27" s="46">
        <f>((I27-H27)/H27)*100</f>
        <v>0</v>
      </c>
      <c r="N27" s="47">
        <v>300</v>
      </c>
      <c r="O27" s="37">
        <v>780</v>
      </c>
      <c r="P27" s="51">
        <f>(R27)/J27</f>
        <v>0</v>
      </c>
      <c r="Q27" s="49">
        <f>I27/G27-1</f>
        <v>-0.17095458521104134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23723028.62329381</v>
      </c>
      <c r="E28" s="39">
        <f>C28*K28</f>
        <v>20070661.260932285</v>
      </c>
      <c r="F28" s="40" t="s">
        <v>44</v>
      </c>
      <c r="G28" s="41">
        <v>0.8</v>
      </c>
      <c r="H28" s="42">
        <v>0.9</v>
      </c>
      <c r="I28" s="43">
        <v>0.83666700000000005</v>
      </c>
      <c r="J28" s="44">
        <f>I28/$J$5</f>
        <v>3.1394280739804055E-2</v>
      </c>
      <c r="K28" s="45">
        <f>I28/$K$4</f>
        <v>2.6560857142857143E-2</v>
      </c>
      <c r="L28" s="46">
        <f>I28-H28</f>
        <v>-6.3332999999999973E-2</v>
      </c>
      <c r="M28" s="46">
        <f>((I28-H28)/H28)*100</f>
        <v>-7.0369999999999973</v>
      </c>
      <c r="N28" s="47">
        <v>300</v>
      </c>
      <c r="O28" s="37">
        <v>251</v>
      </c>
      <c r="P28" s="51">
        <f>(R28)/J28</f>
        <v>0</v>
      </c>
      <c r="Q28" s="49">
        <f>I28/G28-1</f>
        <v>4.5833749999999895E-2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94375142.52372393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0.21012896665328343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13651357.695785787</v>
      </c>
      <c r="E32" s="39">
        <f>C32*K32</f>
        <v>11549611.999999998</v>
      </c>
      <c r="F32" s="40" t="s">
        <v>39</v>
      </c>
      <c r="G32" s="41">
        <v>1.4</v>
      </c>
      <c r="H32" s="42">
        <v>1.4297569999999999</v>
      </c>
      <c r="I32" s="43">
        <v>1.4</v>
      </c>
      <c r="J32" s="44">
        <f>I32/$J$5</f>
        <v>5.2532241663320857E-2</v>
      </c>
      <c r="K32" s="45">
        <f>I32/$K$4</f>
        <v>4.4444444444444439E-2</v>
      </c>
      <c r="L32" s="46">
        <f>I32-H32</f>
        <v>-2.9757000000000033E-2</v>
      </c>
      <c r="M32" s="46">
        <f>((I32-H32)/H32)*100</f>
        <v>-2.081262760035449</v>
      </c>
      <c r="N32" s="47">
        <v>14600</v>
      </c>
      <c r="O32" s="37">
        <v>20440</v>
      </c>
      <c r="P32" s="51">
        <f>(R32)/J32</f>
        <v>0</v>
      </c>
      <c r="Q32" s="49">
        <f>I32/G32-1</f>
        <v>0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3892078.1191956564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3.1894575295587667E-2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131093974.9346161</v>
      </c>
      <c r="E34" s="39">
        <f>C34*K34</f>
        <v>110910913.02222221</v>
      </c>
      <c r="F34" s="40" t="s">
        <v>93</v>
      </c>
      <c r="G34" s="41">
        <v>1.44</v>
      </c>
      <c r="H34" s="42">
        <v>1.25</v>
      </c>
      <c r="I34" s="43">
        <v>1.4</v>
      </c>
      <c r="J34" s="44">
        <f>I34/$J$5</f>
        <v>5.2532241663320857E-2</v>
      </c>
      <c r="K34" s="45">
        <f>I34/$K$4</f>
        <v>4.4444444444444439E-2</v>
      </c>
      <c r="L34" s="46">
        <f>I34-H34</f>
        <v>0.14999999999999991</v>
      </c>
      <c r="M34" s="46">
        <f>((I34-H34)/H34)*100</f>
        <v>11.999999999999993</v>
      </c>
      <c r="N34" s="47">
        <v>500</v>
      </c>
      <c r="O34" s="37">
        <v>700</v>
      </c>
      <c r="P34" s="51">
        <f>(R34)/J34</f>
        <v>0</v>
      </c>
      <c r="Q34" s="49">
        <f>I34/G34-1</f>
        <v>-2.777777777777779E-2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41308494.676323757</v>
      </c>
      <c r="E35" s="39">
        <f>C35*K35</f>
        <v>34948691.291188292</v>
      </c>
      <c r="F35" s="40" t="s">
        <v>34</v>
      </c>
      <c r="G35" s="41">
        <v>3.6056249999999999</v>
      </c>
      <c r="H35" s="42">
        <v>4.4933490000000003</v>
      </c>
      <c r="I35" s="43">
        <v>4.3428570000000004</v>
      </c>
      <c r="J35" s="44">
        <f>I35/$J$5</f>
        <v>0.16295715245231762</v>
      </c>
      <c r="K35" s="45">
        <f>I35/$K$4</f>
        <v>0.13786847619047621</v>
      </c>
      <c r="L35" s="46">
        <f>I35-H35</f>
        <v>-0.15049199999999985</v>
      </c>
      <c r="M35" s="46">
        <f>((I35-H35)/H35)*100</f>
        <v>-3.3492168091105285</v>
      </c>
      <c r="N35" s="47">
        <v>2100</v>
      </c>
      <c r="O35" s="37">
        <v>9120</v>
      </c>
      <c r="P35" s="51">
        <f>(R35)/J35</f>
        <v>0</v>
      </c>
      <c r="Q35" s="49">
        <f>I35/G35-1</f>
        <v>0.20446718668746766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8045099.0118096974</v>
      </c>
      <c r="E36" s="39">
        <f>C36*K36</f>
        <v>6806485.7839502227</v>
      </c>
      <c r="F36" s="40" t="s">
        <v>34</v>
      </c>
      <c r="G36" s="41">
        <v>2.5099999999999997E-2</v>
      </c>
      <c r="H36" s="42">
        <v>4.5324999999999997E-2</v>
      </c>
      <c r="I36" s="43">
        <v>4.5471999999999999E-2</v>
      </c>
      <c r="J36" s="44">
        <f>I36/$J$5</f>
        <v>1.7062472092246614E-3</v>
      </c>
      <c r="K36" s="45">
        <f>I36/$K$4</f>
        <v>1.4435555555555556E-3</v>
      </c>
      <c r="L36" s="46">
        <f>I36-H36</f>
        <v>1.470000000000013E-4</v>
      </c>
      <c r="M36" s="46">
        <f>((I36-H36)/H36)*100</f>
        <v>0.32432432432432723</v>
      </c>
      <c r="N36" s="47">
        <v>22100</v>
      </c>
      <c r="O36" s="37">
        <v>1004.94</v>
      </c>
      <c r="P36" s="51">
        <f>(R36)/J36</f>
        <v>0</v>
      </c>
      <c r="Q36" s="49">
        <f>I36/G36-1</f>
        <v>0.81163346613545828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63000358.349343151</v>
      </c>
      <c r="E37" s="39">
        <f>C37*K37</f>
        <v>53300903.178333335</v>
      </c>
      <c r="F37" s="40" t="s">
        <v>93</v>
      </c>
      <c r="G37" s="41">
        <v>0.61</v>
      </c>
      <c r="H37" s="42">
        <v>3.6995</v>
      </c>
      <c r="I37" s="43">
        <v>3.1974999999999998</v>
      </c>
      <c r="J37" s="44">
        <f>I37/$J$5</f>
        <v>0.11997988765604889</v>
      </c>
      <c r="K37" s="45">
        <f>I37/$K$4</f>
        <v>0.10150793650793651</v>
      </c>
      <c r="L37" s="46">
        <f>I37-H37</f>
        <v>-0.50200000000000022</v>
      </c>
      <c r="M37" s="46">
        <f>((I37-H37)/H37)*100</f>
        <v>-13.569401270441958</v>
      </c>
      <c r="N37" s="47">
        <v>207100</v>
      </c>
      <c r="O37" s="37">
        <v>662202.25</v>
      </c>
      <c r="P37" s="51">
        <f>(R37)/J37</f>
        <v>0</v>
      </c>
      <c r="Q37" s="49">
        <f>I37/G37-1</f>
        <v>4.2418032786885247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47238716.834698439</v>
      </c>
      <c r="E38" s="39">
        <f>C38*K38</f>
        <v>39965903.976500444</v>
      </c>
      <c r="F38" s="40" t="s">
        <v>56</v>
      </c>
      <c r="G38" s="41">
        <v>0.11650199999999999</v>
      </c>
      <c r="H38" s="42">
        <v>0.3</v>
      </c>
      <c r="I38" s="43">
        <v>0.30011599999999999</v>
      </c>
      <c r="J38" s="44">
        <f>I38/$J$5</f>
        <v>1.1261261599306573E-2</v>
      </c>
      <c r="K38" s="45">
        <f>I38/$K$4</f>
        <v>9.5274920634920626E-3</v>
      </c>
      <c r="L38" s="46">
        <f>I38-H38</f>
        <v>1.1600000000000499E-4</v>
      </c>
      <c r="M38" s="46">
        <f>((I38-H38)/H38)*100</f>
        <v>3.8666666666668334E-2</v>
      </c>
      <c r="N38" s="47">
        <v>343000</v>
      </c>
      <c r="O38" s="37">
        <v>102939.75</v>
      </c>
      <c r="P38" s="51">
        <v>0</v>
      </c>
      <c r="Q38" s="49">
        <f>I38/G38-1</f>
        <v>1.5760587801067794</v>
      </c>
      <c r="R38" s="50"/>
    </row>
    <row r="39" spans="1:18" x14ac:dyDescent="0.25">
      <c r="A39" s="35" t="s">
        <v>102</v>
      </c>
      <c r="B39" s="36" t="s">
        <v>103</v>
      </c>
      <c r="C39" s="37">
        <v>4315726499</v>
      </c>
      <c r="D39" s="38">
        <f>C39*J39</f>
        <v>20242391.731988009</v>
      </c>
      <c r="E39" s="39">
        <f>C39*K39</f>
        <v>17125898.805555556</v>
      </c>
      <c r="F39" s="40" t="s">
        <v>39</v>
      </c>
      <c r="G39" s="41">
        <v>0.1</v>
      </c>
      <c r="H39" s="42">
        <v>0.125</v>
      </c>
      <c r="I39" s="43">
        <v>0.125</v>
      </c>
      <c r="J39" s="44">
        <f>I39/$J$5</f>
        <v>4.6903787199393627E-3</v>
      </c>
      <c r="K39" s="45">
        <f>I39/$K$4</f>
        <v>3.968253968253968E-3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0.25</v>
      </c>
      <c r="R39" s="50"/>
    </row>
    <row r="40" spans="1:18" x14ac:dyDescent="0.25">
      <c r="A40" s="35" t="s">
        <v>104</v>
      </c>
      <c r="B40" s="36" t="s">
        <v>105</v>
      </c>
      <c r="C40" s="37">
        <v>106474237</v>
      </c>
      <c r="D40" s="38">
        <f>C40*J40</f>
        <v>7191424.7344307564</v>
      </c>
      <c r="E40" s="39">
        <f>C40*K40</f>
        <v>6084242.114285714</v>
      </c>
      <c r="F40" s="40" t="s">
        <v>44</v>
      </c>
      <c r="G40" s="41">
        <v>1.7452379999999998</v>
      </c>
      <c r="H40" s="42">
        <v>2.0000780000000002</v>
      </c>
      <c r="I40" s="43">
        <v>1.8</v>
      </c>
      <c r="J40" s="44">
        <f>I40/$J$5</f>
        <v>6.7541453567126819E-2</v>
      </c>
      <c r="K40" s="45">
        <f>I40/$K$4</f>
        <v>5.7142857142857141E-2</v>
      </c>
      <c r="L40" s="46">
        <f>I40-H40</f>
        <v>-0.2000780000000002</v>
      </c>
      <c r="M40" s="46">
        <f>((I40-H40)/H40)*100</f>
        <v>-10.003509863115347</v>
      </c>
      <c r="N40" s="47">
        <v>3000</v>
      </c>
      <c r="O40" s="37">
        <v>5400</v>
      </c>
      <c r="P40" s="51">
        <f>(R40)/J40</f>
        <v>0</v>
      </c>
      <c r="Q40" s="49">
        <f>I40/G40-1</f>
        <v>3.1377955327583029E-2</v>
      </c>
      <c r="R40" s="50">
        <v>0</v>
      </c>
    </row>
    <row r="41" spans="1:18" x14ac:dyDescent="0.25">
      <c r="A41" s="35" t="s">
        <v>106</v>
      </c>
      <c r="B41" s="36" t="s">
        <v>107</v>
      </c>
      <c r="C41" s="37">
        <v>1778001428</v>
      </c>
      <c r="D41" s="38">
        <f>C41*J41</f>
        <v>4069676.0302135427</v>
      </c>
      <c r="E41" s="39">
        <f>C41*K41</f>
        <v>3443113.8764444441</v>
      </c>
      <c r="F41" s="40" t="s">
        <v>39</v>
      </c>
      <c r="G41" s="41">
        <v>0.03</v>
      </c>
      <c r="H41" s="42">
        <v>6.0999999999999999E-2</v>
      </c>
      <c r="I41" s="43">
        <v>6.0999999999999999E-2</v>
      </c>
      <c r="J41" s="44">
        <f>I41/$J$5</f>
        <v>2.2889048153304087E-3</v>
      </c>
      <c r="K41" s="45">
        <f>I41/$K$4</f>
        <v>1.9365079365079364E-3</v>
      </c>
      <c r="L41" s="46">
        <f>I41-H41</f>
        <v>0</v>
      </c>
      <c r="M41" s="46">
        <f>((I41-H41)/H41)*100</f>
        <v>0</v>
      </c>
      <c r="N41" s="47">
        <v>9000</v>
      </c>
      <c r="O41" s="37">
        <v>549</v>
      </c>
      <c r="P41" s="51">
        <f>(R41)/J41</f>
        <v>0</v>
      </c>
      <c r="Q41" s="49">
        <f>I41/G41-1</f>
        <v>1.0333333333333332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175190642</v>
      </c>
      <c r="D42" s="38">
        <f>C42*J42</f>
        <v>39442102.040127128</v>
      </c>
      <c r="E42" s="39">
        <f>C42*K42</f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>I42/$J$5</f>
        <v>0.2251381785570894</v>
      </c>
      <c r="K42" s="45">
        <f>I42/$K$4</f>
        <v>0.19047619047619047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0.33333333333333326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463337661</v>
      </c>
      <c r="D43" s="38">
        <f>C43*J43</f>
        <v>312.94499116332651</v>
      </c>
      <c r="E43" s="39">
        <f>C43*K43</f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>I43/$J$5</f>
        <v>6.7541453567126823E-7</v>
      </c>
      <c r="K43" s="45">
        <f>I43/$K$4</f>
        <v>5.7142857142857149E-7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576000000</v>
      </c>
      <c r="D44" s="38">
        <f>C44*J44</f>
        <v>1521573.8659602329</v>
      </c>
      <c r="E44" s="39">
        <f>C44*K44</f>
        <v>1287314.2857142859</v>
      </c>
      <c r="F44" s="40" t="s">
        <v>56</v>
      </c>
      <c r="G44" s="41">
        <v>7.0000000000000007E-2</v>
      </c>
      <c r="H44" s="42">
        <v>7.0400000000000004E-2</v>
      </c>
      <c r="I44" s="43">
        <v>7.0400000000000004E-2</v>
      </c>
      <c r="J44" s="44">
        <f>I44/$J$5</f>
        <v>2.641621295069849E-3</v>
      </c>
      <c r="K44" s="45">
        <f>I44/$K$4</f>
        <v>2.2349206349206352E-3</v>
      </c>
      <c r="L44" s="46">
        <f>I44-H44</f>
        <v>0</v>
      </c>
      <c r="M44" s="46">
        <f>((I44-H44)/H44)*100</f>
        <v>0</v>
      </c>
      <c r="N44" s="47">
        <v>1400</v>
      </c>
      <c r="O44" s="37">
        <v>98.56</v>
      </c>
      <c r="P44" s="51">
        <f>(R44)/J44</f>
        <v>0</v>
      </c>
      <c r="Q44" s="49">
        <f>I44/G44-1</f>
        <v>5.7142857142857828E-3</v>
      </c>
      <c r="R44" s="50"/>
    </row>
    <row r="45" spans="1:18" x14ac:dyDescent="0.25">
      <c r="A45" s="35" t="s">
        <v>114</v>
      </c>
      <c r="B45" s="36" t="s">
        <v>115</v>
      </c>
      <c r="C45" s="37">
        <v>1818218786</v>
      </c>
      <c r="D45" s="38">
        <f>C45*J45</f>
        <v>71636331.497206405</v>
      </c>
      <c r="E45" s="39">
        <f>C45*K45</f>
        <v>60607292.866666667</v>
      </c>
      <c r="F45" s="40" t="s">
        <v>47</v>
      </c>
      <c r="G45" s="41">
        <v>0.9998999999999999</v>
      </c>
      <c r="H45" s="42">
        <v>1.05</v>
      </c>
      <c r="I45" s="43">
        <v>1.05</v>
      </c>
      <c r="J45" s="44">
        <f>I45/$J$5</f>
        <v>3.9399181247490644E-2</v>
      </c>
      <c r="K45" s="45">
        <f>I45/$K$4</f>
        <v>3.3333333333333333E-2</v>
      </c>
      <c r="L45" s="46">
        <f>I45-H45</f>
        <v>0</v>
      </c>
      <c r="M45" s="46">
        <f>((I45-H45)/H45)*100</f>
        <v>0</v>
      </c>
      <c r="N45" s="47">
        <v>1600</v>
      </c>
      <c r="O45" s="37">
        <v>1680</v>
      </c>
      <c r="P45" s="51">
        <f>(R45)/J45</f>
        <v>0</v>
      </c>
      <c r="Q45" s="49">
        <f>I45/G45-1</f>
        <v>5.0105010501050318E-2</v>
      </c>
      <c r="R45" s="50">
        <v>0</v>
      </c>
    </row>
    <row r="46" spans="1:18" x14ac:dyDescent="0.25">
      <c r="A46" s="35" t="s">
        <v>116</v>
      </c>
      <c r="B46" s="36" t="s">
        <v>117</v>
      </c>
      <c r="C46" s="37">
        <v>102712520</v>
      </c>
      <c r="D46" s="38">
        <f>C46*J46</f>
        <v>5819668.2663985016</v>
      </c>
      <c r="E46" s="39">
        <f>C46*K46</f>
        <v>4923679.5301587302</v>
      </c>
      <c r="F46" s="40" t="s">
        <v>47</v>
      </c>
      <c r="G46" s="41">
        <v>1.4503460000000001</v>
      </c>
      <c r="H46" s="42">
        <v>1.51</v>
      </c>
      <c r="I46" s="43">
        <v>1.51</v>
      </c>
      <c r="J46" s="44">
        <f>I46/$J$5</f>
        <v>5.6659774936867496E-2</v>
      </c>
      <c r="K46" s="45">
        <f>I46/$K$4</f>
        <v>4.7936507936507937E-2</v>
      </c>
      <c r="L46" s="46">
        <f>I46-H46</f>
        <v>0</v>
      </c>
      <c r="M46" s="46">
        <f>((I46-H46)/H46)*100</f>
        <v>0</v>
      </c>
      <c r="N46" s="47">
        <v>0</v>
      </c>
      <c r="O46" s="37">
        <v>0</v>
      </c>
      <c r="P46" s="51">
        <v>0</v>
      </c>
      <c r="Q46" s="49">
        <f>I46/G46-1</f>
        <v>4.1130874977419074E-2</v>
      </c>
      <c r="R46" s="50"/>
    </row>
    <row r="47" spans="1:18" ht="13.8" thickBot="1" x14ac:dyDescent="0.4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979300</v>
      </c>
      <c r="O47" s="61">
        <f>SUM(O9:O46)</f>
        <v>7607306.96</v>
      </c>
      <c r="P47" s="62"/>
      <c r="Q47" s="63"/>
    </row>
    <row r="48" spans="1:18" ht="13.2" x14ac:dyDescent="0.35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>C50*J50</f>
        <v>74026369.087200001</v>
      </c>
      <c r="E50" s="39">
        <v>0</v>
      </c>
      <c r="F50" s="40" t="s">
        <v>93</v>
      </c>
      <c r="G50" s="70">
        <v>0.1</v>
      </c>
      <c r="H50" s="42">
        <v>0.14799999999999999</v>
      </c>
      <c r="I50" s="42">
        <v>0.13339999999999999</v>
      </c>
      <c r="J50" s="44">
        <f>I50</f>
        <v>0.13339999999999999</v>
      </c>
      <c r="K50" s="39">
        <v>0</v>
      </c>
      <c r="L50" s="46">
        <f>I50-H50</f>
        <v>-1.4600000000000002E-2</v>
      </c>
      <c r="M50" s="46">
        <f>((I50-H50)/H50)*100</f>
        <v>-9.8648648648648667</v>
      </c>
      <c r="N50" s="47">
        <v>1579</v>
      </c>
      <c r="O50" s="37">
        <v>210.58</v>
      </c>
      <c r="P50" s="71">
        <f>(R50)/J50</f>
        <v>0</v>
      </c>
      <c r="Q50" s="49">
        <f>J50/G50-1</f>
        <v>0.33399999999999985</v>
      </c>
      <c r="T50" s="52"/>
    </row>
    <row r="51" spans="1:20" x14ac:dyDescent="0.25">
      <c r="A51" s="35" t="s">
        <v>121</v>
      </c>
      <c r="B51" s="36" t="s">
        <v>122</v>
      </c>
      <c r="C51" s="40">
        <v>1057685</v>
      </c>
      <c r="D51" s="38">
        <f>C51*J51</f>
        <v>43709255.699000001</v>
      </c>
      <c r="E51" s="39">
        <v>0</v>
      </c>
      <c r="F51" s="40" t="s">
        <v>39</v>
      </c>
      <c r="G51" s="70">
        <v>39.9</v>
      </c>
      <c r="H51" s="42">
        <v>51</v>
      </c>
      <c r="I51" s="42">
        <v>41.325400000000002</v>
      </c>
      <c r="J51" s="44">
        <f>I51</f>
        <v>41.325400000000002</v>
      </c>
      <c r="K51" s="39">
        <v>0</v>
      </c>
      <c r="L51" s="46">
        <f>I51-H51</f>
        <v>-9.6745999999999981</v>
      </c>
      <c r="M51" s="46">
        <f>((I51-H51)/H51)*100</f>
        <v>-18.969803921568623</v>
      </c>
      <c r="N51" s="47">
        <v>639</v>
      </c>
      <c r="O51" s="37">
        <v>26406.95</v>
      </c>
      <c r="P51" s="72">
        <f>(R51)/J51</f>
        <v>1.3550988012215248E-2</v>
      </c>
      <c r="Q51" s="49">
        <f>J51/G51-1</f>
        <v>3.5724310776942492E-2</v>
      </c>
      <c r="R51" s="52">
        <v>0.56000000000000005</v>
      </c>
      <c r="T51" s="52"/>
    </row>
    <row r="52" spans="1:20" x14ac:dyDescent="0.25">
      <c r="A52" s="35" t="s">
        <v>123</v>
      </c>
      <c r="B52" s="36" t="s">
        <v>124</v>
      </c>
      <c r="C52" s="40">
        <v>2992163203</v>
      </c>
      <c r="D52" s="38">
        <f>C52*J52</f>
        <v>695677944.69749999</v>
      </c>
      <c r="E52" s="39"/>
      <c r="F52" s="40" t="s">
        <v>56</v>
      </c>
      <c r="G52" s="70">
        <v>0.33</v>
      </c>
      <c r="H52" s="42">
        <v>0.23810000000000001</v>
      </c>
      <c r="I52" s="42">
        <v>0.23250000000000001</v>
      </c>
      <c r="J52" s="44">
        <f>I52</f>
        <v>0.23250000000000001</v>
      </c>
      <c r="K52" s="39">
        <v>0</v>
      </c>
      <c r="L52" s="46">
        <f>I52-H52</f>
        <v>-5.5999999999999939E-3</v>
      </c>
      <c r="M52" s="46">
        <f>((I52-H52)/H52)*100</f>
        <v>-2.3519529609407783</v>
      </c>
      <c r="N52" s="47">
        <v>351938</v>
      </c>
      <c r="O52" s="37">
        <v>81811.66</v>
      </c>
      <c r="P52" s="71">
        <v>0</v>
      </c>
      <c r="Q52" s="49">
        <f>J52/G52-1</f>
        <v>-0.29545454545454541</v>
      </c>
      <c r="R52" s="52"/>
      <c r="T52" s="52"/>
    </row>
    <row r="53" spans="1:20" x14ac:dyDescent="0.25">
      <c r="A53" s="35" t="s">
        <v>125</v>
      </c>
      <c r="B53" s="36" t="s">
        <v>126</v>
      </c>
      <c r="C53" s="40">
        <v>609740943</v>
      </c>
      <c r="D53" s="38">
        <f>C53*J53</f>
        <v>16706901.838200001</v>
      </c>
      <c r="E53" s="39">
        <v>0</v>
      </c>
      <c r="F53" s="40" t="s">
        <v>34</v>
      </c>
      <c r="G53" s="70">
        <v>2.3E-2</v>
      </c>
      <c r="H53" s="42">
        <v>2.6800000000000001E-2</v>
      </c>
      <c r="I53" s="42">
        <v>2.7400000000000001E-2</v>
      </c>
      <c r="J53" s="44">
        <f>I53</f>
        <v>2.7400000000000001E-2</v>
      </c>
      <c r="K53" s="39">
        <v>0</v>
      </c>
      <c r="L53" s="46">
        <f>I53-H53</f>
        <v>5.9999999999999984E-4</v>
      </c>
      <c r="M53" s="46">
        <f>((I53-H53)/H53)*100</f>
        <v>2.2388059701492531</v>
      </c>
      <c r="N53" s="47">
        <v>72030</v>
      </c>
      <c r="O53" s="37">
        <v>1971.7</v>
      </c>
      <c r="P53" s="71">
        <f>(R53)/J53</f>
        <v>0</v>
      </c>
      <c r="Q53" s="49">
        <f>J53/G53-1</f>
        <v>0.19130434782608696</v>
      </c>
      <c r="T53" s="52"/>
    </row>
    <row r="54" spans="1:20" x14ac:dyDescent="0.25">
      <c r="A54" s="35" t="s">
        <v>127</v>
      </c>
      <c r="B54" s="36" t="s">
        <v>128</v>
      </c>
      <c r="C54" s="40">
        <v>2162695929</v>
      </c>
      <c r="D54" s="38">
        <f>C54*J54</f>
        <v>291963950.41500002</v>
      </c>
      <c r="E54" s="39">
        <v>0</v>
      </c>
      <c r="F54" s="40" t="s">
        <v>47</v>
      </c>
      <c r="G54" s="70">
        <v>9.0200000000000002E-2</v>
      </c>
      <c r="H54" s="42">
        <v>0.13400000000000001</v>
      </c>
      <c r="I54" s="42">
        <v>0.13500000000000001</v>
      </c>
      <c r="J54" s="44">
        <f>I54</f>
        <v>0.13500000000000001</v>
      </c>
      <c r="K54" s="39">
        <v>0</v>
      </c>
      <c r="L54" s="46">
        <f>I54-H54</f>
        <v>1.0000000000000009E-3</v>
      </c>
      <c r="M54" s="73">
        <f>((I54-H54)/H54)*100</f>
        <v>0.74626865671641851</v>
      </c>
      <c r="N54" s="47">
        <v>2030</v>
      </c>
      <c r="O54" s="37">
        <v>274.02</v>
      </c>
      <c r="P54" s="71">
        <f>(R54)/J54</f>
        <v>0</v>
      </c>
      <c r="Q54" s="49">
        <f>J54/G54-1</f>
        <v>0.49667405764966754</v>
      </c>
      <c r="R54" s="52"/>
      <c r="T54" s="52"/>
    </row>
    <row r="55" spans="1:20" x14ac:dyDescent="0.25">
      <c r="A55" s="35" t="s">
        <v>129</v>
      </c>
      <c r="B55" s="36" t="s">
        <v>130</v>
      </c>
      <c r="C55" s="40">
        <v>575926450</v>
      </c>
      <c r="D55" s="38">
        <f>C55*J55</f>
        <v>834632611.34000003</v>
      </c>
      <c r="E55" s="39">
        <v>0</v>
      </c>
      <c r="F55" s="40" t="s">
        <v>34</v>
      </c>
      <c r="G55" s="70">
        <v>0.95750000000000002</v>
      </c>
      <c r="H55" s="42">
        <v>1.4469000000000001</v>
      </c>
      <c r="I55" s="42">
        <v>1.4492</v>
      </c>
      <c r="J55" s="44">
        <f>I55</f>
        <v>1.4492</v>
      </c>
      <c r="K55" s="39">
        <v>0</v>
      </c>
      <c r="L55" s="46">
        <f>I55-H55</f>
        <v>2.2999999999999687E-3</v>
      </c>
      <c r="M55" s="46">
        <f>((I55-H55)/H55)*100</f>
        <v>0.15896053631902471</v>
      </c>
      <c r="N55" s="47">
        <v>125451</v>
      </c>
      <c r="O55" s="37">
        <v>181798.14</v>
      </c>
      <c r="P55" s="72">
        <f>(R55)/J55</f>
        <v>3.2431686447695278E-2</v>
      </c>
      <c r="Q55" s="49">
        <f>J55/G55-1</f>
        <v>0.51352480417754576</v>
      </c>
      <c r="R55" s="52">
        <v>4.7E-2</v>
      </c>
      <c r="T55" s="52"/>
    </row>
    <row r="56" spans="1:20" x14ac:dyDescent="0.25">
      <c r="A56" s="35" t="s">
        <v>131</v>
      </c>
      <c r="B56" s="36" t="s">
        <v>132</v>
      </c>
      <c r="C56" s="40">
        <v>164208222</v>
      </c>
      <c r="D56" s="38">
        <f>C56*J56</f>
        <v>24631233.300000001</v>
      </c>
      <c r="E56" s="39">
        <v>0</v>
      </c>
      <c r="F56" s="40" t="s">
        <v>34</v>
      </c>
      <c r="G56" s="70">
        <v>0.1595</v>
      </c>
      <c r="H56" s="42">
        <v>0.13320000000000001</v>
      </c>
      <c r="I56" s="42">
        <v>0.15</v>
      </c>
      <c r="J56" s="44">
        <f>I56</f>
        <v>0.15</v>
      </c>
      <c r="K56" s="39">
        <v>0</v>
      </c>
      <c r="L56" s="46">
        <f>I56-H56</f>
        <v>1.6799999999999982E-2</v>
      </c>
      <c r="M56" s="46">
        <f>((I56-H56)/H56)*100</f>
        <v>12.612612612612597</v>
      </c>
      <c r="N56" s="47">
        <v>1150</v>
      </c>
      <c r="O56" s="37">
        <v>172.5</v>
      </c>
      <c r="P56" s="71">
        <f>(R56)/J56</f>
        <v>0</v>
      </c>
      <c r="Q56" s="49">
        <f>J56/G56-1</f>
        <v>-5.9561128526645857E-2</v>
      </c>
      <c r="T56" s="52"/>
    </row>
    <row r="57" spans="1:20" x14ac:dyDescent="0.25">
      <c r="A57" s="35" t="s">
        <v>133</v>
      </c>
      <c r="B57" s="36" t="s">
        <v>134</v>
      </c>
      <c r="C57" s="40">
        <v>953802800</v>
      </c>
      <c r="D57" s="38">
        <f>C57*J57</f>
        <v>18789915.16</v>
      </c>
      <c r="E57" s="39">
        <v>0</v>
      </c>
      <c r="F57" s="40" t="s">
        <v>93</v>
      </c>
      <c r="G57" s="70">
        <v>1.6799999999999999E-2</v>
      </c>
      <c r="H57" s="42">
        <v>0.02</v>
      </c>
      <c r="I57" s="42">
        <v>1.9699999999999999E-2</v>
      </c>
      <c r="J57" s="44">
        <f>I57</f>
        <v>1.9699999999999999E-2</v>
      </c>
      <c r="K57" s="39">
        <v>0</v>
      </c>
      <c r="L57" s="46">
        <f>I57-H57</f>
        <v>-3.0000000000000165E-4</v>
      </c>
      <c r="M57" s="73">
        <f>((I57-H57)/H57)*100</f>
        <v>-1.5000000000000082</v>
      </c>
      <c r="N57" s="47">
        <v>348405</v>
      </c>
      <c r="O57" s="37">
        <v>6877.81</v>
      </c>
      <c r="P57" s="71">
        <f>(R57)/J57</f>
        <v>0</v>
      </c>
      <c r="Q57" s="49">
        <f>J57/G57-1</f>
        <v>0.17261904761904767</v>
      </c>
      <c r="T57" s="52"/>
    </row>
    <row r="58" spans="1:20" x14ac:dyDescent="0.25">
      <c r="A58" s="35" t="s">
        <v>135</v>
      </c>
      <c r="B58" s="36" t="s">
        <v>136</v>
      </c>
      <c r="C58" s="40">
        <v>161273</v>
      </c>
      <c r="D58" s="38">
        <f>C58*J58</f>
        <v>2741641</v>
      </c>
      <c r="E58" s="39">
        <v>0</v>
      </c>
      <c r="F58" s="40" t="s">
        <v>137</v>
      </c>
      <c r="G58" s="70">
        <v>19.5</v>
      </c>
      <c r="H58" s="42">
        <v>15.3</v>
      </c>
      <c r="I58" s="42">
        <v>17</v>
      </c>
      <c r="J58" s="44">
        <f>I58</f>
        <v>17</v>
      </c>
      <c r="K58" s="39">
        <v>0</v>
      </c>
      <c r="L58" s="46">
        <f>I58-H58</f>
        <v>1.6999999999999993</v>
      </c>
      <c r="M58" s="46">
        <f>((I58-H58)/H58)*100</f>
        <v>11.111111111111107</v>
      </c>
      <c r="N58" s="47">
        <v>1</v>
      </c>
      <c r="O58" s="37">
        <v>17</v>
      </c>
      <c r="P58" s="71">
        <f>(R58)/J58</f>
        <v>0</v>
      </c>
      <c r="Q58" s="49">
        <f>J58/G58-1</f>
        <v>-0.12820512820512819</v>
      </c>
      <c r="T58" s="52"/>
    </row>
    <row r="59" spans="1:20" x14ac:dyDescent="0.25">
      <c r="A59" s="35" t="s">
        <v>138</v>
      </c>
      <c r="B59" s="36" t="s">
        <v>139</v>
      </c>
      <c r="C59" s="40">
        <v>805090451</v>
      </c>
      <c r="D59" s="38">
        <f>C59*J59</f>
        <v>975689117.56690001</v>
      </c>
      <c r="E59" s="39">
        <v>0</v>
      </c>
      <c r="F59" s="40" t="s">
        <v>93</v>
      </c>
      <c r="G59" s="70">
        <v>0.59499999999999997</v>
      </c>
      <c r="H59" s="42">
        <v>1.2898000000000001</v>
      </c>
      <c r="I59" s="42">
        <v>1.2119</v>
      </c>
      <c r="J59" s="44">
        <f>I59</f>
        <v>1.2119</v>
      </c>
      <c r="K59" s="39">
        <v>0</v>
      </c>
      <c r="L59" s="46">
        <f>I59-H59</f>
        <v>-7.790000000000008E-2</v>
      </c>
      <c r="M59" s="46">
        <f>((I59-H59)/H59)*100</f>
        <v>-6.039696076911155</v>
      </c>
      <c r="N59" s="47">
        <v>1186704</v>
      </c>
      <c r="O59" s="37">
        <v>1438107.67</v>
      </c>
      <c r="P59" s="71">
        <f>(R59)/J59</f>
        <v>0</v>
      </c>
      <c r="Q59" s="49">
        <f>J59/G59-1</f>
        <v>1.0368067226890756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>C60*J60</f>
        <v>106136880.27780001</v>
      </c>
      <c r="E60" s="39">
        <v>0</v>
      </c>
      <c r="F60" s="40" t="s">
        <v>34</v>
      </c>
      <c r="G60" s="70">
        <v>0.22600000000000001</v>
      </c>
      <c r="H60" s="42">
        <v>0.36449999999999999</v>
      </c>
      <c r="I60" s="42">
        <v>0.40710000000000002</v>
      </c>
      <c r="J60" s="44">
        <f>I60</f>
        <v>0.40710000000000002</v>
      </c>
      <c r="K60" s="39">
        <v>0</v>
      </c>
      <c r="L60" s="46">
        <f>I60-H60</f>
        <v>4.2600000000000027E-2</v>
      </c>
      <c r="M60" s="46">
        <f>((I60-H60)/H60)*100</f>
        <v>11.687242798353918</v>
      </c>
      <c r="N60" s="47">
        <v>2000</v>
      </c>
      <c r="O60" s="37">
        <v>814.28</v>
      </c>
      <c r="P60" s="71">
        <f>(R60)/J60</f>
        <v>0</v>
      </c>
      <c r="Q60" s="49">
        <f>J60/G60-1</f>
        <v>0.80132743362831871</v>
      </c>
      <c r="T60" s="52"/>
    </row>
    <row r="61" spans="1:20" x14ac:dyDescent="0.25">
      <c r="A61" s="35" t="s">
        <v>142</v>
      </c>
      <c r="B61" s="36" t="s">
        <v>143</v>
      </c>
      <c r="C61" s="40">
        <v>562184788</v>
      </c>
      <c r="D61" s="38">
        <f>C61*J61</f>
        <v>388301033.07159996</v>
      </c>
      <c r="E61" s="39">
        <v>0</v>
      </c>
      <c r="F61" s="40" t="s">
        <v>34</v>
      </c>
      <c r="G61" s="70">
        <v>0.49440000000000001</v>
      </c>
      <c r="H61" s="42">
        <v>0.6885</v>
      </c>
      <c r="I61" s="42">
        <v>0.69069999999999998</v>
      </c>
      <c r="J61" s="44">
        <f>I61</f>
        <v>0.69069999999999998</v>
      </c>
      <c r="K61" s="39">
        <v>0</v>
      </c>
      <c r="L61" s="46">
        <f>I61-H61</f>
        <v>2.1999999999999797E-3</v>
      </c>
      <c r="M61" s="46">
        <f>((I61-H61)/H61)*100</f>
        <v>0.31953522149600289</v>
      </c>
      <c r="N61" s="47">
        <v>6486</v>
      </c>
      <c r="O61" s="37">
        <v>4479.9399999999996</v>
      </c>
      <c r="P61" s="71">
        <f>(R61)/J61</f>
        <v>0</v>
      </c>
      <c r="Q61" s="49">
        <f>J61/G61-1</f>
        <v>0.39704692556634291</v>
      </c>
      <c r="R61" s="52"/>
      <c r="T61" s="52"/>
    </row>
    <row r="62" spans="1:20" x14ac:dyDescent="0.25">
      <c r="A62" s="35" t="s">
        <v>144</v>
      </c>
      <c r="B62" s="36" t="s">
        <v>145</v>
      </c>
      <c r="C62" s="40">
        <v>364526035</v>
      </c>
      <c r="D62" s="38">
        <f>C62*J62</f>
        <v>90912793.129000008</v>
      </c>
      <c r="E62" s="39">
        <v>0</v>
      </c>
      <c r="F62" s="40" t="s">
        <v>34</v>
      </c>
      <c r="G62" s="70">
        <v>0.25950000000000001</v>
      </c>
      <c r="H62" s="42">
        <v>0.22059999999999999</v>
      </c>
      <c r="I62" s="42">
        <v>0.24940000000000001</v>
      </c>
      <c r="J62" s="44">
        <f>I62</f>
        <v>0.24940000000000001</v>
      </c>
      <c r="K62" s="39">
        <v>0</v>
      </c>
      <c r="L62" s="46">
        <f>I62-H62</f>
        <v>2.880000000000002E-2</v>
      </c>
      <c r="M62" s="46">
        <f>((I62-H62)/H62)*100</f>
        <v>13.055303717135095</v>
      </c>
      <c r="N62" s="47">
        <v>13365</v>
      </c>
      <c r="O62" s="37">
        <v>3332.77</v>
      </c>
      <c r="P62" s="71">
        <f>(R62)/J62</f>
        <v>0</v>
      </c>
      <c r="Q62" s="49">
        <f>J62/G62-1</f>
        <v>-3.8921001926782273E-2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2</v>
      </c>
      <c r="O63" s="37">
        <v>20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>C64*J64</f>
        <v>35319499.814999998</v>
      </c>
      <c r="E64" s="39">
        <v>0</v>
      </c>
      <c r="F64" s="40" t="s">
        <v>44</v>
      </c>
      <c r="G64" s="70">
        <v>4.2999999999999997E-2</v>
      </c>
      <c r="H64" s="42">
        <v>0.1028</v>
      </c>
      <c r="I64" s="42">
        <v>0.10249999999999999</v>
      </c>
      <c r="J64" s="44">
        <f>I64</f>
        <v>0.10249999999999999</v>
      </c>
      <c r="K64" s="39">
        <v>0</v>
      </c>
      <c r="L64" s="46">
        <f>I64-H64</f>
        <v>-3.0000000000000859E-4</v>
      </c>
      <c r="M64" s="46">
        <f>((I64-H64)/H64)*100</f>
        <v>-0.29182879377432741</v>
      </c>
      <c r="N64" s="47">
        <v>8699</v>
      </c>
      <c r="O64" s="37">
        <v>891.91</v>
      </c>
      <c r="P64" s="71">
        <f>(R64)/J64</f>
        <v>0</v>
      </c>
      <c r="Q64" s="49">
        <f>J64/G64-1</f>
        <v>1.3837209302325584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2120479</v>
      </c>
      <c r="O65" s="62">
        <f>SUM(O50:O64)</f>
        <v>1747186.93</v>
      </c>
      <c r="P65" s="77"/>
      <c r="Q65" s="63"/>
    </row>
    <row r="66" spans="1:20" ht="12.6" hidden="1" x14ac:dyDescent="0.3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48783065.567400001</v>
      </c>
      <c r="E70" s="39">
        <f>C70*K70</f>
        <v>48783065.567400001</v>
      </c>
      <c r="F70" s="89" t="s">
        <v>157</v>
      </c>
      <c r="G70" s="89">
        <v>0.24</v>
      </c>
      <c r="H70" s="90">
        <v>0.36</v>
      </c>
      <c r="I70" s="90">
        <v>0.35020000000000001</v>
      </c>
      <c r="J70" s="91">
        <f>I70</f>
        <v>0.35020000000000001</v>
      </c>
      <c r="K70" s="91">
        <f>J70</f>
        <v>0.35020000000000001</v>
      </c>
      <c r="L70" s="46">
        <f>I70-H70</f>
        <v>-9.7999999999999754E-3</v>
      </c>
      <c r="M70" s="46">
        <f>((I70-H70)/H70)*100</f>
        <v>-2.7222222222222157</v>
      </c>
      <c r="N70" s="92">
        <v>862</v>
      </c>
      <c r="O70" s="93">
        <v>301.87</v>
      </c>
      <c r="P70" s="71">
        <f>(R70)/J70</f>
        <v>0</v>
      </c>
      <c r="Q70" s="49">
        <f>J70/G70-1</f>
        <v>0.45916666666666672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70561356.974999994</v>
      </c>
      <c r="E71" s="39">
        <f>C71*K71</f>
        <v>70561356.974999994</v>
      </c>
      <c r="F71" s="89" t="s">
        <v>157</v>
      </c>
      <c r="G71" s="89">
        <v>0.1</v>
      </c>
      <c r="H71" s="90">
        <v>0.1492</v>
      </c>
      <c r="I71" s="90">
        <v>0.1497</v>
      </c>
      <c r="J71" s="91">
        <f>I71</f>
        <v>0.1497</v>
      </c>
      <c r="K71" s="91">
        <f>J71</f>
        <v>0.1497</v>
      </c>
      <c r="L71" s="46">
        <f>I71-H71</f>
        <v>5.0000000000000044E-4</v>
      </c>
      <c r="M71" s="46">
        <f>((I71-H71)/H71)*100</f>
        <v>0.33512064343163572</v>
      </c>
      <c r="N71" s="47">
        <v>5089</v>
      </c>
      <c r="O71" s="93">
        <v>761.59</v>
      </c>
      <c r="P71" s="94">
        <f>(R71)/J71</f>
        <v>2.533066132264529E-2</v>
      </c>
      <c r="Q71" s="49">
        <f>J71/G71-1</f>
        <v>0.49699999999999989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5951</v>
      </c>
      <c r="O72" s="62">
        <f>SUM(O70:O71)</f>
        <v>1063.46</v>
      </c>
      <c r="P72" s="87"/>
      <c r="Q72" s="63"/>
    </row>
    <row r="73" spans="1:20" ht="12.6" x14ac:dyDescent="0.3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2679494.7465000004</v>
      </c>
      <c r="E74" s="39">
        <f>C74*K74</f>
        <v>2679494.7465000004</v>
      </c>
      <c r="F74" s="89" t="s">
        <v>137</v>
      </c>
      <c r="G74" s="89">
        <v>0.1394</v>
      </c>
      <c r="H74" s="90">
        <v>0.12970000000000001</v>
      </c>
      <c r="I74" s="90">
        <v>0.12870000000000001</v>
      </c>
      <c r="J74" s="91">
        <f>I74</f>
        <v>0.12870000000000001</v>
      </c>
      <c r="K74" s="91">
        <f>J74</f>
        <v>0.12870000000000001</v>
      </c>
      <c r="L74" s="46">
        <f>I74-H74</f>
        <v>-1.0000000000000009E-3</v>
      </c>
      <c r="M74" s="46">
        <f>((I74-H74)/H74)*100</f>
        <v>-0.77101002313030131</v>
      </c>
      <c r="N74" s="92">
        <v>881</v>
      </c>
      <c r="O74" s="93">
        <v>113.39</v>
      </c>
      <c r="P74" s="71">
        <f>(R74)/J74</f>
        <v>0</v>
      </c>
      <c r="Q74" s="49">
        <f>J74/G74-1</f>
        <v>-7.6757532281205076E-2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107064.10171742906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3.3770726783563408E-3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408737.01834500919</v>
      </c>
      <c r="E78" s="39">
        <f>C78*K78</f>
        <v>345808.38603174605</v>
      </c>
      <c r="F78" s="40" t="s">
        <v>137</v>
      </c>
      <c r="G78" s="70">
        <v>4.2500000000000003E-2</v>
      </c>
      <c r="H78" s="42">
        <v>0.09</v>
      </c>
      <c r="I78" s="42">
        <v>0.08</v>
      </c>
      <c r="J78" s="44">
        <f>I78/$J$5</f>
        <v>3.0018423807611919E-3</v>
      </c>
      <c r="K78" s="45">
        <f>I78/$K$4</f>
        <v>2.5396825396825397E-3</v>
      </c>
      <c r="L78" s="46">
        <f>I78-H78</f>
        <v>-9.999999999999995E-3</v>
      </c>
      <c r="M78" s="95">
        <f>((I78-H78)/H78)*100</f>
        <v>-11.111111111111107</v>
      </c>
      <c r="N78" s="37">
        <v>305</v>
      </c>
      <c r="O78" s="37">
        <v>24.4</v>
      </c>
      <c r="P78" s="40">
        <v>0</v>
      </c>
      <c r="Q78" s="49">
        <f>I78/G78-1</f>
        <v>0.88235294117647056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32574.525990326561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4.8779938687369372E-3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27828058.220732972</v>
      </c>
      <c r="E80" s="39">
        <f>C80*K80</f>
        <v>23543685.714285713</v>
      </c>
      <c r="F80" s="40" t="s">
        <v>137</v>
      </c>
      <c r="G80" s="70">
        <v>1.85</v>
      </c>
      <c r="H80" s="42">
        <v>1.55</v>
      </c>
      <c r="I80" s="42">
        <v>1.5</v>
      </c>
      <c r="J80" s="44">
        <f>I80/$J$5</f>
        <v>5.6284544639272349E-2</v>
      </c>
      <c r="K80" s="45">
        <f>I80/$K$4</f>
        <v>4.7619047619047616E-2</v>
      </c>
      <c r="L80" s="46">
        <f>I80-H80</f>
        <v>-5.0000000000000044E-2</v>
      </c>
      <c r="M80" s="95">
        <f>((I80-H80)/H80)*100</f>
        <v>-3.2258064516129057</v>
      </c>
      <c r="N80" s="37">
        <v>167019</v>
      </c>
      <c r="O80" s="37">
        <v>250528.5</v>
      </c>
      <c r="P80" s="40">
        <v>0</v>
      </c>
      <c r="Q80" s="49">
        <f>I80/G80-1</f>
        <v>-0.18918918918918926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167324</v>
      </c>
      <c r="O81" s="62">
        <f>SUM(O77:O80)</f>
        <v>250552.9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27399570.688885301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7.4389406498238289E-2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4">
        <v>0</v>
      </c>
      <c r="O83" s="105">
        <v>0</v>
      </c>
      <c r="P83" s="51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72477097.645805106</v>
      </c>
      <c r="E84" s="39">
        <f>C84*K84</f>
        <v>61318615.726666667</v>
      </c>
      <c r="F84" s="40" t="s">
        <v>175</v>
      </c>
      <c r="G84" s="40">
        <v>1.44347</v>
      </c>
      <c r="H84" s="42">
        <v>1.177516</v>
      </c>
      <c r="I84" s="42">
        <v>1.049118</v>
      </c>
      <c r="J84" s="44">
        <f>I84/$J$5</f>
        <v>3.9366085935242753E-2</v>
      </c>
      <c r="K84" s="45">
        <f>I84/$K$4</f>
        <v>3.3305333333333333E-2</v>
      </c>
      <c r="L84" s="46">
        <f>I84-H84</f>
        <v>-0.12839800000000001</v>
      </c>
      <c r="M84" s="46">
        <f>((I84-H84)/H84*100)</f>
        <v>-10.904140580680009</v>
      </c>
      <c r="N84" s="104">
        <v>419236</v>
      </c>
      <c r="O84" s="105">
        <v>439843.71</v>
      </c>
      <c r="P84" s="48">
        <f>(R84)/J84</f>
        <v>5.5276005940227892E-2</v>
      </c>
      <c r="Q84" s="49">
        <f>I84/G84-1</f>
        <v>-0.27319722612870379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5" customHeight="1" thickBot="1" x14ac:dyDescent="0.3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J87" s="141" t="s">
        <v>180</v>
      </c>
      <c r="K87" s="142"/>
      <c r="L87" s="143"/>
      <c r="M87" s="141" t="s">
        <v>181</v>
      </c>
      <c r="N87" s="142"/>
      <c r="O87" s="143"/>
      <c r="Q87" s="16"/>
    </row>
    <row r="88" spans="1:243" x14ac:dyDescent="0.25">
      <c r="A88" s="35" t="s">
        <v>102</v>
      </c>
      <c r="B88" s="113">
        <v>0.125</v>
      </c>
      <c r="D88" s="113">
        <v>4.1666666666666705</v>
      </c>
      <c r="E88" s="35" t="s">
        <v>35</v>
      </c>
      <c r="F88" s="114">
        <v>7.0194000000000006E-2</v>
      </c>
      <c r="H88" s="115">
        <v>-9.4364452701656436</v>
      </c>
      <c r="J88" s="35" t="s">
        <v>119</v>
      </c>
      <c r="K88" s="51">
        <v>0.14799999999999999</v>
      </c>
      <c r="L88" s="116">
        <v>13.758647194465794</v>
      </c>
      <c r="M88" s="59" t="s">
        <v>148</v>
      </c>
      <c r="N88" s="114">
        <v>0.1028</v>
      </c>
      <c r="O88" s="117">
        <v>-19.43573667711598</v>
      </c>
      <c r="Q88" s="16"/>
    </row>
    <row r="89" spans="1:243" x14ac:dyDescent="0.25">
      <c r="A89" s="35" t="s">
        <v>52</v>
      </c>
      <c r="B89" s="113">
        <v>31.956437999999999</v>
      </c>
      <c r="D89" s="113">
        <v>0.72620784925544279</v>
      </c>
      <c r="E89" s="35" t="s">
        <v>70</v>
      </c>
      <c r="F89" s="114">
        <v>11</v>
      </c>
      <c r="H89" s="115">
        <v>-8.3333333333333321</v>
      </c>
      <c r="J89" s="35" t="s">
        <v>138</v>
      </c>
      <c r="K89" s="51">
        <v>1.2898000000000001</v>
      </c>
      <c r="L89" s="116">
        <v>6.3664852383308723</v>
      </c>
      <c r="M89" s="59" t="s">
        <v>144</v>
      </c>
      <c r="N89" s="114">
        <v>0.22059999999999999</v>
      </c>
      <c r="O89" s="117">
        <v>-19.223727572317838</v>
      </c>
      <c r="Q89" s="16"/>
    </row>
    <row r="90" spans="1:243" x14ac:dyDescent="0.25">
      <c r="A90" s="35" t="s">
        <v>77</v>
      </c>
      <c r="B90" s="113">
        <v>2.6</v>
      </c>
      <c r="C90" s="113"/>
      <c r="D90" s="113">
        <v>7.6928994538032905E-3</v>
      </c>
      <c r="E90" s="35" t="s">
        <v>94</v>
      </c>
      <c r="F90" s="114">
        <v>4.4933490000000003</v>
      </c>
      <c r="H90" s="115">
        <v>-5.2599119890141104</v>
      </c>
      <c r="J90" s="35" t="s">
        <v>131</v>
      </c>
      <c r="K90" s="51">
        <v>0.13320000000000001</v>
      </c>
      <c r="L90" s="116">
        <v>2.4615384615384679</v>
      </c>
      <c r="M90" s="35" t="s">
        <v>135</v>
      </c>
      <c r="N90" s="114">
        <v>15.3</v>
      </c>
      <c r="O90" s="117">
        <v>-14.051220978243165</v>
      </c>
      <c r="Q90" s="16"/>
    </row>
    <row r="91" spans="1:243" x14ac:dyDescent="0.25">
      <c r="A91" s="35" t="s">
        <v>100</v>
      </c>
      <c r="B91" s="113">
        <v>0.3</v>
      </c>
      <c r="C91" s="113"/>
      <c r="D91" s="113">
        <v>4.0001600064042565E-3</v>
      </c>
      <c r="E91" s="35" t="s">
        <v>96</v>
      </c>
      <c r="F91" s="114">
        <v>4.5324999999999997E-2</v>
      </c>
      <c r="H91" s="115">
        <v>-1.4673913043478304</v>
      </c>
      <c r="J91" s="35" t="s">
        <v>129</v>
      </c>
      <c r="K91" s="51">
        <v>1.4469000000000001</v>
      </c>
      <c r="L91" s="116">
        <v>1.160595679228146</v>
      </c>
      <c r="M91" s="35" t="s">
        <v>133</v>
      </c>
      <c r="N91" s="114">
        <v>0.02</v>
      </c>
      <c r="O91" s="117">
        <v>-4.7619047619047654</v>
      </c>
      <c r="Q91" s="16"/>
    </row>
    <row r="92" spans="1:243" x14ac:dyDescent="0.25">
      <c r="A92" s="35"/>
      <c r="B92" s="113"/>
      <c r="C92" s="113"/>
      <c r="D92" s="113"/>
      <c r="E92" s="35" t="s">
        <v>62</v>
      </c>
      <c r="F92" s="114">
        <v>3.2485000000000004</v>
      </c>
      <c r="G92" s="114"/>
      <c r="H92" s="115">
        <v>-4.6153846153834235E-2</v>
      </c>
      <c r="J92" s="35"/>
      <c r="K92" s="51"/>
      <c r="L92" s="116"/>
      <c r="M92" s="35" t="s">
        <v>127</v>
      </c>
      <c r="N92" s="114">
        <v>0.13400000000000001</v>
      </c>
      <c r="O92" s="117">
        <v>-3.3189033189033137</v>
      </c>
      <c r="Q92" s="16"/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J93" s="118"/>
      <c r="K93" s="119"/>
      <c r="L93" s="120"/>
      <c r="M93" s="119"/>
      <c r="N93" s="119"/>
      <c r="O93" s="120"/>
      <c r="Q93" s="16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nzpQJa3z6oVEc4nD3CD5w4CaICByE5k0o5zSxjMeWm15vzJUE4lJGrBSJj+pAprznlIoo0+8En/ChKC8ItioIA==" saltValue="pYGlda8v9hcM8G4rawI0QQ==" spinCount="100000" sheet="1"/>
  <sortState xmlns:xlrd2="http://schemas.microsoft.com/office/spreadsheetml/2017/richdata2" ref="A9:II46">
    <sortCondition ref="A9:A46"/>
  </sortState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6 L50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6 Q50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2026-07-24T14:37:49Z</dcterms:created>
  <dcterms:modified xsi:type="dcterms:W3CDTF">2026-07-24T14:44:37Z</dcterms:modified>
</cp:coreProperties>
</file>