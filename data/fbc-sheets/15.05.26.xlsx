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15.05.26/"/>
    </mc:Choice>
  </mc:AlternateContent>
  <xr:revisionPtr revIDLastSave="0" documentId="8_{DF98BCFA-AEE2-4F90-A172-8B346C9100DE}" xr6:coauthVersionLast="47" xr6:coauthVersionMax="47" xr10:uidLastSave="{00000000-0000-0000-0000-000000000000}"/>
  <bookViews>
    <workbookView xWindow="-108" yWindow="-108" windowWidth="23256" windowHeight="12456" xr2:uid="{936BB4FC-0EFA-4911-B0EA-2687812209C7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Q83" i="1"/>
  <c r="M83" i="1"/>
  <c r="L83" i="1"/>
  <c r="K83" i="1"/>
  <c r="E83" i="1" s="1"/>
  <c r="J83" i="1"/>
  <c r="P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M74" i="1"/>
  <c r="L74" i="1"/>
  <c r="J74" i="1"/>
  <c r="K74" i="1" s="1"/>
  <c r="E74" i="1" s="1"/>
  <c r="O72" i="1"/>
  <c r="N72" i="1"/>
  <c r="M71" i="1"/>
  <c r="L71" i="1"/>
  <c r="J71" i="1"/>
  <c r="P71" i="1" s="1"/>
  <c r="M70" i="1"/>
  <c r="L70" i="1"/>
  <c r="J70" i="1"/>
  <c r="Q70" i="1" s="1"/>
  <c r="M67" i="1"/>
  <c r="L67" i="1"/>
  <c r="D67" i="1"/>
  <c r="O65" i="1"/>
  <c r="N65" i="1"/>
  <c r="M64" i="1"/>
  <c r="L64" i="1"/>
  <c r="J64" i="1"/>
  <c r="Q64" i="1" s="1"/>
  <c r="M63" i="1"/>
  <c r="L63" i="1"/>
  <c r="J63" i="1"/>
  <c r="Q63" i="1" s="1"/>
  <c r="M62" i="1"/>
  <c r="L62" i="1"/>
  <c r="J62" i="1"/>
  <c r="Q62" i="1" s="1"/>
  <c r="M61" i="1"/>
  <c r="L61" i="1"/>
  <c r="J61" i="1"/>
  <c r="Q61" i="1" s="1"/>
  <c r="M60" i="1"/>
  <c r="L60" i="1"/>
  <c r="J60" i="1"/>
  <c r="Q60" i="1" s="1"/>
  <c r="M59" i="1"/>
  <c r="L59" i="1"/>
  <c r="J59" i="1"/>
  <c r="Q59" i="1" s="1"/>
  <c r="D59" i="1"/>
  <c r="M58" i="1"/>
  <c r="L58" i="1"/>
  <c r="J58" i="1"/>
  <c r="Q58" i="1" s="1"/>
  <c r="M57" i="1"/>
  <c r="L57" i="1"/>
  <c r="J57" i="1"/>
  <c r="Q57" i="1" s="1"/>
  <c r="M56" i="1"/>
  <c r="L56" i="1"/>
  <c r="J56" i="1"/>
  <c r="Q56" i="1" s="1"/>
  <c r="M55" i="1"/>
  <c r="L55" i="1"/>
  <c r="J55" i="1"/>
  <c r="Q55" i="1" s="1"/>
  <c r="M54" i="1"/>
  <c r="L54" i="1"/>
  <c r="J54" i="1"/>
  <c r="Q54" i="1" s="1"/>
  <c r="M53" i="1"/>
  <c r="L53" i="1"/>
  <c r="J53" i="1"/>
  <c r="D53" i="1" s="1"/>
  <c r="M52" i="1"/>
  <c r="L52" i="1"/>
  <c r="J52" i="1"/>
  <c r="D52" i="1" s="1"/>
  <c r="M51" i="1"/>
  <c r="L51" i="1"/>
  <c r="J51" i="1"/>
  <c r="D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P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P32" i="1" s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P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J16" i="1"/>
  <c r="P16" i="1" s="1"/>
  <c r="E16" i="1"/>
  <c r="Q15" i="1"/>
  <c r="M15" i="1"/>
  <c r="L15" i="1"/>
  <c r="K15" i="1"/>
  <c r="E15" i="1" s="1"/>
  <c r="J15" i="1"/>
  <c r="D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J13" i="1"/>
  <c r="P13" i="1" s="1"/>
  <c r="E13" i="1"/>
  <c r="Q12" i="1"/>
  <c r="M12" i="1"/>
  <c r="L12" i="1"/>
  <c r="K12" i="1"/>
  <c r="J12" i="1"/>
  <c r="D12" i="1" s="1"/>
  <c r="E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D9" i="1" s="1"/>
  <c r="D19" i="1" l="1"/>
  <c r="D26" i="1"/>
  <c r="D11" i="1"/>
  <c r="D13" i="1"/>
  <c r="D17" i="1"/>
  <c r="D29" i="1"/>
  <c r="D55" i="1"/>
  <c r="D57" i="1"/>
  <c r="D63" i="1"/>
  <c r="D61" i="1"/>
  <c r="P28" i="1"/>
  <c r="D37" i="1"/>
  <c r="D41" i="1"/>
  <c r="D45" i="1"/>
  <c r="D35" i="1"/>
  <c r="D40" i="1"/>
  <c r="D44" i="1"/>
  <c r="D46" i="1"/>
  <c r="P39" i="1"/>
  <c r="K70" i="1"/>
  <c r="E70" i="1" s="1"/>
  <c r="P22" i="1"/>
  <c r="P55" i="1"/>
  <c r="P57" i="1"/>
  <c r="P59" i="1"/>
  <c r="P61" i="1"/>
  <c r="P63" i="1"/>
  <c r="P20" i="1"/>
  <c r="D10" i="1"/>
  <c r="D32" i="1"/>
  <c r="D34" i="1"/>
  <c r="D43" i="1"/>
  <c r="Q53" i="1"/>
  <c r="D70" i="1"/>
  <c r="D74" i="1"/>
  <c r="D23" i="1"/>
  <c r="D25" i="1"/>
  <c r="D54" i="1"/>
  <c r="D56" i="1"/>
  <c r="D58" i="1"/>
  <c r="D60" i="1"/>
  <c r="D62" i="1"/>
  <c r="D64" i="1"/>
  <c r="P74" i="1"/>
  <c r="P51" i="1"/>
  <c r="Q51" i="1"/>
  <c r="P54" i="1"/>
  <c r="P56" i="1"/>
  <c r="P58" i="1"/>
  <c r="P60" i="1"/>
  <c r="P62" i="1"/>
  <c r="P64" i="1"/>
  <c r="P70" i="1"/>
  <c r="Q74" i="1"/>
  <c r="D16" i="1"/>
  <c r="Q71" i="1"/>
  <c r="P52" i="1"/>
  <c r="Q52" i="1"/>
  <c r="J84" i="1"/>
  <c r="P9" i="1"/>
  <c r="P12" i="1"/>
  <c r="P15" i="1"/>
  <c r="D21" i="1"/>
  <c r="D24" i="1"/>
  <c r="D27" i="1"/>
  <c r="D33" i="1"/>
  <c r="D36" i="1"/>
  <c r="D71" i="1"/>
  <c r="D83" i="1"/>
  <c r="K84" i="1"/>
  <c r="E84" i="1" s="1"/>
  <c r="K71" i="1"/>
  <c r="E71" i="1" s="1"/>
  <c r="D84" i="1" l="1"/>
  <c r="P84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<sst xmlns="http://schemas.openxmlformats.org/spreadsheetml/2006/main" count="265" uniqueCount="182">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</sst>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F6E2FAAF-C47F-46D3-87B3-C38EE9C1DEFA}"/>
    <cellStyle name="Comma 5 2 2 2 2 2 2 2 2" xfId="4" xr:uid="{2685DE2F-B360-4BDA-A848-8395ED25F269}"/>
    <cellStyle name="Comma 6 2 2 2" xfId="5" xr:uid="{079F43BD-761E-420F-BDDB-A2F41C973FE2}"/>
    <cellStyle name="Hyperlink 2" xfId="8" xr:uid="{3B313D10-3E2A-446A-A87E-BCD085F93D8A}"/>
    <cellStyle name="Normal" xfId="0" builtinId="0"/>
    <cellStyle name="Normal 2" xfId="2" xr:uid="{9F0AED25-DA04-4640-8B5C-4D16AF0AA750}"/>
    <cellStyle name="Normal 20" xfId="7" xr:uid="{4B0086C9-36E9-474B-B25E-094FC49A2A89}"/>
    <cellStyle name="Percent" xfId="1" builtinId="5"/>
    <cellStyle name="Percent 3" xfId="6" xr:uid="{7DF57115-2A66-4B95-9470-18C2F3DC918F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2C774BFC-37FC-4777-BADF-2DC8A49FC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1175658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24C93EF-7B63-4CEE-9838-41CDB87F7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5991499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C93B-8A3A-4F7C-B77C-0082B17D2B71}">
  <dimension ref="A1:II106"/>
  <sheetViews>
    <sheetView tabSelected="1" zoomScale="70" zoomScaleNormal="70" workbookViewId="0">
      <selection activeCell="T32" sqref="T32:T3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25.813500000000001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76356144.350824192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0.61208282487845511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2.4506487341772149E-2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4318538.6816007122</v>
      </c>
      <c r="E10" s="39">
        <f>C10*K10</f>
        <v>3715886.6085833325</v>
      </c>
      <c r="F10" s="40" t="s">
        <v>34</v>
      </c>
      <c r="G10" s="41">
        <v>3.1600000000000003E-2</v>
      </c>
      <c r="H10" s="42">
        <v>6.8499999999999991E-2</v>
      </c>
      <c r="I10" s="42">
        <v>6.8499999999999991E-2</v>
      </c>
      <c r="J10" s="43">
        <f>I10/$J$5</f>
        <v>2.6536502217831752E-3</v>
      </c>
      <c r="K10" s="44">
        <f>I10/$K$4</f>
        <v>2.283333333333333E-3</v>
      </c>
      <c r="L10" s="45">
        <f>I10-H10</f>
        <v>0</v>
      </c>
      <c r="M10" s="45">
        <f>((I10-H10)/H10)*100</f>
        <v>0</v>
      </c>
      <c r="N10" s="46">
        <v>12000</v>
      </c>
      <c r="O10" s="37">
        <v>822</v>
      </c>
      <c r="P10" s="50">
        <f>(R10)/J10</f>
        <v>0</v>
      </c>
      <c r="Q10" s="48">
        <f>I10/G10-1</f>
        <v>1.1677215189873413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3724214.8093052083</v>
      </c>
      <c r="E11" s="39">
        <f>C11*K11</f>
        <v>3204500.6326666665</v>
      </c>
      <c r="F11" s="40" t="s">
        <v>39</v>
      </c>
      <c r="G11" s="41">
        <v>7.8E-2</v>
      </c>
      <c r="H11" s="42">
        <v>0.195107</v>
      </c>
      <c r="I11" s="42">
        <v>0.22</v>
      </c>
      <c r="J11" s="43">
        <f>I11/$J$5</f>
        <v>8.522672245143045E-3</v>
      </c>
      <c r="K11" s="44">
        <f>I11/$K$4</f>
        <v>7.3333333333333332E-3</v>
      </c>
      <c r="L11" s="45">
        <f>I11-H11</f>
        <v>2.4892999999999998E-2</v>
      </c>
      <c r="M11" s="45">
        <f>((I11-H11)/H11)*100</f>
        <v>12.758640130800023</v>
      </c>
      <c r="N11" s="46">
        <v>1600</v>
      </c>
      <c r="O11" s="37">
        <v>352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133279962.33836947</v>
      </c>
      <c r="E12" s="39">
        <f>C12*K12</f>
        <v>114680743.59405002</v>
      </c>
      <c r="F12" s="40" t="s">
        <v>34</v>
      </c>
      <c r="G12" s="41">
        <v>97.381</v>
      </c>
      <c r="H12" s="42">
        <v>144.99120000000002</v>
      </c>
      <c r="I12" s="42">
        <v>166.73950000000002</v>
      </c>
      <c r="J12" s="43">
        <f>I12/$J$5</f>
        <v>6.4593914037228588</v>
      </c>
      <c r="K12" s="44">
        <f>I12/$K$4</f>
        <v>5.5579833333333344</v>
      </c>
      <c r="L12" s="45">
        <f>I12-H12</f>
        <v>21.7483</v>
      </c>
      <c r="M12" s="45">
        <f>((I12-H12)/H12)*100</f>
        <v>14.999737915128641</v>
      </c>
      <c r="N12" s="46">
        <v>200</v>
      </c>
      <c r="O12" s="37">
        <v>33347.9</v>
      </c>
      <c r="P12" s="50">
        <f>(R12)/J12</f>
        <v>0</v>
      </c>
      <c r="Q12" s="48">
        <f>I12/G12-1</f>
        <v>0.71223852702272539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4399447.5413252749</v>
      </c>
      <c r="E13" s="39">
        <f>C13*K13</f>
        <v>3785504.6369333328</v>
      </c>
      <c r="F13" s="40" t="s">
        <v>44</v>
      </c>
      <c r="G13" s="41">
        <v>13.6</v>
      </c>
      <c r="H13" s="42">
        <v>13.000999999999999</v>
      </c>
      <c r="I13" s="42">
        <v>13.000999999999999</v>
      </c>
      <c r="J13" s="43">
        <f>I13/$J$5</f>
        <v>0.50365119026865779</v>
      </c>
      <c r="K13" s="44">
        <f>I13/$K$4</f>
        <v>0.43336666666666662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-4.4044117647058845E-2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323961626.28082204</v>
      </c>
      <c r="E14" s="39">
        <f>C14*K14</f>
        <v>278752781.33333331</v>
      </c>
      <c r="F14" s="40" t="s">
        <v>47</v>
      </c>
      <c r="G14" s="41">
        <v>11.5</v>
      </c>
      <c r="H14" s="42">
        <v>16</v>
      </c>
      <c r="I14" s="42">
        <v>16</v>
      </c>
      <c r="J14" s="43">
        <f>I14/$J$5</f>
        <v>0.61983070873767598</v>
      </c>
      <c r="K14" s="44">
        <f>I14/$K$4</f>
        <v>0.53333333333333333</v>
      </c>
      <c r="L14" s="45">
        <f>I14-H14</f>
        <v>0</v>
      </c>
      <c r="M14" s="45">
        <f>((I14-H14)/H14)*100</f>
        <v>0</v>
      </c>
      <c r="N14" s="46">
        <v>5000</v>
      </c>
      <c r="O14" s="37">
        <v>80000</v>
      </c>
      <c r="P14" s="50">
        <f>(R14)/J14</f>
        <v>0</v>
      </c>
      <c r="Q14" s="48">
        <f>I14/G14-1</f>
        <v>0.39130434782608692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24647771.514904991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0.23243651577662849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37445640.172844291</v>
      </c>
      <c r="E16" s="39">
        <f>C16*K16</f>
        <v>32220101.086723868</v>
      </c>
      <c r="F16" s="40" t="s">
        <v>34</v>
      </c>
      <c r="G16" s="41">
        <v>1.9</v>
      </c>
      <c r="H16" s="42">
        <v>2.7025000000000001</v>
      </c>
      <c r="I16" s="42">
        <v>2.700002</v>
      </c>
      <c r="J16" s="43">
        <f>I16/$J$5</f>
        <v>0.10459650957832142</v>
      </c>
      <c r="K16" s="44">
        <f>I16/$K$4</f>
        <v>9.000006666666667E-2</v>
      </c>
      <c r="L16" s="45">
        <f>I16-H16</f>
        <v>-2.4980000000001112E-3</v>
      </c>
      <c r="M16" s="45">
        <f>((I16-H16)/H16)*100</f>
        <v>-9.2432932469939361E-2</v>
      </c>
      <c r="N16" s="46">
        <v>238800</v>
      </c>
      <c r="O16" s="37">
        <v>644760.5</v>
      </c>
      <c r="P16" s="50">
        <f>(R16)/J16</f>
        <v>0</v>
      </c>
      <c r="Q16" s="48">
        <f>I16/G16-1</f>
        <v>0.42105368421052636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1534325762.8039978</v>
      </c>
      <c r="E17" s="39">
        <f>C17*K17</f>
        <v>1320210602.6046999</v>
      </c>
      <c r="F17" s="40" t="s">
        <v>34</v>
      </c>
      <c r="G17" s="41">
        <v>20.701700000000002</v>
      </c>
      <c r="H17" s="42">
        <v>29.3523</v>
      </c>
      <c r="I17" s="42">
        <v>29.5214</v>
      </c>
      <c r="J17" s="43">
        <f>I17/$J$5</f>
        <v>1.1436418928080267</v>
      </c>
      <c r="K17" s="44">
        <f>I17/$K$4</f>
        <v>0.98404666666666663</v>
      </c>
      <c r="L17" s="45">
        <f>I17-H17</f>
        <v>0.16910000000000025</v>
      </c>
      <c r="M17" s="45">
        <f>((I17-H17)/H17)*100</f>
        <v>0.57610476862119919</v>
      </c>
      <c r="N17" s="46">
        <v>354300</v>
      </c>
      <c r="O17" s="37">
        <v>10459436.75</v>
      </c>
      <c r="P17" s="47">
        <f>(R17)/J17</f>
        <v>4.3719979404770778E-2</v>
      </c>
      <c r="Q17" s="48">
        <f>I17/G17-1</f>
        <v>0.42603747518319723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286277975.36851645</v>
      </c>
      <c r="E19" s="39">
        <f>C19*K19</f>
        <v>246327883.90584001</v>
      </c>
      <c r="F19" s="40" t="s">
        <v>47</v>
      </c>
      <c r="G19" s="41">
        <v>12.45</v>
      </c>
      <c r="H19" s="42">
        <v>11.4681</v>
      </c>
      <c r="I19" s="42">
        <v>10.9976</v>
      </c>
      <c r="J19" s="43">
        <f>I19/$J$5</f>
        <v>0.4260406376508416</v>
      </c>
      <c r="K19" s="44">
        <f>I19/$K$4</f>
        <v>0.36658666666666667</v>
      </c>
      <c r="L19" s="45">
        <f>I19-H19</f>
        <v>-0.47049999999999947</v>
      </c>
      <c r="M19" s="45">
        <f>((I19-H19)/H19)*100</f>
        <v>-4.1026848388137482</v>
      </c>
      <c r="N19" s="46">
        <v>7700</v>
      </c>
      <c r="O19" s="37">
        <v>84681.5</v>
      </c>
      <c r="P19" s="50">
        <f>(R19)/J19</f>
        <v>0</v>
      </c>
      <c r="Q19" s="48">
        <f>I19/G19-1</f>
        <v>-0.11665863453815251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2441107.9414369613</v>
      </c>
      <c r="E20" s="39">
        <f>C20*K20</f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>I20/$J$5</f>
        <v>2.2411257675247449E-2</v>
      </c>
      <c r="K20" s="44">
        <f>I20/$K$4</f>
        <v>1.9283766666666667E-2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49906726.146435775</v>
      </c>
      <c r="E21" s="39">
        <f>C21*K21</f>
        <v>42942242.512700662</v>
      </c>
      <c r="F21" s="40" t="s">
        <v>47</v>
      </c>
      <c r="G21" s="41">
        <v>2.85</v>
      </c>
      <c r="H21" s="42">
        <v>2</v>
      </c>
      <c r="I21" s="42">
        <v>1.8666669999999999</v>
      </c>
      <c r="J21" s="43">
        <f>I21/$J$5</f>
        <v>7.231359559920196E-2</v>
      </c>
      <c r="K21" s="44">
        <f>I21/$K$4</f>
        <v>6.2222233333333328E-2</v>
      </c>
      <c r="L21" s="45">
        <f>I21-H21</f>
        <v>-0.13333300000000015</v>
      </c>
      <c r="M21" s="45">
        <f>((I21-H21)/H21)*100</f>
        <v>-6.6666500000000077</v>
      </c>
      <c r="N21" s="46">
        <v>2400</v>
      </c>
      <c r="O21" s="37">
        <v>4480</v>
      </c>
      <c r="P21" s="50">
        <f>(R21)/J21</f>
        <v>0</v>
      </c>
      <c r="Q21" s="48">
        <f>I21/G21-1</f>
        <v>-0.34502912280701759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50490117.665084198</v>
      </c>
      <c r="E22" s="39">
        <f>C22*K22</f>
        <v>43444221.744921699</v>
      </c>
      <c r="F22" s="40" t="s">
        <v>66</v>
      </c>
      <c r="G22" s="41">
        <v>0.88420599999999994</v>
      </c>
      <c r="H22" s="42">
        <v>1.05</v>
      </c>
      <c r="I22" s="42">
        <v>1.0544070000000001</v>
      </c>
      <c r="J22" s="43">
        <f>I22/$J$5</f>
        <v>4.0847114881747922E-2</v>
      </c>
      <c r="K22" s="44">
        <f>I22/$K$4</f>
        <v>3.5146900000000002E-2</v>
      </c>
      <c r="L22" s="45">
        <f>I22-H22</f>
        <v>4.4070000000000498E-3</v>
      </c>
      <c r="M22" s="45">
        <f>((I22-H22)/H22)*100</f>
        <v>0.41971428571429042</v>
      </c>
      <c r="N22" s="46">
        <v>5900</v>
      </c>
      <c r="O22" s="37">
        <v>6221</v>
      </c>
      <c r="P22" s="50">
        <f>(R22)/J22</f>
        <v>0</v>
      </c>
      <c r="Q22" s="48">
        <f>I22/G22-1</f>
        <v>0.1924902115570355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2494455.7987099774</v>
      </c>
      <c r="E23" s="39">
        <f>C23*K23</f>
        <v>2146354.4920000001</v>
      </c>
      <c r="F23" s="40" t="s">
        <v>44</v>
      </c>
      <c r="G23" s="41">
        <v>0.1</v>
      </c>
      <c r="H23" s="42">
        <v>0.12</v>
      </c>
      <c r="I23" s="42">
        <v>0.12</v>
      </c>
      <c r="J23" s="43">
        <f>I23/$J$5</f>
        <v>4.6487303155325699E-3</v>
      </c>
      <c r="K23" s="44">
        <f>I23/$K$4</f>
        <v>4.0000000000000001E-3</v>
      </c>
      <c r="L23" s="45">
        <f>I23-H23</f>
        <v>0</v>
      </c>
      <c r="M23" s="45">
        <f>((I23-H23)/H23)*100</f>
        <v>0</v>
      </c>
      <c r="N23" s="46">
        <v>400</v>
      </c>
      <c r="O23" s="37">
        <v>48</v>
      </c>
      <c r="P23" s="50">
        <f>(R23)/J23</f>
        <v>0</v>
      </c>
      <c r="Q23" s="48">
        <f>I23/G23-1</f>
        <v>0.19999999999999996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71709268.745423898</v>
      </c>
      <c r="E24" s="39">
        <f>C24*K24</f>
        <v>61702240.291999996</v>
      </c>
      <c r="F24" s="40" t="s">
        <v>34</v>
      </c>
      <c r="G24" s="41">
        <v>8.1687659999999997</v>
      </c>
      <c r="H24" s="42">
        <v>9.59</v>
      </c>
      <c r="I24" s="42">
        <v>9.59</v>
      </c>
      <c r="J24" s="43">
        <f>I24/$J$5</f>
        <v>0.37151103104964456</v>
      </c>
      <c r="K24" s="44">
        <f>I24/$K$4</f>
        <v>0.31966666666666665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0.17398392853951261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84858079.829624027</v>
      </c>
      <c r="E25" s="39">
        <f>C25*K25</f>
        <v>73016134.789399996</v>
      </c>
      <c r="F25" s="40" t="s">
        <v>66</v>
      </c>
      <c r="G25" s="41">
        <v>1.6675</v>
      </c>
      <c r="H25" s="42">
        <v>1.2949999999999999</v>
      </c>
      <c r="I25" s="42">
        <v>1.298</v>
      </c>
      <c r="J25" s="43">
        <f>I25/$J$5</f>
        <v>5.0283766246343967E-2</v>
      </c>
      <c r="K25" s="44">
        <f>I25/$K$4</f>
        <v>4.3266666666666669E-2</v>
      </c>
      <c r="L25" s="45">
        <f>I25-H25</f>
        <v>3.0000000000001137E-3</v>
      </c>
      <c r="M25" s="45">
        <f>((I25-H25)/H25)*100</f>
        <v>0.23166023166024044</v>
      </c>
      <c r="N25" s="46">
        <v>100</v>
      </c>
      <c r="O25" s="37">
        <v>129.80000000000001</v>
      </c>
      <c r="P25" s="50">
        <f>(R25)/J25</f>
        <v>0</v>
      </c>
      <c r="Q25" s="48">
        <f>I25/G25-1</f>
        <v>-0.22158920539730131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32365409.31799252</v>
      </c>
      <c r="E26" s="39">
        <f>C26*K26</f>
        <v>27848816.447666667</v>
      </c>
      <c r="F26" s="40" t="s">
        <v>44</v>
      </c>
      <c r="G26" s="41">
        <v>1.7994999999999999</v>
      </c>
      <c r="H26" s="42">
        <v>3.49</v>
      </c>
      <c r="I26" s="42">
        <v>3.49</v>
      </c>
      <c r="J26" s="43">
        <f>I26/$J$5</f>
        <v>0.13520057334340557</v>
      </c>
      <c r="K26" s="44">
        <f>I26/$K$4</f>
        <v>0.11633333333333334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0.93942761878299552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31059399.900439687</v>
      </c>
      <c r="E27" s="39">
        <f>C27*K27</f>
        <v>26725060.644333333</v>
      </c>
      <c r="F27" s="40" t="s">
        <v>34</v>
      </c>
      <c r="G27" s="41">
        <v>3.1361369999999997</v>
      </c>
      <c r="H27" s="42">
        <v>3</v>
      </c>
      <c r="I27" s="42">
        <v>3.13</v>
      </c>
      <c r="J27" s="43">
        <f>I27/$J$5</f>
        <v>0.12125438239680786</v>
      </c>
      <c r="K27" s="44">
        <f>I27/$K$4</f>
        <v>0.10433333333333333</v>
      </c>
      <c r="L27" s="45">
        <f>I27-H27</f>
        <v>0.12999999999999989</v>
      </c>
      <c r="M27" s="45">
        <f>((I27-H27)/H27)*100</f>
        <v>4.3333333333333304</v>
      </c>
      <c r="N27" s="46">
        <v>200</v>
      </c>
      <c r="O27" s="37">
        <v>626</v>
      </c>
      <c r="P27" s="50">
        <f>(R27)/J27</f>
        <v>0</v>
      </c>
      <c r="Q27" s="48">
        <f>I27/G27-1</f>
        <v>-1.9568660425229867E-3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24970183.437077496</v>
      </c>
      <c r="E28" s="39">
        <f>C28*K28</f>
        <v>21485594.338433333</v>
      </c>
      <c r="F28" s="40" t="s">
        <v>44</v>
      </c>
      <c r="G28" s="41">
        <v>0.8</v>
      </c>
      <c r="H28" s="42">
        <v>0.85299999999999998</v>
      </c>
      <c r="I28" s="42">
        <v>0.85299999999999998</v>
      </c>
      <c r="J28" s="43">
        <f>I28/$J$5</f>
        <v>3.3044724659577349E-2</v>
      </c>
      <c r="K28" s="44">
        <f>I28/$K$4</f>
        <v>2.8433333333333331E-2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6.624999999999992E-2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81426186.632750303</v>
      </c>
      <c r="E29" s="39">
        <f>C29*K29</f>
        <v>70063162.288149998</v>
      </c>
      <c r="F29" s="40" t="s">
        <v>47</v>
      </c>
      <c r="G29" s="41">
        <v>5.15</v>
      </c>
      <c r="H29" s="42">
        <v>5.2004999999999999</v>
      </c>
      <c r="I29" s="42">
        <v>5.2004999999999999</v>
      </c>
      <c r="J29" s="43">
        <f>I29/$J$5</f>
        <v>0.20146435004939275</v>
      </c>
      <c r="K29" s="44">
        <f>I29/$K$4</f>
        <v>0.17335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9.8058252427184467E-3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14345572.462083792</v>
      </c>
      <c r="E32" s="39">
        <f>C32*K32</f>
        <v>12343647.824999999</v>
      </c>
      <c r="F32" s="40" t="s">
        <v>39</v>
      </c>
      <c r="G32" s="41">
        <v>1.4</v>
      </c>
      <c r="H32" s="42">
        <v>1.425</v>
      </c>
      <c r="I32" s="42">
        <v>1.425</v>
      </c>
      <c r="J32" s="43">
        <f>I32/$J$5</f>
        <v>5.5203672496949269E-2</v>
      </c>
      <c r="K32" s="44">
        <f>I32/$K$4</f>
        <v>4.7500000000000001E-2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1.7857142857143016E-2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3545513.1036085766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2.9054564472078562E-2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167246103.37187904</v>
      </c>
      <c r="E34" s="39">
        <f>C34*K34</f>
        <v>143906909.64633334</v>
      </c>
      <c r="F34" s="40" t="s">
        <v>92</v>
      </c>
      <c r="G34" s="41">
        <v>1.44</v>
      </c>
      <c r="H34" s="42">
        <v>1.73</v>
      </c>
      <c r="I34" s="42">
        <v>1.73</v>
      </c>
      <c r="J34" s="43">
        <f>I34/$J$5</f>
        <v>6.7019195382261212E-2</v>
      </c>
      <c r="K34" s="44">
        <f>I34/$K$4</f>
        <v>5.7666666666666665E-2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0.20138888888888884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39861517.479826473</v>
      </c>
      <c r="E35" s="39">
        <f>C35*K35</f>
        <v>34298842.715516694</v>
      </c>
      <c r="F35" s="40" t="s">
        <v>34</v>
      </c>
      <c r="G35" s="41">
        <v>3.6056249999999999</v>
      </c>
      <c r="H35" s="42">
        <v>3.9601990000000002</v>
      </c>
      <c r="I35" s="42">
        <v>4.0591469999999994</v>
      </c>
      <c r="J35" s="43">
        <f>I35/$J$5</f>
        <v>0.15724899761752567</v>
      </c>
      <c r="K35" s="44">
        <f>I35/$K$4</f>
        <v>0.13530489999999998</v>
      </c>
      <c r="L35" s="45">
        <f>I35-H35</f>
        <v>9.8947999999999148E-2</v>
      </c>
      <c r="M35" s="45">
        <f>((I35-H35)/H35)*100</f>
        <v>2.4985613096715378</v>
      </c>
      <c r="N35" s="46">
        <v>1700</v>
      </c>
      <c r="O35" s="37">
        <v>6900.55</v>
      </c>
      <c r="P35" s="50">
        <f>(R35)/J35</f>
        <v>0</v>
      </c>
      <c r="Q35" s="48">
        <f>I35/G35-1</f>
        <v>0.12578179927197075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7314969.7325287927</v>
      </c>
      <c r="E36" s="39">
        <f>C36*K36</f>
        <v>6294165.7063544001</v>
      </c>
      <c r="F36" s="40" t="s">
        <v>34</v>
      </c>
      <c r="G36" s="41">
        <v>2.5099999999999997E-2</v>
      </c>
      <c r="H36" s="42">
        <v>3.8199999999999998E-2</v>
      </c>
      <c r="I36" s="42">
        <v>4.0046999999999999E-2</v>
      </c>
      <c r="J36" s="43">
        <f>I36/$J$5</f>
        <v>1.5513975245511069E-3</v>
      </c>
      <c r="K36" s="44">
        <f>I36/$K$4</f>
        <v>1.3349E-3</v>
      </c>
      <c r="L36" s="45">
        <f>I36-H36</f>
        <v>1.8470000000000014E-3</v>
      </c>
      <c r="M36" s="45">
        <f>((I36-H36)/H36)*100</f>
        <v>4.8350785340314175</v>
      </c>
      <c r="N36" s="46">
        <v>19300</v>
      </c>
      <c r="O36" s="37">
        <v>772.9</v>
      </c>
      <c r="P36" s="50">
        <f>(R36)/J36</f>
        <v>0</v>
      </c>
      <c r="Q36" s="48">
        <f>I36/G36-1</f>
        <v>0.59549800796812757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39050715.638619326</v>
      </c>
      <c r="E37" s="39">
        <f>C37*K37</f>
        <v>33601188.271250002</v>
      </c>
      <c r="F37" s="40" t="s">
        <v>92</v>
      </c>
      <c r="G37" s="41">
        <v>0.61</v>
      </c>
      <c r="H37" s="42">
        <v>3.7653400000000001</v>
      </c>
      <c r="I37" s="42">
        <v>3.8612500000000001</v>
      </c>
      <c r="J37" s="43">
        <f>I37/$J$5</f>
        <v>0.14958258275708447</v>
      </c>
      <c r="K37" s="44">
        <f>I37/$K$4</f>
        <v>0.12870833333333334</v>
      </c>
      <c r="L37" s="45">
        <f>I37-H37</f>
        <v>9.590999999999994E-2</v>
      </c>
      <c r="M37" s="45">
        <f>((I37-H37)/H37)*100</f>
        <v>2.5471803343124377</v>
      </c>
      <c r="N37" s="46">
        <v>400</v>
      </c>
      <c r="O37" s="37">
        <v>1544.5</v>
      </c>
      <c r="P37" s="50">
        <f>(R37)/J37</f>
        <v>0</v>
      </c>
      <c r="Q37" s="48">
        <f>I37/G37-1</f>
        <v>5.3299180327868854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24131849.321343482</v>
      </c>
      <c r="E38" s="39">
        <f>C38*K38</f>
        <v>20764249.748549998</v>
      </c>
      <c r="F38" s="40" t="s">
        <v>56</v>
      </c>
      <c r="G38" s="41">
        <v>0.11650199999999999</v>
      </c>
      <c r="H38" s="42">
        <v>0.13</v>
      </c>
      <c r="I38" s="42">
        <v>0.14849999999999999</v>
      </c>
      <c r="J38" s="43">
        <f>I38/$J$5</f>
        <v>5.752803765471555E-3</v>
      </c>
      <c r="K38" s="44">
        <f>I38/$K$4</f>
        <v>4.9499999999999995E-3</v>
      </c>
      <c r="L38" s="45">
        <f>I38-H38</f>
        <v>1.8499999999999989E-2</v>
      </c>
      <c r="M38" s="45">
        <f>((I38-H38)/H38)*100</f>
        <v>14.230769230769221</v>
      </c>
      <c r="N38" s="46">
        <v>500</v>
      </c>
      <c r="O38" s="37">
        <v>74.25</v>
      </c>
      <c r="P38" s="50">
        <v>0</v>
      </c>
      <c r="Q38" s="48">
        <f>I38/G38-1</f>
        <v>0.27465622907761245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95745903.014701605</v>
      </c>
      <c r="E39" s="39">
        <f>C39*K39</f>
        <v>82384562.248999998</v>
      </c>
      <c r="F39" s="40" t="s">
        <v>34</v>
      </c>
      <c r="G39" s="41">
        <v>2.6005000000000003</v>
      </c>
      <c r="H39" s="42">
        <v>6</v>
      </c>
      <c r="I39" s="42">
        <v>6.81</v>
      </c>
      <c r="J39" s="43">
        <f>I39/$J$5</f>
        <v>0.26381544540647334</v>
      </c>
      <c r="K39" s="44">
        <f>I39/$K$4</f>
        <v>0.22699999999999998</v>
      </c>
      <c r="L39" s="45">
        <f>I39-H39</f>
        <v>0.80999999999999961</v>
      </c>
      <c r="M39" s="45">
        <f>((I39-H39)/H39)*100</f>
        <v>13.499999999999993</v>
      </c>
      <c r="N39" s="46">
        <v>100</v>
      </c>
      <c r="O39" s="37">
        <v>681</v>
      </c>
      <c r="P39" s="50">
        <f>(R39)/J39</f>
        <v>0</v>
      </c>
      <c r="Q39" s="48">
        <f>I39/G39-1</f>
        <v>1.6187271678523358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15080424.204768822</v>
      </c>
      <c r="E40" s="39">
        <f>C40*K40</f>
        <v>12975951.006993333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3.4942956205086485E-3</v>
      </c>
      <c r="K40" s="44">
        <f>I40/$K$4</f>
        <v>3.0066666666666666E-3</v>
      </c>
      <c r="L40" s="45">
        <f>I40-H40</f>
        <v>0</v>
      </c>
      <c r="M40" s="45">
        <f>((I40-H40)/H40)*100</f>
        <v>0</v>
      </c>
      <c r="N40" s="46">
        <v>5000</v>
      </c>
      <c r="O40" s="37">
        <v>451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7218312.6949077025</v>
      </c>
      <c r="E41" s="39">
        <f>C41*K41</f>
        <v>6210997.1583333332</v>
      </c>
      <c r="F41" s="40" t="s">
        <v>44</v>
      </c>
      <c r="G41" s="41">
        <v>1.7452379999999998</v>
      </c>
      <c r="H41" s="42">
        <v>1.75</v>
      </c>
      <c r="I41" s="42">
        <v>1.75</v>
      </c>
      <c r="J41" s="43">
        <f>I41/$J$5</f>
        <v>6.7793983768183311E-2</v>
      </c>
      <c r="K41" s="44">
        <f>I41/$K$4</f>
        <v>5.8333333333333334E-2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2.7285676795945069E-3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2755149.7131346003</v>
      </c>
      <c r="E42" s="39">
        <f>C42*K42</f>
        <v>2370668.5706666666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1.5495767718441901E-3</v>
      </c>
      <c r="K42" s="44">
        <f>I42/$K$4</f>
        <v>1.3333333333333333E-3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35969953.807116427</v>
      </c>
      <c r="E43" s="39">
        <f>C43*K43</f>
        <v>30950346.753333334</v>
      </c>
      <c r="F43" s="40" t="s">
        <v>47</v>
      </c>
      <c r="G43" s="41">
        <v>4.5</v>
      </c>
      <c r="H43" s="42">
        <v>5.3</v>
      </c>
      <c r="I43" s="42">
        <v>5.3</v>
      </c>
      <c r="J43" s="43">
        <f>I43/$J$5</f>
        <v>0.20531892226935516</v>
      </c>
      <c r="K43" s="44">
        <f>I43/$K$4</f>
        <v>0.17666666666666667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0.17777777777777781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323.08977465279798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6.9730954732988554E-7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1566436.1671218546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2.7195072345865532E-3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45783880.949890561</v>
      </c>
      <c r="E46" s="39">
        <f>C46*K46</f>
        <v>39394740.363333337</v>
      </c>
      <c r="F46" s="40" t="s">
        <v>47</v>
      </c>
      <c r="G46" s="41">
        <v>0.9998999999999999</v>
      </c>
      <c r="H46" s="42">
        <v>0.64995800000000004</v>
      </c>
      <c r="I46" s="42">
        <v>0.65</v>
      </c>
      <c r="J46" s="43">
        <f>I46/$J$5</f>
        <v>2.5180622542468088E-2</v>
      </c>
      <c r="K46" s="44">
        <f>I46/$K$4</f>
        <v>2.1666666666666667E-2</v>
      </c>
      <c r="L46" s="45">
        <f>I46-H46</f>
        <v>4.1999999999986493E-5</v>
      </c>
      <c r="M46" s="45">
        <f>((I46-H46)/H46)*100</f>
        <v>6.4619560033089048E-3</v>
      </c>
      <c r="N46" s="46">
        <v>32400</v>
      </c>
      <c r="O46" s="37">
        <v>21060</v>
      </c>
      <c r="P46" s="50">
        <f>(R46)/J46</f>
        <v>0</v>
      </c>
      <c r="Q46" s="48">
        <f>I46/G46-1</f>
        <v>-0.34993499349934987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3979023.3792395447</v>
      </c>
      <c r="E47" s="39">
        <f>C47*K47</f>
        <v>3423750.6666666665</v>
      </c>
      <c r="F47" s="40" t="s">
        <v>47</v>
      </c>
      <c r="G47" s="41">
        <v>1.4503460000000001</v>
      </c>
      <c r="H47" s="42">
        <v>1.00678</v>
      </c>
      <c r="I47" s="42">
        <v>1</v>
      </c>
      <c r="J47" s="43">
        <f>I47/$J$5</f>
        <v>3.8739419296104749E-2</v>
      </c>
      <c r="K47" s="44">
        <f>I47/$K$4</f>
        <v>3.3333333333333333E-2</v>
      </c>
      <c r="L47" s="45">
        <f>I47-H47</f>
        <v>-6.7800000000000082E-3</v>
      </c>
      <c r="M47" s="45">
        <f>((I47-H47)/H47)*100</f>
        <v>-0.67343411668885045</v>
      </c>
      <c r="N47" s="46">
        <v>20000</v>
      </c>
      <c r="O47" s="37">
        <v>20000</v>
      </c>
      <c r="P47" s="50">
        <v>0</v>
      </c>
      <c r="Q47" s="48">
        <f>I47/G47-1</f>
        <v>-0.31050935431959004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708000</v>
      </c>
      <c r="O48" s="59">
        <f>SUM(O9:O47)</f>
        <v>11366389.650000002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71029799.423999995</v>
      </c>
      <c r="E51" s="39">
        <v>0</v>
      </c>
      <c r="F51" s="40" t="s">
        <v>92</v>
      </c>
      <c r="G51" s="67">
        <v>0.1</v>
      </c>
      <c r="H51" s="42">
        <v>0.12520000000000001</v>
      </c>
      <c r="I51" s="42">
        <v>0.128</v>
      </c>
      <c r="J51" s="43">
        <f>I51</f>
        <v>0.128</v>
      </c>
      <c r="K51" s="39">
        <v>0</v>
      </c>
      <c r="L51" s="45">
        <f>I51-H51</f>
        <v>2.7999999999999969E-3</v>
      </c>
      <c r="M51" s="45">
        <f>((I51-H51)/H51)*100</f>
        <v>2.2364217252396141</v>
      </c>
      <c r="N51" s="46">
        <v>17689</v>
      </c>
      <c r="O51" s="37">
        <v>2263.34</v>
      </c>
      <c r="P51" s="68">
        <f>(R51)/J51</f>
        <v>0</v>
      </c>
      <c r="Q51" s="48">
        <f>J51/G51-1</f>
        <v>0.28000000000000003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62403415</v>
      </c>
      <c r="E52" s="39">
        <v>0</v>
      </c>
      <c r="F52" s="40" t="s">
        <v>39</v>
      </c>
      <c r="G52" s="67">
        <v>39.9</v>
      </c>
      <c r="H52" s="42">
        <v>59</v>
      </c>
      <c r="I52" s="42">
        <v>59</v>
      </c>
      <c r="J52" s="43">
        <f>I52</f>
        <v>59</v>
      </c>
      <c r="K52" s="39">
        <v>0</v>
      </c>
      <c r="L52" s="45">
        <f>I52-H52</f>
        <v>0</v>
      </c>
      <c r="M52" s="45">
        <f>((I52-H52)/H52)*100</f>
        <v>0</v>
      </c>
      <c r="N52" s="46">
        <v>2</v>
      </c>
      <c r="O52" s="37">
        <v>118</v>
      </c>
      <c r="P52" s="70">
        <f>(R52)/J52</f>
        <v>9.4915254237288148E-3</v>
      </c>
      <c r="Q52" s="48">
        <f>J52/G52-1</f>
        <v>0.47869674185463662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736072147.93799996</v>
      </c>
      <c r="E53" s="39"/>
      <c r="F53" s="40" t="s">
        <v>56</v>
      </c>
      <c r="G53" s="67">
        <v>0.33</v>
      </c>
      <c r="H53" s="42">
        <v>0.25430000000000003</v>
      </c>
      <c r="I53" s="42">
        <v>0.246</v>
      </c>
      <c r="J53" s="43">
        <f>I53</f>
        <v>0.246</v>
      </c>
      <c r="K53" s="39">
        <v>0</v>
      </c>
      <c r="L53" s="45">
        <f>I53-H53</f>
        <v>-8.3000000000000296E-3</v>
      </c>
      <c r="M53" s="45">
        <f>((I53-H53)/H53)*100</f>
        <v>-3.2638615808100782</v>
      </c>
      <c r="N53" s="46">
        <v>43458</v>
      </c>
      <c r="O53" s="37">
        <v>10689.33</v>
      </c>
      <c r="P53" s="68">
        <v>0</v>
      </c>
      <c r="Q53" s="48">
        <f>J53/G53-1</f>
        <v>-0.25454545454545463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16219109.083799999</v>
      </c>
      <c r="E54" s="39">
        <v>0</v>
      </c>
      <c r="F54" s="40" t="s">
        <v>34</v>
      </c>
      <c r="G54" s="67">
        <v>2.3E-2</v>
      </c>
      <c r="H54" s="42">
        <v>0.03</v>
      </c>
      <c r="I54" s="42">
        <v>2.6599999999999999E-2</v>
      </c>
      <c r="J54" s="43">
        <f>I54</f>
        <v>2.6599999999999999E-2</v>
      </c>
      <c r="K54" s="39">
        <v>0</v>
      </c>
      <c r="L54" s="45">
        <f>I54-H54</f>
        <v>-3.4000000000000002E-3</v>
      </c>
      <c r="M54" s="45">
        <f>((I54-H54)/H54)*100</f>
        <v>-11.333333333333334</v>
      </c>
      <c r="N54" s="46">
        <v>1565</v>
      </c>
      <c r="O54" s="37">
        <v>41.61</v>
      </c>
      <c r="P54" s="68">
        <f>(R54)/J54</f>
        <v>0</v>
      </c>
      <c r="Q54" s="48">
        <f>J54/G54-1</f>
        <v>0.15652173913043477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239968228.11900002</v>
      </c>
      <c r="E55" s="39">
        <v>0</v>
      </c>
      <c r="F55" s="40" t="s">
        <v>47</v>
      </c>
      <c r="G55" s="67">
        <v>9.0200000000000002E-2</v>
      </c>
      <c r="H55" s="42">
        <v>0.1103</v>
      </c>
      <c r="I55" s="42">
        <v>0.111</v>
      </c>
      <c r="J55" s="43">
        <f>I55</f>
        <v>0.111</v>
      </c>
      <c r="K55" s="39">
        <v>0</v>
      </c>
      <c r="L55" s="45">
        <f>I55-H55</f>
        <v>7.0000000000000617E-4</v>
      </c>
      <c r="M55" s="71">
        <f>((I55-H55)/H55)*100</f>
        <v>0.63463281958296125</v>
      </c>
      <c r="N55" s="46">
        <v>19331</v>
      </c>
      <c r="O55" s="37">
        <v>2146.1</v>
      </c>
      <c r="P55" s="68">
        <f>(R55)/J55</f>
        <v>0</v>
      </c>
      <c r="Q55" s="48">
        <f>J55/G55-1</f>
        <v>0.23059866962305975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720023247.78999996</v>
      </c>
      <c r="E56" s="39">
        <v>0</v>
      </c>
      <c r="F56" s="40" t="s">
        <v>34</v>
      </c>
      <c r="G56" s="67">
        <v>0.95750000000000002</v>
      </c>
      <c r="H56" s="42">
        <v>1.2466999999999999</v>
      </c>
      <c r="I56" s="42">
        <v>1.2502</v>
      </c>
      <c r="J56" s="43">
        <f>I56</f>
        <v>1.2502</v>
      </c>
      <c r="K56" s="39">
        <v>0</v>
      </c>
      <c r="L56" s="45">
        <f>I56-H56</f>
        <v>3.5000000000000586E-3</v>
      </c>
      <c r="M56" s="45">
        <f>((I56-H56)/H56)*100</f>
        <v>0.28074115665357013</v>
      </c>
      <c r="N56" s="46">
        <v>1025284</v>
      </c>
      <c r="O56" s="37">
        <v>1281834.44</v>
      </c>
      <c r="P56" s="70">
        <f>(R56)/J56</f>
        <v>3.7593984962406013E-2</v>
      </c>
      <c r="Q56" s="48">
        <f>J56/G56-1</f>
        <v>0.30569190600522189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7">
        <v>0.1595</v>
      </c>
      <c r="H57" s="42">
        <v>0.15049999999999999</v>
      </c>
      <c r="I57" s="42">
        <v>0.15</v>
      </c>
      <c r="J57" s="43">
        <f>I57</f>
        <v>0.15</v>
      </c>
      <c r="K57" s="39">
        <v>0</v>
      </c>
      <c r="L57" s="45">
        <f>I57-H57</f>
        <v>-5.0000000000000044E-4</v>
      </c>
      <c r="M57" s="45">
        <f>((I57-H57)/H57)*100</f>
        <v>-0.33222591362126275</v>
      </c>
      <c r="N57" s="46">
        <v>2760</v>
      </c>
      <c r="O57" s="37">
        <v>414</v>
      </c>
      <c r="P57" s="68">
        <f>(R57)/J57</f>
        <v>0</v>
      </c>
      <c r="Q57" s="48">
        <f>J57/G57-1</f>
        <v>-5.9561128526645857E-2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14302460.088</v>
      </c>
      <c r="E58" s="39">
        <v>0</v>
      </c>
      <c r="F58" s="40" t="s">
        <v>92</v>
      </c>
      <c r="G58" s="67">
        <v>1.6799999999999999E-2</v>
      </c>
      <c r="H58" s="42">
        <v>1.7899999999999999E-2</v>
      </c>
      <c r="I58" s="42">
        <v>1.7999999999999999E-2</v>
      </c>
      <c r="J58" s="43">
        <f>I58</f>
        <v>1.7999999999999999E-2</v>
      </c>
      <c r="K58" s="39">
        <v>0</v>
      </c>
      <c r="L58" s="45">
        <f>I58-H58</f>
        <v>9.9999999999999395E-5</v>
      </c>
      <c r="M58" s="71">
        <f>((I58-H58)/H58)*100</f>
        <v>0.55865921787709161</v>
      </c>
      <c r="N58" s="46">
        <v>36093</v>
      </c>
      <c r="O58" s="37">
        <v>649.72</v>
      </c>
      <c r="P58" s="68">
        <f>(R58)/J58</f>
        <v>0</v>
      </c>
      <c r="Q58" s="48">
        <f>J58/G58-1</f>
        <v>7.1428571428571397E-2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7">
        <v>19.5</v>
      </c>
      <c r="H59" s="42">
        <v>19.5</v>
      </c>
      <c r="I59" s="42">
        <v>18</v>
      </c>
      <c r="J59" s="43">
        <f>I59</f>
        <v>18</v>
      </c>
      <c r="K59" s="39">
        <v>0</v>
      </c>
      <c r="L59" s="45">
        <f>I59-H59</f>
        <v>-1.5</v>
      </c>
      <c r="M59" s="45">
        <f>((I59-H59)/H59)*100</f>
        <v>-7.6923076923076925</v>
      </c>
      <c r="N59" s="46">
        <v>2</v>
      </c>
      <c r="O59" s="37">
        <v>36</v>
      </c>
      <c r="P59" s="68">
        <f>(R59)/J59</f>
        <v>0</v>
      </c>
      <c r="Q59" s="48">
        <f>J59/G59-1</f>
        <v>-7.6923076923076872E-2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768297817.38929999</v>
      </c>
      <c r="E60" s="39">
        <v>0</v>
      </c>
      <c r="F60" s="40" t="s">
        <v>92</v>
      </c>
      <c r="G60" s="67">
        <v>0.59499999999999997</v>
      </c>
      <c r="H60" s="42">
        <v>0.95889999999999997</v>
      </c>
      <c r="I60" s="42">
        <v>0.95430000000000004</v>
      </c>
      <c r="J60" s="43">
        <f>I60</f>
        <v>0.95430000000000004</v>
      </c>
      <c r="K60" s="39">
        <v>0</v>
      </c>
      <c r="L60" s="45">
        <f>I60-H60</f>
        <v>-4.5999999999999375E-3</v>
      </c>
      <c r="M60" s="45">
        <f>((I60-H60)/H60)*100</f>
        <v>-0.47971634164145766</v>
      </c>
      <c r="N60" s="46">
        <v>54691</v>
      </c>
      <c r="O60" s="37">
        <v>52192.69</v>
      </c>
      <c r="P60" s="68">
        <f>(R60)/J60</f>
        <v>0</v>
      </c>
      <c r="Q60" s="48">
        <f>J60/G60-1</f>
        <v>0.60386554621848743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70523277.119000003</v>
      </c>
      <c r="E61" s="39">
        <v>0</v>
      </c>
      <c r="F61" s="40" t="s">
        <v>34</v>
      </c>
      <c r="G61" s="67">
        <v>0.22600000000000001</v>
      </c>
      <c r="H61" s="42">
        <v>0.26750000000000002</v>
      </c>
      <c r="I61" s="42">
        <v>0.27050000000000002</v>
      </c>
      <c r="J61" s="43">
        <f>I61</f>
        <v>0.27050000000000002</v>
      </c>
      <c r="K61" s="39">
        <v>0</v>
      </c>
      <c r="L61" s="45">
        <f>I61-H61</f>
        <v>3.0000000000000027E-3</v>
      </c>
      <c r="M61" s="45">
        <f>((I61-H61)/H61)*100</f>
        <v>1.1214953271028048</v>
      </c>
      <c r="N61" s="46">
        <v>770</v>
      </c>
      <c r="O61" s="37">
        <v>208.28</v>
      </c>
      <c r="P61" s="68">
        <f>(R61)/J61</f>
        <v>0</v>
      </c>
      <c r="Q61" s="48">
        <f>J61/G61-1</f>
        <v>0.19690265486725678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333712890.15680003</v>
      </c>
      <c r="E62" s="39">
        <v>0</v>
      </c>
      <c r="F62" s="40" t="s">
        <v>34</v>
      </c>
      <c r="G62" s="67">
        <v>0.49440000000000001</v>
      </c>
      <c r="H62" s="42">
        <v>0.60529999999999995</v>
      </c>
      <c r="I62" s="42">
        <v>0.59360000000000002</v>
      </c>
      <c r="J62" s="43">
        <f>I62</f>
        <v>0.59360000000000002</v>
      </c>
      <c r="K62" s="39">
        <v>0</v>
      </c>
      <c r="L62" s="45">
        <f>I62-H62</f>
        <v>-1.1699999999999933E-2</v>
      </c>
      <c r="M62" s="45">
        <f>((I62-H62)/H62)*100</f>
        <v>-1.9329258219064818</v>
      </c>
      <c r="N62" s="46">
        <v>35497</v>
      </c>
      <c r="O62" s="37">
        <v>21071.02</v>
      </c>
      <c r="P62" s="68">
        <f>(R62)/J62</f>
        <v>0</v>
      </c>
      <c r="Q62" s="48">
        <f>J62/G62-1</f>
        <v>0.20064724919093857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20881577.4516</v>
      </c>
      <c r="E64" s="39">
        <v>0</v>
      </c>
      <c r="F64" s="40" t="s">
        <v>44</v>
      </c>
      <c r="G64" s="67">
        <v>4.2999999999999997E-2</v>
      </c>
      <c r="H64" s="42">
        <v>5.0500000000000003E-2</v>
      </c>
      <c r="I64" s="42">
        <v>6.0600000000000001E-2</v>
      </c>
      <c r="J64" s="43">
        <f>I64</f>
        <v>6.0600000000000001E-2</v>
      </c>
      <c r="K64" s="39">
        <v>0</v>
      </c>
      <c r="L64" s="45">
        <f>I64-H64</f>
        <v>1.0099999999999998E-2</v>
      </c>
      <c r="M64" s="45">
        <f>((I64-H64)/H64)*100</f>
        <v>19.999999999999996</v>
      </c>
      <c r="N64" s="46">
        <v>8</v>
      </c>
      <c r="O64" s="37">
        <v>0.48</v>
      </c>
      <c r="P64" s="68">
        <f>(R64)/J64</f>
        <v>0</v>
      </c>
      <c r="Q64" s="48">
        <f>J64/G64-1</f>
        <v>0.40930232558139545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1237150</v>
      </c>
      <c r="O65" s="59">
        <f>SUM(O51:O64)</f>
        <v>1371665.0099999998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41901616.569600001</v>
      </c>
      <c r="E70" s="39">
        <f>C70*K70</f>
        <v>41901616.569600001</v>
      </c>
      <c r="F70" s="87" t="s">
        <v>156</v>
      </c>
      <c r="G70" s="87">
        <v>0.24</v>
      </c>
      <c r="H70" s="88">
        <v>0.30080000000000001</v>
      </c>
      <c r="I70" s="88">
        <v>0.30080000000000001</v>
      </c>
      <c r="J70" s="89">
        <f>I70</f>
        <v>0.30080000000000001</v>
      </c>
      <c r="K70" s="89">
        <f>J70</f>
        <v>0.30080000000000001</v>
      </c>
      <c r="L70" s="45">
        <f>I70-H70</f>
        <v>0</v>
      </c>
      <c r="M70" s="45">
        <f>((I70-H70)/H70)*100</f>
        <v>0</v>
      </c>
      <c r="N70" s="90">
        <v>0</v>
      </c>
      <c r="O70" s="91">
        <v>0</v>
      </c>
      <c r="P70" s="68">
        <f>(R70)/J70</f>
        <v>0</v>
      </c>
      <c r="Q70" s="48">
        <f>J70/G70-1</f>
        <v>0.25333333333333341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75416280</v>
      </c>
      <c r="E71" s="39">
        <f>C71*K71</f>
        <v>75416280</v>
      </c>
      <c r="F71" s="87" t="s">
        <v>156</v>
      </c>
      <c r="G71" s="87">
        <v>0.1</v>
      </c>
      <c r="H71" s="88">
        <v>0.16</v>
      </c>
      <c r="I71" s="88">
        <v>0.16</v>
      </c>
      <c r="J71" s="89">
        <f>I71</f>
        <v>0.16</v>
      </c>
      <c r="K71" s="89">
        <f>J71</f>
        <v>0.16</v>
      </c>
      <c r="L71" s="45">
        <f>I71-H71</f>
        <v>0</v>
      </c>
      <c r="M71" s="45">
        <f>((I71-H71)/H71)*100</f>
        <v>0</v>
      </c>
      <c r="N71" s="46">
        <v>7185</v>
      </c>
      <c r="O71" s="91">
        <v>1149.5999999999999</v>
      </c>
      <c r="P71" s="92">
        <f>(R71)/J71</f>
        <v>2.3699999999999999E-2</v>
      </c>
      <c r="Q71" s="48">
        <f>J71/G71-1</f>
        <v>0.59999999999999987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7185</v>
      </c>
      <c r="O72" s="59">
        <f>SUM(O70:O71)</f>
        <v>1149.5999999999999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3122954.25</v>
      </c>
      <c r="E74" s="39">
        <f>C74*K74</f>
        <v>3122954.25</v>
      </c>
      <c r="F74" s="87" t="s">
        <v>138</v>
      </c>
      <c r="G74" s="87">
        <v>0.1394</v>
      </c>
      <c r="H74" s="88">
        <v>0.14349999999999999</v>
      </c>
      <c r="I74" s="88">
        <v>0.15</v>
      </c>
      <c r="J74" s="89">
        <f>I74</f>
        <v>0.15</v>
      </c>
      <c r="K74" s="89">
        <f>J74</f>
        <v>0.15</v>
      </c>
      <c r="L74" s="45">
        <f>I74-H74</f>
        <v>6.5000000000000058E-3</v>
      </c>
      <c r="M74" s="45">
        <f>((I74-H74)/H74)*100</f>
        <v>4.5296167247386805</v>
      </c>
      <c r="N74" s="90">
        <v>1010</v>
      </c>
      <c r="O74" s="91">
        <v>151.5</v>
      </c>
      <c r="P74" s="68">
        <f>(R74)/J74</f>
        <v>0</v>
      </c>
      <c r="Q74" s="48">
        <f>J74/G74-1</f>
        <v>7.6040172166427444E-2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175863.26147171055</v>
      </c>
      <c r="E77" s="39">
        <f>C77*K77</f>
        <v>151321.54333333333</v>
      </c>
      <c r="F77" s="40" t="s">
        <v>138</v>
      </c>
      <c r="G77" s="67">
        <v>0.105</v>
      </c>
      <c r="H77" s="42">
        <v>0.1</v>
      </c>
      <c r="I77" s="42">
        <v>0.1</v>
      </c>
      <c r="J77" s="43">
        <f>I77/$J$5</f>
        <v>3.8739419296104751E-3</v>
      </c>
      <c r="K77" s="44">
        <f>I77/$K$4</f>
        <v>3.3333333333333335E-3</v>
      </c>
      <c r="L77" s="45">
        <f>I77-H77</f>
        <v>0</v>
      </c>
      <c r="M77" s="93">
        <f>((I77-H77)/H77)*100</f>
        <v>0</v>
      </c>
      <c r="N77" s="37">
        <v>1700</v>
      </c>
      <c r="O77" s="37">
        <v>170</v>
      </c>
      <c r="P77" s="40">
        <v>0</v>
      </c>
      <c r="Q77" s="48">
        <f>I77/G77-1</f>
        <v>-4.7619047619047561E-2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290116.13535553101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2.1306680612857612E-3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1819577.0817595443</v>
      </c>
      <c r="E79" s="39">
        <f>C79*K79</f>
        <v>1565655.0999999999</v>
      </c>
      <c r="F79" s="40" t="s">
        <v>138</v>
      </c>
      <c r="G79" s="67">
        <v>6.0499999999999998E-2</v>
      </c>
      <c r="H79" s="42">
        <v>9.5000000000000001E-2</v>
      </c>
      <c r="I79" s="42">
        <v>9.5000000000000001E-2</v>
      </c>
      <c r="J79" s="43">
        <f>I79/$J$5</f>
        <v>3.6802448331299514E-3</v>
      </c>
      <c r="K79" s="44">
        <f>I79/$K$4</f>
        <v>3.1666666666666666E-3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0.57024793388429762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2566962.0206481107</v>
      </c>
      <c r="E80" s="39">
        <f>C80*K80</f>
        <v>2208742.4706666665</v>
      </c>
      <c r="F80" s="40" t="s">
        <v>138</v>
      </c>
      <c r="G80" s="67">
        <v>1.85</v>
      </c>
      <c r="H80" s="42">
        <v>1.61</v>
      </c>
      <c r="I80" s="42">
        <v>1.61</v>
      </c>
      <c r="J80" s="43">
        <f>I80/$J$5</f>
        <v>6.237046506672865E-2</v>
      </c>
      <c r="K80" s="44">
        <f>I80/$K$4</f>
        <v>5.3666666666666668E-2</v>
      </c>
      <c r="L80" s="45">
        <f>I80-H80</f>
        <v>0</v>
      </c>
      <c r="M80" s="93">
        <f>((I80-H80)/H80)*100</f>
        <v>0</v>
      </c>
      <c r="N80" s="37">
        <v>100</v>
      </c>
      <c r="O80" s="37">
        <v>161</v>
      </c>
      <c r="P80" s="40">
        <v>0</v>
      </c>
      <c r="Q80" s="48">
        <f>I80/G80-1</f>
        <v>-0.12972972972972974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1800</v>
      </c>
      <c r="O81" s="59">
        <f>SUM(O77:O80)</f>
        <v>331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28537489.608150773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7.7478838592209498E-2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108</v>
      </c>
      <c r="O83" s="37">
        <v>216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82350283.321711496</v>
      </c>
      <c r="E84" s="39">
        <f>C84*K84</f>
        <v>70858301.284166664</v>
      </c>
      <c r="F84" s="40" t="s">
        <v>174</v>
      </c>
      <c r="G84" s="40">
        <v>1.44347</v>
      </c>
      <c r="H84" s="42">
        <v>1.101151</v>
      </c>
      <c r="I84" s="42">
        <v>1.1546049999999999</v>
      </c>
      <c r="J84" s="43">
        <f>I84/$J$5</f>
        <v>4.4728727216379022E-2</v>
      </c>
      <c r="K84" s="44">
        <f>I84/$K$4</f>
        <v>3.8486833333333331E-2</v>
      </c>
      <c r="L84" s="45">
        <f>I84-H84</f>
        <v>5.345399999999989E-2</v>
      </c>
      <c r="M84" s="45">
        <f>((I84-H84)/H84*100)</f>
        <v>4.8543751038685787</v>
      </c>
      <c r="N84" s="50">
        <v>25064</v>
      </c>
      <c r="O84" s="37">
        <v>28957.06</v>
      </c>
      <c r="P84" s="47">
        <f>(R84)/J84</f>
        <v>4.8648824489760573E-2</v>
      </c>
      <c r="Q84" s="48">
        <f>I84/G84-1</f>
        <v>-0.20011846453338145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25172</v>
      </c>
      <c r="O85" s="59">
        <f>SUM(O83:O84)</f>
        <v>29173.06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6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40</v>
      </c>
      <c r="B88" s="110">
        <v>166.73950000000002</v>
      </c>
      <c r="C88" s="110"/>
      <c r="D88" s="110">
        <v>14.999737915128641</v>
      </c>
      <c r="E88" s="35" t="s">
        <v>62</v>
      </c>
      <c r="F88" s="111">
        <v>1.8666669999999999</v>
      </c>
      <c r="G88" s="111"/>
      <c r="H88" s="112">
        <v>-6.6666500000000077</v>
      </c>
      <c r="L88" s="35" t="s">
        <v>147</v>
      </c>
      <c r="M88" s="50">
        <v>6.0600000000000001E-2</v>
      </c>
      <c r="N88" s="113">
        <v>19.999999999999996</v>
      </c>
      <c r="O88" s="35" t="s">
        <v>126</v>
      </c>
      <c r="P88" s="111">
        <v>2.6599999999999999E-2</v>
      </c>
      <c r="Q88" s="114">
        <v>-11.333333333333334</v>
      </c>
    </row>
    <row r="89" spans="1:243" x14ac:dyDescent="0.25">
      <c r="A89" s="35" t="s">
        <v>99</v>
      </c>
      <c r="B89" s="110">
        <v>0.14849999999999999</v>
      </c>
      <c r="C89" s="110"/>
      <c r="D89" s="110">
        <v>14.230769230769221</v>
      </c>
      <c r="E89" s="35" t="s">
        <v>58</v>
      </c>
      <c r="F89" s="111">
        <v>10.9976</v>
      </c>
      <c r="G89" s="111"/>
      <c r="H89" s="112">
        <v>-4.1026848388137482</v>
      </c>
      <c r="L89" s="35" t="s">
        <v>120</v>
      </c>
      <c r="M89" s="50">
        <v>0.128</v>
      </c>
      <c r="N89" s="113">
        <v>2.2364217252396141</v>
      </c>
      <c r="O89" s="35" t="s">
        <v>136</v>
      </c>
      <c r="P89" s="111">
        <v>18</v>
      </c>
      <c r="Q89" s="114">
        <v>-7.6923076923076925</v>
      </c>
    </row>
    <row r="90" spans="1:243" x14ac:dyDescent="0.25">
      <c r="A90" s="35" t="s">
        <v>101</v>
      </c>
      <c r="B90" s="110">
        <v>6.81</v>
      </c>
      <c r="C90" s="110"/>
      <c r="D90" s="110">
        <v>13.499999999999993</v>
      </c>
      <c r="E90" s="35" t="s">
        <v>117</v>
      </c>
      <c r="F90" s="111">
        <v>1</v>
      </c>
      <c r="G90" s="111"/>
      <c r="H90" s="112">
        <v>-0.67343411668885045</v>
      </c>
      <c r="L90" s="35" t="s">
        <v>141</v>
      </c>
      <c r="M90" s="50">
        <v>0.27050000000000002</v>
      </c>
      <c r="N90" s="113">
        <v>1.1214953271028048</v>
      </c>
      <c r="O90" s="35" t="s">
        <v>124</v>
      </c>
      <c r="P90" s="111">
        <v>0.246</v>
      </c>
      <c r="Q90" s="114">
        <v>-3.2638615808100782</v>
      </c>
    </row>
    <row r="91" spans="1:243" x14ac:dyDescent="0.25">
      <c r="A91" s="35" t="s">
        <v>37</v>
      </c>
      <c r="B91" s="110">
        <v>0.22</v>
      </c>
      <c r="C91" s="110"/>
      <c r="D91" s="110">
        <v>12.758640130800023</v>
      </c>
      <c r="E91" s="35" t="s">
        <v>50</v>
      </c>
      <c r="F91" s="111">
        <v>2.700002</v>
      </c>
      <c r="G91" s="111"/>
      <c r="H91" s="112">
        <v>-9.2432932469939361E-2</v>
      </c>
      <c r="L91" s="35" t="s">
        <v>128</v>
      </c>
      <c r="M91" s="50">
        <v>0.111</v>
      </c>
      <c r="N91" s="113">
        <v>0.63463281958296125</v>
      </c>
      <c r="O91" s="35" t="s">
        <v>143</v>
      </c>
      <c r="P91" s="111">
        <v>0.59360000000000002</v>
      </c>
      <c r="Q91" s="114">
        <v>-1.9329258219064818</v>
      </c>
    </row>
    <row r="92" spans="1:243" x14ac:dyDescent="0.25">
      <c r="A92" s="35" t="s">
        <v>95</v>
      </c>
      <c r="B92" s="110">
        <v>4.0046999999999999E-2</v>
      </c>
      <c r="C92" s="110"/>
      <c r="D92" s="110">
        <v>4.8350785340314175</v>
      </c>
      <c r="E92" s="35"/>
      <c r="F92" s="111"/>
      <c r="G92" s="111"/>
      <c r="H92" s="112"/>
      <c r="L92" s="35" t="s">
        <v>134</v>
      </c>
      <c r="M92" s="50">
        <v>1.7999999999999999E-2</v>
      </c>
      <c r="N92" s="113">
        <v>0.55865921787709161</v>
      </c>
      <c r="O92" s="35" t="s">
        <v>139</v>
      </c>
      <c r="P92" s="111">
        <v>0.95430000000000004</v>
      </c>
      <c r="Q92" s="114">
        <v>-0.47971634164145766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VBPD4mVb23wSI367MGizUJH1XzbfI7byHZsZz5aoeyaaPxNYByNeW/lVRzAsGQfsCPjCnehXjpJp6Rt7U+uIwQ==" saltValue="U+6orMqBwRpzZt9MD++7ig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6" stopIfTrue="1"/>
  </conditionalFormatting>
  <conditionalFormatting sqref="A29:A34">
    <cfRule type="duplicateValues" dxfId="39" priority="47" stopIfTrue="1"/>
  </conditionalFormatting>
  <conditionalFormatting sqref="A88:A90">
    <cfRule type="duplicateValues" dxfId="38" priority="9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2026-05-15T13:30:29Z</dcterms:created>
  <dcterms:modified xsi:type="dcterms:W3CDTF">2026-05-15T13:38:09Z</dcterms:modified>
</cp:coreProperties>
</file>