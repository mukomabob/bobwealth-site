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24.06.26/"/>
    </mc:Choice>
  </mc:AlternateContent>
  <xr:revisionPtr revIDLastSave="0" documentId="8_{1098DF99-21E3-4CCA-9AE7-B80AA059E08D}" xr6:coauthVersionLast="47" xr6:coauthVersionMax="47" xr10:uidLastSave="{00000000-0000-0000-0000-000000000000}"/>
  <bookViews>
    <workbookView xWindow="-108" yWindow="-108" windowWidth="23256" windowHeight="12456" xr2:uid="{13A5BE80-BD3C-4B1A-8F18-B9FD9F10B125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J78" i="1"/>
  <c r="D78" i="1" s="1"/>
  <c r="E78" i="1"/>
  <c r="Q77" i="1"/>
  <c r="M77" i="1"/>
  <c r="L77" i="1"/>
  <c r="K77" i="1"/>
  <c r="E77" i="1" s="1"/>
  <c r="J77" i="1"/>
  <c r="D77" i="1"/>
  <c r="M74" i="1"/>
  <c r="L74" i="1"/>
  <c r="J74" i="1"/>
  <c r="Q74" i="1" s="1"/>
  <c r="D74" i="1"/>
  <c r="O72" i="1"/>
  <c r="N72" i="1"/>
  <c r="Q71" i="1"/>
  <c r="P71" i="1"/>
  <c r="M71" i="1"/>
  <c r="L71" i="1"/>
  <c r="J71" i="1"/>
  <c r="K71" i="1" s="1"/>
  <c r="E71" i="1" s="1"/>
  <c r="M70" i="1"/>
  <c r="L70" i="1"/>
  <c r="J70" i="1"/>
  <c r="K70" i="1" s="1"/>
  <c r="E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D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P44" i="1" s="1"/>
  <c r="D44" i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D42" i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M25" i="1"/>
  <c r="L25" i="1"/>
  <c r="K25" i="1"/>
  <c r="J25" i="1"/>
  <c r="P25" i="1" s="1"/>
  <c r="E25" i="1"/>
  <c r="D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9" i="1"/>
  <c r="D10" i="1" l="1"/>
  <c r="D12" i="1"/>
  <c r="P24" i="1"/>
  <c r="D39" i="1"/>
  <c r="D53" i="1"/>
  <c r="D37" i="1"/>
  <c r="P51" i="1"/>
  <c r="Q51" i="1"/>
  <c r="D40" i="1"/>
  <c r="D19" i="1"/>
  <c r="D46" i="1"/>
  <c r="D63" i="1"/>
  <c r="D15" i="1"/>
  <c r="D17" i="1"/>
  <c r="P36" i="1"/>
  <c r="D57" i="1"/>
  <c r="P45" i="1"/>
  <c r="P83" i="1"/>
  <c r="P16" i="1"/>
  <c r="P21" i="1"/>
  <c r="P27" i="1"/>
  <c r="P33" i="1"/>
  <c r="D22" i="1"/>
  <c r="D28" i="1"/>
  <c r="D11" i="1"/>
  <c r="D34" i="1"/>
  <c r="P54" i="1"/>
  <c r="P56" i="1"/>
  <c r="P58" i="1"/>
  <c r="P60" i="1"/>
  <c r="P62" i="1"/>
  <c r="P64" i="1"/>
  <c r="P20" i="1"/>
  <c r="P23" i="1"/>
  <c r="P29" i="1"/>
  <c r="P32" i="1"/>
  <c r="P35" i="1"/>
  <c r="P52" i="1"/>
  <c r="Q54" i="1"/>
  <c r="Q56" i="1"/>
  <c r="Q58" i="1"/>
  <c r="Q60" i="1"/>
  <c r="Q62" i="1"/>
  <c r="Q64" i="1"/>
  <c r="P70" i="1"/>
  <c r="Q70" i="1"/>
  <c r="D71" i="1"/>
  <c r="K74" i="1"/>
  <c r="E74" i="1" s="1"/>
  <c r="P55" i="1"/>
  <c r="P57" i="1"/>
  <c r="P59" i="1"/>
  <c r="P61" i="1"/>
  <c r="P63" i="1"/>
  <c r="D26" i="1"/>
  <c r="D70" i="1"/>
  <c r="P74" i="1"/>
</calcChain>
</file>

<file path=xl/sharedStrings.xml><?xml version="1.0" encoding="utf-8"?>
<sst xmlns="http://schemas.openxmlformats.org/spreadsheetml/2006/main" count="264" uniqueCount="182">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</sst>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83A3E04E-294F-4A06-B4C1-48C0A399ECE3}"/>
    <cellStyle name="Comma 5 2 2 2 2 2 2 2 2" xfId="4" xr:uid="{ED68E0D3-BB5C-483C-BC9E-B8CF55AC248B}"/>
    <cellStyle name="Comma 6 2 2 2" xfId="5" xr:uid="{D3B13CF1-8CC2-495C-8302-FE56F0EC8ABB}"/>
    <cellStyle name="Hyperlink 2" xfId="8" xr:uid="{BED32A3D-865D-4AAE-9F54-5B9E6B43E252}"/>
    <cellStyle name="Normal" xfId="0" builtinId="0"/>
    <cellStyle name="Normal 2" xfId="2" xr:uid="{CB6E0B97-BB4B-4B7A-8E08-2D09FDB35F32}"/>
    <cellStyle name="Normal 20" xfId="7" xr:uid="{921FDC80-B06C-42C6-A824-0A0B860D83A0}"/>
    <cellStyle name="Percent" xfId="1" builtinId="5"/>
    <cellStyle name="Percent 3" xfId="6" xr:uid="{4432CB38-C6D4-4AAF-854A-F811A0AF553E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102AC62-0C29-43BE-988D-1D7ECA9C5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631B9B0-6C5B-43D3-B337-F186E640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18C7-8839-4649-A6BF-C0B959C3AD86}">
  <dimension ref="A1:II106"/>
  <sheetViews>
    <sheetView tabSelected="1" zoomScale="73" zoomScaleNormal="60" workbookViewId="0">
      <selection activeCell="S78" sqref="S78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26.8386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74197019.822196394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0.58870432883980539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2.5479683544303796E-2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3821486.6864771261</v>
      </c>
      <c r="E10" s="39">
        <f>C10*K10</f>
        <v>3255979.4471011106</v>
      </c>
      <c r="F10" s="40" t="s">
        <v>34</v>
      </c>
      <c r="G10" s="41">
        <v>3.1600000000000003E-2</v>
      </c>
      <c r="H10" s="42">
        <v>6.9000000000000006E-2</v>
      </c>
      <c r="I10" s="42">
        <v>6.3022999999999996E-2</v>
      </c>
      <c r="J10" s="43">
        <f>I10/$J$5</f>
        <v>2.3482223364855097E-3</v>
      </c>
      <c r="K10" s="44">
        <f>I10/$K$4</f>
        <v>2.0007301587301584E-3</v>
      </c>
      <c r="L10" s="45">
        <f>I10-H10</f>
        <v>-5.9770000000000101E-3</v>
      </c>
      <c r="M10" s="45">
        <f>((I10-H10)/H10)*100</f>
        <v>-8.662318840579724</v>
      </c>
      <c r="N10" s="46">
        <v>563200</v>
      </c>
      <c r="O10" s="37">
        <v>35494.76</v>
      </c>
      <c r="P10" s="50">
        <f>(R10)/J10</f>
        <v>0</v>
      </c>
      <c r="Q10" s="48">
        <f>I10/G10-1</f>
        <v>0.99439873417721492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3264475.8101950176</v>
      </c>
      <c r="E11" s="39">
        <f>C11*K11</f>
        <v>2781395.570777778</v>
      </c>
      <c r="F11" s="40" t="s">
        <v>39</v>
      </c>
      <c r="G11" s="41">
        <v>7.8E-2</v>
      </c>
      <c r="H11" s="42">
        <v>0.20050000000000001</v>
      </c>
      <c r="I11" s="42">
        <v>0.20050000000000001</v>
      </c>
      <c r="J11" s="43">
        <f>I11/$J$5</f>
        <v>7.470583413441834E-3</v>
      </c>
      <c r="K11" s="44">
        <f>I11/$K$4</f>
        <v>6.3650793650793652E-3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142337793.74585858</v>
      </c>
      <c r="E12" s="39">
        <f>C12*K12</f>
        <v>121274511.46754286</v>
      </c>
      <c r="F12" s="40" t="s">
        <v>34</v>
      </c>
      <c r="G12" s="41">
        <v>97.381</v>
      </c>
      <c r="H12" s="42">
        <v>199.99950000000001</v>
      </c>
      <c r="I12" s="42">
        <v>185.14279999999999</v>
      </c>
      <c r="J12" s="43">
        <f>I12/$J$5</f>
        <v>6.8983777097166019</v>
      </c>
      <c r="K12" s="44">
        <f>I12/$K$4</f>
        <v>5.8775492063492063</v>
      </c>
      <c r="L12" s="45">
        <f>I12-H12</f>
        <v>-14.856700000000018</v>
      </c>
      <c r="M12" s="45">
        <f>((I12-H12)/H12)*100</f>
        <v>-7.4283685709214353</v>
      </c>
      <c r="N12" s="46">
        <v>2800</v>
      </c>
      <c r="O12" s="37">
        <v>518399.9</v>
      </c>
      <c r="P12" s="50">
        <f>(R12)/J12</f>
        <v>0</v>
      </c>
      <c r="Q12" s="48">
        <f>I12/G12-1</f>
        <v>0.90122097739805507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5256309.7255445514</v>
      </c>
      <c r="E13" s="39">
        <f>C13*K13</f>
        <v>4478476.006349206</v>
      </c>
      <c r="F13" s="40" t="s">
        <v>44</v>
      </c>
      <c r="G13" s="41">
        <v>13.6</v>
      </c>
      <c r="H13" s="42">
        <v>16.100000000000001</v>
      </c>
      <c r="I13" s="42">
        <v>16.149999999999999</v>
      </c>
      <c r="J13" s="43">
        <f>I13/$J$5</f>
        <v>0.60174524751663649</v>
      </c>
      <c r="K13" s="44">
        <f>I13/$K$4</f>
        <v>0.51269841269841265</v>
      </c>
      <c r="L13" s="45">
        <f>I13-H13</f>
        <v>4.9999999999997158E-2</v>
      </c>
      <c r="M13" s="45">
        <f>((I13-H13)/H13)*100</f>
        <v>0.31055900621116245</v>
      </c>
      <c r="N13" s="46">
        <v>100</v>
      </c>
      <c r="O13" s="37">
        <v>1615</v>
      </c>
      <c r="P13" s="50">
        <f>(R13)/J13</f>
        <v>0</v>
      </c>
      <c r="Q13" s="48">
        <f>I13/G13-1</f>
        <v>0.1875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428433384.379215</v>
      </c>
      <c r="E14" s="39">
        <f>C14*K14</f>
        <v>365033404.12698412</v>
      </c>
      <c r="F14" s="40" t="s">
        <v>47</v>
      </c>
      <c r="G14" s="41">
        <v>11.5</v>
      </c>
      <c r="H14" s="42">
        <v>22</v>
      </c>
      <c r="I14" s="42">
        <v>22</v>
      </c>
      <c r="J14" s="43">
        <f>I14/$J$5</f>
        <v>0.8197148882579568</v>
      </c>
      <c r="K14" s="44">
        <f>I14/$K$4</f>
        <v>0.69841269841269837</v>
      </c>
      <c r="L14" s="45">
        <f>I14-H14</f>
        <v>0</v>
      </c>
      <c r="M14" s="45">
        <f>((I14-H14)/H14)*100</f>
        <v>0</v>
      </c>
      <c r="N14" s="46">
        <v>0</v>
      </c>
      <c r="O14" s="37">
        <v>0</v>
      </c>
      <c r="P14" s="50">
        <f>(R14)/J14</f>
        <v>0</v>
      </c>
      <c r="Q14" s="48">
        <f>I14/G14-1</f>
        <v>0.91304347826086962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23706350.182200264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0.22355860588853368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42718239.690035999</v>
      </c>
      <c r="E16" s="39">
        <f>C16*K16</f>
        <v>36396753.896666668</v>
      </c>
      <c r="F16" s="40" t="s">
        <v>34</v>
      </c>
      <c r="G16" s="41">
        <v>1.9</v>
      </c>
      <c r="H16" s="42">
        <v>2.8</v>
      </c>
      <c r="I16" s="42">
        <v>3.2025000000000001</v>
      </c>
      <c r="J16" s="43">
        <f>I16/$J$5</f>
        <v>0.11932440589300486</v>
      </c>
      <c r="K16" s="44">
        <f>I16/$K$4</f>
        <v>0.10166666666666667</v>
      </c>
      <c r="L16" s="45">
        <f>I16-H16</f>
        <v>0.4025000000000003</v>
      </c>
      <c r="M16" s="45">
        <f>((I16-H16)/H16)*100</f>
        <v>14.375000000000012</v>
      </c>
      <c r="N16" s="46">
        <v>400</v>
      </c>
      <c r="O16" s="37">
        <v>1281</v>
      </c>
      <c r="P16" s="50">
        <f>(R16)/J16</f>
        <v>0</v>
      </c>
      <c r="Q16" s="48">
        <f>I16/G16-1</f>
        <v>0.68552631578947376</v>
      </c>
      <c r="R16" s="49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1599171375.6832509</v>
      </c>
      <c r="E17" s="39">
        <f>C17*K17</f>
        <v>1362524472.4892857</v>
      </c>
      <c r="F17" s="40" t="s">
        <v>34</v>
      </c>
      <c r="G17" s="41">
        <v>20.701700000000002</v>
      </c>
      <c r="H17" s="42">
        <v>30.2591</v>
      </c>
      <c r="I17" s="42">
        <v>31.990500000000001</v>
      </c>
      <c r="J17" s="43">
        <f>I17/$J$5</f>
        <v>1.1919585969461894</v>
      </c>
      <c r="K17" s="44">
        <f>I17/$K$4</f>
        <v>1.0155714285714286</v>
      </c>
      <c r="L17" s="45">
        <f>I17-H17</f>
        <v>1.7314000000000007</v>
      </c>
      <c r="M17" s="45">
        <f>((I17-H17)/H17)*100</f>
        <v>5.721915060262865</v>
      </c>
      <c r="N17" s="46">
        <v>688300</v>
      </c>
      <c r="O17" s="37">
        <v>22019074.350000001</v>
      </c>
      <c r="P17" s="47">
        <f>(R17)/J17</f>
        <v>4.1947765742954946E-2</v>
      </c>
      <c r="Q17" s="48">
        <f>I17/G17-1</f>
        <v>0.54530787326644647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38897322.722351946</v>
      </c>
      <c r="E19" s="39">
        <f>C19*K19</f>
        <v>33141259.860829048</v>
      </c>
      <c r="F19" s="40" t="s">
        <v>47</v>
      </c>
      <c r="G19" s="41">
        <v>12.45</v>
      </c>
      <c r="H19" s="42">
        <v>9.5832860000000011</v>
      </c>
      <c r="I19" s="42">
        <v>9.5842650000000003</v>
      </c>
      <c r="J19" s="43">
        <f>I19/$J$5</f>
        <v>0.35710748697771122</v>
      </c>
      <c r="K19" s="44">
        <f>I19/$K$4</f>
        <v>0.30426238095238095</v>
      </c>
      <c r="L19" s="45">
        <f>I19-H19</f>
        <v>9.7899999999917497E-4</v>
      </c>
      <c r="M19" s="45">
        <f>((I19-H19)/H19)*100</f>
        <v>1.0215702630592209E-2</v>
      </c>
      <c r="N19" s="46">
        <v>1700</v>
      </c>
      <c r="O19" s="37">
        <v>16293.25</v>
      </c>
      <c r="P19" s="50">
        <f>(R19)/J19</f>
        <v>0</v>
      </c>
      <c r="Q19" s="48">
        <f>I19/G19-1</f>
        <v>-0.23017951807228909</v>
      </c>
      <c r="R19" s="49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18000199.041678775</v>
      </c>
      <c r="E20" s="39">
        <f>C20*K20</f>
        <v>15336512.444444442</v>
      </c>
      <c r="F20" s="40" t="s">
        <v>47</v>
      </c>
      <c r="G20" s="41">
        <v>0.35</v>
      </c>
      <c r="H20" s="42">
        <v>0.67900000000000005</v>
      </c>
      <c r="I20" s="42">
        <v>0.7</v>
      </c>
      <c r="J20" s="43">
        <f>I20/$J$5</f>
        <v>2.6081837353662263E-2</v>
      </c>
      <c r="K20" s="44">
        <f>I20/$K$4</f>
        <v>2.222222222222222E-2</v>
      </c>
      <c r="L20" s="45">
        <f>I20-H20</f>
        <v>2.0999999999999908E-2</v>
      </c>
      <c r="M20" s="45">
        <f>((I20-H20)/H20)*100</f>
        <v>3.0927835051546255</v>
      </c>
      <c r="N20" s="46">
        <v>200</v>
      </c>
      <c r="O20" s="37">
        <v>140</v>
      </c>
      <c r="P20" s="50">
        <f>(R20)/J20</f>
        <v>0</v>
      </c>
      <c r="Q20" s="48">
        <f>I20/G20-1</f>
        <v>1</v>
      </c>
      <c r="R20" s="49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125489945.4588867</v>
      </c>
      <c r="E21" s="39">
        <f>C21*K21</f>
        <v>106919823.81564687</v>
      </c>
      <c r="F21" s="40" t="s">
        <v>47</v>
      </c>
      <c r="G21" s="41">
        <v>2.85</v>
      </c>
      <c r="H21" s="42">
        <v>2.5040999999999998</v>
      </c>
      <c r="I21" s="42">
        <v>2.7247320000000004</v>
      </c>
      <c r="J21" s="43">
        <f>I21/$J$5</f>
        <v>0.10152288122331271</v>
      </c>
      <c r="K21" s="44">
        <f>I21/$K$4</f>
        <v>8.6499428571428588E-2</v>
      </c>
      <c r="L21" s="45">
        <f>I21-H21</f>
        <v>0.22063200000000061</v>
      </c>
      <c r="M21" s="45">
        <f>((I21-H21)/H21)*100</f>
        <v>8.810830238409034</v>
      </c>
      <c r="N21" s="46">
        <v>17900</v>
      </c>
      <c r="O21" s="37">
        <v>48772.7</v>
      </c>
      <c r="P21" s="50">
        <f>(R21)/J21</f>
        <v>0</v>
      </c>
      <c r="Q21" s="48">
        <f>I21/G21-1</f>
        <v>-4.3953684210526256E-2</v>
      </c>
      <c r="R21" s="49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17993850.674029198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3.3533790883280054E-2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2249231.3342536497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4.1917238604100068E-3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64385496.978605449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2">
        <v>8.9525000000000006</v>
      </c>
      <c r="J24" s="43">
        <f>I24/$J$5</f>
        <v>0.33356806986951631</v>
      </c>
      <c r="K24" s="44">
        <f>I24/$K$4</f>
        <v>0.28420634920634924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9.5942765406672237E-2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88030583.286758631</v>
      </c>
      <c r="E25" s="39">
        <f>C25*K25</f>
        <v>75003733.733333319</v>
      </c>
      <c r="F25" s="40" t="s">
        <v>66</v>
      </c>
      <c r="G25" s="41">
        <v>1.6675</v>
      </c>
      <c r="H25" s="42">
        <v>1.300659</v>
      </c>
      <c r="I25" s="42">
        <v>1.4</v>
      </c>
      <c r="J25" s="43">
        <f>I25/$J$5</f>
        <v>5.2163674707324525E-2</v>
      </c>
      <c r="K25" s="44">
        <f>I25/$K$4</f>
        <v>4.4444444444444439E-2</v>
      </c>
      <c r="L25" s="45">
        <f>I25-H25</f>
        <v>9.9340999999999902E-2</v>
      </c>
      <c r="M25" s="45">
        <f>((I25-H25)/H25)*100</f>
        <v>7.6377436361106099</v>
      </c>
      <c r="N25" s="46">
        <v>4100</v>
      </c>
      <c r="O25" s="37">
        <v>5740</v>
      </c>
      <c r="P25" s="50">
        <f>(R25)/J25</f>
        <v>0</v>
      </c>
      <c r="Q25" s="48">
        <f>I25/G25-1</f>
        <v>-0.16041979010494756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26445818.362336449</v>
      </c>
      <c r="E26" s="39">
        <f>C26*K26</f>
        <v>22532340.974584222</v>
      </c>
      <c r="F26" s="40" t="s">
        <v>44</v>
      </c>
      <c r="G26" s="41">
        <v>1.7994999999999999</v>
      </c>
      <c r="H26" s="42">
        <v>2.9649290000000001</v>
      </c>
      <c r="I26" s="42">
        <v>2.9649290000000001</v>
      </c>
      <c r="J26" s="43">
        <f>I26/$J$5</f>
        <v>0.11047256563308072</v>
      </c>
      <c r="K26" s="44">
        <f>I26/$K$4</f>
        <v>9.4124730158730158E-2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0.64764045568213402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25769116.149873693</v>
      </c>
      <c r="E27" s="39">
        <f>C27*K27</f>
        <v>21955777.800000001</v>
      </c>
      <c r="F27" s="40" t="s">
        <v>34</v>
      </c>
      <c r="G27" s="41">
        <v>3.1361369999999997</v>
      </c>
      <c r="H27" s="42">
        <v>2.7904550000000001</v>
      </c>
      <c r="I27" s="42">
        <v>2.7</v>
      </c>
      <c r="J27" s="43">
        <f>I27/$J$5</f>
        <v>0.10060137264984016</v>
      </c>
      <c r="K27" s="44">
        <f>I27/$K$4</f>
        <v>8.5714285714285715E-2</v>
      </c>
      <c r="L27" s="45">
        <f>I27-H27</f>
        <v>-9.0454999999999952E-2</v>
      </c>
      <c r="M27" s="45">
        <f>((I27-H27)/H27)*100</f>
        <v>-3.2415860495868936</v>
      </c>
      <c r="N27" s="46">
        <v>100</v>
      </c>
      <c r="O27" s="37">
        <v>270</v>
      </c>
      <c r="P27" s="50">
        <f>(R27)/J27</f>
        <v>0</v>
      </c>
      <c r="Q27" s="48">
        <f>I27/G27-1</f>
        <v>-0.13906822310377376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20918354.001749869</v>
      </c>
      <c r="E28" s="39">
        <f>C28*K28</f>
        <v>17822836.054329015</v>
      </c>
      <c r="F28" s="40" t="s">
        <v>44</v>
      </c>
      <c r="G28" s="41">
        <v>0.8</v>
      </c>
      <c r="H28" s="42">
        <v>0.74296400000000007</v>
      </c>
      <c r="I28" s="42">
        <v>0.74296400000000007</v>
      </c>
      <c r="J28" s="43">
        <f>I28/$J$5</f>
        <v>2.7682666010894759E-2</v>
      </c>
      <c r="K28" s="44">
        <f>I28/$K$4</f>
        <v>2.3586158730158732E-2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-7.1294999999999997E-2</v>
      </c>
      <c r="R28" s="49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91872214.005946666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2">
        <v>5.49</v>
      </c>
      <c r="J29" s="43">
        <f>I29/$J$5</f>
        <v>0.20455612438800833</v>
      </c>
      <c r="K29" s="44">
        <f>I29/$K$4</f>
        <v>0.17428571428571429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6.6019417475728037E-2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10658684.442463839</v>
      </c>
      <c r="E32" s="39">
        <f>C32*K32</f>
        <v>9081402.1675400008</v>
      </c>
      <c r="F32" s="40" t="s">
        <v>39</v>
      </c>
      <c r="G32" s="41">
        <v>1.4</v>
      </c>
      <c r="H32" s="42">
        <v>1.2</v>
      </c>
      <c r="I32" s="42">
        <v>1.100813</v>
      </c>
      <c r="J32" s="43">
        <f>I32/$J$5</f>
        <v>4.1016036603995741E-2</v>
      </c>
      <c r="K32" s="44">
        <f>I32/$K$4</f>
        <v>3.4946444444444447E-2</v>
      </c>
      <c r="L32" s="45">
        <f>I32-H32</f>
        <v>-9.9186999999999914E-2</v>
      </c>
      <c r="M32" s="45">
        <f>((I32-H32)/H32)*100</f>
        <v>-8.2655833333333266</v>
      </c>
      <c r="N32" s="46">
        <v>500000</v>
      </c>
      <c r="O32" s="37">
        <v>550406.25</v>
      </c>
      <c r="P32" s="50">
        <f>(R32)/J32</f>
        <v>0</v>
      </c>
      <c r="Q32" s="48">
        <f>I32/G32-1</f>
        <v>-0.21370499999999992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3864771.2436565245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3.1670802500875603E-2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102705877.10884953</v>
      </c>
      <c r="E34" s="39">
        <f>C34*K34</f>
        <v>87507363.59916091</v>
      </c>
      <c r="F34" s="40" t="s">
        <v>92</v>
      </c>
      <c r="G34" s="41">
        <v>1.44</v>
      </c>
      <c r="H34" s="42">
        <v>1.1015869999999999</v>
      </c>
      <c r="I34" s="42">
        <v>1.1045829999999999</v>
      </c>
      <c r="J34" s="43">
        <f>I34/$J$5</f>
        <v>4.1156505928029032E-2</v>
      </c>
      <c r="K34" s="44">
        <f>I34/$K$4</f>
        <v>3.5066126984126977E-2</v>
      </c>
      <c r="L34" s="45">
        <f>I34-H34</f>
        <v>2.9959999999999987E-3</v>
      </c>
      <c r="M34" s="45">
        <f>((I34-H34)/H34)*100</f>
        <v>0.27197125601518529</v>
      </c>
      <c r="N34" s="46">
        <v>6600</v>
      </c>
      <c r="O34" s="37">
        <v>7290.25</v>
      </c>
      <c r="P34" s="50">
        <f>(R34)/J34</f>
        <v>0</v>
      </c>
      <c r="Q34" s="48">
        <f>I34/G34-1</f>
        <v>-0.23292847222222224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37827584.036238849</v>
      </c>
      <c r="E35" s="39">
        <f>C35*K35</f>
        <v>32229822.124285713</v>
      </c>
      <c r="F35" s="40" t="s">
        <v>34</v>
      </c>
      <c r="G35" s="41">
        <v>3.6056249999999999</v>
      </c>
      <c r="H35" s="42">
        <v>4.0004999999999997</v>
      </c>
      <c r="I35" s="42">
        <v>4.0049999999999999</v>
      </c>
      <c r="J35" s="43">
        <f>I35/$J$5</f>
        <v>0.14922536943059622</v>
      </c>
      <c r="K35" s="44">
        <f>I35/$K$4</f>
        <v>0.12714285714285714</v>
      </c>
      <c r="L35" s="45">
        <f>I35-H35</f>
        <v>4.5000000000001705E-3</v>
      </c>
      <c r="M35" s="45">
        <f>((I35-H35)/H35)*100</f>
        <v>0.11248593925759706</v>
      </c>
      <c r="N35" s="46">
        <v>90000</v>
      </c>
      <c r="O35" s="37">
        <v>360450</v>
      </c>
      <c r="P35" s="50">
        <f>(R35)/J35</f>
        <v>0</v>
      </c>
      <c r="Q35" s="48">
        <f>I35/G35-1</f>
        <v>0.11076443057722307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7028195.8693925906</v>
      </c>
      <c r="E36" s="39">
        <f>C36*K36</f>
        <v>5988156.7511199992</v>
      </c>
      <c r="F36" s="40" t="s">
        <v>34</v>
      </c>
      <c r="G36" s="41">
        <v>2.5099999999999997E-2</v>
      </c>
      <c r="H36" s="42">
        <v>4.0004999999999999E-2</v>
      </c>
      <c r="I36" s="42">
        <v>4.0004999999999999E-2</v>
      </c>
      <c r="J36" s="43">
        <f>I36/$J$5</f>
        <v>1.4905770047617983E-3</v>
      </c>
      <c r="K36" s="44">
        <f>I36/$K$4</f>
        <v>1.2699999999999999E-3</v>
      </c>
      <c r="L36" s="45">
        <f>I36-H36</f>
        <v>0</v>
      </c>
      <c r="M36" s="45">
        <f>((I36-H36)/H36)*100</f>
        <v>0</v>
      </c>
      <c r="N36" s="46">
        <v>0</v>
      </c>
      <c r="O36" s="37">
        <v>0</v>
      </c>
      <c r="P36" s="50">
        <f>(R36)/J36</f>
        <v>0</v>
      </c>
      <c r="Q36" s="48">
        <f>I36/G36-1</f>
        <v>0.59382470119521935</v>
      </c>
      <c r="R36" s="49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68569524.202521175</v>
      </c>
      <c r="E37" s="39">
        <f>C37*K37</f>
        <v>58422540.706723332</v>
      </c>
      <c r="F37" s="40" t="s">
        <v>92</v>
      </c>
      <c r="G37" s="41">
        <v>0.61</v>
      </c>
      <c r="H37" s="42">
        <v>3.500464</v>
      </c>
      <c r="I37" s="42">
        <v>3.5047449999999998</v>
      </c>
      <c r="J37" s="43">
        <f>I37/$J$5</f>
        <v>0.13058598436580149</v>
      </c>
      <c r="K37" s="44">
        <f>I37/$K$4</f>
        <v>0.11126174603174603</v>
      </c>
      <c r="L37" s="45">
        <f>I37-H37</f>
        <v>4.2809999999997572E-3</v>
      </c>
      <c r="M37" s="45">
        <f>((I37-H37)/H37)*100</f>
        <v>0.12229807248409802</v>
      </c>
      <c r="N37" s="46">
        <v>54800</v>
      </c>
      <c r="O37" s="37">
        <v>192060</v>
      </c>
      <c r="P37" s="50">
        <f>(R37)/J37</f>
        <v>0</v>
      </c>
      <c r="Q37" s="48">
        <f>I37/G37-1</f>
        <v>4.7454836065573769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23913471.013279382</v>
      </c>
      <c r="E38" s="39">
        <f>C38*K38</f>
        <v>20374732.797999997</v>
      </c>
      <c r="F38" s="40" t="s">
        <v>56</v>
      </c>
      <c r="G38" s="41">
        <v>0.11650199999999999</v>
      </c>
      <c r="H38" s="42">
        <v>0.153</v>
      </c>
      <c r="I38" s="42">
        <v>0.153</v>
      </c>
      <c r="J38" s="43">
        <f>I38/$J$5</f>
        <v>5.7007444501576089E-3</v>
      </c>
      <c r="K38" s="44">
        <f>I38/$K$4</f>
        <v>4.8571428571428567E-3</v>
      </c>
      <c r="L38" s="45">
        <f>I38-H38</f>
        <v>0</v>
      </c>
      <c r="M38" s="45">
        <f>((I38-H38)/H38)*100</f>
        <v>0</v>
      </c>
      <c r="N38" s="46">
        <v>0</v>
      </c>
      <c r="O38" s="37">
        <v>0</v>
      </c>
      <c r="P38" s="50">
        <v>0</v>
      </c>
      <c r="Q38" s="48">
        <f>I38/G38-1</f>
        <v>0.31328217541329773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94165392.452458262</v>
      </c>
      <c r="E39" s="39">
        <f>C39*K39</f>
        <v>80230707.996017352</v>
      </c>
      <c r="F39" s="40" t="s">
        <v>34</v>
      </c>
      <c r="G39" s="41">
        <v>2.6005000000000003</v>
      </c>
      <c r="H39" s="42">
        <v>7.45</v>
      </c>
      <c r="I39" s="42">
        <v>6.9635580000000008</v>
      </c>
      <c r="J39" s="43">
        <f>I39/$J$5</f>
        <v>0.25946055308399102</v>
      </c>
      <c r="K39" s="44">
        <f>I39/$K$4</f>
        <v>0.22106533333333336</v>
      </c>
      <c r="L39" s="45">
        <f>I39-H39</f>
        <v>-0.48644199999999937</v>
      </c>
      <c r="M39" s="45">
        <f>((I39-H39)/H39)*100</f>
        <v>-6.5294228187919385</v>
      </c>
      <c r="N39" s="46">
        <v>63800</v>
      </c>
      <c r="O39" s="37">
        <v>444275</v>
      </c>
      <c r="P39" s="50">
        <f>(R39)/J39</f>
        <v>0</v>
      </c>
      <c r="Q39" s="48">
        <f>I39/G39-1</f>
        <v>1.6777765814266488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17835139.432890948</v>
      </c>
      <c r="E40" s="39">
        <f>C40*K40</f>
        <v>15195878.513764666</v>
      </c>
      <c r="F40" s="40" t="s">
        <v>39</v>
      </c>
      <c r="G40" s="41">
        <v>0.1</v>
      </c>
      <c r="H40" s="42">
        <v>0.11</v>
      </c>
      <c r="I40" s="42">
        <v>0.110913</v>
      </c>
      <c r="J40" s="43">
        <f>I40/$J$5</f>
        <v>4.1325926091524889E-3</v>
      </c>
      <c r="K40" s="44">
        <f>I40/$K$4</f>
        <v>3.521047619047619E-3</v>
      </c>
      <c r="L40" s="45">
        <f>I40-H40</f>
        <v>9.1299999999999715E-4</v>
      </c>
      <c r="M40" s="45">
        <f>((I40-H40)/H40)*100</f>
        <v>0.82999999999999741</v>
      </c>
      <c r="N40" s="46">
        <v>25200</v>
      </c>
      <c r="O40" s="37">
        <v>2795</v>
      </c>
      <c r="P40" s="50">
        <f>(R40)/J40</f>
        <v>0</v>
      </c>
      <c r="Q40" s="48">
        <f>I40/G40-1</f>
        <v>0.10912999999999995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5950807.9966913331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5.5889651472133421E-2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3821577.5180377518</v>
      </c>
      <c r="E42" s="39">
        <f>C42*K42</f>
        <v>3256056.8373208889</v>
      </c>
      <c r="F42" s="40" t="s">
        <v>39</v>
      </c>
      <c r="G42" s="41">
        <v>0.03</v>
      </c>
      <c r="H42" s="42">
        <v>5.7000000000000002E-2</v>
      </c>
      <c r="I42" s="42">
        <v>5.7686000000000001E-2</v>
      </c>
      <c r="J42" s="43">
        <f>I42/$J$5</f>
        <v>2.149366956547659E-3</v>
      </c>
      <c r="K42" s="44">
        <f>I42/$K$4</f>
        <v>1.8313015873015874E-3</v>
      </c>
      <c r="L42" s="45">
        <f>I42-H42</f>
        <v>6.8599999999999911E-4</v>
      </c>
      <c r="M42" s="45">
        <f>((I42-H42)/H42)*100</f>
        <v>1.203508771929823</v>
      </c>
      <c r="N42" s="46">
        <v>217900</v>
      </c>
      <c r="O42" s="37">
        <v>12569.88</v>
      </c>
      <c r="P42" s="50">
        <f>(R42)/J42</f>
        <v>0</v>
      </c>
      <c r="Q42" s="48">
        <f>I42/G42-1</f>
        <v>0.92286666666666672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33943325.598205566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0.19375079177006252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310.74936464644207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6.7067581766560107E-7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1506606.1568040061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2.6156356888958439E-3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44881996.293584615</v>
      </c>
      <c r="E46" s="39">
        <f>C46*K46</f>
        <v>38240315.737301581</v>
      </c>
      <c r="F46" s="40" t="s">
        <v>47</v>
      </c>
      <c r="G46" s="41">
        <v>0.9998999999999999</v>
      </c>
      <c r="H46" s="42">
        <v>0.66078599999999998</v>
      </c>
      <c r="I46" s="42">
        <v>0.66249999999999998</v>
      </c>
      <c r="J46" s="43">
        <f>I46/$J$5</f>
        <v>2.4684596066858928E-2</v>
      </c>
      <c r="K46" s="44">
        <f>I46/$K$4</f>
        <v>2.103174603174603E-2</v>
      </c>
      <c r="L46" s="45">
        <f>I46-H46</f>
        <v>1.7139999999999933E-3</v>
      </c>
      <c r="M46" s="45">
        <f>((I46-H46)/H46)*100</f>
        <v>0.25938806209574561</v>
      </c>
      <c r="N46" s="46">
        <v>7100</v>
      </c>
      <c r="O46" s="37">
        <v>4703.75</v>
      </c>
      <c r="P46" s="50">
        <f>(R46)/J46</f>
        <v>0</v>
      </c>
      <c r="Q46" s="48">
        <f>I46/G46-1</f>
        <v>-0.3374337433743374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5166510.2501620799</v>
      </c>
      <c r="E47" s="39">
        <f>C47*K47</f>
        <v>4401965.1428571427</v>
      </c>
      <c r="F47" s="40" t="s">
        <v>47</v>
      </c>
      <c r="G47" s="41">
        <v>1.4503460000000001</v>
      </c>
      <c r="H47" s="42">
        <v>1.35</v>
      </c>
      <c r="I47" s="42">
        <v>1.35</v>
      </c>
      <c r="J47" s="43">
        <f>I47/$J$5</f>
        <v>5.0300686324920081E-2</v>
      </c>
      <c r="K47" s="44">
        <f>I47/$K$4</f>
        <v>4.2857142857142858E-2</v>
      </c>
      <c r="L47" s="45">
        <f>I47-H47</f>
        <v>0</v>
      </c>
      <c r="M47" s="45">
        <f>((I47-H47)/H47)*100</f>
        <v>0</v>
      </c>
      <c r="N47" s="46">
        <v>53400</v>
      </c>
      <c r="O47" s="37">
        <v>72090</v>
      </c>
      <c r="P47" s="50">
        <v>0</v>
      </c>
      <c r="Q47" s="48">
        <f>I47/G47-1</f>
        <v>-6.9187628331446427E-2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2297600</v>
      </c>
      <c r="O48" s="59">
        <f>SUM(O9:O47)</f>
        <v>24293721.09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72195132.070799991</v>
      </c>
      <c r="E51" s="39">
        <v>0</v>
      </c>
      <c r="F51" s="40" t="s">
        <v>92</v>
      </c>
      <c r="G51" s="68">
        <v>0.1</v>
      </c>
      <c r="H51" s="42">
        <v>0.13109999999999999</v>
      </c>
      <c r="I51" s="42">
        <v>0.13009999999999999</v>
      </c>
      <c r="J51" s="43">
        <f>I51</f>
        <v>0.13009999999999999</v>
      </c>
      <c r="K51" s="39">
        <v>0</v>
      </c>
      <c r="L51" s="45">
        <f>I51-H51</f>
        <v>-1.0000000000000009E-3</v>
      </c>
      <c r="M51" s="45">
        <f>((I51-H51)/H51)*100</f>
        <v>-0.76277650648360107</v>
      </c>
      <c r="N51" s="46">
        <v>308230</v>
      </c>
      <c r="O51" s="37">
        <v>40089.81</v>
      </c>
      <c r="P51" s="69">
        <f>(R51)/J51</f>
        <v>0</v>
      </c>
      <c r="Q51" s="48">
        <f>J51/G51-1</f>
        <v>0.30099999999999993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61797784.568999998</v>
      </c>
      <c r="E52" s="39">
        <v>0</v>
      </c>
      <c r="F52" s="40" t="s">
        <v>39</v>
      </c>
      <c r="G52" s="68">
        <v>39.9</v>
      </c>
      <c r="H52" s="42">
        <v>62</v>
      </c>
      <c r="I52" s="42">
        <v>58.427399999999999</v>
      </c>
      <c r="J52" s="43">
        <f>I52</f>
        <v>58.427399999999999</v>
      </c>
      <c r="K52" s="39">
        <v>0</v>
      </c>
      <c r="L52" s="45">
        <f>I52-H52</f>
        <v>-3.5726000000000013</v>
      </c>
      <c r="M52" s="45">
        <f>((I52-H52)/H52)*100</f>
        <v>-5.7622580645161312</v>
      </c>
      <c r="N52" s="46">
        <v>6328</v>
      </c>
      <c r="O52" s="37">
        <v>369728.4</v>
      </c>
      <c r="P52" s="70">
        <f>(R52)/J52</f>
        <v>9.5845442378062352E-3</v>
      </c>
      <c r="Q52" s="48">
        <f>J52/G52-1</f>
        <v>0.46434586466165406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688795969.33060002</v>
      </c>
      <c r="E53" s="39"/>
      <c r="F53" s="40" t="s">
        <v>56</v>
      </c>
      <c r="G53" s="68">
        <v>0.33</v>
      </c>
      <c r="H53" s="42">
        <v>0.2394</v>
      </c>
      <c r="I53" s="42">
        <v>0.23019999999999999</v>
      </c>
      <c r="J53" s="43">
        <f>I53</f>
        <v>0.23019999999999999</v>
      </c>
      <c r="K53" s="39">
        <v>0</v>
      </c>
      <c r="L53" s="45">
        <f>I53-H53</f>
        <v>-9.2000000000000137E-3</v>
      </c>
      <c r="M53" s="45">
        <f>((I53-H53)/H53)*100</f>
        <v>-3.8429406850459542</v>
      </c>
      <c r="N53" s="46">
        <v>15950</v>
      </c>
      <c r="O53" s="37">
        <v>3671.96</v>
      </c>
      <c r="P53" s="69">
        <v>0</v>
      </c>
      <c r="Q53" s="48">
        <f>J53/G53-1</f>
        <v>-0.30242424242424248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15975212.706600001</v>
      </c>
      <c r="E54" s="39">
        <v>0</v>
      </c>
      <c r="F54" s="40" t="s">
        <v>34</v>
      </c>
      <c r="G54" s="68">
        <v>2.3E-2</v>
      </c>
      <c r="H54" s="42">
        <v>2.6200000000000001E-2</v>
      </c>
      <c r="I54" s="42">
        <v>2.6200000000000001E-2</v>
      </c>
      <c r="J54" s="43">
        <f>I54</f>
        <v>2.6200000000000001E-2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0.13913043478260878</v>
      </c>
      <c r="T54" s="51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301263542.90970004</v>
      </c>
      <c r="E55" s="39">
        <v>0</v>
      </c>
      <c r="F55" s="40" t="s">
        <v>47</v>
      </c>
      <c r="G55" s="68">
        <v>9.0200000000000002E-2</v>
      </c>
      <c r="H55" s="42">
        <v>0.13950000000000001</v>
      </c>
      <c r="I55" s="42">
        <v>0.13930000000000001</v>
      </c>
      <c r="J55" s="43">
        <f>I55</f>
        <v>0.13930000000000001</v>
      </c>
      <c r="K55" s="39">
        <v>0</v>
      </c>
      <c r="L55" s="45">
        <f>I55-H55</f>
        <v>-2.0000000000000573E-4</v>
      </c>
      <c r="M55" s="71">
        <f>((I55-H55)/H55)*100</f>
        <v>-0.14336917562724424</v>
      </c>
      <c r="N55" s="46">
        <v>1082681</v>
      </c>
      <c r="O55" s="37">
        <v>150862.23000000001</v>
      </c>
      <c r="P55" s="69">
        <f>(R55)/J55</f>
        <v>0</v>
      </c>
      <c r="Q55" s="48">
        <f>J55/G55-1</f>
        <v>0.54434589800443467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806354622.64499998</v>
      </c>
      <c r="E56" s="39">
        <v>0</v>
      </c>
      <c r="F56" s="40" t="s">
        <v>34</v>
      </c>
      <c r="G56" s="68">
        <v>0.95750000000000002</v>
      </c>
      <c r="H56" s="42">
        <v>1.4428000000000001</v>
      </c>
      <c r="I56" s="42">
        <v>1.4000999999999999</v>
      </c>
      <c r="J56" s="43">
        <f>I56</f>
        <v>1.4000999999999999</v>
      </c>
      <c r="K56" s="39">
        <v>0</v>
      </c>
      <c r="L56" s="45">
        <f>I56-H56</f>
        <v>-4.2700000000000182E-2</v>
      </c>
      <c r="M56" s="45">
        <f>((I56-H56)/H56)*100</f>
        <v>-2.9595231494316732</v>
      </c>
      <c r="N56" s="46">
        <v>595280</v>
      </c>
      <c r="O56" s="37">
        <v>833439.46</v>
      </c>
      <c r="P56" s="70">
        <f>(R56)/J56</f>
        <v>3.3569030783515467E-2</v>
      </c>
      <c r="Q56" s="48">
        <f>J56/G56-1</f>
        <v>0.46224543080939928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0.1487</v>
      </c>
      <c r="I57" s="42">
        <v>0.15</v>
      </c>
      <c r="J57" s="43">
        <f>I57</f>
        <v>0.15</v>
      </c>
      <c r="K57" s="39">
        <v>0</v>
      </c>
      <c r="L57" s="45">
        <f>I57-H57</f>
        <v>1.2999999999999956E-3</v>
      </c>
      <c r="M57" s="45">
        <f>((I57-H57)/H57)*100</f>
        <v>0.87424344317417324</v>
      </c>
      <c r="N57" s="46">
        <v>3050</v>
      </c>
      <c r="O57" s="37">
        <v>457.5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18408394.040000003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1.9300000000000001E-2</v>
      </c>
      <c r="J58" s="43">
        <f>I58</f>
        <v>1.9300000000000001E-2</v>
      </c>
      <c r="K58" s="39">
        <v>0</v>
      </c>
      <c r="L58" s="45">
        <f>I58-H58</f>
        <v>-6.9999999999999923E-4</v>
      </c>
      <c r="M58" s="71">
        <f>((I58-H58)/H58)*100</f>
        <v>-3.499999999999996</v>
      </c>
      <c r="N58" s="46">
        <v>79703</v>
      </c>
      <c r="O58" s="37">
        <v>1535.5</v>
      </c>
      <c r="P58" s="69">
        <f>(R58)/J58</f>
        <v>0</v>
      </c>
      <c r="Q58" s="48">
        <f>J58/G58-1</f>
        <v>0.14880952380952395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68">
        <v>19.5</v>
      </c>
      <c r="H59" s="42">
        <v>13.123100000000001</v>
      </c>
      <c r="I59" s="42">
        <v>13</v>
      </c>
      <c r="J59" s="43">
        <f>I59</f>
        <v>13</v>
      </c>
      <c r="K59" s="39">
        <v>0</v>
      </c>
      <c r="L59" s="45">
        <f>I59-H59</f>
        <v>-0.12310000000000088</v>
      </c>
      <c r="M59" s="45">
        <f>((I59-H59)/H59)*100</f>
        <v>-0.93804055444217349</v>
      </c>
      <c r="N59" s="46">
        <v>50</v>
      </c>
      <c r="O59" s="37">
        <v>650</v>
      </c>
      <c r="P59" s="69">
        <f>(R59)/J59</f>
        <v>0</v>
      </c>
      <c r="Q59" s="48">
        <f>J59/G59-1</f>
        <v>-0.33333333333333337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902425886.52590001</v>
      </c>
      <c r="E60" s="39">
        <v>0</v>
      </c>
      <c r="F60" s="40" t="s">
        <v>92</v>
      </c>
      <c r="G60" s="68">
        <v>0.59499999999999997</v>
      </c>
      <c r="H60" s="42">
        <v>1.1066</v>
      </c>
      <c r="I60" s="42">
        <v>1.1209</v>
      </c>
      <c r="J60" s="43">
        <f>I60</f>
        <v>1.1209</v>
      </c>
      <c r="K60" s="39">
        <v>0</v>
      </c>
      <c r="L60" s="45">
        <f>I60-H60</f>
        <v>1.4299999999999979E-2</v>
      </c>
      <c r="M60" s="45">
        <f>((I60-H60)/H60)*100</f>
        <v>1.2922465208747496</v>
      </c>
      <c r="N60" s="46">
        <v>470366</v>
      </c>
      <c r="O60" s="37">
        <v>527245.23</v>
      </c>
      <c r="P60" s="69">
        <f>(R60)/J60</f>
        <v>0</v>
      </c>
      <c r="Q60" s="48">
        <f>J60/G60-1</f>
        <v>0.88386554621848745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0.3</v>
      </c>
      <c r="J61" s="43">
        <f>I61</f>
        <v>0.3</v>
      </c>
      <c r="K61" s="39">
        <v>0</v>
      </c>
      <c r="L61" s="45">
        <f>I61-H61</f>
        <v>0</v>
      </c>
      <c r="M61" s="45">
        <f>((I61-H61)/H61)*100</f>
        <v>0</v>
      </c>
      <c r="N61" s="46">
        <v>4524</v>
      </c>
      <c r="O61" s="37">
        <v>1357.31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388525906.98680001</v>
      </c>
      <c r="E62" s="39">
        <v>0</v>
      </c>
      <c r="F62" s="40" t="s">
        <v>34</v>
      </c>
      <c r="G62" s="68">
        <v>0.49440000000000001</v>
      </c>
      <c r="H62" s="42">
        <v>0.72440000000000004</v>
      </c>
      <c r="I62" s="42">
        <v>0.69110000000000005</v>
      </c>
      <c r="J62" s="43">
        <f>I62</f>
        <v>0.69110000000000005</v>
      </c>
      <c r="K62" s="39">
        <v>0</v>
      </c>
      <c r="L62" s="45">
        <f>I62-H62</f>
        <v>-3.3299999999999996E-2</v>
      </c>
      <c r="M62" s="45">
        <f>((I62-H62)/H62)*100</f>
        <v>-4.5969077857537268</v>
      </c>
      <c r="N62" s="46">
        <v>108674</v>
      </c>
      <c r="O62" s="37">
        <v>75104.78</v>
      </c>
      <c r="P62" s="69">
        <f>(R62)/J62</f>
        <v>0</v>
      </c>
      <c r="Q62" s="48">
        <f>J62/G62-1</f>
        <v>0.39785598705501624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6</v>
      </c>
      <c r="O63" s="37">
        <v>60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38145059.8002</v>
      </c>
      <c r="E64" s="39">
        <v>0</v>
      </c>
      <c r="F64" s="40" t="s">
        <v>44</v>
      </c>
      <c r="G64" s="68">
        <v>4.2999999999999997E-2</v>
      </c>
      <c r="H64" s="42">
        <v>0.10920000000000001</v>
      </c>
      <c r="I64" s="42">
        <v>0.11070000000000001</v>
      </c>
      <c r="J64" s="43">
        <f>I64</f>
        <v>0.11070000000000001</v>
      </c>
      <c r="K64" s="39">
        <v>0</v>
      </c>
      <c r="L64" s="45">
        <f>I64-H64</f>
        <v>1.5000000000000013E-3</v>
      </c>
      <c r="M64" s="45">
        <f>((I64-H64)/H64)*100</f>
        <v>1.3736263736263747</v>
      </c>
      <c r="N64" s="46">
        <v>3892</v>
      </c>
      <c r="O64" s="37">
        <v>430.7</v>
      </c>
      <c r="P64" s="69">
        <f>(R64)/J64</f>
        <v>0</v>
      </c>
      <c r="Q64" s="48">
        <f>J64/G64-1</f>
        <v>1.574418604651163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2678734</v>
      </c>
      <c r="O65" s="60">
        <f>SUM(O51:O64)</f>
        <v>2004632.88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553</v>
      </c>
      <c r="O70" s="91">
        <v>199.08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70514221.800000012</v>
      </c>
      <c r="E71" s="39">
        <f>C71*K71</f>
        <v>70514221.800000012</v>
      </c>
      <c r="F71" s="87" t="s">
        <v>156</v>
      </c>
      <c r="G71" s="87">
        <v>0.1</v>
      </c>
      <c r="H71" s="88">
        <v>0.14990000000000001</v>
      </c>
      <c r="I71" s="88">
        <v>0.14960000000000001</v>
      </c>
      <c r="J71" s="89">
        <f>I71</f>
        <v>0.14960000000000001</v>
      </c>
      <c r="K71" s="89">
        <f>J71</f>
        <v>0.14960000000000001</v>
      </c>
      <c r="L71" s="45">
        <f>I71-H71</f>
        <v>-2.9999999999999472E-4</v>
      </c>
      <c r="M71" s="45">
        <f>((I71-H71)/H71)*100</f>
        <v>-0.20013342228151748</v>
      </c>
      <c r="N71" s="46">
        <v>4747</v>
      </c>
      <c r="O71" s="91">
        <v>709.94</v>
      </c>
      <c r="P71" s="92">
        <f>(R71)/J71</f>
        <v>2.5347593582887698E-2</v>
      </c>
      <c r="Q71" s="48">
        <f>J71/G71-1</f>
        <v>0.496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5300</v>
      </c>
      <c r="O72" s="60">
        <f>SUM(O70:O71)</f>
        <v>909.0200000000001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2725298.0754999998</v>
      </c>
      <c r="E74" s="39">
        <f>C74*K74</f>
        <v>2725298.0754999998</v>
      </c>
      <c r="F74" s="87" t="s">
        <v>138</v>
      </c>
      <c r="G74" s="87">
        <v>0.1394</v>
      </c>
      <c r="H74" s="88">
        <v>0.13100000000000001</v>
      </c>
      <c r="I74" s="88">
        <v>0.13089999999999999</v>
      </c>
      <c r="J74" s="89">
        <f>I74</f>
        <v>0.13089999999999999</v>
      </c>
      <c r="K74" s="89">
        <f>J74</f>
        <v>0.13089999999999999</v>
      </c>
      <c r="L74" s="45">
        <f>I74-H74</f>
        <v>-1.0000000000001674E-4</v>
      </c>
      <c r="M74" s="45">
        <f>((I74-H74)/H74)*100</f>
        <v>-7.6335877862608204E-2</v>
      </c>
      <c r="N74" s="90">
        <v>597</v>
      </c>
      <c r="O74" s="91">
        <v>78.12</v>
      </c>
      <c r="P74" s="69">
        <f>(R74)/J74</f>
        <v>0</v>
      </c>
      <c r="Q74" s="48">
        <f>J74/G74-1</f>
        <v>-6.0975609756097615E-2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89066.617327282351</v>
      </c>
      <c r="E77" s="39">
        <f>C77*K77</f>
        <v>75886.454469841265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2.8093864806659065E-3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304401.98520042025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2.2355860588853366E-3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11600</v>
      </c>
      <c r="O78" s="37">
        <v>696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27369.67762849031</v>
      </c>
      <c r="E79" s="39">
        <f>C79*K79</f>
        <v>23319.486666666668</v>
      </c>
      <c r="F79" s="40" t="s">
        <v>138</v>
      </c>
      <c r="G79" s="68">
        <v>6.0499999999999998E-2</v>
      </c>
      <c r="H79" s="42">
        <v>0.11</v>
      </c>
      <c r="I79" s="42">
        <v>0.11</v>
      </c>
      <c r="J79" s="43">
        <f>I79/$J$5</f>
        <v>4.098574441289784E-3</v>
      </c>
      <c r="K79" s="44">
        <f>I79/$K$4</f>
        <v>3.4920634920634921E-3</v>
      </c>
      <c r="L79" s="45">
        <f>I79-H79</f>
        <v>0</v>
      </c>
      <c r="M79" s="93">
        <f>((I79-H79)/H79)*100</f>
        <v>0</v>
      </c>
      <c r="N79" s="37">
        <v>2001</v>
      </c>
      <c r="O79" s="37">
        <v>220.11</v>
      </c>
      <c r="P79" s="40">
        <v>0</v>
      </c>
      <c r="Q79" s="48">
        <f>I79/G79-1</f>
        <v>0.81818181818181834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28553910.040016994</v>
      </c>
      <c r="E80" s="39">
        <f>C80*K80</f>
        <v>24328475.238095239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5.7752639854537872E-2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13601</v>
      </c>
      <c r="O81" s="60">
        <f>SUM(O77:O80)</f>
        <v>916.11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26075125.513253298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3">
        <f>I83/$J$5</f>
        <v>7.0793558531368997E-2</v>
      </c>
      <c r="K83" s="44">
        <f>I83/$K$4</f>
        <v>6.0317460317460311E-2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74400231.171707913</v>
      </c>
      <c r="E84" s="39">
        <f>C84*K84</f>
        <v>63390414.105555564</v>
      </c>
      <c r="F84" s="40" t="s">
        <v>174</v>
      </c>
      <c r="G84" s="40">
        <v>1.44347</v>
      </c>
      <c r="H84" s="42">
        <v>1.049164</v>
      </c>
      <c r="I84" s="42">
        <v>1.084565</v>
      </c>
      <c r="J84" s="43">
        <f>I84/$J$5</f>
        <v>4.041063989924959E-2</v>
      </c>
      <c r="K84" s="44">
        <f>I84/$K$4</f>
        <v>3.4430634920634924E-2</v>
      </c>
      <c r="L84" s="45">
        <f>I84-H84</f>
        <v>3.5401000000000016E-2</v>
      </c>
      <c r="M84" s="45">
        <f>((I84-H84)/H84*100)</f>
        <v>3.3742103236481635</v>
      </c>
      <c r="N84" s="50">
        <v>70008</v>
      </c>
      <c r="O84" s="37">
        <v>75928.160000000003</v>
      </c>
      <c r="P84" s="47">
        <f>(R84)/J84</f>
        <v>5.3847204731851013E-2</v>
      </c>
      <c r="Q84" s="48">
        <f>I84/G84-1</f>
        <v>-0.24864042896631033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70008</v>
      </c>
      <c r="O85" s="60">
        <f>SUM(O83:O84)</f>
        <v>75928.160000000003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50</v>
      </c>
      <c r="B88" s="110">
        <v>3.2025000000000001</v>
      </c>
      <c r="D88" s="110">
        <v>14.375000000000012</v>
      </c>
      <c r="E88" s="35" t="s">
        <v>35</v>
      </c>
      <c r="F88" s="111">
        <v>6.3022999999999996E-2</v>
      </c>
      <c r="H88" s="112">
        <v>-8.662318840579724</v>
      </c>
      <c r="L88" s="35" t="s">
        <v>147</v>
      </c>
      <c r="M88" s="50">
        <v>0.11070000000000001</v>
      </c>
      <c r="N88" s="113">
        <v>1.3736263736263747</v>
      </c>
      <c r="O88" s="35" t="s">
        <v>122</v>
      </c>
      <c r="P88" s="111">
        <v>58.427399999999999</v>
      </c>
      <c r="Q88" s="114">
        <v>-5.7622580645161312</v>
      </c>
    </row>
    <row r="89" spans="1:243" x14ac:dyDescent="0.25">
      <c r="A89" s="35" t="s">
        <v>62</v>
      </c>
      <c r="B89" s="110">
        <v>2.7247320000000004</v>
      </c>
      <c r="D89" s="110">
        <v>8.810830238409034</v>
      </c>
      <c r="E89" s="35" t="s">
        <v>86</v>
      </c>
      <c r="F89" s="111">
        <v>1.100813</v>
      </c>
      <c r="H89" s="112">
        <v>-8.2655833333333266</v>
      </c>
      <c r="L89" s="35" t="s">
        <v>139</v>
      </c>
      <c r="M89" s="50">
        <v>1.1209</v>
      </c>
      <c r="N89" s="113">
        <v>1.2922465208747496</v>
      </c>
      <c r="O89" s="35" t="s">
        <v>143</v>
      </c>
      <c r="P89" s="111">
        <v>0.69110000000000005</v>
      </c>
      <c r="Q89" s="114">
        <v>-4.5969077857537268</v>
      </c>
    </row>
    <row r="90" spans="1:243" x14ac:dyDescent="0.25">
      <c r="A90" s="35" t="s">
        <v>72</v>
      </c>
      <c r="B90" s="110">
        <v>1.4</v>
      </c>
      <c r="C90" s="110"/>
      <c r="D90" s="110">
        <v>7.6377436361106099</v>
      </c>
      <c r="E90" s="35" t="s">
        <v>40</v>
      </c>
      <c r="F90" s="111">
        <v>185.14279999999999</v>
      </c>
      <c r="H90" s="112">
        <v>-7.4283685709214353</v>
      </c>
      <c r="L90" s="35" t="s">
        <v>132</v>
      </c>
      <c r="M90" s="50">
        <v>0.15</v>
      </c>
      <c r="N90" s="113">
        <v>0.87424344317417324</v>
      </c>
      <c r="O90" s="35" t="s">
        <v>124</v>
      </c>
      <c r="P90" s="111">
        <v>0.23019999999999999</v>
      </c>
      <c r="Q90" s="114">
        <v>-3.8429406850459542</v>
      </c>
    </row>
    <row r="91" spans="1:243" x14ac:dyDescent="0.25">
      <c r="A91" s="35" t="s">
        <v>52</v>
      </c>
      <c r="B91" s="110">
        <v>31.990500000000001</v>
      </c>
      <c r="C91" s="110"/>
      <c r="D91" s="110">
        <v>5.721915060262865</v>
      </c>
      <c r="E91" s="35" t="s">
        <v>101</v>
      </c>
      <c r="F91" s="111">
        <v>6.9635580000000008</v>
      </c>
      <c r="G91" s="111"/>
      <c r="H91" s="112">
        <v>-6.5294228187919385</v>
      </c>
      <c r="L91" s="35"/>
      <c r="M91" s="50"/>
      <c r="N91" s="113"/>
      <c r="O91" s="35" t="s">
        <v>134</v>
      </c>
      <c r="P91" s="111">
        <v>1.9300000000000001E-2</v>
      </c>
      <c r="Q91" s="114">
        <v>-3.499999999999996</v>
      </c>
    </row>
    <row r="92" spans="1:243" x14ac:dyDescent="0.25">
      <c r="A92" s="35" t="s">
        <v>60</v>
      </c>
      <c r="B92" s="110">
        <v>0.7</v>
      </c>
      <c r="C92" s="110"/>
      <c r="D92" s="110">
        <v>3.0927835051546255</v>
      </c>
      <c r="E92" s="35" t="s">
        <v>76</v>
      </c>
      <c r="F92" s="111">
        <v>2.7</v>
      </c>
      <c r="G92" s="111"/>
      <c r="H92" s="112">
        <v>-3.2415860495868936</v>
      </c>
      <c r="L92" s="35"/>
      <c r="M92" s="50"/>
      <c r="N92" s="113"/>
      <c r="O92" s="35" t="s">
        <v>130</v>
      </c>
      <c r="P92" s="111">
        <v>1.4000999999999999</v>
      </c>
      <c r="Q92" s="114">
        <v>-2.9595231494316732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P+cpCn/tJ4QG5zB/J24LsGh+IkdaKI3Sv8vL8yFCVIIs8Lxd+CI7UkVT37tlx7F7PAEIGrr5P9iwWBZ4If46gQ==" saltValue="S7bUXUq5vwJmF5zLH2JWY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2026-06-24T13:33:03Z</dcterms:created>
  <dcterms:modified xsi:type="dcterms:W3CDTF">2026-06-24T13:38:59Z</dcterms:modified>
</cp:coreProperties>
</file>