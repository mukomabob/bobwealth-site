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1.07.26/"/>
    </mc:Choice>
  </mc:AlternateContent>
  <xr:revisionPtr revIDLastSave="0" documentId="8_{D303BE45-4801-4AAF-BB43-386A439A98E8}" xr6:coauthVersionLast="47" xr6:coauthVersionMax="47" xr10:uidLastSave="{00000000-0000-0000-0000-000000000000}"/>
  <bookViews>
    <workbookView xWindow="-108" yWindow="-108" windowWidth="23256" windowHeight="12456" xr2:uid="{B5204AF0-67AE-4AC7-A376-D763EE9C4E81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Q83" i="1"/>
  <c r="P83" i="1"/>
  <c r="M83" i="1"/>
  <c r="L83" i="1"/>
  <c r="K83" i="1"/>
  <c r="J83" i="1"/>
  <c r="D83" i="1" s="1"/>
  <c r="E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J78" i="1"/>
  <c r="D78" i="1" s="1"/>
  <c r="E78" i="1"/>
  <c r="Q77" i="1"/>
  <c r="M77" i="1"/>
  <c r="L77" i="1"/>
  <c r="K77" i="1"/>
  <c r="J77" i="1"/>
  <c r="E77" i="1"/>
  <c r="D77" i="1"/>
  <c r="M74" i="1"/>
  <c r="L74" i="1"/>
  <c r="J74" i="1"/>
  <c r="P74" i="1" s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Q51" i="1" s="1"/>
  <c r="O48" i="1"/>
  <c r="N48" i="1"/>
  <c r="C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D22" i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D15" i="1" s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D9" i="1" s="1"/>
  <c r="D39" i="1" l="1"/>
  <c r="P44" i="1"/>
  <c r="D45" i="1"/>
  <c r="D10" i="1"/>
  <c r="D59" i="1"/>
  <c r="K74" i="1"/>
  <c r="E74" i="1" s="1"/>
  <c r="P32" i="1"/>
  <c r="D28" i="1"/>
  <c r="D40" i="1"/>
  <c r="P71" i="1"/>
  <c r="P59" i="1"/>
  <c r="D34" i="1"/>
  <c r="D42" i="1"/>
  <c r="Q71" i="1"/>
  <c r="D43" i="1"/>
  <c r="P23" i="1"/>
  <c r="P29" i="1"/>
  <c r="D55" i="1"/>
  <c r="P57" i="1"/>
  <c r="D61" i="1"/>
  <c r="P63" i="1"/>
  <c r="Q74" i="1"/>
  <c r="D84" i="1"/>
  <c r="P35" i="1"/>
  <c r="P55" i="1"/>
  <c r="P61" i="1"/>
  <c r="P20" i="1"/>
  <c r="P26" i="1"/>
  <c r="D19" i="1"/>
  <c r="D25" i="1"/>
  <c r="D46" i="1"/>
  <c r="D74" i="1"/>
  <c r="D57" i="1"/>
  <c r="D63" i="1"/>
  <c r="P54" i="1"/>
  <c r="P58" i="1"/>
  <c r="P62" i="1"/>
  <c r="P64" i="1"/>
  <c r="P52" i="1"/>
  <c r="Q54" i="1"/>
  <c r="Q56" i="1"/>
  <c r="Q58" i="1"/>
  <c r="Q62" i="1"/>
  <c r="Q64" i="1"/>
  <c r="P70" i="1"/>
  <c r="P9" i="1"/>
  <c r="P12" i="1"/>
  <c r="P15" i="1"/>
  <c r="D21" i="1"/>
  <c r="D24" i="1"/>
  <c r="D27" i="1"/>
  <c r="D33" i="1"/>
  <c r="D36" i="1"/>
  <c r="Q70" i="1"/>
  <c r="D51" i="1"/>
  <c r="D53" i="1"/>
  <c r="D71" i="1"/>
  <c r="K70" i="1"/>
  <c r="E70" i="1" s="1"/>
  <c r="P51" i="1"/>
  <c r="P56" i="1"/>
  <c r="P60" i="1"/>
  <c r="Q60" i="1"/>
</calcChain>
</file>

<file path=xl/sharedStrings.xml><?xml version="1.0" encoding="utf-8"?>
<sst xmlns="http://schemas.openxmlformats.org/spreadsheetml/2006/main" count="261" uniqueCount="182">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</sst>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44A72EDF-9356-4092-B1B3-B94B855FC413}"/>
    <cellStyle name="Comma 5 2 2 2 2 2 2 2 2" xfId="4" xr:uid="{492D4E71-29F6-4EF2-9D52-0C3A82CFFFA1}"/>
    <cellStyle name="Comma 6 2 2 2" xfId="5" xr:uid="{B3730DD9-1F56-4195-8ACF-953AD54327A9}"/>
    <cellStyle name="Hyperlink 2" xfId="8" xr:uid="{B021E24E-0D6C-47BD-9BF3-7BF71F8AD9CA}"/>
    <cellStyle name="Normal" xfId="0" builtinId="0"/>
    <cellStyle name="Normal 2" xfId="2" xr:uid="{04CE976E-EF10-484D-BF1E-032463755136}"/>
    <cellStyle name="Normal 20" xfId="7" xr:uid="{7CFDDFBB-2CCB-4F57-9C85-6304C493B587}"/>
    <cellStyle name="Percent" xfId="1" builtinId="5"/>
    <cellStyle name="Percent 3" xfId="6" xr:uid="{6CE3785D-3F4B-4645-B1F4-179C7B766721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110E90ED-F78F-448B-B899-BDCEC646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BF17AEA-5841-4E36-BAF5-B6A38B467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C79F-3276-4E1B-B535-C908EC080581}">
  <dimension ref="A1:II106"/>
  <sheetViews>
    <sheetView tabSelected="1" zoomScale="70" zoomScaleNormal="60" workbookViewId="0">
      <selection activeCell="S82" sqref="S82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26.869900000000001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74110589.775175929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0.58801856352275217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2.5509398734177218E-2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3936773.6268091802</v>
      </c>
      <c r="E10" s="39">
        <f>C10*K10</f>
        <v>3358117.8944444447</v>
      </c>
      <c r="F10" s="40" t="s">
        <v>34</v>
      </c>
      <c r="G10" s="41">
        <v>3.1600000000000003E-2</v>
      </c>
      <c r="H10" s="42">
        <v>6.5000000000000002E-2</v>
      </c>
      <c r="I10" s="43">
        <v>6.5000000000000002E-2</v>
      </c>
      <c r="J10" s="44">
        <f>I10/$J$5</f>
        <v>2.4190637106948666E-3</v>
      </c>
      <c r="K10" s="45">
        <f>I10/$K$4</f>
        <v>2.0634920634920637E-3</v>
      </c>
      <c r="L10" s="46">
        <f>I10-H10</f>
        <v>0</v>
      </c>
      <c r="M10" s="46">
        <f>((I10-H10)/H10)*100</f>
        <v>0</v>
      </c>
      <c r="N10" s="47">
        <v>6200</v>
      </c>
      <c r="O10" s="37">
        <v>403</v>
      </c>
      <c r="P10" s="51">
        <f>(R10)/J10</f>
        <v>0</v>
      </c>
      <c r="Q10" s="49">
        <f>I10/G10-1</f>
        <v>1.0569620253164556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3577795.9344843114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8.187600251582626E-3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1400</v>
      </c>
      <c r="O11" s="37">
        <v>308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153580668.70159176</v>
      </c>
      <c r="E12" s="39">
        <f>C12*K12</f>
        <v>131006260.63317144</v>
      </c>
      <c r="F12" s="40" t="s">
        <v>34</v>
      </c>
      <c r="G12" s="41">
        <v>97.381</v>
      </c>
      <c r="H12" s="42">
        <v>199.99970000000002</v>
      </c>
      <c r="I12" s="43">
        <v>199.99970000000002</v>
      </c>
      <c r="J12" s="44">
        <f>I12/$J$5</f>
        <v>7.4432617910747716</v>
      </c>
      <c r="K12" s="45">
        <f>I12/$K$4</f>
        <v>6.3491968253968256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1.053785646070589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6176690.3486801218</v>
      </c>
      <c r="E13" s="39">
        <f>C13*K13</f>
        <v>5268795.3015873013</v>
      </c>
      <c r="F13" s="40" t="s">
        <v>44</v>
      </c>
      <c r="G13" s="41">
        <v>13.6</v>
      </c>
      <c r="H13" s="42">
        <v>18.5</v>
      </c>
      <c r="I13" s="43">
        <v>19</v>
      </c>
      <c r="J13" s="44">
        <f>I13/$J$5</f>
        <v>0.70711093081849952</v>
      </c>
      <c r="K13" s="45">
        <f>I13/$K$4</f>
        <v>0.60317460317460314</v>
      </c>
      <c r="L13" s="46">
        <f>I13-H13</f>
        <v>0.5</v>
      </c>
      <c r="M13" s="46">
        <f>((I13-H13)/H13)*100</f>
        <v>2.7027027027027026</v>
      </c>
      <c r="N13" s="47">
        <v>129800</v>
      </c>
      <c r="O13" s="37">
        <v>2466200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592617054.4411962</v>
      </c>
      <c r="E14" s="39">
        <f>C14*K14</f>
        <v>505509872.73426986</v>
      </c>
      <c r="F14" s="40" t="s">
        <v>47</v>
      </c>
      <c r="G14" s="41">
        <v>11.5</v>
      </c>
      <c r="H14" s="42">
        <v>26.813800000000001</v>
      </c>
      <c r="I14" s="43">
        <v>30.4663</v>
      </c>
      <c r="J14" s="44">
        <f>I14/$J$5</f>
        <v>1.1338449342945078</v>
      </c>
      <c r="K14" s="45">
        <f>I14/$K$4</f>
        <v>0.96718412698412703</v>
      </c>
      <c r="L14" s="46">
        <f>I14-H14</f>
        <v>3.6524999999999999</v>
      </c>
      <c r="M14" s="46">
        <f>((I14-H14)/H14)*100</f>
        <v>13.621717175484266</v>
      </c>
      <c r="N14" s="47">
        <v>8900</v>
      </c>
      <c r="O14" s="37">
        <v>271150</v>
      </c>
      <c r="P14" s="51">
        <f>(R14)/J14</f>
        <v>0</v>
      </c>
      <c r="Q14" s="49">
        <f>I14/G14-1</f>
        <v>1.6492434782608698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23678735.313492045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0.22329818867952614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43967518.725413933</v>
      </c>
      <c r="E16" s="39">
        <f>C16*K16</f>
        <v>37504851.790476188</v>
      </c>
      <c r="F16" s="40" t="s">
        <v>34</v>
      </c>
      <c r="G16" s="41">
        <v>1.9</v>
      </c>
      <c r="H16" s="42">
        <v>3.25</v>
      </c>
      <c r="I16" s="43">
        <v>3.3</v>
      </c>
      <c r="J16" s="44">
        <f>I16/$J$5</f>
        <v>0.12281400377373938</v>
      </c>
      <c r="K16" s="45">
        <f>I16/$K$4</f>
        <v>0.10476190476190475</v>
      </c>
      <c r="L16" s="46">
        <f>I16-H16</f>
        <v>4.9999999999999822E-2</v>
      </c>
      <c r="M16" s="46">
        <f>((I16-H16)/H16)*100</f>
        <v>1.538461538461533</v>
      </c>
      <c r="N16" s="47">
        <v>1000</v>
      </c>
      <c r="O16" s="37">
        <v>3300</v>
      </c>
      <c r="P16" s="51">
        <f>(R16)/J16</f>
        <v>0</v>
      </c>
      <c r="Q16" s="49">
        <f>I16/G16-1</f>
        <v>0.73684210526315796</v>
      </c>
      <c r="R16" s="50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1558092961.6395111</v>
      </c>
      <c r="E17" s="39">
        <f>C17*K17</f>
        <v>1329073081.5859525</v>
      </c>
      <c r="F17" s="40" t="s">
        <v>34</v>
      </c>
      <c r="G17" s="41">
        <v>20.701700000000002</v>
      </c>
      <c r="H17" s="42">
        <v>31.758400000000002</v>
      </c>
      <c r="I17" s="43">
        <v>31.205100000000002</v>
      </c>
      <c r="J17" s="44">
        <f>I17/$J$5</f>
        <v>1.1613403845939136</v>
      </c>
      <c r="K17" s="45">
        <f>I17/$K$4</f>
        <v>0.99063809523809532</v>
      </c>
      <c r="L17" s="46">
        <f>I17-H17</f>
        <v>-0.55330000000000013</v>
      </c>
      <c r="M17" s="46">
        <f>((I17-H17)/H17)*100</f>
        <v>-1.7422162325557964</v>
      </c>
      <c r="N17" s="47">
        <v>128700</v>
      </c>
      <c r="O17" s="37">
        <v>4016094</v>
      </c>
      <c r="P17" s="48">
        <f>(R17)/J17</f>
        <v>4.3053699555521373E-2</v>
      </c>
      <c r="Q17" s="49">
        <f>I17/G17-1</f>
        <v>0.5073689600370983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36483560.377969399</v>
      </c>
      <c r="E19" s="39">
        <f>C19*K19</f>
        <v>31120940.285714284</v>
      </c>
      <c r="F19" s="40" t="s">
        <v>47</v>
      </c>
      <c r="G19" s="41">
        <v>12.45</v>
      </c>
      <c r="H19" s="42">
        <v>9</v>
      </c>
      <c r="I19" s="43">
        <v>9</v>
      </c>
      <c r="J19" s="44">
        <f>I19/$J$5</f>
        <v>0.33494728301928922</v>
      </c>
      <c r="K19" s="45">
        <f>I19/$K$4</f>
        <v>0.2857142857142857</v>
      </c>
      <c r="L19" s="46">
        <f>I19-H19</f>
        <v>0</v>
      </c>
      <c r="M19" s="46">
        <f>((I19-H19)/H19)*100</f>
        <v>0</v>
      </c>
      <c r="N19" s="47">
        <v>1000</v>
      </c>
      <c r="O19" s="37">
        <v>9000</v>
      </c>
      <c r="P19" s="51">
        <f>(R19)/J19</f>
        <v>0</v>
      </c>
      <c r="Q19" s="49">
        <f>I19/G19-1</f>
        <v>-0.27710843373493976</v>
      </c>
      <c r="R19" s="50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17979231.109903645</v>
      </c>
      <c r="E20" s="39">
        <f>C20*K20</f>
        <v>15336512.444444442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2.6051455345944715E-2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124206038.39612354</v>
      </c>
      <c r="E21" s="39">
        <f>C21*K21</f>
        <v>105949327.97142857</v>
      </c>
      <c r="F21" s="40" t="s">
        <v>47</v>
      </c>
      <c r="G21" s="41">
        <v>2.85</v>
      </c>
      <c r="H21" s="42">
        <v>2.7</v>
      </c>
      <c r="I21" s="43">
        <v>2.7</v>
      </c>
      <c r="J21" s="44">
        <f>I21/$J$5</f>
        <v>0.10048418490578677</v>
      </c>
      <c r="K21" s="45">
        <f>I21/$K$4</f>
        <v>8.5714285714285715E-2</v>
      </c>
      <c r="L21" s="46">
        <f>I21-H21</f>
        <v>0</v>
      </c>
      <c r="M21" s="46">
        <f>((I21-H21)/H21)*100</f>
        <v>0</v>
      </c>
      <c r="N21" s="47">
        <v>200</v>
      </c>
      <c r="O21" s="37">
        <v>540</v>
      </c>
      <c r="P21" s="51">
        <f>(R21)/J21</f>
        <v>0</v>
      </c>
      <c r="Q21" s="49">
        <f>I21/G21-1</f>
        <v>-5.2631578947368363E-2</v>
      </c>
      <c r="R21" s="50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19770179.151020285</v>
      </c>
      <c r="E22" s="39">
        <f>C22*K22</f>
        <v>16864213.865714286</v>
      </c>
      <c r="F22" s="40" t="s">
        <v>66</v>
      </c>
      <c r="G22" s="41">
        <v>0.88420599999999994</v>
      </c>
      <c r="H22" s="42">
        <v>0.9</v>
      </c>
      <c r="I22" s="43">
        <v>0.99</v>
      </c>
      <c r="J22" s="44">
        <f>I22/$J$5</f>
        <v>3.6844201132121814E-2</v>
      </c>
      <c r="K22" s="45">
        <f>I22/$K$4</f>
        <v>3.1428571428571431E-2</v>
      </c>
      <c r="L22" s="46">
        <f>I22-H22</f>
        <v>8.9999999999999969E-2</v>
      </c>
      <c r="M22" s="46">
        <f>((I22-H22)/H22)*100</f>
        <v>9.9999999999999964</v>
      </c>
      <c r="N22" s="47">
        <v>39494500</v>
      </c>
      <c r="O22" s="37">
        <v>39099555</v>
      </c>
      <c r="P22" s="51">
        <f>(R22)/J22</f>
        <v>0</v>
      </c>
      <c r="Q22" s="49">
        <f>I22/G22-1</f>
        <v>0.11964858867729933</v>
      </c>
      <c r="R22" s="50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2236626.3281962341</v>
      </c>
      <c r="E23" s="39">
        <f>C23*K23</f>
        <v>1907870.6595555553</v>
      </c>
      <c r="F23" s="40" t="s">
        <v>44</v>
      </c>
      <c r="G23" s="41">
        <v>0.1</v>
      </c>
      <c r="H23" s="42">
        <v>0.11199999999999999</v>
      </c>
      <c r="I23" s="43">
        <v>0.11199999999999999</v>
      </c>
      <c r="J23" s="44">
        <f>I23/$J$5</f>
        <v>4.1682328553511545E-3</v>
      </c>
      <c r="K23" s="45">
        <f>I23/$K$4</f>
        <v>3.5555555555555553E-3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0.11999999999999988</v>
      </c>
      <c r="R23" s="50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64310496.101957947</v>
      </c>
      <c r="E24" s="39">
        <f>C24*K24</f>
        <v>54857669.816190481</v>
      </c>
      <c r="F24" s="40" t="s">
        <v>34</v>
      </c>
      <c r="G24" s="41">
        <v>8.1687659999999997</v>
      </c>
      <c r="H24" s="42">
        <v>8.9525000000000006</v>
      </c>
      <c r="I24" s="43">
        <v>8.9525000000000006</v>
      </c>
      <c r="J24" s="44">
        <f>I24/$J$5</f>
        <v>0.33317950569224297</v>
      </c>
      <c r="K24" s="45">
        <f>I24/$K$4</f>
        <v>0.28420634920634924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0</v>
      </c>
      <c r="Q24" s="49">
        <f>I24/G24-1</f>
        <v>9.5942765406672237E-2</v>
      </c>
      <c r="R24" s="50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105984689.75275308</v>
      </c>
      <c r="E25" s="39">
        <f>C25*K25</f>
        <v>90406286.196428567</v>
      </c>
      <c r="F25" s="40" t="s">
        <v>66</v>
      </c>
      <c r="G25" s="41">
        <v>1.6675</v>
      </c>
      <c r="H25" s="42">
        <v>1.700985</v>
      </c>
      <c r="I25" s="43">
        <v>1.6875</v>
      </c>
      <c r="J25" s="44">
        <f>I25/$J$5</f>
        <v>6.2802615566116729E-2</v>
      </c>
      <c r="K25" s="45">
        <f>I25/$K$4</f>
        <v>5.3571428571428568E-2</v>
      </c>
      <c r="L25" s="46">
        <f>I25-H25</f>
        <v>-1.3484999999999969E-2</v>
      </c>
      <c r="M25" s="46">
        <f>((I25-H25)/H25)*100</f>
        <v>-0.79277595040520465</v>
      </c>
      <c r="N25" s="47">
        <v>6700</v>
      </c>
      <c r="O25" s="37">
        <v>11306.25</v>
      </c>
      <c r="P25" s="51">
        <f>(R25)/J25</f>
        <v>0</v>
      </c>
      <c r="Q25" s="49">
        <f>I25/G25-1</f>
        <v>1.1994002998500841E-2</v>
      </c>
      <c r="R25" s="50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29845669.632190667</v>
      </c>
      <c r="E26" s="39">
        <f>C26*K26</f>
        <v>25458735.188888889</v>
      </c>
      <c r="F26" s="40" t="s">
        <v>44</v>
      </c>
      <c r="G26" s="41">
        <v>1.7994999999999999</v>
      </c>
      <c r="H26" s="42">
        <v>3.35</v>
      </c>
      <c r="I26" s="43">
        <v>3.35</v>
      </c>
      <c r="J26" s="44">
        <f>I26/$J$5</f>
        <v>0.12467482201273544</v>
      </c>
      <c r="K26" s="45">
        <f>I26/$K$4</f>
        <v>0.10634920634920635</v>
      </c>
      <c r="L26" s="46">
        <f>I26-H26</f>
        <v>0</v>
      </c>
      <c r="M26" s="46">
        <f>((I26-H26)/H26)*100</f>
        <v>0</v>
      </c>
      <c r="N26" s="47">
        <v>200</v>
      </c>
      <c r="O26" s="37">
        <v>670</v>
      </c>
      <c r="P26" s="51">
        <f>(R26)/J26</f>
        <v>0</v>
      </c>
      <c r="Q26" s="49">
        <f>I26/G26-1</f>
        <v>0.86162823006390687</v>
      </c>
      <c r="R26" s="50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26215748.393183447</v>
      </c>
      <c r="E27" s="39">
        <f>C27*K27</f>
        <v>22362366.277777776</v>
      </c>
      <c r="F27" s="40" t="s">
        <v>34</v>
      </c>
      <c r="G27" s="41">
        <v>3.1361369999999997</v>
      </c>
      <c r="H27" s="42">
        <v>2.75</v>
      </c>
      <c r="I27" s="43">
        <v>2.75</v>
      </c>
      <c r="J27" s="44">
        <f>I27/$J$5</f>
        <v>0.10234500314478281</v>
      </c>
      <c r="K27" s="45">
        <f>I27/$K$4</f>
        <v>8.7301587301587297E-2</v>
      </c>
      <c r="L27" s="46">
        <f>I27-H27</f>
        <v>0</v>
      </c>
      <c r="M27" s="46">
        <f>((I27-H27)/H27)*100</f>
        <v>0</v>
      </c>
      <c r="N27" s="47">
        <v>5400</v>
      </c>
      <c r="O27" s="37">
        <v>14850</v>
      </c>
      <c r="P27" s="51">
        <f>(R27)/J27</f>
        <v>0</v>
      </c>
      <c r="Q27" s="49">
        <f>I27/G27-1</f>
        <v>-0.12312504205013997</v>
      </c>
      <c r="R27" s="50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21091856.529052954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2.7912273584940767E-2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91765194.616280675</v>
      </c>
      <c r="E29" s="39">
        <f>C29*K29</f>
        <v>78276876.280000001</v>
      </c>
      <c r="F29" s="40" t="s">
        <v>47</v>
      </c>
      <c r="G29" s="41">
        <v>5.15</v>
      </c>
      <c r="H29" s="42">
        <v>5.49</v>
      </c>
      <c r="I29" s="43">
        <v>5.49</v>
      </c>
      <c r="J29" s="44">
        <f>I29/$J$5</f>
        <v>0.20431784264176645</v>
      </c>
      <c r="K29" s="45">
        <f>I29/$K$4</f>
        <v>0.17428571428571429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6.6019417475728037E-2</v>
      </c>
      <c r="R29" s="50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3"/>
      <c r="J31" s="54">
        <f>I31/$J$5</f>
        <v>0</v>
      </c>
      <c r="K31" s="55">
        <f>I31/$K$4</f>
        <v>0</v>
      </c>
      <c r="L31" s="46">
        <v>0</v>
      </c>
      <c r="M31" s="46">
        <v>0</v>
      </c>
      <c r="N31" s="56" t="s">
        <v>85</v>
      </c>
      <c r="O31" s="56" t="s">
        <v>85</v>
      </c>
      <c r="P31" s="56" t="s">
        <v>85</v>
      </c>
      <c r="Q31" s="49">
        <v>0</v>
      </c>
      <c r="R31" s="50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12572661.267812682</v>
      </c>
      <c r="E32" s="39">
        <f>C32*K32</f>
        <v>10724639.714285715</v>
      </c>
      <c r="F32" s="40" t="s">
        <v>39</v>
      </c>
      <c r="G32" s="41">
        <v>1.4</v>
      </c>
      <c r="H32" s="42">
        <v>1.2</v>
      </c>
      <c r="I32" s="43">
        <v>1.3</v>
      </c>
      <c r="J32" s="44">
        <f>I32/$J$5</f>
        <v>4.8381274213897332E-2</v>
      </c>
      <c r="K32" s="45">
        <f>I32/$K$4</f>
        <v>4.1269841269841269E-2</v>
      </c>
      <c r="L32" s="46">
        <f>I32-H32</f>
        <v>0.10000000000000009</v>
      </c>
      <c r="M32" s="46">
        <f>((I32-H32)/H32)*100</f>
        <v>8.333333333333341</v>
      </c>
      <c r="N32" s="47">
        <v>10000</v>
      </c>
      <c r="O32" s="37">
        <v>13000</v>
      </c>
      <c r="P32" s="51">
        <f>(R32)/J32</f>
        <v>0</v>
      </c>
      <c r="Q32" s="49">
        <f>I32/G32-1</f>
        <v>-7.1428571428571286E-2</v>
      </c>
      <c r="R32" s="50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3860269.2790073645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3.1633910062932868E-2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116045153.90747641</v>
      </c>
      <c r="E34" s="39">
        <f>C34*K34</f>
        <v>98987989.872333348</v>
      </c>
      <c r="F34" s="40" t="s">
        <v>92</v>
      </c>
      <c r="G34" s="41">
        <v>1.44</v>
      </c>
      <c r="H34" s="42">
        <v>1.2495000000000001</v>
      </c>
      <c r="I34" s="43">
        <v>1.2495000000000001</v>
      </c>
      <c r="J34" s="44">
        <f>I34/$J$5</f>
        <v>4.6501847792511326E-2</v>
      </c>
      <c r="K34" s="45">
        <f>I34/$K$4</f>
        <v>3.966666666666667E-2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-0.13229166666666659</v>
      </c>
      <c r="R34" s="50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38208053.664137185</v>
      </c>
      <c r="E35" s="39">
        <f>C35*K35</f>
        <v>32591954.957142852</v>
      </c>
      <c r="F35" s="40" t="s">
        <v>34</v>
      </c>
      <c r="G35" s="41">
        <v>3.6056249999999999</v>
      </c>
      <c r="H35" s="42">
        <v>4.05</v>
      </c>
      <c r="I35" s="43">
        <v>4.05</v>
      </c>
      <c r="J35" s="44">
        <f>I35/$J$5</f>
        <v>0.15072627735868013</v>
      </c>
      <c r="K35" s="45">
        <f>I35/$K$4</f>
        <v>0.12857142857142856</v>
      </c>
      <c r="L35" s="46">
        <f>I35-H35</f>
        <v>0</v>
      </c>
      <c r="M35" s="46">
        <f>((I35-H35)/H35)*100</f>
        <v>0</v>
      </c>
      <c r="N35" s="47">
        <v>0</v>
      </c>
      <c r="O35" s="37">
        <v>0</v>
      </c>
      <c r="P35" s="51">
        <f>(R35)/J35</f>
        <v>0</v>
      </c>
      <c r="Q35" s="49">
        <f>I35/G35-1</f>
        <v>0.12324492979719182</v>
      </c>
      <c r="R35" s="50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7190398.3371228017</v>
      </c>
      <c r="E36" s="39">
        <f>C36*K36</f>
        <v>6133501.0882113017</v>
      </c>
      <c r="F36" s="40" t="s">
        <v>34</v>
      </c>
      <c r="G36" s="41">
        <v>2.5099999999999997E-2</v>
      </c>
      <c r="H36" s="42">
        <v>4.0688000000000002E-2</v>
      </c>
      <c r="I36" s="43">
        <v>4.0975999999999999E-2</v>
      </c>
      <c r="J36" s="44">
        <f>I36/$J$5</f>
        <v>1.5249777632220438E-3</v>
      </c>
      <c r="K36" s="45">
        <f>I36/$K$4</f>
        <v>1.3008253968253968E-3</v>
      </c>
      <c r="L36" s="46">
        <f>I36-H36</f>
        <v>2.8799999999999659E-4</v>
      </c>
      <c r="M36" s="46">
        <f>((I36-H36)/H36)*100</f>
        <v>0.70782540306723496</v>
      </c>
      <c r="N36" s="47">
        <v>179800</v>
      </c>
      <c r="O36" s="37">
        <v>7367.4</v>
      </c>
      <c r="P36" s="51">
        <f>(R36)/J36</f>
        <v>0</v>
      </c>
      <c r="Q36" s="49">
        <f>I36/G36-1</f>
        <v>0.63250996015936267</v>
      </c>
      <c r="R36" s="50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70208991.771756172</v>
      </c>
      <c r="E37" s="39">
        <f>C37*K37</f>
        <v>59889161.524060667</v>
      </c>
      <c r="F37" s="40" t="s">
        <v>92</v>
      </c>
      <c r="G37" s="41">
        <v>0.61</v>
      </c>
      <c r="H37" s="42">
        <v>3.6</v>
      </c>
      <c r="I37" s="43">
        <v>3.592727</v>
      </c>
      <c r="J37" s="44">
        <f>I37/$J$5</f>
        <v>0.13370823858667133</v>
      </c>
      <c r="K37" s="45">
        <f>I37/$K$4</f>
        <v>0.11405482539682539</v>
      </c>
      <c r="L37" s="46">
        <f>I37-H37</f>
        <v>-7.273000000000085E-3</v>
      </c>
      <c r="M37" s="46">
        <f>((I37-H37)/H37)*100</f>
        <v>-0.20202777777778014</v>
      </c>
      <c r="N37" s="47">
        <v>5500</v>
      </c>
      <c r="O37" s="37">
        <v>19760</v>
      </c>
      <c r="P37" s="51">
        <f>(R37)/J37</f>
        <v>0</v>
      </c>
      <c r="Q37" s="49">
        <f>I37/G37-1</f>
        <v>4.8897163934426233</v>
      </c>
      <c r="R37" s="50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26539572.083632614</v>
      </c>
      <c r="E38" s="39">
        <f>C38*K38</f>
        <v>22638591.997777779</v>
      </c>
      <c r="F38" s="40" t="s">
        <v>56</v>
      </c>
      <c r="G38" s="41">
        <v>0.11650199999999999</v>
      </c>
      <c r="H38" s="42">
        <v>0.17</v>
      </c>
      <c r="I38" s="43">
        <v>0.17</v>
      </c>
      <c r="J38" s="44">
        <f>I38/$J$5</f>
        <v>6.3267820125865746E-3</v>
      </c>
      <c r="K38" s="45">
        <f>I38/$K$4</f>
        <v>5.3968253968253973E-3</v>
      </c>
      <c r="L38" s="46">
        <f>I38-H38</f>
        <v>0</v>
      </c>
      <c r="M38" s="46">
        <f>((I38-H38)/H38)*100</f>
        <v>0</v>
      </c>
      <c r="N38" s="47">
        <v>0</v>
      </c>
      <c r="O38" s="37">
        <v>0</v>
      </c>
      <c r="P38" s="51">
        <v>0</v>
      </c>
      <c r="Q38" s="49">
        <f>I38/G38-1</f>
        <v>0.45920241712588639</v>
      </c>
      <c r="R38" s="50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94055701.802929893</v>
      </c>
      <c r="E39" s="39">
        <f>C39*K39</f>
        <v>80230707.996017352</v>
      </c>
      <c r="F39" s="40" t="s">
        <v>34</v>
      </c>
      <c r="G39" s="41">
        <v>2.6005000000000003</v>
      </c>
      <c r="H39" s="42">
        <v>6.9635580000000008</v>
      </c>
      <c r="I39" s="43">
        <v>6.9635580000000008</v>
      </c>
      <c r="J39" s="44">
        <f>I39/$J$5</f>
        <v>0.2591583146941373</v>
      </c>
      <c r="K39" s="45">
        <f>I39/$K$4</f>
        <v>0.22106533333333336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1.6777765814266488</v>
      </c>
      <c r="R39" s="50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19273878.201258656</v>
      </c>
      <c r="E40" s="39">
        <f>C40*K40</f>
        <v>16440862.853333334</v>
      </c>
      <c r="F40" s="40" t="s">
        <v>39</v>
      </c>
      <c r="G40" s="41">
        <v>0.1</v>
      </c>
      <c r="H40" s="42">
        <v>0.12</v>
      </c>
      <c r="I40" s="43">
        <v>0.12</v>
      </c>
      <c r="J40" s="44">
        <f>I40/$J$5</f>
        <v>4.4659637735905231E-3</v>
      </c>
      <c r="K40" s="45">
        <f>I40/$K$4</f>
        <v>3.8095238095238095E-3</v>
      </c>
      <c r="L40" s="46">
        <f>I40-H40</f>
        <v>0</v>
      </c>
      <c r="M40" s="46">
        <f>((I40-H40)/H40)*100</f>
        <v>0</v>
      </c>
      <c r="N40" s="47">
        <v>19800</v>
      </c>
      <c r="O40" s="37">
        <v>2376</v>
      </c>
      <c r="P40" s="51">
        <f>(R40)/J40</f>
        <v>0</v>
      </c>
      <c r="Q40" s="49">
        <f>I40/G40-1</f>
        <v>0.19999999999999996</v>
      </c>
      <c r="R40" s="50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5943876.065783646</v>
      </c>
      <c r="E41" s="39">
        <f>C41*K41</f>
        <v>5070201.7619047612</v>
      </c>
      <c r="F41" s="40" t="s">
        <v>44</v>
      </c>
      <c r="G41" s="41">
        <v>1.7452379999999998</v>
      </c>
      <c r="H41" s="42">
        <v>1.5039290000000001</v>
      </c>
      <c r="I41" s="43">
        <v>1.5</v>
      </c>
      <c r="J41" s="44">
        <f>I41/$J$5</f>
        <v>5.5824547169881535E-2</v>
      </c>
      <c r="K41" s="45">
        <f>I41/$K$4</f>
        <v>4.7619047619047616E-2</v>
      </c>
      <c r="L41" s="46">
        <f>I41-H41</f>
        <v>-3.9290000000000713E-3</v>
      </c>
      <c r="M41" s="46">
        <f>((I41-H41)/H41)*100</f>
        <v>-0.26124903502758917</v>
      </c>
      <c r="N41" s="47">
        <v>300</v>
      </c>
      <c r="O41" s="37">
        <v>450</v>
      </c>
      <c r="P41" s="51">
        <f>(R41)/J41</f>
        <v>0</v>
      </c>
      <c r="Q41" s="49">
        <f>I41/G41-1</f>
        <v>-0.14051837056034755</v>
      </c>
      <c r="R41" s="50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3818052.2590556717</v>
      </c>
      <c r="E42" s="39">
        <f>C42*K42</f>
        <v>3256847.0601777774</v>
      </c>
      <c r="F42" s="40" t="s">
        <v>39</v>
      </c>
      <c r="G42" s="41">
        <v>0.03</v>
      </c>
      <c r="H42" s="42">
        <v>5.7699999999999994E-2</v>
      </c>
      <c r="I42" s="43">
        <v>5.7699999999999994E-2</v>
      </c>
      <c r="J42" s="44">
        <f>I42/$J$5</f>
        <v>2.147384247801443E-3</v>
      </c>
      <c r="K42" s="45">
        <f>I42/$K$4</f>
        <v>1.8317460317460316E-3</v>
      </c>
      <c r="L42" s="46">
        <f>I42-H42</f>
        <v>0</v>
      </c>
      <c r="M42" s="46">
        <f>((I42-H42)/H42)*100</f>
        <v>0</v>
      </c>
      <c r="N42" s="47">
        <v>10400</v>
      </c>
      <c r="O42" s="37">
        <v>600.08000000000004</v>
      </c>
      <c r="P42" s="51">
        <f>(R42)/J42</f>
        <v>0</v>
      </c>
      <c r="Q42" s="49">
        <f>I42/G42-1</f>
        <v>0.92333333333333312</v>
      </c>
      <c r="R42" s="50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33903785.961242877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3">
        <v>5.2</v>
      </c>
      <c r="J43" s="44">
        <f>I43/$J$5</f>
        <v>0.19352509685558933</v>
      </c>
      <c r="K43" s="45">
        <f>I43/$K$4</f>
        <v>0.16507936507936508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0.15555555555555567</v>
      </c>
      <c r="R43" s="50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310.38738134492496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6.6989456603857845E-7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1504851.1531490628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2.6125888075504561E-3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47367245.512636811</v>
      </c>
      <c r="E46" s="39">
        <f>C46*K46</f>
        <v>40404861.911111109</v>
      </c>
      <c r="F46" s="40" t="s">
        <v>47</v>
      </c>
      <c r="G46" s="41">
        <v>0.9998999999999999</v>
      </c>
      <c r="H46" s="42">
        <v>0.7</v>
      </c>
      <c r="I46" s="43">
        <v>0.7</v>
      </c>
      <c r="J46" s="44">
        <f>I46/$J$5</f>
        <v>2.6051455345944715E-2</v>
      </c>
      <c r="K46" s="45">
        <f>I46/$K$4</f>
        <v>2.222222222222222E-2</v>
      </c>
      <c r="L46" s="46">
        <f>I46-H46</f>
        <v>0</v>
      </c>
      <c r="M46" s="46">
        <f>((I46-H46)/H46)*100</f>
        <v>0</v>
      </c>
      <c r="N46" s="47">
        <v>0</v>
      </c>
      <c r="O46" s="37">
        <v>0</v>
      </c>
      <c r="P46" s="51">
        <f>(R46)/J46</f>
        <v>0</v>
      </c>
      <c r="Q46" s="49">
        <f>I46/G46-1</f>
        <v>-0.2999299929992999</v>
      </c>
      <c r="R46" s="50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5351621.2564989068</v>
      </c>
      <c r="E47" s="39">
        <f>C47*K47</f>
        <v>4565000.8888888881</v>
      </c>
      <c r="F47" s="40" t="s">
        <v>47</v>
      </c>
      <c r="G47" s="41">
        <v>1.4503460000000001</v>
      </c>
      <c r="H47" s="42">
        <v>1.3504669999999999</v>
      </c>
      <c r="I47" s="43">
        <v>1.4</v>
      </c>
      <c r="J47" s="44">
        <f>I47/$J$5</f>
        <v>5.210291069188943E-2</v>
      </c>
      <c r="K47" s="45">
        <f>I47/$K$4</f>
        <v>4.4444444444444439E-2</v>
      </c>
      <c r="L47" s="46">
        <f>I47-H47</f>
        <v>4.9533000000000049E-2</v>
      </c>
      <c r="M47" s="46">
        <f>((I47-H47)/H47)*100</f>
        <v>3.6678423093640977</v>
      </c>
      <c r="N47" s="47">
        <v>100</v>
      </c>
      <c r="O47" s="37">
        <v>140</v>
      </c>
      <c r="P47" s="51">
        <v>0</v>
      </c>
      <c r="Q47" s="49">
        <f>I47/G47-1</f>
        <v>-3.4713096047426117E-2</v>
      </c>
      <c r="R47" s="50"/>
    </row>
    <row r="48" spans="1:18" ht="13.8" thickBot="1" x14ac:dyDescent="0.4">
      <c r="A48" s="57"/>
      <c r="B48" s="58" t="s">
        <v>82</v>
      </c>
      <c r="C48" s="59">
        <f>C34*0.1</f>
        <v>249549554.30000001</v>
      </c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40009900</v>
      </c>
      <c r="O48" s="61">
        <f>SUM(O9:O47)</f>
        <v>45937069.729999997</v>
      </c>
      <c r="P48" s="62"/>
      <c r="Q48" s="63"/>
    </row>
    <row r="49" spans="1:20" ht="13.2" x14ac:dyDescent="0.35">
      <c r="A49" s="64"/>
      <c r="B49" s="65" t="s">
        <v>82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119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76079574.226799995</v>
      </c>
      <c r="E51" s="39">
        <v>0</v>
      </c>
      <c r="F51" s="40" t="s">
        <v>92</v>
      </c>
      <c r="G51" s="70">
        <v>0.1</v>
      </c>
      <c r="H51" s="42">
        <v>0.15</v>
      </c>
      <c r="I51" s="42">
        <v>0.1371</v>
      </c>
      <c r="J51" s="44">
        <f>I51</f>
        <v>0.1371</v>
      </c>
      <c r="K51" s="39">
        <v>0</v>
      </c>
      <c r="L51" s="46">
        <f>I51-H51</f>
        <v>-1.2899999999999995E-2</v>
      </c>
      <c r="M51" s="46">
        <f>((I51-H51)/H51)*100</f>
        <v>-8.5999999999999961</v>
      </c>
      <c r="N51" s="47">
        <v>1625</v>
      </c>
      <c r="O51" s="37">
        <v>222.75</v>
      </c>
      <c r="P51" s="71">
        <f>(R51)/J51</f>
        <v>0</v>
      </c>
      <c r="Q51" s="49">
        <f>J51/G51-1</f>
        <v>0.371</v>
      </c>
      <c r="T51" s="52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54984495.104500003</v>
      </c>
      <c r="E52" s="39">
        <v>0</v>
      </c>
      <c r="F52" s="40" t="s">
        <v>39</v>
      </c>
      <c r="G52" s="70">
        <v>39.9</v>
      </c>
      <c r="H52" s="42">
        <v>51.985700000000001</v>
      </c>
      <c r="I52" s="42">
        <v>51.985700000000001</v>
      </c>
      <c r="J52" s="44">
        <f>I52</f>
        <v>51.985700000000001</v>
      </c>
      <c r="K52" s="39">
        <v>0</v>
      </c>
      <c r="L52" s="46">
        <f>I52-H52</f>
        <v>0</v>
      </c>
      <c r="M52" s="46">
        <f>((I52-H52)/H52)*100</f>
        <v>0</v>
      </c>
      <c r="N52" s="47">
        <v>0</v>
      </c>
      <c r="O52" s="37">
        <v>0</v>
      </c>
      <c r="P52" s="72">
        <f>(R52)/J52</f>
        <v>1.0772193122339414E-2</v>
      </c>
      <c r="Q52" s="49">
        <f>J52/G52-1</f>
        <v>0.30289974937343356</v>
      </c>
      <c r="R52" s="52">
        <v>0.56000000000000005</v>
      </c>
      <c r="T52" s="52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696874809.97870004</v>
      </c>
      <c r="E53" s="39"/>
      <c r="F53" s="40" t="s">
        <v>56</v>
      </c>
      <c r="G53" s="70">
        <v>0.33</v>
      </c>
      <c r="H53" s="42">
        <v>0.22939999999999999</v>
      </c>
      <c r="I53" s="42">
        <v>0.2329</v>
      </c>
      <c r="J53" s="44">
        <f>I53</f>
        <v>0.2329</v>
      </c>
      <c r="K53" s="39">
        <v>0</v>
      </c>
      <c r="L53" s="46">
        <f>I53-H53</f>
        <v>3.5000000000000031E-3</v>
      </c>
      <c r="M53" s="46">
        <f>((I53-H53)/H53)*100</f>
        <v>1.5257192676547529</v>
      </c>
      <c r="N53" s="47">
        <v>188329</v>
      </c>
      <c r="O53" s="37">
        <v>43861.63</v>
      </c>
      <c r="P53" s="71">
        <v>0</v>
      </c>
      <c r="Q53" s="49">
        <f>J53/G53-1</f>
        <v>-0.29424242424242431</v>
      </c>
      <c r="R53" s="52"/>
      <c r="T53" s="52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17377616.875500001</v>
      </c>
      <c r="E54" s="39">
        <v>0</v>
      </c>
      <c r="F54" s="40" t="s">
        <v>34</v>
      </c>
      <c r="G54" s="70">
        <v>2.3E-2</v>
      </c>
      <c r="H54" s="42">
        <v>2.8500000000000001E-2</v>
      </c>
      <c r="I54" s="42">
        <v>2.8500000000000001E-2</v>
      </c>
      <c r="J54" s="44">
        <f>I54</f>
        <v>2.8500000000000001E-2</v>
      </c>
      <c r="K54" s="39">
        <v>0</v>
      </c>
      <c r="L54" s="46">
        <f>I54-H54</f>
        <v>0</v>
      </c>
      <c r="M54" s="46">
        <f>((I54-H54)/H54)*100</f>
        <v>0</v>
      </c>
      <c r="N54" s="47">
        <v>0</v>
      </c>
      <c r="O54" s="37">
        <v>0</v>
      </c>
      <c r="P54" s="71">
        <f>(R54)/J54</f>
        <v>0</v>
      </c>
      <c r="Q54" s="49">
        <f>J54/G54-1</f>
        <v>0.23913043478260887</v>
      </c>
      <c r="T54" s="52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347545235.79030001</v>
      </c>
      <c r="E55" s="39">
        <v>0</v>
      </c>
      <c r="F55" s="40" t="s">
        <v>47</v>
      </c>
      <c r="G55" s="70">
        <v>9.0200000000000002E-2</v>
      </c>
      <c r="H55" s="42">
        <v>0.16370000000000001</v>
      </c>
      <c r="I55" s="42">
        <v>0.16070000000000001</v>
      </c>
      <c r="J55" s="44">
        <f>I55</f>
        <v>0.16070000000000001</v>
      </c>
      <c r="K55" s="39">
        <v>0</v>
      </c>
      <c r="L55" s="46">
        <f>I55-H55</f>
        <v>-3.0000000000000027E-3</v>
      </c>
      <c r="M55" s="73">
        <f>((I55-H55)/H55)*100</f>
        <v>-1.8326206475259634</v>
      </c>
      <c r="N55" s="47">
        <v>1112</v>
      </c>
      <c r="O55" s="37">
        <v>178.68</v>
      </c>
      <c r="P55" s="71">
        <f>(R55)/J55</f>
        <v>0</v>
      </c>
      <c r="Q55" s="49">
        <f>J55/G55-1</f>
        <v>0.78159645232815977</v>
      </c>
      <c r="R55" s="52"/>
      <c r="T55" s="52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838433725.90999997</v>
      </c>
      <c r="E56" s="39">
        <v>0</v>
      </c>
      <c r="F56" s="40" t="s">
        <v>34</v>
      </c>
      <c r="G56" s="70">
        <v>0.95750000000000002</v>
      </c>
      <c r="H56" s="42">
        <v>1.5143</v>
      </c>
      <c r="I56" s="42">
        <v>1.4558</v>
      </c>
      <c r="J56" s="44">
        <f>I56</f>
        <v>1.4558</v>
      </c>
      <c r="K56" s="39">
        <v>0</v>
      </c>
      <c r="L56" s="46">
        <f>I56-H56</f>
        <v>-5.8499999999999996E-2</v>
      </c>
      <c r="M56" s="46">
        <f>((I56-H56)/H56)*100</f>
        <v>-3.8631711021594137</v>
      </c>
      <c r="N56" s="47">
        <v>16260</v>
      </c>
      <c r="O56" s="37">
        <v>23672</v>
      </c>
      <c r="P56" s="72">
        <f>(R56)/J56</f>
        <v>3.2284654485506249E-2</v>
      </c>
      <c r="Q56" s="49">
        <f>J56/G56-1</f>
        <v>0.52041775456919059</v>
      </c>
      <c r="R56" s="52">
        <v>4.7E-2</v>
      </c>
      <c r="T56" s="52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22102426.681200001</v>
      </c>
      <c r="E57" s="39">
        <v>0</v>
      </c>
      <c r="F57" s="40" t="s">
        <v>34</v>
      </c>
      <c r="G57" s="70">
        <v>0.1595</v>
      </c>
      <c r="H57" s="42">
        <v>0.15</v>
      </c>
      <c r="I57" s="42">
        <v>0.1346</v>
      </c>
      <c r="J57" s="44">
        <f>I57</f>
        <v>0.1346</v>
      </c>
      <c r="K57" s="39">
        <v>0</v>
      </c>
      <c r="L57" s="46">
        <f>I57-H57</f>
        <v>-1.5399999999999997E-2</v>
      </c>
      <c r="M57" s="46">
        <f>((I57-H57)/H57)*100</f>
        <v>-10.266666666666666</v>
      </c>
      <c r="N57" s="47">
        <v>260</v>
      </c>
      <c r="O57" s="37">
        <v>35</v>
      </c>
      <c r="P57" s="71">
        <f>(R57)/J57</f>
        <v>0</v>
      </c>
      <c r="Q57" s="49">
        <f>J57/G57-1</f>
        <v>-0.15611285266457686</v>
      </c>
      <c r="T57" s="52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19076056</v>
      </c>
      <c r="E58" s="39">
        <v>0</v>
      </c>
      <c r="F58" s="40" t="s">
        <v>92</v>
      </c>
      <c r="G58" s="70">
        <v>1.6799999999999999E-2</v>
      </c>
      <c r="H58" s="42">
        <v>0.02</v>
      </c>
      <c r="I58" s="42">
        <v>0.02</v>
      </c>
      <c r="J58" s="44">
        <f>I58</f>
        <v>0.02</v>
      </c>
      <c r="K58" s="39">
        <v>0</v>
      </c>
      <c r="L58" s="46">
        <f>I58-H58</f>
        <v>0</v>
      </c>
      <c r="M58" s="73">
        <f>((I58-H58)/H58)*100</f>
        <v>0</v>
      </c>
      <c r="N58" s="47">
        <v>54550</v>
      </c>
      <c r="O58" s="37">
        <v>1090.54</v>
      </c>
      <c r="P58" s="71">
        <f>(R58)/J58</f>
        <v>0</v>
      </c>
      <c r="Q58" s="49">
        <f>J58/G58-1</f>
        <v>0.19047619047619047</v>
      </c>
      <c r="T58" s="52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2096549</v>
      </c>
      <c r="E59" s="39">
        <v>0</v>
      </c>
      <c r="F59" s="40" t="s">
        <v>138</v>
      </c>
      <c r="G59" s="70">
        <v>19.5</v>
      </c>
      <c r="H59" s="42">
        <v>13</v>
      </c>
      <c r="I59" s="42">
        <v>13</v>
      </c>
      <c r="J59" s="44">
        <f>I59</f>
        <v>13</v>
      </c>
      <c r="K59" s="39">
        <v>0</v>
      </c>
      <c r="L59" s="46">
        <f>I59-H59</f>
        <v>0</v>
      </c>
      <c r="M59" s="46">
        <f>((I59-H59)/H59)*100</f>
        <v>0</v>
      </c>
      <c r="N59" s="47">
        <v>0</v>
      </c>
      <c r="O59" s="37">
        <v>0</v>
      </c>
      <c r="P59" s="71">
        <f>(R59)/J59</f>
        <v>0</v>
      </c>
      <c r="Q59" s="49">
        <f>J59/G59-1</f>
        <v>-0.33333333333333337</v>
      </c>
      <c r="T59" s="52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907819992.54759991</v>
      </c>
      <c r="E60" s="39">
        <v>0</v>
      </c>
      <c r="F60" s="40" t="s">
        <v>92</v>
      </c>
      <c r="G60" s="70">
        <v>0.59499999999999997</v>
      </c>
      <c r="H60" s="42">
        <v>1.1289</v>
      </c>
      <c r="I60" s="42">
        <v>1.1275999999999999</v>
      </c>
      <c r="J60" s="44">
        <f>I60</f>
        <v>1.1275999999999999</v>
      </c>
      <c r="K60" s="39">
        <v>0</v>
      </c>
      <c r="L60" s="46">
        <f>I60-H60</f>
        <v>-1.3000000000000789E-3</v>
      </c>
      <c r="M60" s="46">
        <f>((I60-H60)/H60)*100</f>
        <v>-0.11515634688635654</v>
      </c>
      <c r="N60" s="47">
        <v>158453</v>
      </c>
      <c r="O60" s="37">
        <v>178669</v>
      </c>
      <c r="P60" s="71">
        <f>(R60)/J60</f>
        <v>0</v>
      </c>
      <c r="Q60" s="49">
        <f>J60/G60-1</f>
        <v>0.89512605042016813</v>
      </c>
      <c r="R60" s="52"/>
      <c r="T60" s="52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79517927.989999995</v>
      </c>
      <c r="E61" s="39">
        <v>0</v>
      </c>
      <c r="F61" s="40" t="s">
        <v>34</v>
      </c>
      <c r="G61" s="70">
        <v>0.22600000000000001</v>
      </c>
      <c r="H61" s="42">
        <v>0.30499999999999999</v>
      </c>
      <c r="I61" s="42">
        <v>0.30499999999999999</v>
      </c>
      <c r="J61" s="44">
        <f>I61</f>
        <v>0.30499999999999999</v>
      </c>
      <c r="K61" s="39">
        <v>0</v>
      </c>
      <c r="L61" s="46">
        <f>I61-H61</f>
        <v>0</v>
      </c>
      <c r="M61" s="46">
        <f>((I61-H61)/H61)*100</f>
        <v>0</v>
      </c>
      <c r="N61" s="47">
        <v>0</v>
      </c>
      <c r="O61" s="37">
        <v>0</v>
      </c>
      <c r="P61" s="71">
        <f>(R61)/J61</f>
        <v>0</v>
      </c>
      <c r="Q61" s="49">
        <f>J61/G61-1</f>
        <v>0.34955752212389379</v>
      </c>
      <c r="T61" s="52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344844148.95919997</v>
      </c>
      <c r="E62" s="39">
        <v>0</v>
      </c>
      <c r="F62" s="40" t="s">
        <v>34</v>
      </c>
      <c r="G62" s="70">
        <v>0.49440000000000001</v>
      </c>
      <c r="H62" s="42">
        <v>0.7641</v>
      </c>
      <c r="I62" s="42">
        <v>0.61339999999999995</v>
      </c>
      <c r="J62" s="44">
        <f>I62</f>
        <v>0.61339999999999995</v>
      </c>
      <c r="K62" s="39">
        <v>0</v>
      </c>
      <c r="L62" s="46">
        <f>I62-H62</f>
        <v>-0.15070000000000006</v>
      </c>
      <c r="M62" s="46">
        <f>((I62-H62)/H62)*100</f>
        <v>-19.722549404528213</v>
      </c>
      <c r="N62" s="47">
        <v>127924</v>
      </c>
      <c r="O62" s="37">
        <v>78469.990000000005</v>
      </c>
      <c r="P62" s="71">
        <f>(R62)/J62</f>
        <v>0</v>
      </c>
      <c r="Q62" s="49">
        <f>J62/G62-1</f>
        <v>0.24069579288025866</v>
      </c>
      <c r="R62" s="52"/>
      <c r="T62" s="52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41349658.32</v>
      </c>
      <c r="E64" s="39">
        <v>0</v>
      </c>
      <c r="F64" s="40" t="s">
        <v>44</v>
      </c>
      <c r="G64" s="70">
        <v>4.2999999999999997E-2</v>
      </c>
      <c r="H64" s="42">
        <v>0.12</v>
      </c>
      <c r="I64" s="42">
        <v>0.12</v>
      </c>
      <c r="J64" s="44">
        <f>I64</f>
        <v>0.12</v>
      </c>
      <c r="K64" s="39">
        <v>0</v>
      </c>
      <c r="L64" s="46">
        <f>I64-H64</f>
        <v>0</v>
      </c>
      <c r="M64" s="46">
        <f>((I64-H64)/H64)*100</f>
        <v>0</v>
      </c>
      <c r="N64" s="47">
        <v>0</v>
      </c>
      <c r="O64" s="37">
        <v>0</v>
      </c>
      <c r="P64" s="71">
        <f>(R64)/J64</f>
        <v>0</v>
      </c>
      <c r="Q64" s="49">
        <f>J64/G64-1</f>
        <v>1.7906976744186047</v>
      </c>
      <c r="T64" s="52"/>
    </row>
    <row r="65" spans="1:20" ht="13.2" x14ac:dyDescent="0.35">
      <c r="A65" s="74"/>
      <c r="B65" s="36" t="s">
        <v>82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SUM(N51:N64)</f>
        <v>548513</v>
      </c>
      <c r="O65" s="62">
        <f>SUM(O51:O64)</f>
        <v>326199.58999999997</v>
      </c>
      <c r="P65" s="77"/>
      <c r="Q65" s="63"/>
    </row>
    <row r="66" spans="1:20" ht="12.6" hidden="1" x14ac:dyDescent="0.3">
      <c r="A66" s="133" t="s">
        <v>149</v>
      </c>
      <c r="B66" s="134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6"/>
    </row>
    <row r="67" spans="1:20" ht="12.6" hidden="1" thickBot="1" x14ac:dyDescent="0.3">
      <c r="A67" s="78" t="s">
        <v>150</v>
      </c>
      <c r="B67" s="79" t="s">
        <v>151</v>
      </c>
      <c r="C67" s="80">
        <v>20000</v>
      </c>
      <c r="D67" s="81">
        <f>C67*J67</f>
        <v>0</v>
      </c>
      <c r="E67" s="81"/>
      <c r="F67" s="80" t="s">
        <v>152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3" t="s">
        <v>153</v>
      </c>
      <c r="B69" s="134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6"/>
    </row>
    <row r="70" spans="1:20" x14ac:dyDescent="0.25">
      <c r="A70" s="35" t="s">
        <v>154</v>
      </c>
      <c r="B70" s="88" t="s">
        <v>155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156</v>
      </c>
      <c r="G70" s="89">
        <v>0.24</v>
      </c>
      <c r="H70" s="90">
        <v>0.36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0</v>
      </c>
      <c r="M70" s="46">
        <f>((I70-H70)/H70)*100</f>
        <v>0</v>
      </c>
      <c r="N70" s="92">
        <v>900030</v>
      </c>
      <c r="O70" s="93">
        <v>324010.8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157</v>
      </c>
      <c r="B71" s="88" t="s">
        <v>158</v>
      </c>
      <c r="C71" s="89">
        <v>471351750</v>
      </c>
      <c r="D71" s="38">
        <f>C71*J71</f>
        <v>69100166.549999997</v>
      </c>
      <c r="E71" s="39">
        <f>C71*K71</f>
        <v>69100166.549999997</v>
      </c>
      <c r="F71" s="89" t="s">
        <v>156</v>
      </c>
      <c r="G71" s="89">
        <v>0.1</v>
      </c>
      <c r="H71" s="90">
        <v>0.14899999999999999</v>
      </c>
      <c r="I71" s="90">
        <v>0.14660000000000001</v>
      </c>
      <c r="J71" s="91">
        <f>I71</f>
        <v>0.14660000000000001</v>
      </c>
      <c r="K71" s="91">
        <f>J71</f>
        <v>0.14660000000000001</v>
      </c>
      <c r="L71" s="46">
        <f>I71-H71</f>
        <v>-2.3999999999999855E-3</v>
      </c>
      <c r="M71" s="46">
        <f>((I71-H71)/H71)*100</f>
        <v>-1.6107382550335476</v>
      </c>
      <c r="N71" s="47">
        <v>691</v>
      </c>
      <c r="O71" s="93">
        <v>101.31</v>
      </c>
      <c r="P71" s="94">
        <f>(R71)/J71</f>
        <v>2.5866302864938604E-2</v>
      </c>
      <c r="Q71" s="49">
        <f>J71/G71-1</f>
        <v>0.46599999999999997</v>
      </c>
      <c r="R71" s="5">
        <v>3.7919999999999998E-3</v>
      </c>
      <c r="T71" s="52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900721</v>
      </c>
      <c r="O72" s="62">
        <f>SUM(O70:O71)</f>
        <v>324112.11</v>
      </c>
      <c r="P72" s="87"/>
      <c r="Q72" s="63"/>
    </row>
    <row r="73" spans="1:20" ht="12.6" x14ac:dyDescent="0.3">
      <c r="A73" s="133" t="s">
        <v>159</v>
      </c>
      <c r="B73" s="134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6"/>
    </row>
    <row r="74" spans="1:20" x14ac:dyDescent="0.25">
      <c r="A74" s="35" t="s">
        <v>160</v>
      </c>
      <c r="B74" s="88" t="s">
        <v>161</v>
      </c>
      <c r="C74" s="89">
        <v>20819695</v>
      </c>
      <c r="D74" s="38">
        <f>C74*J74</f>
        <v>2825232.6114999996</v>
      </c>
      <c r="E74" s="39">
        <f>C74*K74</f>
        <v>2825232.6114999996</v>
      </c>
      <c r="F74" s="89" t="s">
        <v>138</v>
      </c>
      <c r="G74" s="89">
        <v>0.1394</v>
      </c>
      <c r="H74" s="90">
        <v>0.13</v>
      </c>
      <c r="I74" s="90">
        <v>0.13569999999999999</v>
      </c>
      <c r="J74" s="91">
        <f>I74</f>
        <v>0.13569999999999999</v>
      </c>
      <c r="K74" s="91">
        <f>J74</f>
        <v>0.13569999999999999</v>
      </c>
      <c r="L74" s="46">
        <f>I74-H74</f>
        <v>5.6999999999999829E-3</v>
      </c>
      <c r="M74" s="46">
        <f>((I74-H74)/H74)*100</f>
        <v>4.3846153846153717</v>
      </c>
      <c r="N74" s="92">
        <v>2000</v>
      </c>
      <c r="O74" s="93">
        <v>271.33999999999997</v>
      </c>
      <c r="P74" s="71">
        <f>(R74)/J74</f>
        <v>0</v>
      </c>
      <c r="Q74" s="49">
        <f>J74/G74-1</f>
        <v>-2.6542324246771942E-2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29" t="s">
        <v>162</v>
      </c>
      <c r="B76" s="130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2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102295.49722552001</v>
      </c>
      <c r="E77" s="39">
        <f>C77*K77</f>
        <v>87259.358123809521</v>
      </c>
      <c r="F77" s="40" t="s">
        <v>138</v>
      </c>
      <c r="G77" s="70">
        <v>0.105</v>
      </c>
      <c r="H77" s="42">
        <v>8.6699999999999999E-2</v>
      </c>
      <c r="I77" s="42">
        <v>8.6699999999999999E-2</v>
      </c>
      <c r="J77" s="44">
        <f>I77/$J$5</f>
        <v>3.226658826419153E-3</v>
      </c>
      <c r="K77" s="45">
        <f>I77/$K$4</f>
        <v>2.7523809523809523E-3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-0.17428571428571427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304047.3957848745</v>
      </c>
      <c r="E78" s="39">
        <f>C78*K78</f>
        <v>259356.28952380954</v>
      </c>
      <c r="F78" s="40" t="s">
        <v>138</v>
      </c>
      <c r="G78" s="70">
        <v>4.2500000000000003E-2</v>
      </c>
      <c r="H78" s="42">
        <v>0.06</v>
      </c>
      <c r="I78" s="42">
        <v>0.06</v>
      </c>
      <c r="J78" s="44">
        <f>I78/$J$5</f>
        <v>2.2329818867952616E-3</v>
      </c>
      <c r="K78" s="45">
        <f>I78/$K$4</f>
        <v>1.9047619047619048E-3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29823.049583362794</v>
      </c>
      <c r="E79" s="39">
        <f>C79*K79</f>
        <v>25439.439999999999</v>
      </c>
      <c r="F79" s="40" t="s">
        <v>138</v>
      </c>
      <c r="G79" s="70">
        <v>6.0499999999999998E-2</v>
      </c>
      <c r="H79" s="42">
        <v>0.12</v>
      </c>
      <c r="I79" s="42">
        <v>0.12</v>
      </c>
      <c r="J79" s="44">
        <f>I79/$J$5</f>
        <v>4.4659637735905231E-3</v>
      </c>
      <c r="K79" s="45">
        <f>I79/$K$4</f>
        <v>3.8095238095238095E-3</v>
      </c>
      <c r="L79" s="46">
        <f>I79-H79</f>
        <v>0</v>
      </c>
      <c r="M79" s="95">
        <f>((I79-H79)/H79)*100</f>
        <v>0</v>
      </c>
      <c r="N79" s="37">
        <v>1025</v>
      </c>
      <c r="O79" s="37">
        <v>123</v>
      </c>
      <c r="P79" s="40">
        <v>0</v>
      </c>
      <c r="Q79" s="49">
        <f>I79/G79-1</f>
        <v>0.98347107438016534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28520648.383507196</v>
      </c>
      <c r="E80" s="39">
        <f>C80*K80</f>
        <v>24328475.238095239</v>
      </c>
      <c r="F80" s="40" t="s">
        <v>138</v>
      </c>
      <c r="G80" s="70">
        <v>1.85</v>
      </c>
      <c r="H80" s="42">
        <v>1.55</v>
      </c>
      <c r="I80" s="42">
        <v>1.55</v>
      </c>
      <c r="J80" s="44">
        <f>I80/$J$5</f>
        <v>5.7685365408877594E-2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1025</v>
      </c>
      <c r="O81" s="62">
        <f>SUM(O77:O80)</f>
        <v>123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3" t="s">
        <v>171</v>
      </c>
      <c r="B82" s="134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6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26044751.323972177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4">
        <f>I83/$J$5</f>
        <v>7.0711093081849946E-2</v>
      </c>
      <c r="K83" s="45">
        <f>I83/$K$4</f>
        <v>6.0317460317460311E-2</v>
      </c>
      <c r="L83" s="46">
        <f>I83-H83</f>
        <v>0</v>
      </c>
      <c r="M83" s="46">
        <f>((I83-H83)/H83*100)</f>
        <v>0</v>
      </c>
      <c r="N83" s="51">
        <v>800</v>
      </c>
      <c r="O83" s="37">
        <v>1520</v>
      </c>
      <c r="P83" s="51">
        <f>(R83)/J83</f>
        <v>0</v>
      </c>
      <c r="Q83" s="49">
        <f>I83/G83-1</f>
        <v>0.46153846153846145</v>
      </c>
      <c r="R83" s="52"/>
    </row>
    <row r="84" spans="1:243" s="104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76957036.506462619</v>
      </c>
      <c r="E84" s="39">
        <f>C84*K84</f>
        <v>65645329.372222222</v>
      </c>
      <c r="F84" s="40" t="s">
        <v>174</v>
      </c>
      <c r="G84" s="40">
        <v>1.44347</v>
      </c>
      <c r="H84" s="42">
        <v>1.122155</v>
      </c>
      <c r="I84" s="42">
        <v>1.1231450000000001</v>
      </c>
      <c r="J84" s="44">
        <f>I84/$J$5</f>
        <v>4.17993740207444E-2</v>
      </c>
      <c r="K84" s="45">
        <f>I84/$K$4</f>
        <v>3.5655396825396826E-2</v>
      </c>
      <c r="L84" s="46">
        <f>I84-H84</f>
        <v>9.900000000000464E-4</v>
      </c>
      <c r="M84" s="46">
        <f>((I84-H84)/H84*100)</f>
        <v>8.822310643360734E-2</v>
      </c>
      <c r="N84" s="51">
        <v>9388</v>
      </c>
      <c r="O84" s="37">
        <v>10547.15</v>
      </c>
      <c r="P84" s="48">
        <f>(R84)/J84</f>
        <v>5.2058195869633929E-2</v>
      </c>
      <c r="Q84" s="49">
        <f>I84/G84-1</f>
        <v>-0.22191316757535662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8"/>
      <c r="B85" s="79" t="s">
        <v>82</v>
      </c>
      <c r="C85" s="80"/>
      <c r="D85" s="105"/>
      <c r="E85" s="81"/>
      <c r="F85" s="80"/>
      <c r="G85" s="80"/>
      <c r="H85" s="82"/>
      <c r="I85" s="82"/>
      <c r="J85" s="82"/>
      <c r="K85" s="82"/>
      <c r="L85" s="83"/>
      <c r="M85" s="83"/>
      <c r="N85" s="61">
        <f>SUM(N83:N84)</f>
        <v>10188</v>
      </c>
      <c r="O85" s="62">
        <f>SUM(O83:O84)</f>
        <v>12067.15</v>
      </c>
      <c r="P85" s="106"/>
      <c r="Q85" s="86"/>
    </row>
    <row r="86" spans="1:243" ht="12.6" thickBot="1" x14ac:dyDescent="0.3">
      <c r="A86" s="107"/>
      <c r="B86" s="108"/>
      <c r="C86" s="108"/>
      <c r="D86" s="108"/>
      <c r="E86" s="108"/>
      <c r="F86" s="109"/>
      <c r="G86" s="109"/>
      <c r="H86" s="59"/>
      <c r="M86" s="110"/>
      <c r="N86" s="110"/>
      <c r="O86" s="59"/>
      <c r="P86" s="59"/>
      <c r="Q86" s="111"/>
    </row>
    <row r="87" spans="1:243" ht="12.6" thickBot="1" x14ac:dyDescent="0.3">
      <c r="A87" s="137" t="s">
        <v>177</v>
      </c>
      <c r="B87" s="138"/>
      <c r="C87" s="138"/>
      <c r="D87" s="139"/>
      <c r="E87" s="137" t="s">
        <v>178</v>
      </c>
      <c r="F87" s="138"/>
      <c r="G87" s="138"/>
      <c r="H87" s="139"/>
      <c r="I87" s="52"/>
      <c r="J87" s="52"/>
      <c r="K87" s="52"/>
      <c r="L87" s="140" t="s">
        <v>179</v>
      </c>
      <c r="M87" s="141"/>
      <c r="N87" s="142"/>
      <c r="O87" s="140" t="s">
        <v>180</v>
      </c>
      <c r="P87" s="141"/>
      <c r="Q87" s="142"/>
    </row>
    <row r="88" spans="1:243" x14ac:dyDescent="0.25">
      <c r="A88" s="35" t="s">
        <v>45</v>
      </c>
      <c r="B88" s="112">
        <v>30.4663</v>
      </c>
      <c r="D88" s="112">
        <v>13.621717175484266</v>
      </c>
      <c r="E88" s="35" t="s">
        <v>52</v>
      </c>
      <c r="F88" s="113">
        <v>31.205100000000002</v>
      </c>
      <c r="H88" s="114">
        <v>-1.7422162325557964</v>
      </c>
      <c r="L88" s="35" t="s">
        <v>124</v>
      </c>
      <c r="M88" s="51">
        <v>0.2329</v>
      </c>
      <c r="N88" s="115">
        <v>1.5257192676547529</v>
      </c>
      <c r="O88" s="35" t="s">
        <v>143</v>
      </c>
      <c r="P88" s="113">
        <v>0.61339999999999995</v>
      </c>
      <c r="Q88" s="116">
        <v>-19.722549404528213</v>
      </c>
    </row>
    <row r="89" spans="1:243" x14ac:dyDescent="0.25">
      <c r="A89" s="35" t="s">
        <v>64</v>
      </c>
      <c r="B89" s="112">
        <v>0.99</v>
      </c>
      <c r="D89" s="112">
        <v>9.9999999999999964</v>
      </c>
      <c r="E89" s="35" t="s">
        <v>72</v>
      </c>
      <c r="F89" s="113">
        <v>1.6875</v>
      </c>
      <c r="H89" s="114">
        <v>-0.79277595040520465</v>
      </c>
      <c r="L89" s="35"/>
      <c r="M89" s="51"/>
      <c r="N89" s="115"/>
      <c r="O89" s="35" t="s">
        <v>132</v>
      </c>
      <c r="P89" s="113">
        <v>0.1346</v>
      </c>
      <c r="Q89" s="116">
        <v>-10.266666666666666</v>
      </c>
    </row>
    <row r="90" spans="1:243" x14ac:dyDescent="0.25">
      <c r="A90" s="35" t="s">
        <v>86</v>
      </c>
      <c r="B90" s="112">
        <v>1.3</v>
      </c>
      <c r="C90" s="112"/>
      <c r="D90" s="112">
        <v>8.333333333333341</v>
      </c>
      <c r="E90" s="35" t="s">
        <v>105</v>
      </c>
      <c r="F90" s="113">
        <v>1.5</v>
      </c>
      <c r="H90" s="114">
        <v>-0.26124903502758917</v>
      </c>
      <c r="L90" s="35"/>
      <c r="M90" s="51"/>
      <c r="N90" s="115"/>
      <c r="O90" s="35" t="s">
        <v>120</v>
      </c>
      <c r="P90" s="113">
        <v>0.1371</v>
      </c>
      <c r="Q90" s="116">
        <v>-8.5999999999999961</v>
      </c>
    </row>
    <row r="91" spans="1:243" x14ac:dyDescent="0.25">
      <c r="A91" s="35" t="s">
        <v>117</v>
      </c>
      <c r="B91" s="112">
        <v>1.4</v>
      </c>
      <c r="C91" s="112"/>
      <c r="D91" s="112">
        <v>3.6678423093640977</v>
      </c>
      <c r="E91" s="35" t="s">
        <v>97</v>
      </c>
      <c r="F91" s="113">
        <v>3.592727</v>
      </c>
      <c r="G91" s="113"/>
      <c r="H91" s="114">
        <v>-0.20202777777778014</v>
      </c>
      <c r="L91" s="35"/>
      <c r="M91" s="51"/>
      <c r="N91" s="115"/>
      <c r="O91" s="35" t="s">
        <v>130</v>
      </c>
      <c r="P91" s="113">
        <v>1.4558</v>
      </c>
      <c r="Q91" s="116">
        <v>-3.8631711021594137</v>
      </c>
    </row>
    <row r="92" spans="1:243" x14ac:dyDescent="0.25">
      <c r="A92" s="35" t="s">
        <v>42</v>
      </c>
      <c r="B92" s="112">
        <v>19</v>
      </c>
      <c r="C92" s="112"/>
      <c r="D92" s="112">
        <v>2.7027027027027026</v>
      </c>
      <c r="E92" s="35"/>
      <c r="F92" s="113"/>
      <c r="G92" s="113"/>
      <c r="H92" s="114"/>
      <c r="L92" s="35"/>
      <c r="M92" s="51"/>
      <c r="N92" s="115"/>
      <c r="O92" s="35" t="s">
        <v>128</v>
      </c>
      <c r="P92" s="113">
        <v>0.16070000000000001</v>
      </c>
      <c r="Q92" s="116">
        <v>-1.8326206475259634</v>
      </c>
    </row>
    <row r="93" spans="1:243" ht="12.6" thickBot="1" x14ac:dyDescent="0.3">
      <c r="A93" s="117"/>
      <c r="B93" s="118"/>
      <c r="C93" s="118"/>
      <c r="D93" s="118"/>
      <c r="E93" s="117"/>
      <c r="F93" s="118"/>
      <c r="G93" s="118"/>
      <c r="H93" s="119"/>
      <c r="L93" s="117"/>
      <c r="M93" s="118"/>
      <c r="N93" s="119"/>
      <c r="O93" s="118"/>
      <c r="P93" s="118"/>
      <c r="Q93" s="119"/>
    </row>
    <row r="94" spans="1:243" x14ac:dyDescent="0.25">
      <c r="A94" s="120"/>
      <c r="B94" s="121"/>
      <c r="C94" s="121"/>
      <c r="D94" s="121"/>
      <c r="E94" s="110"/>
      <c r="F94" s="110"/>
      <c r="G94" s="110"/>
      <c r="H94" s="110"/>
      <c r="I94" s="110"/>
      <c r="J94" s="110"/>
      <c r="K94" s="110"/>
      <c r="L94" s="110"/>
      <c r="M94" s="121"/>
      <c r="Q94" s="16"/>
    </row>
    <row r="95" spans="1:243" x14ac:dyDescent="0.25">
      <c r="A95" s="12" t="s">
        <v>181</v>
      </c>
      <c r="B95" s="122"/>
      <c r="C95" s="122"/>
      <c r="D95" s="122"/>
      <c r="E95" s="122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0"/>
      <c r="B96" s="121"/>
      <c r="C96" s="121"/>
      <c r="D96" s="121"/>
      <c r="E96" s="121"/>
      <c r="F96" s="110"/>
      <c r="G96" s="110"/>
      <c r="H96" s="121"/>
      <c r="I96" s="110"/>
      <c r="J96" s="110"/>
      <c r="K96" s="110"/>
      <c r="L96" s="110"/>
      <c r="M96" s="121"/>
      <c r="Q96" s="16"/>
    </row>
    <row r="97" spans="1:17" ht="12.6" thickBot="1" x14ac:dyDescent="0.3">
      <c r="A97" s="123"/>
      <c r="B97" s="124"/>
      <c r="C97" s="124"/>
      <c r="D97" s="124"/>
      <c r="E97" s="124"/>
      <c r="F97" s="125"/>
      <c r="G97" s="125"/>
      <c r="H97" s="125"/>
      <c r="I97" s="126"/>
      <c r="J97" s="126"/>
      <c r="K97" s="126"/>
      <c r="L97" s="126"/>
      <c r="M97" s="126"/>
      <c r="N97" s="126"/>
      <c r="O97" s="126"/>
      <c r="P97" s="126"/>
      <c r="Q97" s="127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8"/>
      <c r="J101" s="128"/>
      <c r="K101" s="128"/>
      <c r="O101" s="128"/>
      <c r="P101" s="128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8"/>
      <c r="J104" s="128"/>
      <c r="K104" s="128"/>
      <c r="O104" s="128"/>
      <c r="P104" s="128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8"/>
      <c r="J106" s="128"/>
      <c r="K106" s="128"/>
      <c r="O106" s="128"/>
      <c r="P106" s="128"/>
    </row>
  </sheetData>
  <sheetProtection algorithmName="SHA-512" hashValue="TyQO+ri5CvzP2CzzjaxPPU/nd5oPC3qGSqcm7EUJKknR/C9PUZ1dnw/dy9M0poIYEraEBDBBPVnXTkr0FD72/Q==" saltValue="4hggpfvD9cSs7VioPbrAJw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2026-07-01T13:18:13Z</dcterms:created>
  <dcterms:modified xsi:type="dcterms:W3CDTF">2026-07-01T13:25:26Z</dcterms:modified>
</cp:coreProperties>
</file>