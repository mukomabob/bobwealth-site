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sokisit_fbc_co_zw/Documents/Desktop/"/>
    </mc:Choice>
  </mc:AlternateContent>
  <xr:revisionPtr revIDLastSave="1" documentId="8_{11110547-4C80-4523-9974-35C3C36D3505}" xr6:coauthVersionLast="47" xr6:coauthVersionMax="47" xr10:uidLastSave="{85FB59FF-8E38-4B71-BCBC-65EFE33F6754}"/>
  <bookViews>
    <workbookView xWindow="-120" yWindow="-120" windowWidth="29040" windowHeight="15720" xr2:uid="{4F69BAD3-416F-4C6E-857D-32E011224303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J84" i="1"/>
  <c r="P84" i="1" s="1"/>
  <c r="E84" i="1"/>
  <c r="D84" i="1"/>
  <c r="Q83" i="1"/>
  <c r="P83" i="1"/>
  <c r="M83" i="1"/>
  <c r="L83" i="1"/>
  <c r="K83" i="1"/>
  <c r="J83" i="1"/>
  <c r="D83" i="1" s="1"/>
  <c r="E83" i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/>
  <c r="Q74" i="1"/>
  <c r="P74" i="1"/>
  <c r="M74" i="1"/>
  <c r="L74" i="1"/>
  <c r="K74" i="1"/>
  <c r="E74" i="1" s="1"/>
  <c r="J74" i="1"/>
  <c r="D74" i="1"/>
  <c r="O72" i="1"/>
  <c r="N72" i="1"/>
  <c r="Q71" i="1"/>
  <c r="P71" i="1"/>
  <c r="M71" i="1"/>
  <c r="L71" i="1"/>
  <c r="J71" i="1"/>
  <c r="K71" i="1" s="1"/>
  <c r="E71" i="1" s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D64" i="1"/>
  <c r="Q63" i="1"/>
  <c r="M63" i="1"/>
  <c r="L63" i="1"/>
  <c r="J63" i="1"/>
  <c r="P63" i="1" s="1"/>
  <c r="D63" i="1"/>
  <c r="M62" i="1"/>
  <c r="L62" i="1"/>
  <c r="J62" i="1"/>
  <c r="Q62" i="1" s="1"/>
  <c r="D62" i="1"/>
  <c r="Q61" i="1"/>
  <c r="M61" i="1"/>
  <c r="L61" i="1"/>
  <c r="J61" i="1"/>
  <c r="P61" i="1" s="1"/>
  <c r="D61" i="1"/>
  <c r="M60" i="1"/>
  <c r="L60" i="1"/>
  <c r="J60" i="1"/>
  <c r="Q60" i="1" s="1"/>
  <c r="D60" i="1"/>
  <c r="Q59" i="1"/>
  <c r="M59" i="1"/>
  <c r="L59" i="1"/>
  <c r="J59" i="1"/>
  <c r="P59" i="1" s="1"/>
  <c r="D59" i="1"/>
  <c r="M58" i="1"/>
  <c r="L58" i="1"/>
  <c r="J58" i="1"/>
  <c r="Q58" i="1" s="1"/>
  <c r="D58" i="1"/>
  <c r="Q57" i="1"/>
  <c r="P57" i="1"/>
  <c r="M57" i="1"/>
  <c r="L57" i="1"/>
  <c r="J57" i="1"/>
  <c r="D57" i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Q54" i="1" s="1"/>
  <c r="D54" i="1"/>
  <c r="Q53" i="1"/>
  <c r="P53" i="1"/>
  <c r="M53" i="1"/>
  <c r="L53" i="1"/>
  <c r="J53" i="1"/>
  <c r="D53" i="1"/>
  <c r="M52" i="1"/>
  <c r="L52" i="1"/>
  <c r="J52" i="1"/>
  <c r="Q52" i="1" s="1"/>
  <c r="D52" i="1"/>
  <c r="Q51" i="1"/>
  <c r="P51" i="1"/>
  <c r="M51" i="1"/>
  <c r="L51" i="1"/>
  <c r="J51" i="1"/>
  <c r="D51" i="1" s="1"/>
  <c r="M50" i="1"/>
  <c r="L50" i="1"/>
  <c r="J50" i="1"/>
  <c r="Q50" i="1" s="1"/>
  <c r="D50" i="1"/>
  <c r="O47" i="1"/>
  <c r="N47" i="1"/>
  <c r="Q45" i="1"/>
  <c r="M45" i="1"/>
  <c r="L45" i="1"/>
  <c r="K45" i="1"/>
  <c r="J45" i="1"/>
  <c r="E45" i="1"/>
  <c r="D45" i="1"/>
  <c r="Q44" i="1"/>
  <c r="P44" i="1"/>
  <c r="M44" i="1"/>
  <c r="L44" i="1"/>
  <c r="K44" i="1"/>
  <c r="E44" i="1" s="1"/>
  <c r="J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E41" i="1" s="1"/>
  <c r="J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P38" i="1"/>
  <c r="M38" i="1"/>
  <c r="L38" i="1"/>
  <c r="K38" i="1"/>
  <c r="E38" i="1" s="1"/>
  <c r="J38" i="1"/>
  <c r="D38" i="1"/>
  <c r="Q37" i="1"/>
  <c r="M37" i="1"/>
  <c r="L37" i="1"/>
  <c r="K37" i="1"/>
  <c r="E37" i="1" s="1"/>
  <c r="J37" i="1"/>
  <c r="D37" i="1"/>
  <c r="Q36" i="1"/>
  <c r="P36" i="1"/>
  <c r="M36" i="1"/>
  <c r="L36" i="1"/>
  <c r="K36" i="1"/>
  <c r="E36" i="1" s="1"/>
  <c r="J36" i="1"/>
  <c r="D36" i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P33" i="1"/>
  <c r="M33" i="1"/>
  <c r="L33" i="1"/>
  <c r="K33" i="1"/>
  <c r="E33" i="1" s="1"/>
  <c r="J33" i="1"/>
  <c r="D33" i="1"/>
  <c r="Q32" i="1"/>
  <c r="M32" i="1"/>
  <c r="L32" i="1"/>
  <c r="K32" i="1"/>
  <c r="E32" i="1" s="1"/>
  <c r="J32" i="1"/>
  <c r="D32" i="1" s="1"/>
  <c r="Q31" i="1"/>
  <c r="M31" i="1"/>
  <c r="L31" i="1"/>
  <c r="K31" i="1"/>
  <c r="E31" i="1" s="1"/>
  <c r="J31" i="1"/>
  <c r="P31" i="1" s="1"/>
  <c r="D31" i="1"/>
  <c r="K30" i="1"/>
  <c r="E30" i="1" s="1"/>
  <c r="J30" i="1"/>
  <c r="D30" i="1" s="1"/>
  <c r="Q29" i="1"/>
  <c r="M29" i="1"/>
  <c r="L29" i="1"/>
  <c r="K29" i="1"/>
  <c r="E29" i="1" s="1"/>
  <c r="J29" i="1"/>
  <c r="P29" i="1" s="1"/>
  <c r="D29" i="1"/>
  <c r="Q28" i="1"/>
  <c r="P28" i="1"/>
  <c r="M28" i="1"/>
  <c r="L28" i="1"/>
  <c r="K28" i="1"/>
  <c r="E28" i="1" s="1"/>
  <c r="J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D26" i="1"/>
  <c r="Q25" i="1"/>
  <c r="P25" i="1"/>
  <c r="M25" i="1"/>
  <c r="L25" i="1"/>
  <c r="K25" i="1"/>
  <c r="E25" i="1" s="1"/>
  <c r="J25" i="1"/>
  <c r="D25" i="1"/>
  <c r="R24" i="1"/>
  <c r="P24" i="1" s="1"/>
  <c r="Q24" i="1"/>
  <c r="M24" i="1"/>
  <c r="L24" i="1"/>
  <c r="K24" i="1"/>
  <c r="E24" i="1" s="1"/>
  <c r="J24" i="1"/>
  <c r="D24" i="1"/>
  <c r="Q23" i="1"/>
  <c r="M23" i="1"/>
  <c r="L23" i="1"/>
  <c r="K23" i="1"/>
  <c r="J23" i="1"/>
  <c r="P23" i="1" s="1"/>
  <c r="E23" i="1"/>
  <c r="D23" i="1"/>
  <c r="Q22" i="1"/>
  <c r="L22" i="1"/>
  <c r="K22" i="1"/>
  <c r="E22" i="1" s="1"/>
  <c r="J22" i="1"/>
  <c r="D22" i="1" s="1"/>
  <c r="Q21" i="1"/>
  <c r="M21" i="1"/>
  <c r="L21" i="1"/>
  <c r="K21" i="1"/>
  <c r="J21" i="1"/>
  <c r="D21" i="1" s="1"/>
  <c r="E21" i="1"/>
  <c r="Q20" i="1"/>
  <c r="P20" i="1"/>
  <c r="M20" i="1"/>
  <c r="L20" i="1"/>
  <c r="K20" i="1"/>
  <c r="J20" i="1"/>
  <c r="D20" i="1" s="1"/>
  <c r="E20" i="1"/>
  <c r="Q19" i="1"/>
  <c r="P19" i="1"/>
  <c r="M19" i="1"/>
  <c r="L19" i="1"/>
  <c r="K19" i="1"/>
  <c r="E19" i="1" s="1"/>
  <c r="J19" i="1"/>
  <c r="D19" i="1" s="1"/>
  <c r="E18" i="1"/>
  <c r="D18" i="1"/>
  <c r="Q17" i="1"/>
  <c r="P17" i="1"/>
  <c r="M17" i="1"/>
  <c r="L17" i="1"/>
  <c r="K17" i="1"/>
  <c r="E17" i="1" s="1"/>
  <c r="J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E14" i="1" s="1"/>
  <c r="J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E11" i="1" s="1"/>
  <c r="J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0" i="1" l="1"/>
  <c r="E70" i="1" s="1"/>
  <c r="P27" i="1"/>
  <c r="P32" i="1"/>
  <c r="P21" i="1"/>
  <c r="P54" i="1"/>
  <c r="P56" i="1"/>
  <c r="P58" i="1"/>
  <c r="P60" i="1"/>
  <c r="P62" i="1"/>
  <c r="P64" i="1"/>
  <c r="P50" i="1"/>
  <c r="P70" i="1"/>
  <c r="D71" i="1"/>
  <c r="P35" i="1"/>
</calcChain>
</file>

<file path=xl/sharedStrings.xml><?xml version="1.0" encoding="utf-8"?>
<sst xmlns="http://schemas.openxmlformats.org/spreadsheetml/2006/main" count="268" uniqueCount="183">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</sst>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120555A9-78EC-42A1-8645-22688007C0F0}"/>
    <cellStyle name="Comma 5 2 2 2 2 2 2 2 2 2 2" xfId="5" xr:uid="{410FF610-DE1F-447B-AF88-E35E7C5D8CE4}"/>
    <cellStyle name="Comma 6 2 2 2 2 2" xfId="6" xr:uid="{8D41AE9F-E1EC-4283-820B-38AC40481AA9}"/>
    <cellStyle name="Hyperlink 2" xfId="9" xr:uid="{A03C2FED-E970-4A1E-9E88-5099D15FEA6D}"/>
    <cellStyle name="Normal" xfId="0" builtinId="0"/>
    <cellStyle name="Normal 2" xfId="3" xr:uid="{E332A221-61A0-4846-9698-F3A468F32F74}"/>
    <cellStyle name="Normal 20" xfId="8" xr:uid="{7609A5EC-089E-498B-A2B4-2D17F077B4D4}"/>
    <cellStyle name="Percent" xfId="2" builtinId="5"/>
    <cellStyle name="Percent 3" xfId="7" xr:uid="{E3D56659-1B7E-4A21-8876-4BDA5C089B22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B0CB108-28E7-4CF8-86E5-E9DEDB940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76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D09409E-96D3-43A8-954B-9C308ED9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01218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7E10-F86B-4CC9-A186-3E0BB09D2C7B}">
  <dimension ref="A1:II106"/>
  <sheetViews>
    <sheetView tabSelected="1" zoomScale="85" zoomScaleNormal="85" workbookViewId="0">
      <selection activeCell="D11" sqref="D11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17.7109375" style="5" bestFit="1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8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26.670300000000001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25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8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70884713.895231783</v>
      </c>
      <c r="E9" s="39">
        <f t="shared" ref="E9:E45" si="1">C9*K9</f>
        <v>60016399.523809522</v>
      </c>
      <c r="F9" s="40" t="s">
        <v>34</v>
      </c>
      <c r="G9" s="41">
        <v>8.9894999999999996</v>
      </c>
      <c r="H9" s="42">
        <v>15</v>
      </c>
      <c r="I9" s="43">
        <v>15</v>
      </c>
      <c r="J9" s="44">
        <f>(I9/$J$5)</f>
        <v>0.56242336981586261</v>
      </c>
      <c r="K9" s="45">
        <f t="shared" ref="K9:K17" si="2">I9/$K$4</f>
        <v>0.47619047619047616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2.6670299999999997E-2</v>
      </c>
      <c r="Q9" s="49">
        <f t="shared" ref="Q9:Q17" si="6">I9/G9-1</f>
        <v>0.66861338227932587</v>
      </c>
      <c r="R9" s="50">
        <v>1.4999999999999999E-2</v>
      </c>
    </row>
    <row r="10" spans="1:18" x14ac:dyDescent="0.2">
      <c r="A10" s="35" t="s">
        <v>35</v>
      </c>
      <c r="B10" s="36" t="s">
        <v>36</v>
      </c>
      <c r="C10" s="37">
        <v>1627395595</v>
      </c>
      <c r="D10" s="38">
        <f t="shared" si="0"/>
        <v>4637445.5937878462</v>
      </c>
      <c r="E10" s="39">
        <f t="shared" si="1"/>
        <v>3926414.7688888889</v>
      </c>
      <c r="F10" s="40" t="s">
        <v>34</v>
      </c>
      <c r="G10" s="41">
        <v>3.1600000000000003E-2</v>
      </c>
      <c r="H10" s="42">
        <v>7.5999999999999998E-2</v>
      </c>
      <c r="I10" s="43">
        <v>7.5999999999999998E-2</v>
      </c>
      <c r="J10" s="44">
        <f t="shared" ref="J10:J17" si="7">I10/$J$5</f>
        <v>2.8496117404003701E-3</v>
      </c>
      <c r="K10" s="45">
        <f t="shared" si="2"/>
        <v>2.4126984126984128E-3</v>
      </c>
      <c r="L10" s="46">
        <f t="shared" si="3"/>
        <v>0</v>
      </c>
      <c r="M10" s="46">
        <f t="shared" si="4"/>
        <v>0</v>
      </c>
      <c r="N10" s="47">
        <v>6300</v>
      </c>
      <c r="O10" s="37">
        <v>478.8</v>
      </c>
      <c r="P10" s="51">
        <f t="shared" si="5"/>
        <v>0</v>
      </c>
      <c r="Q10" s="49">
        <f t="shared" si="6"/>
        <v>1.40506329113924</v>
      </c>
      <c r="R10" s="50"/>
    </row>
    <row r="11" spans="1:18" x14ac:dyDescent="0.2">
      <c r="A11" s="35" t="s">
        <v>37</v>
      </c>
      <c r="B11" s="36" t="s">
        <v>38</v>
      </c>
      <c r="C11" s="37">
        <v>436977359</v>
      </c>
      <c r="D11" s="38">
        <f t="shared" si="0"/>
        <v>3603621.7925249436</v>
      </c>
      <c r="E11" s="39">
        <f t="shared" si="1"/>
        <v>3051100.7712119999</v>
      </c>
      <c r="F11" s="40" t="s">
        <v>39</v>
      </c>
      <c r="G11" s="41">
        <v>7.8E-2</v>
      </c>
      <c r="H11" s="42">
        <v>0.22</v>
      </c>
      <c r="I11" s="43">
        <v>0.219942</v>
      </c>
      <c r="J11" s="44">
        <f t="shared" si="7"/>
        <v>8.2467013869360305E-3</v>
      </c>
      <c r="K11" s="45">
        <f t="shared" si="2"/>
        <v>6.9822857142857143E-3</v>
      </c>
      <c r="L11" s="46">
        <f t="shared" si="3"/>
        <v>-5.8000000000002494E-5</v>
      </c>
      <c r="M11" s="46">
        <f t="shared" si="4"/>
        <v>-2.6363636363637494E-2</v>
      </c>
      <c r="N11" s="47">
        <v>18100</v>
      </c>
      <c r="O11" s="37">
        <v>3980.95</v>
      </c>
      <c r="P11" s="51">
        <f t="shared" si="5"/>
        <v>0</v>
      </c>
      <c r="Q11" s="49">
        <f t="shared" si="6"/>
        <v>1.8197692307692308</v>
      </c>
      <c r="R11" s="50"/>
    </row>
    <row r="12" spans="1:18" x14ac:dyDescent="0.2">
      <c r="A12" s="35" t="s">
        <v>40</v>
      </c>
      <c r="B12" s="36" t="s">
        <v>41</v>
      </c>
      <c r="C12" s="37">
        <v>20633517</v>
      </c>
      <c r="D12" s="38">
        <f t="shared" si="0"/>
        <v>146908679.05985308</v>
      </c>
      <c r="E12" s="39">
        <f t="shared" si="1"/>
        <v>124384080.73428571</v>
      </c>
      <c r="F12" s="40" t="s">
        <v>34</v>
      </c>
      <c r="G12" s="41">
        <v>97.381</v>
      </c>
      <c r="H12" s="42">
        <v>189.89</v>
      </c>
      <c r="I12" s="43">
        <v>189.89</v>
      </c>
      <c r="J12" s="44">
        <f t="shared" si="7"/>
        <v>7.1199049129556089</v>
      </c>
      <c r="K12" s="45">
        <f t="shared" si="2"/>
        <v>6.028253968253968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0.94996970661628022</v>
      </c>
      <c r="R12" s="50"/>
    </row>
    <row r="13" spans="1:18" x14ac:dyDescent="0.2">
      <c r="A13" s="35" t="s">
        <v>42</v>
      </c>
      <c r="B13" s="36" t="s">
        <v>43</v>
      </c>
      <c r="C13" s="37">
        <v>8735108</v>
      </c>
      <c r="D13" s="38">
        <f t="shared" si="0"/>
        <v>6222916.5776162995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0.71240293510009256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">
      <c r="A14" s="35" t="s">
        <v>45</v>
      </c>
      <c r="B14" s="36" t="s">
        <v>46</v>
      </c>
      <c r="C14" s="37">
        <v>522661465</v>
      </c>
      <c r="D14" s="38">
        <f t="shared" si="0"/>
        <v>793096046.48429143</v>
      </c>
      <c r="E14" s="39">
        <f t="shared" si="1"/>
        <v>671495539.31904757</v>
      </c>
      <c r="F14" s="40" t="s">
        <v>47</v>
      </c>
      <c r="G14" s="41">
        <v>11.5</v>
      </c>
      <c r="H14" s="42">
        <v>40.5</v>
      </c>
      <c r="I14" s="43">
        <v>40.47</v>
      </c>
      <c r="J14" s="44">
        <f t="shared" si="7"/>
        <v>1.5174182517631971</v>
      </c>
      <c r="K14" s="45">
        <f t="shared" si="2"/>
        <v>1.2847619047619048</v>
      </c>
      <c r="L14" s="46">
        <f t="shared" si="3"/>
        <v>-3.0000000000001137E-2</v>
      </c>
      <c r="M14" s="46">
        <f t="shared" si="4"/>
        <v>-7.4074074074076873E-2</v>
      </c>
      <c r="N14" s="47">
        <v>500</v>
      </c>
      <c r="O14" s="37">
        <v>20235</v>
      </c>
      <c r="P14" s="51">
        <f t="shared" si="5"/>
        <v>0</v>
      </c>
      <c r="Q14" s="49">
        <f t="shared" si="6"/>
        <v>2.5191304347826087</v>
      </c>
      <c r="R14" s="50"/>
    </row>
    <row r="15" spans="1:18" x14ac:dyDescent="0.2">
      <c r="A15" s="35" t="s">
        <v>48</v>
      </c>
      <c r="B15" s="36" t="s">
        <v>49</v>
      </c>
      <c r="C15" s="37">
        <v>106040875</v>
      </c>
      <c r="D15" s="38">
        <f t="shared" si="0"/>
        <v>23855946.502289061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0.22496934792634501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">
      <c r="A16" s="35" t="s">
        <v>50</v>
      </c>
      <c r="B16" s="36" t="s">
        <v>51</v>
      </c>
      <c r="C16" s="37">
        <v>358000858</v>
      </c>
      <c r="D16" s="38">
        <f t="shared" si="0"/>
        <v>67137453.1733886</v>
      </c>
      <c r="E16" s="39">
        <f t="shared" si="1"/>
        <v>56843683.091118284</v>
      </c>
      <c r="F16" s="40" t="s">
        <v>34</v>
      </c>
      <c r="G16" s="41">
        <v>1.9</v>
      </c>
      <c r="H16" s="42">
        <v>5.7022619999999993</v>
      </c>
      <c r="I16" s="43">
        <v>5.0015970000000003</v>
      </c>
      <c r="J16" s="44">
        <f t="shared" si="7"/>
        <v>0.18753433594672725</v>
      </c>
      <c r="K16" s="45">
        <f t="shared" si="2"/>
        <v>0.15878085714285714</v>
      </c>
      <c r="L16" s="46">
        <f t="shared" si="3"/>
        <v>-0.70066499999999898</v>
      </c>
      <c r="M16" s="46">
        <f t="shared" si="4"/>
        <v>-12.28749222676894</v>
      </c>
      <c r="N16" s="47">
        <v>13900</v>
      </c>
      <c r="O16" s="37">
        <v>69522.2</v>
      </c>
      <c r="P16" s="51">
        <f t="shared" si="5"/>
        <v>0</v>
      </c>
      <c r="Q16" s="49">
        <f t="shared" si="6"/>
        <v>1.6324194736842106</v>
      </c>
      <c r="R16" s="50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1618429368.36361</v>
      </c>
      <c r="E17" s="39">
        <f t="shared" si="1"/>
        <v>1370285612.1608887</v>
      </c>
      <c r="F17" s="40" t="s">
        <v>34</v>
      </c>
      <c r="G17" s="41">
        <v>20.701700000000002</v>
      </c>
      <c r="H17" s="42">
        <v>32.060400000000001</v>
      </c>
      <c r="I17" s="43">
        <v>32.026399999999995</v>
      </c>
      <c r="J17" s="44">
        <f t="shared" si="7"/>
        <v>1.2008263874047158</v>
      </c>
      <c r="K17" s="45">
        <f t="shared" si="2"/>
        <v>1.0167111111111109</v>
      </c>
      <c r="L17" s="46">
        <f t="shared" si="3"/>
        <v>-3.4000000000006025E-2</v>
      </c>
      <c r="M17" s="46">
        <f t="shared" si="4"/>
        <v>-0.10604983094411181</v>
      </c>
      <c r="N17" s="47">
        <v>23700</v>
      </c>
      <c r="O17" s="37">
        <v>759025.9</v>
      </c>
      <c r="P17" s="48">
        <f t="shared" si="5"/>
        <v>4.1637992406264847E-2</v>
      </c>
      <c r="Q17" s="49">
        <f t="shared" si="6"/>
        <v>0.54704203036465571</v>
      </c>
      <c r="R17" s="50">
        <v>0.05</v>
      </c>
      <c r="S17" s="52"/>
    </row>
    <row r="18" spans="1:19" ht="11.25" hidden="1" customHeight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301497290.67280459</v>
      </c>
      <c r="E19" s="39">
        <f t="shared" si="1"/>
        <v>255270577.50574288</v>
      </c>
      <c r="F19" s="40" t="s">
        <v>47</v>
      </c>
      <c r="G19" s="41">
        <v>12.45</v>
      </c>
      <c r="H19" s="42">
        <v>13.5</v>
      </c>
      <c r="I19" s="43">
        <v>11.966700000000001</v>
      </c>
      <c r="J19" s="44">
        <f t="shared" ref="J19:J45" si="8">I19/$J$5</f>
        <v>0.44869011597169889</v>
      </c>
      <c r="K19" s="45">
        <f t="shared" ref="K19:K45" si="9">I19/$K$4</f>
        <v>0.37989523809523812</v>
      </c>
      <c r="L19" s="46">
        <f t="shared" ref="L19:L29" si="10">I19-H19</f>
        <v>-1.5332999999999988</v>
      </c>
      <c r="M19" s="46">
        <f>((I19-H19)/H19)*100</f>
        <v>-11.357777777777768</v>
      </c>
      <c r="N19" s="47">
        <v>900</v>
      </c>
      <c r="O19" s="37">
        <v>10770</v>
      </c>
      <c r="P19" s="51">
        <f>(R19)/J19</f>
        <v>0</v>
      </c>
      <c r="Q19" s="49">
        <f t="shared" ref="Q19:Q29" si="11">I19/G19-1</f>
        <v>-3.8819277108433581E-2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3287673.9014934218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3.0183387513451294E-2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86687410.752784938</v>
      </c>
      <c r="E21" s="39">
        <f t="shared" si="1"/>
        <v>73396166.698412701</v>
      </c>
      <c r="F21" s="40" t="s">
        <v>47</v>
      </c>
      <c r="G21" s="41">
        <v>2.85</v>
      </c>
      <c r="H21" s="42">
        <v>3.3470879999999998</v>
      </c>
      <c r="I21" s="43">
        <v>3.35</v>
      </c>
      <c r="J21" s="44">
        <f t="shared" si="8"/>
        <v>0.12560788592554264</v>
      </c>
      <c r="K21" s="45">
        <f t="shared" si="9"/>
        <v>0.10634920634920635</v>
      </c>
      <c r="L21" s="46">
        <f t="shared" si="10"/>
        <v>2.9120000000002477E-3</v>
      </c>
      <c r="M21" s="46">
        <f>((I21-H21)/H21)*100</f>
        <v>8.7000999077414404E-2</v>
      </c>
      <c r="N21" s="47">
        <v>10000</v>
      </c>
      <c r="O21" s="37">
        <v>33500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2484737.5147823608</v>
      </c>
      <c r="E23" s="39">
        <f t="shared" si="1"/>
        <v>2103768.0933492063</v>
      </c>
      <c r="F23" s="40" t="s">
        <v>44</v>
      </c>
      <c r="G23" s="41">
        <v>0.1</v>
      </c>
      <c r="H23" s="42">
        <v>0.1235</v>
      </c>
      <c r="I23" s="43">
        <v>0.1235</v>
      </c>
      <c r="J23" s="44">
        <f t="shared" si="8"/>
        <v>4.6306190781506013E-3</v>
      </c>
      <c r="K23" s="45">
        <f t="shared" si="9"/>
        <v>3.9206349206349208E-3</v>
      </c>
      <c r="L23" s="46">
        <f t="shared" si="10"/>
        <v>0</v>
      </c>
      <c r="M23" s="46">
        <f t="shared" ref="M23:M29" si="12">((I23-H23)/H23)*100</f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1"/>
        <v>0.23499999999999988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80600920.095072046</v>
      </c>
      <c r="E24" s="39">
        <f t="shared" si="1"/>
        <v>68242879.974971429</v>
      </c>
      <c r="F24" s="40" t="s">
        <v>34</v>
      </c>
      <c r="G24" s="41">
        <v>8.1687659999999997</v>
      </c>
      <c r="H24" s="42">
        <v>11.136900000000001</v>
      </c>
      <c r="I24" s="43">
        <v>11.136900000000001</v>
      </c>
      <c r="J24" s="44">
        <f t="shared" si="8"/>
        <v>0.41757685515348536</v>
      </c>
      <c r="K24" s="45">
        <f t="shared" si="9"/>
        <v>0.35355238095238095</v>
      </c>
      <c r="L24" s="46">
        <f t="shared" si="10"/>
        <v>0</v>
      </c>
      <c r="M24" s="46">
        <f t="shared" si="12"/>
        <v>0</v>
      </c>
      <c r="N24" s="47">
        <v>0</v>
      </c>
      <c r="O24" s="37">
        <v>0</v>
      </c>
      <c r="P24" s="48">
        <f t="shared" si="13"/>
        <v>3.5921531126255957E-2</v>
      </c>
      <c r="Q24" s="49">
        <f t="shared" si="11"/>
        <v>0.36335157599079237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113896402.22269717</v>
      </c>
      <c r="E25" s="39">
        <f t="shared" si="1"/>
        <v>96433371.942857146</v>
      </c>
      <c r="F25" s="40" t="s">
        <v>66</v>
      </c>
      <c r="G25" s="41">
        <v>1.6675</v>
      </c>
      <c r="H25" s="42">
        <v>1.8</v>
      </c>
      <c r="I25" s="43">
        <v>1.8</v>
      </c>
      <c r="J25" s="44">
        <f t="shared" si="8"/>
        <v>6.7490804377903515E-2</v>
      </c>
      <c r="K25" s="45">
        <f t="shared" si="9"/>
        <v>5.7142857142857141E-2</v>
      </c>
      <c r="L25" s="46">
        <f t="shared" si="10"/>
        <v>0</v>
      </c>
      <c r="M25" s="46">
        <f t="shared" si="12"/>
        <v>0</v>
      </c>
      <c r="N25" s="47">
        <v>0</v>
      </c>
      <c r="O25" s="37">
        <v>0</v>
      </c>
      <c r="P25" s="51">
        <f t="shared" si="13"/>
        <v>0</v>
      </c>
      <c r="Q25" s="49">
        <f t="shared" si="11"/>
        <v>7.946026986506749E-2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23067885.81268302</v>
      </c>
      <c r="E26" s="39">
        <f t="shared" si="1"/>
        <v>19531029.682222221</v>
      </c>
      <c r="F26" s="40" t="s">
        <v>44</v>
      </c>
      <c r="G26" s="41">
        <v>1.7994999999999999</v>
      </c>
      <c r="H26" s="42">
        <v>2.57</v>
      </c>
      <c r="I26" s="43">
        <v>2.57</v>
      </c>
      <c r="J26" s="44">
        <f t="shared" si="8"/>
        <v>9.6361870695117785E-2</v>
      </c>
      <c r="K26" s="45">
        <f t="shared" si="9"/>
        <v>8.1587301587301583E-2</v>
      </c>
      <c r="L26" s="46">
        <f t="shared" si="10"/>
        <v>0</v>
      </c>
      <c r="M26" s="46">
        <f t="shared" si="12"/>
        <v>0</v>
      </c>
      <c r="N26" s="47">
        <v>0</v>
      </c>
      <c r="O26" s="37">
        <v>0</v>
      </c>
      <c r="P26" s="51">
        <f t="shared" si="13"/>
        <v>0</v>
      </c>
      <c r="Q26" s="49">
        <f t="shared" si="11"/>
        <v>0.42817449291469845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26411946.53790921</v>
      </c>
      <c r="E27" s="39">
        <f t="shared" si="1"/>
        <v>22362366.277777776</v>
      </c>
      <c r="F27" s="40" t="s">
        <v>34</v>
      </c>
      <c r="G27" s="41">
        <v>3.1361369999999997</v>
      </c>
      <c r="H27" s="42">
        <v>2.9</v>
      </c>
      <c r="I27" s="43">
        <v>2.75</v>
      </c>
      <c r="J27" s="44">
        <f t="shared" si="8"/>
        <v>0.10311095113290814</v>
      </c>
      <c r="K27" s="45">
        <f t="shared" si="9"/>
        <v>8.7301587301587297E-2</v>
      </c>
      <c r="L27" s="46">
        <f t="shared" si="10"/>
        <v>-0.14999999999999991</v>
      </c>
      <c r="M27" s="46">
        <f t="shared" si="12"/>
        <v>-5.1724137931034457</v>
      </c>
      <c r="N27" s="47">
        <v>1000</v>
      </c>
      <c r="O27" s="37">
        <v>2750</v>
      </c>
      <c r="P27" s="51">
        <f t="shared" si="13"/>
        <v>0</v>
      </c>
      <c r="Q27" s="49">
        <f t="shared" si="11"/>
        <v>-0.12312504205013997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26916296.252760559</v>
      </c>
      <c r="E28" s="39">
        <f t="shared" si="1"/>
        <v>22789387.17301587</v>
      </c>
      <c r="F28" s="40" t="s">
        <v>44</v>
      </c>
      <c r="G28" s="41">
        <v>0.8</v>
      </c>
      <c r="H28" s="42">
        <v>0.93727300000000002</v>
      </c>
      <c r="I28" s="43">
        <v>0.95</v>
      </c>
      <c r="J28" s="44">
        <f t="shared" si="8"/>
        <v>3.5620146755004627E-2</v>
      </c>
      <c r="K28" s="45">
        <f t="shared" si="9"/>
        <v>3.0158730158730156E-2</v>
      </c>
      <c r="L28" s="46">
        <f t="shared" si="10"/>
        <v>1.2726999999999933E-2</v>
      </c>
      <c r="M28" s="46">
        <f t="shared" si="12"/>
        <v>1.3578754535764854</v>
      </c>
      <c r="N28" s="47">
        <v>5000</v>
      </c>
      <c r="O28" s="37">
        <v>4750</v>
      </c>
      <c r="P28" s="51">
        <f t="shared" si="13"/>
        <v>0</v>
      </c>
      <c r="Q28" s="49">
        <f t="shared" si="11"/>
        <v>0.18749999999999978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94304370.809477195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0.20997139139792201</v>
      </c>
      <c r="K29" s="45">
        <f t="shared" si="9"/>
        <v>0.17777777777777776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8.737864077669899E-2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13559926.67394405</v>
      </c>
      <c r="E31" s="39">
        <f t="shared" si="1"/>
        <v>11480867.059431428</v>
      </c>
      <c r="F31" s="40" t="s">
        <v>39</v>
      </c>
      <c r="G31" s="41">
        <v>1.4</v>
      </c>
      <c r="H31" s="42">
        <v>1.391667</v>
      </c>
      <c r="I31" s="43">
        <v>1.391667</v>
      </c>
      <c r="J31" s="44">
        <f t="shared" si="8"/>
        <v>5.2180402920102134E-2</v>
      </c>
      <c r="K31" s="45">
        <f t="shared" si="9"/>
        <v>4.4179904761904761E-2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-5.9521428571428503E-3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3889159.4582738094</v>
      </c>
      <c r="E32" s="39">
        <f t="shared" si="1"/>
        <v>3292858.7142857141</v>
      </c>
      <c r="F32" s="40" t="s">
        <v>39</v>
      </c>
      <c r="G32" s="41">
        <v>0.65</v>
      </c>
      <c r="H32" s="42">
        <v>0.85</v>
      </c>
      <c r="I32" s="43">
        <v>0.85</v>
      </c>
      <c r="J32" s="44">
        <f t="shared" si="8"/>
        <v>3.1870657622898875E-2</v>
      </c>
      <c r="K32" s="45">
        <f t="shared" si="9"/>
        <v>2.6984126984126982E-2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0.30769230769230771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144222861.84034872</v>
      </c>
      <c r="E33" s="39">
        <f t="shared" si="1"/>
        <v>122110063.2425604</v>
      </c>
      <c r="F33" s="40" t="s">
        <v>92</v>
      </c>
      <c r="G33" s="41">
        <v>1.44</v>
      </c>
      <c r="H33" s="42">
        <v>1.5413640000000002</v>
      </c>
      <c r="I33" s="43">
        <v>1.5413640000000002</v>
      </c>
      <c r="J33" s="44">
        <f t="shared" si="8"/>
        <v>5.7793275666190483E-2</v>
      </c>
      <c r="K33" s="45">
        <f t="shared" si="9"/>
        <v>4.8932190476190483E-2</v>
      </c>
      <c r="L33" s="46">
        <f t="shared" si="14"/>
        <v>0</v>
      </c>
      <c r="M33" s="46">
        <f t="shared" si="15"/>
        <v>0</v>
      </c>
      <c r="N33" s="47">
        <v>0</v>
      </c>
      <c r="O33" s="37">
        <v>0</v>
      </c>
      <c r="P33" s="51">
        <f t="shared" si="16"/>
        <v>0</v>
      </c>
      <c r="Q33" s="49">
        <f t="shared" si="17"/>
        <v>7.0391666666666852E-2</v>
      </c>
      <c r="R33" s="50"/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50758590.214946061</v>
      </c>
      <c r="E34" s="39">
        <f t="shared" si="1"/>
        <v>42976089.797132567</v>
      </c>
      <c r="F34" s="40" t="s">
        <v>34</v>
      </c>
      <c r="G34" s="41">
        <v>3.6056249999999999</v>
      </c>
      <c r="H34" s="42">
        <v>5.3233329999999999</v>
      </c>
      <c r="I34" s="43">
        <v>5.3403719999999995</v>
      </c>
      <c r="J34" s="44">
        <f t="shared" si="8"/>
        <v>0.20023666775401849</v>
      </c>
      <c r="K34" s="45">
        <f t="shared" si="9"/>
        <v>0.16953561904761902</v>
      </c>
      <c r="L34" s="46">
        <f t="shared" si="14"/>
        <v>1.7038999999999582E-2</v>
      </c>
      <c r="M34" s="46">
        <f t="shared" si="15"/>
        <v>0.32008142267259221</v>
      </c>
      <c r="N34" s="47">
        <v>4700</v>
      </c>
      <c r="O34" s="37">
        <v>25099.75</v>
      </c>
      <c r="P34" s="51">
        <f t="shared" si="16"/>
        <v>0</v>
      </c>
      <c r="Q34" s="49">
        <f t="shared" si="17"/>
        <v>0.48112241289651569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6959223.13511224</v>
      </c>
      <c r="E35" s="39">
        <f t="shared" si="1"/>
        <v>5892208.5327106025</v>
      </c>
      <c r="F35" s="40" t="s">
        <v>34</v>
      </c>
      <c r="G35" s="41">
        <v>2.5099999999999997E-2</v>
      </c>
      <c r="H35" s="42">
        <v>3.8982000000000003E-2</v>
      </c>
      <c r="I35" s="43">
        <v>3.9363999999999996E-2</v>
      </c>
      <c r="J35" s="44">
        <f t="shared" si="8"/>
        <v>1.4759489019621074E-3</v>
      </c>
      <c r="K35" s="45">
        <f t="shared" si="9"/>
        <v>1.2496507936507935E-3</v>
      </c>
      <c r="L35" s="46">
        <f t="shared" si="14"/>
        <v>3.8199999999999346E-4</v>
      </c>
      <c r="M35" s="46">
        <f t="shared" si="15"/>
        <v>0.97993945923758008</v>
      </c>
      <c r="N35" s="47">
        <v>15900</v>
      </c>
      <c r="O35" s="37">
        <v>625.88</v>
      </c>
      <c r="P35" s="51">
        <f t="shared" si="16"/>
        <v>0</v>
      </c>
      <c r="Q35" s="49">
        <f t="shared" si="17"/>
        <v>0.5682868525896414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74224626.030078411</v>
      </c>
      <c r="E36" s="39">
        <f t="shared" si="1"/>
        <v>62844223.606666669</v>
      </c>
      <c r="F36" s="40" t="s">
        <v>92</v>
      </c>
      <c r="G36" s="41">
        <v>0.61</v>
      </c>
      <c r="H36" s="42">
        <v>3.284923</v>
      </c>
      <c r="I36" s="43">
        <v>3.77</v>
      </c>
      <c r="J36" s="44">
        <f t="shared" si="8"/>
        <v>0.1413557402803868</v>
      </c>
      <c r="K36" s="45">
        <f t="shared" si="9"/>
        <v>0.11968253968253968</v>
      </c>
      <c r="L36" s="46">
        <f t="shared" si="14"/>
        <v>0.48507699999999998</v>
      </c>
      <c r="M36" s="46">
        <f t="shared" si="15"/>
        <v>14.766769266737759</v>
      </c>
      <c r="N36" s="47">
        <v>0</v>
      </c>
      <c r="O36" s="37">
        <v>0</v>
      </c>
      <c r="P36" s="51">
        <f t="shared" si="16"/>
        <v>0</v>
      </c>
      <c r="Q36" s="49">
        <f t="shared" si="17"/>
        <v>5.1803278688524594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43918112.316574655</v>
      </c>
      <c r="E37" s="39">
        <f t="shared" si="1"/>
        <v>37184420.029102884</v>
      </c>
      <c r="F37" s="40" t="s">
        <v>56</v>
      </c>
      <c r="G37" s="41">
        <v>0.11650199999999999</v>
      </c>
      <c r="H37" s="42">
        <v>0.32787500000000003</v>
      </c>
      <c r="I37" s="43">
        <v>0.279229</v>
      </c>
      <c r="J37" s="44">
        <f t="shared" si="8"/>
        <v>1.0469661008687566E-2</v>
      </c>
      <c r="K37" s="45">
        <f t="shared" si="9"/>
        <v>8.8644126984126978E-3</v>
      </c>
      <c r="L37" s="46">
        <f t="shared" si="14"/>
        <v>-4.8646000000000023E-2</v>
      </c>
      <c r="M37" s="46">
        <f t="shared" si="15"/>
        <v>-14.83675181090355</v>
      </c>
      <c r="N37" s="47">
        <v>10905500</v>
      </c>
      <c r="O37" s="37">
        <v>3045131.3</v>
      </c>
      <c r="P37" s="51">
        <v>0</v>
      </c>
      <c r="Q37" s="49">
        <f t="shared" si="17"/>
        <v>1.396774304303789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20227212.006426621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4.6868614151321878E-3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7186031.9006535364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6.7490804377903515E-2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3399964.4858887973</v>
      </c>
      <c r="E40" s="39">
        <f t="shared" si="1"/>
        <v>2878668.9786666664</v>
      </c>
      <c r="F40" s="40" t="s">
        <v>39</v>
      </c>
      <c r="G40" s="41">
        <v>0.03</v>
      </c>
      <c r="H40" s="42">
        <v>0.05</v>
      </c>
      <c r="I40" s="43">
        <v>5.0999999999999997E-2</v>
      </c>
      <c r="J40" s="44">
        <f t="shared" si="8"/>
        <v>1.9122394573739326E-3</v>
      </c>
      <c r="K40" s="45">
        <f t="shared" si="9"/>
        <v>1.6190476190476189E-3</v>
      </c>
      <c r="L40" s="46">
        <f t="shared" si="14"/>
        <v>9.9999999999999395E-4</v>
      </c>
      <c r="M40" s="46">
        <f t="shared" si="15"/>
        <v>1.999999999999988</v>
      </c>
      <c r="N40" s="47">
        <v>800000</v>
      </c>
      <c r="O40" s="37">
        <v>40800</v>
      </c>
      <c r="P40" s="51">
        <f t="shared" si="18"/>
        <v>0</v>
      </c>
      <c r="Q40" s="49">
        <f t="shared" si="17"/>
        <v>0.7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45981278.575794049</v>
      </c>
      <c r="E41" s="39">
        <f t="shared" si="1"/>
        <v>38931253.777777776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0.26246423924740253</v>
      </c>
      <c r="K41" s="45">
        <f t="shared" si="9"/>
        <v>0.22222222222222221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0.55555555555555558</v>
      </c>
      <c r="R41" s="50">
        <v>0</v>
      </c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312.71031439466373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6.749080437790351E-7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1727764.5920743297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2.9995913056846003E-3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60674785.043287851</v>
      </c>
      <c r="E44" s="39">
        <f t="shared" si="1"/>
        <v>51371895.858412698</v>
      </c>
      <c r="F44" s="40" t="s">
        <v>47</v>
      </c>
      <c r="G44" s="41">
        <v>0.9998999999999999</v>
      </c>
      <c r="H44" s="42">
        <v>0.89</v>
      </c>
      <c r="I44" s="43">
        <v>0.89</v>
      </c>
      <c r="J44" s="44">
        <f t="shared" si="8"/>
        <v>3.3370453275741181E-2</v>
      </c>
      <c r="K44" s="45">
        <f t="shared" si="9"/>
        <v>2.8253968253968254E-2</v>
      </c>
      <c r="L44" s="46">
        <f t="shared" si="14"/>
        <v>0</v>
      </c>
      <c r="M44" s="46">
        <f t="shared" si="15"/>
        <v>0</v>
      </c>
      <c r="N44" s="47">
        <v>0</v>
      </c>
      <c r="O44" s="37">
        <v>0</v>
      </c>
      <c r="P44" s="51">
        <f t="shared" si="18"/>
        <v>0</v>
      </c>
      <c r="Q44" s="49">
        <f t="shared" si="17"/>
        <v>-0.10991099109910984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5199112.9458611263</v>
      </c>
      <c r="E45" s="39">
        <f t="shared" si="1"/>
        <v>4401965.1428571427</v>
      </c>
      <c r="F45" s="40" t="s">
        <v>47</v>
      </c>
      <c r="G45" s="41">
        <v>1.4503460000000001</v>
      </c>
      <c r="H45" s="42">
        <v>1.35</v>
      </c>
      <c r="I45" s="43">
        <v>1.35</v>
      </c>
      <c r="J45" s="44">
        <f t="shared" si="8"/>
        <v>5.0618103283427633E-2</v>
      </c>
      <c r="K45" s="45">
        <f t="shared" si="9"/>
        <v>4.2857142857142858E-2</v>
      </c>
      <c r="L45" s="46">
        <f t="shared" si="14"/>
        <v>0</v>
      </c>
      <c r="M45" s="46">
        <f t="shared" si="15"/>
        <v>0</v>
      </c>
      <c r="N45" s="47">
        <v>0</v>
      </c>
      <c r="O45" s="37">
        <v>0</v>
      </c>
      <c r="P45" s="51">
        <v>0</v>
      </c>
      <c r="Q45" s="49">
        <f t="shared" si="17"/>
        <v>-6.9187628331446427E-2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11805500</v>
      </c>
      <c r="O47" s="61">
        <f>SUM(O9:O46)</f>
        <v>4016669.78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4" si="19">C50*J50</f>
        <v>82794109.953600004</v>
      </c>
      <c r="E50" s="39">
        <v>0</v>
      </c>
      <c r="F50" s="40" t="s">
        <v>92</v>
      </c>
      <c r="G50" s="70">
        <v>0.1</v>
      </c>
      <c r="H50" s="42">
        <v>0.1479</v>
      </c>
      <c r="I50" s="42">
        <v>0.1492</v>
      </c>
      <c r="J50" s="44">
        <f t="shared" ref="J50:J64" si="20">I50</f>
        <v>0.1492</v>
      </c>
      <c r="K50" s="39">
        <v>0</v>
      </c>
      <c r="L50" s="46">
        <f t="shared" ref="L50:L64" si="21">I50-H50</f>
        <v>1.2999999999999956E-3</v>
      </c>
      <c r="M50" s="46">
        <f t="shared" ref="M50:M64" si="22">((I50-H50)/H50)*100</f>
        <v>0.8789722785665961</v>
      </c>
      <c r="N50" s="47">
        <v>5383</v>
      </c>
      <c r="O50" s="37">
        <v>803.14</v>
      </c>
      <c r="P50" s="71">
        <f>(R50)/J50</f>
        <v>0</v>
      </c>
      <c r="Q50" s="49">
        <f t="shared" ref="Q50:Q64" si="23">J50/G50-1</f>
        <v>0.49199999999999999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1057685</v>
      </c>
      <c r="D51" s="38">
        <f t="shared" si="19"/>
        <v>46165517.574500002</v>
      </c>
      <c r="E51" s="39">
        <v>0</v>
      </c>
      <c r="F51" s="40" t="s">
        <v>39</v>
      </c>
      <c r="G51" s="70">
        <v>39.9</v>
      </c>
      <c r="H51" s="42">
        <v>42.243699999999997</v>
      </c>
      <c r="I51" s="42">
        <v>43.6477</v>
      </c>
      <c r="J51" s="44">
        <f t="shared" si="20"/>
        <v>43.6477</v>
      </c>
      <c r="K51" s="39">
        <v>0</v>
      </c>
      <c r="L51" s="46">
        <f t="shared" si="21"/>
        <v>1.4040000000000035</v>
      </c>
      <c r="M51" s="46">
        <f t="shared" si="22"/>
        <v>3.3235725090368589</v>
      </c>
      <c r="N51" s="47">
        <v>15664</v>
      </c>
      <c r="O51" s="37">
        <v>683697.25</v>
      </c>
      <c r="P51" s="72">
        <f>(R51)/J51</f>
        <v>1.2830000206196433E-2</v>
      </c>
      <c r="Q51" s="49">
        <f t="shared" si="23"/>
        <v>9.3927318295739415E-2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683709291.88550007</v>
      </c>
      <c r="E52" s="39"/>
      <c r="F52" s="40" t="s">
        <v>56</v>
      </c>
      <c r="G52" s="70">
        <v>0.33</v>
      </c>
      <c r="H52" s="42">
        <v>0.22689999999999999</v>
      </c>
      <c r="I52" s="42">
        <v>0.22850000000000001</v>
      </c>
      <c r="J52" s="44">
        <f t="shared" si="20"/>
        <v>0.22850000000000001</v>
      </c>
      <c r="K52" s="39">
        <v>0</v>
      </c>
      <c r="L52" s="46">
        <f t="shared" si="21"/>
        <v>1.6000000000000181E-3</v>
      </c>
      <c r="M52" s="46">
        <f t="shared" si="22"/>
        <v>0.70515645658881365</v>
      </c>
      <c r="N52" s="47">
        <v>483213</v>
      </c>
      <c r="O52" s="37">
        <v>110419.65</v>
      </c>
      <c r="P52" s="71">
        <v>0</v>
      </c>
      <c r="Q52" s="49">
        <f t="shared" si="23"/>
        <v>-0.30757575757575761</v>
      </c>
      <c r="R52" s="52"/>
      <c r="T52" s="52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15670342.235100001</v>
      </c>
      <c r="E53" s="39">
        <v>0</v>
      </c>
      <c r="F53" s="40" t="s">
        <v>34</v>
      </c>
      <c r="G53" s="70">
        <v>2.3E-2</v>
      </c>
      <c r="H53" s="42">
        <v>2.5899999999999999E-2</v>
      </c>
      <c r="I53" s="42">
        <v>2.5700000000000001E-2</v>
      </c>
      <c r="J53" s="44">
        <f t="shared" si="20"/>
        <v>2.5700000000000001E-2</v>
      </c>
      <c r="K53" s="39">
        <v>0</v>
      </c>
      <c r="L53" s="46">
        <f t="shared" si="21"/>
        <v>-1.9999999999999879E-4</v>
      </c>
      <c r="M53" s="46">
        <f t="shared" si="22"/>
        <v>-0.77220077220076755</v>
      </c>
      <c r="N53" s="47">
        <v>9619</v>
      </c>
      <c r="O53" s="37">
        <v>247.1</v>
      </c>
      <c r="P53" s="71">
        <f t="shared" ref="P53:P64" si="24">(R53)/J53</f>
        <v>0</v>
      </c>
      <c r="Q53" s="49">
        <f t="shared" si="23"/>
        <v>0.11739130434782608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317916301.56299996</v>
      </c>
      <c r="E54" s="39">
        <v>0</v>
      </c>
      <c r="F54" s="40" t="s">
        <v>47</v>
      </c>
      <c r="G54" s="70">
        <v>9.0200000000000002E-2</v>
      </c>
      <c r="H54" s="42">
        <v>0.14030000000000001</v>
      </c>
      <c r="I54" s="42">
        <v>0.14699999999999999</v>
      </c>
      <c r="J54" s="44">
        <f t="shared" si="20"/>
        <v>0.14699999999999999</v>
      </c>
      <c r="K54" s="39">
        <v>0</v>
      </c>
      <c r="L54" s="46">
        <f t="shared" si="21"/>
        <v>6.6999999999999837E-3</v>
      </c>
      <c r="M54" s="73">
        <f t="shared" si="22"/>
        <v>4.7754811119030531</v>
      </c>
      <c r="N54" s="47">
        <v>3088</v>
      </c>
      <c r="O54" s="37">
        <v>453.98</v>
      </c>
      <c r="P54" s="71">
        <f t="shared" si="24"/>
        <v>0</v>
      </c>
      <c r="Q54" s="49">
        <f t="shared" si="23"/>
        <v>0.62971175166297111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852774294.51499999</v>
      </c>
      <c r="E55" s="39">
        <v>0</v>
      </c>
      <c r="F55" s="40" t="s">
        <v>34</v>
      </c>
      <c r="G55" s="70">
        <v>0.95750000000000002</v>
      </c>
      <c r="H55" s="42">
        <v>1.4999</v>
      </c>
      <c r="I55" s="42">
        <v>1.4806999999999999</v>
      </c>
      <c r="J55" s="44">
        <f t="shared" si="20"/>
        <v>1.4806999999999999</v>
      </c>
      <c r="K55" s="39">
        <v>0</v>
      </c>
      <c r="L55" s="46">
        <f t="shared" si="21"/>
        <v>-1.9200000000000106E-2</v>
      </c>
      <c r="M55" s="46">
        <f t="shared" si="22"/>
        <v>-1.2800853390226086</v>
      </c>
      <c r="N55" s="47">
        <v>9023</v>
      </c>
      <c r="O55" s="37">
        <v>13360.44</v>
      </c>
      <c r="P55" s="72">
        <f t="shared" si="24"/>
        <v>3.1741743769838592E-2</v>
      </c>
      <c r="Q55" s="49">
        <f t="shared" si="23"/>
        <v>0.54642297650130534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0</v>
      </c>
      <c r="O56" s="37">
        <v>0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953802800</v>
      </c>
      <c r="D57" s="38">
        <f t="shared" si="19"/>
        <v>18313013.759999998</v>
      </c>
      <c r="E57" s="39">
        <v>0</v>
      </c>
      <c r="F57" s="40" t="s">
        <v>92</v>
      </c>
      <c r="G57" s="70">
        <v>1.6799999999999999E-2</v>
      </c>
      <c r="H57" s="42">
        <v>0.02</v>
      </c>
      <c r="I57" s="42">
        <v>1.9199999999999998E-2</v>
      </c>
      <c r="J57" s="44">
        <f t="shared" si="20"/>
        <v>1.9199999999999998E-2</v>
      </c>
      <c r="K57" s="39">
        <v>0</v>
      </c>
      <c r="L57" s="46">
        <f t="shared" si="21"/>
        <v>-8.000000000000021E-4</v>
      </c>
      <c r="M57" s="73">
        <f t="shared" si="22"/>
        <v>-4.0000000000000107</v>
      </c>
      <c r="N57" s="47">
        <v>553365</v>
      </c>
      <c r="O57" s="37">
        <v>10608.37</v>
      </c>
      <c r="P57" s="71">
        <f t="shared" si="24"/>
        <v>0</v>
      </c>
      <c r="Q57" s="49">
        <f t="shared" si="23"/>
        <v>0.14285714285714279</v>
      </c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2661004.5</v>
      </c>
      <c r="E58" s="39">
        <v>0</v>
      </c>
      <c r="F58" s="40" t="s">
        <v>137</v>
      </c>
      <c r="G58" s="70">
        <v>19.5</v>
      </c>
      <c r="H58" s="42">
        <v>16.5</v>
      </c>
      <c r="I58" s="42">
        <v>16.5</v>
      </c>
      <c r="J58" s="44">
        <f t="shared" si="20"/>
        <v>16.5</v>
      </c>
      <c r="K58" s="39">
        <v>0</v>
      </c>
      <c r="L58" s="46">
        <f t="shared" si="21"/>
        <v>0</v>
      </c>
      <c r="M58" s="46">
        <f t="shared" si="22"/>
        <v>0</v>
      </c>
      <c r="N58" s="47">
        <v>2</v>
      </c>
      <c r="O58" s="37">
        <v>33</v>
      </c>
      <c r="P58" s="71">
        <f t="shared" si="24"/>
        <v>0</v>
      </c>
      <c r="Q58" s="49">
        <f t="shared" si="23"/>
        <v>-0.15384615384615385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805090451</v>
      </c>
      <c r="D59" s="38">
        <f t="shared" si="19"/>
        <v>1126563068.0843</v>
      </c>
      <c r="E59" s="39">
        <v>0</v>
      </c>
      <c r="F59" s="40" t="s">
        <v>92</v>
      </c>
      <c r="G59" s="70">
        <v>0.59499999999999997</v>
      </c>
      <c r="H59" s="42">
        <v>1.45</v>
      </c>
      <c r="I59" s="42">
        <v>1.3993</v>
      </c>
      <c r="J59" s="44">
        <f t="shared" si="20"/>
        <v>1.3993</v>
      </c>
      <c r="K59" s="39">
        <v>0</v>
      </c>
      <c r="L59" s="46">
        <f t="shared" si="21"/>
        <v>-5.0699999999999967E-2</v>
      </c>
      <c r="M59" s="46">
        <f t="shared" si="22"/>
        <v>-3.4965517241379285</v>
      </c>
      <c r="N59" s="47">
        <v>195</v>
      </c>
      <c r="O59" s="37">
        <v>272.86</v>
      </c>
      <c r="P59" s="71">
        <f t="shared" si="24"/>
        <v>0</v>
      </c>
      <c r="Q59" s="49">
        <f t="shared" si="23"/>
        <v>1.3517647058823532</v>
      </c>
      <c r="R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260714518</v>
      </c>
      <c r="D60" s="38">
        <f t="shared" si="19"/>
        <v>93857226.479999989</v>
      </c>
      <c r="E60" s="39">
        <v>0</v>
      </c>
      <c r="F60" s="40" t="s">
        <v>34</v>
      </c>
      <c r="G60" s="70">
        <v>0.22600000000000001</v>
      </c>
      <c r="H60" s="42">
        <v>0.34960000000000002</v>
      </c>
      <c r="I60" s="42">
        <v>0.36</v>
      </c>
      <c r="J60" s="44">
        <f t="shared" si="20"/>
        <v>0.36</v>
      </c>
      <c r="K60" s="39">
        <v>0</v>
      </c>
      <c r="L60" s="46">
        <f t="shared" si="21"/>
        <v>1.0399999999999965E-2</v>
      </c>
      <c r="M60" s="46">
        <f t="shared" si="22"/>
        <v>2.9748283752860307</v>
      </c>
      <c r="N60" s="47">
        <v>54</v>
      </c>
      <c r="O60" s="37">
        <v>19.440000000000001</v>
      </c>
      <c r="P60" s="71">
        <f t="shared" si="24"/>
        <v>0</v>
      </c>
      <c r="Q60" s="49">
        <f t="shared" si="23"/>
        <v>0.5929203539823007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562184788</v>
      </c>
      <c r="D61" s="38">
        <f t="shared" si="19"/>
        <v>388919436.33840001</v>
      </c>
      <c r="E61" s="39">
        <v>0</v>
      </c>
      <c r="F61" s="40" t="s">
        <v>34</v>
      </c>
      <c r="G61" s="70">
        <v>0.49440000000000001</v>
      </c>
      <c r="H61" s="42">
        <v>0.69259999999999999</v>
      </c>
      <c r="I61" s="42">
        <v>0.69179999999999997</v>
      </c>
      <c r="J61" s="44">
        <f t="shared" si="20"/>
        <v>0.69179999999999997</v>
      </c>
      <c r="K61" s="39">
        <v>0</v>
      </c>
      <c r="L61" s="46">
        <f t="shared" si="21"/>
        <v>-8.0000000000002292E-4</v>
      </c>
      <c r="M61" s="46">
        <f t="shared" si="22"/>
        <v>-0.1155067860236822</v>
      </c>
      <c r="N61" s="47">
        <v>1751</v>
      </c>
      <c r="O61" s="37">
        <v>1211.3</v>
      </c>
      <c r="P61" s="71">
        <f t="shared" si="24"/>
        <v>0</v>
      </c>
      <c r="Q61" s="49">
        <f t="shared" si="23"/>
        <v>0.39927184466019416</v>
      </c>
      <c r="R61" s="52"/>
      <c r="T61" s="52"/>
    </row>
    <row r="62" spans="1:20" ht="12" customHeight="1" x14ac:dyDescent="0.2">
      <c r="A62" s="35" t="s">
        <v>144</v>
      </c>
      <c r="B62" s="36" t="s">
        <v>145</v>
      </c>
      <c r="C62" s="40">
        <v>364526035</v>
      </c>
      <c r="D62" s="38">
        <f t="shared" si="19"/>
        <v>89090162.953999996</v>
      </c>
      <c r="E62" s="39">
        <v>0</v>
      </c>
      <c r="F62" s="40" t="s">
        <v>34</v>
      </c>
      <c r="G62" s="70">
        <v>0.25950000000000001</v>
      </c>
      <c r="H62" s="42">
        <v>0.24440000000000001</v>
      </c>
      <c r="I62" s="42">
        <v>0.24440000000000001</v>
      </c>
      <c r="J62" s="44">
        <f t="shared" si="20"/>
        <v>0.24440000000000001</v>
      </c>
      <c r="K62" s="39">
        <v>0</v>
      </c>
      <c r="L62" s="46">
        <f t="shared" si="21"/>
        <v>0</v>
      </c>
      <c r="M62" s="46">
        <f t="shared" si="22"/>
        <v>0</v>
      </c>
      <c r="N62" s="47">
        <v>0</v>
      </c>
      <c r="O62" s="37">
        <v>0</v>
      </c>
      <c r="P62" s="71">
        <f t="shared" si="24"/>
        <v>0</v>
      </c>
      <c r="Q62" s="49">
        <f t="shared" si="23"/>
        <v>-5.8188824662813055E-2</v>
      </c>
      <c r="R62" s="52"/>
      <c r="T62" s="52"/>
    </row>
    <row r="63" spans="1:20" x14ac:dyDescent="0.2">
      <c r="A63" s="35" t="s">
        <v>146</v>
      </c>
      <c r="B63" s="36" t="s">
        <v>147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47">
        <v>0</v>
      </c>
      <c r="O63" s="37">
        <v>0</v>
      </c>
      <c r="P63" s="71">
        <f t="shared" si="24"/>
        <v>0</v>
      </c>
      <c r="Q63" s="49">
        <f t="shared" si="23"/>
        <v>0</v>
      </c>
      <c r="T63" s="52"/>
    </row>
    <row r="64" spans="1:20" x14ac:dyDescent="0.2">
      <c r="A64" s="35" t="s">
        <v>148</v>
      </c>
      <c r="B64" s="36" t="s">
        <v>149</v>
      </c>
      <c r="C64" s="40">
        <v>344580486</v>
      </c>
      <c r="D64" s="38">
        <f t="shared" si="19"/>
        <v>35078293.474799998</v>
      </c>
      <c r="E64" s="39">
        <v>0</v>
      </c>
      <c r="F64" s="40" t="s">
        <v>44</v>
      </c>
      <c r="G64" s="70">
        <v>4.2999999999999997E-2</v>
      </c>
      <c r="H64" s="42">
        <v>0.1022</v>
      </c>
      <c r="I64" s="42">
        <v>0.1018</v>
      </c>
      <c r="J64" s="44">
        <f t="shared" si="20"/>
        <v>0.1018</v>
      </c>
      <c r="K64" s="39">
        <v>0</v>
      </c>
      <c r="L64" s="46">
        <f t="shared" si="21"/>
        <v>-3.9999999999999758E-4</v>
      </c>
      <c r="M64" s="46">
        <f t="shared" si="22"/>
        <v>-0.39138943248532054</v>
      </c>
      <c r="N64" s="47">
        <v>2000</v>
      </c>
      <c r="O64" s="37">
        <v>203.65</v>
      </c>
      <c r="P64" s="71">
        <f t="shared" si="24"/>
        <v>0</v>
      </c>
      <c r="Q64" s="49">
        <f t="shared" si="23"/>
        <v>1.3674418604651164</v>
      </c>
      <c r="T64" s="52"/>
    </row>
    <row r="65" spans="1:20" ht="13.5" x14ac:dyDescent="0.3">
      <c r="A65" s="74"/>
      <c r="B65" s="36" t="s">
        <v>117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1083357</v>
      </c>
      <c r="O65" s="62">
        <f>SUM(O50:O64)</f>
        <v>821330.17999999993</v>
      </c>
      <c r="P65" s="77"/>
      <c r="Q65" s="63"/>
    </row>
    <row r="66" spans="1:20" ht="12.75" hidden="1" x14ac:dyDescent="0.25">
      <c r="A66" s="137" t="s">
        <v>150</v>
      </c>
      <c r="B66" s="138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40"/>
    </row>
    <row r="67" spans="1:20" ht="12.75" hidden="1" thickBot="1" x14ac:dyDescent="0.25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75" thickBot="1" x14ac:dyDescent="0.25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75" x14ac:dyDescent="0.25">
      <c r="A69" s="137" t="s">
        <v>154</v>
      </c>
      <c r="B69" s="138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</row>
    <row r="70" spans="1:20" x14ac:dyDescent="0.2">
      <c r="A70" s="35" t="s">
        <v>155</v>
      </c>
      <c r="B70" s="88" t="s">
        <v>156</v>
      </c>
      <c r="C70" s="89">
        <v>139300587</v>
      </c>
      <c r="D70" s="38">
        <f>C70*J70</f>
        <v>54132208.108199999</v>
      </c>
      <c r="E70" s="39">
        <f>C70*K70</f>
        <v>54132208.108199999</v>
      </c>
      <c r="F70" s="89" t="s">
        <v>157</v>
      </c>
      <c r="G70" s="89">
        <v>0.24</v>
      </c>
      <c r="H70" s="90">
        <v>0.39329999999999998</v>
      </c>
      <c r="I70" s="90">
        <v>0.3886</v>
      </c>
      <c r="J70" s="91">
        <f>I70</f>
        <v>0.3886</v>
      </c>
      <c r="K70" s="91">
        <f>J70</f>
        <v>0.3886</v>
      </c>
      <c r="L70" s="46">
        <f>I70-H70</f>
        <v>-4.699999999999982E-3</v>
      </c>
      <c r="M70" s="46">
        <f>((I70-H70)/H70)*100</f>
        <v>-1.1950165268243025</v>
      </c>
      <c r="N70" s="92">
        <v>629</v>
      </c>
      <c r="O70" s="93">
        <v>244.41</v>
      </c>
      <c r="P70" s="71">
        <f>(R70)/J70</f>
        <v>0</v>
      </c>
      <c r="Q70" s="49">
        <f>J70/G70-1</f>
        <v>0.61916666666666664</v>
      </c>
      <c r="T70" s="52"/>
    </row>
    <row r="71" spans="1:20" x14ac:dyDescent="0.2">
      <c r="A71" s="35" t="s">
        <v>158</v>
      </c>
      <c r="B71" s="88" t="s">
        <v>159</v>
      </c>
      <c r="C71" s="89">
        <v>471351750</v>
      </c>
      <c r="D71" s="38">
        <f>C71*J71</f>
        <v>70561356.974999994</v>
      </c>
      <c r="E71" s="39">
        <f>C71*K71</f>
        <v>70561356.974999994</v>
      </c>
      <c r="F71" s="89" t="s">
        <v>157</v>
      </c>
      <c r="G71" s="89">
        <v>0.1</v>
      </c>
      <c r="H71" s="90">
        <v>0.15</v>
      </c>
      <c r="I71" s="90">
        <v>0.1497</v>
      </c>
      <c r="J71" s="91">
        <f>I71</f>
        <v>0.1497</v>
      </c>
      <c r="K71" s="91">
        <f>J71</f>
        <v>0.1497</v>
      </c>
      <c r="L71" s="46">
        <f>I71-H71</f>
        <v>-2.9999999999999472E-4</v>
      </c>
      <c r="M71" s="46">
        <f>((I71-H71)/H71)*100</f>
        <v>-0.19999999999999649</v>
      </c>
      <c r="N71" s="47">
        <v>4640</v>
      </c>
      <c r="O71" s="93">
        <v>694.44</v>
      </c>
      <c r="P71" s="94">
        <f>(R71)/J71</f>
        <v>2.533066132264529E-2</v>
      </c>
      <c r="Q71" s="49">
        <f>J71/G71-1</f>
        <v>0.49699999999999989</v>
      </c>
      <c r="R71" s="5">
        <v>3.7919999999999998E-3</v>
      </c>
      <c r="T71" s="52"/>
    </row>
    <row r="72" spans="1:20" ht="14.25" thickBot="1" x14ac:dyDescent="0.35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5269</v>
      </c>
      <c r="O72" s="62">
        <f>SUM(O70:O71)</f>
        <v>938.85</v>
      </c>
      <c r="P72" s="87"/>
      <c r="Q72" s="63"/>
    </row>
    <row r="73" spans="1:20" ht="12.75" x14ac:dyDescent="0.25">
      <c r="A73" s="137" t="s">
        <v>160</v>
      </c>
      <c r="B73" s="138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40"/>
    </row>
    <row r="74" spans="1:20" x14ac:dyDescent="0.2">
      <c r="A74" s="35" t="s">
        <v>161</v>
      </c>
      <c r="B74" s="88" t="s">
        <v>162</v>
      </c>
      <c r="C74" s="89">
        <v>20819695</v>
      </c>
      <c r="D74" s="38">
        <f>C74*J74</f>
        <v>2633691.4175</v>
      </c>
      <c r="E74" s="39">
        <f>C74*K74</f>
        <v>2633691.4175</v>
      </c>
      <c r="F74" s="89" t="s">
        <v>137</v>
      </c>
      <c r="G74" s="89">
        <v>0.1394</v>
      </c>
      <c r="H74" s="90">
        <v>0.12709999999999999</v>
      </c>
      <c r="I74" s="90">
        <v>0.1265</v>
      </c>
      <c r="J74" s="91">
        <f>I74</f>
        <v>0.1265</v>
      </c>
      <c r="K74" s="91">
        <f>J74</f>
        <v>0.1265</v>
      </c>
      <c r="L74" s="46">
        <f>I74-H74</f>
        <v>-5.9999999999998943E-4</v>
      </c>
      <c r="M74" s="46">
        <f>((I74-H74)/H74)*100</f>
        <v>-0.47206923682139224</v>
      </c>
      <c r="N74" s="92">
        <v>1925</v>
      </c>
      <c r="O74" s="93">
        <v>243.51</v>
      </c>
      <c r="P74" s="71">
        <f>(R74)/J74</f>
        <v>0</v>
      </c>
      <c r="Q74" s="49">
        <f>J74/G74-1</f>
        <v>-9.253945480631276E-2</v>
      </c>
    </row>
    <row r="75" spans="1:20" ht="13.5" x14ac:dyDescent="0.3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75" x14ac:dyDescent="0.25">
      <c r="A76" s="133" t="s">
        <v>163</v>
      </c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6"/>
    </row>
    <row r="77" spans="1:20" x14ac:dyDescent="0.2">
      <c r="A77" s="35" t="s">
        <v>164</v>
      </c>
      <c r="B77" s="36" t="s">
        <v>165</v>
      </c>
      <c r="C77" s="40">
        <v>31703227</v>
      </c>
      <c r="D77" s="38">
        <f>C77*J77</f>
        <v>106983.81458026342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3.3745402188951751E-3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20000</v>
      </c>
      <c r="O77" s="37">
        <v>1800</v>
      </c>
      <c r="P77" s="40">
        <v>0</v>
      </c>
      <c r="Q77" s="49">
        <f>I77/G77-1</f>
        <v>-0.1428571428571429</v>
      </c>
    </row>
    <row r="78" spans="1:20" x14ac:dyDescent="0.2">
      <c r="A78" s="35" t="s">
        <v>166</v>
      </c>
      <c r="B78" s="36" t="s">
        <v>167</v>
      </c>
      <c r="C78" s="40">
        <v>136162052</v>
      </c>
      <c r="D78" s="38">
        <f>C78*J78</f>
        <v>395682.3701329194</v>
      </c>
      <c r="E78" s="39">
        <f>C78*K78</f>
        <v>335014.84178273019</v>
      </c>
      <c r="F78" s="40" t="s">
        <v>137</v>
      </c>
      <c r="G78" s="70">
        <v>4.2500000000000003E-2</v>
      </c>
      <c r="H78" s="42">
        <v>7.7503000000000002E-2</v>
      </c>
      <c r="I78" s="42">
        <v>7.7503000000000002E-2</v>
      </c>
      <c r="J78" s="44">
        <f>I78/$J$5</f>
        <v>2.9059665620559199E-3</v>
      </c>
      <c r="K78" s="45">
        <f>I78/$K$4</f>
        <v>2.4604126984126987E-3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0.82359999999999989</v>
      </c>
    </row>
    <row r="79" spans="1:20" x14ac:dyDescent="0.2">
      <c r="A79" s="35" t="s">
        <v>168</v>
      </c>
      <c r="B79" s="36" t="s">
        <v>169</v>
      </c>
      <c r="C79" s="40">
        <v>6677853</v>
      </c>
      <c r="D79" s="38">
        <f>C79*J79</f>
        <v>32550.09842408972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4.8743358717374761E-3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1900</v>
      </c>
      <c r="O79" s="37">
        <v>247</v>
      </c>
      <c r="P79" s="40">
        <v>0</v>
      </c>
      <c r="Q79" s="49">
        <f>I79/G79-1</f>
        <v>1.1487603305785123</v>
      </c>
    </row>
    <row r="80" spans="1:20" x14ac:dyDescent="0.2">
      <c r="A80" s="35" t="s">
        <v>170</v>
      </c>
      <c r="B80" s="36" t="s">
        <v>171</v>
      </c>
      <c r="C80" s="37">
        <v>494417400</v>
      </c>
      <c r="D80" s="38">
        <f>C80*J80</f>
        <v>28734096.354371719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5.8117081547639136E-2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5.75" thickBot="1" x14ac:dyDescent="0.35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21900</v>
      </c>
      <c r="O81" s="62">
        <f>SUM(O77:O80)</f>
        <v>2047</v>
      </c>
      <c r="P81" s="77"/>
      <c r="Q81" s="63"/>
      <c r="V81" s="96"/>
      <c r="W81" s="96"/>
      <c r="DU81" s="97"/>
      <c r="DV81" s="97"/>
      <c r="DW81" s="98"/>
      <c r="DX81" s="99"/>
      <c r="DY81" s="99"/>
      <c r="DZ81" s="100"/>
      <c r="EA81" s="100"/>
      <c r="EB81" s="101"/>
      <c r="EC81" s="101"/>
      <c r="ED81" s="102"/>
      <c r="EE81" s="102"/>
      <c r="EF81" s="100"/>
      <c r="EG81" s="103"/>
      <c r="EH81" s="104"/>
      <c r="EI81" s="98"/>
      <c r="EJ81" s="97"/>
      <c r="EK81" s="97"/>
      <c r="EL81" s="98"/>
      <c r="EM81" s="99"/>
      <c r="EN81" s="99"/>
      <c r="EO81" s="100"/>
      <c r="EP81" s="100"/>
      <c r="EQ81" s="101"/>
      <c r="ER81" s="101"/>
      <c r="ES81" s="102"/>
      <c r="ET81" s="102"/>
      <c r="EU81" s="100"/>
      <c r="EV81" s="103"/>
      <c r="EW81" s="104"/>
      <c r="EX81" s="98"/>
      <c r="EY81" s="97"/>
      <c r="EZ81" s="97"/>
      <c r="FA81" s="98"/>
      <c r="FB81" s="99"/>
      <c r="FC81" s="99"/>
      <c r="FD81" s="100"/>
      <c r="FE81" s="100"/>
      <c r="FF81" s="101"/>
      <c r="FG81" s="101"/>
      <c r="FH81" s="102"/>
      <c r="FI81" s="102"/>
      <c r="FJ81" s="100"/>
      <c r="FK81" s="103"/>
      <c r="FL81" s="104"/>
      <c r="FM81" s="98"/>
      <c r="FN81" s="97"/>
      <c r="FO81" s="97"/>
      <c r="FP81" s="98"/>
      <c r="FQ81" s="99"/>
      <c r="FR81" s="99"/>
      <c r="FS81" s="100"/>
      <c r="FT81" s="100"/>
      <c r="FU81" s="101"/>
      <c r="FV81" s="101"/>
      <c r="FW81" s="102"/>
      <c r="FX81" s="102"/>
      <c r="FY81" s="100"/>
      <c r="FZ81" s="103"/>
      <c r="GA81" s="104"/>
      <c r="GB81" s="98"/>
      <c r="GC81" s="97"/>
      <c r="GD81" s="97"/>
      <c r="GE81" s="98"/>
      <c r="GF81" s="99"/>
      <c r="GG81" s="99"/>
      <c r="GH81" s="100"/>
      <c r="GI81" s="100"/>
      <c r="GJ81" s="101"/>
      <c r="GK81" s="101"/>
      <c r="GL81" s="102"/>
      <c r="GM81" s="102"/>
      <c r="GN81" s="100"/>
      <c r="GO81" s="103"/>
      <c r="GP81" s="104"/>
      <c r="GQ81" s="98"/>
      <c r="GR81" s="97"/>
      <c r="GS81" s="97"/>
      <c r="GT81" s="98"/>
      <c r="GU81" s="99"/>
      <c r="GV81" s="99"/>
      <c r="GW81" s="100"/>
      <c r="GX81" s="100"/>
      <c r="GY81" s="101"/>
      <c r="GZ81" s="101"/>
      <c r="HA81" s="102"/>
      <c r="HB81" s="102"/>
      <c r="HC81" s="100"/>
      <c r="HD81" s="103"/>
      <c r="HE81" s="104"/>
      <c r="HF81" s="98"/>
      <c r="HG81" s="97"/>
      <c r="HH81" s="97"/>
      <c r="HI81" s="98"/>
      <c r="HJ81" s="99"/>
      <c r="HK81" s="99"/>
      <c r="HL81" s="100"/>
      <c r="HM81" s="100"/>
      <c r="HN81" s="101"/>
      <c r="HO81" s="101"/>
      <c r="HP81" s="102"/>
      <c r="HQ81" s="102"/>
      <c r="HR81" s="100"/>
      <c r="HS81" s="103"/>
      <c r="HT81" s="104"/>
      <c r="HU81" s="98"/>
      <c r="HV81" s="97"/>
      <c r="HW81" s="97"/>
      <c r="HX81" s="98"/>
      <c r="HY81" s="99"/>
      <c r="HZ81" s="99"/>
      <c r="IA81" s="100"/>
      <c r="IB81" s="100"/>
      <c r="IC81" s="101"/>
      <c r="ID81" s="101"/>
      <c r="IE81" s="102"/>
      <c r="IF81" s="102"/>
      <c r="IG81" s="100"/>
      <c r="IH81" s="103"/>
      <c r="II81" s="104"/>
    </row>
    <row r="82" spans="1:243" ht="13.5" thickTop="1" x14ac:dyDescent="0.25">
      <c r="A82" s="137" t="s">
        <v>172</v>
      </c>
      <c r="B82" s="138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40"/>
    </row>
    <row r="83" spans="1:243" x14ac:dyDescent="0.2">
      <c r="A83" s="35" t="s">
        <v>173</v>
      </c>
      <c r="B83" s="36" t="s">
        <v>174</v>
      </c>
      <c r="C83" s="40">
        <v>368326244</v>
      </c>
      <c r="D83" s="38">
        <f>C83*J83</f>
        <v>27344497.929157149</v>
      </c>
      <c r="E83" s="39">
        <f>C83*K83</f>
        <v>23151935.337142859</v>
      </c>
      <c r="F83" s="40" t="s">
        <v>175</v>
      </c>
      <c r="G83" s="40">
        <v>1.3</v>
      </c>
      <c r="H83" s="42">
        <v>1.98</v>
      </c>
      <c r="I83" s="42">
        <v>1.98</v>
      </c>
      <c r="J83" s="44">
        <f>I83/$J$5</f>
        <v>7.4239884815693852E-2</v>
      </c>
      <c r="K83" s="45">
        <f>I83/$K$4</f>
        <v>6.2857142857142861E-2</v>
      </c>
      <c r="L83" s="46">
        <f>I83-H83</f>
        <v>0</v>
      </c>
      <c r="M83" s="46">
        <f>((I83-H83)/H83*100)</f>
        <v>0</v>
      </c>
      <c r="N83" s="105">
        <v>0</v>
      </c>
      <c r="O83" s="106">
        <v>0</v>
      </c>
      <c r="P83" s="51">
        <f>(R83)/J83</f>
        <v>0</v>
      </c>
      <c r="Q83" s="49">
        <f>I83/G83-1</f>
        <v>0.52307692307692299</v>
      </c>
      <c r="R83" s="52"/>
    </row>
    <row r="84" spans="1:243" s="107" customFormat="1" ht="12.75" thickBot="1" x14ac:dyDescent="0.25">
      <c r="A84" s="35" t="s">
        <v>176</v>
      </c>
      <c r="B84" s="36" t="s">
        <v>177</v>
      </c>
      <c r="C84" s="40">
        <v>1841105000</v>
      </c>
      <c r="D84" s="38">
        <f>C84*J84</f>
        <v>75990253.603634</v>
      </c>
      <c r="E84" s="39">
        <f>C84*K84</f>
        <v>64339138.43444445</v>
      </c>
      <c r="F84" s="40" t="s">
        <v>175</v>
      </c>
      <c r="G84" s="40">
        <v>1.44347</v>
      </c>
      <c r="H84" s="42">
        <v>1.100784</v>
      </c>
      <c r="I84" s="42">
        <v>1.100797</v>
      </c>
      <c r="J84" s="44">
        <f>I84/$J$5</f>
        <v>4.127426388154614E-2</v>
      </c>
      <c r="K84" s="45">
        <f>I84/$K$4</f>
        <v>3.4945936507936509E-2</v>
      </c>
      <c r="L84" s="46">
        <f>I84-H84</f>
        <v>1.3000000000040757E-5</v>
      </c>
      <c r="M84" s="46">
        <f>((I84-H84)/H84*100)</f>
        <v>1.1809764676849188E-3</v>
      </c>
      <c r="N84" s="105">
        <v>1643131</v>
      </c>
      <c r="O84" s="106">
        <v>1808768.1975</v>
      </c>
      <c r="P84" s="48">
        <f>(R84)/J84</f>
        <v>5.2720504143815794E-2</v>
      </c>
      <c r="Q84" s="49">
        <f>I84/G84-1</f>
        <v>-0.23739530437071776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75" thickBot="1" x14ac:dyDescent="0.25">
      <c r="A85" s="78"/>
      <c r="B85" s="79"/>
      <c r="C85" s="80"/>
      <c r="D85" s="108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75" thickBot="1" x14ac:dyDescent="0.25">
      <c r="A86" s="109"/>
      <c r="B86" s="110"/>
      <c r="C86" s="110"/>
      <c r="D86" s="110"/>
      <c r="E86" s="110"/>
      <c r="F86" s="111"/>
      <c r="G86" s="111"/>
      <c r="H86" s="59"/>
      <c r="M86" s="112"/>
      <c r="N86" s="112"/>
      <c r="O86" s="59"/>
      <c r="P86" s="59"/>
      <c r="Q86" s="113"/>
    </row>
    <row r="87" spans="1:243" ht="15" customHeight="1" thickBot="1" x14ac:dyDescent="0.25">
      <c r="A87" s="141" t="s">
        <v>178</v>
      </c>
      <c r="B87" s="142"/>
      <c r="C87" s="142"/>
      <c r="D87" s="143"/>
      <c r="E87" s="141" t="s">
        <v>179</v>
      </c>
      <c r="F87" s="142"/>
      <c r="G87" s="142"/>
      <c r="H87" s="143"/>
      <c r="I87" s="52"/>
      <c r="J87" s="114" t="s">
        <v>180</v>
      </c>
      <c r="K87" s="115"/>
      <c r="L87" s="116"/>
      <c r="M87" s="114" t="s">
        <v>181</v>
      </c>
      <c r="N87" s="115"/>
      <c r="O87" s="116"/>
    </row>
    <row r="88" spans="1:243" ht="15" customHeight="1" x14ac:dyDescent="0.2">
      <c r="A88" s="35" t="s">
        <v>97</v>
      </c>
      <c r="B88" s="117">
        <v>3.77</v>
      </c>
      <c r="D88" s="117">
        <v>14.766769266737759</v>
      </c>
      <c r="E88" s="35" t="s">
        <v>99</v>
      </c>
      <c r="F88" s="118">
        <v>0.279229</v>
      </c>
      <c r="H88" s="119">
        <v>-14.83675181090355</v>
      </c>
      <c r="J88" s="35" t="s">
        <v>127</v>
      </c>
      <c r="K88" s="51">
        <v>0.14699999999999999</v>
      </c>
      <c r="L88" s="120">
        <v>4.7754811119030531</v>
      </c>
      <c r="M88" s="59" t="s">
        <v>133</v>
      </c>
      <c r="N88" s="118">
        <v>1.9199999999999998E-2</v>
      </c>
      <c r="O88" s="119">
        <v>-4.0000000000000107</v>
      </c>
    </row>
    <row r="89" spans="1:243" ht="15" customHeight="1" x14ac:dyDescent="0.2">
      <c r="A89" s="35" t="s">
        <v>105</v>
      </c>
      <c r="B89" s="117">
        <v>5.0999999999999997E-2</v>
      </c>
      <c r="D89" s="117">
        <v>1.999999999999988</v>
      </c>
      <c r="E89" s="35" t="s">
        <v>50</v>
      </c>
      <c r="F89" s="118">
        <v>5.0015970000000003</v>
      </c>
      <c r="H89" s="119">
        <v>-12.28749222676894</v>
      </c>
      <c r="J89" s="35" t="s">
        <v>121</v>
      </c>
      <c r="K89" s="51">
        <v>43.6477</v>
      </c>
      <c r="L89" s="120">
        <v>3.3235725090368589</v>
      </c>
      <c r="M89" s="59" t="s">
        <v>138</v>
      </c>
      <c r="N89" s="118">
        <v>1.3993</v>
      </c>
      <c r="O89" s="119">
        <v>-3.4965517241379285</v>
      </c>
    </row>
    <row r="90" spans="1:243" ht="15" customHeight="1" x14ac:dyDescent="0.2">
      <c r="A90" s="35" t="s">
        <v>79</v>
      </c>
      <c r="B90" s="117">
        <v>0.95</v>
      </c>
      <c r="C90" s="117"/>
      <c r="D90" s="117">
        <v>1.3578754535764854</v>
      </c>
      <c r="E90" s="35" t="s">
        <v>58</v>
      </c>
      <c r="F90" s="118">
        <v>11.966700000000001</v>
      </c>
      <c r="H90" s="119">
        <v>-11.357777777777768</v>
      </c>
      <c r="J90" s="35" t="s">
        <v>140</v>
      </c>
      <c r="K90" s="51">
        <v>0.36</v>
      </c>
      <c r="L90" s="120">
        <v>2.9748283752860307</v>
      </c>
      <c r="M90" s="35" t="s">
        <v>129</v>
      </c>
      <c r="N90" s="118">
        <v>1.4806999999999999</v>
      </c>
      <c r="O90" s="119">
        <v>-1.2800853390226086</v>
      </c>
    </row>
    <row r="91" spans="1:243" ht="15" customHeight="1" x14ac:dyDescent="0.2">
      <c r="A91" s="35" t="s">
        <v>95</v>
      </c>
      <c r="B91" s="117">
        <v>3.9363999999999996E-2</v>
      </c>
      <c r="C91" s="117"/>
      <c r="D91" s="117">
        <v>0.97993945923758008</v>
      </c>
      <c r="E91" s="35" t="s">
        <v>77</v>
      </c>
      <c r="F91" s="118">
        <v>2.75</v>
      </c>
      <c r="H91" s="119">
        <v>-5.1724137931034457</v>
      </c>
      <c r="J91" s="35" t="s">
        <v>119</v>
      </c>
      <c r="K91" s="51">
        <v>0.1492</v>
      </c>
      <c r="L91" s="120">
        <v>0.8789722785665961</v>
      </c>
      <c r="M91" s="35" t="s">
        <v>125</v>
      </c>
      <c r="N91" s="118">
        <v>2.5700000000000001E-2</v>
      </c>
      <c r="O91" s="119">
        <v>-0.77220077220076755</v>
      </c>
    </row>
    <row r="92" spans="1:243" ht="15" customHeight="1" x14ac:dyDescent="0.2">
      <c r="A92" s="35" t="s">
        <v>93</v>
      </c>
      <c r="B92" s="117">
        <v>5.3403719999999995</v>
      </c>
      <c r="C92" s="117"/>
      <c r="D92" s="117">
        <v>0.32008142267259221</v>
      </c>
      <c r="E92" s="35" t="s">
        <v>52</v>
      </c>
      <c r="F92" s="118">
        <v>32.026399999999995</v>
      </c>
      <c r="G92" s="118"/>
      <c r="H92" s="119">
        <v>-0.10604983094411181</v>
      </c>
      <c r="J92" s="35" t="s">
        <v>123</v>
      </c>
      <c r="K92" s="51">
        <v>0.22850000000000001</v>
      </c>
      <c r="L92" s="120">
        <v>0.70515645658881365</v>
      </c>
      <c r="M92" s="35" t="s">
        <v>148</v>
      </c>
      <c r="N92" s="118">
        <v>0.1018</v>
      </c>
      <c r="O92" s="119">
        <v>-0.39138943248532054</v>
      </c>
    </row>
    <row r="93" spans="1:243" ht="15.75" customHeight="1" thickBot="1" x14ac:dyDescent="0.25">
      <c r="A93" s="121"/>
      <c r="B93" s="122"/>
      <c r="C93" s="122"/>
      <c r="D93" s="122"/>
      <c r="E93" s="121"/>
      <c r="F93" s="122"/>
      <c r="G93" s="122"/>
      <c r="H93" s="123"/>
      <c r="J93" s="121"/>
      <c r="K93" s="122"/>
      <c r="L93" s="123"/>
      <c r="M93" s="122"/>
      <c r="N93" s="122"/>
      <c r="O93" s="123"/>
    </row>
    <row r="94" spans="1:243" x14ac:dyDescent="0.2">
      <c r="A94" s="124"/>
      <c r="B94" s="125"/>
      <c r="C94" s="125"/>
      <c r="D94" s="125"/>
      <c r="E94" s="112"/>
      <c r="F94" s="112"/>
      <c r="G94" s="112"/>
      <c r="H94" s="112"/>
      <c r="I94" s="112"/>
      <c r="J94" s="112"/>
      <c r="K94" s="112"/>
      <c r="L94" s="112"/>
      <c r="M94" s="125"/>
      <c r="Q94" s="16"/>
    </row>
    <row r="95" spans="1:243" x14ac:dyDescent="0.2">
      <c r="A95" s="12" t="s">
        <v>182</v>
      </c>
      <c r="B95" s="126"/>
      <c r="C95" s="126"/>
      <c r="D95" s="126"/>
      <c r="E95" s="126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">
      <c r="A96" s="124"/>
      <c r="B96" s="125"/>
      <c r="C96" s="125"/>
      <c r="D96" s="125"/>
      <c r="E96" s="125"/>
      <c r="F96" s="112"/>
      <c r="G96" s="112"/>
      <c r="H96" s="125"/>
      <c r="I96" s="112"/>
      <c r="J96" s="112"/>
      <c r="K96" s="112"/>
      <c r="L96" s="112"/>
      <c r="M96" s="125"/>
      <c r="Q96" s="16"/>
    </row>
    <row r="97" spans="1:17" ht="12.75" thickBot="1" x14ac:dyDescent="0.25">
      <c r="A97" s="127"/>
      <c r="B97" s="128"/>
      <c r="C97" s="128"/>
      <c r="D97" s="128"/>
      <c r="E97" s="128"/>
      <c r="F97" s="129"/>
      <c r="G97" s="129"/>
      <c r="H97" s="129"/>
      <c r="I97" s="130"/>
      <c r="J97" s="130"/>
      <c r="K97" s="130"/>
      <c r="L97" s="130"/>
      <c r="M97" s="130"/>
      <c r="N97" s="130"/>
      <c r="O97" s="130"/>
      <c r="P97" s="130"/>
      <c r="Q97" s="131"/>
    </row>
    <row r="98" spans="1:17" x14ac:dyDescent="0.2">
      <c r="I98" s="32"/>
      <c r="J98" s="32"/>
      <c r="K98" s="32"/>
      <c r="L98" s="32"/>
      <c r="M98" s="32"/>
      <c r="N98" s="32"/>
      <c r="O98" s="32"/>
      <c r="P98" s="32"/>
    </row>
    <row r="99" spans="1:17" x14ac:dyDescent="0.2">
      <c r="I99" s="32"/>
      <c r="J99" s="32"/>
      <c r="K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132"/>
      <c r="J101" s="132"/>
      <c r="K101" s="132"/>
      <c r="O101" s="132"/>
      <c r="P101" s="132"/>
    </row>
    <row r="103" spans="1:17" x14ac:dyDescent="0.2">
      <c r="I103" s="32"/>
      <c r="J103" s="32"/>
      <c r="K103" s="32"/>
      <c r="O103" s="32"/>
      <c r="P103" s="32"/>
    </row>
    <row r="104" spans="1:17" x14ac:dyDescent="0.2">
      <c r="I104" s="132"/>
      <c r="J104" s="132"/>
      <c r="K104" s="132"/>
      <c r="O104" s="132"/>
      <c r="P104" s="132"/>
    </row>
    <row r="105" spans="1:17" x14ac:dyDescent="0.2">
      <c r="I105" s="32"/>
      <c r="J105" s="32"/>
      <c r="K105" s="32"/>
      <c r="O105" s="32"/>
      <c r="P105" s="32"/>
    </row>
    <row r="106" spans="1:17" x14ac:dyDescent="0.2">
      <c r="I106" s="132"/>
      <c r="J106" s="132"/>
      <c r="K106" s="132"/>
      <c r="O106" s="132"/>
      <c r="P106" s="132"/>
    </row>
  </sheetData>
  <sheetProtection algorithmName="SHA-512" hashValue="vpkK9BrkdtuQck1VztqNhKmfxZqp75OEiRmL1l4YwrKpUTnIeJBy3EfF0U1WTAO/fN6lfKV3M8euEn8blyme6w==" saltValue="w/tU/qZKJE3UkByx+PI1kg==" spinCount="100000" sheet="1" objects="1" scenarios="1"/>
  <mergeCells count="10">
    <mergeCell ref="A76:Q76"/>
    <mergeCell ref="A82:Q82"/>
    <mergeCell ref="A87:D87"/>
    <mergeCell ref="E87:H87"/>
    <mergeCell ref="L5:M5"/>
    <mergeCell ref="A6:Q6"/>
    <mergeCell ref="A49:Q49"/>
    <mergeCell ref="A66:Q66"/>
    <mergeCell ref="A69:Q69"/>
    <mergeCell ref="A73:Q73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2026-08-03T13:52:10Z</dcterms:created>
  <dcterms:modified xsi:type="dcterms:W3CDTF">2026-08-03T13:53:25Z</dcterms:modified>
</cp:coreProperties>
</file>