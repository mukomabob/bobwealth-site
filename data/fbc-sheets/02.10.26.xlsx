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sokisit_fbc_co_zw/Documents/Desktop/ANALYSIS CORNER/PRICE SHEET SYSTEM/02.10.26/"/>
    </mc:Choice>
  </mc:AlternateContent>
  <xr:revisionPtr revIDLastSave="1" documentId="8_{25133C52-91F5-4C3B-9B3E-1C613B20B906}" xr6:coauthVersionLast="47" xr6:coauthVersionMax="47" xr10:uidLastSave="{5A978F57-9C3F-41F7-A70E-FF39A00B7F6B}"/>
  <bookViews>
    <workbookView xWindow="120" yWindow="720" windowWidth="28680" windowHeight="15480" xr2:uid="{49F8ED4C-D3E3-4284-9049-93D2CE4D920E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Q84" i="1"/>
  <c r="P84" i="1"/>
  <c r="M84" i="1"/>
  <c r="L84" i="1"/>
  <c r="K84" i="1"/>
  <c r="J84" i="1"/>
  <c r="E84" i="1"/>
  <c r="D84" i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J80" i="1"/>
  <c r="D80" i="1" s="1"/>
  <c r="E80" i="1"/>
  <c r="Q79" i="1"/>
  <c r="M79" i="1"/>
  <c r="L79" i="1"/>
  <c r="K79" i="1"/>
  <c r="E79" i="1" s="1"/>
  <c r="J79" i="1"/>
  <c r="D79" i="1"/>
  <c r="Q78" i="1"/>
  <c r="M78" i="1"/>
  <c r="L78" i="1"/>
  <c r="K78" i="1"/>
  <c r="E78" i="1" s="1"/>
  <c r="J78" i="1"/>
  <c r="D78" i="1"/>
  <c r="Q75" i="1"/>
  <c r="P75" i="1"/>
  <c r="M75" i="1"/>
  <c r="L75" i="1"/>
  <c r="K75" i="1"/>
  <c r="J75" i="1"/>
  <c r="E75" i="1"/>
  <c r="D75" i="1"/>
  <c r="O73" i="1"/>
  <c r="N73" i="1"/>
  <c r="Q72" i="1"/>
  <c r="P72" i="1"/>
  <c r="M72" i="1"/>
  <c r="L72" i="1"/>
  <c r="K72" i="1"/>
  <c r="J72" i="1"/>
  <c r="E72" i="1"/>
  <c r="D72" i="1"/>
  <c r="M71" i="1"/>
  <c r="L71" i="1"/>
  <c r="J71" i="1"/>
  <c r="Q71" i="1" s="1"/>
  <c r="D71" i="1"/>
  <c r="M68" i="1"/>
  <c r="L68" i="1"/>
  <c r="D68" i="1"/>
  <c r="O66" i="1"/>
  <c r="N66" i="1"/>
  <c r="M65" i="1"/>
  <c r="L65" i="1"/>
  <c r="J65" i="1"/>
  <c r="Q65" i="1" s="1"/>
  <c r="D65" i="1"/>
  <c r="Q64" i="1"/>
  <c r="M64" i="1"/>
  <c r="L64" i="1"/>
  <c r="J64" i="1"/>
  <c r="P64" i="1" s="1"/>
  <c r="D64" i="1"/>
  <c r="M63" i="1"/>
  <c r="L63" i="1"/>
  <c r="J63" i="1"/>
  <c r="Q63" i="1" s="1"/>
  <c r="D63" i="1"/>
  <c r="Q62" i="1"/>
  <c r="M62" i="1"/>
  <c r="L62" i="1"/>
  <c r="J62" i="1"/>
  <c r="P62" i="1" s="1"/>
  <c r="D62" i="1"/>
  <c r="M61" i="1"/>
  <c r="L61" i="1"/>
  <c r="J61" i="1"/>
  <c r="Q61" i="1" s="1"/>
  <c r="D61" i="1"/>
  <c r="Q60" i="1"/>
  <c r="M60" i="1"/>
  <c r="L60" i="1"/>
  <c r="J60" i="1"/>
  <c r="P60" i="1" s="1"/>
  <c r="D60" i="1"/>
  <c r="M59" i="1"/>
  <c r="L59" i="1"/>
  <c r="J59" i="1"/>
  <c r="Q59" i="1" s="1"/>
  <c r="D59" i="1"/>
  <c r="Q58" i="1"/>
  <c r="M58" i="1"/>
  <c r="L58" i="1"/>
  <c r="J58" i="1"/>
  <c r="P58" i="1" s="1"/>
  <c r="D58" i="1"/>
  <c r="M57" i="1"/>
  <c r="L57" i="1"/>
  <c r="J57" i="1"/>
  <c r="Q57" i="1" s="1"/>
  <c r="D57" i="1"/>
  <c r="Q56" i="1"/>
  <c r="M56" i="1"/>
  <c r="L56" i="1"/>
  <c r="J56" i="1"/>
  <c r="P56" i="1" s="1"/>
  <c r="D56" i="1"/>
  <c r="M55" i="1"/>
  <c r="L55" i="1"/>
  <c r="J55" i="1"/>
  <c r="Q55" i="1" s="1"/>
  <c r="D55" i="1"/>
  <c r="Q54" i="1"/>
  <c r="M54" i="1"/>
  <c r="L54" i="1"/>
  <c r="J54" i="1"/>
  <c r="P54" i="1" s="1"/>
  <c r="D54" i="1"/>
  <c r="P53" i="1"/>
  <c r="L53" i="1"/>
  <c r="J53" i="1"/>
  <c r="D53" i="1"/>
  <c r="Q52" i="1"/>
  <c r="M52" i="1"/>
  <c r="L52" i="1"/>
  <c r="J52" i="1"/>
  <c r="D52" i="1" s="1"/>
  <c r="M51" i="1"/>
  <c r="L51" i="1"/>
  <c r="J51" i="1"/>
  <c r="Q51" i="1" s="1"/>
  <c r="Q50" i="1"/>
  <c r="P50" i="1"/>
  <c r="M50" i="1"/>
  <c r="L50" i="1"/>
  <c r="J50" i="1"/>
  <c r="D50" i="1" s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E43" i="1" s="1"/>
  <c r="J43" i="1"/>
  <c r="D43" i="1"/>
  <c r="Q42" i="1"/>
  <c r="P42" i="1"/>
  <c r="M42" i="1"/>
  <c r="L42" i="1"/>
  <c r="K42" i="1"/>
  <c r="J42" i="1"/>
  <c r="E42" i="1"/>
  <c r="D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E40" i="1" s="1"/>
  <c r="J40" i="1"/>
  <c r="D40" i="1"/>
  <c r="Q39" i="1"/>
  <c r="P39" i="1"/>
  <c r="M39" i="1"/>
  <c r="L39" i="1"/>
  <c r="K39" i="1"/>
  <c r="J39" i="1"/>
  <c r="E39" i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E37" i="1" s="1"/>
  <c r="J37" i="1"/>
  <c r="D37" i="1" s="1"/>
  <c r="Q36" i="1"/>
  <c r="P36" i="1"/>
  <c r="M36" i="1"/>
  <c r="L36" i="1"/>
  <c r="K36" i="1"/>
  <c r="E36" i="1" s="1"/>
  <c r="J36" i="1"/>
  <c r="D36" i="1"/>
  <c r="Q35" i="1"/>
  <c r="P35" i="1"/>
  <c r="M35" i="1"/>
  <c r="L35" i="1"/>
  <c r="K35" i="1"/>
  <c r="J35" i="1"/>
  <c r="E35" i="1"/>
  <c r="D35" i="1"/>
  <c r="Q34" i="1"/>
  <c r="M34" i="1"/>
  <c r="L34" i="1"/>
  <c r="K34" i="1"/>
  <c r="E34" i="1" s="1"/>
  <c r="J34" i="1"/>
  <c r="D34" i="1" s="1"/>
  <c r="Q33" i="1"/>
  <c r="P33" i="1"/>
  <c r="M33" i="1"/>
  <c r="L33" i="1"/>
  <c r="K33" i="1"/>
  <c r="E33" i="1" s="1"/>
  <c r="J33" i="1"/>
  <c r="D33" i="1"/>
  <c r="Q32" i="1"/>
  <c r="P32" i="1"/>
  <c r="M32" i="1"/>
  <c r="L32" i="1"/>
  <c r="K32" i="1"/>
  <c r="J32" i="1"/>
  <c r="E32" i="1"/>
  <c r="D32" i="1"/>
  <c r="Q31" i="1"/>
  <c r="M31" i="1"/>
  <c r="L31" i="1"/>
  <c r="K31" i="1"/>
  <c r="E31" i="1" s="1"/>
  <c r="J31" i="1"/>
  <c r="D31" i="1" s="1"/>
  <c r="K30" i="1"/>
  <c r="J30" i="1"/>
  <c r="E30" i="1"/>
  <c r="D30" i="1"/>
  <c r="Q29" i="1"/>
  <c r="M29" i="1"/>
  <c r="L29" i="1"/>
  <c r="K29" i="1"/>
  <c r="E29" i="1" s="1"/>
  <c r="J29" i="1"/>
  <c r="D29" i="1" s="1"/>
  <c r="Q28" i="1"/>
  <c r="P28" i="1"/>
  <c r="M28" i="1"/>
  <c r="L28" i="1"/>
  <c r="K28" i="1"/>
  <c r="E28" i="1" s="1"/>
  <c r="J28" i="1"/>
  <c r="D28" i="1"/>
  <c r="Q27" i="1"/>
  <c r="P27" i="1"/>
  <c r="M27" i="1"/>
  <c r="L27" i="1"/>
  <c r="K27" i="1"/>
  <c r="J27" i="1"/>
  <c r="E27" i="1"/>
  <c r="D27" i="1"/>
  <c r="Q26" i="1"/>
  <c r="M26" i="1"/>
  <c r="L26" i="1"/>
  <c r="K26" i="1"/>
  <c r="E26" i="1" s="1"/>
  <c r="J26" i="1"/>
  <c r="D26" i="1" s="1"/>
  <c r="Q25" i="1"/>
  <c r="P25" i="1"/>
  <c r="M25" i="1"/>
  <c r="L25" i="1"/>
  <c r="K25" i="1"/>
  <c r="E25" i="1" s="1"/>
  <c r="J25" i="1"/>
  <c r="D25" i="1"/>
  <c r="R24" i="1"/>
  <c r="P24" i="1" s="1"/>
  <c r="Q24" i="1"/>
  <c r="M24" i="1"/>
  <c r="L24" i="1"/>
  <c r="K24" i="1"/>
  <c r="J24" i="1"/>
  <c r="E24" i="1"/>
  <c r="D24" i="1"/>
  <c r="Q23" i="1"/>
  <c r="P23" i="1"/>
  <c r="M23" i="1"/>
  <c r="L23" i="1"/>
  <c r="K23" i="1"/>
  <c r="E23" i="1" s="1"/>
  <c r="J23" i="1"/>
  <c r="D23" i="1"/>
  <c r="Q22" i="1"/>
  <c r="L22" i="1"/>
  <c r="K22" i="1"/>
  <c r="E22" i="1" s="1"/>
  <c r="J22" i="1"/>
  <c r="D22" i="1" s="1"/>
  <c r="Q21" i="1"/>
  <c r="P21" i="1"/>
  <c r="M21" i="1"/>
  <c r="L21" i="1"/>
  <c r="K21" i="1"/>
  <c r="J21" i="1"/>
  <c r="E21" i="1"/>
  <c r="D21" i="1"/>
  <c r="Q20" i="1"/>
  <c r="M20" i="1"/>
  <c r="L20" i="1"/>
  <c r="K20" i="1"/>
  <c r="J20" i="1"/>
  <c r="D20" i="1" s="1"/>
  <c r="E20" i="1"/>
  <c r="Q19" i="1"/>
  <c r="M19" i="1"/>
  <c r="L19" i="1"/>
  <c r="K19" i="1"/>
  <c r="E19" i="1" s="1"/>
  <c r="J19" i="1"/>
  <c r="P19" i="1" s="1"/>
  <c r="E18" i="1"/>
  <c r="D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E16" i="1" s="1"/>
  <c r="J16" i="1"/>
  <c r="D16" i="1"/>
  <c r="Q15" i="1"/>
  <c r="P15" i="1"/>
  <c r="M15" i="1"/>
  <c r="L15" i="1"/>
  <c r="K15" i="1"/>
  <c r="J15" i="1"/>
  <c r="E15" i="1"/>
  <c r="D15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E13" i="1" s="1"/>
  <c r="J13" i="1"/>
  <c r="D13" i="1"/>
  <c r="Q12" i="1"/>
  <c r="P12" i="1"/>
  <c r="M12" i="1"/>
  <c r="L12" i="1"/>
  <c r="K12" i="1"/>
  <c r="J12" i="1"/>
  <c r="E12" i="1"/>
  <c r="D12" i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E10" i="1" s="1"/>
  <c r="J10" i="1"/>
  <c r="D10" i="1"/>
  <c r="Q9" i="1"/>
  <c r="P9" i="1"/>
  <c r="M9" i="1"/>
  <c r="L9" i="1"/>
  <c r="K9" i="1"/>
  <c r="J9" i="1"/>
  <c r="E9" i="1"/>
  <c r="D9" i="1"/>
  <c r="D19" i="1" l="1"/>
  <c r="K71" i="1"/>
  <c r="E71" i="1" s="1"/>
  <c r="P26" i="1"/>
  <c r="P29" i="1"/>
  <c r="P31" i="1"/>
  <c r="P34" i="1"/>
  <c r="D51" i="1"/>
  <c r="D85" i="1"/>
  <c r="P55" i="1"/>
  <c r="P57" i="1"/>
  <c r="P59" i="1"/>
  <c r="P61" i="1"/>
  <c r="P63" i="1"/>
  <c r="P65" i="1"/>
  <c r="P71" i="1"/>
  <c r="P20" i="1"/>
  <c r="P51" i="1"/>
</calcChain>
</file>

<file path=xl/sharedStrings.xml><?xml version="1.0" encoding="utf-8"?>
<sst xmlns="http://schemas.openxmlformats.org/spreadsheetml/2006/main" count="273" uniqueCount="185">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</sst>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5" applyNumberFormat="1" applyFont="1" applyFill="1" applyBorder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5" borderId="0" xfId="4" applyNumberFormat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5" applyNumberFormat="1" applyFont="1" applyFill="1" applyBorder="1"/>
    <xf numFmtId="166" fontId="15" fillId="5" borderId="0" xfId="5" applyNumberFormat="1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5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164" fontId="15" fillId="5" borderId="5" xfId="3" applyFont="1" applyFill="1" applyBorder="1" applyAlignment="1"/>
    <xf numFmtId="164" fontId="15" fillId="5" borderId="0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C41B2CE7-5636-40B3-846A-B40C60EEB23F}"/>
    <cellStyle name="Comma 5 2 2 2 2 2 2 2 2 2 2 2 2 2" xfId="4" xr:uid="{CE0E6969-E8CA-4DE1-8779-DD28F7C69BB1}"/>
    <cellStyle name="Comma 6 2 2 2 2 2 2 2 2" xfId="5" xr:uid="{431A7DC0-0892-4574-AA0D-84D73B3E0C7D}"/>
    <cellStyle name="Hyperlink 2" xfId="8" xr:uid="{E340A125-A059-4EB0-B35B-6C0DFA8B4A35}"/>
    <cellStyle name="Normal" xfId="0" builtinId="0"/>
    <cellStyle name="Normal 2" xfId="2" xr:uid="{A7EE8034-7EAD-41B5-A3B4-43F95AF1F139}"/>
    <cellStyle name="Normal 20" xfId="7" xr:uid="{5151E23B-0EF0-42DD-80C0-015062D694CF}"/>
    <cellStyle name="Percent" xfId="1" builtinId="5"/>
    <cellStyle name="Percent 3" xfId="6" xr:uid="{5564FDFD-0575-4656-8CB6-19BD876C1A3A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32A78660-5BCE-48AB-9BF0-2745FA711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7DB72884-898C-4EDC-A365-F2CC7C2B3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9BBD-78ED-4D3E-B762-D55F849B1FDB}">
  <dimension ref="A1:II107"/>
  <sheetViews>
    <sheetView tabSelected="1" zoomScale="70" zoomScaleNormal="70" workbookViewId="0">
      <selection activeCell="V91" sqref="V91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6.28515625" style="5" hidden="1" customWidth="1"/>
    <col min="4" max="4" width="23.28515625" style="5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2" width="9.28515625" style="5" customWidth="1"/>
    <col min="23" max="23" width="9.85546875" style="5" bestFit="1" customWidth="1"/>
    <col min="24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9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26.7653</v>
      </c>
      <c r="K5" s="22"/>
      <c r="L5" s="148" t="s">
        <v>12</v>
      </c>
      <c r="M5" s="149"/>
      <c r="N5" s="23" t="s">
        <v>13</v>
      </c>
      <c r="O5" s="24"/>
      <c r="P5" s="24"/>
      <c r="Q5" s="25"/>
    </row>
    <row r="6" spans="1:19" ht="6.6" customHeight="1" x14ac:dyDescent="0.25">
      <c r="A6" s="138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9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81228085.347446129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0.64449118821758022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2.3274173913043476E-2</v>
      </c>
      <c r="Q9" s="49">
        <f t="shared" ref="Q9:Q17" si="6">I9/G9-1</f>
        <v>0.91890538962122492</v>
      </c>
      <c r="R9" s="50">
        <v>1.4999999999999999E-2</v>
      </c>
    </row>
    <row r="10" spans="1:19" x14ac:dyDescent="0.2">
      <c r="A10" s="35" t="s">
        <v>35</v>
      </c>
      <c r="B10" s="36" t="s">
        <v>36</v>
      </c>
      <c r="C10" s="37">
        <v>1627395595</v>
      </c>
      <c r="D10" s="38">
        <f t="shared" si="0"/>
        <v>5759511.2977016885</v>
      </c>
      <c r="E10" s="39">
        <f t="shared" si="1"/>
        <v>4817345.2417617189</v>
      </c>
      <c r="F10" s="40" t="s">
        <v>34</v>
      </c>
      <c r="G10" s="41">
        <v>3.1600000000000003E-2</v>
      </c>
      <c r="H10" s="42">
        <v>8.9800000000000005E-2</v>
      </c>
      <c r="I10" s="43">
        <v>9.4725000000000004E-2</v>
      </c>
      <c r="J10" s="44">
        <f t="shared" ref="J10:J17" si="7">I10/$J$5</f>
        <v>3.5390972639947993E-3</v>
      </c>
      <c r="K10" s="45">
        <f t="shared" si="2"/>
        <v>2.9601562500000001E-3</v>
      </c>
      <c r="L10" s="46">
        <f t="shared" si="3"/>
        <v>4.9249999999999988E-3</v>
      </c>
      <c r="M10" s="46">
        <f t="shared" si="4"/>
        <v>5.4844097995545642</v>
      </c>
      <c r="N10" s="51">
        <v>145100</v>
      </c>
      <c r="O10" s="37">
        <v>13744.64</v>
      </c>
      <c r="P10" s="52">
        <f t="shared" si="5"/>
        <v>0</v>
      </c>
      <c r="Q10" s="49">
        <f t="shared" si="6"/>
        <v>1.9976265822784809</v>
      </c>
      <c r="R10" s="50"/>
    </row>
    <row r="11" spans="1:19" x14ac:dyDescent="0.2">
      <c r="A11" s="35" t="s">
        <v>37</v>
      </c>
      <c r="B11" s="36" t="s">
        <v>38</v>
      </c>
      <c r="C11" s="37">
        <v>436977359</v>
      </c>
      <c r="D11" s="38">
        <f t="shared" si="0"/>
        <v>3330557.8953346307</v>
      </c>
      <c r="E11" s="39">
        <f t="shared" si="1"/>
        <v>2785730.663625</v>
      </c>
      <c r="F11" s="40" t="s">
        <v>39</v>
      </c>
      <c r="G11" s="41">
        <v>7.8E-2</v>
      </c>
      <c r="H11" s="42">
        <v>0.20399999999999999</v>
      </c>
      <c r="I11" s="43">
        <v>0.20399999999999999</v>
      </c>
      <c r="J11" s="44">
        <f t="shared" si="7"/>
        <v>7.6218088345731223E-3</v>
      </c>
      <c r="K11" s="45">
        <f t="shared" si="2"/>
        <v>6.3749999999999996E-3</v>
      </c>
      <c r="L11" s="46">
        <f t="shared" si="3"/>
        <v>0</v>
      </c>
      <c r="M11" s="46">
        <f t="shared" si="4"/>
        <v>0</v>
      </c>
      <c r="N11" s="51">
        <v>0</v>
      </c>
      <c r="O11" s="37">
        <v>0</v>
      </c>
      <c r="P11" s="52">
        <f t="shared" si="5"/>
        <v>0</v>
      </c>
      <c r="Q11" s="49">
        <f t="shared" si="6"/>
        <v>1.6153846153846154</v>
      </c>
      <c r="R11" s="50"/>
    </row>
    <row r="12" spans="1:19" x14ac:dyDescent="0.2">
      <c r="A12" s="35" t="s">
        <v>40</v>
      </c>
      <c r="B12" s="36" t="s">
        <v>41</v>
      </c>
      <c r="C12" s="37">
        <v>20633517</v>
      </c>
      <c r="D12" s="38">
        <f t="shared" si="0"/>
        <v>136561129.84889391</v>
      </c>
      <c r="E12" s="39">
        <f t="shared" si="1"/>
        <v>114221862.77326874</v>
      </c>
      <c r="F12" s="40" t="s">
        <v>34</v>
      </c>
      <c r="G12" s="41">
        <v>97.381</v>
      </c>
      <c r="H12" s="42">
        <v>177.1438</v>
      </c>
      <c r="I12" s="43">
        <v>177.1438</v>
      </c>
      <c r="J12" s="44">
        <f t="shared" si="7"/>
        <v>6.6184126462247761</v>
      </c>
      <c r="K12" s="45">
        <f t="shared" si="2"/>
        <v>5.53574375</v>
      </c>
      <c r="L12" s="46">
        <f t="shared" si="3"/>
        <v>0</v>
      </c>
      <c r="M12" s="46">
        <f t="shared" si="4"/>
        <v>0</v>
      </c>
      <c r="N12" s="51">
        <v>0</v>
      </c>
      <c r="O12" s="37">
        <v>0</v>
      </c>
      <c r="P12" s="52">
        <f t="shared" si="5"/>
        <v>0</v>
      </c>
      <c r="Q12" s="49">
        <f t="shared" si="6"/>
        <v>0.81907969727154173</v>
      </c>
      <c r="R12" s="50"/>
    </row>
    <row r="13" spans="1:19" x14ac:dyDescent="0.2">
      <c r="A13" s="35" t="s">
        <v>42</v>
      </c>
      <c r="B13" s="36" t="s">
        <v>43</v>
      </c>
      <c r="C13" s="37">
        <v>8735108</v>
      </c>
      <c r="D13" s="38">
        <f t="shared" si="0"/>
        <v>8800048.9571530297</v>
      </c>
      <c r="E13" s="39">
        <f t="shared" si="1"/>
        <v>7360498.4485277506</v>
      </c>
      <c r="F13" s="40" t="s">
        <v>44</v>
      </c>
      <c r="G13" s="41">
        <v>13.6</v>
      </c>
      <c r="H13" s="42">
        <v>27</v>
      </c>
      <c r="I13" s="43">
        <v>26.964286000000001</v>
      </c>
      <c r="J13" s="44">
        <f t="shared" si="7"/>
        <v>1.0074344767291978</v>
      </c>
      <c r="K13" s="45">
        <f t="shared" si="2"/>
        <v>0.84263393750000004</v>
      </c>
      <c r="L13" s="46">
        <f t="shared" si="3"/>
        <v>-3.5713999999998691E-2</v>
      </c>
      <c r="M13" s="46">
        <f t="shared" si="4"/>
        <v>-0.13227407407406924</v>
      </c>
      <c r="N13" s="51">
        <v>11200</v>
      </c>
      <c r="O13" s="37">
        <v>302000</v>
      </c>
      <c r="P13" s="52">
        <f t="shared" si="5"/>
        <v>0</v>
      </c>
      <c r="Q13" s="49">
        <f t="shared" si="6"/>
        <v>0.98266808823529428</v>
      </c>
      <c r="R13" s="50"/>
    </row>
    <row r="14" spans="1:19" x14ac:dyDescent="0.2">
      <c r="A14" s="35" t="s">
        <v>45</v>
      </c>
      <c r="B14" s="36" t="s">
        <v>46</v>
      </c>
      <c r="C14" s="37">
        <v>522661465</v>
      </c>
      <c r="D14" s="38">
        <f t="shared" si="0"/>
        <v>702941523.30272317</v>
      </c>
      <c r="E14" s="39">
        <f t="shared" si="1"/>
        <v>587951273.55169928</v>
      </c>
      <c r="F14" s="40" t="s">
        <v>47</v>
      </c>
      <c r="G14" s="41">
        <v>11.5</v>
      </c>
      <c r="H14" s="42">
        <v>36.998812999999998</v>
      </c>
      <c r="I14" s="43">
        <v>35.997375000000005</v>
      </c>
      <c r="J14" s="44">
        <f t="shared" si="7"/>
        <v>1.3449270137080476</v>
      </c>
      <c r="K14" s="45">
        <f t="shared" si="2"/>
        <v>1.1249179687500002</v>
      </c>
      <c r="L14" s="46">
        <f t="shared" si="3"/>
        <v>-1.0014379999999932</v>
      </c>
      <c r="M14" s="46">
        <f t="shared" si="4"/>
        <v>-2.7066760222821018</v>
      </c>
      <c r="N14" s="51">
        <v>400</v>
      </c>
      <c r="O14" s="37">
        <v>14398.95</v>
      </c>
      <c r="P14" s="52">
        <f t="shared" si="5"/>
        <v>0</v>
      </c>
      <c r="Q14" s="49">
        <f t="shared" si="6"/>
        <v>2.1302065217391308</v>
      </c>
      <c r="R14" s="50"/>
    </row>
    <row r="15" spans="1:19" x14ac:dyDescent="0.2">
      <c r="A15" s="35" t="s">
        <v>48</v>
      </c>
      <c r="B15" s="36" t="s">
        <v>49</v>
      </c>
      <c r="C15" s="37">
        <v>106040875</v>
      </c>
      <c r="D15" s="38">
        <f t="shared" si="0"/>
        <v>31417698.988989476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0.29627913754002383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1">
        <v>0</v>
      </c>
      <c r="O15" s="37">
        <v>0</v>
      </c>
      <c r="P15" s="52">
        <f t="shared" si="5"/>
        <v>0</v>
      </c>
      <c r="Q15" s="49">
        <f t="shared" si="6"/>
        <v>0.4712430426716141</v>
      </c>
      <c r="R15" s="50"/>
    </row>
    <row r="16" spans="1:19" x14ac:dyDescent="0.2">
      <c r="A16" s="35" t="s">
        <v>50</v>
      </c>
      <c r="B16" s="36" t="s">
        <v>51</v>
      </c>
      <c r="C16" s="37">
        <v>358000858</v>
      </c>
      <c r="D16" s="38">
        <f t="shared" si="0"/>
        <v>80253355.949681118</v>
      </c>
      <c r="E16" s="39">
        <f t="shared" si="1"/>
        <v>67125160.875</v>
      </c>
      <c r="F16" s="40" t="s">
        <v>34</v>
      </c>
      <c r="G16" s="41">
        <v>1.9</v>
      </c>
      <c r="H16" s="42">
        <v>6</v>
      </c>
      <c r="I16" s="43">
        <v>6</v>
      </c>
      <c r="J16" s="44">
        <f t="shared" si="7"/>
        <v>0.22417084807568008</v>
      </c>
      <c r="K16" s="45">
        <f t="shared" si="2"/>
        <v>0.1875</v>
      </c>
      <c r="L16" s="46">
        <f t="shared" si="3"/>
        <v>0</v>
      </c>
      <c r="M16" s="46">
        <f t="shared" si="4"/>
        <v>0</v>
      </c>
      <c r="N16" s="51">
        <v>0</v>
      </c>
      <c r="O16" s="37">
        <v>0</v>
      </c>
      <c r="P16" s="52">
        <f t="shared" si="5"/>
        <v>0.22304416666666668</v>
      </c>
      <c r="Q16" s="49">
        <f t="shared" si="6"/>
        <v>2.1578947368421053</v>
      </c>
      <c r="R16" s="50">
        <v>0.05</v>
      </c>
      <c r="S16" s="53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1632346621.0960345</v>
      </c>
      <c r="E17" s="39">
        <f t="shared" si="1"/>
        <v>1365320219.3006778</v>
      </c>
      <c r="F17" s="40" t="s">
        <v>34</v>
      </c>
      <c r="G17" s="41">
        <v>20.701700000000002</v>
      </c>
      <c r="H17" s="42">
        <v>32.500903999999998</v>
      </c>
      <c r="I17" s="43">
        <v>32.416862000000002</v>
      </c>
      <c r="J17" s="44">
        <f t="shared" si="7"/>
        <v>1.2111525744153813</v>
      </c>
      <c r="K17" s="45">
        <f t="shared" si="2"/>
        <v>1.0130269375000001</v>
      </c>
      <c r="L17" s="46">
        <f t="shared" si="3"/>
        <v>-8.4041999999996619E-2</v>
      </c>
      <c r="M17" s="46">
        <f t="shared" si="4"/>
        <v>-0.25858357662911968</v>
      </c>
      <c r="N17" s="51">
        <v>13800</v>
      </c>
      <c r="O17" s="37">
        <v>447352.7</v>
      </c>
      <c r="P17" s="48">
        <f t="shared" si="5"/>
        <v>0</v>
      </c>
      <c r="Q17" s="49">
        <f t="shared" si="6"/>
        <v>0.56590337991565898</v>
      </c>
      <c r="R17" s="50"/>
    </row>
    <row r="18" spans="1:19" ht="11.25" hidden="1" customHeight="1" x14ac:dyDescent="0.2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338921066.24995798</v>
      </c>
      <c r="E19" s="39">
        <f t="shared" si="1"/>
        <v>283478875.453125</v>
      </c>
      <c r="F19" s="40" t="s">
        <v>47</v>
      </c>
      <c r="G19" s="41">
        <v>12.45</v>
      </c>
      <c r="H19" s="42">
        <v>13.5</v>
      </c>
      <c r="I19" s="43">
        <v>13.5</v>
      </c>
      <c r="J19" s="44">
        <f t="shared" ref="J19:J45" si="8">I19/$J$5</f>
        <v>0.50438440817028019</v>
      </c>
      <c r="K19" s="45">
        <f t="shared" ref="K19:K45" si="9">I19/$K$4</f>
        <v>0.421875</v>
      </c>
      <c r="L19" s="46">
        <f t="shared" ref="L19:L29" si="10">I19-H19</f>
        <v>0</v>
      </c>
      <c r="M19" s="46">
        <f>((I19-H19)/H19)*100</f>
        <v>0</v>
      </c>
      <c r="N19" s="51">
        <v>100</v>
      </c>
      <c r="O19" s="37">
        <v>1350</v>
      </c>
      <c r="P19" s="52">
        <f>(R19)/J19</f>
        <v>0</v>
      </c>
      <c r="Q19" s="49">
        <f t="shared" ref="Q19:Q29" si="11">I19/G19-1</f>
        <v>8.4337349397590522E-2</v>
      </c>
      <c r="R19" s="50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3784701.1103929342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3.4746481451730413E-2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1.6571428571428575</v>
      </c>
      <c r="R20" s="50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74840940.757249117</v>
      </c>
      <c r="E21" s="39">
        <f t="shared" si="1"/>
        <v>62598132.239062496</v>
      </c>
      <c r="F21" s="40" t="s">
        <v>47</v>
      </c>
      <c r="G21" s="41">
        <v>2.85</v>
      </c>
      <c r="H21" s="42">
        <v>2.9024999999999999</v>
      </c>
      <c r="I21" s="43">
        <v>2.9024999999999999</v>
      </c>
      <c r="J21" s="44">
        <f t="shared" si="8"/>
        <v>0.10844264775661024</v>
      </c>
      <c r="K21" s="45">
        <f t="shared" si="9"/>
        <v>9.0703124999999996E-2</v>
      </c>
      <c r="L21" s="46">
        <f t="shared" si="10"/>
        <v>0</v>
      </c>
      <c r="M21" s="46">
        <f>((I21-H21)/H21)*100</f>
        <v>0</v>
      </c>
      <c r="N21" s="51">
        <v>300</v>
      </c>
      <c r="O21" s="37">
        <v>870.75</v>
      </c>
      <c r="P21" s="52">
        <f>(R21)/J21</f>
        <v>0</v>
      </c>
      <c r="Q21" s="49">
        <f t="shared" si="11"/>
        <v>1.8421052631578894E-2</v>
      </c>
      <c r="R21" s="50"/>
    </row>
    <row r="22" spans="1:19" ht="12" hidden="1" customHeight="1" x14ac:dyDescent="0.2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1984744.1903135779</v>
      </c>
      <c r="E23" s="39">
        <f t="shared" si="1"/>
        <v>1660071.05240625</v>
      </c>
      <c r="F23" s="40" t="s">
        <v>44</v>
      </c>
      <c r="G23" s="41">
        <v>0.1</v>
      </c>
      <c r="H23" s="42">
        <v>9.820000000000001E-2</v>
      </c>
      <c r="I23" s="43">
        <v>9.9000000000000005E-2</v>
      </c>
      <c r="J23" s="44">
        <f t="shared" si="8"/>
        <v>3.6988189932487215E-3</v>
      </c>
      <c r="K23" s="45">
        <f t="shared" si="9"/>
        <v>3.0937500000000001E-3</v>
      </c>
      <c r="L23" s="46">
        <f t="shared" si="10"/>
        <v>7.9999999999999516E-4</v>
      </c>
      <c r="M23" s="46">
        <f t="shared" ref="M23:M29" si="12">((I23-H23)/H23)*100</f>
        <v>0.81466395112015799</v>
      </c>
      <c r="N23" s="51">
        <v>1700</v>
      </c>
      <c r="O23" s="37">
        <v>168.3</v>
      </c>
      <c r="P23" s="52">
        <f t="shared" ref="P23:P29" si="13">(R23)/J23</f>
        <v>0</v>
      </c>
      <c r="Q23" s="49">
        <f t="shared" si="11"/>
        <v>-1.0000000000000009E-2</v>
      </c>
      <c r="R23" s="50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65629140.815981895</v>
      </c>
      <c r="E24" s="39">
        <f t="shared" si="1"/>
        <v>54893238.833812505</v>
      </c>
      <c r="F24" s="40" t="s">
        <v>34</v>
      </c>
      <c r="G24" s="41">
        <v>8.1687659999999997</v>
      </c>
      <c r="H24" s="42">
        <v>9.1005000000000003</v>
      </c>
      <c r="I24" s="43">
        <v>9.1005000000000003</v>
      </c>
      <c r="J24" s="44">
        <f t="shared" si="8"/>
        <v>0.34001113381878778</v>
      </c>
      <c r="K24" s="45">
        <f t="shared" si="9"/>
        <v>0.28439062500000001</v>
      </c>
      <c r="L24" s="46">
        <f t="shared" si="10"/>
        <v>0</v>
      </c>
      <c r="M24" s="46">
        <f t="shared" si="12"/>
        <v>0</v>
      </c>
      <c r="N24" s="51">
        <v>0</v>
      </c>
      <c r="O24" s="37">
        <v>0</v>
      </c>
      <c r="P24" s="48">
        <f t="shared" si="13"/>
        <v>4.4116202406461177E-2</v>
      </c>
      <c r="Q24" s="49">
        <f t="shared" si="11"/>
        <v>0.11406055700457096</v>
      </c>
      <c r="R24" s="50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107203668.08809826</v>
      </c>
      <c r="E25" s="39">
        <f t="shared" si="1"/>
        <v>89666823.046199247</v>
      </c>
      <c r="F25" s="40" t="s">
        <v>66</v>
      </c>
      <c r="G25" s="41">
        <v>1.6675</v>
      </c>
      <c r="H25" s="42">
        <v>1.700264</v>
      </c>
      <c r="I25" s="43">
        <v>1.700264</v>
      </c>
      <c r="J25" s="44">
        <f t="shared" si="8"/>
        <v>6.3524937138758023E-2</v>
      </c>
      <c r="K25" s="45">
        <f t="shared" si="9"/>
        <v>5.313325E-2</v>
      </c>
      <c r="L25" s="46">
        <f t="shared" si="10"/>
        <v>0</v>
      </c>
      <c r="M25" s="46">
        <f t="shared" si="12"/>
        <v>0</v>
      </c>
      <c r="N25" s="51">
        <v>0</v>
      </c>
      <c r="O25" s="37">
        <v>0</v>
      </c>
      <c r="P25" s="52">
        <f t="shared" si="13"/>
        <v>0</v>
      </c>
      <c r="Q25" s="49">
        <f t="shared" si="11"/>
        <v>1.9648575712143845E-2</v>
      </c>
      <c r="R25" s="50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22359931.235592354</v>
      </c>
      <c r="E26" s="39">
        <f t="shared" si="1"/>
        <v>18702195.859375</v>
      </c>
      <c r="F26" s="40" t="s">
        <v>44</v>
      </c>
      <c r="G26" s="41">
        <v>1.7994999999999999</v>
      </c>
      <c r="H26" s="42">
        <v>2.5</v>
      </c>
      <c r="I26" s="43">
        <v>2.5</v>
      </c>
      <c r="J26" s="44">
        <f t="shared" si="8"/>
        <v>9.3404520031533364E-2</v>
      </c>
      <c r="K26" s="45">
        <f t="shared" si="9"/>
        <v>7.8125E-2</v>
      </c>
      <c r="L26" s="46">
        <f t="shared" si="10"/>
        <v>0</v>
      </c>
      <c r="M26" s="46">
        <f t="shared" si="12"/>
        <v>0</v>
      </c>
      <c r="N26" s="51">
        <v>0</v>
      </c>
      <c r="O26" s="37">
        <v>0</v>
      </c>
      <c r="P26" s="52">
        <f t="shared" si="13"/>
        <v>0</v>
      </c>
      <c r="Q26" s="49">
        <f t="shared" si="11"/>
        <v>0.38927479855515434</v>
      </c>
      <c r="R26" s="50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23930029.765783269</v>
      </c>
      <c r="E27" s="39">
        <f t="shared" si="1"/>
        <v>20015450.802816216</v>
      </c>
      <c r="F27" s="40" t="s">
        <v>34</v>
      </c>
      <c r="G27" s="41">
        <v>3.1361369999999997</v>
      </c>
      <c r="H27" s="42">
        <v>2.5004589999999998</v>
      </c>
      <c r="I27" s="43">
        <v>2.5004589999999998</v>
      </c>
      <c r="J27" s="44">
        <f t="shared" si="8"/>
        <v>9.3421669101411142E-2</v>
      </c>
      <c r="K27" s="45">
        <f t="shared" si="9"/>
        <v>7.8139343749999993E-2</v>
      </c>
      <c r="L27" s="46">
        <f t="shared" si="10"/>
        <v>0</v>
      </c>
      <c r="M27" s="46">
        <f t="shared" si="12"/>
        <v>0</v>
      </c>
      <c r="N27" s="51">
        <v>0</v>
      </c>
      <c r="O27" s="37">
        <v>0</v>
      </c>
      <c r="P27" s="52">
        <f t="shared" si="13"/>
        <v>0</v>
      </c>
      <c r="Q27" s="49">
        <f t="shared" si="11"/>
        <v>-0.20269458891623682</v>
      </c>
      <c r="R27" s="50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33314207.544096269</v>
      </c>
      <c r="E28" s="39">
        <f t="shared" si="1"/>
        <v>27864523.724374998</v>
      </c>
      <c r="F28" s="40" t="s">
        <v>44</v>
      </c>
      <c r="G28" s="41">
        <v>0.8</v>
      </c>
      <c r="H28" s="42">
        <v>1.178086</v>
      </c>
      <c r="I28" s="43">
        <v>1.18</v>
      </c>
      <c r="J28" s="44">
        <f t="shared" si="8"/>
        <v>4.4086933454883744E-2</v>
      </c>
      <c r="K28" s="45">
        <f t="shared" si="9"/>
        <v>3.6874999999999998E-2</v>
      </c>
      <c r="L28" s="46">
        <f t="shared" si="10"/>
        <v>1.9139999999999713E-3</v>
      </c>
      <c r="M28" s="46">
        <f t="shared" si="12"/>
        <v>0.16246691667670879</v>
      </c>
      <c r="N28" s="51">
        <v>200</v>
      </c>
      <c r="O28" s="37">
        <v>236</v>
      </c>
      <c r="P28" s="52">
        <f t="shared" si="13"/>
        <v>0</v>
      </c>
      <c r="Q28" s="49">
        <f t="shared" si="11"/>
        <v>0.47499999999999987</v>
      </c>
      <c r="R28" s="50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98839307.800518498</v>
      </c>
      <c r="E29" s="39">
        <f t="shared" si="1"/>
        <v>82670741.408538058</v>
      </c>
      <c r="F29" s="40" t="s">
        <v>47</v>
      </c>
      <c r="G29" s="41">
        <v>5.15</v>
      </c>
      <c r="H29" s="42">
        <v>6.5</v>
      </c>
      <c r="I29" s="43">
        <v>5.8902009999999994</v>
      </c>
      <c r="J29" s="44">
        <f t="shared" si="8"/>
        <v>0.22006855891770313</v>
      </c>
      <c r="K29" s="45">
        <f t="shared" si="9"/>
        <v>0.18406878124999998</v>
      </c>
      <c r="L29" s="46">
        <f t="shared" si="10"/>
        <v>-0.60979900000000065</v>
      </c>
      <c r="M29" s="46">
        <f t="shared" si="12"/>
        <v>-9.381523076923088</v>
      </c>
      <c r="N29" s="51">
        <v>3028900</v>
      </c>
      <c r="O29" s="37">
        <v>17840831</v>
      </c>
      <c r="P29" s="52">
        <f t="shared" si="13"/>
        <v>0</v>
      </c>
      <c r="Q29" s="49">
        <f t="shared" si="11"/>
        <v>0.14372834951456293</v>
      </c>
      <c r="R29" s="50"/>
    </row>
    <row r="30" spans="1:19" ht="12" hidden="1" customHeight="1" x14ac:dyDescent="0.2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13893684.448521035</v>
      </c>
      <c r="E31" s="39">
        <f t="shared" si="1"/>
        <v>11620894.7615625</v>
      </c>
      <c r="F31" s="40" t="s">
        <v>39</v>
      </c>
      <c r="G31" s="41">
        <v>1.4</v>
      </c>
      <c r="H31" s="42">
        <v>1.431</v>
      </c>
      <c r="I31" s="43">
        <v>1.431</v>
      </c>
      <c r="J31" s="44">
        <f t="shared" si="8"/>
        <v>5.3464747266049703E-2</v>
      </c>
      <c r="K31" s="45">
        <f t="shared" si="9"/>
        <v>4.4718750000000002E-2</v>
      </c>
      <c r="L31" s="46">
        <f t="shared" ref="L31:L45" si="14">I31-H31</f>
        <v>0</v>
      </c>
      <c r="M31" s="46">
        <f t="shared" ref="M31:M45" si="15">((I31-H31)/H31)*100</f>
        <v>0</v>
      </c>
      <c r="N31" s="51">
        <v>0</v>
      </c>
      <c r="O31" s="37">
        <v>0</v>
      </c>
      <c r="P31" s="52">
        <f t="shared" ref="P31:P36" si="16">(R31)/J31</f>
        <v>0</v>
      </c>
      <c r="Q31" s="49">
        <f t="shared" ref="Q31:Q45" si="17">I31/G31-1</f>
        <v>2.2142857142857242E-2</v>
      </c>
      <c r="R31" s="50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4103317.4670188637</v>
      </c>
      <c r="E32" s="39">
        <f t="shared" si="1"/>
        <v>3432078.84375</v>
      </c>
      <c r="F32" s="40" t="s">
        <v>39</v>
      </c>
      <c r="G32" s="41">
        <v>0.65</v>
      </c>
      <c r="H32" s="42">
        <v>0.9</v>
      </c>
      <c r="I32" s="43">
        <v>0.9</v>
      </c>
      <c r="J32" s="44">
        <f t="shared" si="8"/>
        <v>3.362562721135201E-2</v>
      </c>
      <c r="K32" s="45">
        <f t="shared" si="9"/>
        <v>2.8125000000000001E-2</v>
      </c>
      <c r="L32" s="46">
        <f t="shared" si="14"/>
        <v>0</v>
      </c>
      <c r="M32" s="46">
        <f t="shared" si="15"/>
        <v>0</v>
      </c>
      <c r="N32" s="51">
        <v>0</v>
      </c>
      <c r="O32" s="37">
        <v>0</v>
      </c>
      <c r="P32" s="52">
        <f t="shared" si="16"/>
        <v>0</v>
      </c>
      <c r="Q32" s="49">
        <f t="shared" si="17"/>
        <v>0.38461538461538458</v>
      </c>
      <c r="R32" s="50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130530715.5234576</v>
      </c>
      <c r="E33" s="39">
        <f t="shared" si="1"/>
        <v>109177930.00624999</v>
      </c>
      <c r="F33" s="40" t="s">
        <v>92</v>
      </c>
      <c r="G33" s="41">
        <v>1.44</v>
      </c>
      <c r="H33" s="42">
        <v>1.244</v>
      </c>
      <c r="I33" s="43">
        <v>1.4</v>
      </c>
      <c r="J33" s="44">
        <f t="shared" si="8"/>
        <v>5.2306531217658679E-2</v>
      </c>
      <c r="K33" s="45">
        <f t="shared" si="9"/>
        <v>4.3749999999999997E-2</v>
      </c>
      <c r="L33" s="46">
        <f t="shared" si="14"/>
        <v>0.15599999999999992</v>
      </c>
      <c r="M33" s="46">
        <f t="shared" si="15"/>
        <v>12.540192926045011</v>
      </c>
      <c r="N33" s="51">
        <v>100</v>
      </c>
      <c r="O33" s="37">
        <v>140</v>
      </c>
      <c r="P33" s="52">
        <f t="shared" si="16"/>
        <v>0</v>
      </c>
      <c r="Q33" s="49">
        <f t="shared" si="17"/>
        <v>-2.777777777777779E-2</v>
      </c>
      <c r="R33" s="50">
        <v>0</v>
      </c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37154561.028981552</v>
      </c>
      <c r="E34" s="39">
        <f t="shared" si="1"/>
        <v>31076655.38465625</v>
      </c>
      <c r="F34" s="40" t="s">
        <v>34</v>
      </c>
      <c r="G34" s="41">
        <v>3.6056249999999999</v>
      </c>
      <c r="H34" s="42">
        <v>3.6142860000000003</v>
      </c>
      <c r="I34" s="43">
        <v>3.923</v>
      </c>
      <c r="J34" s="44">
        <f t="shared" si="8"/>
        <v>0.14657037283348215</v>
      </c>
      <c r="K34" s="45">
        <f t="shared" si="9"/>
        <v>0.12259375</v>
      </c>
      <c r="L34" s="46">
        <f t="shared" si="14"/>
        <v>0.30871399999999971</v>
      </c>
      <c r="M34" s="46">
        <f t="shared" si="15"/>
        <v>8.5414933959293666</v>
      </c>
      <c r="N34" s="51">
        <v>500</v>
      </c>
      <c r="O34" s="37">
        <v>1961.5</v>
      </c>
      <c r="P34" s="52">
        <f t="shared" si="16"/>
        <v>0</v>
      </c>
      <c r="Q34" s="49">
        <f t="shared" si="17"/>
        <v>8.8022187554168907E-2</v>
      </c>
      <c r="R34" s="50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11669107.683061277</v>
      </c>
      <c r="E35" s="39">
        <f t="shared" si="1"/>
        <v>9760223.9959199987</v>
      </c>
      <c r="F35" s="40" t="s">
        <v>34</v>
      </c>
      <c r="G35" s="41">
        <v>2.5099999999999997E-2</v>
      </c>
      <c r="H35" s="42">
        <v>6.7929000000000003E-2</v>
      </c>
      <c r="I35" s="43">
        <v>6.6239999999999993E-2</v>
      </c>
      <c r="J35" s="44">
        <f t="shared" si="8"/>
        <v>2.474846162755508E-3</v>
      </c>
      <c r="K35" s="45">
        <f t="shared" si="9"/>
        <v>2.0699999999999998E-3</v>
      </c>
      <c r="L35" s="46">
        <f t="shared" si="14"/>
        <v>-1.6890000000000099E-3</v>
      </c>
      <c r="M35" s="46">
        <f t="shared" si="15"/>
        <v>-2.4864196440401152</v>
      </c>
      <c r="N35" s="51">
        <v>12100</v>
      </c>
      <c r="O35" s="37">
        <v>801.5</v>
      </c>
      <c r="P35" s="52">
        <f t="shared" si="16"/>
        <v>0</v>
      </c>
      <c r="Q35" s="49">
        <f t="shared" si="17"/>
        <v>1.6390438247011954</v>
      </c>
      <c r="R35" s="50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69647688.872498721</v>
      </c>
      <c r="E36" s="39">
        <f t="shared" si="1"/>
        <v>58254415.218096562</v>
      </c>
      <c r="F36" s="40" t="s">
        <v>92</v>
      </c>
      <c r="G36" s="41">
        <v>0.61</v>
      </c>
      <c r="H36" s="42">
        <v>3.5</v>
      </c>
      <c r="I36" s="43">
        <v>3.5501299999999998</v>
      </c>
      <c r="J36" s="44">
        <f t="shared" si="8"/>
        <v>0.13263927547981902</v>
      </c>
      <c r="K36" s="45">
        <f t="shared" si="9"/>
        <v>0.11094156249999999</v>
      </c>
      <c r="L36" s="46">
        <f t="shared" si="14"/>
        <v>5.0129999999999786E-2</v>
      </c>
      <c r="M36" s="46">
        <f t="shared" si="15"/>
        <v>1.4322857142857082</v>
      </c>
      <c r="N36" s="51">
        <v>5000</v>
      </c>
      <c r="O36" s="37">
        <v>17750.650000000001</v>
      </c>
      <c r="P36" s="52">
        <f t="shared" si="16"/>
        <v>0</v>
      </c>
      <c r="Q36" s="49">
        <f t="shared" si="17"/>
        <v>4.8198852459016388</v>
      </c>
      <c r="R36" s="50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134133292.26777393</v>
      </c>
      <c r="E37" s="39">
        <f t="shared" si="1"/>
        <v>112191181.48545779</v>
      </c>
      <c r="F37" s="40" t="s">
        <v>56</v>
      </c>
      <c r="G37" s="41">
        <v>0.11650199999999999</v>
      </c>
      <c r="H37" s="42">
        <v>0.85433000000000003</v>
      </c>
      <c r="I37" s="43">
        <v>0.85584999999999989</v>
      </c>
      <c r="J37" s="44">
        <f t="shared" si="8"/>
        <v>3.1976103387595128E-2</v>
      </c>
      <c r="K37" s="45">
        <f t="shared" si="9"/>
        <v>2.6745312499999997E-2</v>
      </c>
      <c r="L37" s="46">
        <f t="shared" si="14"/>
        <v>1.5199999999998548E-3</v>
      </c>
      <c r="M37" s="46">
        <f t="shared" si="15"/>
        <v>0.17791719827231336</v>
      </c>
      <c r="N37" s="51">
        <v>5000</v>
      </c>
      <c r="O37" s="37">
        <v>4279.25</v>
      </c>
      <c r="P37" s="52">
        <v>0</v>
      </c>
      <c r="Q37" s="49">
        <f t="shared" si="17"/>
        <v>6.3462258158658216</v>
      </c>
      <c r="R37" s="50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22735311.629572615</v>
      </c>
      <c r="E38" s="39">
        <f t="shared" si="1"/>
        <v>19016169.886218749</v>
      </c>
      <c r="F38" s="40" t="s">
        <v>39</v>
      </c>
      <c r="G38" s="41">
        <v>0.1</v>
      </c>
      <c r="H38" s="42">
        <v>0.14099999999999999</v>
      </c>
      <c r="I38" s="43">
        <v>0.14099999999999999</v>
      </c>
      <c r="J38" s="44">
        <f t="shared" si="8"/>
        <v>5.2680149297784813E-3</v>
      </c>
      <c r="K38" s="45">
        <f t="shared" si="9"/>
        <v>4.4062499999999996E-3</v>
      </c>
      <c r="L38" s="46">
        <f t="shared" si="14"/>
        <v>0</v>
      </c>
      <c r="M38" s="46">
        <f t="shared" si="15"/>
        <v>0</v>
      </c>
      <c r="N38" s="51">
        <v>0</v>
      </c>
      <c r="O38" s="37">
        <v>0</v>
      </c>
      <c r="P38" s="52">
        <f t="shared" ref="P38:P44" si="18">(R38)/J38</f>
        <v>0</v>
      </c>
      <c r="Q38" s="49">
        <f t="shared" si="17"/>
        <v>0.4099999999999997</v>
      </c>
      <c r="R38" s="50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7956140.0021669846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7.4723616025226688E-2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1">
        <v>0</v>
      </c>
      <c r="O39" s="37">
        <v>0</v>
      </c>
      <c r="P39" s="52">
        <f t="shared" si="18"/>
        <v>0</v>
      </c>
      <c r="Q39" s="49">
        <f t="shared" si="17"/>
        <v>0.14597550591953667</v>
      </c>
      <c r="R39" s="50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4187241.092426538</v>
      </c>
      <c r="E40" s="39">
        <f t="shared" si="1"/>
        <v>3502273.8753476255</v>
      </c>
      <c r="F40" s="40" t="s">
        <v>39</v>
      </c>
      <c r="G40" s="41">
        <v>0.03</v>
      </c>
      <c r="H40" s="42">
        <v>6.2996999999999997E-2</v>
      </c>
      <c r="I40" s="43">
        <v>6.3033000000000006E-2</v>
      </c>
      <c r="J40" s="44">
        <f t="shared" si="8"/>
        <v>2.3550268444590574E-3</v>
      </c>
      <c r="K40" s="45">
        <f t="shared" si="9"/>
        <v>1.9697812500000002E-3</v>
      </c>
      <c r="L40" s="46">
        <f t="shared" si="14"/>
        <v>3.6000000000008248E-5</v>
      </c>
      <c r="M40" s="46">
        <f t="shared" si="15"/>
        <v>5.714557836088742E-2</v>
      </c>
      <c r="N40" s="51">
        <v>29300</v>
      </c>
      <c r="O40" s="37">
        <v>1846.86</v>
      </c>
      <c r="P40" s="52">
        <f t="shared" si="18"/>
        <v>0</v>
      </c>
      <c r="Q40" s="49">
        <f t="shared" si="17"/>
        <v>1.1011000000000002</v>
      </c>
      <c r="R40" s="50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47127161.750475429</v>
      </c>
      <c r="E41" s="39">
        <f t="shared" si="1"/>
        <v>39417894.450000003</v>
      </c>
      <c r="F41" s="40" t="s">
        <v>47</v>
      </c>
      <c r="G41" s="41">
        <v>4.5</v>
      </c>
      <c r="H41" s="42">
        <v>7.2</v>
      </c>
      <c r="I41" s="43">
        <v>7.2</v>
      </c>
      <c r="J41" s="44">
        <f t="shared" si="8"/>
        <v>0.26900501769081608</v>
      </c>
      <c r="K41" s="45">
        <f t="shared" si="9"/>
        <v>0.22500000000000001</v>
      </c>
      <c r="L41" s="46">
        <f t="shared" si="14"/>
        <v>0</v>
      </c>
      <c r="M41" s="46">
        <f t="shared" si="15"/>
        <v>0</v>
      </c>
      <c r="N41" s="51">
        <v>0</v>
      </c>
      <c r="O41" s="37">
        <v>0</v>
      </c>
      <c r="P41" s="52">
        <f t="shared" si="18"/>
        <v>0</v>
      </c>
      <c r="Q41" s="49">
        <f t="shared" si="17"/>
        <v>0.60000000000000009</v>
      </c>
      <c r="R41" s="50"/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311.6003892353159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6.7251254422704029E-7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1549468.9018991007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2.6900501769081611E-3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20000</v>
      </c>
      <c r="O43" s="37">
        <v>1440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47774428.361028418</v>
      </c>
      <c r="E44" s="39">
        <f t="shared" si="1"/>
        <v>39959278.35660731</v>
      </c>
      <c r="F44" s="40" t="s">
        <v>47</v>
      </c>
      <c r="G44" s="41">
        <v>0.9998999999999999</v>
      </c>
      <c r="H44" s="42">
        <v>0.77</v>
      </c>
      <c r="I44" s="43">
        <v>0.70326899999999992</v>
      </c>
      <c r="J44" s="44">
        <f t="shared" si="8"/>
        <v>2.6275401359222572E-2</v>
      </c>
      <c r="K44" s="45">
        <f t="shared" si="9"/>
        <v>2.1977156249999998E-2</v>
      </c>
      <c r="L44" s="46">
        <f t="shared" si="14"/>
        <v>-6.6731000000000096E-2</v>
      </c>
      <c r="M44" s="46">
        <f t="shared" si="15"/>
        <v>-8.6663636363636485</v>
      </c>
      <c r="N44" s="51">
        <v>10400</v>
      </c>
      <c r="O44" s="37">
        <v>7314</v>
      </c>
      <c r="P44" s="52">
        <f t="shared" si="18"/>
        <v>0</v>
      </c>
      <c r="Q44" s="49">
        <f t="shared" si="17"/>
        <v>-0.29666066606660668</v>
      </c>
      <c r="R44" s="50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17268864.537292689</v>
      </c>
      <c r="E45" s="39">
        <f t="shared" si="1"/>
        <v>14443948.125</v>
      </c>
      <c r="F45" s="40" t="s">
        <v>47</v>
      </c>
      <c r="G45" s="41">
        <v>1.4503460000000001</v>
      </c>
      <c r="H45" s="42">
        <v>4.5</v>
      </c>
      <c r="I45" s="43">
        <v>4.5</v>
      </c>
      <c r="J45" s="44">
        <f t="shared" si="8"/>
        <v>0.16812813605676005</v>
      </c>
      <c r="K45" s="45">
        <f t="shared" si="9"/>
        <v>0.140625</v>
      </c>
      <c r="L45" s="46">
        <f t="shared" si="14"/>
        <v>0</v>
      </c>
      <c r="M45" s="46">
        <f t="shared" si="15"/>
        <v>0</v>
      </c>
      <c r="N45" s="51">
        <v>0</v>
      </c>
      <c r="O45" s="37">
        <v>0</v>
      </c>
      <c r="P45" s="52">
        <v>0</v>
      </c>
      <c r="Q45" s="49">
        <f t="shared" si="17"/>
        <v>2.1027079055618452</v>
      </c>
      <c r="R45" s="50"/>
    </row>
    <row r="46" spans="1:18" ht="12" customHeight="1" x14ac:dyDescent="0.2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35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3284100</v>
      </c>
      <c r="O47" s="62">
        <f>SUM(O9:O45)</f>
        <v>18656486.099999998</v>
      </c>
      <c r="P47" s="63"/>
      <c r="Q47" s="64"/>
    </row>
    <row r="48" spans="1:18" ht="13.5" customHeight="1" x14ac:dyDescent="0.3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25">
      <c r="A49" s="134" t="s">
        <v>118</v>
      </c>
      <c r="B49" s="135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</row>
    <row r="50" spans="1:20" ht="11.45" customHeight="1" x14ac:dyDescent="0.2">
      <c r="A50" s="35" t="s">
        <v>119</v>
      </c>
      <c r="B50" s="36" t="s">
        <v>120</v>
      </c>
      <c r="C50" s="40">
        <v>566299374</v>
      </c>
      <c r="D50" s="38">
        <f t="shared" ref="D50:D65" si="19">C50*J50</f>
        <v>93156247.023000002</v>
      </c>
      <c r="E50" s="39">
        <v>0</v>
      </c>
      <c r="F50" s="40" t="s">
        <v>92</v>
      </c>
      <c r="G50" s="71">
        <v>0.1</v>
      </c>
      <c r="H50" s="42">
        <v>0.16420000000000001</v>
      </c>
      <c r="I50" s="42">
        <v>0.16450000000000001</v>
      </c>
      <c r="J50" s="44">
        <f t="shared" ref="J50:J65" si="20">I50</f>
        <v>0.16450000000000001</v>
      </c>
      <c r="K50" s="39">
        <v>0</v>
      </c>
      <c r="L50" s="46">
        <f t="shared" ref="L50:L65" si="21">I50-H50</f>
        <v>2.9999999999999472E-4</v>
      </c>
      <c r="M50" s="46">
        <f t="shared" ref="M50:M65" si="22">((I50-H50)/H50)*100</f>
        <v>0.18270401948842552</v>
      </c>
      <c r="N50" s="51">
        <v>751</v>
      </c>
      <c r="O50" s="37">
        <v>123.53</v>
      </c>
      <c r="P50" s="72">
        <f>(R50)/J50</f>
        <v>0</v>
      </c>
      <c r="Q50" s="49">
        <f t="shared" ref="Q50:Q65" si="23">J50/G50-1</f>
        <v>0.64500000000000002</v>
      </c>
      <c r="T50" s="53"/>
    </row>
    <row r="51" spans="1:20" ht="12" customHeight="1" x14ac:dyDescent="0.2">
      <c r="A51" s="35" t="s">
        <v>121</v>
      </c>
      <c r="B51" s="36" t="s">
        <v>122</v>
      </c>
      <c r="C51" s="40">
        <v>1111906</v>
      </c>
      <c r="D51" s="38">
        <f t="shared" si="19"/>
        <v>44413973.264000006</v>
      </c>
      <c r="E51" s="39">
        <v>0</v>
      </c>
      <c r="F51" s="40" t="s">
        <v>39</v>
      </c>
      <c r="G51" s="71">
        <v>39.9</v>
      </c>
      <c r="H51" s="42">
        <v>39.811500000000002</v>
      </c>
      <c r="I51" s="42">
        <v>39.944000000000003</v>
      </c>
      <c r="J51" s="44">
        <f t="shared" si="20"/>
        <v>39.944000000000003</v>
      </c>
      <c r="K51" s="39">
        <v>0</v>
      </c>
      <c r="L51" s="46">
        <f t="shared" si="21"/>
        <v>0.13250000000000028</v>
      </c>
      <c r="M51" s="46">
        <f t="shared" si="22"/>
        <v>0.33281840674177132</v>
      </c>
      <c r="N51" s="51">
        <v>888</v>
      </c>
      <c r="O51" s="37">
        <v>35470.300000000003</v>
      </c>
      <c r="P51" s="73">
        <f>(R51)/J51</f>
        <v>1.4019627478469859E-2</v>
      </c>
      <c r="Q51" s="49">
        <f t="shared" si="23"/>
        <v>1.1027568922306052E-3</v>
      </c>
      <c r="R51" s="53">
        <v>0.56000000000000005</v>
      </c>
      <c r="T51" s="53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677724965.47950006</v>
      </c>
      <c r="E52" s="39"/>
      <c r="F52" s="40" t="s">
        <v>56</v>
      </c>
      <c r="G52" s="71">
        <v>0.33</v>
      </c>
      <c r="H52" s="42">
        <v>0.22969999999999999</v>
      </c>
      <c r="I52" s="42">
        <v>0.22650000000000001</v>
      </c>
      <c r="J52" s="44">
        <f t="shared" si="20"/>
        <v>0.22650000000000001</v>
      </c>
      <c r="K52" s="39">
        <v>0</v>
      </c>
      <c r="L52" s="46">
        <f t="shared" si="21"/>
        <v>-3.1999999999999806E-3</v>
      </c>
      <c r="M52" s="46">
        <f t="shared" si="22"/>
        <v>-1.3931214627775275</v>
      </c>
      <c r="N52" s="51">
        <v>171772266</v>
      </c>
      <c r="O52" s="37">
        <v>38875132.990000002</v>
      </c>
      <c r="P52" s="72">
        <v>0</v>
      </c>
      <c r="Q52" s="49">
        <f t="shared" si="23"/>
        <v>-0.3136363636363636</v>
      </c>
      <c r="R52" s="53"/>
      <c r="T52" s="53"/>
    </row>
    <row r="53" spans="1:20" ht="7.5" hidden="1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1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4" t="s">
        <v>57</v>
      </c>
      <c r="O53" s="74" t="s">
        <v>57</v>
      </c>
      <c r="P53" s="72" t="e">
        <f t="shared" ref="P53:P65" si="24">(R53)/J53</f>
        <v>#DIV/0!</v>
      </c>
      <c r="Q53" s="49">
        <v>0</v>
      </c>
      <c r="T53" s="53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334352790.62339997</v>
      </c>
      <c r="E54" s="39">
        <v>0</v>
      </c>
      <c r="F54" s="40" t="s">
        <v>47</v>
      </c>
      <c r="G54" s="71">
        <v>9.0200000000000002E-2</v>
      </c>
      <c r="H54" s="42">
        <v>0.15140000000000001</v>
      </c>
      <c r="I54" s="42">
        <v>0.15459999999999999</v>
      </c>
      <c r="J54" s="44">
        <f t="shared" si="20"/>
        <v>0.15459999999999999</v>
      </c>
      <c r="K54" s="39">
        <v>0</v>
      </c>
      <c r="L54" s="46">
        <f t="shared" si="21"/>
        <v>3.1999999999999806E-3</v>
      </c>
      <c r="M54" s="75">
        <f t="shared" si="22"/>
        <v>2.1136063408190098</v>
      </c>
      <c r="N54" s="51">
        <v>81187</v>
      </c>
      <c r="O54" s="37">
        <v>12555</v>
      </c>
      <c r="P54" s="72">
        <f t="shared" si="24"/>
        <v>0</v>
      </c>
      <c r="Q54" s="49">
        <f t="shared" si="23"/>
        <v>0.7139689578713968</v>
      </c>
      <c r="R54" s="53"/>
      <c r="T54" s="53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864235230.87</v>
      </c>
      <c r="E55" s="39">
        <v>0</v>
      </c>
      <c r="F55" s="40" t="s">
        <v>34</v>
      </c>
      <c r="G55" s="71">
        <v>0.95750000000000002</v>
      </c>
      <c r="H55" s="42">
        <v>1.5085999999999999</v>
      </c>
      <c r="I55" s="42">
        <v>1.5005999999999999</v>
      </c>
      <c r="J55" s="44">
        <f t="shared" si="20"/>
        <v>1.5005999999999999</v>
      </c>
      <c r="K55" s="39">
        <v>0</v>
      </c>
      <c r="L55" s="46">
        <f t="shared" si="21"/>
        <v>-8.0000000000000071E-3</v>
      </c>
      <c r="M55" s="46">
        <f t="shared" si="22"/>
        <v>-0.53029298687524906</v>
      </c>
      <c r="N55" s="51">
        <v>413709</v>
      </c>
      <c r="O55" s="37">
        <v>620807.88</v>
      </c>
      <c r="P55" s="73">
        <f t="shared" si="24"/>
        <v>3.1320805011328806E-2</v>
      </c>
      <c r="Q55" s="49">
        <f t="shared" si="23"/>
        <v>0.56720626631853777</v>
      </c>
      <c r="R55" s="53">
        <v>4.7E-2</v>
      </c>
      <c r="T55" s="53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21412752.148799997</v>
      </c>
      <c r="E56" s="39">
        <v>0</v>
      </c>
      <c r="F56" s="40" t="s">
        <v>34</v>
      </c>
      <c r="G56" s="71">
        <v>0.1595</v>
      </c>
      <c r="H56" s="42">
        <v>0.12909999999999999</v>
      </c>
      <c r="I56" s="42">
        <v>0.13039999999999999</v>
      </c>
      <c r="J56" s="44">
        <f t="shared" si="20"/>
        <v>0.13039999999999999</v>
      </c>
      <c r="K56" s="39">
        <v>0</v>
      </c>
      <c r="L56" s="46">
        <f t="shared" si="21"/>
        <v>1.2999999999999956E-3</v>
      </c>
      <c r="M56" s="46">
        <f t="shared" si="22"/>
        <v>1.0069713400464724</v>
      </c>
      <c r="N56" s="51">
        <v>480</v>
      </c>
      <c r="O56" s="37">
        <v>62.6</v>
      </c>
      <c r="P56" s="72">
        <f t="shared" si="24"/>
        <v>0</v>
      </c>
      <c r="Q56" s="49">
        <f t="shared" si="23"/>
        <v>-0.18244514106583076</v>
      </c>
      <c r="T56" s="53"/>
    </row>
    <row r="57" spans="1:20" ht="12" customHeight="1" x14ac:dyDescent="0.2">
      <c r="A57" s="35" t="s">
        <v>133</v>
      </c>
      <c r="B57" s="36" t="s">
        <v>134</v>
      </c>
      <c r="C57" s="40">
        <v>985088926</v>
      </c>
      <c r="D57" s="38">
        <f t="shared" si="19"/>
        <v>24331696.472199999</v>
      </c>
      <c r="E57" s="39">
        <v>0</v>
      </c>
      <c r="F57" s="40" t="s">
        <v>92</v>
      </c>
      <c r="G57" s="71">
        <v>1.6799999999999999E-2</v>
      </c>
      <c r="H57" s="42">
        <v>2.4899999999999999E-2</v>
      </c>
      <c r="I57" s="42">
        <v>2.47E-2</v>
      </c>
      <c r="J57" s="44">
        <f t="shared" si="20"/>
        <v>2.47E-2</v>
      </c>
      <c r="K57" s="39">
        <v>0</v>
      </c>
      <c r="L57" s="46">
        <f t="shared" si="21"/>
        <v>-1.9999999999999879E-4</v>
      </c>
      <c r="M57" s="75">
        <f t="shared" si="22"/>
        <v>-0.80321285140561771</v>
      </c>
      <c r="N57" s="51">
        <v>89451</v>
      </c>
      <c r="O57" s="37">
        <v>2207.19</v>
      </c>
      <c r="P57" s="72">
        <f t="shared" si="24"/>
        <v>0</v>
      </c>
      <c r="Q57" s="49">
        <f t="shared" si="23"/>
        <v>0.47023809523809534</v>
      </c>
      <c r="R57" s="53"/>
      <c r="T57" s="53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1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1">
        <v>0</v>
      </c>
      <c r="O58" s="37">
        <v>0</v>
      </c>
      <c r="P58" s="72">
        <f t="shared" si="24"/>
        <v>0</v>
      </c>
      <c r="Q58" s="49">
        <f t="shared" si="23"/>
        <v>-0.12820512820512819</v>
      </c>
      <c r="T58" s="53"/>
    </row>
    <row r="59" spans="1:20" ht="12" customHeight="1" x14ac:dyDescent="0.2">
      <c r="A59" s="35" t="s">
        <v>138</v>
      </c>
      <c r="B59" s="36" t="s">
        <v>139</v>
      </c>
      <c r="C59" s="40">
        <v>4498037281</v>
      </c>
      <c r="D59" s="38">
        <f t="shared" si="19"/>
        <v>4005502198.7304997</v>
      </c>
      <c r="E59" s="39">
        <v>0</v>
      </c>
      <c r="F59" s="40" t="s">
        <v>47</v>
      </c>
      <c r="G59" s="71">
        <v>0.78169999999999995</v>
      </c>
      <c r="H59" s="52">
        <v>0.89749999999999996</v>
      </c>
      <c r="I59" s="42">
        <v>0.89049999999999996</v>
      </c>
      <c r="J59" s="44">
        <f t="shared" si="20"/>
        <v>0.89049999999999996</v>
      </c>
      <c r="K59" s="39">
        <v>0</v>
      </c>
      <c r="L59" s="46">
        <f t="shared" si="21"/>
        <v>-7.0000000000000062E-3</v>
      </c>
      <c r="M59" s="46">
        <f t="shared" si="22"/>
        <v>-0.77994428969359408</v>
      </c>
      <c r="N59" s="76">
        <v>47166</v>
      </c>
      <c r="O59" s="77">
        <v>42002.52</v>
      </c>
      <c r="P59" s="72">
        <f t="shared" si="24"/>
        <v>0</v>
      </c>
      <c r="Q59" s="49">
        <f t="shared" si="23"/>
        <v>0.13918383011385438</v>
      </c>
      <c r="R59" s="53"/>
      <c r="S59" s="53"/>
      <c r="T59" s="53"/>
    </row>
    <row r="60" spans="1:20" ht="12" customHeight="1" x14ac:dyDescent="0.2">
      <c r="A60" s="35" t="s">
        <v>140</v>
      </c>
      <c r="B60" s="36" t="s">
        <v>141</v>
      </c>
      <c r="C60" s="40">
        <v>805090451</v>
      </c>
      <c r="D60" s="38">
        <f t="shared" si="19"/>
        <v>1206991604.1392</v>
      </c>
      <c r="E60" s="39">
        <v>0</v>
      </c>
      <c r="F60" s="40" t="s">
        <v>92</v>
      </c>
      <c r="G60" s="71">
        <v>0.59499999999999997</v>
      </c>
      <c r="H60" s="42">
        <v>1.4959</v>
      </c>
      <c r="I60" s="42">
        <v>1.4992000000000001</v>
      </c>
      <c r="J60" s="44">
        <f t="shared" si="20"/>
        <v>1.4992000000000001</v>
      </c>
      <c r="K60" s="39">
        <v>0</v>
      </c>
      <c r="L60" s="46">
        <f t="shared" si="21"/>
        <v>3.3000000000000806E-3</v>
      </c>
      <c r="M60" s="46">
        <f t="shared" si="22"/>
        <v>0.22060298148272481</v>
      </c>
      <c r="N60" s="51">
        <v>512226</v>
      </c>
      <c r="O60" s="37">
        <v>767909.3</v>
      </c>
      <c r="P60" s="72">
        <f t="shared" si="24"/>
        <v>0</v>
      </c>
      <c r="Q60" s="49">
        <f t="shared" si="23"/>
        <v>1.5196638655462187</v>
      </c>
      <c r="T60" s="53"/>
    </row>
    <row r="61" spans="1:20" ht="12" customHeight="1" x14ac:dyDescent="0.2">
      <c r="A61" s="35" t="s">
        <v>142</v>
      </c>
      <c r="B61" s="36" t="s">
        <v>143</v>
      </c>
      <c r="C61" s="40">
        <v>260714518</v>
      </c>
      <c r="D61" s="38">
        <f t="shared" si="19"/>
        <v>93987583.738999993</v>
      </c>
      <c r="E61" s="39">
        <v>0</v>
      </c>
      <c r="F61" s="40" t="s">
        <v>34</v>
      </c>
      <c r="G61" s="71">
        <v>0.22600000000000001</v>
      </c>
      <c r="H61" s="42">
        <v>0.36049999999999999</v>
      </c>
      <c r="I61" s="42">
        <v>0.36049999999999999</v>
      </c>
      <c r="J61" s="44">
        <f t="shared" si="20"/>
        <v>0.36049999999999999</v>
      </c>
      <c r="K61" s="39">
        <v>0</v>
      </c>
      <c r="L61" s="46">
        <f t="shared" si="21"/>
        <v>0</v>
      </c>
      <c r="M61" s="46">
        <f t="shared" si="22"/>
        <v>0</v>
      </c>
      <c r="N61" s="51">
        <v>0</v>
      </c>
      <c r="O61" s="37">
        <v>0</v>
      </c>
      <c r="P61" s="72">
        <f t="shared" si="24"/>
        <v>0</v>
      </c>
      <c r="Q61" s="49">
        <f t="shared" si="23"/>
        <v>0.59513274336283173</v>
      </c>
      <c r="T61" s="53"/>
    </row>
    <row r="62" spans="1:20" ht="12" customHeight="1" x14ac:dyDescent="0.2">
      <c r="A62" s="35" t="s">
        <v>144</v>
      </c>
      <c r="B62" s="36" t="s">
        <v>145</v>
      </c>
      <c r="C62" s="40">
        <v>562184788</v>
      </c>
      <c r="D62" s="38">
        <f t="shared" si="19"/>
        <v>448117494.51480001</v>
      </c>
      <c r="E62" s="39">
        <v>0</v>
      </c>
      <c r="F62" s="40" t="s">
        <v>34</v>
      </c>
      <c r="G62" s="71">
        <v>0.49440000000000001</v>
      </c>
      <c r="H62" s="42">
        <v>0.71719999999999995</v>
      </c>
      <c r="I62" s="42">
        <v>0.79710000000000003</v>
      </c>
      <c r="J62" s="44">
        <f t="shared" si="20"/>
        <v>0.79710000000000003</v>
      </c>
      <c r="K62" s="39">
        <v>0</v>
      </c>
      <c r="L62" s="46">
        <f t="shared" si="21"/>
        <v>7.9900000000000082E-2</v>
      </c>
      <c r="M62" s="46">
        <f t="shared" si="22"/>
        <v>11.140546569994434</v>
      </c>
      <c r="N62" s="51">
        <v>522005</v>
      </c>
      <c r="O62" s="37">
        <v>416104.86</v>
      </c>
      <c r="P62" s="72">
        <f t="shared" si="24"/>
        <v>0</v>
      </c>
      <c r="Q62" s="49">
        <f t="shared" si="23"/>
        <v>0.6122572815533982</v>
      </c>
      <c r="R62" s="53"/>
      <c r="T62" s="53"/>
    </row>
    <row r="63" spans="1:20" ht="12" customHeight="1" x14ac:dyDescent="0.2">
      <c r="A63" s="35" t="s">
        <v>146</v>
      </c>
      <c r="B63" s="36" t="s">
        <v>147</v>
      </c>
      <c r="C63" s="40">
        <v>364526035</v>
      </c>
      <c r="D63" s="38">
        <f t="shared" si="19"/>
        <v>77097256.402500004</v>
      </c>
      <c r="E63" s="39">
        <v>0</v>
      </c>
      <c r="F63" s="40" t="s">
        <v>34</v>
      </c>
      <c r="G63" s="71">
        <v>0.25950000000000001</v>
      </c>
      <c r="H63" s="42">
        <v>0.2127</v>
      </c>
      <c r="I63" s="42">
        <v>0.21149999999999999</v>
      </c>
      <c r="J63" s="44">
        <f t="shared" si="20"/>
        <v>0.21149999999999999</v>
      </c>
      <c r="K63" s="39">
        <v>0</v>
      </c>
      <c r="L63" s="46">
        <f t="shared" si="21"/>
        <v>-1.2000000000000066E-3</v>
      </c>
      <c r="M63" s="46">
        <f t="shared" si="22"/>
        <v>-0.56417489421721045</v>
      </c>
      <c r="N63" s="51">
        <v>15088</v>
      </c>
      <c r="O63" s="37">
        <v>3191.86</v>
      </c>
      <c r="P63" s="72">
        <f t="shared" si="24"/>
        <v>0</v>
      </c>
      <c r="Q63" s="49">
        <f t="shared" si="23"/>
        <v>-0.18497109826589597</v>
      </c>
      <c r="R63" s="53"/>
      <c r="T63" s="53"/>
    </row>
    <row r="64" spans="1:20" x14ac:dyDescent="0.2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0</v>
      </c>
      <c r="O64" s="37">
        <v>0</v>
      </c>
      <c r="P64" s="72">
        <f t="shared" si="24"/>
        <v>0</v>
      </c>
      <c r="Q64" s="49">
        <f t="shared" si="23"/>
        <v>0</v>
      </c>
      <c r="T64" s="53"/>
    </row>
    <row r="65" spans="1:20" x14ac:dyDescent="0.2">
      <c r="A65" s="35" t="s">
        <v>150</v>
      </c>
      <c r="B65" s="36" t="s">
        <v>151</v>
      </c>
      <c r="C65" s="40">
        <v>344580486</v>
      </c>
      <c r="D65" s="38">
        <f t="shared" si="19"/>
        <v>41211826.125600003</v>
      </c>
      <c r="E65" s="39">
        <v>0</v>
      </c>
      <c r="F65" s="40" t="s">
        <v>44</v>
      </c>
      <c r="G65" s="71">
        <v>4.2999999999999997E-2</v>
      </c>
      <c r="H65" s="42">
        <v>0.1192</v>
      </c>
      <c r="I65" s="42">
        <v>0.1196</v>
      </c>
      <c r="J65" s="44">
        <f t="shared" si="20"/>
        <v>0.1196</v>
      </c>
      <c r="K65" s="39">
        <v>0</v>
      </c>
      <c r="L65" s="46">
        <f t="shared" si="21"/>
        <v>3.9999999999999758E-4</v>
      </c>
      <c r="M65" s="46">
        <f t="shared" si="22"/>
        <v>0.33557046979865568</v>
      </c>
      <c r="N65" s="51">
        <v>643</v>
      </c>
      <c r="O65" s="37">
        <v>76.89</v>
      </c>
      <c r="P65" s="72">
        <f t="shared" si="24"/>
        <v>0</v>
      </c>
      <c r="Q65" s="49">
        <f t="shared" si="23"/>
        <v>1.7813953488372096</v>
      </c>
      <c r="T65" s="53"/>
    </row>
    <row r="66" spans="1:20" ht="13.5" x14ac:dyDescent="0.3">
      <c r="A66" s="78"/>
      <c r="B66" s="36" t="s">
        <v>117</v>
      </c>
      <c r="C66" s="40"/>
      <c r="D66" s="79"/>
      <c r="E66" s="79"/>
      <c r="F66" s="40"/>
      <c r="G66" s="40"/>
      <c r="H66" s="42"/>
      <c r="I66" s="42"/>
      <c r="J66" s="42"/>
      <c r="K66" s="42"/>
      <c r="L66" s="46"/>
      <c r="M66" s="80"/>
      <c r="N66" s="62">
        <f>SUM(N50:N65)</f>
        <v>173455860</v>
      </c>
      <c r="O66" s="63">
        <f>SUM(O50:O65)</f>
        <v>40775644.920000002</v>
      </c>
      <c r="P66" s="81"/>
      <c r="Q66" s="64"/>
    </row>
    <row r="67" spans="1:20" ht="12.75" hidden="1" x14ac:dyDescent="0.25">
      <c r="A67" s="138" t="s">
        <v>152</v>
      </c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1"/>
    </row>
    <row r="68" spans="1:20" ht="12.75" hidden="1" thickBot="1" x14ac:dyDescent="0.25">
      <c r="A68" s="82" t="s">
        <v>153</v>
      </c>
      <c r="B68" s="83" t="s">
        <v>154</v>
      </c>
      <c r="C68" s="84">
        <v>20000</v>
      </c>
      <c r="D68" s="85">
        <f>C68*J68</f>
        <v>0</v>
      </c>
      <c r="E68" s="85"/>
      <c r="F68" s="84" t="s">
        <v>155</v>
      </c>
      <c r="G68" s="84"/>
      <c r="H68" s="86">
        <v>100</v>
      </c>
      <c r="I68" s="86"/>
      <c r="J68" s="86"/>
      <c r="K68" s="86"/>
      <c r="L68" s="87">
        <f>I68-H68</f>
        <v>-100</v>
      </c>
      <c r="M68" s="88">
        <f>((I68-H68)/H68)*100</f>
        <v>-100</v>
      </c>
      <c r="N68" s="89" t="s">
        <v>57</v>
      </c>
      <c r="O68" s="89" t="s">
        <v>57</v>
      </c>
      <c r="P68" s="89"/>
      <c r="Q68" s="90">
        <v>100</v>
      </c>
    </row>
    <row r="69" spans="1:20" ht="12.75" thickBot="1" x14ac:dyDescent="0.25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80"/>
      <c r="N69" s="91"/>
      <c r="O69" s="91"/>
      <c r="P69" s="91"/>
      <c r="Q69" s="64"/>
    </row>
    <row r="70" spans="1:20" ht="12.75" x14ac:dyDescent="0.25">
      <c r="A70" s="138" t="s">
        <v>156</v>
      </c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</row>
    <row r="71" spans="1:20" x14ac:dyDescent="0.2">
      <c r="A71" s="35" t="s">
        <v>157</v>
      </c>
      <c r="B71" s="92" t="s">
        <v>158</v>
      </c>
      <c r="C71" s="93">
        <v>139300587</v>
      </c>
      <c r="D71" s="38">
        <f>C71*J71</f>
        <v>47431849.873500004</v>
      </c>
      <c r="E71" s="39">
        <f>C71*K71</f>
        <v>47431849.873500004</v>
      </c>
      <c r="F71" s="93" t="s">
        <v>159</v>
      </c>
      <c r="G71" s="93">
        <v>0.24</v>
      </c>
      <c r="H71" s="94">
        <v>0.33</v>
      </c>
      <c r="I71" s="94">
        <v>0.34050000000000002</v>
      </c>
      <c r="J71" s="95">
        <f>I71</f>
        <v>0.34050000000000002</v>
      </c>
      <c r="K71" s="95">
        <f>J71</f>
        <v>0.34050000000000002</v>
      </c>
      <c r="L71" s="46">
        <f>I71-H71</f>
        <v>1.0500000000000009E-2</v>
      </c>
      <c r="M71" s="46">
        <f>((I71-H71)/H71)*100</f>
        <v>3.1818181818181843</v>
      </c>
      <c r="N71" s="96">
        <v>5</v>
      </c>
      <c r="O71" s="97">
        <v>1.7</v>
      </c>
      <c r="P71" s="72">
        <f>(R71)/J71</f>
        <v>0</v>
      </c>
      <c r="Q71" s="49">
        <f>J71/G71-1</f>
        <v>0.41875000000000018</v>
      </c>
      <c r="T71" s="53"/>
    </row>
    <row r="72" spans="1:20" x14ac:dyDescent="0.2">
      <c r="A72" s="35" t="s">
        <v>160</v>
      </c>
      <c r="B72" s="92" t="s">
        <v>161</v>
      </c>
      <c r="C72" s="93">
        <v>540751750</v>
      </c>
      <c r="D72" s="38">
        <f>C72*J72</f>
        <v>104635463.625</v>
      </c>
      <c r="E72" s="39">
        <f>C72*K72</f>
        <v>104635463.625</v>
      </c>
      <c r="F72" s="93" t="s">
        <v>159</v>
      </c>
      <c r="G72" s="93">
        <v>0.1</v>
      </c>
      <c r="H72" s="94">
        <v>0.16669999999999999</v>
      </c>
      <c r="I72" s="94">
        <v>0.19350000000000001</v>
      </c>
      <c r="J72" s="95">
        <f>I72</f>
        <v>0.19350000000000001</v>
      </c>
      <c r="K72" s="95">
        <f>J72</f>
        <v>0.19350000000000001</v>
      </c>
      <c r="L72" s="46">
        <f>I72-H72</f>
        <v>2.6800000000000018E-2</v>
      </c>
      <c r="M72" s="46">
        <f>((I72-H72)/H72)*100</f>
        <v>16.076784643071399</v>
      </c>
      <c r="N72" s="51">
        <v>45</v>
      </c>
      <c r="O72" s="97">
        <v>8.7100000000000009</v>
      </c>
      <c r="P72" s="98">
        <f>(R72)/J72</f>
        <v>1.9596899224806199E-2</v>
      </c>
      <c r="Q72" s="49">
        <f>J72/G72-1</f>
        <v>0.93500000000000005</v>
      </c>
      <c r="R72" s="5">
        <v>3.7919999999999998E-3</v>
      </c>
      <c r="T72" s="53"/>
    </row>
    <row r="73" spans="1:20" ht="14.25" thickBot="1" x14ac:dyDescent="0.35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80"/>
      <c r="N73" s="62">
        <f>SUM(N71:N72)</f>
        <v>50</v>
      </c>
      <c r="O73" s="63">
        <f>SUM(O71:O72)</f>
        <v>10.41</v>
      </c>
      <c r="P73" s="91"/>
      <c r="Q73" s="64"/>
    </row>
    <row r="74" spans="1:20" ht="12.75" x14ac:dyDescent="0.25">
      <c r="A74" s="138" t="s">
        <v>162</v>
      </c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1"/>
    </row>
    <row r="75" spans="1:20" x14ac:dyDescent="0.2">
      <c r="A75" s="35" t="s">
        <v>163</v>
      </c>
      <c r="B75" s="92" t="s">
        <v>164</v>
      </c>
      <c r="C75" s="93">
        <v>64242951</v>
      </c>
      <c r="D75" s="38">
        <f>C75*J75</f>
        <v>7709154.1200000001</v>
      </c>
      <c r="E75" s="39">
        <f>C75*K75</f>
        <v>7709154.1200000001</v>
      </c>
      <c r="F75" s="93" t="s">
        <v>137</v>
      </c>
      <c r="G75" s="93">
        <v>0.1394</v>
      </c>
      <c r="H75" s="94">
        <v>0.11559999999999999</v>
      </c>
      <c r="I75" s="94">
        <v>0.12</v>
      </c>
      <c r="J75" s="95">
        <f>I75</f>
        <v>0.12</v>
      </c>
      <c r="K75" s="95">
        <f>J75</f>
        <v>0.12</v>
      </c>
      <c r="L75" s="46">
        <f>I75-H75</f>
        <v>4.4000000000000011E-3</v>
      </c>
      <c r="M75" s="46">
        <f>((I75-H75)/H75)*100</f>
        <v>3.8062283737024236</v>
      </c>
      <c r="N75" s="96">
        <v>1062</v>
      </c>
      <c r="O75" s="97">
        <v>127.44</v>
      </c>
      <c r="P75" s="72">
        <f>(R75)/J75</f>
        <v>0</v>
      </c>
      <c r="Q75" s="49">
        <f>J75/G75-1</f>
        <v>-0.13916786226685796</v>
      </c>
    </row>
    <row r="76" spans="1:20" ht="13.5" x14ac:dyDescent="0.3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80"/>
      <c r="N76" s="62"/>
      <c r="O76" s="63"/>
      <c r="P76" s="91"/>
      <c r="Q76" s="64"/>
    </row>
    <row r="77" spans="1:20" ht="12.75" x14ac:dyDescent="0.25">
      <c r="A77" s="134" t="s">
        <v>165</v>
      </c>
      <c r="B77" s="135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7"/>
    </row>
    <row r="78" spans="1:20" x14ac:dyDescent="0.2">
      <c r="A78" s="35" t="s">
        <v>166</v>
      </c>
      <c r="B78" s="36" t="s">
        <v>167</v>
      </c>
      <c r="C78" s="40">
        <v>31703227</v>
      </c>
      <c r="D78" s="38">
        <f>C78*J78</f>
        <v>153983.68447205899</v>
      </c>
      <c r="E78" s="39">
        <f>C78*K78</f>
        <v>128794.35968750001</v>
      </c>
      <c r="F78" s="40" t="s">
        <v>137</v>
      </c>
      <c r="G78" s="71">
        <v>0.105</v>
      </c>
      <c r="H78" s="42">
        <v>0.13</v>
      </c>
      <c r="I78" s="42">
        <v>0.13</v>
      </c>
      <c r="J78" s="44">
        <f>I78/$J$5</f>
        <v>4.8570350416397351E-3</v>
      </c>
      <c r="K78" s="45">
        <f>I78/$K$4</f>
        <v>4.0625000000000001E-3</v>
      </c>
      <c r="L78" s="46">
        <f>I78-H78</f>
        <v>0</v>
      </c>
      <c r="M78" s="99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0.23809523809523814</v>
      </c>
    </row>
    <row r="79" spans="1:20" x14ac:dyDescent="0.2">
      <c r="A79" s="35" t="s">
        <v>168</v>
      </c>
      <c r="B79" s="36" t="s">
        <v>169</v>
      </c>
      <c r="C79" s="40">
        <v>136162052</v>
      </c>
      <c r="D79" s="38">
        <f>C79*J79</f>
        <v>412068.09607962554</v>
      </c>
      <c r="E79" s="39">
        <f>C79*K79</f>
        <v>344660.19412500004</v>
      </c>
      <c r="F79" s="40" t="s">
        <v>137</v>
      </c>
      <c r="G79" s="71">
        <v>4.2500000000000003E-2</v>
      </c>
      <c r="H79" s="42">
        <v>0.08</v>
      </c>
      <c r="I79" s="42">
        <v>8.1000000000000003E-2</v>
      </c>
      <c r="J79" s="44">
        <f>I79/$J$5</f>
        <v>3.0263064490216813E-3</v>
      </c>
      <c r="K79" s="45">
        <f>I79/$K$4</f>
        <v>2.5312500000000001E-3</v>
      </c>
      <c r="L79" s="46">
        <f>I79-H79</f>
        <v>1.0000000000000009E-3</v>
      </c>
      <c r="M79" s="99">
        <f>((I79-H79)/H79)*100</f>
        <v>1.2500000000000011</v>
      </c>
      <c r="N79" s="37">
        <v>1439</v>
      </c>
      <c r="O79" s="37">
        <v>116.559</v>
      </c>
      <c r="P79" s="40">
        <v>0</v>
      </c>
      <c r="Q79" s="49">
        <f>I79/G79-1</f>
        <v>0.90588235294117636</v>
      </c>
    </row>
    <row r="80" spans="1:20" x14ac:dyDescent="0.2">
      <c r="A80" s="35" t="s">
        <v>170</v>
      </c>
      <c r="B80" s="36" t="s">
        <v>171</v>
      </c>
      <c r="C80" s="40">
        <v>326179492</v>
      </c>
      <c r="D80" s="38">
        <f>C80*J80</f>
        <v>1462398.6669306899</v>
      </c>
      <c r="E80" s="39">
        <f>C80*K80</f>
        <v>1223173.095</v>
      </c>
      <c r="F80" s="40" t="s">
        <v>137</v>
      </c>
      <c r="G80" s="71">
        <v>6.0499999999999998E-2</v>
      </c>
      <c r="H80" s="42">
        <v>0.12</v>
      </c>
      <c r="I80" s="42">
        <v>0.12</v>
      </c>
      <c r="J80" s="44">
        <f>I80/$J$5</f>
        <v>4.483416961513601E-3</v>
      </c>
      <c r="K80" s="45">
        <f>I80/$K$4</f>
        <v>3.7499999999999999E-3</v>
      </c>
      <c r="L80" s="46">
        <f>I80-H80</f>
        <v>0</v>
      </c>
      <c r="M80" s="99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0.98347107438016534</v>
      </c>
    </row>
    <row r="81" spans="1:243" x14ac:dyDescent="0.2">
      <c r="A81" s="35" t="s">
        <v>172</v>
      </c>
      <c r="B81" s="36" t="s">
        <v>173</v>
      </c>
      <c r="C81" s="37">
        <v>6677853</v>
      </c>
      <c r="D81" s="38">
        <f>C81*J81</f>
        <v>421649.35831094743</v>
      </c>
      <c r="E81" s="39">
        <f>C81*K81</f>
        <v>352674.11156250001</v>
      </c>
      <c r="F81" s="40" t="s">
        <v>137</v>
      </c>
      <c r="G81" s="71">
        <v>1.85</v>
      </c>
      <c r="H81" s="42">
        <v>1.69</v>
      </c>
      <c r="I81" s="42">
        <v>1.69</v>
      </c>
      <c r="J81" s="44">
        <f>I81/$J$5</f>
        <v>6.314145554131656E-2</v>
      </c>
      <c r="K81" s="45">
        <f>I81/$K$4</f>
        <v>5.2812499999999998E-2</v>
      </c>
      <c r="L81" s="46">
        <f>I81-H81</f>
        <v>0</v>
      </c>
      <c r="M81" s="99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-8.6486486486486602E-2</v>
      </c>
    </row>
    <row r="82" spans="1:243" ht="15.75" thickBot="1" x14ac:dyDescent="0.35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1439</v>
      </c>
      <c r="O82" s="63">
        <f>SUM(O78:O81)</f>
        <v>116.559</v>
      </c>
      <c r="P82" s="81"/>
      <c r="Q82" s="64"/>
      <c r="V82" s="100"/>
      <c r="W82" s="100"/>
      <c r="DU82" s="101"/>
      <c r="DV82" s="101"/>
      <c r="DW82" s="102"/>
      <c r="DX82" s="103"/>
      <c r="DY82" s="103"/>
      <c r="DZ82" s="104"/>
      <c r="EA82" s="104"/>
      <c r="EB82" s="105"/>
      <c r="EC82" s="105"/>
      <c r="ED82" s="106"/>
      <c r="EE82" s="106"/>
      <c r="EF82" s="104"/>
      <c r="EG82" s="107"/>
      <c r="EH82" s="108"/>
      <c r="EI82" s="102"/>
      <c r="EJ82" s="101"/>
      <c r="EK82" s="101"/>
      <c r="EL82" s="102"/>
      <c r="EM82" s="103"/>
      <c r="EN82" s="103"/>
      <c r="EO82" s="104"/>
      <c r="EP82" s="104"/>
      <c r="EQ82" s="105"/>
      <c r="ER82" s="105"/>
      <c r="ES82" s="106"/>
      <c r="ET82" s="106"/>
      <c r="EU82" s="104"/>
      <c r="EV82" s="107"/>
      <c r="EW82" s="108"/>
      <c r="EX82" s="102"/>
      <c r="EY82" s="101"/>
      <c r="EZ82" s="101"/>
      <c r="FA82" s="102"/>
      <c r="FB82" s="103"/>
      <c r="FC82" s="103"/>
      <c r="FD82" s="104"/>
      <c r="FE82" s="104"/>
      <c r="FF82" s="105"/>
      <c r="FG82" s="105"/>
      <c r="FH82" s="106"/>
      <c r="FI82" s="106"/>
      <c r="FJ82" s="104"/>
      <c r="FK82" s="107"/>
      <c r="FL82" s="108"/>
      <c r="FM82" s="102"/>
      <c r="FN82" s="101"/>
      <c r="FO82" s="101"/>
      <c r="FP82" s="102"/>
      <c r="FQ82" s="103"/>
      <c r="FR82" s="103"/>
      <c r="FS82" s="104"/>
      <c r="FT82" s="104"/>
      <c r="FU82" s="105"/>
      <c r="FV82" s="105"/>
      <c r="FW82" s="106"/>
      <c r="FX82" s="106"/>
      <c r="FY82" s="104"/>
      <c r="FZ82" s="107"/>
      <c r="GA82" s="108"/>
      <c r="GB82" s="102"/>
      <c r="GC82" s="101"/>
      <c r="GD82" s="101"/>
      <c r="GE82" s="102"/>
      <c r="GF82" s="103"/>
      <c r="GG82" s="103"/>
      <c r="GH82" s="104"/>
      <c r="GI82" s="104"/>
      <c r="GJ82" s="105"/>
      <c r="GK82" s="105"/>
      <c r="GL82" s="106"/>
      <c r="GM82" s="106"/>
      <c r="GN82" s="104"/>
      <c r="GO82" s="107"/>
      <c r="GP82" s="108"/>
      <c r="GQ82" s="102"/>
      <c r="GR82" s="101"/>
      <c r="GS82" s="101"/>
      <c r="GT82" s="102"/>
      <c r="GU82" s="103"/>
      <c r="GV82" s="103"/>
      <c r="GW82" s="104"/>
      <c r="GX82" s="104"/>
      <c r="GY82" s="105"/>
      <c r="GZ82" s="105"/>
      <c r="HA82" s="106"/>
      <c r="HB82" s="106"/>
      <c r="HC82" s="104"/>
      <c r="HD82" s="107"/>
      <c r="HE82" s="108"/>
      <c r="HF82" s="102"/>
      <c r="HG82" s="101"/>
      <c r="HH82" s="101"/>
      <c r="HI82" s="102"/>
      <c r="HJ82" s="103"/>
      <c r="HK82" s="103"/>
      <c r="HL82" s="104"/>
      <c r="HM82" s="104"/>
      <c r="HN82" s="105"/>
      <c r="HO82" s="105"/>
      <c r="HP82" s="106"/>
      <c r="HQ82" s="106"/>
      <c r="HR82" s="104"/>
      <c r="HS82" s="107"/>
      <c r="HT82" s="108"/>
      <c r="HU82" s="102"/>
      <c r="HV82" s="101"/>
      <c r="HW82" s="101"/>
      <c r="HX82" s="102"/>
      <c r="HY82" s="103"/>
      <c r="HZ82" s="103"/>
      <c r="IA82" s="104"/>
      <c r="IB82" s="104"/>
      <c r="IC82" s="105"/>
      <c r="ID82" s="105"/>
      <c r="IE82" s="106"/>
      <c r="IF82" s="106"/>
      <c r="IG82" s="104"/>
      <c r="IH82" s="107"/>
      <c r="II82" s="108"/>
    </row>
    <row r="83" spans="1:243" ht="13.5" thickTop="1" x14ac:dyDescent="0.25">
      <c r="A83" s="138" t="s">
        <v>174</v>
      </c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1"/>
    </row>
    <row r="84" spans="1:243" x14ac:dyDescent="0.2">
      <c r="A84" s="35" t="s">
        <v>175</v>
      </c>
      <c r="B84" s="36" t="s">
        <v>176</v>
      </c>
      <c r="C84" s="40">
        <v>368326244</v>
      </c>
      <c r="D84" s="38">
        <f>C84*J84</f>
        <v>27522668.828669954</v>
      </c>
      <c r="E84" s="39">
        <f>C84*K84</f>
        <v>23020390.25</v>
      </c>
      <c r="F84" s="40" t="s">
        <v>177</v>
      </c>
      <c r="G84" s="40">
        <v>1.3</v>
      </c>
      <c r="H84" s="42">
        <v>2</v>
      </c>
      <c r="I84" s="42">
        <v>2</v>
      </c>
      <c r="J84" s="44">
        <f>I84/$J$5</f>
        <v>7.4723616025226688E-2</v>
      </c>
      <c r="K84" s="45">
        <f>I84/$K$4</f>
        <v>6.25E-2</v>
      </c>
      <c r="L84" s="46">
        <f>I84-H84</f>
        <v>0</v>
      </c>
      <c r="M84" s="46">
        <f>((I84-H84)/H84*100)</f>
        <v>0</v>
      </c>
      <c r="N84" s="109">
        <v>0</v>
      </c>
      <c r="O84" s="77">
        <v>0</v>
      </c>
      <c r="P84" s="52">
        <f>(R84)/J84</f>
        <v>0</v>
      </c>
      <c r="Q84" s="49">
        <f>I84/G84-1</f>
        <v>0.53846153846153832</v>
      </c>
      <c r="R84" s="53"/>
    </row>
    <row r="85" spans="1:243" s="110" customFormat="1" ht="12.75" thickBot="1" x14ac:dyDescent="0.25">
      <c r="A85" s="35" t="s">
        <v>178</v>
      </c>
      <c r="B85" s="36" t="s">
        <v>179</v>
      </c>
      <c r="C85" s="40">
        <v>1841105000</v>
      </c>
      <c r="D85" s="38">
        <f>C85*J85</f>
        <v>77946965.145916551</v>
      </c>
      <c r="E85" s="39">
        <f>C85*K85</f>
        <v>65196059.569375001</v>
      </c>
      <c r="F85" s="40" t="s">
        <v>177</v>
      </c>
      <c r="G85" s="40">
        <v>1.44347</v>
      </c>
      <c r="H85" s="42">
        <v>1.121</v>
      </c>
      <c r="I85" s="42">
        <v>1.1331640000000001</v>
      </c>
      <c r="J85" s="44">
        <f>I85/$J$5</f>
        <v>4.2337055814804993E-2</v>
      </c>
      <c r="K85" s="45">
        <f>I85/$K$4</f>
        <v>3.5411375000000002E-2</v>
      </c>
      <c r="L85" s="46">
        <f>I85-H85</f>
        <v>1.2164000000000064E-2</v>
      </c>
      <c r="M85" s="46">
        <f>((I85-H85)/H85*100)</f>
        <v>1.0851025869759201</v>
      </c>
      <c r="N85" s="77">
        <v>6914</v>
      </c>
      <c r="O85" s="77">
        <v>7838.29</v>
      </c>
      <c r="P85" s="48">
        <f>(R85)/J85</f>
        <v>5.1397055324736748E-2</v>
      </c>
      <c r="Q85" s="49">
        <f>I85/G85-1</f>
        <v>-0.21497225435928702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75" thickBot="1" x14ac:dyDescent="0.25">
      <c r="A86" s="82"/>
      <c r="B86" s="83"/>
      <c r="C86" s="84"/>
      <c r="D86" s="111"/>
      <c r="E86" s="85"/>
      <c r="F86" s="84"/>
      <c r="G86" s="84"/>
      <c r="H86" s="86"/>
      <c r="I86" s="86"/>
      <c r="J86" s="86"/>
      <c r="K86" s="86"/>
      <c r="L86" s="87"/>
      <c r="M86" s="87"/>
      <c r="N86" s="87"/>
      <c r="O86" s="87"/>
      <c r="P86" s="87"/>
      <c r="Q86" s="90"/>
    </row>
    <row r="87" spans="1:243" ht="12.75" thickBot="1" x14ac:dyDescent="0.25">
      <c r="A87" s="112"/>
      <c r="B87" s="113"/>
      <c r="C87" s="113"/>
      <c r="D87" s="113"/>
      <c r="E87" s="113"/>
      <c r="F87" s="74"/>
      <c r="G87" s="74"/>
      <c r="H87" s="60"/>
      <c r="M87" s="114"/>
      <c r="N87" s="114"/>
      <c r="O87" s="60"/>
      <c r="P87" s="60"/>
      <c r="Q87" s="115"/>
    </row>
    <row r="88" spans="1:243" ht="15" customHeight="1" thickBot="1" x14ac:dyDescent="0.25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3"/>
      <c r="J88" s="145" t="s">
        <v>182</v>
      </c>
      <c r="K88" s="146"/>
      <c r="L88" s="147"/>
      <c r="M88" s="145" t="s">
        <v>183</v>
      </c>
      <c r="N88" s="146"/>
      <c r="O88" s="147"/>
      <c r="Q88" s="16"/>
    </row>
    <row r="89" spans="1:243" ht="15" customHeight="1" x14ac:dyDescent="0.2">
      <c r="A89" s="35" t="s">
        <v>90</v>
      </c>
      <c r="B89" s="116">
        <v>1.4</v>
      </c>
      <c r="D89" s="116">
        <v>12.540192926045011</v>
      </c>
      <c r="E89" s="35" t="s">
        <v>81</v>
      </c>
      <c r="F89" s="117">
        <v>5.8902009999999994</v>
      </c>
      <c r="H89" s="118">
        <v>-9.381523076923088</v>
      </c>
      <c r="J89" s="35" t="s">
        <v>144</v>
      </c>
      <c r="K89" s="52">
        <v>0.79710000000000003</v>
      </c>
      <c r="L89" s="119">
        <v>11.140546569994434</v>
      </c>
      <c r="M89" s="35" t="s">
        <v>123</v>
      </c>
      <c r="N89" s="117">
        <v>0.22650000000000001</v>
      </c>
      <c r="O89" s="118">
        <v>-1.3931214627775275</v>
      </c>
      <c r="Q89" s="16"/>
    </row>
    <row r="90" spans="1:243" ht="15" customHeight="1" x14ac:dyDescent="0.2">
      <c r="A90" s="35" t="s">
        <v>93</v>
      </c>
      <c r="B90" s="116">
        <v>3.923</v>
      </c>
      <c r="D90" s="116">
        <v>8.5414933959293666</v>
      </c>
      <c r="E90" s="35" t="s">
        <v>113</v>
      </c>
      <c r="F90" s="117">
        <v>0.70326899999999992</v>
      </c>
      <c r="H90" s="118">
        <v>-8.6663636363636485</v>
      </c>
      <c r="J90" s="35" t="s">
        <v>127</v>
      </c>
      <c r="K90" s="52">
        <v>0.15459999999999999</v>
      </c>
      <c r="L90" s="119">
        <v>2.1136063408190098</v>
      </c>
      <c r="M90" s="35" t="s">
        <v>133</v>
      </c>
      <c r="N90" s="117">
        <v>2.47E-2</v>
      </c>
      <c r="O90" s="118">
        <v>-0.80321285140561771</v>
      </c>
      <c r="Q90" s="16"/>
    </row>
    <row r="91" spans="1:243" ht="15" customHeight="1" x14ac:dyDescent="0.2">
      <c r="A91" s="35" t="s">
        <v>35</v>
      </c>
      <c r="B91" s="116">
        <v>9.4725000000000004E-2</v>
      </c>
      <c r="C91" s="116"/>
      <c r="D91" s="116">
        <v>5.4844097995545642</v>
      </c>
      <c r="E91" s="120" t="s">
        <v>45</v>
      </c>
      <c r="F91" s="117">
        <v>35.997375000000005</v>
      </c>
      <c r="G91" s="121"/>
      <c r="H91" s="118">
        <v>-2.7066760222821018</v>
      </c>
      <c r="J91" s="35" t="s">
        <v>131</v>
      </c>
      <c r="K91" s="52">
        <v>0.13039999999999999</v>
      </c>
      <c r="L91" s="119">
        <v>1.0069713400464724</v>
      </c>
      <c r="M91" s="35" t="s">
        <v>138</v>
      </c>
      <c r="N91" s="117">
        <v>0.89049999999999996</v>
      </c>
      <c r="O91" s="118">
        <v>-0.77994428969359408</v>
      </c>
      <c r="Q91" s="16"/>
    </row>
    <row r="92" spans="1:243" ht="15" customHeight="1" x14ac:dyDescent="0.2">
      <c r="A92" s="35" t="s">
        <v>97</v>
      </c>
      <c r="B92" s="116">
        <v>3.5501299999999998</v>
      </c>
      <c r="C92" s="116"/>
      <c r="D92" s="116">
        <v>1.4322857142857082</v>
      </c>
      <c r="E92" s="120" t="s">
        <v>95</v>
      </c>
      <c r="F92" s="117">
        <v>6.6239999999999993E-2</v>
      </c>
      <c r="G92" s="121"/>
      <c r="H92" s="118">
        <v>-2.4864196440401152</v>
      </c>
      <c r="J92" s="35" t="s">
        <v>121</v>
      </c>
      <c r="K92" s="52">
        <v>39.944000000000003</v>
      </c>
      <c r="L92" s="119">
        <v>0.33281840674177132</v>
      </c>
      <c r="M92" s="35" t="s">
        <v>146</v>
      </c>
      <c r="N92" s="117">
        <v>0.21149999999999999</v>
      </c>
      <c r="O92" s="118">
        <v>-0.56417489421721045</v>
      </c>
      <c r="Q92" s="16"/>
    </row>
    <row r="93" spans="1:243" ht="15" customHeight="1" x14ac:dyDescent="0.2">
      <c r="A93" s="35" t="s">
        <v>68</v>
      </c>
      <c r="B93" s="116">
        <v>9.9000000000000005E-2</v>
      </c>
      <c r="C93" s="116"/>
      <c r="D93" s="116">
        <v>0.81466395112015799</v>
      </c>
      <c r="E93" s="120" t="s">
        <v>52</v>
      </c>
      <c r="F93" s="117">
        <v>32.416862000000002</v>
      </c>
      <c r="G93" s="121"/>
      <c r="H93" s="118">
        <v>-0.25858357662911968</v>
      </c>
      <c r="J93" s="120" t="s">
        <v>150</v>
      </c>
      <c r="K93" s="121">
        <v>0.1196</v>
      </c>
      <c r="L93" s="119">
        <v>0.33557046979865568</v>
      </c>
      <c r="M93" s="35" t="s">
        <v>129</v>
      </c>
      <c r="N93" s="117">
        <v>1.5005999999999999</v>
      </c>
      <c r="O93" s="118">
        <v>-0.53029298687524906</v>
      </c>
      <c r="Q93" s="16"/>
    </row>
    <row r="94" spans="1:243" ht="15.75" customHeight="1" thickBot="1" x14ac:dyDescent="0.25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  <c r="Q94" s="16"/>
    </row>
    <row r="95" spans="1:243" x14ac:dyDescent="0.2">
      <c r="A95" s="125"/>
      <c r="B95" s="126"/>
      <c r="C95" s="126"/>
      <c r="D95" s="126"/>
      <c r="E95" s="114"/>
      <c r="F95" s="114"/>
      <c r="G95" s="114"/>
      <c r="H95" s="114"/>
      <c r="I95" s="114"/>
      <c r="J95" s="114"/>
      <c r="K95" s="114"/>
      <c r="L95" s="114"/>
      <c r="M95" s="126"/>
      <c r="Q95" s="16"/>
    </row>
    <row r="96" spans="1:243" x14ac:dyDescent="0.2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">
      <c r="A97" s="125"/>
      <c r="B97" s="126"/>
      <c r="C97" s="126"/>
      <c r="D97" s="126"/>
      <c r="E97" s="126"/>
      <c r="F97" s="114"/>
      <c r="G97" s="114"/>
      <c r="H97" s="126"/>
      <c r="I97" s="114"/>
      <c r="J97" s="114"/>
      <c r="K97" s="114"/>
      <c r="L97" s="114"/>
      <c r="M97" s="126"/>
      <c r="Q97" s="16"/>
    </row>
    <row r="98" spans="1:17" ht="12.75" thickBot="1" x14ac:dyDescent="0.25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">
      <c r="I99" s="32"/>
      <c r="J99" s="32"/>
      <c r="K99" s="32"/>
      <c r="L99" s="32"/>
      <c r="M99" s="32"/>
      <c r="N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32"/>
      <c r="J101" s="32"/>
      <c r="K101" s="32"/>
      <c r="O101" s="32"/>
      <c r="P101" s="32"/>
    </row>
    <row r="102" spans="1:17" x14ac:dyDescent="0.2">
      <c r="I102" s="133"/>
      <c r="J102" s="133"/>
      <c r="K102" s="133"/>
      <c r="O102" s="133"/>
      <c r="P102" s="133"/>
    </row>
    <row r="104" spans="1:17" x14ac:dyDescent="0.2">
      <c r="I104" s="32"/>
      <c r="J104" s="32"/>
      <c r="K104" s="32"/>
      <c r="O104" s="32"/>
      <c r="P104" s="32"/>
    </row>
    <row r="105" spans="1:17" x14ac:dyDescent="0.2">
      <c r="I105" s="133"/>
      <c r="J105" s="133"/>
      <c r="K105" s="133"/>
      <c r="O105" s="133"/>
      <c r="P105" s="133"/>
    </row>
    <row r="106" spans="1:17" x14ac:dyDescent="0.2">
      <c r="I106" s="32"/>
      <c r="J106" s="32"/>
      <c r="K106" s="32"/>
      <c r="O106" s="32"/>
      <c r="P106" s="32"/>
    </row>
    <row r="107" spans="1:17" x14ac:dyDescent="0.2">
      <c r="I107" s="133"/>
      <c r="J107" s="133"/>
      <c r="K107" s="133"/>
      <c r="O107" s="133"/>
      <c r="P107" s="133"/>
    </row>
  </sheetData>
  <sheetProtection algorithmName="SHA-512" hashValue="ID3RW08a2Yik2rCAvInFBJoEeKkF2HzoNOpcUtDpcTtEuz51ZggymVL88itm4g+hGBU/Hzdn3cFOQDSatnGVJA==" saltValue="bMW1e4SyUuDHcqLUCDT/3w==" spinCount="100000" sheet="1" objects="1" scenarios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Takunda E. Sokisi</cp:lastModifiedBy>
  <dcterms:created xsi:type="dcterms:W3CDTF">2026-10-02T13:34:10Z</dcterms:created>
  <dcterms:modified xsi:type="dcterms:W3CDTF">2026-10-02T13:34:47Z</dcterms:modified>
</cp:coreProperties>
</file>