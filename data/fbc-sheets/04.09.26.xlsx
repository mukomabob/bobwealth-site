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4.09.26/"/>
    </mc:Choice>
  </mc:AlternateContent>
  <xr:revisionPtr revIDLastSave="0" documentId="8_{91DFF063-9D73-4897-9909-0D1776688205}" xr6:coauthVersionLast="47" xr6:coauthVersionMax="47" xr10:uidLastSave="{00000000-0000-0000-0000-000000000000}"/>
  <bookViews>
    <workbookView xWindow="-108" yWindow="-108" windowWidth="23256" windowHeight="12456" xr2:uid="{AA429282-FEF2-45FD-94BA-C337F29E10E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P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P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P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M54" i="1"/>
  <c r="L54" i="1"/>
  <c r="J54" i="1"/>
  <c r="P54" i="1" s="1"/>
  <c r="D54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D9" i="1" s="1"/>
  <c r="E9" i="1"/>
  <c r="K71" i="1" l="1"/>
  <c r="E71" i="1" s="1"/>
  <c r="P12" i="1"/>
  <c r="P42" i="1"/>
  <c r="P55" i="1"/>
  <c r="P63" i="1"/>
  <c r="P51" i="1"/>
  <c r="Q57" i="1"/>
  <c r="P9" i="1"/>
  <c r="P53" i="1"/>
  <c r="P59" i="1"/>
  <c r="Q61" i="1"/>
  <c r="Q65" i="1"/>
  <c r="Q71" i="1"/>
  <c r="P15" i="1"/>
  <c r="P39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<sst xmlns="http://schemas.openxmlformats.org/spreadsheetml/2006/main" count="271" uniqueCount="185">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</sst>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0AC83667-9AE2-4E1C-B754-C8690F6E2F23}"/>
    <cellStyle name="Comma 5 2 2 2 2 2 2 2 2 2 2 2" xfId="4" xr:uid="{A91B7521-3951-4ADF-8BF1-5DD892DFC35B}"/>
    <cellStyle name="Comma 6 2 2 2 2 2 2" xfId="5" xr:uid="{CEC0E172-DC05-4762-9BFD-2357BEA80E5F}"/>
    <cellStyle name="Hyperlink 2" xfId="8" xr:uid="{5BC8E1C7-34BD-4ED3-AECD-5536DB7C5154}"/>
    <cellStyle name="Normal" xfId="0" builtinId="0"/>
    <cellStyle name="Normal 2" xfId="2" xr:uid="{1521CD17-49FC-4243-BA62-4173B24EFD6C}"/>
    <cellStyle name="Normal 20" xfId="7" xr:uid="{7D6ACAD5-C734-4E02-B754-3A8BCF22413D}"/>
    <cellStyle name="Percent" xfId="1" builtinId="5"/>
    <cellStyle name="Percent 3" xfId="6" xr:uid="{4EFAF16B-E024-4FC0-82C9-5DBD808AB8FF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5CE4CF7-2A6B-4A3A-9240-33DCE170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06C9313-ADF4-4F62-8A56-E6C125FED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90F0-0232-4AF3-A46E-CEA743D133C5}">
  <dimension ref="A1:II107"/>
  <sheetViews>
    <sheetView tabSelected="1" zoomScale="60" zoomScaleNormal="60" workbookViewId="0">
      <selection activeCell="T12" sqref="T1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26.559100000000001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81858725.361552149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0.64949490005308907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5000</v>
      </c>
      <c r="O9" s="37">
        <v>86250</v>
      </c>
      <c r="P9" s="48">
        <f t="shared" ref="P9:P17" si="5">(R9)/J9</f>
        <v>2.3094869565217394E-2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3075979.9416772402</v>
      </c>
      <c r="E10" s="39">
        <f t="shared" si="1"/>
        <v>2552976.8396562496</v>
      </c>
      <c r="F10" s="40" t="s">
        <v>34</v>
      </c>
      <c r="G10" s="41">
        <v>3.1600000000000003E-2</v>
      </c>
      <c r="H10" s="42">
        <v>4.9856999999999999E-2</v>
      </c>
      <c r="I10" s="43">
        <v>5.0199999999999995E-2</v>
      </c>
      <c r="J10" s="44">
        <f t="shared" ref="J10:J17" si="7">I10/$J$5</f>
        <v>1.8901242888501491E-3</v>
      </c>
      <c r="K10" s="45">
        <f t="shared" si="2"/>
        <v>1.5687499999999998E-3</v>
      </c>
      <c r="L10" s="46">
        <f t="shared" si="3"/>
        <v>3.4299999999999609E-4</v>
      </c>
      <c r="M10" s="46">
        <f t="shared" si="4"/>
        <v>0.68796758729966923</v>
      </c>
      <c r="N10" s="51">
        <v>8700</v>
      </c>
      <c r="O10" s="37">
        <v>436.74</v>
      </c>
      <c r="P10" s="52">
        <f t="shared" si="5"/>
        <v>0</v>
      </c>
      <c r="Q10" s="49">
        <f t="shared" si="6"/>
        <v>0.58860759493670844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3578531.4857242899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8.1892835224085143E-3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132071413.94098443</v>
      </c>
      <c r="E12" s="39">
        <f t="shared" si="1"/>
        <v>109615559.0625</v>
      </c>
      <c r="F12" s="40" t="s">
        <v>34</v>
      </c>
      <c r="G12" s="41">
        <v>97.381</v>
      </c>
      <c r="H12" s="42">
        <v>170</v>
      </c>
      <c r="I12" s="43">
        <v>170</v>
      </c>
      <c r="J12" s="44">
        <f t="shared" si="7"/>
        <v>6.4008193048710229</v>
      </c>
      <c r="K12" s="45">
        <f t="shared" si="2"/>
        <v>5.3125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0.74572041774062692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8222330.5759607814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0.94129695659867985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18600</v>
      </c>
      <c r="O13" s="37">
        <v>465000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774913205.10651708</v>
      </c>
      <c r="E14" s="39">
        <f t="shared" si="1"/>
        <v>643156165.8045156</v>
      </c>
      <c r="F14" s="40" t="s">
        <v>47</v>
      </c>
      <c r="G14" s="41">
        <v>11.5</v>
      </c>
      <c r="H14" s="42">
        <v>41.22</v>
      </c>
      <c r="I14" s="43">
        <v>39.377299999999998</v>
      </c>
      <c r="J14" s="44">
        <f t="shared" si="7"/>
        <v>1.4826293059629279</v>
      </c>
      <c r="K14" s="45">
        <f t="shared" si="2"/>
        <v>1.2305406249999999</v>
      </c>
      <c r="L14" s="46">
        <f t="shared" si="3"/>
        <v>-1.8427000000000007</v>
      </c>
      <c r="M14" s="46">
        <f t="shared" si="4"/>
        <v>-4.4704027171276097</v>
      </c>
      <c r="N14" s="51">
        <v>5100</v>
      </c>
      <c r="O14" s="37">
        <v>200824</v>
      </c>
      <c r="P14" s="52">
        <f t="shared" si="5"/>
        <v>0</v>
      </c>
      <c r="Q14" s="49">
        <f t="shared" si="6"/>
        <v>2.4241130434782607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27549203.003866851</v>
      </c>
      <c r="E15" s="39">
        <f t="shared" si="1"/>
        <v>22865063.671875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0.25979796002123567</v>
      </c>
      <c r="K15" s="45">
        <f t="shared" si="2"/>
        <v>0.21562500000000001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80876428.342827886</v>
      </c>
      <c r="E16" s="39">
        <f t="shared" si="1"/>
        <v>67125160.875</v>
      </c>
      <c r="F16" s="40" t="s">
        <v>34</v>
      </c>
      <c r="G16" s="41">
        <v>1.9</v>
      </c>
      <c r="H16" s="42">
        <v>5.7571430000000001</v>
      </c>
      <c r="I16" s="43">
        <v>6</v>
      </c>
      <c r="J16" s="44">
        <f t="shared" si="7"/>
        <v>0.22591126958368318</v>
      </c>
      <c r="K16" s="45">
        <f t="shared" si="2"/>
        <v>0.1875</v>
      </c>
      <c r="L16" s="46">
        <f t="shared" si="3"/>
        <v>0.24285699999999988</v>
      </c>
      <c r="M16" s="46">
        <f t="shared" si="4"/>
        <v>4.2183596968148942</v>
      </c>
      <c r="N16" s="51">
        <v>900</v>
      </c>
      <c r="O16" s="37">
        <v>5400</v>
      </c>
      <c r="P16" s="52">
        <f t="shared" si="5"/>
        <v>0.22132583333333333</v>
      </c>
      <c r="Q16" s="49">
        <f t="shared" si="6"/>
        <v>2.1578947368421053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1441470204.4523914</v>
      </c>
      <c r="E17" s="39">
        <f t="shared" si="1"/>
        <v>1196379728.3459845</v>
      </c>
      <c r="F17" s="40" t="s">
        <v>34</v>
      </c>
      <c r="G17" s="41">
        <v>20.701700000000002</v>
      </c>
      <c r="H17" s="42">
        <v>28.946300000000001</v>
      </c>
      <c r="I17" s="43">
        <v>28.405700000000003</v>
      </c>
      <c r="J17" s="44">
        <f t="shared" si="7"/>
        <v>1.069527958402205</v>
      </c>
      <c r="K17" s="45">
        <f t="shared" si="2"/>
        <v>0.8876781250000001</v>
      </c>
      <c r="L17" s="46">
        <f t="shared" si="3"/>
        <v>-0.54059999999999775</v>
      </c>
      <c r="M17" s="46">
        <f t="shared" si="4"/>
        <v>-1.86759620400534</v>
      </c>
      <c r="N17" s="51">
        <v>37000</v>
      </c>
      <c r="O17" s="37">
        <v>1051010</v>
      </c>
      <c r="P17" s="48">
        <f t="shared" si="5"/>
        <v>0</v>
      </c>
      <c r="Q17" s="49">
        <f t="shared" si="6"/>
        <v>0.37214335054609049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339305731.78241724</v>
      </c>
      <c r="E19" s="39">
        <f t="shared" si="1"/>
        <v>281614214.40569997</v>
      </c>
      <c r="F19" s="40" t="s">
        <v>47</v>
      </c>
      <c r="G19" s="41">
        <v>12.45</v>
      </c>
      <c r="H19" s="42">
        <v>13.411199999999999</v>
      </c>
      <c r="I19" s="43">
        <v>13.411199999999999</v>
      </c>
      <c r="J19" s="44">
        <f t="shared" ref="J19:J45" si="8">I19/$J$5</f>
        <v>0.50495686977344856</v>
      </c>
      <c r="K19" s="45">
        <f t="shared" ref="K19:K45" si="9">I19/$K$4</f>
        <v>0.41909999999999997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7.7204819277108427E-2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3773073.1734132562</v>
      </c>
      <c r="E20" s="39">
        <f t="shared" si="1"/>
        <v>3131544.61625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3.4639728002831424E-2</v>
      </c>
      <c r="K20" s="45">
        <f t="shared" si="9"/>
        <v>2.8750000000000001E-2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77565769.702286601</v>
      </c>
      <c r="E21" s="39">
        <f t="shared" si="1"/>
        <v>64377407.315624997</v>
      </c>
      <c r="F21" s="40" t="s">
        <v>47</v>
      </c>
      <c r="G21" s="41">
        <v>2.85</v>
      </c>
      <c r="H21" s="42">
        <v>2.986364</v>
      </c>
      <c r="I21" s="43">
        <v>2.9849999999999999</v>
      </c>
      <c r="J21" s="44">
        <f t="shared" si="8"/>
        <v>0.11239085661788238</v>
      </c>
      <c r="K21" s="45">
        <f t="shared" si="9"/>
        <v>9.3281249999999996E-2</v>
      </c>
      <c r="L21" s="46">
        <f t="shared" si="10"/>
        <v>-1.3640000000001429E-3</v>
      </c>
      <c r="M21" s="46">
        <f>((I21-H21)/H21)*100</f>
        <v>-4.5674271455192428E-2</v>
      </c>
      <c r="N21" s="51">
        <v>600</v>
      </c>
      <c r="O21" s="37">
        <v>1791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1737506.9779472947</v>
      </c>
      <c r="E23" s="39">
        <f t="shared" si="1"/>
        <v>1442081.9243124998</v>
      </c>
      <c r="F23" s="40" t="s">
        <v>44</v>
      </c>
      <c r="G23" s="41">
        <v>0.1</v>
      </c>
      <c r="H23" s="42">
        <v>8.5999999999999993E-2</v>
      </c>
      <c r="I23" s="43">
        <v>8.5999999999999993E-2</v>
      </c>
      <c r="J23" s="44">
        <f t="shared" si="8"/>
        <v>3.2380615306994587E-3</v>
      </c>
      <c r="K23" s="45">
        <f t="shared" si="9"/>
        <v>2.6874999999999998E-3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-0.14000000000000012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77761725.009025142</v>
      </c>
      <c r="E24" s="39">
        <f t="shared" si="1"/>
        <v>64540044.708975002</v>
      </c>
      <c r="F24" s="40" t="s">
        <v>34</v>
      </c>
      <c r="G24" s="41">
        <v>8.1687659999999997</v>
      </c>
      <c r="H24" s="42">
        <v>10.683299999999999</v>
      </c>
      <c r="I24" s="43">
        <v>10.6998</v>
      </c>
      <c r="J24" s="44">
        <f t="shared" si="8"/>
        <v>0.40286756704858218</v>
      </c>
      <c r="K24" s="45">
        <f t="shared" si="9"/>
        <v>0.33436874999999999</v>
      </c>
      <c r="L24" s="46">
        <f t="shared" si="10"/>
        <v>1.6500000000000625E-2</v>
      </c>
      <c r="M24" s="46">
        <f t="shared" si="12"/>
        <v>0.15444665973997385</v>
      </c>
      <c r="N24" s="51">
        <v>400</v>
      </c>
      <c r="O24" s="37">
        <v>4279.8999999999996</v>
      </c>
      <c r="P24" s="48">
        <f t="shared" si="13"/>
        <v>3.7233079122974265E-2</v>
      </c>
      <c r="Q24" s="49">
        <f t="shared" si="11"/>
        <v>0.30984288202159305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107066092.41898257</v>
      </c>
      <c r="E25" s="39">
        <f t="shared" si="1"/>
        <v>88861845.473906249</v>
      </c>
      <c r="F25" s="40" t="s">
        <v>66</v>
      </c>
      <c r="G25" s="41">
        <v>1.6675</v>
      </c>
      <c r="H25" s="42">
        <v>1.7</v>
      </c>
      <c r="I25" s="43">
        <v>1.6850000000000001</v>
      </c>
      <c r="J25" s="44">
        <f t="shared" si="8"/>
        <v>6.3443414874751025E-2</v>
      </c>
      <c r="K25" s="45">
        <f t="shared" si="9"/>
        <v>5.2656250000000002E-2</v>
      </c>
      <c r="L25" s="46">
        <f t="shared" si="10"/>
        <v>-1.4999999999999902E-2</v>
      </c>
      <c r="M25" s="46">
        <f t="shared" si="12"/>
        <v>-0.8823529411764649</v>
      </c>
      <c r="N25" s="51">
        <v>100</v>
      </c>
      <c r="O25" s="37">
        <v>168.5</v>
      </c>
      <c r="P25" s="52">
        <f t="shared" si="13"/>
        <v>0</v>
      </c>
      <c r="Q25" s="49">
        <f t="shared" si="11"/>
        <v>1.0494752623688264E-2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20949161.132705811</v>
      </c>
      <c r="E26" s="39">
        <f t="shared" si="1"/>
        <v>17387214.544988971</v>
      </c>
      <c r="F26" s="40" t="s">
        <v>44</v>
      </c>
      <c r="G26" s="41">
        <v>1.7994999999999999</v>
      </c>
      <c r="H26" s="42">
        <v>2.3242210000000001</v>
      </c>
      <c r="I26" s="43">
        <v>2.3242210000000001</v>
      </c>
      <c r="J26" s="44">
        <f t="shared" si="8"/>
        <v>8.7511286150509612E-2</v>
      </c>
      <c r="K26" s="45">
        <f t="shared" si="9"/>
        <v>7.2631906250000003E-2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0.29159266462906386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24111391.293379672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2.4970810000000001</v>
      </c>
      <c r="I27" s="43">
        <v>2.5</v>
      </c>
      <c r="J27" s="44">
        <f t="shared" si="8"/>
        <v>9.4129695659867993E-2</v>
      </c>
      <c r="K27" s="45">
        <f t="shared" si="9"/>
        <v>7.8125E-2</v>
      </c>
      <c r="L27" s="46">
        <f t="shared" si="10"/>
        <v>2.9189999999998939E-3</v>
      </c>
      <c r="M27" s="46">
        <f t="shared" si="12"/>
        <v>0.11689648833978128</v>
      </c>
      <c r="N27" s="51">
        <v>600</v>
      </c>
      <c r="O27" s="37">
        <v>1500</v>
      </c>
      <c r="P27" s="52">
        <f t="shared" si="13"/>
        <v>0</v>
      </c>
      <c r="Q27" s="49">
        <f t="shared" si="11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25037381.872126687</v>
      </c>
      <c r="E28" s="39">
        <f t="shared" si="1"/>
        <v>20780322.7775</v>
      </c>
      <c r="F28" s="40" t="s">
        <v>44</v>
      </c>
      <c r="G28" s="41">
        <v>0.8</v>
      </c>
      <c r="H28" s="42">
        <v>0.88</v>
      </c>
      <c r="I28" s="43">
        <v>0.88</v>
      </c>
      <c r="J28" s="44">
        <f t="shared" si="8"/>
        <v>3.3133652872273531E-2</v>
      </c>
      <c r="K28" s="45">
        <f t="shared" si="9"/>
        <v>2.75E-2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9.9999999999999867E-2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115161006.90836661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0.25640929097748039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800</v>
      </c>
      <c r="O29" s="37">
        <v>5448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15100669.453328989</v>
      </c>
      <c r="E31" s="39">
        <f t="shared" si="1"/>
        <v>12533130.939934688</v>
      </c>
      <c r="F31" s="40" t="s">
        <v>39</v>
      </c>
      <c r="G31" s="41">
        <v>1.4</v>
      </c>
      <c r="H31" s="42">
        <v>1.5433330000000001</v>
      </c>
      <c r="I31" s="43">
        <v>1.5433330000000001</v>
      </c>
      <c r="J31" s="44">
        <f t="shared" si="8"/>
        <v>5.8109386236732417E-2</v>
      </c>
      <c r="K31" s="45">
        <f t="shared" si="9"/>
        <v>4.8229156250000002E-2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0.10238071428571449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4502745.9740729164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3.689884069866825E-2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155025981.2206648</v>
      </c>
      <c r="E33" s="39">
        <f t="shared" si="1"/>
        <v>128667204.30742997</v>
      </c>
      <c r="F33" s="40" t="s">
        <v>92</v>
      </c>
      <c r="G33" s="41">
        <v>1.44</v>
      </c>
      <c r="H33" s="42">
        <v>1.65</v>
      </c>
      <c r="I33" s="43">
        <v>1.649913</v>
      </c>
      <c r="J33" s="44">
        <f t="shared" si="8"/>
        <v>6.2122323422103908E-2</v>
      </c>
      <c r="K33" s="45">
        <f t="shared" si="9"/>
        <v>5.1559781249999999E-2</v>
      </c>
      <c r="L33" s="46">
        <f t="shared" si="14"/>
        <v>-8.699999999994823E-5</v>
      </c>
      <c r="M33" s="46">
        <f t="shared" si="15"/>
        <v>-5.2727272727241354E-3</v>
      </c>
      <c r="N33" s="51">
        <v>12600</v>
      </c>
      <c r="O33" s="37">
        <v>20788.900000000001</v>
      </c>
      <c r="P33" s="52">
        <f t="shared" si="16"/>
        <v>0</v>
      </c>
      <c r="Q33" s="49">
        <f t="shared" si="17"/>
        <v>0.14577291666666659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39943677.830009297</v>
      </c>
      <c r="E34" s="39">
        <f t="shared" si="1"/>
        <v>33152129.182968747</v>
      </c>
      <c r="F34" s="40" t="s">
        <v>34</v>
      </c>
      <c r="G34" s="41">
        <v>3.6056249999999999</v>
      </c>
      <c r="H34" s="42">
        <v>4.2021990000000002</v>
      </c>
      <c r="I34" s="43">
        <v>4.1849999999999996</v>
      </c>
      <c r="J34" s="44">
        <f t="shared" si="8"/>
        <v>0.157573110534619</v>
      </c>
      <c r="K34" s="45">
        <f t="shared" si="9"/>
        <v>0.13078124999999999</v>
      </c>
      <c r="L34" s="46">
        <f t="shared" si="14"/>
        <v>-1.719900000000063E-2</v>
      </c>
      <c r="M34" s="46">
        <f t="shared" si="15"/>
        <v>-0.40928570969629541</v>
      </c>
      <c r="N34" s="51">
        <v>60000</v>
      </c>
      <c r="O34" s="37">
        <v>251100</v>
      </c>
      <c r="P34" s="52">
        <f t="shared" si="16"/>
        <v>0</v>
      </c>
      <c r="Q34" s="49">
        <f t="shared" si="17"/>
        <v>0.16068642745709827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8799184.6919354964</v>
      </c>
      <c r="E35" s="39">
        <f t="shared" si="1"/>
        <v>7303075.8172370009</v>
      </c>
      <c r="F35" s="40" t="s">
        <v>34</v>
      </c>
      <c r="G35" s="41">
        <v>2.5099999999999997E-2</v>
      </c>
      <c r="H35" s="42">
        <v>4.5023999999999995E-2</v>
      </c>
      <c r="I35" s="43">
        <v>4.9564000000000004E-2</v>
      </c>
      <c r="J35" s="44">
        <f t="shared" si="8"/>
        <v>1.866177694274279E-3</v>
      </c>
      <c r="K35" s="45">
        <f t="shared" si="9"/>
        <v>1.5488750000000001E-3</v>
      </c>
      <c r="L35" s="46">
        <f t="shared" si="14"/>
        <v>4.5400000000000093E-3</v>
      </c>
      <c r="M35" s="46">
        <f t="shared" si="15"/>
        <v>10.08351101634686</v>
      </c>
      <c r="N35" s="51">
        <v>241900</v>
      </c>
      <c r="O35" s="37">
        <v>11989.65</v>
      </c>
      <c r="P35" s="52">
        <f t="shared" si="16"/>
        <v>0</v>
      </c>
      <c r="Q35" s="49">
        <f t="shared" si="17"/>
        <v>0.97466135458167358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81652834.662695646</v>
      </c>
      <c r="E36" s="39">
        <f t="shared" si="1"/>
        <v>67769556.284062505</v>
      </c>
      <c r="F36" s="40" t="s">
        <v>92</v>
      </c>
      <c r="G36" s="41">
        <v>0.61</v>
      </c>
      <c r="H36" s="42">
        <v>4.1500000000000004</v>
      </c>
      <c r="I36" s="43">
        <v>4.13</v>
      </c>
      <c r="J36" s="44">
        <f t="shared" si="8"/>
        <v>0.15550225723010191</v>
      </c>
      <c r="K36" s="45">
        <f t="shared" si="9"/>
        <v>0.1290625</v>
      </c>
      <c r="L36" s="46">
        <f t="shared" si="14"/>
        <v>-2.0000000000000462E-2</v>
      </c>
      <c r="M36" s="46">
        <f t="shared" si="15"/>
        <v>-0.48192771084338454</v>
      </c>
      <c r="N36" s="51">
        <v>800</v>
      </c>
      <c r="O36" s="37">
        <v>3304</v>
      </c>
      <c r="P36" s="52">
        <f t="shared" si="16"/>
        <v>0</v>
      </c>
      <c r="Q36" s="49">
        <f t="shared" si="17"/>
        <v>5.7704918032786887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53785733.761294208</v>
      </c>
      <c r="E37" s="39">
        <f t="shared" si="1"/>
        <v>44640646.298112154</v>
      </c>
      <c r="F37" s="40" t="s">
        <v>56</v>
      </c>
      <c r="G37" s="41">
        <v>0.11650199999999999</v>
      </c>
      <c r="H37" s="42">
        <v>0.310971</v>
      </c>
      <c r="I37" s="43">
        <v>0.34054099999999998</v>
      </c>
      <c r="J37" s="44">
        <f t="shared" si="8"/>
        <v>1.2822008275882842E-2</v>
      </c>
      <c r="K37" s="45">
        <f t="shared" si="9"/>
        <v>1.0641906249999999E-2</v>
      </c>
      <c r="L37" s="46">
        <f t="shared" si="14"/>
        <v>2.9569999999999985E-2</v>
      </c>
      <c r="M37" s="46">
        <f t="shared" si="15"/>
        <v>9.5089252695588939</v>
      </c>
      <c r="N37" s="51">
        <v>41700</v>
      </c>
      <c r="O37" s="37">
        <v>14200.55</v>
      </c>
      <c r="P37" s="52">
        <v>0</v>
      </c>
      <c r="Q37" s="49">
        <f t="shared" si="17"/>
        <v>1.9230485313556849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22622420.468475249</v>
      </c>
      <c r="E38" s="39">
        <f t="shared" si="1"/>
        <v>18775972.733258784</v>
      </c>
      <c r="F38" s="40" t="s">
        <v>39</v>
      </c>
      <c r="G38" s="41">
        <v>0.1</v>
      </c>
      <c r="H38" s="42">
        <v>0.13900000000000001</v>
      </c>
      <c r="I38" s="43">
        <v>0.13921900000000001</v>
      </c>
      <c r="J38" s="44">
        <f t="shared" si="8"/>
        <v>5.2418568400284648E-3</v>
      </c>
      <c r="K38" s="45">
        <f t="shared" si="9"/>
        <v>4.3505937500000003E-3</v>
      </c>
      <c r="L38" s="46">
        <f t="shared" si="14"/>
        <v>2.1899999999999697E-4</v>
      </c>
      <c r="M38" s="46">
        <f t="shared" si="15"/>
        <v>0.15755395683453016</v>
      </c>
      <c r="N38" s="51">
        <v>404300</v>
      </c>
      <c r="O38" s="37">
        <v>56286.1</v>
      </c>
      <c r="P38" s="52">
        <f t="shared" ref="P38:P44" si="18">(R38)/J38</f>
        <v>0</v>
      </c>
      <c r="Q38" s="49">
        <f t="shared" si="17"/>
        <v>0.39219000000000004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8017910.019541325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7.5303756527894394E-2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4780950.7845539954</v>
      </c>
      <c r="E40" s="39">
        <f t="shared" si="1"/>
        <v>3968054.6869390006</v>
      </c>
      <c r="F40" s="40" t="s">
        <v>39</v>
      </c>
      <c r="G40" s="41">
        <v>0.03</v>
      </c>
      <c r="H40" s="42">
        <v>7.0599999999999996E-2</v>
      </c>
      <c r="I40" s="43">
        <v>7.1416000000000007E-2</v>
      </c>
      <c r="J40" s="44">
        <f t="shared" si="8"/>
        <v>2.6889465380980533E-3</v>
      </c>
      <c r="K40" s="45">
        <f t="shared" si="9"/>
        <v>2.2317500000000002E-3</v>
      </c>
      <c r="L40" s="46">
        <f t="shared" si="14"/>
        <v>8.1600000000001116E-4</v>
      </c>
      <c r="M40" s="46">
        <f t="shared" si="15"/>
        <v>1.1558073654391094</v>
      </c>
      <c r="N40" s="51">
        <v>2500</v>
      </c>
      <c r="O40" s="37">
        <v>178.54</v>
      </c>
      <c r="P40" s="52">
        <f t="shared" si="18"/>
        <v>0</v>
      </c>
      <c r="Q40" s="49">
        <f t="shared" si="17"/>
        <v>1.3805333333333336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46173797.078967281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0.26356314784763035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314.01959772733261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6.7773380875104952E-7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1561498.6953624182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2.7109352350041982E-3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47776960.519142888</v>
      </c>
      <c r="E44" s="39">
        <f t="shared" si="1"/>
        <v>39653533.503873996</v>
      </c>
      <c r="F44" s="40" t="s">
        <v>47</v>
      </c>
      <c r="G44" s="41">
        <v>0.9998999999999999</v>
      </c>
      <c r="H44" s="42">
        <v>0.69788799999999995</v>
      </c>
      <c r="I44" s="43">
        <v>0.69788799999999995</v>
      </c>
      <c r="J44" s="44">
        <f t="shared" si="8"/>
        <v>2.627679401786958E-2</v>
      </c>
      <c r="K44" s="45">
        <f t="shared" si="9"/>
        <v>2.1808999999999999E-2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-0.30204220422042205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13722192.499553073</v>
      </c>
      <c r="E45" s="39">
        <f t="shared" si="1"/>
        <v>11389033.837965</v>
      </c>
      <c r="F45" s="40" t="s">
        <v>47</v>
      </c>
      <c r="G45" s="41">
        <v>1.4503460000000001</v>
      </c>
      <c r="H45" s="42">
        <v>3.8</v>
      </c>
      <c r="I45" s="43">
        <v>3.5482440000000004</v>
      </c>
      <c r="J45" s="44">
        <f t="shared" si="8"/>
        <v>0.13359805113878107</v>
      </c>
      <c r="K45" s="45">
        <f t="shared" si="9"/>
        <v>0.11088262500000001</v>
      </c>
      <c r="L45" s="46">
        <f t="shared" si="14"/>
        <v>-0.25175599999999942</v>
      </c>
      <c r="M45" s="46">
        <f t="shared" si="15"/>
        <v>-6.6251578947368275</v>
      </c>
      <c r="N45" s="51">
        <v>33600</v>
      </c>
      <c r="O45" s="37">
        <v>119221</v>
      </c>
      <c r="P45" s="52">
        <v>0</v>
      </c>
      <c r="Q45" s="49">
        <f t="shared" si="17"/>
        <v>1.4464810465916411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875200</v>
      </c>
      <c r="O47" s="62">
        <f>SUM(O9:O45)</f>
        <v>2299176.88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77966303.274000004</v>
      </c>
      <c r="E50" s="39">
        <v>0</v>
      </c>
      <c r="F50" s="40" t="s">
        <v>92</v>
      </c>
      <c r="G50" s="71">
        <v>0.1</v>
      </c>
      <c r="H50" s="42">
        <v>0.1401</v>
      </c>
      <c r="I50" s="42">
        <v>0.14050000000000001</v>
      </c>
      <c r="J50" s="44">
        <f t="shared" ref="J50:J65" si="20">I50</f>
        <v>0.14050000000000001</v>
      </c>
      <c r="K50" s="39">
        <v>0</v>
      </c>
      <c r="L50" s="46">
        <f t="shared" ref="L50:L65" si="21">I50-H50</f>
        <v>4.0000000000001146E-4</v>
      </c>
      <c r="M50" s="46">
        <f t="shared" ref="M50:M65" si="22">((I50-H50)/H50)*100</f>
        <v>0.28551034975018658</v>
      </c>
      <c r="N50" s="51">
        <v>1889</v>
      </c>
      <c r="O50" s="37">
        <v>265.41000000000003</v>
      </c>
      <c r="P50" s="72">
        <f>(R50)/J50</f>
        <v>0</v>
      </c>
      <c r="Q50" s="49">
        <f t="shared" ref="Q50:Q65" si="23">J50/G50-1</f>
        <v>0.40500000000000003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33860833.358499996</v>
      </c>
      <c r="E51" s="39">
        <v>0</v>
      </c>
      <c r="F51" s="40" t="s">
        <v>39</v>
      </c>
      <c r="G51" s="71">
        <v>39.9</v>
      </c>
      <c r="H51" s="42">
        <v>35.976399999999998</v>
      </c>
      <c r="I51" s="42">
        <v>32.014099999999999</v>
      </c>
      <c r="J51" s="44">
        <f t="shared" si="20"/>
        <v>32.014099999999999</v>
      </c>
      <c r="K51" s="39">
        <v>0</v>
      </c>
      <c r="L51" s="46">
        <f t="shared" si="21"/>
        <v>-3.962299999999999</v>
      </c>
      <c r="M51" s="46">
        <f t="shared" si="22"/>
        <v>-11.01360892140403</v>
      </c>
      <c r="N51" s="51">
        <v>532</v>
      </c>
      <c r="O51" s="37">
        <v>17031.5</v>
      </c>
      <c r="P51" s="73">
        <f>(R51)/J51</f>
        <v>1.7492292458635417E-2</v>
      </c>
      <c r="Q51" s="49">
        <f t="shared" si="23"/>
        <v>-0.19764160401002506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672638288.03439999</v>
      </c>
      <c r="E52" s="39"/>
      <c r="F52" s="40" t="s">
        <v>56</v>
      </c>
      <c r="G52" s="71">
        <v>0.33</v>
      </c>
      <c r="H52" s="42">
        <v>0.22359999999999999</v>
      </c>
      <c r="I52" s="42">
        <v>0.2248</v>
      </c>
      <c r="J52" s="44">
        <f t="shared" si="20"/>
        <v>0.2248</v>
      </c>
      <c r="K52" s="39">
        <v>0</v>
      </c>
      <c r="L52" s="46">
        <f t="shared" si="21"/>
        <v>1.2000000000000066E-3</v>
      </c>
      <c r="M52" s="46">
        <f t="shared" si="22"/>
        <v>0.53667262969588847</v>
      </c>
      <c r="N52" s="51">
        <v>61879</v>
      </c>
      <c r="O52" s="37">
        <v>13911.5</v>
      </c>
      <c r="P52" s="72">
        <v>0</v>
      </c>
      <c r="Q52" s="49">
        <f t="shared" si="23"/>
        <v>-0.31878787878787884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13048456.180199999</v>
      </c>
      <c r="E53" s="39">
        <v>0</v>
      </c>
      <c r="F53" s="40" t="s">
        <v>34</v>
      </c>
      <c r="G53" s="71">
        <v>2.3E-2</v>
      </c>
      <c r="H53" s="42">
        <v>2.5100000000000001E-2</v>
      </c>
      <c r="I53" s="42">
        <v>2.1399999999999999E-2</v>
      </c>
      <c r="J53" s="44">
        <f t="shared" si="20"/>
        <v>2.1399999999999999E-2</v>
      </c>
      <c r="K53" s="39">
        <v>0</v>
      </c>
      <c r="L53" s="46">
        <f t="shared" si="21"/>
        <v>-3.7000000000000019E-3</v>
      </c>
      <c r="M53" s="46">
        <f t="shared" si="22"/>
        <v>-14.741035856573712</v>
      </c>
      <c r="N53" s="51">
        <v>4800</v>
      </c>
      <c r="O53" s="37">
        <v>102.5</v>
      </c>
      <c r="P53" s="72">
        <f t="shared" ref="P53:P65" si="24">(R53)/J53</f>
        <v>0</v>
      </c>
      <c r="Q53" s="49">
        <f t="shared" si="23"/>
        <v>-6.956521739130439E-2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325918276.50029999</v>
      </c>
      <c r="E54" s="39">
        <v>0</v>
      </c>
      <c r="F54" s="40" t="s">
        <v>47</v>
      </c>
      <c r="G54" s="71">
        <v>9.0200000000000002E-2</v>
      </c>
      <c r="H54" s="42">
        <v>0.15229999999999999</v>
      </c>
      <c r="I54" s="42">
        <v>0.1507</v>
      </c>
      <c r="J54" s="44">
        <f t="shared" si="20"/>
        <v>0.1507</v>
      </c>
      <c r="K54" s="39">
        <v>0</v>
      </c>
      <c r="L54" s="46">
        <f t="shared" si="21"/>
        <v>-1.5999999999999903E-3</v>
      </c>
      <c r="M54" s="74">
        <f t="shared" si="22"/>
        <v>-1.0505581089953975</v>
      </c>
      <c r="N54" s="51">
        <v>509640</v>
      </c>
      <c r="O54" s="37">
        <v>76783.570000000007</v>
      </c>
      <c r="P54" s="72">
        <f t="shared" si="24"/>
        <v>0</v>
      </c>
      <c r="Q54" s="49">
        <f t="shared" si="23"/>
        <v>0.6707317073170731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864177638.22500002</v>
      </c>
      <c r="E55" s="39">
        <v>0</v>
      </c>
      <c r="F55" s="40" t="s">
        <v>34</v>
      </c>
      <c r="G55" s="71">
        <v>0.95750000000000002</v>
      </c>
      <c r="H55" s="42">
        <v>1.5052000000000001</v>
      </c>
      <c r="I55" s="42">
        <v>1.5004999999999999</v>
      </c>
      <c r="J55" s="44">
        <f t="shared" si="20"/>
        <v>1.5004999999999999</v>
      </c>
      <c r="K55" s="39">
        <v>0</v>
      </c>
      <c r="L55" s="46">
        <f t="shared" si="21"/>
        <v>-4.7000000000001485E-3</v>
      </c>
      <c r="M55" s="46">
        <f t="shared" si="22"/>
        <v>-0.31225086367261151</v>
      </c>
      <c r="N55" s="51">
        <v>11226</v>
      </c>
      <c r="O55" s="37">
        <v>16844.3</v>
      </c>
      <c r="P55" s="73">
        <f t="shared" si="24"/>
        <v>3.1322892369210265E-2</v>
      </c>
      <c r="Q55" s="49">
        <f t="shared" si="23"/>
        <v>0.56710182767624007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23333988.3462</v>
      </c>
      <c r="E56" s="39">
        <v>0</v>
      </c>
      <c r="F56" s="40" t="s">
        <v>34</v>
      </c>
      <c r="G56" s="71">
        <v>0.1595</v>
      </c>
      <c r="H56" s="42">
        <v>0.13469999999999999</v>
      </c>
      <c r="I56" s="42">
        <v>0.1421</v>
      </c>
      <c r="J56" s="44">
        <f t="shared" si="20"/>
        <v>0.1421</v>
      </c>
      <c r="K56" s="39">
        <v>0</v>
      </c>
      <c r="L56" s="46">
        <f t="shared" si="21"/>
        <v>7.4000000000000177E-3</v>
      </c>
      <c r="M56" s="46">
        <f t="shared" si="22"/>
        <v>5.4936896807720998</v>
      </c>
      <c r="N56" s="51">
        <v>21</v>
      </c>
      <c r="O56" s="37">
        <v>2.98</v>
      </c>
      <c r="P56" s="72">
        <f t="shared" si="24"/>
        <v>0</v>
      </c>
      <c r="Q56" s="49">
        <f t="shared" si="23"/>
        <v>-0.10909090909090913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23463548.879999999</v>
      </c>
      <c r="E57" s="39">
        <v>0</v>
      </c>
      <c r="F57" s="40" t="s">
        <v>92</v>
      </c>
      <c r="G57" s="71">
        <v>1.6799999999999999E-2</v>
      </c>
      <c r="H57" s="42">
        <v>2.3900000000000001E-2</v>
      </c>
      <c r="I57" s="42">
        <v>2.46E-2</v>
      </c>
      <c r="J57" s="44">
        <f t="shared" si="20"/>
        <v>2.46E-2</v>
      </c>
      <c r="K57" s="39">
        <v>0</v>
      </c>
      <c r="L57" s="46">
        <f t="shared" si="21"/>
        <v>6.9999999999999923E-4</v>
      </c>
      <c r="M57" s="74">
        <f t="shared" si="22"/>
        <v>2.9288702928870256</v>
      </c>
      <c r="N57" s="51">
        <v>1000</v>
      </c>
      <c r="O57" s="37">
        <v>24.55</v>
      </c>
      <c r="P57" s="72">
        <f t="shared" si="24"/>
        <v>0</v>
      </c>
      <c r="Q57" s="49">
        <f t="shared" si="23"/>
        <v>0.46428571428571441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3906995182.2766004</v>
      </c>
      <c r="E59" s="39">
        <v>0</v>
      </c>
      <c r="F59" s="40" t="s">
        <v>47</v>
      </c>
      <c r="G59" s="71">
        <v>0.78169999999999995</v>
      </c>
      <c r="H59" s="52">
        <v>0.89259999999999995</v>
      </c>
      <c r="I59" s="42">
        <v>0.86860000000000004</v>
      </c>
      <c r="J59" s="44">
        <f t="shared" si="20"/>
        <v>0.86860000000000004</v>
      </c>
      <c r="K59" s="39">
        <v>0</v>
      </c>
      <c r="L59" s="46">
        <f t="shared" si="21"/>
        <v>-2.399999999999991E-2</v>
      </c>
      <c r="M59" s="46">
        <f t="shared" si="22"/>
        <v>-2.6887743670176913</v>
      </c>
      <c r="N59" s="75">
        <v>173181</v>
      </c>
      <c r="O59" s="76">
        <v>150425.32</v>
      </c>
      <c r="P59" s="72">
        <f t="shared" si="24"/>
        <v>0</v>
      </c>
      <c r="Q59" s="49">
        <f t="shared" si="23"/>
        <v>0.11116796725086364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1131313101.7451999</v>
      </c>
      <c r="E60" s="39">
        <v>0</v>
      </c>
      <c r="F60" s="40" t="s">
        <v>92</v>
      </c>
      <c r="G60" s="71">
        <v>0.59499999999999997</v>
      </c>
      <c r="H60" s="42">
        <v>1.4246000000000001</v>
      </c>
      <c r="I60" s="42">
        <v>1.4052</v>
      </c>
      <c r="J60" s="44">
        <f t="shared" si="20"/>
        <v>1.4052</v>
      </c>
      <c r="K60" s="39">
        <v>0</v>
      </c>
      <c r="L60" s="46">
        <f t="shared" si="21"/>
        <v>-1.9400000000000084E-2</v>
      </c>
      <c r="M60" s="46">
        <f t="shared" si="22"/>
        <v>-1.3617857644251077</v>
      </c>
      <c r="N60" s="51">
        <v>82426</v>
      </c>
      <c r="O60" s="37">
        <v>115823.55</v>
      </c>
      <c r="P60" s="72">
        <f t="shared" si="24"/>
        <v>0</v>
      </c>
      <c r="Q60" s="49">
        <f t="shared" si="23"/>
        <v>1.3616806722689079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0.42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3.0000000000000027E-2</v>
      </c>
      <c r="M61" s="46">
        <f t="shared" si="22"/>
        <v>7.1428571428571495</v>
      </c>
      <c r="N61" s="51">
        <v>340</v>
      </c>
      <c r="O61" s="37">
        <v>153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405728761.49959999</v>
      </c>
      <c r="E62" s="39">
        <v>0</v>
      </c>
      <c r="F62" s="40" t="s">
        <v>34</v>
      </c>
      <c r="G62" s="71">
        <v>0.49440000000000001</v>
      </c>
      <c r="H62" s="42">
        <v>0.73760000000000003</v>
      </c>
      <c r="I62" s="42">
        <v>0.72170000000000001</v>
      </c>
      <c r="J62" s="44">
        <f t="shared" si="20"/>
        <v>0.72170000000000001</v>
      </c>
      <c r="K62" s="39">
        <v>0</v>
      </c>
      <c r="L62" s="46">
        <f t="shared" si="21"/>
        <v>-1.5900000000000025E-2</v>
      </c>
      <c r="M62" s="46">
        <f t="shared" si="22"/>
        <v>-2.1556399132321076</v>
      </c>
      <c r="N62" s="51">
        <v>14637</v>
      </c>
      <c r="O62" s="37">
        <v>10563.83</v>
      </c>
      <c r="P62" s="72">
        <f t="shared" si="24"/>
        <v>0</v>
      </c>
      <c r="Q62" s="49">
        <f t="shared" si="23"/>
        <v>0.45974919093851141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0.23910000000000001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1.0899999999999993E-2</v>
      </c>
      <c r="M63" s="46">
        <f t="shared" si="22"/>
        <v>4.5587620242576294</v>
      </c>
      <c r="N63" s="51">
        <v>200</v>
      </c>
      <c r="O63" s="37">
        <v>50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38937594.917999998</v>
      </c>
      <c r="E65" s="39">
        <v>0</v>
      </c>
      <c r="F65" s="40" t="s">
        <v>44</v>
      </c>
      <c r="G65" s="71">
        <v>4.2999999999999997E-2</v>
      </c>
      <c r="H65" s="42">
        <v>0.113</v>
      </c>
      <c r="I65" s="42">
        <v>0.113</v>
      </c>
      <c r="J65" s="44">
        <f t="shared" si="20"/>
        <v>0.113</v>
      </c>
      <c r="K65" s="39">
        <v>0</v>
      </c>
      <c r="L65" s="46">
        <f t="shared" si="21"/>
        <v>0</v>
      </c>
      <c r="M65" s="46">
        <f t="shared" si="22"/>
        <v>0</v>
      </c>
      <c r="N65" s="51">
        <v>115</v>
      </c>
      <c r="O65" s="37">
        <v>13</v>
      </c>
      <c r="P65" s="72">
        <f t="shared" si="24"/>
        <v>0</v>
      </c>
      <c r="Q65" s="49">
        <f t="shared" si="23"/>
        <v>1.6279069767441863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861886</v>
      </c>
      <c r="O66" s="63">
        <f>SUM(O50:O65)</f>
        <v>401995.01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45969193.710000001</v>
      </c>
      <c r="E71" s="39">
        <f>C71*K71</f>
        <v>45969193.710000001</v>
      </c>
      <c r="F71" s="92" t="s">
        <v>159</v>
      </c>
      <c r="G71" s="92">
        <v>0.24</v>
      </c>
      <c r="H71" s="93">
        <v>0.33</v>
      </c>
      <c r="I71" s="93">
        <v>0.33</v>
      </c>
      <c r="J71" s="94">
        <f>I71</f>
        <v>0.33</v>
      </c>
      <c r="K71" s="94">
        <f>J71</f>
        <v>0.33</v>
      </c>
      <c r="L71" s="46">
        <f>I71-H71</f>
        <v>0</v>
      </c>
      <c r="M71" s="46">
        <f>((I71-H71)/H71)*100</f>
        <v>0</v>
      </c>
      <c r="N71" s="95">
        <v>378</v>
      </c>
      <c r="O71" s="96">
        <v>124.74</v>
      </c>
      <c r="P71" s="72">
        <f>(R71)/J71</f>
        <v>0</v>
      </c>
      <c r="Q71" s="49">
        <f>J71/G71-1</f>
        <v>0.37500000000000022</v>
      </c>
      <c r="T71" s="53"/>
    </row>
    <row r="72" spans="1:20" x14ac:dyDescent="0.25">
      <c r="A72" s="35" t="s">
        <v>160</v>
      </c>
      <c r="B72" s="91" t="s">
        <v>161</v>
      </c>
      <c r="C72" s="92">
        <v>471351750</v>
      </c>
      <c r="D72" s="38">
        <f>C72*J72</f>
        <v>68393138.924999997</v>
      </c>
      <c r="E72" s="39">
        <f>C72*K72</f>
        <v>68393138.924999997</v>
      </c>
      <c r="F72" s="92" t="s">
        <v>159</v>
      </c>
      <c r="G72" s="92">
        <v>0.1</v>
      </c>
      <c r="H72" s="93">
        <v>0.14810000000000001</v>
      </c>
      <c r="I72" s="93">
        <v>0.14510000000000001</v>
      </c>
      <c r="J72" s="94">
        <f>I72</f>
        <v>0.14510000000000001</v>
      </c>
      <c r="K72" s="94">
        <f>J72</f>
        <v>0.14510000000000001</v>
      </c>
      <c r="L72" s="46">
        <f>I72-H72</f>
        <v>-3.0000000000000027E-3</v>
      </c>
      <c r="M72" s="46">
        <f>((I72-H72)/H72)*100</f>
        <v>-2.0256583389601639</v>
      </c>
      <c r="N72" s="51">
        <v>6368</v>
      </c>
      <c r="O72" s="96">
        <v>923.89</v>
      </c>
      <c r="P72" s="97">
        <f>(R72)/J72</f>
        <v>2.6133700895933837E-2</v>
      </c>
      <c r="Q72" s="49">
        <f>J72/G72-1</f>
        <v>0.45100000000000007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6746</v>
      </c>
      <c r="O73" s="63">
        <f>SUM(O71:O72)</f>
        <v>1048.6299999999999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20819695</v>
      </c>
      <c r="D75" s="38">
        <f>C75*J75</f>
        <v>2208969.6395</v>
      </c>
      <c r="E75" s="39">
        <f>C75*K75</f>
        <v>2208969.6395</v>
      </c>
      <c r="F75" s="92" t="s">
        <v>137</v>
      </c>
      <c r="G75" s="92">
        <v>0.1394</v>
      </c>
      <c r="H75" s="93">
        <v>0.1089</v>
      </c>
      <c r="I75" s="93">
        <v>0.1061</v>
      </c>
      <c r="J75" s="94">
        <f>I75</f>
        <v>0.1061</v>
      </c>
      <c r="K75" s="94">
        <f>J75</f>
        <v>0.1061</v>
      </c>
      <c r="L75" s="46">
        <f>I75-H75</f>
        <v>-2.7999999999999969E-3</v>
      </c>
      <c r="M75" s="46">
        <f>((I75-H75)/H75)*100</f>
        <v>-2.5711662075298412</v>
      </c>
      <c r="N75" s="95">
        <v>1647</v>
      </c>
      <c r="O75" s="96">
        <v>174.75</v>
      </c>
      <c r="P75" s="72">
        <f>(R75)/J75</f>
        <v>0</v>
      </c>
      <c r="Q75" s="49">
        <f>J75/G75-1</f>
        <v>-0.23888091822094693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161147.61588306836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5.0830035656328721E-3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1100</v>
      </c>
      <c r="O78" s="37">
        <v>148.5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435774.34551622608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3.2004096524355118E-3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30172.044986464145</v>
      </c>
      <c r="E80" s="39">
        <f>C80*K80</f>
        <v>25041.94875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4.518225391673663E-3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1500</v>
      </c>
      <c r="O80" s="37">
        <v>180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31646764.385841388</v>
      </c>
      <c r="E81" s="39">
        <f>C81*K81</f>
        <v>26265924.375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6.4008193048710235E-2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2600</v>
      </c>
      <c r="O82" s="63">
        <f>SUM(O78:O81)</f>
        <v>328.5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29573882.975326724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8.0292630397867396E-2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10</v>
      </c>
      <c r="O84" s="109">
        <v>21.324999999999999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71748546.25683853</v>
      </c>
      <c r="E85" s="39">
        <f>C85*K85</f>
        <v>59549275.465312503</v>
      </c>
      <c r="F85" s="40" t="s">
        <v>177</v>
      </c>
      <c r="G85" s="40">
        <v>1.44347</v>
      </c>
      <c r="H85" s="42">
        <v>1.099442</v>
      </c>
      <c r="I85" s="42">
        <v>1.035018</v>
      </c>
      <c r="J85" s="44">
        <f>I85/$J$5</f>
        <v>3.8970371736994101E-2</v>
      </c>
      <c r="K85" s="45">
        <f>I85/$K$4</f>
        <v>3.23443125E-2</v>
      </c>
      <c r="L85" s="46">
        <f>I85-H85</f>
        <v>-6.4424000000000037E-2</v>
      </c>
      <c r="M85" s="46">
        <f>((I85-H85)/H85*100)</f>
        <v>-5.8596997385946725</v>
      </c>
      <c r="N85" s="109">
        <v>26473528</v>
      </c>
      <c r="O85" s="109">
        <v>27400606.1525</v>
      </c>
      <c r="P85" s="48">
        <f>(R85)/J85</f>
        <v>5.5837291332131417E-2</v>
      </c>
      <c r="Q85" s="49">
        <f>I85/G85-1</f>
        <v>-0.28296535431979886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95</v>
      </c>
      <c r="B89" s="117">
        <v>4.9564000000000004E-2</v>
      </c>
      <c r="D89" s="117">
        <v>10.08351101634686</v>
      </c>
      <c r="E89" s="35" t="s">
        <v>115</v>
      </c>
      <c r="F89" s="118">
        <v>3.5482440000000004</v>
      </c>
      <c r="H89" s="119">
        <v>-6.6251578947368275</v>
      </c>
      <c r="J89" s="35" t="s">
        <v>142</v>
      </c>
      <c r="K89" s="52">
        <v>0.45</v>
      </c>
      <c r="L89" s="120">
        <v>7.1428571428571495</v>
      </c>
      <c r="M89" s="60" t="s">
        <v>125</v>
      </c>
      <c r="N89" s="118">
        <v>2.1399999999999999E-2</v>
      </c>
      <c r="O89" s="119">
        <v>-14.741035856573712</v>
      </c>
      <c r="Q89" s="16"/>
    </row>
    <row r="90" spans="1:243" ht="15" customHeight="1" x14ac:dyDescent="0.25">
      <c r="A90" s="35" t="s">
        <v>99</v>
      </c>
      <c r="B90" s="117">
        <v>0.34054099999999998</v>
      </c>
      <c r="D90" s="117">
        <v>9.5089252695588939</v>
      </c>
      <c r="E90" s="35" t="s">
        <v>45</v>
      </c>
      <c r="F90" s="118">
        <v>39.377299999999998</v>
      </c>
      <c r="H90" s="119">
        <v>-4.4704027171276097</v>
      </c>
      <c r="J90" s="35" t="s">
        <v>131</v>
      </c>
      <c r="K90" s="52">
        <v>0.1421</v>
      </c>
      <c r="L90" s="120">
        <v>5.4936896807720998</v>
      </c>
      <c r="M90" s="35" t="s">
        <v>121</v>
      </c>
      <c r="N90" s="118">
        <v>32.014099999999999</v>
      </c>
      <c r="O90" s="119">
        <v>-11.01360892140403</v>
      </c>
      <c r="Q90" s="16"/>
    </row>
    <row r="91" spans="1:243" ht="15" customHeight="1" x14ac:dyDescent="0.25">
      <c r="A91" s="35" t="s">
        <v>50</v>
      </c>
      <c r="B91" s="117">
        <v>6</v>
      </c>
      <c r="C91" s="117"/>
      <c r="D91" s="117">
        <v>4.2183596968148942</v>
      </c>
      <c r="E91" s="35" t="s">
        <v>52</v>
      </c>
      <c r="F91" s="118">
        <v>28.405700000000003</v>
      </c>
      <c r="H91" s="119">
        <v>-1.86759620400534</v>
      </c>
      <c r="J91" s="35" t="s">
        <v>146</v>
      </c>
      <c r="K91" s="52">
        <v>0.25</v>
      </c>
      <c r="L91" s="120">
        <v>4.5587620242576294</v>
      </c>
      <c r="M91" s="35" t="s">
        <v>138</v>
      </c>
      <c r="N91" s="118">
        <v>0.86860000000000004</v>
      </c>
      <c r="O91" s="119">
        <v>-2.6887743670176913</v>
      </c>
      <c r="Q91" s="16"/>
    </row>
    <row r="92" spans="1:243" ht="15" customHeight="1" x14ac:dyDescent="0.25">
      <c r="A92" s="35" t="s">
        <v>105</v>
      </c>
      <c r="B92" s="117">
        <v>7.1416000000000007E-2</v>
      </c>
      <c r="C92" s="117"/>
      <c r="D92" s="117">
        <v>1.1558073654391094</v>
      </c>
      <c r="E92" s="35" t="s">
        <v>73</v>
      </c>
      <c r="F92" s="118">
        <v>1.6850000000000001</v>
      </c>
      <c r="H92" s="119">
        <v>-0.8823529411764649</v>
      </c>
      <c r="J92" s="35" t="s">
        <v>133</v>
      </c>
      <c r="K92" s="52">
        <v>2.46E-2</v>
      </c>
      <c r="L92" s="120">
        <v>2.9288702928870256</v>
      </c>
      <c r="M92" s="35" t="s">
        <v>144</v>
      </c>
      <c r="N92" s="118">
        <v>0.72170000000000001</v>
      </c>
      <c r="O92" s="119">
        <v>-2.1556399132321076</v>
      </c>
      <c r="Q92" s="16"/>
    </row>
    <row r="93" spans="1:243" ht="15" customHeight="1" x14ac:dyDescent="0.25">
      <c r="A93" s="35" t="s">
        <v>35</v>
      </c>
      <c r="B93" s="117">
        <v>5.0199999999999995E-2</v>
      </c>
      <c r="C93" s="117"/>
      <c r="D93" s="117">
        <v>0.68796758729966923</v>
      </c>
      <c r="E93" s="35" t="s">
        <v>97</v>
      </c>
      <c r="F93" s="118">
        <v>4.13</v>
      </c>
      <c r="G93" s="118"/>
      <c r="H93" s="119">
        <v>-0.48192771084338454</v>
      </c>
      <c r="J93" s="35" t="s">
        <v>123</v>
      </c>
      <c r="K93" s="52">
        <v>0.2248</v>
      </c>
      <c r="L93" s="120">
        <v>0.53667262969588847</v>
      </c>
      <c r="M93" s="35" t="s">
        <v>140</v>
      </c>
      <c r="N93" s="118">
        <v>1.4052</v>
      </c>
      <c r="O93" s="119">
        <v>-1.3617857644251077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D14vyiTQbQ/DCKcPHPHD/TP7Rs4hUlGZGofyb+4rAVxkDszy1M6ZwpfomhBkoyiRlLq1/S5VnuObHb03ysVK5Q==" saltValue="QM84Gk1t3pljzQJL3oYtSQ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2026-09-04T13:19:16Z</dcterms:created>
  <dcterms:modified xsi:type="dcterms:W3CDTF">2026-09-04T13:21:47Z</dcterms:modified>
</cp:coreProperties>
</file>