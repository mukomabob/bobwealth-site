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07.05.26/"/>
    </mc:Choice>
  </mc:AlternateContent>
  <xr:revisionPtr revIDLastSave="1" documentId="8_{DB7BB0BB-0083-4A54-9034-78119FBD2F38}" xr6:coauthVersionLast="47" xr6:coauthVersionMax="47" xr10:uidLastSave="{C968DA71-EA03-420E-9DA5-C01333049C91}"/>
  <bookViews>
    <workbookView xWindow="-108" yWindow="-108" windowWidth="23256" windowHeight="12456" xr2:uid="{741C4310-0B51-4FAD-8742-62D9A83AB856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D82" i="1" s="1"/>
  <c r="E82" i="1"/>
  <c r="O80" i="1"/>
  <c r="N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P73" i="1" s="1"/>
  <c r="D73" i="1"/>
  <c r="Q72" i="1"/>
  <c r="P72" i="1"/>
  <c r="M72" i="1"/>
  <c r="L72" i="1"/>
  <c r="J72" i="1"/>
  <c r="K72" i="1" s="1"/>
  <c r="E72" i="1" s="1"/>
  <c r="M69" i="1"/>
  <c r="L69" i="1"/>
  <c r="D69" i="1"/>
  <c r="O67" i="1"/>
  <c r="N67" i="1"/>
  <c r="Q66" i="1"/>
  <c r="M66" i="1"/>
  <c r="L66" i="1"/>
  <c r="J66" i="1"/>
  <c r="P66" i="1" s="1"/>
  <c r="D66" i="1"/>
  <c r="M65" i="1"/>
  <c r="L65" i="1"/>
  <c r="J65" i="1"/>
  <c r="Q65" i="1" s="1"/>
  <c r="D65" i="1"/>
  <c r="Q64" i="1"/>
  <c r="M64" i="1"/>
  <c r="L64" i="1"/>
  <c r="J64" i="1"/>
  <c r="P64" i="1" s="1"/>
  <c r="D64" i="1"/>
  <c r="M63" i="1"/>
  <c r="L63" i="1"/>
  <c r="J63" i="1"/>
  <c r="Q63" i="1" s="1"/>
  <c r="D63" i="1"/>
  <c r="Q62" i="1"/>
  <c r="M62" i="1"/>
  <c r="L62" i="1"/>
  <c r="J62" i="1"/>
  <c r="P62" i="1" s="1"/>
  <c r="D62" i="1"/>
  <c r="M61" i="1"/>
  <c r="L61" i="1"/>
  <c r="J61" i="1"/>
  <c r="Q61" i="1" s="1"/>
  <c r="D61" i="1"/>
  <c r="Q60" i="1"/>
  <c r="M60" i="1"/>
  <c r="L60" i="1"/>
  <c r="J60" i="1"/>
  <c r="P60" i="1" s="1"/>
  <c r="D60" i="1"/>
  <c r="M59" i="1"/>
  <c r="L59" i="1"/>
  <c r="J59" i="1"/>
  <c r="Q59" i="1" s="1"/>
  <c r="D59" i="1"/>
  <c r="Q58" i="1"/>
  <c r="M58" i="1"/>
  <c r="L58" i="1"/>
  <c r="J58" i="1"/>
  <c r="P58" i="1" s="1"/>
  <c r="D58" i="1"/>
  <c r="M57" i="1"/>
  <c r="L57" i="1"/>
  <c r="J57" i="1"/>
  <c r="Q57" i="1" s="1"/>
  <c r="D57" i="1"/>
  <c r="Q56" i="1"/>
  <c r="M56" i="1"/>
  <c r="L56" i="1"/>
  <c r="J56" i="1"/>
  <c r="P56" i="1" s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Q53" i="1" s="1"/>
  <c r="D53" i="1"/>
  <c r="Q52" i="1"/>
  <c r="M52" i="1"/>
  <c r="L52" i="1"/>
  <c r="J52" i="1"/>
  <c r="E52" i="1"/>
  <c r="D52" i="1"/>
  <c r="O49" i="1"/>
  <c r="N49" i="1"/>
  <c r="Q48" i="1"/>
  <c r="M48" i="1"/>
  <c r="L48" i="1"/>
  <c r="K48" i="1"/>
  <c r="J48" i="1"/>
  <c r="D48" i="1" s="1"/>
  <c r="E48" i="1"/>
  <c r="Q47" i="1"/>
  <c r="M47" i="1"/>
  <c r="L47" i="1"/>
  <c r="K47" i="1"/>
  <c r="J47" i="1"/>
  <c r="P47" i="1" s="1"/>
  <c r="E47" i="1"/>
  <c r="D47" i="1"/>
  <c r="Q46" i="1"/>
  <c r="P46" i="1"/>
  <c r="M46" i="1"/>
  <c r="L46" i="1"/>
  <c r="K46" i="1"/>
  <c r="J46" i="1"/>
  <c r="E46" i="1"/>
  <c r="D46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J43" i="1"/>
  <c r="E43" i="1"/>
  <c r="D43" i="1"/>
  <c r="Q42" i="1"/>
  <c r="M42" i="1"/>
  <c r="L42" i="1"/>
  <c r="K42" i="1"/>
  <c r="J42" i="1"/>
  <c r="D42" i="1" s="1"/>
  <c r="E42" i="1"/>
  <c r="Q41" i="1"/>
  <c r="M41" i="1"/>
  <c r="L41" i="1"/>
  <c r="K41" i="1"/>
  <c r="J41" i="1"/>
  <c r="D41" i="1" s="1"/>
  <c r="E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E39" i="1"/>
  <c r="D39" i="1"/>
  <c r="Q38" i="1"/>
  <c r="M38" i="1"/>
  <c r="L38" i="1"/>
  <c r="K38" i="1"/>
  <c r="J38" i="1"/>
  <c r="P38" i="1" s="1"/>
  <c r="E38" i="1"/>
  <c r="D38" i="1"/>
  <c r="Q37" i="1"/>
  <c r="P37" i="1"/>
  <c r="M37" i="1"/>
  <c r="L37" i="1"/>
  <c r="K37" i="1"/>
  <c r="E37" i="1" s="1"/>
  <c r="J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E34" i="1" s="1"/>
  <c r="J34" i="1"/>
  <c r="D34" i="1"/>
  <c r="Q33" i="1"/>
  <c r="M33" i="1"/>
  <c r="L33" i="1"/>
  <c r="K33" i="1"/>
  <c r="J33" i="1"/>
  <c r="P33" i="1" s="1"/>
  <c r="E33" i="1"/>
  <c r="D33" i="1"/>
  <c r="K32" i="1"/>
  <c r="E32" i="1" s="1"/>
  <c r="J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E28" i="1" s="1"/>
  <c r="J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E25" i="1" s="1"/>
  <c r="J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E22" i="1" s="1"/>
  <c r="J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E19" i="1"/>
  <c r="D19" i="1"/>
  <c r="Q18" i="1"/>
  <c r="P18" i="1"/>
  <c r="M18" i="1"/>
  <c r="L18" i="1"/>
  <c r="K18" i="1"/>
  <c r="J18" i="1"/>
  <c r="D18" i="1" s="1"/>
  <c r="E18" i="1"/>
  <c r="Q17" i="1"/>
  <c r="M17" i="1"/>
  <c r="L17" i="1"/>
  <c r="K17" i="1"/>
  <c r="E17" i="1" s="1"/>
  <c r="J17" i="1"/>
  <c r="D17" i="1" s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J15" i="1"/>
  <c r="D15" i="1" s="1"/>
  <c r="E15" i="1"/>
  <c r="Q14" i="1"/>
  <c r="M14" i="1"/>
  <c r="L14" i="1"/>
  <c r="K14" i="1"/>
  <c r="E14" i="1" s="1"/>
  <c r="J14" i="1"/>
  <c r="P14" i="1" s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D12" i="1" s="1"/>
  <c r="E12" i="1"/>
  <c r="Q11" i="1"/>
  <c r="M11" i="1"/>
  <c r="L11" i="1"/>
  <c r="K11" i="1"/>
  <c r="E11" i="1" s="1"/>
  <c r="J11" i="1"/>
  <c r="P11" i="1" s="1"/>
  <c r="Q10" i="1"/>
  <c r="M10" i="1"/>
  <c r="L10" i="1"/>
  <c r="K10" i="1"/>
  <c r="J10" i="1"/>
  <c r="P10" i="1" s="1"/>
  <c r="E10" i="1"/>
  <c r="D10" i="1"/>
  <c r="P45" i="1" l="1"/>
  <c r="P57" i="1"/>
  <c r="P59" i="1"/>
  <c r="P61" i="1"/>
  <c r="P63" i="1"/>
  <c r="P65" i="1"/>
  <c r="K73" i="1"/>
  <c r="E73" i="1" s="1"/>
  <c r="P53" i="1"/>
  <c r="D72" i="1"/>
  <c r="P17" i="1"/>
  <c r="P41" i="1"/>
  <c r="Q73" i="1"/>
  <c r="P42" i="1"/>
  <c r="D11" i="1"/>
  <c r="D14" i="1"/>
</calcChain>
</file>

<file path=xl/sharedStrings.xml><?xml version="1.0" encoding="utf-8"?>
<sst xmlns="http://schemas.openxmlformats.org/spreadsheetml/2006/main" count="265" uniqueCount="181">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</sst>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4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164" fontId="6" fillId="5" borderId="0" xfId="4" applyFont="1" applyFill="1" applyAlignment="1"/>
    <xf numFmtId="168" fontId="6" fillId="5" borderId="0" xfId="3" applyNumberFormat="1" applyFont="1" applyFill="1"/>
    <xf numFmtId="168" fontId="6" fillId="6" borderId="0" xfId="3" applyNumberFormat="1" applyFont="1" applyFill="1"/>
    <xf numFmtId="164" fontId="6" fillId="5" borderId="0" xfId="5" applyFont="1" applyFill="1"/>
    <xf numFmtId="166" fontId="6" fillId="5" borderId="0" xfId="3" applyNumberFormat="1" applyFont="1" applyFill="1"/>
    <xf numFmtId="10" fontId="15" fillId="5" borderId="0" xfId="6" applyNumberFormat="1" applyFont="1" applyFill="1" applyAlignment="1"/>
    <xf numFmtId="9" fontId="20" fillId="5" borderId="0" xfId="1" applyFont="1" applyFill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6" fillId="5" borderId="0" xfId="3" applyFont="1" applyFill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809D38C9-FD4C-41A9-945E-14C49A522BBF}"/>
    <cellStyle name="Comma 5 2 2 2 2 2 2 2 2" xfId="4" xr:uid="{48B08B3D-DC4C-4D58-8DA4-28EF1972BEE8}"/>
    <cellStyle name="Comma 6 2 2 2" xfId="5" xr:uid="{838AE346-D22D-4712-BDB2-85803396E122}"/>
    <cellStyle name="Hyperlink 2" xfId="8" xr:uid="{89B950FB-41FA-48F7-A7A7-FEBF5381393F}"/>
    <cellStyle name="Normal" xfId="0" builtinId="0"/>
    <cellStyle name="Normal 2" xfId="2" xr:uid="{63CAA910-34B8-4A04-9D4B-E7948674E14A}"/>
    <cellStyle name="Normal 20" xfId="7" xr:uid="{804390EF-BC09-430F-A339-A85F110C393F}"/>
    <cellStyle name="Percent" xfId="1" builtinId="5"/>
    <cellStyle name="Percent 3" xfId="6" xr:uid="{308165FD-B552-45C6-B633-AF5BDFB17F83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128F6C00-38DB-4840-AD5F-F31AFF878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D42EF4B0-9CEE-4313-BC8C-C1894DE8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6082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B23B-4E7B-4DF9-AF57-09EA957AC68C}">
  <dimension ref="A1:II105"/>
  <sheetViews>
    <sheetView tabSelected="1" zoomScale="70" zoomScaleNormal="70" workbookViewId="0">
      <selection activeCell="S67" sqref="S67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0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0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25.537400000000002</v>
      </c>
      <c r="K5" s="22"/>
      <c r="L5" s="137" t="s">
        <v>12</v>
      </c>
      <c r="M5" s="138"/>
      <c r="N5" s="23" t="s">
        <v>13</v>
      </c>
      <c r="O5" s="24"/>
      <c r="P5" s="24"/>
      <c r="Q5" s="25"/>
    </row>
    <row r="6" spans="1:18" ht="6.6" customHeight="1" x14ac:dyDescent="0.3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5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5">
      <c r="A10" s="35" t="s">
        <v>32</v>
      </c>
      <c r="B10" s="36" t="s">
        <v>33</v>
      </c>
      <c r="C10" s="37">
        <v>124748059</v>
      </c>
      <c r="D10" s="38">
        <f t="shared" ref="D10:D30" si="0">C10*J10</f>
        <v>77181675.981110051</v>
      </c>
      <c r="E10" s="39">
        <f t="shared" ref="E10:E30" si="1">C10*K10</f>
        <v>65700644.406666674</v>
      </c>
      <c r="F10" s="40" t="s">
        <v>34</v>
      </c>
      <c r="G10" s="41">
        <v>8.9894999999999996</v>
      </c>
      <c r="H10" s="42">
        <v>15.8</v>
      </c>
      <c r="I10" s="42">
        <v>15.8</v>
      </c>
      <c r="J10" s="43">
        <f>(I10/$J$5)</f>
        <v>0.61870041586065927</v>
      </c>
      <c r="K10" s="44">
        <f t="shared" ref="K10:K18" si="2">I10/$K$4</f>
        <v>0.52666666666666673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400</v>
      </c>
      <c r="O10" s="37">
        <v>6320</v>
      </c>
      <c r="P10" s="47">
        <f t="shared" ref="P10:P18" si="5">(R10)/J10</f>
        <v>0</v>
      </c>
      <c r="Q10" s="48">
        <f t="shared" ref="Q10:Q18" si="6">I10/G10-1</f>
        <v>0.75760609600089013</v>
      </c>
      <c r="R10" s="49"/>
    </row>
    <row r="11" spans="1:18" x14ac:dyDescent="0.25">
      <c r="A11" s="35" t="s">
        <v>35</v>
      </c>
      <c r="B11" s="36" t="s">
        <v>36</v>
      </c>
      <c r="C11" s="37">
        <v>1627395595</v>
      </c>
      <c r="D11" s="38">
        <f t="shared" si="0"/>
        <v>4106756.4326900938</v>
      </c>
      <c r="E11" s="39">
        <f t="shared" si="1"/>
        <v>3495862.7241393337</v>
      </c>
      <c r="F11" s="40" t="s">
        <v>34</v>
      </c>
      <c r="G11" s="41">
        <v>3.1600000000000003E-2</v>
      </c>
      <c r="H11" s="42">
        <v>5.9675000000000006E-2</v>
      </c>
      <c r="I11" s="42">
        <v>6.4444000000000001E-2</v>
      </c>
      <c r="J11" s="43">
        <f t="shared" ref="J11:J18" si="7">I11/$J$5</f>
        <v>2.5235145316281219E-3</v>
      </c>
      <c r="K11" s="44">
        <f t="shared" si="2"/>
        <v>2.1481333333333336E-3</v>
      </c>
      <c r="L11" s="45">
        <f t="shared" si="3"/>
        <v>4.7689999999999955E-3</v>
      </c>
      <c r="M11" s="45">
        <f t="shared" si="4"/>
        <v>7.9916212819438543</v>
      </c>
      <c r="N11" s="46">
        <v>4500</v>
      </c>
      <c r="O11" s="37">
        <v>290</v>
      </c>
      <c r="P11" s="47">
        <f t="shared" si="5"/>
        <v>0</v>
      </c>
      <c r="Q11" s="48">
        <f t="shared" si="6"/>
        <v>1.039367088607595</v>
      </c>
      <c r="R11" s="49"/>
    </row>
    <row r="12" spans="1:18" x14ac:dyDescent="0.25">
      <c r="A12" s="35" t="s">
        <v>37</v>
      </c>
      <c r="B12" s="36" t="s">
        <v>38</v>
      </c>
      <c r="C12" s="37">
        <v>436977359</v>
      </c>
      <c r="D12" s="38">
        <f t="shared" si="0"/>
        <v>3764479.5077024279</v>
      </c>
      <c r="E12" s="39">
        <f t="shared" si="1"/>
        <v>3204500.6326666665</v>
      </c>
      <c r="F12" s="40" t="s">
        <v>39</v>
      </c>
      <c r="G12" s="41">
        <v>7.8E-2</v>
      </c>
      <c r="H12" s="42">
        <v>0.23064800000000002</v>
      </c>
      <c r="I12" s="42">
        <v>0.22</v>
      </c>
      <c r="J12" s="43">
        <f t="shared" si="7"/>
        <v>8.6148159170471531E-3</v>
      </c>
      <c r="K12" s="44">
        <f t="shared" si="2"/>
        <v>7.3333333333333332E-3</v>
      </c>
      <c r="L12" s="45">
        <f t="shared" si="3"/>
        <v>-1.0648000000000019E-2</v>
      </c>
      <c r="M12" s="45">
        <f t="shared" si="4"/>
        <v>-4.6165585654330492</v>
      </c>
      <c r="N12" s="46">
        <v>7000</v>
      </c>
      <c r="O12" s="37">
        <v>1540</v>
      </c>
      <c r="P12" s="47">
        <f t="shared" si="5"/>
        <v>0</v>
      </c>
      <c r="Q12" s="48">
        <f t="shared" si="6"/>
        <v>1.8205128205128207</v>
      </c>
      <c r="R12" s="49"/>
    </row>
    <row r="13" spans="1:18" x14ac:dyDescent="0.25">
      <c r="A13" s="35" t="s">
        <v>40</v>
      </c>
      <c r="B13" s="36" t="s">
        <v>41</v>
      </c>
      <c r="C13" s="37">
        <v>20633517</v>
      </c>
      <c r="D13" s="38">
        <f t="shared" si="0"/>
        <v>145435050.55330613</v>
      </c>
      <c r="E13" s="39">
        <f t="shared" si="1"/>
        <v>123801102</v>
      </c>
      <c r="F13" s="40" t="s">
        <v>34</v>
      </c>
      <c r="G13" s="41">
        <v>97.381</v>
      </c>
      <c r="H13" s="42">
        <v>199.7482</v>
      </c>
      <c r="I13" s="42">
        <v>180</v>
      </c>
      <c r="J13" s="43">
        <f t="shared" si="7"/>
        <v>7.0484857503113076</v>
      </c>
      <c r="K13" s="44">
        <f t="shared" si="2"/>
        <v>6</v>
      </c>
      <c r="L13" s="45">
        <f t="shared" si="3"/>
        <v>-19.748199999999997</v>
      </c>
      <c r="M13" s="45">
        <f t="shared" si="4"/>
        <v>-9.8865471628780615</v>
      </c>
      <c r="N13" s="46">
        <v>500</v>
      </c>
      <c r="O13" s="37">
        <v>90000</v>
      </c>
      <c r="P13" s="47">
        <f t="shared" si="5"/>
        <v>0</v>
      </c>
      <c r="Q13" s="48">
        <f t="shared" si="6"/>
        <v>0.84840985407831093</v>
      </c>
      <c r="R13" s="49"/>
    </row>
    <row r="14" spans="1:18" x14ac:dyDescent="0.25">
      <c r="A14" s="35" t="s">
        <v>42</v>
      </c>
      <c r="B14" s="36" t="s">
        <v>43</v>
      </c>
      <c r="C14" s="37">
        <v>8735108</v>
      </c>
      <c r="D14" s="38">
        <f t="shared" si="0"/>
        <v>4446841.5560707031</v>
      </c>
      <c r="E14" s="39">
        <f t="shared" si="1"/>
        <v>3785359.0517999995</v>
      </c>
      <c r="F14" s="40" t="s">
        <v>44</v>
      </c>
      <c r="G14" s="41">
        <v>13.6</v>
      </c>
      <c r="H14" s="42">
        <v>13.000499999999999</v>
      </c>
      <c r="I14" s="42">
        <v>13.000499999999999</v>
      </c>
      <c r="J14" s="43">
        <f t="shared" si="7"/>
        <v>0.50907688331623413</v>
      </c>
      <c r="K14" s="44">
        <f t="shared" si="2"/>
        <v>0.43334999999999996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-4.4080882352941275E-2</v>
      </c>
      <c r="R14" s="49"/>
    </row>
    <row r="15" spans="1:18" x14ac:dyDescent="0.25">
      <c r="A15" s="35" t="s">
        <v>45</v>
      </c>
      <c r="B15" s="36" t="s">
        <v>46</v>
      </c>
      <c r="C15" s="37">
        <v>522661465</v>
      </c>
      <c r="D15" s="38">
        <f t="shared" si="0"/>
        <v>313819145.30392677</v>
      </c>
      <c r="E15" s="39">
        <f t="shared" si="1"/>
        <v>267137501.37614998</v>
      </c>
      <c r="F15" s="40" t="s">
        <v>47</v>
      </c>
      <c r="G15" s="41">
        <v>11.5</v>
      </c>
      <c r="H15" s="42">
        <v>15.2761</v>
      </c>
      <c r="I15" s="42">
        <v>15.333299999999999</v>
      </c>
      <c r="J15" s="43">
        <f t="shared" si="7"/>
        <v>0.60042525864026874</v>
      </c>
      <c r="K15" s="44">
        <f t="shared" si="2"/>
        <v>0.51110999999999995</v>
      </c>
      <c r="L15" s="45">
        <f t="shared" si="3"/>
        <v>5.7199999999999918E-2</v>
      </c>
      <c r="M15" s="45">
        <f t="shared" si="4"/>
        <v>0.37444112044304451</v>
      </c>
      <c r="N15" s="46">
        <v>2100</v>
      </c>
      <c r="O15" s="37">
        <v>32200</v>
      </c>
      <c r="P15" s="47">
        <f t="shared" si="5"/>
        <v>0</v>
      </c>
      <c r="Q15" s="48">
        <f t="shared" si="6"/>
        <v>0.33333043478260871</v>
      </c>
      <c r="R15" s="49"/>
    </row>
    <row r="16" spans="1:18" x14ac:dyDescent="0.25">
      <c r="A16" s="35" t="s">
        <v>48</v>
      </c>
      <c r="B16" s="36" t="s">
        <v>49</v>
      </c>
      <c r="C16" s="37">
        <v>106040875</v>
      </c>
      <c r="D16" s="38">
        <f t="shared" si="0"/>
        <v>24914253.212934751</v>
      </c>
      <c r="E16" s="39">
        <f t="shared" si="1"/>
        <v>21208175</v>
      </c>
      <c r="F16" s="40" t="s">
        <v>34</v>
      </c>
      <c r="G16" s="41">
        <v>5.39</v>
      </c>
      <c r="H16" s="42">
        <v>6</v>
      </c>
      <c r="I16" s="42">
        <v>6</v>
      </c>
      <c r="J16" s="43">
        <f t="shared" si="7"/>
        <v>0.23494952501037691</v>
      </c>
      <c r="K16" s="44">
        <f t="shared" si="2"/>
        <v>0.2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0.1131725417439704</v>
      </c>
      <c r="R16" s="49"/>
    </row>
    <row r="17" spans="1:19" x14ac:dyDescent="0.25">
      <c r="A17" s="35" t="s">
        <v>50</v>
      </c>
      <c r="B17" s="36" t="s">
        <v>51</v>
      </c>
      <c r="C17" s="37">
        <v>358000858</v>
      </c>
      <c r="D17" s="38">
        <f t="shared" si="0"/>
        <v>36448590.33417654</v>
      </c>
      <c r="E17" s="39">
        <f t="shared" si="1"/>
        <v>31026741.026666667</v>
      </c>
      <c r="F17" s="40" t="s">
        <v>34</v>
      </c>
      <c r="G17" s="41">
        <v>1.9</v>
      </c>
      <c r="H17" s="42">
        <v>2.7803849999999999</v>
      </c>
      <c r="I17" s="42">
        <v>2.6</v>
      </c>
      <c r="J17" s="43">
        <f t="shared" si="7"/>
        <v>0.10181146083783001</v>
      </c>
      <c r="K17" s="44">
        <f t="shared" si="2"/>
        <v>8.666666666666667E-2</v>
      </c>
      <c r="L17" s="45">
        <f t="shared" si="3"/>
        <v>-0.1803849999999998</v>
      </c>
      <c r="M17" s="45">
        <f t="shared" si="4"/>
        <v>-6.4877705785349793</v>
      </c>
      <c r="N17" s="46">
        <v>1600</v>
      </c>
      <c r="O17" s="37">
        <v>4160</v>
      </c>
      <c r="P17" s="47">
        <f t="shared" si="5"/>
        <v>0</v>
      </c>
      <c r="Q17" s="48">
        <f t="shared" si="6"/>
        <v>0.36842105263157898</v>
      </c>
      <c r="R17" s="49"/>
    </row>
    <row r="18" spans="1:19" x14ac:dyDescent="0.25">
      <c r="A18" s="35" t="s">
        <v>52</v>
      </c>
      <c r="B18" s="36" t="s">
        <v>53</v>
      </c>
      <c r="C18" s="37">
        <v>1341613815</v>
      </c>
      <c r="D18" s="38">
        <f t="shared" si="0"/>
        <v>1483112270.1802845</v>
      </c>
      <c r="E18" s="39">
        <f t="shared" si="1"/>
        <v>1262494376.2833998</v>
      </c>
      <c r="F18" s="40" t="s">
        <v>34</v>
      </c>
      <c r="G18" s="41">
        <v>20.701700000000002</v>
      </c>
      <c r="H18" s="42">
        <v>27.9862</v>
      </c>
      <c r="I18" s="42">
        <v>28.230799999999999</v>
      </c>
      <c r="J18" s="43">
        <f t="shared" si="7"/>
        <v>1.1054688417771581</v>
      </c>
      <c r="K18" s="44">
        <f t="shared" si="2"/>
        <v>0.94102666666666657</v>
      </c>
      <c r="L18" s="45">
        <f t="shared" si="3"/>
        <v>0.24459999999999837</v>
      </c>
      <c r="M18" s="45">
        <f t="shared" si="4"/>
        <v>0.8740021867920561</v>
      </c>
      <c r="N18" s="46">
        <v>2600</v>
      </c>
      <c r="O18" s="37">
        <v>73400.2</v>
      </c>
      <c r="P18" s="47">
        <f t="shared" si="5"/>
        <v>0</v>
      </c>
      <c r="Q18" s="48">
        <f t="shared" si="6"/>
        <v>0.36369476902863029</v>
      </c>
      <c r="R18" s="49"/>
    </row>
    <row r="19" spans="1:19" hidden="1" x14ac:dyDescent="0.25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5">
      <c r="A20" s="35" t="s">
        <v>58</v>
      </c>
      <c r="B20" s="36" t="s">
        <v>59</v>
      </c>
      <c r="C20" s="37">
        <v>671949927</v>
      </c>
      <c r="D20" s="38">
        <f t="shared" si="0"/>
        <v>260977322.1590791</v>
      </c>
      <c r="E20" s="39">
        <f t="shared" si="1"/>
        <v>222156075.5635089</v>
      </c>
      <c r="F20" s="40" t="s">
        <v>47</v>
      </c>
      <c r="G20" s="41">
        <v>12.45</v>
      </c>
      <c r="H20" s="42">
        <v>9.953125</v>
      </c>
      <c r="I20" s="42">
        <v>9.9184210000000004</v>
      </c>
      <c r="J20" s="43">
        <f t="shared" ref="J20:J30" si="8">I20/$J$5</f>
        <v>0.38838805046715796</v>
      </c>
      <c r="K20" s="44">
        <f t="shared" ref="K20:K30" si="9">I20/$K$4</f>
        <v>0.33061403333333333</v>
      </c>
      <c r="L20" s="45">
        <f t="shared" ref="L20:L30" si="10">I20-H20</f>
        <v>-3.4703999999999624E-2</v>
      </c>
      <c r="M20" s="45">
        <f t="shared" ref="M20:M30" si="11">((I20-H20)/H20)*100</f>
        <v>-0.34867441130297894</v>
      </c>
      <c r="N20" s="46">
        <v>3800</v>
      </c>
      <c r="O20" s="37">
        <v>37690</v>
      </c>
      <c r="P20" s="47">
        <f t="shared" ref="P20:P30" si="12">(R20)/J20</f>
        <v>0</v>
      </c>
      <c r="Q20" s="48">
        <f t="shared" ref="Q20:Q30" si="13">I20/G20-1</f>
        <v>-0.20333967871485936</v>
      </c>
      <c r="R20" s="49"/>
    </row>
    <row r="21" spans="1:19" x14ac:dyDescent="0.25">
      <c r="A21" s="35" t="s">
        <v>60</v>
      </c>
      <c r="B21" s="36" t="s">
        <v>61</v>
      </c>
      <c r="C21" s="37">
        <v>108923291</v>
      </c>
      <c r="D21" s="38">
        <f t="shared" si="0"/>
        <v>2467500.2093511089</v>
      </c>
      <c r="E21" s="39">
        <f t="shared" si="1"/>
        <v>2100451.3282094332</v>
      </c>
      <c r="F21" s="40" t="s">
        <v>47</v>
      </c>
      <c r="G21" s="41">
        <v>0.35</v>
      </c>
      <c r="H21" s="42">
        <v>0.57851300000000005</v>
      </c>
      <c r="I21" s="42">
        <v>0.57851300000000005</v>
      </c>
      <c r="J21" s="43">
        <f t="shared" si="8"/>
        <v>2.2653559093721368E-2</v>
      </c>
      <c r="K21" s="44">
        <f t="shared" si="9"/>
        <v>1.9283766666666667E-2</v>
      </c>
      <c r="L21" s="45">
        <f t="shared" si="10"/>
        <v>0</v>
      </c>
      <c r="M21" s="45">
        <f t="shared" si="11"/>
        <v>0</v>
      </c>
      <c r="N21" s="46">
        <v>0</v>
      </c>
      <c r="O21" s="37">
        <v>0</v>
      </c>
      <c r="P21" s="47">
        <f t="shared" si="12"/>
        <v>0</v>
      </c>
      <c r="Q21" s="48">
        <f t="shared" si="13"/>
        <v>0.65289428571428587</v>
      </c>
      <c r="R21" s="49"/>
    </row>
    <row r="22" spans="1:19" x14ac:dyDescent="0.25">
      <c r="A22" s="35" t="s">
        <v>62</v>
      </c>
      <c r="B22" s="36" t="s">
        <v>63</v>
      </c>
      <c r="C22" s="37">
        <v>690143060</v>
      </c>
      <c r="D22" s="38">
        <f t="shared" si="0"/>
        <v>76513957.514273182</v>
      </c>
      <c r="E22" s="39">
        <f t="shared" si="1"/>
        <v>65132251.287500001</v>
      </c>
      <c r="F22" s="40" t="s">
        <v>47</v>
      </c>
      <c r="G22" s="41">
        <v>2.85</v>
      </c>
      <c r="H22" s="42">
        <v>2.88</v>
      </c>
      <c r="I22" s="42">
        <v>2.8312499999999998</v>
      </c>
      <c r="J22" s="43">
        <f t="shared" si="8"/>
        <v>0.1108668071142716</v>
      </c>
      <c r="K22" s="44">
        <f t="shared" si="9"/>
        <v>9.4375000000000001E-2</v>
      </c>
      <c r="L22" s="45">
        <f t="shared" si="10"/>
        <v>-4.8750000000000071E-2</v>
      </c>
      <c r="M22" s="45">
        <f t="shared" si="11"/>
        <v>-1.6927083333333359</v>
      </c>
      <c r="N22" s="46">
        <v>800</v>
      </c>
      <c r="O22" s="37">
        <v>2265</v>
      </c>
      <c r="P22" s="47">
        <f t="shared" si="12"/>
        <v>0</v>
      </c>
      <c r="Q22" s="48">
        <f t="shared" si="13"/>
        <v>-6.5789473684211286E-3</v>
      </c>
      <c r="R22" s="49"/>
    </row>
    <row r="23" spans="1:19" x14ac:dyDescent="0.25">
      <c r="A23" s="35" t="s">
        <v>64</v>
      </c>
      <c r="B23" s="36" t="s">
        <v>65</v>
      </c>
      <c r="C23" s="37">
        <v>1236075493</v>
      </c>
      <c r="D23" s="38">
        <f t="shared" si="0"/>
        <v>54210865.325365938</v>
      </c>
      <c r="E23" s="39">
        <f t="shared" si="1"/>
        <v>46146818.40533334</v>
      </c>
      <c r="F23" s="40" t="s">
        <v>66</v>
      </c>
      <c r="G23" s="41">
        <v>0.88420599999999994</v>
      </c>
      <c r="H23" s="42">
        <v>1.1299999999999999</v>
      </c>
      <c r="I23" s="42">
        <v>1.1200000000000001</v>
      </c>
      <c r="J23" s="43">
        <f t="shared" si="8"/>
        <v>4.3857244668603697E-2</v>
      </c>
      <c r="K23" s="44">
        <f t="shared" si="9"/>
        <v>3.7333333333333336E-2</v>
      </c>
      <c r="L23" s="45">
        <f t="shared" si="10"/>
        <v>-9.9999999999997868E-3</v>
      </c>
      <c r="M23" s="45">
        <f t="shared" si="11"/>
        <v>-0.88495575221237066</v>
      </c>
      <c r="N23" s="46">
        <v>1400</v>
      </c>
      <c r="O23" s="37">
        <v>1568</v>
      </c>
      <c r="P23" s="47">
        <f t="shared" si="12"/>
        <v>0</v>
      </c>
      <c r="Q23" s="48">
        <f t="shared" si="13"/>
        <v>0.26667315082684362</v>
      </c>
      <c r="R23" s="49"/>
    </row>
    <row r="24" spans="1:19" x14ac:dyDescent="0.25">
      <c r="A24" s="35" t="s">
        <v>67</v>
      </c>
      <c r="B24" s="36" t="s">
        <v>68</v>
      </c>
      <c r="C24" s="37">
        <v>536588623</v>
      </c>
      <c r="D24" s="38">
        <f t="shared" si="0"/>
        <v>2521424.8419964444</v>
      </c>
      <c r="E24" s="39">
        <f t="shared" si="1"/>
        <v>2146354.4920000001</v>
      </c>
      <c r="F24" s="40" t="s">
        <v>44</v>
      </c>
      <c r="G24" s="41">
        <v>0.1</v>
      </c>
      <c r="H24" s="42">
        <v>0.12</v>
      </c>
      <c r="I24" s="42">
        <v>0.12</v>
      </c>
      <c r="J24" s="43">
        <f t="shared" si="8"/>
        <v>4.6989905002075387E-3</v>
      </c>
      <c r="K24" s="44">
        <f t="shared" si="9"/>
        <v>4.0000000000000001E-3</v>
      </c>
      <c r="L24" s="45">
        <f t="shared" si="10"/>
        <v>0</v>
      </c>
      <c r="M24" s="45">
        <f t="shared" si="11"/>
        <v>0</v>
      </c>
      <c r="N24" s="46">
        <v>700</v>
      </c>
      <c r="O24" s="37">
        <v>84</v>
      </c>
      <c r="P24" s="47">
        <f t="shared" si="12"/>
        <v>0</v>
      </c>
      <c r="Q24" s="48">
        <f t="shared" si="13"/>
        <v>0.19999999999999996</v>
      </c>
      <c r="R24" s="49"/>
    </row>
    <row r="25" spans="1:19" x14ac:dyDescent="0.25">
      <c r="A25" s="35" t="s">
        <v>69</v>
      </c>
      <c r="B25" s="36" t="s">
        <v>70</v>
      </c>
      <c r="C25" s="37">
        <v>193020564</v>
      </c>
      <c r="D25" s="38">
        <f t="shared" si="0"/>
        <v>72723502.308368579</v>
      </c>
      <c r="E25" s="39">
        <f t="shared" si="1"/>
        <v>61905638.928324401</v>
      </c>
      <c r="F25" s="40" t="s">
        <v>34</v>
      </c>
      <c r="G25" s="41">
        <v>8.1687659999999997</v>
      </c>
      <c r="H25" s="42">
        <v>9.49</v>
      </c>
      <c r="I25" s="42">
        <v>9.621613</v>
      </c>
      <c r="J25" s="43">
        <f t="shared" si="8"/>
        <v>0.37676556736394462</v>
      </c>
      <c r="K25" s="44">
        <f t="shared" si="9"/>
        <v>0.32072043333333333</v>
      </c>
      <c r="L25" s="45">
        <f t="shared" si="10"/>
        <v>0.13161299999999976</v>
      </c>
      <c r="M25" s="45">
        <f t="shared" si="11"/>
        <v>1.3868598524762881</v>
      </c>
      <c r="N25" s="46">
        <v>3100</v>
      </c>
      <c r="O25" s="37">
        <v>29827</v>
      </c>
      <c r="P25" s="47">
        <f t="shared" si="12"/>
        <v>0</v>
      </c>
      <c r="Q25" s="48">
        <f t="shared" si="13"/>
        <v>0.17785391330832589</v>
      </c>
      <c r="R25" s="49"/>
      <c r="S25" s="5" t="s">
        <v>71</v>
      </c>
    </row>
    <row r="26" spans="1:19" x14ac:dyDescent="0.25">
      <c r="A26" s="35" t="s">
        <v>72</v>
      </c>
      <c r="B26" s="36" t="s">
        <v>73</v>
      </c>
      <c r="C26" s="37">
        <v>1687584009</v>
      </c>
      <c r="D26" s="38">
        <f t="shared" si="0"/>
        <v>85907696.621425837</v>
      </c>
      <c r="E26" s="39">
        <f t="shared" si="1"/>
        <v>73128640.390000001</v>
      </c>
      <c r="F26" s="40" t="s">
        <v>66</v>
      </c>
      <c r="G26" s="41">
        <v>1.6675</v>
      </c>
      <c r="H26" s="42">
        <v>1.3</v>
      </c>
      <c r="I26" s="42">
        <v>1.3</v>
      </c>
      <c r="J26" s="43">
        <f t="shared" si="8"/>
        <v>5.0905730418915003E-2</v>
      </c>
      <c r="K26" s="44">
        <f t="shared" si="9"/>
        <v>4.3333333333333335E-2</v>
      </c>
      <c r="L26" s="45">
        <f t="shared" si="10"/>
        <v>0</v>
      </c>
      <c r="M26" s="45">
        <f t="shared" si="11"/>
        <v>0</v>
      </c>
      <c r="N26" s="46">
        <v>2100</v>
      </c>
      <c r="O26" s="37">
        <v>2730</v>
      </c>
      <c r="P26" s="47">
        <f t="shared" si="12"/>
        <v>0</v>
      </c>
      <c r="Q26" s="48">
        <f t="shared" si="13"/>
        <v>-0.22038980509745121</v>
      </c>
      <c r="R26" s="49"/>
    </row>
    <row r="27" spans="1:19" x14ac:dyDescent="0.25">
      <c r="A27" s="35" t="s">
        <v>74</v>
      </c>
      <c r="B27" s="36" t="s">
        <v>75</v>
      </c>
      <c r="C27" s="37">
        <v>239388107</v>
      </c>
      <c r="D27" s="38">
        <f t="shared" si="0"/>
        <v>33746473.219669975</v>
      </c>
      <c r="E27" s="39">
        <f t="shared" si="1"/>
        <v>28726572.840000004</v>
      </c>
      <c r="F27" s="40" t="s">
        <v>44</v>
      </c>
      <c r="G27" s="41">
        <v>1.7994999999999999</v>
      </c>
      <c r="H27" s="42">
        <v>3.6999659999999999</v>
      </c>
      <c r="I27" s="42">
        <v>3.6</v>
      </c>
      <c r="J27" s="43">
        <f t="shared" si="8"/>
        <v>0.14096971500622615</v>
      </c>
      <c r="K27" s="44">
        <f t="shared" si="9"/>
        <v>0.12000000000000001</v>
      </c>
      <c r="L27" s="45">
        <f t="shared" si="10"/>
        <v>-9.9965999999999777E-2</v>
      </c>
      <c r="M27" s="45">
        <f t="shared" si="11"/>
        <v>-2.7018086112142594</v>
      </c>
      <c r="N27" s="46">
        <v>400</v>
      </c>
      <c r="O27" s="37">
        <v>1440</v>
      </c>
      <c r="P27" s="47">
        <f t="shared" si="12"/>
        <v>0</v>
      </c>
      <c r="Q27" s="48">
        <f t="shared" si="13"/>
        <v>1.0005557099194222</v>
      </c>
      <c r="R27" s="49"/>
    </row>
    <row r="28" spans="1:19" x14ac:dyDescent="0.25">
      <c r="A28" s="35" t="s">
        <v>76</v>
      </c>
      <c r="B28" s="36" t="s">
        <v>77</v>
      </c>
      <c r="C28" s="37">
        <v>256150741</v>
      </c>
      <c r="D28" s="38">
        <f t="shared" si="0"/>
        <v>31431200.68368154</v>
      </c>
      <c r="E28" s="39">
        <f t="shared" si="1"/>
        <v>26755704.81131497</v>
      </c>
      <c r="F28" s="40" t="s">
        <v>34</v>
      </c>
      <c r="G28" s="41">
        <v>3.1361369999999997</v>
      </c>
      <c r="H28" s="42">
        <v>3.15</v>
      </c>
      <c r="I28" s="42">
        <v>3.1335890000000002</v>
      </c>
      <c r="J28" s="43">
        <f t="shared" si="8"/>
        <v>0.12270587452129034</v>
      </c>
      <c r="K28" s="44">
        <f t="shared" si="9"/>
        <v>0.10445296666666667</v>
      </c>
      <c r="L28" s="45">
        <f t="shared" si="10"/>
        <v>-1.6410999999999731E-2</v>
      </c>
      <c r="M28" s="45">
        <f t="shared" si="11"/>
        <v>-0.52098412698411845</v>
      </c>
      <c r="N28" s="46">
        <v>2800</v>
      </c>
      <c r="O28" s="37">
        <v>8774.0499999999993</v>
      </c>
      <c r="P28" s="47">
        <f t="shared" si="12"/>
        <v>0</v>
      </c>
      <c r="Q28" s="48">
        <f t="shared" si="13"/>
        <v>-8.1246450649308244E-4</v>
      </c>
      <c r="R28" s="49"/>
    </row>
    <row r="29" spans="1:19" x14ac:dyDescent="0.25">
      <c r="A29" s="35" t="s">
        <v>78</v>
      </c>
      <c r="B29" s="36" t="s">
        <v>79</v>
      </c>
      <c r="C29" s="37">
        <v>755648101</v>
      </c>
      <c r="D29" s="38">
        <f t="shared" si="0"/>
        <v>25595229.246712666</v>
      </c>
      <c r="E29" s="39">
        <f t="shared" si="1"/>
        <v>21787853.578833334</v>
      </c>
      <c r="F29" s="40" t="s">
        <v>44</v>
      </c>
      <c r="G29" s="41">
        <v>0.8</v>
      </c>
      <c r="H29" s="42">
        <v>0.86250000000000004</v>
      </c>
      <c r="I29" s="42">
        <v>0.86499999999999999</v>
      </c>
      <c r="J29" s="43">
        <f t="shared" si="8"/>
        <v>3.3871889855662675E-2</v>
      </c>
      <c r="K29" s="44">
        <f t="shared" si="9"/>
        <v>2.8833333333333332E-2</v>
      </c>
      <c r="L29" s="45">
        <f t="shared" si="10"/>
        <v>2.4999999999999467E-3</v>
      </c>
      <c r="M29" s="45">
        <f t="shared" si="11"/>
        <v>0.28985507246376191</v>
      </c>
      <c r="N29" s="46">
        <v>100</v>
      </c>
      <c r="O29" s="37">
        <v>86.5</v>
      </c>
      <c r="P29" s="47">
        <f t="shared" si="12"/>
        <v>0</v>
      </c>
      <c r="Q29" s="48">
        <f t="shared" si="13"/>
        <v>8.1249999999999822E-2</v>
      </c>
      <c r="R29" s="49"/>
    </row>
    <row r="30" spans="1:19" x14ac:dyDescent="0.25">
      <c r="A30" s="35" t="s">
        <v>80</v>
      </c>
      <c r="B30" s="36" t="s">
        <v>81</v>
      </c>
      <c r="C30" s="37">
        <v>404171689</v>
      </c>
      <c r="D30" s="38">
        <f t="shared" si="0"/>
        <v>82615153.327276841</v>
      </c>
      <c r="E30" s="39">
        <f t="shared" si="1"/>
        <v>70325873.885999992</v>
      </c>
      <c r="F30" s="40" t="s">
        <v>47</v>
      </c>
      <c r="G30" s="41">
        <v>5.15</v>
      </c>
      <c r="H30" s="42">
        <v>5.2166670000000002</v>
      </c>
      <c r="I30" s="42">
        <v>5.22</v>
      </c>
      <c r="J30" s="43">
        <f t="shared" si="8"/>
        <v>0.20440608675902791</v>
      </c>
      <c r="K30" s="44">
        <f t="shared" si="9"/>
        <v>0.17399999999999999</v>
      </c>
      <c r="L30" s="45">
        <f t="shared" si="10"/>
        <v>3.3329999999995863E-3</v>
      </c>
      <c r="M30" s="45">
        <f t="shared" si="11"/>
        <v>6.3891369719393368E-2</v>
      </c>
      <c r="N30" s="46">
        <v>100000</v>
      </c>
      <c r="O30" s="37">
        <v>522000</v>
      </c>
      <c r="P30" s="47">
        <f t="shared" si="12"/>
        <v>0</v>
      </c>
      <c r="Q30" s="48">
        <f t="shared" si="13"/>
        <v>1.3592233009708687E-2</v>
      </c>
      <c r="R30" s="49"/>
    </row>
    <row r="31" spans="1:19" hidden="1" x14ac:dyDescent="0.25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5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5">
      <c r="A33" s="35" t="s">
        <v>86</v>
      </c>
      <c r="B33" s="36" t="s">
        <v>87</v>
      </c>
      <c r="C33" s="37">
        <v>259866270</v>
      </c>
      <c r="D33" s="38">
        <f t="shared" si="14"/>
        <v>15263864.175679591</v>
      </c>
      <c r="E33" s="39">
        <f t="shared" si="15"/>
        <v>12993313.5</v>
      </c>
      <c r="F33" s="40" t="s">
        <v>39</v>
      </c>
      <c r="G33" s="41">
        <v>1.4</v>
      </c>
      <c r="H33" s="42">
        <v>1.5</v>
      </c>
      <c r="I33" s="42">
        <v>1.5</v>
      </c>
      <c r="J33" s="43">
        <f t="shared" si="16"/>
        <v>5.8737381252594228E-2</v>
      </c>
      <c r="K33" s="44">
        <f t="shared" si="17"/>
        <v>0.05</v>
      </c>
      <c r="L33" s="45">
        <f t="shared" ref="L33:L48" si="18">I33-H33</f>
        <v>0</v>
      </c>
      <c r="M33" s="45">
        <f t="shared" ref="M33:M48" si="19">((I33-H33)/H33)*100</f>
        <v>0</v>
      </c>
      <c r="N33" s="46">
        <v>500</v>
      </c>
      <c r="O33" s="37">
        <v>750</v>
      </c>
      <c r="P33" s="47">
        <f t="shared" ref="P33:P38" si="20">(R33)/J33</f>
        <v>0</v>
      </c>
      <c r="Q33" s="48">
        <f t="shared" ref="Q33:Q48" si="21">I33/G33-1</f>
        <v>7.1428571428571397E-2</v>
      </c>
      <c r="R33" s="49"/>
    </row>
    <row r="34" spans="1:18" x14ac:dyDescent="0.25">
      <c r="A34" s="35" t="s">
        <v>88</v>
      </c>
      <c r="B34" s="36" t="s">
        <v>89</v>
      </c>
      <c r="C34" s="37">
        <v>122029470</v>
      </c>
      <c r="D34" s="38">
        <f t="shared" si="14"/>
        <v>3583845.751721005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2.9368690626297114E-2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5">
      <c r="A35" s="35" t="s">
        <v>90</v>
      </c>
      <c r="B35" s="36" t="s">
        <v>91</v>
      </c>
      <c r="C35" s="37">
        <v>2495495543</v>
      </c>
      <c r="D35" s="38">
        <f t="shared" si="14"/>
        <v>170031492.82307518</v>
      </c>
      <c r="E35" s="39">
        <f t="shared" si="15"/>
        <v>144738741.49400002</v>
      </c>
      <c r="F35" s="40" t="s">
        <v>92</v>
      </c>
      <c r="G35" s="41">
        <v>1.44</v>
      </c>
      <c r="H35" s="42">
        <v>1.74</v>
      </c>
      <c r="I35" s="42">
        <v>1.74</v>
      </c>
      <c r="J35" s="43">
        <f t="shared" si="16"/>
        <v>6.8135362253009313E-2</v>
      </c>
      <c r="K35" s="44">
        <f t="shared" si="17"/>
        <v>5.8000000000000003E-2</v>
      </c>
      <c r="L35" s="45">
        <f t="shared" si="18"/>
        <v>0</v>
      </c>
      <c r="M35" s="45">
        <f t="shared" si="19"/>
        <v>0</v>
      </c>
      <c r="N35" s="46">
        <v>0</v>
      </c>
      <c r="O35" s="37">
        <v>0</v>
      </c>
      <c r="P35" s="47">
        <f t="shared" si="20"/>
        <v>0</v>
      </c>
      <c r="Q35" s="48">
        <f t="shared" si="21"/>
        <v>0.20833333333333348</v>
      </c>
      <c r="R35" s="49"/>
    </row>
    <row r="36" spans="1:18" x14ac:dyDescent="0.25">
      <c r="A36" s="35" t="s">
        <v>93</v>
      </c>
      <c r="B36" s="36" t="s">
        <v>94</v>
      </c>
      <c r="C36" s="37">
        <v>253492983</v>
      </c>
      <c r="D36" s="38">
        <f t="shared" si="14"/>
        <v>37725065.272561029</v>
      </c>
      <c r="E36" s="39">
        <f t="shared" si="15"/>
        <v>32113336.063050002</v>
      </c>
      <c r="F36" s="40" t="s">
        <v>34</v>
      </c>
      <c r="G36" s="41">
        <v>3.6056249999999999</v>
      </c>
      <c r="H36" s="42">
        <v>3.8005</v>
      </c>
      <c r="I36" s="42">
        <v>3.8005</v>
      </c>
      <c r="J36" s="43">
        <f t="shared" si="16"/>
        <v>0.14882094496698958</v>
      </c>
      <c r="K36" s="44">
        <f t="shared" si="17"/>
        <v>0.12668333333333334</v>
      </c>
      <c r="L36" s="45">
        <f t="shared" si="18"/>
        <v>0</v>
      </c>
      <c r="M36" s="45">
        <f t="shared" si="19"/>
        <v>0</v>
      </c>
      <c r="N36" s="46">
        <v>0</v>
      </c>
      <c r="O36" s="37">
        <v>0</v>
      </c>
      <c r="P36" s="47">
        <f t="shared" si="20"/>
        <v>0</v>
      </c>
      <c r="Q36" s="48">
        <f t="shared" si="21"/>
        <v>5.4047495233142673E-2</v>
      </c>
      <c r="R36" s="49"/>
    </row>
    <row r="37" spans="1:18" x14ac:dyDescent="0.25">
      <c r="A37" s="35" t="s">
        <v>95</v>
      </c>
      <c r="B37" s="36" t="s">
        <v>96</v>
      </c>
      <c r="C37" s="37">
        <v>4715084056</v>
      </c>
      <c r="D37" s="38">
        <f t="shared" si="14"/>
        <v>5797522.0405522883</v>
      </c>
      <c r="E37" s="39">
        <f t="shared" si="15"/>
        <v>4935121.3119466677</v>
      </c>
      <c r="F37" s="40" t="s">
        <v>34</v>
      </c>
      <c r="G37" s="41">
        <v>2.5099999999999997E-2</v>
      </c>
      <c r="H37" s="42">
        <v>3.15E-2</v>
      </c>
      <c r="I37" s="42">
        <v>3.1400000000000004E-2</v>
      </c>
      <c r="J37" s="43">
        <f t="shared" si="16"/>
        <v>1.2295691808876393E-3</v>
      </c>
      <c r="K37" s="44">
        <f t="shared" si="17"/>
        <v>1.0466666666666669E-3</v>
      </c>
      <c r="L37" s="45">
        <f t="shared" si="18"/>
        <v>-9.9999999999995925E-5</v>
      </c>
      <c r="M37" s="45">
        <f t="shared" si="19"/>
        <v>-0.31746031746030456</v>
      </c>
      <c r="N37" s="46">
        <v>15900</v>
      </c>
      <c r="O37" s="37">
        <v>499.26</v>
      </c>
      <c r="P37" s="47">
        <f>(R37)/J37</f>
        <v>0</v>
      </c>
      <c r="Q37" s="48">
        <f t="shared" si="21"/>
        <v>0.2509960159362552</v>
      </c>
      <c r="R37" s="49"/>
    </row>
    <row r="38" spans="1:18" x14ac:dyDescent="0.25">
      <c r="A38" s="35" t="s">
        <v>97</v>
      </c>
      <c r="B38" s="36" t="s">
        <v>98</v>
      </c>
      <c r="C38" s="37">
        <v>261064590</v>
      </c>
      <c r="D38" s="38">
        <f t="shared" si="14"/>
        <v>31690784.065723211</v>
      </c>
      <c r="E38" s="39">
        <f t="shared" si="15"/>
        <v>26976674.300000001</v>
      </c>
      <c r="F38" s="40" t="s">
        <v>92</v>
      </c>
      <c r="G38" s="41">
        <v>0.61</v>
      </c>
      <c r="H38" s="42">
        <v>2.8</v>
      </c>
      <c r="I38" s="42">
        <v>3.1</v>
      </c>
      <c r="J38" s="43">
        <f t="shared" si="16"/>
        <v>0.12139058792202807</v>
      </c>
      <c r="K38" s="44">
        <f t="shared" si="17"/>
        <v>0.10333333333333333</v>
      </c>
      <c r="L38" s="45">
        <f t="shared" si="18"/>
        <v>0.30000000000000027</v>
      </c>
      <c r="M38" s="45">
        <f t="shared" si="19"/>
        <v>10.714285714285724</v>
      </c>
      <c r="N38" s="46">
        <v>3800</v>
      </c>
      <c r="O38" s="37">
        <v>11780</v>
      </c>
      <c r="P38" s="47">
        <f t="shared" si="20"/>
        <v>0</v>
      </c>
      <c r="Q38" s="48">
        <f t="shared" si="21"/>
        <v>4.081967213114754</v>
      </c>
      <c r="R38" s="49"/>
    </row>
    <row r="39" spans="1:18" x14ac:dyDescent="0.25">
      <c r="A39" s="35" t="s">
        <v>99</v>
      </c>
      <c r="B39" s="36" t="s">
        <v>100</v>
      </c>
      <c r="C39" s="37">
        <v>4194797929</v>
      </c>
      <c r="D39" s="38">
        <f t="shared" si="14"/>
        <v>16873543.213427991</v>
      </c>
      <c r="E39" s="39">
        <f t="shared" si="15"/>
        <v>14363547.415286534</v>
      </c>
      <c r="F39" s="40" t="s">
        <v>56</v>
      </c>
      <c r="G39" s="41">
        <v>0.11650199999999999</v>
      </c>
      <c r="H39" s="42">
        <v>0.10099999999999999</v>
      </c>
      <c r="I39" s="42">
        <v>0.102724</v>
      </c>
      <c r="J39" s="43">
        <f t="shared" si="16"/>
        <v>4.0224925011943264E-3</v>
      </c>
      <c r="K39" s="44">
        <f t="shared" si="17"/>
        <v>3.4241333333333334E-3</v>
      </c>
      <c r="L39" s="45">
        <f t="shared" si="18"/>
        <v>1.7240000000000033E-3</v>
      </c>
      <c r="M39" s="45">
        <f t="shared" si="19"/>
        <v>1.7069306930693102</v>
      </c>
      <c r="N39" s="46">
        <v>7800</v>
      </c>
      <c r="O39" s="37">
        <v>801.25</v>
      </c>
      <c r="P39" s="47">
        <v>0</v>
      </c>
      <c r="Q39" s="48">
        <f t="shared" si="21"/>
        <v>-0.11826406413623802</v>
      </c>
      <c r="R39" s="49"/>
    </row>
    <row r="40" spans="1:18" x14ac:dyDescent="0.25">
      <c r="A40" s="35" t="s">
        <v>101</v>
      </c>
      <c r="B40" s="36" t="s">
        <v>102</v>
      </c>
      <c r="C40" s="37">
        <v>362927587</v>
      </c>
      <c r="D40" s="38">
        <f t="shared" si="14"/>
        <v>85277906.9130162</v>
      </c>
      <c r="E40" s="39">
        <f t="shared" si="15"/>
        <v>72592534.000015348</v>
      </c>
      <c r="F40" s="40" t="s">
        <v>34</v>
      </c>
      <c r="G40" s="41">
        <v>2.6005000000000003</v>
      </c>
      <c r="H40" s="42">
        <v>6.0005800000000002</v>
      </c>
      <c r="I40" s="42">
        <v>6.0005800000000002</v>
      </c>
      <c r="J40" s="43">
        <f t="shared" si="16"/>
        <v>0.23497223679779461</v>
      </c>
      <c r="K40" s="44">
        <f t="shared" si="17"/>
        <v>0.20001933333333335</v>
      </c>
      <c r="L40" s="45">
        <f t="shared" si="18"/>
        <v>0</v>
      </c>
      <c r="M40" s="45">
        <f t="shared" si="19"/>
        <v>0</v>
      </c>
      <c r="N40" s="46">
        <v>0</v>
      </c>
      <c r="O40" s="37">
        <v>0</v>
      </c>
      <c r="P40" s="47">
        <f t="shared" ref="P40:P47" si="22">(R40)/J40</f>
        <v>0</v>
      </c>
      <c r="Q40" s="48">
        <f t="shared" si="21"/>
        <v>1.3074716400692172</v>
      </c>
      <c r="R40" s="49"/>
    </row>
    <row r="41" spans="1:18" x14ac:dyDescent="0.25">
      <c r="A41" s="35" t="s">
        <v>103</v>
      </c>
      <c r="B41" s="36" t="s">
        <v>104</v>
      </c>
      <c r="C41" s="37">
        <v>4315726499</v>
      </c>
      <c r="D41" s="38">
        <f t="shared" si="14"/>
        <v>15293997.526490597</v>
      </c>
      <c r="E41" s="39">
        <f t="shared" si="15"/>
        <v>13018964.414433366</v>
      </c>
      <c r="F41" s="40" t="s">
        <v>39</v>
      </c>
      <c r="G41" s="41">
        <v>0.1</v>
      </c>
      <c r="H41" s="42">
        <v>0.1</v>
      </c>
      <c r="I41" s="42">
        <v>9.0498999999999996E-2</v>
      </c>
      <c r="J41" s="43">
        <f t="shared" si="16"/>
        <v>3.5437828439856835E-3</v>
      </c>
      <c r="K41" s="44">
        <f t="shared" si="17"/>
        <v>3.0166333333333331E-3</v>
      </c>
      <c r="L41" s="45">
        <f t="shared" si="18"/>
        <v>-9.5010000000000094E-3</v>
      </c>
      <c r="M41" s="45">
        <f t="shared" si="19"/>
        <v>-9.5010000000000101</v>
      </c>
      <c r="N41" s="46">
        <v>32800</v>
      </c>
      <c r="O41" s="37">
        <v>2968.36</v>
      </c>
      <c r="P41" s="47">
        <f t="shared" si="22"/>
        <v>0</v>
      </c>
      <c r="Q41" s="48">
        <f t="shared" si="21"/>
        <v>-9.5010000000000039E-2</v>
      </c>
      <c r="R41" s="49"/>
    </row>
    <row r="42" spans="1:18" x14ac:dyDescent="0.25">
      <c r="A42" s="35" t="s">
        <v>105</v>
      </c>
      <c r="B42" s="36" t="s">
        <v>106</v>
      </c>
      <c r="C42" s="37">
        <v>106474237</v>
      </c>
      <c r="D42" s="38">
        <f t="shared" si="14"/>
        <v>7296354.1609560885</v>
      </c>
      <c r="E42" s="39">
        <f t="shared" si="15"/>
        <v>6210997.1583333332</v>
      </c>
      <c r="F42" s="40" t="s">
        <v>44</v>
      </c>
      <c r="G42" s="41">
        <v>1.7452379999999998</v>
      </c>
      <c r="H42" s="42">
        <v>1.75</v>
      </c>
      <c r="I42" s="42">
        <v>1.75</v>
      </c>
      <c r="J42" s="43">
        <f t="shared" si="16"/>
        <v>6.8526944794693276E-2</v>
      </c>
      <c r="K42" s="44">
        <f t="shared" si="17"/>
        <v>5.8333333333333334E-2</v>
      </c>
      <c r="L42" s="45">
        <f t="shared" si="18"/>
        <v>0</v>
      </c>
      <c r="M42" s="45">
        <f t="shared" si="19"/>
        <v>0</v>
      </c>
      <c r="N42" s="46">
        <v>0</v>
      </c>
      <c r="O42" s="37">
        <v>0</v>
      </c>
      <c r="P42" s="47">
        <f t="shared" si="22"/>
        <v>0</v>
      </c>
      <c r="Q42" s="48">
        <f t="shared" si="21"/>
        <v>2.7285676795945069E-3</v>
      </c>
      <c r="R42" s="49">
        <v>0</v>
      </c>
    </row>
    <row r="43" spans="1:18" x14ac:dyDescent="0.25">
      <c r="A43" s="35" t="s">
        <v>107</v>
      </c>
      <c r="B43" s="36" t="s">
        <v>108</v>
      </c>
      <c r="C43" s="37">
        <v>1778001428</v>
      </c>
      <c r="D43" s="38">
        <f t="shared" si="14"/>
        <v>2938108.8232004819</v>
      </c>
      <c r="E43" s="39">
        <f t="shared" si="15"/>
        <v>2501055.3420533333</v>
      </c>
      <c r="F43" s="40" t="s">
        <v>39</v>
      </c>
      <c r="G43" s="41">
        <v>0.03</v>
      </c>
      <c r="H43" s="42">
        <v>4.2300000000000004E-2</v>
      </c>
      <c r="I43" s="42">
        <v>4.2199999999999994E-2</v>
      </c>
      <c r="J43" s="43">
        <f t="shared" si="16"/>
        <v>1.6524783259063175E-3</v>
      </c>
      <c r="K43" s="44">
        <f t="shared" si="17"/>
        <v>1.4066666666666665E-3</v>
      </c>
      <c r="L43" s="45">
        <f t="shared" si="18"/>
        <v>-1.000000000000098E-4</v>
      </c>
      <c r="M43" s="45">
        <f t="shared" si="19"/>
        <v>-0.23640661938536595</v>
      </c>
      <c r="N43" s="46">
        <v>900</v>
      </c>
      <c r="O43" s="37">
        <v>37.979999999999997</v>
      </c>
      <c r="P43" s="47">
        <f t="shared" si="22"/>
        <v>0</v>
      </c>
      <c r="Q43" s="48">
        <f t="shared" si="21"/>
        <v>0.40666666666666651</v>
      </c>
      <c r="R43" s="49">
        <v>0</v>
      </c>
    </row>
    <row r="44" spans="1:18" x14ac:dyDescent="0.25">
      <c r="A44" s="35" t="s">
        <v>109</v>
      </c>
      <c r="B44" s="36" t="s">
        <v>110</v>
      </c>
      <c r="C44" s="37">
        <v>175190642</v>
      </c>
      <c r="D44" s="38">
        <f t="shared" si="14"/>
        <v>35535627.180527382</v>
      </c>
      <c r="E44" s="39">
        <f t="shared" si="15"/>
        <v>30249584.185333334</v>
      </c>
      <c r="F44" s="40" t="s">
        <v>47</v>
      </c>
      <c r="G44" s="41">
        <v>4.5</v>
      </c>
      <c r="H44" s="42">
        <v>5.18</v>
      </c>
      <c r="I44" s="42">
        <v>5.18</v>
      </c>
      <c r="J44" s="43">
        <f t="shared" si="16"/>
        <v>0.20283975659229206</v>
      </c>
      <c r="K44" s="44">
        <f t="shared" si="17"/>
        <v>0.17266666666666666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47">
        <f t="shared" si="22"/>
        <v>0</v>
      </c>
      <c r="Q44" s="48">
        <f t="shared" si="21"/>
        <v>0.15111111111111097</v>
      </c>
      <c r="R44" s="49">
        <v>0</v>
      </c>
    </row>
    <row r="45" spans="1:18" x14ac:dyDescent="0.25">
      <c r="A45" s="35" t="s">
        <v>111</v>
      </c>
      <c r="B45" s="36" t="s">
        <v>112</v>
      </c>
      <c r="C45" s="37">
        <v>463337661</v>
      </c>
      <c r="D45" s="38">
        <f t="shared" si="14"/>
        <v>326.58289011410716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7.0484857503113082E-7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5">
      <c r="A46" s="35" t="s">
        <v>113</v>
      </c>
      <c r="B46" s="36" t="s">
        <v>114</v>
      </c>
      <c r="C46" s="37">
        <v>576000000</v>
      </c>
      <c r="D46" s="38">
        <f t="shared" si="14"/>
        <v>1583371.838949932</v>
      </c>
      <c r="E46" s="39">
        <f t="shared" si="15"/>
        <v>1347840</v>
      </c>
      <c r="F46" s="40" t="s">
        <v>56</v>
      </c>
      <c r="G46" s="41">
        <v>7.0000000000000007E-2</v>
      </c>
      <c r="H46" s="42">
        <v>6.2699999999999992E-2</v>
      </c>
      <c r="I46" s="42">
        <v>7.0199999999999999E-2</v>
      </c>
      <c r="J46" s="43">
        <f t="shared" si="16"/>
        <v>2.7489094426214099E-3</v>
      </c>
      <c r="K46" s="44">
        <f t="shared" si="17"/>
        <v>2.3400000000000001E-3</v>
      </c>
      <c r="L46" s="45">
        <f t="shared" si="18"/>
        <v>7.5000000000000067E-3</v>
      </c>
      <c r="M46" s="45">
        <f t="shared" si="19"/>
        <v>11.961722488038291</v>
      </c>
      <c r="N46" s="46">
        <v>1200</v>
      </c>
      <c r="O46" s="37">
        <v>84.24</v>
      </c>
      <c r="P46" s="47">
        <f t="shared" si="22"/>
        <v>0</v>
      </c>
      <c r="Q46" s="48">
        <f t="shared" si="21"/>
        <v>2.8571428571426694E-3</v>
      </c>
      <c r="R46" s="49"/>
    </row>
    <row r="47" spans="1:18" x14ac:dyDescent="0.25">
      <c r="A47" s="35" t="s">
        <v>115</v>
      </c>
      <c r="B47" s="36" t="s">
        <v>116</v>
      </c>
      <c r="C47" s="37">
        <v>1818218786</v>
      </c>
      <c r="D47" s="38">
        <f t="shared" si="14"/>
        <v>53398705.016955517</v>
      </c>
      <c r="E47" s="39">
        <f t="shared" si="15"/>
        <v>45455469.650000006</v>
      </c>
      <c r="F47" s="40" t="s">
        <v>47</v>
      </c>
      <c r="G47" s="41">
        <v>0.9998999999999999</v>
      </c>
      <c r="H47" s="42">
        <v>0.75</v>
      </c>
      <c r="I47" s="42">
        <v>0.75</v>
      </c>
      <c r="J47" s="43">
        <f t="shared" si="16"/>
        <v>2.9368690626297114E-2</v>
      </c>
      <c r="K47" s="44">
        <f t="shared" si="17"/>
        <v>2.5000000000000001E-2</v>
      </c>
      <c r="L47" s="45">
        <f t="shared" si="18"/>
        <v>0</v>
      </c>
      <c r="M47" s="45">
        <f t="shared" si="19"/>
        <v>0</v>
      </c>
      <c r="N47" s="46">
        <v>700</v>
      </c>
      <c r="O47" s="37">
        <v>525</v>
      </c>
      <c r="P47" s="47">
        <f t="shared" si="22"/>
        <v>0</v>
      </c>
      <c r="Q47" s="48">
        <f t="shared" si="21"/>
        <v>-0.24992499249924982</v>
      </c>
      <c r="R47" s="49">
        <v>0</v>
      </c>
    </row>
    <row r="48" spans="1:18" x14ac:dyDescent="0.25">
      <c r="A48" s="35" t="s">
        <v>117</v>
      </c>
      <c r="B48" s="36" t="s">
        <v>118</v>
      </c>
      <c r="C48" s="37">
        <v>102712520</v>
      </c>
      <c r="D48" s="38">
        <f t="shared" si="14"/>
        <v>4424247.260880121</v>
      </c>
      <c r="E48" s="39">
        <f t="shared" si="15"/>
        <v>3766125.7333333334</v>
      </c>
      <c r="F48" s="40" t="s">
        <v>47</v>
      </c>
      <c r="G48" s="41">
        <v>1.4503460000000001</v>
      </c>
      <c r="H48" s="42">
        <v>0.99982699999999991</v>
      </c>
      <c r="I48" s="42">
        <v>1.1000000000000001</v>
      </c>
      <c r="J48" s="43">
        <f t="shared" si="16"/>
        <v>4.3074079585235771E-2</v>
      </c>
      <c r="K48" s="44">
        <f t="shared" si="17"/>
        <v>3.6666666666666667E-2</v>
      </c>
      <c r="L48" s="45">
        <f t="shared" si="18"/>
        <v>0.10017300000000018</v>
      </c>
      <c r="M48" s="45">
        <f t="shared" si="19"/>
        <v>10.019033292759666</v>
      </c>
      <c r="N48" s="46">
        <v>100</v>
      </c>
      <c r="O48" s="37">
        <v>110</v>
      </c>
      <c r="P48" s="47">
        <v>0</v>
      </c>
      <c r="Q48" s="48">
        <f t="shared" si="21"/>
        <v>-0.24156028975154897</v>
      </c>
      <c r="R48" s="49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197600</v>
      </c>
      <c r="O49" s="58">
        <f>SUM(O10:O48)</f>
        <v>831930.84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39" t="s">
        <v>119</v>
      </c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</row>
    <row r="52" spans="1:20" hidden="1" x14ac:dyDescent="0.25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5">
      <c r="A53" s="35" t="s">
        <v>122</v>
      </c>
      <c r="B53" s="36" t="s">
        <v>123</v>
      </c>
      <c r="C53" s="40">
        <v>554920308</v>
      </c>
      <c r="D53" s="38">
        <f t="shared" si="23"/>
        <v>72528084.255600005</v>
      </c>
      <c r="E53" s="39">
        <v>0</v>
      </c>
      <c r="F53" s="40" t="s">
        <v>92</v>
      </c>
      <c r="G53" s="66">
        <v>0.1</v>
      </c>
      <c r="H53" s="42">
        <v>0.13039999999999999</v>
      </c>
      <c r="I53" s="42">
        <v>0.13070000000000001</v>
      </c>
      <c r="J53" s="43">
        <f t="shared" si="24"/>
        <v>0.13070000000000001</v>
      </c>
      <c r="K53" s="39">
        <v>0</v>
      </c>
      <c r="L53" s="45">
        <f t="shared" si="25"/>
        <v>3.0000000000002247E-4</v>
      </c>
      <c r="M53" s="45">
        <f t="shared" si="26"/>
        <v>0.23006134969326877</v>
      </c>
      <c r="N53" s="46">
        <v>950</v>
      </c>
      <c r="O53" s="37">
        <v>124.19</v>
      </c>
      <c r="P53" s="68">
        <f>(R53)/J53</f>
        <v>0</v>
      </c>
      <c r="Q53" s="48">
        <f t="shared" si="27"/>
        <v>0.30699999999999994</v>
      </c>
      <c r="T53" s="67"/>
    </row>
    <row r="54" spans="1:20" x14ac:dyDescent="0.25">
      <c r="A54" s="35" t="s">
        <v>124</v>
      </c>
      <c r="B54" s="36" t="s">
        <v>125</v>
      </c>
      <c r="C54" s="40">
        <v>1057685</v>
      </c>
      <c r="D54" s="38">
        <f t="shared" si="23"/>
        <v>62403415</v>
      </c>
      <c r="E54" s="39">
        <v>0</v>
      </c>
      <c r="F54" s="40" t="s">
        <v>39</v>
      </c>
      <c r="G54" s="66">
        <v>39.9</v>
      </c>
      <c r="H54" s="42">
        <v>59</v>
      </c>
      <c r="I54" s="42">
        <v>59</v>
      </c>
      <c r="J54" s="43">
        <f t="shared" si="24"/>
        <v>59</v>
      </c>
      <c r="K54" s="39">
        <v>0</v>
      </c>
      <c r="L54" s="45">
        <f t="shared" si="25"/>
        <v>0</v>
      </c>
      <c r="M54" s="45">
        <f t="shared" si="26"/>
        <v>0</v>
      </c>
      <c r="N54" s="46">
        <v>17</v>
      </c>
      <c r="O54" s="37">
        <v>1003</v>
      </c>
      <c r="P54" s="69">
        <f>(R54)/J54</f>
        <v>9.4915254237288148E-3</v>
      </c>
      <c r="Q54" s="48">
        <f t="shared" si="27"/>
        <v>0.47869674185463662</v>
      </c>
      <c r="R54" s="67">
        <v>0.56000000000000005</v>
      </c>
      <c r="T54" s="67"/>
    </row>
    <row r="55" spans="1:20" x14ac:dyDescent="0.25">
      <c r="A55" s="35" t="s">
        <v>126</v>
      </c>
      <c r="B55" s="36" t="s">
        <v>127</v>
      </c>
      <c r="C55" s="40">
        <v>2992163203</v>
      </c>
      <c r="D55" s="38">
        <f t="shared" si="23"/>
        <v>795915411.99800003</v>
      </c>
      <c r="E55" s="39"/>
      <c r="F55" s="40" t="s">
        <v>56</v>
      </c>
      <c r="G55" s="66">
        <v>0.33</v>
      </c>
      <c r="H55" s="42">
        <v>0.25659999999999999</v>
      </c>
      <c r="I55" s="42">
        <v>0.26600000000000001</v>
      </c>
      <c r="J55" s="43">
        <f t="shared" si="24"/>
        <v>0.26600000000000001</v>
      </c>
      <c r="K55" s="39">
        <v>0</v>
      </c>
      <c r="L55" s="45">
        <f t="shared" si="25"/>
        <v>9.4000000000000195E-3</v>
      </c>
      <c r="M55" s="45">
        <f t="shared" si="26"/>
        <v>3.6632891660171549</v>
      </c>
      <c r="N55" s="46">
        <v>93804</v>
      </c>
      <c r="O55" s="37">
        <v>24947.47</v>
      </c>
      <c r="P55" s="68">
        <v>0</v>
      </c>
      <c r="Q55" s="48">
        <f t="shared" si="27"/>
        <v>-0.19393939393939397</v>
      </c>
      <c r="R55" s="67"/>
      <c r="T55" s="67"/>
    </row>
    <row r="56" spans="1:20" x14ac:dyDescent="0.25">
      <c r="A56" s="35" t="s">
        <v>128</v>
      </c>
      <c r="B56" s="36" t="s">
        <v>129</v>
      </c>
      <c r="C56" s="40">
        <v>609740943</v>
      </c>
      <c r="D56" s="38">
        <f t="shared" si="23"/>
        <v>17072746.403999999</v>
      </c>
      <c r="E56" s="39">
        <v>0</v>
      </c>
      <c r="F56" s="40" t="s">
        <v>34</v>
      </c>
      <c r="G56" s="66">
        <v>2.3E-2</v>
      </c>
      <c r="H56" s="42">
        <v>2.8000000000000001E-2</v>
      </c>
      <c r="I56" s="42">
        <v>2.8000000000000001E-2</v>
      </c>
      <c r="J56" s="43">
        <f t="shared" si="24"/>
        <v>2.8000000000000001E-2</v>
      </c>
      <c r="K56" s="39">
        <v>0</v>
      </c>
      <c r="L56" s="45">
        <f t="shared" si="25"/>
        <v>0</v>
      </c>
      <c r="M56" s="45">
        <f t="shared" si="26"/>
        <v>0</v>
      </c>
      <c r="N56" s="46">
        <v>0</v>
      </c>
      <c r="O56" s="37">
        <v>0</v>
      </c>
      <c r="P56" s="68">
        <f t="shared" ref="P56:P66" si="28">(R56)/J56</f>
        <v>0</v>
      </c>
      <c r="Q56" s="48">
        <f t="shared" si="27"/>
        <v>0.21739130434782616</v>
      </c>
      <c r="T56" s="67"/>
    </row>
    <row r="57" spans="1:20" x14ac:dyDescent="0.25">
      <c r="A57" s="35" t="s">
        <v>130</v>
      </c>
      <c r="B57" s="36" t="s">
        <v>131</v>
      </c>
      <c r="C57" s="40">
        <v>2161875929</v>
      </c>
      <c r="D57" s="38">
        <f t="shared" si="23"/>
        <v>234563538.2965</v>
      </c>
      <c r="E57" s="39">
        <v>0</v>
      </c>
      <c r="F57" s="40" t="s">
        <v>47</v>
      </c>
      <c r="G57" s="66">
        <v>9.0200000000000002E-2</v>
      </c>
      <c r="H57" s="42">
        <v>0.1109</v>
      </c>
      <c r="I57" s="42">
        <v>0.1085</v>
      </c>
      <c r="J57" s="43">
        <f t="shared" si="24"/>
        <v>0.1085</v>
      </c>
      <c r="K57" s="39">
        <v>0</v>
      </c>
      <c r="L57" s="45">
        <f t="shared" si="25"/>
        <v>-2.3999999999999994E-3</v>
      </c>
      <c r="M57" s="70">
        <f t="shared" si="26"/>
        <v>-2.1641118124436423</v>
      </c>
      <c r="N57" s="46">
        <v>132636</v>
      </c>
      <c r="O57" s="37">
        <v>14389.87</v>
      </c>
      <c r="P57" s="68">
        <f t="shared" si="28"/>
        <v>0</v>
      </c>
      <c r="Q57" s="48">
        <f t="shared" si="27"/>
        <v>0.20288248337028825</v>
      </c>
      <c r="R57" s="67"/>
      <c r="T57" s="67"/>
    </row>
    <row r="58" spans="1:20" x14ac:dyDescent="0.25">
      <c r="A58" s="35" t="s">
        <v>132</v>
      </c>
      <c r="B58" s="36" t="s">
        <v>133</v>
      </c>
      <c r="C58" s="40">
        <v>575926450</v>
      </c>
      <c r="D58" s="38">
        <f t="shared" si="23"/>
        <v>691111740</v>
      </c>
      <c r="E58" s="39">
        <v>0</v>
      </c>
      <c r="F58" s="40" t="s">
        <v>34</v>
      </c>
      <c r="G58" s="66">
        <v>0.95750000000000002</v>
      </c>
      <c r="H58" s="42">
        <v>1.1862999999999999</v>
      </c>
      <c r="I58" s="42">
        <v>1.2</v>
      </c>
      <c r="J58" s="43">
        <f t="shared" si="24"/>
        <v>1.2</v>
      </c>
      <c r="K58" s="39">
        <v>0</v>
      </c>
      <c r="L58" s="45">
        <f t="shared" si="25"/>
        <v>1.3700000000000045E-2</v>
      </c>
      <c r="M58" s="45">
        <f t="shared" si="26"/>
        <v>1.1548512180730042</v>
      </c>
      <c r="N58" s="46">
        <v>1149636</v>
      </c>
      <c r="O58" s="37">
        <v>1379568.17</v>
      </c>
      <c r="P58" s="69">
        <f t="shared" si="28"/>
        <v>3.9166666666666669E-2</v>
      </c>
      <c r="Q58" s="48">
        <f t="shared" si="27"/>
        <v>0.25326370757180139</v>
      </c>
      <c r="R58" s="67">
        <v>4.7E-2</v>
      </c>
      <c r="T58" s="67"/>
    </row>
    <row r="59" spans="1:20" x14ac:dyDescent="0.25">
      <c r="A59" s="35" t="s">
        <v>134</v>
      </c>
      <c r="B59" s="36" t="s">
        <v>135</v>
      </c>
      <c r="C59" s="40">
        <v>164208222</v>
      </c>
      <c r="D59" s="38">
        <f t="shared" si="23"/>
        <v>24631233.300000001</v>
      </c>
      <c r="E59" s="39">
        <v>0</v>
      </c>
      <c r="F59" s="40" t="s">
        <v>34</v>
      </c>
      <c r="G59" s="66">
        <v>0.1595</v>
      </c>
      <c r="H59" s="42">
        <v>0.15</v>
      </c>
      <c r="I59" s="42">
        <v>0.15</v>
      </c>
      <c r="J59" s="43">
        <f t="shared" si="24"/>
        <v>0.15</v>
      </c>
      <c r="K59" s="39">
        <v>0</v>
      </c>
      <c r="L59" s="45">
        <f t="shared" si="25"/>
        <v>0</v>
      </c>
      <c r="M59" s="45">
        <f t="shared" si="26"/>
        <v>0</v>
      </c>
      <c r="N59" s="46">
        <v>0</v>
      </c>
      <c r="O59" s="37">
        <v>0</v>
      </c>
      <c r="P59" s="68">
        <f t="shared" si="28"/>
        <v>0</v>
      </c>
      <c r="Q59" s="48">
        <f t="shared" si="27"/>
        <v>-5.9561128526645857E-2</v>
      </c>
      <c r="T59" s="67"/>
    </row>
    <row r="60" spans="1:20" x14ac:dyDescent="0.25">
      <c r="A60" s="35" t="s">
        <v>136</v>
      </c>
      <c r="B60" s="36" t="s">
        <v>137</v>
      </c>
      <c r="C60" s="40">
        <v>794581116</v>
      </c>
      <c r="D60" s="38">
        <f t="shared" si="23"/>
        <v>14699750.646</v>
      </c>
      <c r="E60" s="39">
        <v>0</v>
      </c>
      <c r="F60" s="40" t="s">
        <v>92</v>
      </c>
      <c r="G60" s="66">
        <v>1.6799999999999999E-2</v>
      </c>
      <c r="H60" s="42">
        <v>1.9400000000000001E-2</v>
      </c>
      <c r="I60" s="42">
        <v>1.8499999999999999E-2</v>
      </c>
      <c r="J60" s="43">
        <f t="shared" si="24"/>
        <v>1.8499999999999999E-2</v>
      </c>
      <c r="K60" s="39">
        <v>0</v>
      </c>
      <c r="L60" s="45">
        <f t="shared" si="25"/>
        <v>-9.0000000000000149E-4</v>
      </c>
      <c r="M60" s="70">
        <f t="shared" si="26"/>
        <v>-4.6391752577319663</v>
      </c>
      <c r="N60" s="46">
        <v>302783</v>
      </c>
      <c r="O60" s="37">
        <v>5598.54</v>
      </c>
      <c r="P60" s="68">
        <f t="shared" si="28"/>
        <v>0</v>
      </c>
      <c r="Q60" s="48">
        <f t="shared" si="27"/>
        <v>0.10119047619047628</v>
      </c>
      <c r="T60" s="67"/>
    </row>
    <row r="61" spans="1:20" x14ac:dyDescent="0.25">
      <c r="A61" s="35" t="s">
        <v>138</v>
      </c>
      <c r="B61" s="36" t="s">
        <v>139</v>
      </c>
      <c r="C61" s="40">
        <v>161273</v>
      </c>
      <c r="D61" s="38">
        <f t="shared" si="23"/>
        <v>2902914</v>
      </c>
      <c r="E61" s="39">
        <v>0</v>
      </c>
      <c r="F61" s="40" t="s">
        <v>140</v>
      </c>
      <c r="G61" s="66">
        <v>19.5</v>
      </c>
      <c r="H61" s="42">
        <v>18</v>
      </c>
      <c r="I61" s="42">
        <v>18</v>
      </c>
      <c r="J61" s="43">
        <f t="shared" si="24"/>
        <v>18</v>
      </c>
      <c r="K61" s="39">
        <v>0</v>
      </c>
      <c r="L61" s="45">
        <f t="shared" si="25"/>
        <v>0</v>
      </c>
      <c r="M61" s="45">
        <f t="shared" si="26"/>
        <v>0</v>
      </c>
      <c r="N61" s="46">
        <v>0</v>
      </c>
      <c r="O61" s="37">
        <v>0</v>
      </c>
      <c r="P61" s="68">
        <f t="shared" si="28"/>
        <v>0</v>
      </c>
      <c r="Q61" s="48">
        <f t="shared" si="27"/>
        <v>-7.6923076923076872E-2</v>
      </c>
      <c r="T61" s="67"/>
    </row>
    <row r="62" spans="1:20" x14ac:dyDescent="0.25">
      <c r="A62" s="35" t="s">
        <v>141</v>
      </c>
      <c r="B62" s="36" t="s">
        <v>142</v>
      </c>
      <c r="C62" s="40">
        <v>805090451</v>
      </c>
      <c r="D62" s="38">
        <f t="shared" si="23"/>
        <v>752920589.77520001</v>
      </c>
      <c r="E62" s="39">
        <v>0</v>
      </c>
      <c r="F62" s="40" t="s">
        <v>92</v>
      </c>
      <c r="G62" s="66">
        <v>0.59499999999999997</v>
      </c>
      <c r="H62" s="42">
        <v>0.93559999999999999</v>
      </c>
      <c r="I62" s="42">
        <v>0.93520000000000003</v>
      </c>
      <c r="J62" s="43">
        <f t="shared" si="24"/>
        <v>0.93520000000000003</v>
      </c>
      <c r="K62" s="39">
        <v>0</v>
      </c>
      <c r="L62" s="45">
        <f t="shared" si="25"/>
        <v>-3.9999999999995595E-4</v>
      </c>
      <c r="M62" s="45">
        <f t="shared" si="26"/>
        <v>-4.2753313381782378E-2</v>
      </c>
      <c r="N62" s="46">
        <v>420363</v>
      </c>
      <c r="O62" s="37">
        <v>393142.96</v>
      </c>
      <c r="P62" s="68">
        <f t="shared" si="28"/>
        <v>0</v>
      </c>
      <c r="Q62" s="48">
        <f t="shared" si="27"/>
        <v>0.57176470588235317</v>
      </c>
      <c r="R62" s="67"/>
      <c r="T62" s="67"/>
    </row>
    <row r="63" spans="1:20" x14ac:dyDescent="0.25">
      <c r="A63" s="35" t="s">
        <v>143</v>
      </c>
      <c r="B63" s="36" t="s">
        <v>144</v>
      </c>
      <c r="C63" s="40">
        <v>260714518</v>
      </c>
      <c r="D63" s="38">
        <f t="shared" si="23"/>
        <v>67785774.680000007</v>
      </c>
      <c r="E63" s="39">
        <v>0</v>
      </c>
      <c r="F63" s="40" t="s">
        <v>34</v>
      </c>
      <c r="G63" s="66">
        <v>0.22600000000000001</v>
      </c>
      <c r="H63" s="42">
        <v>0.318</v>
      </c>
      <c r="I63" s="42">
        <v>0.26</v>
      </c>
      <c r="J63" s="43">
        <f t="shared" si="24"/>
        <v>0.26</v>
      </c>
      <c r="K63" s="39">
        <v>0</v>
      </c>
      <c r="L63" s="45">
        <f t="shared" si="25"/>
        <v>-5.7999999999999996E-2</v>
      </c>
      <c r="M63" s="45">
        <f t="shared" si="26"/>
        <v>-18.238993710691823</v>
      </c>
      <c r="N63" s="46">
        <v>16416</v>
      </c>
      <c r="O63" s="37">
        <v>4268.4399999999996</v>
      </c>
      <c r="P63" s="68">
        <f t="shared" si="28"/>
        <v>0</v>
      </c>
      <c r="Q63" s="48">
        <f t="shared" si="27"/>
        <v>0.15044247787610621</v>
      </c>
      <c r="T63" s="67"/>
    </row>
    <row r="64" spans="1:20" x14ac:dyDescent="0.25">
      <c r="A64" s="35" t="s">
        <v>145</v>
      </c>
      <c r="B64" s="36" t="s">
        <v>146</v>
      </c>
      <c r="C64" s="40">
        <v>562184788</v>
      </c>
      <c r="D64" s="38">
        <f t="shared" si="23"/>
        <v>347879946.81440002</v>
      </c>
      <c r="E64" s="39">
        <v>0</v>
      </c>
      <c r="F64" s="40" t="s">
        <v>34</v>
      </c>
      <c r="G64" s="66">
        <v>0.49440000000000001</v>
      </c>
      <c r="H64" s="42">
        <v>0.58530000000000004</v>
      </c>
      <c r="I64" s="42">
        <v>0.61880000000000002</v>
      </c>
      <c r="J64" s="43">
        <f t="shared" si="24"/>
        <v>0.61880000000000002</v>
      </c>
      <c r="K64" s="39">
        <v>0</v>
      </c>
      <c r="L64" s="45">
        <f t="shared" si="25"/>
        <v>3.3499999999999974E-2</v>
      </c>
      <c r="M64" s="45">
        <f t="shared" si="26"/>
        <v>5.7235605672304759</v>
      </c>
      <c r="N64" s="46">
        <v>1250</v>
      </c>
      <c r="O64" s="37">
        <v>773.5</v>
      </c>
      <c r="P64" s="68">
        <f t="shared" si="28"/>
        <v>0</v>
      </c>
      <c r="Q64" s="48">
        <f t="shared" si="27"/>
        <v>0.2516181229773462</v>
      </c>
      <c r="R64" s="67"/>
      <c r="T64" s="67"/>
    </row>
    <row r="65" spans="1:243" x14ac:dyDescent="0.25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68">
        <f t="shared" si="28"/>
        <v>0</v>
      </c>
      <c r="Q65" s="48">
        <f t="shared" si="27"/>
        <v>0</v>
      </c>
      <c r="T65" s="67"/>
    </row>
    <row r="66" spans="1:243" x14ac:dyDescent="0.25">
      <c r="A66" s="35" t="s">
        <v>149</v>
      </c>
      <c r="B66" s="36" t="s">
        <v>150</v>
      </c>
      <c r="C66" s="40">
        <v>344580486</v>
      </c>
      <c r="D66" s="38">
        <f t="shared" si="23"/>
        <v>23121350.610600002</v>
      </c>
      <c r="E66" s="39">
        <v>0</v>
      </c>
      <c r="F66" s="40" t="s">
        <v>44</v>
      </c>
      <c r="G66" s="66">
        <v>4.2999999999999997E-2</v>
      </c>
      <c r="H66" s="42">
        <v>0.06</v>
      </c>
      <c r="I66" s="42">
        <v>6.7100000000000007E-2</v>
      </c>
      <c r="J66" s="43">
        <f t="shared" si="24"/>
        <v>6.7100000000000007E-2</v>
      </c>
      <c r="K66" s="39">
        <v>0</v>
      </c>
      <c r="L66" s="45">
        <f t="shared" si="25"/>
        <v>7.1000000000000091E-3</v>
      </c>
      <c r="M66" s="45">
        <f t="shared" si="26"/>
        <v>11.833333333333348</v>
      </c>
      <c r="N66" s="46">
        <v>34296</v>
      </c>
      <c r="O66" s="37">
        <v>2299.98</v>
      </c>
      <c r="P66" s="68">
        <f t="shared" si="28"/>
        <v>0</v>
      </c>
      <c r="Q66" s="48">
        <f t="shared" si="27"/>
        <v>0.56046511627907014</v>
      </c>
      <c r="T66" s="67"/>
    </row>
    <row r="67" spans="1:243" ht="13.2" x14ac:dyDescent="0.35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2152151</v>
      </c>
      <c r="O67" s="58">
        <f>SUM(O52:O66)</f>
        <v>1826116.1199999999</v>
      </c>
      <c r="P67" s="73"/>
      <c r="Q67" s="59"/>
    </row>
    <row r="68" spans="1:243" ht="12.6" hidden="1" x14ac:dyDescent="0.3">
      <c r="A68" s="127" t="s">
        <v>151</v>
      </c>
      <c r="B68" s="128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</row>
    <row r="69" spans="1:243" ht="12.6" hidden="1" thickBot="1" x14ac:dyDescent="0.3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6" thickBot="1" x14ac:dyDescent="0.3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6" x14ac:dyDescent="0.3">
      <c r="A71" s="127" t="s">
        <v>155</v>
      </c>
      <c r="B71" s="128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30"/>
    </row>
    <row r="72" spans="1:243" x14ac:dyDescent="0.25">
      <c r="A72" s="84" t="s">
        <v>156</v>
      </c>
      <c r="B72" s="85" t="s">
        <v>157</v>
      </c>
      <c r="C72" s="86">
        <v>139300587</v>
      </c>
      <c r="D72" s="38">
        <f>C72*J72</f>
        <v>44088635.785499997</v>
      </c>
      <c r="E72" s="39">
        <f>C72*K72</f>
        <v>44088635.785499997</v>
      </c>
      <c r="F72" s="86" t="s">
        <v>158</v>
      </c>
      <c r="G72" s="86">
        <v>0.24</v>
      </c>
      <c r="H72" s="87">
        <v>0.3165</v>
      </c>
      <c r="I72" s="87">
        <v>0.3165</v>
      </c>
      <c r="J72" s="88">
        <f>I72</f>
        <v>0.3165</v>
      </c>
      <c r="K72" s="88">
        <f>J72</f>
        <v>0.3165</v>
      </c>
      <c r="L72" s="45">
        <f>I72-H72</f>
        <v>0</v>
      </c>
      <c r="M72" s="45">
        <f>((I72-H72)/H72)*100</f>
        <v>0</v>
      </c>
      <c r="N72" s="89">
        <v>0</v>
      </c>
      <c r="O72" s="90">
        <v>0</v>
      </c>
      <c r="P72" s="68">
        <f>(R72)/J72</f>
        <v>0</v>
      </c>
      <c r="Q72" s="91">
        <f>J72/G72-1</f>
        <v>0.31875000000000009</v>
      </c>
      <c r="T72" s="67"/>
    </row>
    <row r="73" spans="1:243" x14ac:dyDescent="0.25">
      <c r="A73" s="84" t="s">
        <v>159</v>
      </c>
      <c r="B73" s="85" t="s">
        <v>160</v>
      </c>
      <c r="C73" s="86">
        <v>471351750</v>
      </c>
      <c r="D73" s="38">
        <f>C73*J73</f>
        <v>68581679.625</v>
      </c>
      <c r="E73" s="39">
        <f>C73*K73</f>
        <v>68581679.625</v>
      </c>
      <c r="F73" s="86" t="s">
        <v>158</v>
      </c>
      <c r="G73" s="86">
        <v>0.1</v>
      </c>
      <c r="H73" s="87">
        <v>0.14799999999999999</v>
      </c>
      <c r="I73" s="87">
        <v>0.14549999999999999</v>
      </c>
      <c r="J73" s="88">
        <f>I73</f>
        <v>0.14549999999999999</v>
      </c>
      <c r="K73" s="88">
        <f>J73</f>
        <v>0.14549999999999999</v>
      </c>
      <c r="L73" s="45">
        <f>I73-H73</f>
        <v>-2.5000000000000022E-3</v>
      </c>
      <c r="M73" s="45">
        <f>((I73-H73)/H73)*100</f>
        <v>-1.6891891891891906</v>
      </c>
      <c r="N73" s="46">
        <v>11507</v>
      </c>
      <c r="O73" s="90">
        <v>1674.42</v>
      </c>
      <c r="P73" s="92">
        <f>(R73)/J73</f>
        <v>2.6061855670103093E-2</v>
      </c>
      <c r="Q73" s="91">
        <f>J73/G73-1</f>
        <v>0.45499999999999985</v>
      </c>
      <c r="R73" s="5">
        <v>3.7919999999999998E-3</v>
      </c>
      <c r="T73" s="67"/>
    </row>
    <row r="74" spans="1:243" ht="13.2" x14ac:dyDescent="0.35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11507</v>
      </c>
      <c r="O74" s="58">
        <f>SUM(O72:O73)</f>
        <v>1674.42</v>
      </c>
      <c r="P74" s="83"/>
      <c r="Q74" s="45"/>
    </row>
    <row r="75" spans="1:243" ht="12.6" x14ac:dyDescent="0.3">
      <c r="A75" s="139" t="s">
        <v>161</v>
      </c>
      <c r="B75" s="140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</row>
    <row r="76" spans="1:243" x14ac:dyDescent="0.25">
      <c r="A76" s="35" t="s">
        <v>162</v>
      </c>
      <c r="B76" s="36" t="s">
        <v>163</v>
      </c>
      <c r="C76" s="40">
        <v>45396463</v>
      </c>
      <c r="D76" s="38">
        <f>C76*J76</f>
        <v>166839.20988048901</v>
      </c>
      <c r="E76" s="39">
        <f>C76*K76</f>
        <v>142021.32128006668</v>
      </c>
      <c r="F76" s="40" t="s">
        <v>140</v>
      </c>
      <c r="G76" s="66">
        <v>0.105</v>
      </c>
      <c r="H76" s="42">
        <v>9.3854000000000007E-2</v>
      </c>
      <c r="I76" s="42">
        <v>9.3854000000000007E-2</v>
      </c>
      <c r="J76" s="43">
        <f>I76/$J$5</f>
        <v>3.675158786720653E-3</v>
      </c>
      <c r="K76" s="44">
        <f>I76/$K$4</f>
        <v>3.1284666666666671E-3</v>
      </c>
      <c r="L76" s="45">
        <f>I76-H76</f>
        <v>0</v>
      </c>
      <c r="M76" s="93">
        <f>((I76-H76)/H76)*100</f>
        <v>0</v>
      </c>
      <c r="N76" s="37">
        <v>0</v>
      </c>
      <c r="O76" s="37">
        <v>0</v>
      </c>
      <c r="P76" s="40">
        <v>0</v>
      </c>
      <c r="Q76" s="48">
        <f>I76/G76-1</f>
        <v>-0.10615238095238089</v>
      </c>
    </row>
    <row r="77" spans="1:243" x14ac:dyDescent="0.25">
      <c r="A77" s="35" t="s">
        <v>164</v>
      </c>
      <c r="B77" s="36" t="s">
        <v>165</v>
      </c>
      <c r="C77" s="40">
        <v>136162052</v>
      </c>
      <c r="D77" s="38">
        <f>C77*J77</f>
        <v>323191.19338617084</v>
      </c>
      <c r="E77" s="39">
        <f>C77*K77</f>
        <v>275115.42606599996</v>
      </c>
      <c r="F77" s="40" t="s">
        <v>140</v>
      </c>
      <c r="G77" s="66">
        <v>4.2500000000000003E-2</v>
      </c>
      <c r="H77" s="42">
        <v>0.06</v>
      </c>
      <c r="I77" s="42">
        <v>6.0614999999999995E-2</v>
      </c>
      <c r="J77" s="43">
        <f>I77/$J$5</f>
        <v>2.3735775764173327E-3</v>
      </c>
      <c r="K77" s="44">
        <f>I77/$K$4</f>
        <v>2.0204999999999997E-3</v>
      </c>
      <c r="L77" s="45">
        <f>I77-H77</f>
        <v>6.1499999999999749E-4</v>
      </c>
      <c r="M77" s="93">
        <f>((I77-H77)/H77)*100</f>
        <v>1.0249999999999959</v>
      </c>
      <c r="N77" s="37">
        <v>3900</v>
      </c>
      <c r="O77" s="37">
        <v>236.4</v>
      </c>
      <c r="P77" s="40">
        <v>0</v>
      </c>
      <c r="Q77" s="48">
        <f>I77/G77-1</f>
        <v>0.42623529411764682</v>
      </c>
    </row>
    <row r="78" spans="1:243" x14ac:dyDescent="0.25">
      <c r="A78" s="35" t="s">
        <v>166</v>
      </c>
      <c r="B78" s="36" t="s">
        <v>167</v>
      </c>
      <c r="C78" s="40">
        <v>494417400</v>
      </c>
      <c r="D78" s="38">
        <f>C78*J78</f>
        <v>1781168.0437319381</v>
      </c>
      <c r="E78" s="39">
        <f>C78*K78</f>
        <v>1516213.36</v>
      </c>
      <c r="F78" s="40" t="s">
        <v>140</v>
      </c>
      <c r="G78" s="66">
        <v>6.0499999999999998E-2</v>
      </c>
      <c r="H78" s="42">
        <v>0.08</v>
      </c>
      <c r="I78" s="42">
        <v>9.1999999999999998E-2</v>
      </c>
      <c r="J78" s="43">
        <f>I78/$J$5</f>
        <v>3.6025593834924461E-3</v>
      </c>
      <c r="K78" s="44">
        <f>I78/$K$4</f>
        <v>3.0666666666666668E-3</v>
      </c>
      <c r="L78" s="45">
        <f>I78-H78</f>
        <v>1.1999999999999997E-2</v>
      </c>
      <c r="M78" s="93">
        <f>((I78-H78)/H78)*100</f>
        <v>14.999999999999996</v>
      </c>
      <c r="N78" s="37">
        <v>12600</v>
      </c>
      <c r="O78" s="37">
        <v>1159.2</v>
      </c>
      <c r="P78" s="40">
        <v>0</v>
      </c>
      <c r="Q78" s="48">
        <f>I78/G78-1</f>
        <v>0.52066115702479343</v>
      </c>
    </row>
    <row r="79" spans="1:243" x14ac:dyDescent="0.25">
      <c r="A79" s="35" t="s">
        <v>168</v>
      </c>
      <c r="B79" s="36" t="s">
        <v>169</v>
      </c>
      <c r="C79" s="37">
        <v>41156692</v>
      </c>
      <c r="D79" s="38">
        <f>C79*J79</f>
        <v>2594714.9717668984</v>
      </c>
      <c r="E79" s="39">
        <f>C79*K79</f>
        <v>2208742.4706666665</v>
      </c>
      <c r="F79" s="40" t="s">
        <v>140</v>
      </c>
      <c r="G79" s="66">
        <v>1.85</v>
      </c>
      <c r="H79" s="42">
        <v>1.61</v>
      </c>
      <c r="I79" s="42">
        <v>1.61</v>
      </c>
      <c r="J79" s="43">
        <f>I79/$J$5</f>
        <v>6.3044789211117808E-2</v>
      </c>
      <c r="K79" s="44">
        <f>I79/$K$4</f>
        <v>5.3666666666666668E-2</v>
      </c>
      <c r="L79" s="45">
        <f>I79-H79</f>
        <v>0</v>
      </c>
      <c r="M79" s="93">
        <f>((I79-H79)/H79)*100</f>
        <v>0</v>
      </c>
      <c r="N79" s="37">
        <v>10</v>
      </c>
      <c r="O79" s="37">
        <v>17.7</v>
      </c>
      <c r="P79" s="40">
        <v>0</v>
      </c>
      <c r="Q79" s="48">
        <f>I79/G79-1</f>
        <v>-0.12972972972972974</v>
      </c>
    </row>
    <row r="80" spans="1:243" ht="13.8" thickBot="1" x14ac:dyDescent="0.4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16510</v>
      </c>
      <c r="O80" s="58">
        <f>SUM(O76:O79)</f>
        <v>1413.3000000000002</v>
      </c>
      <c r="P80" s="73"/>
      <c r="Q80" s="59"/>
      <c r="DU80" s="94"/>
      <c r="DV80" s="94"/>
      <c r="DW80" s="95"/>
      <c r="DX80" s="96"/>
      <c r="DY80" s="96"/>
      <c r="DZ80" s="97"/>
      <c r="EA80" s="97"/>
      <c r="EB80" s="98"/>
      <c r="EC80" s="98"/>
      <c r="ED80" s="99"/>
      <c r="EE80" s="99"/>
      <c r="EF80" s="97"/>
      <c r="EG80" s="100"/>
      <c r="EH80" s="101"/>
      <c r="EI80" s="95"/>
      <c r="EJ80" s="94"/>
      <c r="EK80" s="94"/>
      <c r="EL80" s="95"/>
      <c r="EM80" s="96"/>
      <c r="EN80" s="96"/>
      <c r="EO80" s="97"/>
      <c r="EP80" s="97"/>
      <c r="EQ80" s="98"/>
      <c r="ER80" s="98"/>
      <c r="ES80" s="99"/>
      <c r="ET80" s="99"/>
      <c r="EU80" s="97"/>
      <c r="EV80" s="100"/>
      <c r="EW80" s="101"/>
      <c r="EX80" s="95"/>
      <c r="EY80" s="94"/>
      <c r="EZ80" s="94"/>
      <c r="FA80" s="95"/>
      <c r="FB80" s="96"/>
      <c r="FC80" s="96"/>
      <c r="FD80" s="97"/>
      <c r="FE80" s="97"/>
      <c r="FF80" s="98"/>
      <c r="FG80" s="98"/>
      <c r="FH80" s="99"/>
      <c r="FI80" s="99"/>
      <c r="FJ80" s="97"/>
      <c r="FK80" s="100"/>
      <c r="FL80" s="101"/>
      <c r="FM80" s="95"/>
      <c r="FN80" s="94"/>
      <c r="FO80" s="94"/>
      <c r="FP80" s="95"/>
      <c r="FQ80" s="96"/>
      <c r="FR80" s="96"/>
      <c r="FS80" s="97"/>
      <c r="FT80" s="97"/>
      <c r="FU80" s="98"/>
      <c r="FV80" s="98"/>
      <c r="FW80" s="99"/>
      <c r="FX80" s="99"/>
      <c r="FY80" s="97"/>
      <c r="FZ80" s="100"/>
      <c r="GA80" s="101"/>
      <c r="GB80" s="95"/>
      <c r="GC80" s="94"/>
      <c r="GD80" s="94"/>
      <c r="GE80" s="95"/>
      <c r="GF80" s="96"/>
      <c r="GG80" s="96"/>
      <c r="GH80" s="97"/>
      <c r="GI80" s="97"/>
      <c r="GJ80" s="98"/>
      <c r="GK80" s="98"/>
      <c r="GL80" s="99"/>
      <c r="GM80" s="99"/>
      <c r="GN80" s="97"/>
      <c r="GO80" s="100"/>
      <c r="GP80" s="101"/>
      <c r="GQ80" s="95"/>
      <c r="GR80" s="94"/>
      <c r="GS80" s="94"/>
      <c r="GT80" s="95"/>
      <c r="GU80" s="96"/>
      <c r="GV80" s="96"/>
      <c r="GW80" s="97"/>
      <c r="GX80" s="97"/>
      <c r="GY80" s="98"/>
      <c r="GZ80" s="98"/>
      <c r="HA80" s="99"/>
      <c r="HB80" s="99"/>
      <c r="HC80" s="97"/>
      <c r="HD80" s="100"/>
      <c r="HE80" s="101"/>
      <c r="HF80" s="95"/>
      <c r="HG80" s="94"/>
      <c r="HH80" s="94"/>
      <c r="HI80" s="95"/>
      <c r="HJ80" s="96"/>
      <c r="HK80" s="96"/>
      <c r="HL80" s="97"/>
      <c r="HM80" s="97"/>
      <c r="HN80" s="98"/>
      <c r="HO80" s="98"/>
      <c r="HP80" s="99"/>
      <c r="HQ80" s="99"/>
      <c r="HR80" s="97"/>
      <c r="HS80" s="100"/>
      <c r="HT80" s="101"/>
      <c r="HU80" s="95"/>
      <c r="HV80" s="94"/>
      <c r="HW80" s="94"/>
      <c r="HX80" s="95"/>
      <c r="HY80" s="96"/>
      <c r="HZ80" s="96"/>
      <c r="IA80" s="97"/>
      <c r="IB80" s="97"/>
      <c r="IC80" s="98"/>
      <c r="ID80" s="98"/>
      <c r="IE80" s="99"/>
      <c r="IF80" s="99"/>
      <c r="IG80" s="97"/>
      <c r="IH80" s="100"/>
      <c r="II80" s="101"/>
    </row>
    <row r="81" spans="1:38" ht="13.2" thickTop="1" x14ac:dyDescent="0.3">
      <c r="A81" s="127" t="s">
        <v>170</v>
      </c>
      <c r="B81" s="128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30"/>
    </row>
    <row r="82" spans="1:38" x14ac:dyDescent="0.25">
      <c r="A82" s="35" t="s">
        <v>171</v>
      </c>
      <c r="B82" s="36" t="s">
        <v>172</v>
      </c>
      <c r="C82" s="40">
        <v>368326244</v>
      </c>
      <c r="D82" s="38">
        <f>C82*J82</f>
        <v>33894079.796690345</v>
      </c>
      <c r="E82" s="39">
        <f>C82*K82</f>
        <v>28852222.446666669</v>
      </c>
      <c r="F82" s="40" t="s">
        <v>173</v>
      </c>
      <c r="G82" s="40">
        <v>1.3</v>
      </c>
      <c r="H82" s="42">
        <v>2.35</v>
      </c>
      <c r="I82" s="42">
        <v>2.35</v>
      </c>
      <c r="J82" s="43">
        <f>I82/$J$5</f>
        <v>9.2021897295730959E-2</v>
      </c>
      <c r="K82" s="44">
        <f>I82/$K$4</f>
        <v>7.8333333333333338E-2</v>
      </c>
      <c r="L82" s="45">
        <f>I82-H82</f>
        <v>0</v>
      </c>
      <c r="M82" s="45">
        <f>((I82-H82)/H82*100)</f>
        <v>0</v>
      </c>
      <c r="N82" s="47">
        <v>100</v>
      </c>
      <c r="O82" s="37">
        <v>235</v>
      </c>
      <c r="P82" s="47">
        <f>(R82)/J82</f>
        <v>0</v>
      </c>
      <c r="Q82" s="48">
        <f>I82/G82-1</f>
        <v>0.80769230769230771</v>
      </c>
      <c r="R82" s="67"/>
    </row>
    <row r="83" spans="1:38" s="103" customFormat="1" ht="12.6" thickBot="1" x14ac:dyDescent="0.3">
      <c r="A83" s="35" t="s">
        <v>174</v>
      </c>
      <c r="B83" s="36" t="s">
        <v>175</v>
      </c>
      <c r="C83" s="40">
        <v>1841105000</v>
      </c>
      <c r="D83" s="38">
        <f>C83*J83</f>
        <v>85792404.473438948</v>
      </c>
      <c r="E83" s="39">
        <f>C83*K83</f>
        <v>73030498.333333328</v>
      </c>
      <c r="F83" s="40" t="s">
        <v>173</v>
      </c>
      <c r="G83" s="40">
        <v>1.44347</v>
      </c>
      <c r="H83" s="42">
        <v>1.1892389999999999</v>
      </c>
      <c r="I83" s="42">
        <v>1.19</v>
      </c>
      <c r="J83" s="43">
        <f>I83/$J$5</f>
        <v>4.6598322460391424E-2</v>
      </c>
      <c r="K83" s="44">
        <f>I83/$K$4</f>
        <v>3.9666666666666663E-2</v>
      </c>
      <c r="L83" s="45">
        <f>I83-H83</f>
        <v>7.6100000000001167E-4</v>
      </c>
      <c r="M83" s="45">
        <f>((I83-H83)/H83*100)</f>
        <v>6.399050148876817E-2</v>
      </c>
      <c r="N83" s="47">
        <v>13836</v>
      </c>
      <c r="O83" s="37">
        <v>16472.202499999999</v>
      </c>
      <c r="P83" s="102">
        <f>(R83)/J83</f>
        <v>4.6696960000000003E-2</v>
      </c>
      <c r="Q83" s="48">
        <f>I83/G83-1</f>
        <v>-0.17559769167353678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4"/>
      <c r="B84" s="75" t="s">
        <v>82</v>
      </c>
      <c r="C84" s="76"/>
      <c r="D84" s="104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13936</v>
      </c>
      <c r="O84" s="58">
        <f>SUM(O82:O83)</f>
        <v>16707.202499999999</v>
      </c>
      <c r="P84" s="105"/>
      <c r="Q84" s="82"/>
    </row>
    <row r="85" spans="1:38" ht="12.6" thickBot="1" x14ac:dyDescent="0.3">
      <c r="A85" s="106"/>
      <c r="B85" s="107"/>
      <c r="C85" s="107"/>
      <c r="D85" s="107"/>
      <c r="E85" s="107"/>
      <c r="F85" s="108"/>
      <c r="G85" s="108"/>
      <c r="H85" s="55"/>
      <c r="M85" s="84"/>
      <c r="N85" s="84"/>
      <c r="O85" s="55"/>
      <c r="P85" s="55"/>
      <c r="Q85" s="109"/>
    </row>
    <row r="86" spans="1:38" ht="12.6" thickBot="1" x14ac:dyDescent="0.3">
      <c r="A86" s="131" t="s">
        <v>176</v>
      </c>
      <c r="B86" s="132"/>
      <c r="C86" s="132"/>
      <c r="D86" s="132"/>
      <c r="E86" s="131" t="s">
        <v>177</v>
      </c>
      <c r="F86" s="132"/>
      <c r="G86" s="132"/>
      <c r="H86" s="133"/>
      <c r="L86" s="134" t="s">
        <v>178</v>
      </c>
      <c r="M86" s="135"/>
      <c r="N86" s="136"/>
      <c r="O86" s="134" t="s">
        <v>179</v>
      </c>
      <c r="P86" s="135"/>
      <c r="Q86" s="136"/>
    </row>
    <row r="87" spans="1:38" x14ac:dyDescent="0.25">
      <c r="A87" s="35" t="s">
        <v>113</v>
      </c>
      <c r="B87" s="110">
        <v>7.0199999999999999E-2</v>
      </c>
      <c r="C87" s="110"/>
      <c r="D87" s="110">
        <v>11.961722488038291</v>
      </c>
      <c r="E87" s="35" t="s">
        <v>40</v>
      </c>
      <c r="F87" s="111">
        <v>180</v>
      </c>
      <c r="G87" s="111"/>
      <c r="H87" s="112">
        <v>-9.8865471628780615</v>
      </c>
      <c r="L87" s="35" t="s">
        <v>149</v>
      </c>
      <c r="M87" s="47">
        <v>6.7100000000000007E-2</v>
      </c>
      <c r="N87" s="113">
        <v>11.833333333333348</v>
      </c>
      <c r="O87" s="35" t="s">
        <v>143</v>
      </c>
      <c r="P87" s="111">
        <v>0.26</v>
      </c>
      <c r="Q87" s="114">
        <v>-18.238993710691823</v>
      </c>
    </row>
    <row r="88" spans="1:38" x14ac:dyDescent="0.25">
      <c r="A88" s="35" t="s">
        <v>97</v>
      </c>
      <c r="B88" s="110">
        <v>3.1</v>
      </c>
      <c r="C88" s="110"/>
      <c r="D88" s="110">
        <v>10.714285714285724</v>
      </c>
      <c r="E88" s="35" t="s">
        <v>103</v>
      </c>
      <c r="F88" s="111">
        <v>9.0498999999999996E-2</v>
      </c>
      <c r="G88" s="111"/>
      <c r="H88" s="112">
        <v>-9.5010000000000101</v>
      </c>
      <c r="L88" s="35" t="s">
        <v>145</v>
      </c>
      <c r="M88" s="47">
        <v>0.61880000000000002</v>
      </c>
      <c r="N88" s="113">
        <v>5.7235605672304759</v>
      </c>
      <c r="O88" s="35" t="s">
        <v>136</v>
      </c>
      <c r="P88" s="111">
        <v>1.8499999999999999E-2</v>
      </c>
      <c r="Q88" s="114">
        <v>-4.6391752577319663</v>
      </c>
    </row>
    <row r="89" spans="1:38" x14ac:dyDescent="0.25">
      <c r="A89" s="35" t="s">
        <v>117</v>
      </c>
      <c r="B89" s="110">
        <v>1.1000000000000001</v>
      </c>
      <c r="C89" s="110"/>
      <c r="D89" s="110">
        <v>10.019033292759666</v>
      </c>
      <c r="E89" s="35" t="s">
        <v>50</v>
      </c>
      <c r="F89" s="111">
        <v>2.6</v>
      </c>
      <c r="G89" s="111"/>
      <c r="H89" s="112">
        <v>-6.4877705785349793</v>
      </c>
      <c r="L89" s="35" t="s">
        <v>126</v>
      </c>
      <c r="M89" s="47">
        <v>0.26600000000000001</v>
      </c>
      <c r="N89" s="113">
        <v>3.6632891660171549</v>
      </c>
      <c r="O89" s="35" t="s">
        <v>130</v>
      </c>
      <c r="P89" s="111">
        <v>0.1085</v>
      </c>
      <c r="Q89" s="114">
        <v>-2.1641118124436423</v>
      </c>
    </row>
    <row r="90" spans="1:38" x14ac:dyDescent="0.25">
      <c r="A90" s="35" t="s">
        <v>35</v>
      </c>
      <c r="B90" s="110">
        <v>6.4444000000000001E-2</v>
      </c>
      <c r="C90" s="110"/>
      <c r="D90" s="110">
        <v>7.9916212819438543</v>
      </c>
      <c r="E90" s="35" t="s">
        <v>37</v>
      </c>
      <c r="F90" s="111">
        <v>0.22</v>
      </c>
      <c r="G90" s="111"/>
      <c r="H90" s="112">
        <v>-4.6165585654330492</v>
      </c>
      <c r="L90" s="35" t="s">
        <v>132</v>
      </c>
      <c r="M90" s="47">
        <v>1.2</v>
      </c>
      <c r="N90" s="113">
        <v>1.1548512180730042</v>
      </c>
      <c r="O90" s="35" t="s">
        <v>141</v>
      </c>
      <c r="P90" s="111">
        <v>0.93520000000000003</v>
      </c>
      <c r="Q90" s="114">
        <v>-4.2753313381782378E-2</v>
      </c>
    </row>
    <row r="91" spans="1:38" x14ac:dyDescent="0.25">
      <c r="A91" s="35" t="s">
        <v>99</v>
      </c>
      <c r="B91" s="110">
        <v>0.102724</v>
      </c>
      <c r="C91" s="110"/>
      <c r="D91" s="110">
        <v>1.7069306930693102</v>
      </c>
      <c r="E91" s="35" t="s">
        <v>74</v>
      </c>
      <c r="F91" s="111">
        <v>3.6</v>
      </c>
      <c r="G91" s="111"/>
      <c r="H91" s="112">
        <v>-2.7018086112142594</v>
      </c>
      <c r="L91" s="35" t="s">
        <v>122</v>
      </c>
      <c r="M91" s="47">
        <v>0.13070000000000001</v>
      </c>
      <c r="N91" s="113">
        <v>0.23006134969326877</v>
      </c>
      <c r="O91" s="35"/>
      <c r="P91" s="111"/>
      <c r="Q91" s="114"/>
    </row>
    <row r="92" spans="1:38" ht="12.6" thickBot="1" x14ac:dyDescent="0.3">
      <c r="A92" s="115"/>
      <c r="B92" s="116"/>
      <c r="C92" s="116"/>
      <c r="D92" s="116"/>
      <c r="E92" s="115"/>
      <c r="F92" s="116"/>
      <c r="G92" s="116"/>
      <c r="H92" s="117"/>
      <c r="L92" s="115"/>
      <c r="M92" s="116"/>
      <c r="N92" s="117"/>
      <c r="O92" s="116"/>
      <c r="P92" s="116"/>
      <c r="Q92" s="117"/>
    </row>
    <row r="93" spans="1:38" x14ac:dyDescent="0.25">
      <c r="A93" s="118"/>
      <c r="B93" s="119"/>
      <c r="C93" s="119"/>
      <c r="D93" s="119"/>
      <c r="E93" s="84"/>
      <c r="F93" s="84"/>
      <c r="G93" s="84"/>
      <c r="H93" s="84"/>
      <c r="I93" s="84"/>
      <c r="J93" s="84"/>
      <c r="K93" s="84"/>
      <c r="L93" s="84"/>
      <c r="M93" s="119"/>
      <c r="Q93" s="16"/>
    </row>
    <row r="94" spans="1:38" x14ac:dyDescent="0.25">
      <c r="A94" s="12" t="s">
        <v>180</v>
      </c>
      <c r="B94" s="120"/>
      <c r="C94" s="120"/>
      <c r="D94" s="120"/>
      <c r="E94" s="120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18"/>
      <c r="B95" s="119"/>
      <c r="C95" s="119"/>
      <c r="D95" s="119"/>
      <c r="E95" s="119"/>
      <c r="F95" s="84"/>
      <c r="G95" s="84"/>
      <c r="H95" s="119"/>
      <c r="I95" s="84"/>
      <c r="J95" s="84"/>
      <c r="K95" s="84"/>
      <c r="L95" s="84"/>
      <c r="M95" s="119"/>
      <c r="Q95" s="16"/>
    </row>
    <row r="96" spans="1:38" ht="12.6" thickBot="1" x14ac:dyDescent="0.3">
      <c r="A96" s="121"/>
      <c r="B96" s="122"/>
      <c r="C96" s="122"/>
      <c r="D96" s="122"/>
      <c r="E96" s="122"/>
      <c r="F96" s="123"/>
      <c r="G96" s="123"/>
      <c r="H96" s="123"/>
      <c r="I96" s="124"/>
      <c r="J96" s="124"/>
      <c r="K96" s="124"/>
      <c r="L96" s="124"/>
      <c r="M96" s="124"/>
      <c r="N96" s="124"/>
      <c r="O96" s="124"/>
      <c r="P96" s="124"/>
      <c r="Q96" s="125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26"/>
      <c r="J100" s="126"/>
      <c r="K100" s="126"/>
      <c r="O100" s="126"/>
      <c r="P100" s="126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26"/>
      <c r="J103" s="126"/>
      <c r="K103" s="126"/>
      <c r="O103" s="126"/>
      <c r="P103" s="126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26"/>
      <c r="J105" s="126"/>
      <c r="K105" s="126"/>
      <c r="O105" s="126"/>
      <c r="P105" s="126"/>
    </row>
  </sheetData>
  <sheetProtection algorithmName="SHA-512" hashValue="TA3KpuLDfmGN2RSxpdZ3Lllu5eXlKlqybPBWqIWSbIF7r3NTTfVL+aHksGhxjVndET850LhKscYPkjlMO+Fgsw==" saltValue="2LvWZz1Y1iup5Pxrraz1vQ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2026-05-07T13:53:07Z</dcterms:created>
  <dcterms:modified xsi:type="dcterms:W3CDTF">2026-05-07T13:56:28Z</dcterms:modified>
</cp:coreProperties>
</file>