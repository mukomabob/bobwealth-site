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04.06.26/"/>
    </mc:Choice>
  </mc:AlternateContent>
  <xr:revisionPtr revIDLastSave="0" documentId="8_{BC4C83CC-1B8E-4B2D-9D99-E98F0251A88B}" xr6:coauthVersionLast="47" xr6:coauthVersionMax="47" xr10:uidLastSave="{00000000-0000-0000-0000-000000000000}"/>
  <bookViews>
    <workbookView xWindow="-108" yWindow="-108" windowWidth="23256" windowHeight="12456" xr2:uid="{4AE0F802-7152-4BAF-965C-3DBB1533C3A9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D84" i="1"/>
  <c r="Q83" i="1"/>
  <c r="P83" i="1"/>
  <c r="M83" i="1"/>
  <c r="L83" i="1"/>
  <c r="K83" i="1"/>
  <c r="J83" i="1"/>
  <c r="E83" i="1"/>
  <c r="D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M74" i="1"/>
  <c r="L74" i="1"/>
  <c r="J74" i="1"/>
  <c r="Q74" i="1" s="1"/>
  <c r="O72" i="1"/>
  <c r="N72" i="1"/>
  <c r="M71" i="1"/>
  <c r="L71" i="1"/>
  <c r="J71" i="1"/>
  <c r="K71" i="1" s="1"/>
  <c r="E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D61" i="1"/>
  <c r="M60" i="1"/>
  <c r="L60" i="1"/>
  <c r="J60" i="1"/>
  <c r="D60" i="1" s="1"/>
  <c r="M59" i="1"/>
  <c r="L59" i="1"/>
  <c r="J59" i="1"/>
  <c r="Q59" i="1" s="1"/>
  <c r="D59" i="1"/>
  <c r="M58" i="1"/>
  <c r="L58" i="1"/>
  <c r="J58" i="1"/>
  <c r="D58" i="1" s="1"/>
  <c r="M57" i="1"/>
  <c r="L57" i="1"/>
  <c r="J57" i="1"/>
  <c r="Q57" i="1" s="1"/>
  <c r="D57" i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M51" i="1"/>
  <c r="L51" i="1"/>
  <c r="J51" i="1"/>
  <c r="Q51" i="1" s="1"/>
  <c r="D51" i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Q45" i="1"/>
  <c r="M45" i="1"/>
  <c r="L45" i="1"/>
  <c r="K45" i="1"/>
  <c r="E45" i="1" s="1"/>
  <c r="J45" i="1"/>
  <c r="P45" i="1" s="1"/>
  <c r="D45" i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D41" i="1" s="1"/>
  <c r="Q40" i="1"/>
  <c r="M40" i="1"/>
  <c r="L40" i="1"/>
  <c r="K40" i="1"/>
  <c r="J40" i="1"/>
  <c r="P40" i="1" s="1"/>
  <c r="E40" i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P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P24" i="1" s="1"/>
  <c r="D24" i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E16" i="1" s="1"/>
  <c r="J16" i="1"/>
  <c r="P16" i="1" s="1"/>
  <c r="D16" i="1"/>
  <c r="Q15" i="1"/>
  <c r="M15" i="1"/>
  <c r="L15" i="1"/>
  <c r="K15" i="1"/>
  <c r="E15" i="1" s="1"/>
  <c r="J15" i="1"/>
  <c r="P15" i="1" s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D12" i="1"/>
  <c r="Q11" i="1"/>
  <c r="M11" i="1"/>
  <c r="L11" i="1"/>
  <c r="K11" i="1"/>
  <c r="E11" i="1" s="1"/>
  <c r="J11" i="1"/>
  <c r="P11" i="1" s="1"/>
  <c r="Q10" i="1"/>
  <c r="M10" i="1"/>
  <c r="L10" i="1"/>
  <c r="K10" i="1"/>
  <c r="J10" i="1"/>
  <c r="P10" i="1" s="1"/>
  <c r="E10" i="1"/>
  <c r="D10" i="1"/>
  <c r="Q9" i="1"/>
  <c r="M9" i="1"/>
  <c r="L9" i="1"/>
  <c r="K9" i="1"/>
  <c r="E9" i="1" s="1"/>
  <c r="J9" i="1"/>
  <c r="P9" i="1" s="1"/>
  <c r="D28" i="1" l="1"/>
  <c r="D15" i="1"/>
  <c r="D43" i="1"/>
  <c r="D37" i="1"/>
  <c r="D39" i="1"/>
  <c r="D25" i="1"/>
  <c r="D27" i="1"/>
  <c r="D19" i="1"/>
  <c r="D21" i="1"/>
  <c r="P33" i="1"/>
  <c r="D53" i="1"/>
  <c r="D71" i="1"/>
  <c r="D34" i="1"/>
  <c r="D9" i="1"/>
  <c r="D40" i="1"/>
  <c r="D46" i="1"/>
  <c r="P41" i="1"/>
  <c r="Q71" i="1"/>
  <c r="D11" i="1"/>
  <c r="D22" i="1"/>
  <c r="D52" i="1"/>
  <c r="D42" i="1"/>
  <c r="P44" i="1"/>
  <c r="P71" i="1"/>
  <c r="P36" i="1"/>
  <c r="D74" i="1"/>
  <c r="D63" i="1"/>
  <c r="K70" i="1"/>
  <c r="E70" i="1" s="1"/>
  <c r="P56" i="1"/>
  <c r="P60" i="1"/>
  <c r="P64" i="1"/>
  <c r="K74" i="1"/>
  <c r="E74" i="1" s="1"/>
  <c r="P55" i="1"/>
  <c r="P57" i="1"/>
  <c r="P59" i="1"/>
  <c r="P61" i="1"/>
  <c r="P63" i="1"/>
  <c r="P62" i="1"/>
  <c r="P20" i="1"/>
  <c r="P26" i="1"/>
  <c r="P29" i="1"/>
  <c r="P32" i="1"/>
  <c r="P35" i="1"/>
  <c r="P52" i="1"/>
  <c r="Q54" i="1"/>
  <c r="Q56" i="1"/>
  <c r="Q58" i="1"/>
  <c r="Q60" i="1"/>
  <c r="Q62" i="1"/>
  <c r="Q64" i="1"/>
  <c r="P70" i="1"/>
  <c r="Q70" i="1"/>
  <c r="D23" i="1"/>
  <c r="P51" i="1"/>
  <c r="P74" i="1"/>
  <c r="P54" i="1"/>
  <c r="P58" i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<sst xmlns="http://schemas.openxmlformats.org/spreadsheetml/2006/main" count="265" uniqueCount="182">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</sst>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31D427EB-40DF-45AB-824E-5734E5714305}"/>
    <cellStyle name="Comma 5 2 2 2 2 2 2 2 2" xfId="4" xr:uid="{CA83F5E9-2385-41DC-B716-67B9B693E47B}"/>
    <cellStyle name="Comma 6 2 2 2" xfId="5" xr:uid="{DDCD95E0-1127-4159-8EF2-2F9D65216C30}"/>
    <cellStyle name="Hyperlink 2" xfId="8" xr:uid="{EC96DC86-D3E6-4B08-9A8E-A64D6BBF591F}"/>
    <cellStyle name="Normal" xfId="0" builtinId="0"/>
    <cellStyle name="Normal 2" xfId="2" xr:uid="{01AC0AAD-A427-4FCC-ABBE-15600A11295C}"/>
    <cellStyle name="Normal 20" xfId="7" xr:uid="{4DF53915-46D1-47EF-9604-D03E3C6A5B52}"/>
    <cellStyle name="Percent" xfId="1" builtinId="5"/>
    <cellStyle name="Percent 3" xfId="6" xr:uid="{75B96CEA-A90B-4450-9093-2666359B421C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69BA6BFC-D049-41AD-8FFF-F6D623522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9645083D-6A57-4A8B-8DC9-4D8214EB4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45CF-BF99-4C1B-9CAE-79309768D064}">
  <dimension ref="A1:II106"/>
  <sheetViews>
    <sheetView tabSelected="1" zoomScale="73" zoomScaleNormal="60" workbookViewId="0">
      <selection activeCell="Q102" sqref="Q102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26.8841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73315429.27604048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0.58770797608995651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2.5522879746835442E-2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3840443.1888582841</v>
      </c>
      <c r="E10" s="39">
        <f>C10*K10</f>
        <v>3277678.0550344442</v>
      </c>
      <c r="F10" s="40" t="s">
        <v>34</v>
      </c>
      <c r="G10" s="41">
        <v>3.1600000000000003E-2</v>
      </c>
      <c r="H10" s="42">
        <v>6.0016999999999994E-2</v>
      </c>
      <c r="I10" s="42">
        <v>6.3442999999999999E-2</v>
      </c>
      <c r="J10" s="43">
        <f>I10/$J$5</f>
        <v>2.3598707042452602E-3</v>
      </c>
      <c r="K10" s="44">
        <f>I10/$K$4</f>
        <v>2.0140634920634919E-3</v>
      </c>
      <c r="L10" s="45">
        <f>I10-H10</f>
        <v>3.4260000000000054E-3</v>
      </c>
      <c r="M10" s="45">
        <f>((I10-H10)/H10)*100</f>
        <v>5.7083826249229483</v>
      </c>
      <c r="N10" s="46">
        <v>41900</v>
      </c>
      <c r="O10" s="37">
        <v>2658.25</v>
      </c>
      <c r="P10" s="50">
        <f>(R10)/J10</f>
        <v>0</v>
      </c>
      <c r="Q10" s="48">
        <f>I10/G10-1</f>
        <v>1.0076898734177213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3575906.1668421109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2">
        <v>0.22</v>
      </c>
      <c r="J11" s="43">
        <f>I11/$J$5</f>
        <v>8.1832756164424321E-3</v>
      </c>
      <c r="K11" s="44">
        <f>I11/$K$4</f>
        <v>6.9841269841269841E-3</v>
      </c>
      <c r="L11" s="45">
        <f>I11-H11</f>
        <v>0</v>
      </c>
      <c r="M11" s="45">
        <f>((I11-H11)/H11)*100</f>
        <v>0</v>
      </c>
      <c r="N11" s="46">
        <v>1000</v>
      </c>
      <c r="O11" s="37">
        <v>220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135935246.45714048</v>
      </c>
      <c r="E12" s="39">
        <f>C12*K12</f>
        <v>116015770.13582256</v>
      </c>
      <c r="F12" s="40" t="s">
        <v>34</v>
      </c>
      <c r="G12" s="41">
        <v>97.381</v>
      </c>
      <c r="H12" s="42">
        <v>184.99977799999999</v>
      </c>
      <c r="I12" s="42">
        <v>177.11458299999998</v>
      </c>
      <c r="J12" s="43">
        <f>I12/$J$5</f>
        <v>6.5880793108194053</v>
      </c>
      <c r="K12" s="44">
        <f>I12/$K$4</f>
        <v>5.6226851746031743</v>
      </c>
      <c r="L12" s="45">
        <f>I12-H12</f>
        <v>-7.8851950000000102</v>
      </c>
      <c r="M12" s="45">
        <f>((I12-H12)/H12)*100</f>
        <v>-4.2622726822947916</v>
      </c>
      <c r="N12" s="46">
        <v>40800</v>
      </c>
      <c r="O12" s="37">
        <v>7226275</v>
      </c>
      <c r="P12" s="50">
        <f>(R12)/J12</f>
        <v>0</v>
      </c>
      <c r="Q12" s="48">
        <f>I12/G12-1</f>
        <v>0.81877966954539372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4711462.6695332928</v>
      </c>
      <c r="E13" s="39">
        <f>C13*K13</f>
        <v>4021061.3826666665</v>
      </c>
      <c r="F13" s="40" t="s">
        <v>44</v>
      </c>
      <c r="G13" s="41">
        <v>13.6</v>
      </c>
      <c r="H13" s="42">
        <v>14.500499999999999</v>
      </c>
      <c r="I13" s="42">
        <v>14.500499999999999</v>
      </c>
      <c r="J13" s="43">
        <f>I13/$J$5</f>
        <v>0.53937085489192493</v>
      </c>
      <c r="K13" s="44">
        <f>I13/$K$4</f>
        <v>0.46033333333333332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6.6213235294117601E-2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346054882.88616693</v>
      </c>
      <c r="E14" s="39">
        <f>C14*K14</f>
        <v>295345208.79365081</v>
      </c>
      <c r="F14" s="40" t="s">
        <v>47</v>
      </c>
      <c r="G14" s="41">
        <v>11.5</v>
      </c>
      <c r="H14" s="42">
        <v>17.8</v>
      </c>
      <c r="I14" s="42">
        <v>17.8</v>
      </c>
      <c r="J14" s="43">
        <f>I14/$J$5</f>
        <v>0.66210139078488772</v>
      </c>
      <c r="K14" s="44">
        <f>I14/$K$4</f>
        <v>0.56507936507936507</v>
      </c>
      <c r="L14" s="45">
        <f>I14-H14</f>
        <v>0</v>
      </c>
      <c r="M14" s="45">
        <f>((I14-H14)/H14)*100</f>
        <v>0</v>
      </c>
      <c r="N14" s="46">
        <v>0</v>
      </c>
      <c r="O14" s="37">
        <v>0</v>
      </c>
      <c r="P14" s="50">
        <f>(R14)/J14</f>
        <v>0</v>
      </c>
      <c r="Q14" s="48">
        <f>I14/G14-1</f>
        <v>0.54782608695652191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23666228.36546509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0.22318024408479362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39219604.48669444</v>
      </c>
      <c r="E16" s="39">
        <f>C16*K16</f>
        <v>33472500.60256324</v>
      </c>
      <c r="F16" s="40" t="s">
        <v>34</v>
      </c>
      <c r="G16" s="41">
        <v>1.9</v>
      </c>
      <c r="H16" s="42">
        <v>2.7075019999999999</v>
      </c>
      <c r="I16" s="42">
        <v>2.9451990000000001</v>
      </c>
      <c r="J16" s="43">
        <f>I16/$J$5</f>
        <v>0.10955170528304835</v>
      </c>
      <c r="K16" s="44">
        <f>I16/$K$4</f>
        <v>9.3498380952380958E-2</v>
      </c>
      <c r="L16" s="45">
        <f>I16-H16</f>
        <v>0.23769700000000027</v>
      </c>
      <c r="M16" s="45">
        <f>((I16-H16)/H16)*100</f>
        <v>8.7791994244141005</v>
      </c>
      <c r="N16" s="46">
        <v>992800</v>
      </c>
      <c r="O16" s="37">
        <v>2923993.65</v>
      </c>
      <c r="P16" s="50">
        <f>(R16)/J16</f>
        <v>0</v>
      </c>
      <c r="Q16" s="48">
        <f>I16/G16-1</f>
        <v>0.55010473684210548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1464874749.5588546</v>
      </c>
      <c r="E17" s="39">
        <f>C17*K17</f>
        <v>1250217119.1941333</v>
      </c>
      <c r="F17" s="40" t="s">
        <v>34</v>
      </c>
      <c r="G17" s="41">
        <v>20.701700000000002</v>
      </c>
      <c r="H17" s="42">
        <v>29.264225999999997</v>
      </c>
      <c r="I17" s="42">
        <v>29.35408</v>
      </c>
      <c r="J17" s="43">
        <f>I17/$J$5</f>
        <v>1.0918751232140931</v>
      </c>
      <c r="K17" s="44">
        <f>I17/$K$4</f>
        <v>0.93187555555555557</v>
      </c>
      <c r="L17" s="45">
        <f>I17-H17</f>
        <v>8.9854000000002543E-2</v>
      </c>
      <c r="M17" s="45">
        <f>((I17-H17)/H17)*100</f>
        <v>0.30704382887147796</v>
      </c>
      <c r="N17" s="46">
        <v>180900</v>
      </c>
      <c r="O17" s="37">
        <v>5310153</v>
      </c>
      <c r="P17" s="47">
        <f>(R17)/J17</f>
        <v>4.5792782468399629E-2</v>
      </c>
      <c r="Q17" s="48">
        <f>I17/G17-1</f>
        <v>0.41795504717003906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286021031.04358912</v>
      </c>
      <c r="E19" s="39">
        <f>C19*K19</f>
        <v>244108507.95806202</v>
      </c>
      <c r="F19" s="40" t="s">
        <v>47</v>
      </c>
      <c r="G19" s="41">
        <v>12.45</v>
      </c>
      <c r="H19" s="42">
        <v>10.050000000000001</v>
      </c>
      <c r="I19" s="42">
        <v>11.443439000000001</v>
      </c>
      <c r="J19" s="43">
        <f>I19/$J$5</f>
        <v>0.42565825153157449</v>
      </c>
      <c r="K19" s="44">
        <f>I19/$K$4</f>
        <v>0.36328377777777782</v>
      </c>
      <c r="L19" s="45">
        <f>I19-H19</f>
        <v>1.3934390000000008</v>
      </c>
      <c r="M19" s="45">
        <f>((I19-H19)/H19)*100</f>
        <v>13.865064676616923</v>
      </c>
      <c r="N19" s="46">
        <v>2148200</v>
      </c>
      <c r="O19" s="37">
        <v>24582795</v>
      </c>
      <c r="P19" s="50">
        <f>(R19)/J19</f>
        <v>0</v>
      </c>
      <c r="Q19" s="48">
        <f>I19/G19-1</f>
        <v>-8.0848273092369305E-2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2392462.5832927274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2.196465568867844E-2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55764039.810045347</v>
      </c>
      <c r="E21" s="39">
        <f>C21*K21</f>
        <v>47592572.147848889</v>
      </c>
      <c r="F21" s="40" t="s">
        <v>47</v>
      </c>
      <c r="G21" s="41">
        <v>2.85</v>
      </c>
      <c r="H21" s="42">
        <v>1.9040000000000001</v>
      </c>
      <c r="I21" s="42">
        <v>2.1722540000000001</v>
      </c>
      <c r="J21" s="43">
        <f>I21/$J$5</f>
        <v>8.0800696322361545E-2</v>
      </c>
      <c r="K21" s="44">
        <f>I21/$K$4</f>
        <v>6.8960444444444449E-2</v>
      </c>
      <c r="L21" s="45">
        <f>I21-H21</f>
        <v>0.26825399999999999</v>
      </c>
      <c r="M21" s="45">
        <f>((I21-H21)/H21)*100</f>
        <v>14.088970588235291</v>
      </c>
      <c r="N21" s="46">
        <v>14500</v>
      </c>
      <c r="O21" s="37">
        <v>31497.68</v>
      </c>
      <c r="P21" s="50">
        <f>(R21)/J21</f>
        <v>0</v>
      </c>
      <c r="Q21" s="48">
        <f>I21/G21-1</f>
        <v>-0.23780561403508771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41380144.535245739</v>
      </c>
      <c r="E22" s="39">
        <f>C22*K22</f>
        <v>35316442.657142855</v>
      </c>
      <c r="F22" s="40" t="s">
        <v>66</v>
      </c>
      <c r="G22" s="41">
        <v>0.88420599999999994</v>
      </c>
      <c r="H22" s="42">
        <v>0.90610600000000008</v>
      </c>
      <c r="I22" s="42">
        <v>0.9</v>
      </c>
      <c r="J22" s="43">
        <f>I22/$J$5</f>
        <v>3.3477036612719044E-2</v>
      </c>
      <c r="K22" s="44">
        <f>I22/$K$4</f>
        <v>2.8571428571428571E-2</v>
      </c>
      <c r="L22" s="45">
        <f>I22-H22</f>
        <v>-6.1060000000000558E-3</v>
      </c>
      <c r="M22" s="45">
        <f>((I22-H22)/H22)*100</f>
        <v>-0.67387259327275784</v>
      </c>
      <c r="N22" s="46">
        <v>5900</v>
      </c>
      <c r="O22" s="37">
        <v>5310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2095729.6474496077</v>
      </c>
      <c r="E23" s="39">
        <f>C23*K23</f>
        <v>1788628.7433333332</v>
      </c>
      <c r="F23" s="40" t="s">
        <v>44</v>
      </c>
      <c r="G23" s="41">
        <v>0.1</v>
      </c>
      <c r="H23" s="42">
        <v>0.105</v>
      </c>
      <c r="I23" s="42">
        <v>0.105</v>
      </c>
      <c r="J23" s="43">
        <f>I23/$J$5</f>
        <v>3.905654271483888E-3</v>
      </c>
      <c r="K23" s="44">
        <f>I23/$K$4</f>
        <v>3.3333333333333331E-3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4.9999999999999822E-2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78255992.234805554</v>
      </c>
      <c r="E24" s="39">
        <f>C24*K24</f>
        <v>66788632.40761067</v>
      </c>
      <c r="F24" s="40" t="s">
        <v>34</v>
      </c>
      <c r="G24" s="41">
        <v>8.1687659999999997</v>
      </c>
      <c r="H24" s="42">
        <v>10.899573999999999</v>
      </c>
      <c r="I24" s="42">
        <v>10.899573999999999</v>
      </c>
      <c r="J24" s="43">
        <f>I24/$J$5</f>
        <v>0.40542826429004503</v>
      </c>
      <c r="K24" s="44">
        <f>I24/$K$4</f>
        <v>0.34601822222222223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0.33429871782347531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105359801.56724359</v>
      </c>
      <c r="E25" s="39">
        <f>C25*K25</f>
        <v>89920744.168696284</v>
      </c>
      <c r="F25" s="40" t="s">
        <v>66</v>
      </c>
      <c r="G25" s="41">
        <v>1.6675</v>
      </c>
      <c r="H25" s="42">
        <v>1.46</v>
      </c>
      <c r="I25" s="42">
        <v>1.6784370000000002</v>
      </c>
      <c r="J25" s="43">
        <f>I25/$J$5</f>
        <v>6.2432329890158129E-2</v>
      </c>
      <c r="K25" s="44">
        <f>I25/$K$4</f>
        <v>5.3283714285714288E-2</v>
      </c>
      <c r="L25" s="45">
        <f>I25-H25</f>
        <v>0.21843700000000021</v>
      </c>
      <c r="M25" s="45">
        <f>((I25-H25)/H25)*100</f>
        <v>14.9614383561644</v>
      </c>
      <c r="N25" s="46">
        <v>269400</v>
      </c>
      <c r="O25" s="37">
        <v>452171.05</v>
      </c>
      <c r="P25" s="50">
        <f>(R25)/J25</f>
        <v>0</v>
      </c>
      <c r="Q25" s="48">
        <f>I25/G25-1</f>
        <v>6.5589205397302841E-3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26937775.817261059</v>
      </c>
      <c r="E26" s="39">
        <f>C26*K26</f>
        <v>22990408.217423111</v>
      </c>
      <c r="F26" s="40" t="s">
        <v>44</v>
      </c>
      <c r="G26" s="41">
        <v>1.7994999999999999</v>
      </c>
      <c r="H26" s="42">
        <v>3.025204</v>
      </c>
      <c r="I26" s="42">
        <v>3.025204</v>
      </c>
      <c r="J26" s="43">
        <f>I26/$J$5</f>
        <v>0.11252762785438233</v>
      </c>
      <c r="K26" s="44">
        <f>I26/$K$4</f>
        <v>9.6038222222222219E-2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0.68113587107529883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28583892.449440375</v>
      </c>
      <c r="E27" s="39">
        <f>C27*K27</f>
        <v>24395308.666666664</v>
      </c>
      <c r="F27" s="40" t="s">
        <v>34</v>
      </c>
      <c r="G27" s="41">
        <v>3.1361369999999997</v>
      </c>
      <c r="H27" s="42">
        <v>3</v>
      </c>
      <c r="I27" s="42">
        <v>3</v>
      </c>
      <c r="J27" s="43">
        <f>I27/$J$5</f>
        <v>0.11159012204239681</v>
      </c>
      <c r="K27" s="44">
        <f>I27/$K$4</f>
        <v>9.5238095238095233E-2</v>
      </c>
      <c r="L27" s="45">
        <f>I27-H27</f>
        <v>0</v>
      </c>
      <c r="M27" s="45">
        <f>((I27-H27)/H27)*100</f>
        <v>0</v>
      </c>
      <c r="N27" s="46">
        <v>100</v>
      </c>
      <c r="O27" s="37">
        <v>300</v>
      </c>
      <c r="P27" s="50">
        <f>(R27)/J27</f>
        <v>0</v>
      </c>
      <c r="Q27" s="48">
        <f>I27/G27-1</f>
        <v>-4.3409136781970892E-2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24172554.292686012</v>
      </c>
      <c r="E28" s="39">
        <f>C28*K28</f>
        <v>20630392.598730158</v>
      </c>
      <c r="F28" s="40" t="s">
        <v>44</v>
      </c>
      <c r="G28" s="41">
        <v>0.8</v>
      </c>
      <c r="H28" s="42">
        <v>0.86</v>
      </c>
      <c r="I28" s="42">
        <v>0.86</v>
      </c>
      <c r="J28" s="43">
        <f>I28/$J$5</f>
        <v>3.198916831882042E-2</v>
      </c>
      <c r="K28" s="44">
        <f>I28/$K$4</f>
        <v>2.7301587301587302E-2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7.4999999999999956E-2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80431129.781171769</v>
      </c>
      <c r="E29" s="39">
        <f>C29*K29</f>
        <v>68645032.893650785</v>
      </c>
      <c r="F29" s="40" t="s">
        <v>47</v>
      </c>
      <c r="G29" s="41">
        <v>5.15</v>
      </c>
      <c r="H29" s="42">
        <v>5.25</v>
      </c>
      <c r="I29" s="42">
        <v>5.35</v>
      </c>
      <c r="J29" s="43">
        <f>I29/$J$5</f>
        <v>0.19900238430894096</v>
      </c>
      <c r="K29" s="44">
        <f>I29/$K$4</f>
        <v>0.16984126984126982</v>
      </c>
      <c r="L29" s="45">
        <f>I29-H29</f>
        <v>9.9999999999999645E-2</v>
      </c>
      <c r="M29" s="45">
        <f>((I29-H29)/H29)*100</f>
        <v>1.904761904761898</v>
      </c>
      <c r="N29" s="46">
        <v>194200</v>
      </c>
      <c r="O29" s="37">
        <v>1038970</v>
      </c>
      <c r="P29" s="50">
        <f>(R29)/J29</f>
        <v>0</v>
      </c>
      <c r="Q29" s="48">
        <f>I29/G29-1</f>
        <v>3.883495145631044E-2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11605647.859159131</v>
      </c>
      <c r="E32" s="39">
        <f>C32*K32</f>
        <v>9904996.749537142</v>
      </c>
      <c r="F32" s="40" t="s">
        <v>39</v>
      </c>
      <c r="G32" s="41">
        <v>1.4</v>
      </c>
      <c r="H32" s="42">
        <v>1.2006459999999999</v>
      </c>
      <c r="I32" s="42">
        <v>1.2006459999999999</v>
      </c>
      <c r="J32" s="43">
        <f>I32/$J$5</f>
        <v>4.4660077889905184E-2</v>
      </c>
      <c r="K32" s="44">
        <f>I32/$K$4</f>
        <v>3.8115746031746028E-2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-0.14239571428571429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3404320.8625172502</v>
      </c>
      <c r="E33" s="39">
        <f>C33*K33</f>
        <v>2905463.5714285714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2.7897530510599202E-2</v>
      </c>
      <c r="K33" s="44">
        <f>I33/$K$4</f>
        <v>2.3809523809523808E-2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157801169.5797888</v>
      </c>
      <c r="E34" s="39">
        <f>C34*K34</f>
        <v>134677537.24126983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6.3234402490691524E-2</v>
      </c>
      <c r="K34" s="44">
        <f>I34/$K$4</f>
        <v>5.3968253968253964E-2</v>
      </c>
      <c r="L34" s="45">
        <f>I34-H34</f>
        <v>0</v>
      </c>
      <c r="M34" s="45">
        <f>((I34-H34)/H34)*100</f>
        <v>0</v>
      </c>
      <c r="N34" s="46">
        <v>0</v>
      </c>
      <c r="O34" s="37">
        <v>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37716417.213148288</v>
      </c>
      <c r="E35" s="39">
        <f>C35*K35</f>
        <v>32189585.142857142</v>
      </c>
      <c r="F35" s="40" t="s">
        <v>34</v>
      </c>
      <c r="G35" s="41">
        <v>3.6056249999999999</v>
      </c>
      <c r="H35" s="42">
        <v>4.0010960000000004</v>
      </c>
      <c r="I35" s="42">
        <v>4</v>
      </c>
      <c r="J35" s="43">
        <f>I35/$J$5</f>
        <v>0.1487868293898624</v>
      </c>
      <c r="K35" s="44">
        <f>I35/$K$4</f>
        <v>0.12698412698412698</v>
      </c>
      <c r="L35" s="45">
        <f>I35-H35</f>
        <v>-1.09600000000043E-3</v>
      </c>
      <c r="M35" s="45">
        <f>((I35-H35)/H35)*100</f>
        <v>-2.7392494456529658E-2</v>
      </c>
      <c r="N35" s="46">
        <v>300</v>
      </c>
      <c r="O35" s="37">
        <v>1200</v>
      </c>
      <c r="P35" s="50">
        <f>(R35)/J35</f>
        <v>0</v>
      </c>
      <c r="Q35" s="48">
        <f>I35/G35-1</f>
        <v>0.10937770844167094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7015424.0699893245</v>
      </c>
      <c r="E36" s="39">
        <f>C36*K36</f>
        <v>5987408.3250793647</v>
      </c>
      <c r="F36" s="40" t="s">
        <v>34</v>
      </c>
      <c r="G36" s="41">
        <v>2.5099999999999997E-2</v>
      </c>
      <c r="H36" s="42">
        <v>3.9979000000000001E-2</v>
      </c>
      <c r="I36" s="42">
        <v>0.04</v>
      </c>
      <c r="J36" s="43">
        <f>I36/$J$5</f>
        <v>1.487868293898624E-3</v>
      </c>
      <c r="K36" s="44">
        <f>I36/$K$4</f>
        <v>1.2698412698412698E-3</v>
      </c>
      <c r="L36" s="45">
        <f>I36-H36</f>
        <v>2.1000000000000185E-5</v>
      </c>
      <c r="M36" s="45">
        <f>((I36-H36)/H36)*100</f>
        <v>5.2527576977913874E-2</v>
      </c>
      <c r="N36" s="46">
        <v>165800</v>
      </c>
      <c r="O36" s="37">
        <v>6632</v>
      </c>
      <c r="P36" s="50">
        <f>(R36)/J36</f>
        <v>0</v>
      </c>
      <c r="Q36" s="48">
        <f>I36/G36-1</f>
        <v>0.59362549800796827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53891235.449878924</v>
      </c>
      <c r="E37" s="39">
        <f>C37*K37</f>
        <v>45994201.99866952</v>
      </c>
      <c r="F37" s="40" t="s">
        <v>92</v>
      </c>
      <c r="G37" s="41">
        <v>0.61</v>
      </c>
      <c r="H37" s="42">
        <v>5.6087999999999996</v>
      </c>
      <c r="I37" s="42">
        <v>5.5496509999999999</v>
      </c>
      <c r="J37" s="43">
        <f>I37/$J$5</f>
        <v>0.20642874412756981</v>
      </c>
      <c r="K37" s="44">
        <f>I37/$K$4</f>
        <v>0.17617939682539682</v>
      </c>
      <c r="L37" s="45">
        <f>I37-H37</f>
        <v>-5.9148999999999674E-2</v>
      </c>
      <c r="M37" s="45">
        <f>((I37-H37)/H37)*100</f>
        <v>-1.0545749536442675</v>
      </c>
      <c r="N37" s="46">
        <v>14900</v>
      </c>
      <c r="O37" s="37">
        <v>82689.8</v>
      </c>
      <c r="P37" s="50">
        <f>(R37)/J37</f>
        <v>0</v>
      </c>
      <c r="Q37" s="48">
        <f>I37/G37-1</f>
        <v>8.0977885245901646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21864702.147099625</v>
      </c>
      <c r="E38" s="39">
        <f>C38*K38</f>
        <v>18660725.047391776</v>
      </c>
      <c r="F38" s="40" t="s">
        <v>56</v>
      </c>
      <c r="G38" s="41">
        <v>0.11650199999999999</v>
      </c>
      <c r="H38" s="42">
        <v>0.144147</v>
      </c>
      <c r="I38" s="42">
        <v>0.140129</v>
      </c>
      <c r="J38" s="43">
        <f>I38/$J$5</f>
        <v>5.2123374038930076E-3</v>
      </c>
      <c r="K38" s="44">
        <f>I38/$K$4</f>
        <v>4.4485396825396824E-3</v>
      </c>
      <c r="L38" s="45">
        <f>I38-H38</f>
        <v>-4.0179999999999938E-3</v>
      </c>
      <c r="M38" s="45">
        <f>((I38-H38)/H38)*100</f>
        <v>-2.7874322739980673</v>
      </c>
      <c r="N38" s="46">
        <v>409000</v>
      </c>
      <c r="O38" s="37">
        <v>57312.800000000003</v>
      </c>
      <c r="P38" s="50">
        <v>0</v>
      </c>
      <c r="Q38" s="48">
        <f>I38/G38-1</f>
        <v>0.20280338534960785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91744577.588815704</v>
      </c>
      <c r="E39" s="39">
        <f>C39*K39</f>
        <v>78300647.566840634</v>
      </c>
      <c r="F39" s="40" t="s">
        <v>34</v>
      </c>
      <c r="G39" s="41">
        <v>2.6005000000000003</v>
      </c>
      <c r="H39" s="42">
        <v>6.5</v>
      </c>
      <c r="I39" s="42">
        <v>6.7960400000000005</v>
      </c>
      <c r="J39" s="43">
        <f>I39/$J$5</f>
        <v>0.25279031100167015</v>
      </c>
      <c r="K39" s="44">
        <f>I39/$K$4</f>
        <v>0.2157473015873016</v>
      </c>
      <c r="L39" s="45">
        <f>I39-H39</f>
        <v>0.29604000000000052</v>
      </c>
      <c r="M39" s="45">
        <f>((I39-H39)/H39)*100</f>
        <v>4.5544615384615472</v>
      </c>
      <c r="N39" s="46">
        <v>69700</v>
      </c>
      <c r="O39" s="37">
        <v>473684</v>
      </c>
      <c r="P39" s="50">
        <f>(R39)/J39</f>
        <v>0</v>
      </c>
      <c r="Q39" s="48">
        <f>I39/G39-1</f>
        <v>1.6133589694289561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14479879.564865479</v>
      </c>
      <c r="E40" s="39">
        <f>C40*K40</f>
        <v>12358048.578088889</v>
      </c>
      <c r="F40" s="40" t="s">
        <v>39</v>
      </c>
      <c r="G40" s="41">
        <v>0.1</v>
      </c>
      <c r="H40" s="42">
        <v>9.0200000000000002E-2</v>
      </c>
      <c r="I40" s="42">
        <v>9.0200000000000002E-2</v>
      </c>
      <c r="J40" s="43">
        <f>I40/$J$5</f>
        <v>3.3551430027413975E-3</v>
      </c>
      <c r="K40" s="44">
        <f>I40/$K$4</f>
        <v>2.8634920634920636E-3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-9.7999999999999976E-2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5940736.5506005408</v>
      </c>
      <c r="E41" s="39">
        <f>C41*K41</f>
        <v>5070201.7619047612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5.5795061021198404E-2</v>
      </c>
      <c r="K41" s="44">
        <f>I41/$K$4</f>
        <v>4.7619047619047616E-2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2645431.9512276771</v>
      </c>
      <c r="E42" s="39">
        <f>C42*K42</f>
        <v>2257779.591111111</v>
      </c>
      <c r="F42" s="40" t="s">
        <v>39</v>
      </c>
      <c r="G42" s="41">
        <v>0.03</v>
      </c>
      <c r="H42" s="42">
        <v>3.7499999999999999E-2</v>
      </c>
      <c r="I42" s="42">
        <v>0.04</v>
      </c>
      <c r="J42" s="43">
        <f>I42/$J$5</f>
        <v>1.487868293898624E-3</v>
      </c>
      <c r="K42" s="44">
        <f>I42/$K$4</f>
        <v>1.2698412698412698E-3</v>
      </c>
      <c r="L42" s="45">
        <f>I42-H42</f>
        <v>2.5000000000000022E-3</v>
      </c>
      <c r="M42" s="45">
        <f>((I42-H42)/H42)*100</f>
        <v>6.6666666666666732</v>
      </c>
      <c r="N42" s="46">
        <v>100</v>
      </c>
      <c r="O42" s="37">
        <v>4</v>
      </c>
      <c r="P42" s="50">
        <f>(R42)/J42</f>
        <v>0</v>
      </c>
      <c r="Q42" s="48">
        <f>I42/G42-1</f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33885878.210540801</v>
      </c>
      <c r="E43" s="39">
        <f>C43*K43</f>
        <v>28920359.949206349</v>
      </c>
      <c r="F43" s="40" t="s">
        <v>47</v>
      </c>
      <c r="G43" s="41">
        <v>4.5</v>
      </c>
      <c r="H43" s="42">
        <v>5.2001919999999995</v>
      </c>
      <c r="I43" s="42">
        <v>5.2</v>
      </c>
      <c r="J43" s="43">
        <f>I43/$J$5</f>
        <v>0.19342287820682114</v>
      </c>
      <c r="K43" s="44">
        <f>I43/$K$4</f>
        <v>0.16507936507936508</v>
      </c>
      <c r="L43" s="45">
        <f>I43-H43</f>
        <v>-1.9199999999930384E-4</v>
      </c>
      <c r="M43" s="45">
        <f>((I43-H43)/H43)*100</f>
        <v>-3.6921713659669462E-3</v>
      </c>
      <c r="N43" s="46">
        <v>5400</v>
      </c>
      <c r="O43" s="37">
        <v>28080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310.22343682697209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6.6954073225438089E-7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1504056.3009362409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2.611208855792085E-3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46665908.932789266</v>
      </c>
      <c r="E46" s="39">
        <f>C46*K46</f>
        <v>39827649.598095231</v>
      </c>
      <c r="F46" s="40" t="s">
        <v>47</v>
      </c>
      <c r="G46" s="41">
        <v>0.9998999999999999</v>
      </c>
      <c r="H46" s="42">
        <v>0.69</v>
      </c>
      <c r="I46" s="42">
        <v>0.69</v>
      </c>
      <c r="J46" s="43">
        <f>I46/$J$5</f>
        <v>2.5665728069751263E-2</v>
      </c>
      <c r="K46" s="44">
        <f>I46/$K$4</f>
        <v>2.1904761904761903E-2</v>
      </c>
      <c r="L46" s="45">
        <f>I46-H46</f>
        <v>0</v>
      </c>
      <c r="M46" s="45">
        <f>((I46-H46)/H46)*100</f>
        <v>0</v>
      </c>
      <c r="N46" s="46">
        <v>0</v>
      </c>
      <c r="O46" s="37">
        <v>0</v>
      </c>
      <c r="P46" s="50">
        <f>(R46)/J46</f>
        <v>0</v>
      </c>
      <c r="Q46" s="48">
        <f>I46/G46-1</f>
        <v>-0.30993099309930994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4584681.056832849</v>
      </c>
      <c r="E47" s="39">
        <f>C47*K47</f>
        <v>3912857.9047619044</v>
      </c>
      <c r="F47" s="40" t="s">
        <v>47</v>
      </c>
      <c r="G47" s="41">
        <v>1.4503460000000001</v>
      </c>
      <c r="H47" s="42">
        <v>1.1979980000000001</v>
      </c>
      <c r="I47" s="42">
        <v>1.2</v>
      </c>
      <c r="J47" s="43">
        <f>I47/$J$5</f>
        <v>4.4636048816958721E-2</v>
      </c>
      <c r="K47" s="44">
        <f>I47/$K$4</f>
        <v>3.8095238095238092E-2</v>
      </c>
      <c r="L47" s="45">
        <f>I47-H47</f>
        <v>2.0019999999998372E-3</v>
      </c>
      <c r="M47" s="45">
        <f>((I47-H47)/H47)*100</f>
        <v>0.16711213207366266</v>
      </c>
      <c r="N47" s="46">
        <v>10000</v>
      </c>
      <c r="O47" s="37">
        <v>12000</v>
      </c>
      <c r="P47" s="50">
        <v>0</v>
      </c>
      <c r="Q47" s="48">
        <f>I47/G47-1</f>
        <v>-0.17261122518350802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4564900</v>
      </c>
      <c r="O48" s="60">
        <f>SUM(O9:O47)</f>
        <v>42235946.229999989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77355890.935199991</v>
      </c>
      <c r="E51" s="39">
        <v>0</v>
      </c>
      <c r="F51" s="40" t="s">
        <v>92</v>
      </c>
      <c r="G51" s="68">
        <v>0.1</v>
      </c>
      <c r="H51" s="42">
        <v>0.13919999999999999</v>
      </c>
      <c r="I51" s="42">
        <v>0.1394</v>
      </c>
      <c r="J51" s="43">
        <f>I51</f>
        <v>0.1394</v>
      </c>
      <c r="K51" s="39">
        <v>0</v>
      </c>
      <c r="L51" s="45">
        <f>I51-H51</f>
        <v>2.0000000000000573E-4</v>
      </c>
      <c r="M51" s="45">
        <f>((I51-H51)/H51)*100</f>
        <v>0.14367816091954436</v>
      </c>
      <c r="N51" s="46">
        <v>517</v>
      </c>
      <c r="O51" s="37">
        <v>72.06</v>
      </c>
      <c r="P51" s="69">
        <f>(R51)/J51</f>
        <v>0</v>
      </c>
      <c r="Q51" s="48">
        <f>J51/G51-1</f>
        <v>0.39399999999999991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54256278.981999993</v>
      </c>
      <c r="E52" s="39">
        <v>0</v>
      </c>
      <c r="F52" s="40" t="s">
        <v>39</v>
      </c>
      <c r="G52" s="68">
        <v>39.9</v>
      </c>
      <c r="H52" s="42">
        <v>63.961100000000002</v>
      </c>
      <c r="I52" s="42">
        <v>51.297199999999997</v>
      </c>
      <c r="J52" s="43">
        <f>I52</f>
        <v>51.297199999999997</v>
      </c>
      <c r="K52" s="39">
        <v>0</v>
      </c>
      <c r="L52" s="45">
        <f>I52-H52</f>
        <v>-12.663900000000005</v>
      </c>
      <c r="M52" s="45">
        <f>((I52-H52)/H52)*100</f>
        <v>-19.799378059476783</v>
      </c>
      <c r="N52" s="46">
        <v>284</v>
      </c>
      <c r="O52" s="37">
        <v>14568.4</v>
      </c>
      <c r="P52" s="70">
        <f>(R52)/J52</f>
        <v>1.0916775184610468E-2</v>
      </c>
      <c r="Q52" s="48">
        <f>J52/G52-1</f>
        <v>0.28564411027568926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742355690.66429996</v>
      </c>
      <c r="E53" s="39"/>
      <c r="F53" s="40" t="s">
        <v>56</v>
      </c>
      <c r="G53" s="68">
        <v>0.33</v>
      </c>
      <c r="H53" s="42">
        <v>0.2379</v>
      </c>
      <c r="I53" s="42">
        <v>0.24809999999999999</v>
      </c>
      <c r="J53" s="43">
        <f>I53</f>
        <v>0.24809999999999999</v>
      </c>
      <c r="K53" s="39">
        <v>0</v>
      </c>
      <c r="L53" s="45">
        <f>I53-H53</f>
        <v>1.0199999999999987E-2</v>
      </c>
      <c r="M53" s="45">
        <f>((I53-H53)/H53)*100</f>
        <v>4.2875157629255938</v>
      </c>
      <c r="N53" s="46">
        <v>51242</v>
      </c>
      <c r="O53" s="37">
        <v>12714.3</v>
      </c>
      <c r="P53" s="69">
        <v>0</v>
      </c>
      <c r="Q53" s="48">
        <f>J53/G53-1</f>
        <v>-0.24818181818181828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15365471.763599999</v>
      </c>
      <c r="E54" s="39">
        <v>0</v>
      </c>
      <c r="F54" s="40" t="s">
        <v>34</v>
      </c>
      <c r="G54" s="68">
        <v>2.3E-2</v>
      </c>
      <c r="H54" s="42">
        <v>2.52E-2</v>
      </c>
      <c r="I54" s="42">
        <v>2.52E-2</v>
      </c>
      <c r="J54" s="43">
        <f>I54</f>
        <v>2.52E-2</v>
      </c>
      <c r="K54" s="39">
        <v>0</v>
      </c>
      <c r="L54" s="45">
        <f>I54-H54</f>
        <v>0</v>
      </c>
      <c r="M54" s="45">
        <f>((I54-H54)/H54)*100</f>
        <v>0</v>
      </c>
      <c r="N54" s="46">
        <v>2392979</v>
      </c>
      <c r="O54" s="37">
        <v>60348.31</v>
      </c>
      <c r="P54" s="69">
        <f>(R54)/J54</f>
        <v>0</v>
      </c>
      <c r="Q54" s="48">
        <f>J54/G54-1</f>
        <v>9.5652173913043592E-2</v>
      </c>
      <c r="T54" s="51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250993795.35689998</v>
      </c>
      <c r="E55" s="39">
        <v>0</v>
      </c>
      <c r="F55" s="40" t="s">
        <v>47</v>
      </c>
      <c r="G55" s="68">
        <v>9.0200000000000002E-2</v>
      </c>
      <c r="H55" s="42">
        <v>0.11</v>
      </c>
      <c r="I55" s="42">
        <v>0.11609999999999999</v>
      </c>
      <c r="J55" s="43">
        <f>I55</f>
        <v>0.11609999999999999</v>
      </c>
      <c r="K55" s="39">
        <v>0</v>
      </c>
      <c r="L55" s="45">
        <f>I55-H55</f>
        <v>6.0999999999999943E-3</v>
      </c>
      <c r="M55" s="71">
        <f>((I55-H55)/H55)*100</f>
        <v>5.5454545454545405</v>
      </c>
      <c r="N55" s="46">
        <v>2652</v>
      </c>
      <c r="O55" s="37">
        <v>307.8</v>
      </c>
      <c r="P55" s="69">
        <f>(R55)/J55</f>
        <v>0</v>
      </c>
      <c r="Q55" s="48">
        <f>J55/G55-1</f>
        <v>0.28713968957871394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743290676.37</v>
      </c>
      <c r="E56" s="39">
        <v>0</v>
      </c>
      <c r="F56" s="40" t="s">
        <v>34</v>
      </c>
      <c r="G56" s="68">
        <v>0.95750000000000002</v>
      </c>
      <c r="H56" s="42">
        <v>1.2946</v>
      </c>
      <c r="I56" s="42">
        <v>1.2906</v>
      </c>
      <c r="J56" s="43">
        <f>I56</f>
        <v>1.2906</v>
      </c>
      <c r="K56" s="39">
        <v>0</v>
      </c>
      <c r="L56" s="45">
        <f>I56-H56</f>
        <v>-4.0000000000000036E-3</v>
      </c>
      <c r="M56" s="45">
        <f>((I56-H56)/H56)*100</f>
        <v>-0.30897574540398609</v>
      </c>
      <c r="N56" s="46">
        <v>827</v>
      </c>
      <c r="O56" s="37">
        <v>1067.3</v>
      </c>
      <c r="P56" s="70">
        <f>(R56)/J56</f>
        <v>3.6417170308383699E-2</v>
      </c>
      <c r="Q56" s="48">
        <f>J56/G56-1</f>
        <v>0.34788511749347251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24795441.522</v>
      </c>
      <c r="E57" s="39">
        <v>0</v>
      </c>
      <c r="F57" s="40" t="s">
        <v>34</v>
      </c>
      <c r="G57" s="68">
        <v>0.1595</v>
      </c>
      <c r="H57" s="42">
        <v>0.15079999999999999</v>
      </c>
      <c r="I57" s="42">
        <v>0.151</v>
      </c>
      <c r="J57" s="43">
        <f>I57</f>
        <v>0.151</v>
      </c>
      <c r="K57" s="39">
        <v>0</v>
      </c>
      <c r="L57" s="45">
        <f>I57-H57</f>
        <v>2.0000000000000573E-4</v>
      </c>
      <c r="M57" s="45">
        <f>((I57-H57)/H57)*100</f>
        <v>0.13262599469496403</v>
      </c>
      <c r="N57" s="46">
        <v>391</v>
      </c>
      <c r="O57" s="37">
        <v>59.04</v>
      </c>
      <c r="P57" s="69">
        <f>(R57)/J57</f>
        <v>0</v>
      </c>
      <c r="Q57" s="48">
        <f>J57/G57-1</f>
        <v>-5.3291536050156796E-2</v>
      </c>
      <c r="T57" s="51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15732706.096800001</v>
      </c>
      <c r="E58" s="39">
        <v>0</v>
      </c>
      <c r="F58" s="40" t="s">
        <v>92</v>
      </c>
      <c r="G58" s="68">
        <v>1.6799999999999999E-2</v>
      </c>
      <c r="H58" s="42">
        <v>1.83E-2</v>
      </c>
      <c r="I58" s="42">
        <v>1.9800000000000002E-2</v>
      </c>
      <c r="J58" s="43">
        <f>I58</f>
        <v>1.9800000000000002E-2</v>
      </c>
      <c r="K58" s="39">
        <v>0</v>
      </c>
      <c r="L58" s="45">
        <f>I58-H58</f>
        <v>1.5000000000000013E-3</v>
      </c>
      <c r="M58" s="71">
        <f>((I58-H58)/H58)*100</f>
        <v>8.196721311475418</v>
      </c>
      <c r="N58" s="46">
        <v>9275</v>
      </c>
      <c r="O58" s="37">
        <v>184.06</v>
      </c>
      <c r="P58" s="69">
        <f>(R58)/J58</f>
        <v>0</v>
      </c>
      <c r="Q58" s="48">
        <f>J58/G58-1</f>
        <v>0.17857142857142883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2580368</v>
      </c>
      <c r="E59" s="39">
        <v>0</v>
      </c>
      <c r="F59" s="40" t="s">
        <v>138</v>
      </c>
      <c r="G59" s="68">
        <v>19.5</v>
      </c>
      <c r="H59" s="42">
        <v>16.5</v>
      </c>
      <c r="I59" s="42">
        <v>16</v>
      </c>
      <c r="J59" s="43">
        <f>I59</f>
        <v>16</v>
      </c>
      <c r="K59" s="39">
        <v>0</v>
      </c>
      <c r="L59" s="45">
        <f>I59-H59</f>
        <v>-0.5</v>
      </c>
      <c r="M59" s="45">
        <f>((I59-H59)/H59)*100</f>
        <v>-3.0303030303030303</v>
      </c>
      <c r="N59" s="46">
        <v>8</v>
      </c>
      <c r="O59" s="37">
        <v>128</v>
      </c>
      <c r="P59" s="69">
        <f>(R59)/J59</f>
        <v>0</v>
      </c>
      <c r="Q59" s="48">
        <f>J59/G59-1</f>
        <v>-0.17948717948717952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874167211.69580007</v>
      </c>
      <c r="E60" s="39">
        <v>0</v>
      </c>
      <c r="F60" s="40" t="s">
        <v>92</v>
      </c>
      <c r="G60" s="68">
        <v>0.59499999999999997</v>
      </c>
      <c r="H60" s="42">
        <v>0.97699999999999998</v>
      </c>
      <c r="I60" s="42">
        <v>1.0858000000000001</v>
      </c>
      <c r="J60" s="43">
        <f>I60</f>
        <v>1.0858000000000001</v>
      </c>
      <c r="K60" s="39">
        <v>0</v>
      </c>
      <c r="L60" s="45">
        <f>I60-H60</f>
        <v>0.10880000000000012</v>
      </c>
      <c r="M60" s="45">
        <f>((I60-H60)/H60)*100</f>
        <v>11.136131013306052</v>
      </c>
      <c r="N60" s="46">
        <v>6087</v>
      </c>
      <c r="O60" s="37">
        <v>6609.37</v>
      </c>
      <c r="P60" s="69">
        <f>(R60)/J60</f>
        <v>0</v>
      </c>
      <c r="Q60" s="48">
        <f>J60/G60-1</f>
        <v>0.82487394957983229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78214355.399999991</v>
      </c>
      <c r="E61" s="39">
        <v>0</v>
      </c>
      <c r="F61" s="40" t="s">
        <v>34</v>
      </c>
      <c r="G61" s="68">
        <v>0.22600000000000001</v>
      </c>
      <c r="H61" s="42">
        <v>0.26169999999999999</v>
      </c>
      <c r="I61" s="42">
        <v>0.3</v>
      </c>
      <c r="J61" s="43">
        <f>I61</f>
        <v>0.3</v>
      </c>
      <c r="K61" s="39">
        <v>0</v>
      </c>
      <c r="L61" s="45">
        <f>I61-H61</f>
        <v>3.8300000000000001E-2</v>
      </c>
      <c r="M61" s="45">
        <f>((I61-H61)/H61)*100</f>
        <v>14.635078333970194</v>
      </c>
      <c r="N61" s="46">
        <v>378</v>
      </c>
      <c r="O61" s="37">
        <v>113.4</v>
      </c>
      <c r="P61" s="69">
        <f>(R61)/J61</f>
        <v>0</v>
      </c>
      <c r="Q61" s="48">
        <f>J61/G61-1</f>
        <v>0.32743362831858391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392686074.41799998</v>
      </c>
      <c r="E62" s="39">
        <v>0</v>
      </c>
      <c r="F62" s="40" t="s">
        <v>34</v>
      </c>
      <c r="G62" s="68">
        <v>0.49440000000000001</v>
      </c>
      <c r="H62" s="42">
        <v>0.70620000000000005</v>
      </c>
      <c r="I62" s="42">
        <v>0.69850000000000001</v>
      </c>
      <c r="J62" s="43">
        <f>I62</f>
        <v>0.69850000000000001</v>
      </c>
      <c r="K62" s="39">
        <v>0</v>
      </c>
      <c r="L62" s="45">
        <f>I62-H62</f>
        <v>-7.7000000000000401E-3</v>
      </c>
      <c r="M62" s="45">
        <f>((I62-H62)/H62)*100</f>
        <v>-1.0903426791277315</v>
      </c>
      <c r="N62" s="46">
        <v>3391</v>
      </c>
      <c r="O62" s="37">
        <v>2368.54</v>
      </c>
      <c r="P62" s="69">
        <f>(R62)/J62</f>
        <v>0</v>
      </c>
      <c r="Q62" s="48">
        <f>J62/G62-1</f>
        <v>0.41282362459546929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29151509.115599997</v>
      </c>
      <c r="E64" s="39">
        <v>0</v>
      </c>
      <c r="F64" s="40" t="s">
        <v>44</v>
      </c>
      <c r="G64" s="68">
        <v>4.2999999999999997E-2</v>
      </c>
      <c r="H64" s="42">
        <v>8.4599999999999995E-2</v>
      </c>
      <c r="I64" s="42">
        <v>8.4599999999999995E-2</v>
      </c>
      <c r="J64" s="43">
        <f>I64</f>
        <v>8.4599999999999995E-2</v>
      </c>
      <c r="K64" s="39">
        <v>0</v>
      </c>
      <c r="L64" s="45">
        <f>I64-H64</f>
        <v>0</v>
      </c>
      <c r="M64" s="45">
        <f>((I64-H64)/H64)*100</f>
        <v>0</v>
      </c>
      <c r="N64" s="46">
        <v>0</v>
      </c>
      <c r="O64" s="37">
        <v>0</v>
      </c>
      <c r="P64" s="69">
        <f>(R64)/J64</f>
        <v>0</v>
      </c>
      <c r="Q64" s="48">
        <f>J64/G64-1</f>
        <v>0.96744186046511627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2468031</v>
      </c>
      <c r="O65" s="60">
        <f>SUM(O51:O64)</f>
        <v>98540.579999999973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50134281.261299998</v>
      </c>
      <c r="E70" s="39">
        <f>C70*K70</f>
        <v>50134281.261299998</v>
      </c>
      <c r="F70" s="87" t="s">
        <v>156</v>
      </c>
      <c r="G70" s="87">
        <v>0.24</v>
      </c>
      <c r="H70" s="88">
        <v>0.3584</v>
      </c>
      <c r="I70" s="88">
        <v>0.3599</v>
      </c>
      <c r="J70" s="89">
        <f>I70</f>
        <v>0.3599</v>
      </c>
      <c r="K70" s="89">
        <f>J70</f>
        <v>0.3599</v>
      </c>
      <c r="L70" s="45">
        <f>I70-H70</f>
        <v>1.5000000000000013E-3</v>
      </c>
      <c r="M70" s="45">
        <f>((I70-H70)/H70)*100</f>
        <v>0.41852678571428603</v>
      </c>
      <c r="N70" s="90">
        <v>638</v>
      </c>
      <c r="O70" s="91">
        <v>229.61</v>
      </c>
      <c r="P70" s="69">
        <f>(R70)/J70</f>
        <v>0</v>
      </c>
      <c r="Q70" s="48">
        <f>J70/G70-1</f>
        <v>0.49958333333333327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70231410.75</v>
      </c>
      <c r="E71" s="39">
        <f>C71*K71</f>
        <v>70231410.75</v>
      </c>
      <c r="F71" s="87" t="s">
        <v>156</v>
      </c>
      <c r="G71" s="87">
        <v>0.1</v>
      </c>
      <c r="H71" s="88">
        <v>0.14829999999999999</v>
      </c>
      <c r="I71" s="88">
        <v>0.14899999999999999</v>
      </c>
      <c r="J71" s="89">
        <f>I71</f>
        <v>0.14899999999999999</v>
      </c>
      <c r="K71" s="89">
        <f>J71</f>
        <v>0.14899999999999999</v>
      </c>
      <c r="L71" s="45">
        <f>I71-H71</f>
        <v>7.0000000000000617E-4</v>
      </c>
      <c r="M71" s="45">
        <f>((I71-H71)/H71)*100</f>
        <v>0.47201618341200685</v>
      </c>
      <c r="N71" s="46">
        <v>5483</v>
      </c>
      <c r="O71" s="91">
        <v>817.22</v>
      </c>
      <c r="P71" s="92">
        <f>(R71)/J71</f>
        <v>2.54496644295302E-2</v>
      </c>
      <c r="Q71" s="48">
        <f>J71/G71-1</f>
        <v>0.48999999999999977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6121</v>
      </c>
      <c r="O72" s="60">
        <f>SUM(O70:O71)</f>
        <v>1046.83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2908511.3914999999</v>
      </c>
      <c r="E74" s="39">
        <f>C74*K74</f>
        <v>2908511.3914999999</v>
      </c>
      <c r="F74" s="87" t="s">
        <v>138</v>
      </c>
      <c r="G74" s="87">
        <v>0.1394</v>
      </c>
      <c r="H74" s="88">
        <v>0.14430000000000001</v>
      </c>
      <c r="I74" s="88">
        <v>0.13969999999999999</v>
      </c>
      <c r="J74" s="89">
        <f>I74</f>
        <v>0.13969999999999999</v>
      </c>
      <c r="K74" s="89">
        <f>J74</f>
        <v>0.13969999999999999</v>
      </c>
      <c r="L74" s="45">
        <f>I74-H74</f>
        <v>-4.6000000000000207E-3</v>
      </c>
      <c r="M74" s="45">
        <f>((I74-H74)/H74)*100</f>
        <v>-3.1878031878032016</v>
      </c>
      <c r="N74" s="90">
        <v>3958</v>
      </c>
      <c r="O74" s="91">
        <v>553</v>
      </c>
      <c r="P74" s="69">
        <f>(R74)/J74</f>
        <v>0</v>
      </c>
      <c r="Q74" s="48">
        <f>J74/G74-1</f>
        <v>2.1520803443328962E-3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110772.09104266089</v>
      </c>
      <c r="E77" s="39">
        <f>C77*K77</f>
        <v>94539.935644444442</v>
      </c>
      <c r="F77" s="40" t="s">
        <v>138</v>
      </c>
      <c r="G77" s="68">
        <v>0.105</v>
      </c>
      <c r="H77" s="42">
        <v>6.5599999999999992E-2</v>
      </c>
      <c r="I77" s="42">
        <v>6.5599999999999992E-2</v>
      </c>
      <c r="J77" s="43">
        <f>I77/$J$5</f>
        <v>2.4401040019937431E-3</v>
      </c>
      <c r="K77" s="44">
        <f>I77/$K$4</f>
        <v>2.0825396825396823E-3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-0.37523809523809526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303886.80000446358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2.231802440847936E-3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1839069.9335294841</v>
      </c>
      <c r="E79" s="39">
        <f>C79*K79</f>
        <v>1569579.0476190476</v>
      </c>
      <c r="F79" s="40" t="s">
        <v>138</v>
      </c>
      <c r="G79" s="68">
        <v>6.0499999999999998E-2</v>
      </c>
      <c r="H79" s="42">
        <v>0.1</v>
      </c>
      <c r="I79" s="42">
        <v>0.1</v>
      </c>
      <c r="J79" s="43">
        <f>I79/$J$5</f>
        <v>3.7196707347465605E-3</v>
      </c>
      <c r="K79" s="44">
        <f>I79/$K$4</f>
        <v>3.1746031746031746E-3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2372884.8129563574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5.7654896388571686E-2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0</v>
      </c>
      <c r="O81" s="60">
        <f>SUM(O77:O80)</f>
        <v>0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27837751.199686799</v>
      </c>
      <c r="E83" s="39">
        <f>C83*K83</f>
        <v>23758504.350079361</v>
      </c>
      <c r="F83" s="40" t="s">
        <v>174</v>
      </c>
      <c r="G83" s="40">
        <v>1.3</v>
      </c>
      <c r="H83" s="42">
        <v>2.0305</v>
      </c>
      <c r="I83" s="42">
        <v>2.0318749999999999</v>
      </c>
      <c r="J83" s="43">
        <f>I83/$J$5</f>
        <v>7.5579059741631663E-2</v>
      </c>
      <c r="K83" s="44">
        <f>I83/$K$4</f>
        <v>6.4503968253968244E-2</v>
      </c>
      <c r="L83" s="45">
        <f>I83-H83</f>
        <v>1.3749999999999041E-3</v>
      </c>
      <c r="M83" s="45">
        <f>((I83-H83)/H83*100)</f>
        <v>6.7717311007136377E-2</v>
      </c>
      <c r="N83" s="50">
        <v>800</v>
      </c>
      <c r="O83" s="37">
        <v>1625.5</v>
      </c>
      <c r="P83" s="50">
        <f>(R83)/J83</f>
        <v>0</v>
      </c>
      <c r="Q83" s="48">
        <f>I83/G83-1</f>
        <v>0.56298076923076912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70988016.660033241</v>
      </c>
      <c r="E84" s="39">
        <f>C84*K84</f>
        <v>60585680.593333334</v>
      </c>
      <c r="F84" s="40" t="s">
        <v>174</v>
      </c>
      <c r="G84" s="40">
        <v>1.44347</v>
      </c>
      <c r="H84" s="42">
        <v>1.0353919999999999</v>
      </c>
      <c r="I84" s="42">
        <v>1.036578</v>
      </c>
      <c r="J84" s="43">
        <f>I84/$J$5</f>
        <v>3.8557288508821196E-2</v>
      </c>
      <c r="K84" s="44">
        <f>I84/$K$4</f>
        <v>3.2907238095238094E-2</v>
      </c>
      <c r="L84" s="45">
        <f>I84-H84</f>
        <v>1.1860000000001314E-3</v>
      </c>
      <c r="M84" s="45">
        <f>((I84-H84)/H84*100)</f>
        <v>0.1145459883792932</v>
      </c>
      <c r="N84" s="50">
        <v>213243</v>
      </c>
      <c r="O84" s="37">
        <v>221055.11749999999</v>
      </c>
      <c r="P84" s="47">
        <f>(R84)/J84</f>
        <v>5.6435503744050139E-2</v>
      </c>
      <c r="Q84" s="48">
        <f>I84/G84-1</f>
        <v>-0.28188462524333724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214043</v>
      </c>
      <c r="O85" s="60">
        <f>SUM(O83:O84)</f>
        <v>222680.61749999999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72</v>
      </c>
      <c r="B88" s="110">
        <v>1.6784370000000002</v>
      </c>
      <c r="D88" s="110">
        <v>14.9614383561644</v>
      </c>
      <c r="E88" s="35" t="s">
        <v>40</v>
      </c>
      <c r="F88" s="111">
        <v>177.11458299999998</v>
      </c>
      <c r="H88" s="112">
        <v>-4.2622726822947916</v>
      </c>
      <c r="L88" s="35" t="s">
        <v>141</v>
      </c>
      <c r="M88" s="50">
        <v>0.3</v>
      </c>
      <c r="N88" s="113">
        <v>14.635078333970194</v>
      </c>
      <c r="O88" s="35" t="s">
        <v>122</v>
      </c>
      <c r="P88" s="111">
        <v>51.297199999999997</v>
      </c>
      <c r="Q88" s="114">
        <v>-19.799378059476783</v>
      </c>
    </row>
    <row r="89" spans="1:243" x14ac:dyDescent="0.25">
      <c r="A89" s="35" t="s">
        <v>62</v>
      </c>
      <c r="B89" s="110">
        <v>2.1722540000000001</v>
      </c>
      <c r="D89" s="110">
        <v>14.088970588235291</v>
      </c>
      <c r="E89" s="35" t="s">
        <v>99</v>
      </c>
      <c r="F89" s="111">
        <v>0.140129</v>
      </c>
      <c r="H89" s="112">
        <v>-2.7874322739980673</v>
      </c>
      <c r="L89" s="35" t="s">
        <v>139</v>
      </c>
      <c r="M89" s="50">
        <v>1.0858000000000001</v>
      </c>
      <c r="N89" s="113">
        <v>11.136131013306052</v>
      </c>
      <c r="O89" s="35" t="s">
        <v>136</v>
      </c>
      <c r="P89" s="111">
        <v>16</v>
      </c>
      <c r="Q89" s="114">
        <v>-3.0303030303030303</v>
      </c>
    </row>
    <row r="90" spans="1:243" x14ac:dyDescent="0.25">
      <c r="A90" s="35" t="s">
        <v>58</v>
      </c>
      <c r="B90" s="110">
        <v>11.443439000000001</v>
      </c>
      <c r="C90" s="110"/>
      <c r="D90" s="110">
        <v>13.865064676616923</v>
      </c>
      <c r="E90" s="35" t="s">
        <v>97</v>
      </c>
      <c r="F90" s="111">
        <v>5.5496509999999999</v>
      </c>
      <c r="H90" s="112">
        <v>-1.0545749536442675</v>
      </c>
      <c r="L90" s="35" t="s">
        <v>134</v>
      </c>
      <c r="M90" s="50">
        <v>1.9800000000000002E-2</v>
      </c>
      <c r="N90" s="113">
        <v>8.196721311475418</v>
      </c>
      <c r="O90" s="35" t="s">
        <v>143</v>
      </c>
      <c r="P90" s="111">
        <v>0.69850000000000001</v>
      </c>
      <c r="Q90" s="114">
        <v>-1.0903426791277315</v>
      </c>
    </row>
    <row r="91" spans="1:243" x14ac:dyDescent="0.25">
      <c r="A91" s="35" t="s">
        <v>50</v>
      </c>
      <c r="B91" s="110">
        <v>2.9451990000000001</v>
      </c>
      <c r="C91" s="110"/>
      <c r="D91" s="110">
        <v>8.7791994244141005</v>
      </c>
      <c r="E91" s="35" t="s">
        <v>64</v>
      </c>
      <c r="F91" s="111">
        <v>0.9</v>
      </c>
      <c r="G91" s="111"/>
      <c r="H91" s="112">
        <v>-0.67387259327275784</v>
      </c>
      <c r="L91" s="35" t="s">
        <v>128</v>
      </c>
      <c r="M91" s="50">
        <v>0.11609999999999999</v>
      </c>
      <c r="N91" s="113">
        <v>5.5454545454545405</v>
      </c>
      <c r="O91" s="35" t="s">
        <v>130</v>
      </c>
      <c r="P91" s="111">
        <v>1.2906</v>
      </c>
      <c r="Q91" s="114">
        <v>-0.30897574540398609</v>
      </c>
    </row>
    <row r="92" spans="1:243" x14ac:dyDescent="0.25">
      <c r="A92" s="35" t="s">
        <v>107</v>
      </c>
      <c r="B92" s="110">
        <v>0.04</v>
      </c>
      <c r="C92" s="110"/>
      <c r="D92" s="110">
        <v>6.6666666666666732</v>
      </c>
      <c r="E92" s="35" t="s">
        <v>93</v>
      </c>
      <c r="F92" s="111">
        <v>4</v>
      </c>
      <c r="G92" s="111"/>
      <c r="H92" s="112">
        <v>-2.7392494456529658E-2</v>
      </c>
      <c r="L92" s="35" t="s">
        <v>124</v>
      </c>
      <c r="M92" s="50">
        <v>0.24809999999999999</v>
      </c>
      <c r="N92" s="113">
        <v>4.2875157629255938</v>
      </c>
      <c r="O92" s="35"/>
      <c r="P92" s="111"/>
      <c r="Q92" s="114"/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OShe7sB0qoqMi99gWXEKhSv/WimgcAysziU9tP32msMS/94ymE7eIGM/Muw6HsyYfVSRdaCh0gtl3wTMHVrLTg==" saltValue="n8iThoRLlP5OpVjxHX2gbQ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2026-06-04T15:09:03Z</dcterms:created>
  <dcterms:modified xsi:type="dcterms:W3CDTF">2026-06-04T15:16:34Z</dcterms:modified>
</cp:coreProperties>
</file>