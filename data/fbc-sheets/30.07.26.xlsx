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ly/30.07.26/"/>
    </mc:Choice>
  </mc:AlternateContent>
  <xr:revisionPtr revIDLastSave="1" documentId="8_{9271504A-F962-4FD1-AF76-606C020AB32E}" xr6:coauthVersionLast="47" xr6:coauthVersionMax="47" xr10:uidLastSave="{BF940C54-BA78-4540-936A-BF3453AC7D6D}"/>
  <bookViews>
    <workbookView xWindow="-108" yWindow="-108" windowWidth="23256" windowHeight="12456" xr2:uid="{F7AC4F93-A656-4FF0-A81B-4846DE641364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M84" i="1"/>
  <c r="L84" i="1"/>
  <c r="K84" i="1"/>
  <c r="J84" i="1"/>
  <c r="P84" i="1" s="1"/>
  <c r="E84" i="1"/>
  <c r="Q83" i="1"/>
  <c r="P83" i="1"/>
  <c r="M83" i="1"/>
  <c r="L83" i="1"/>
  <c r="K83" i="1"/>
  <c r="E83" i="1" s="1"/>
  <c r="J83" i="1"/>
  <c r="D83" i="1"/>
  <c r="O81" i="1"/>
  <c r="N81" i="1"/>
  <c r="Q80" i="1"/>
  <c r="M80" i="1"/>
  <c r="L80" i="1"/>
  <c r="K80" i="1"/>
  <c r="J80" i="1"/>
  <c r="D80" i="1" s="1"/>
  <c r="E80" i="1"/>
  <c r="Q79" i="1"/>
  <c r="M79" i="1"/>
  <c r="L79" i="1"/>
  <c r="K79" i="1"/>
  <c r="J79" i="1"/>
  <c r="D79" i="1" s="1"/>
  <c r="E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Q74" i="1"/>
  <c r="P74" i="1"/>
  <c r="M74" i="1"/>
  <c r="L74" i="1"/>
  <c r="J74" i="1"/>
  <c r="K74" i="1" s="1"/>
  <c r="E74" i="1" s="1"/>
  <c r="D74" i="1"/>
  <c r="O72" i="1"/>
  <c r="N72" i="1"/>
  <c r="Q71" i="1"/>
  <c r="P71" i="1"/>
  <c r="M71" i="1"/>
  <c r="L71" i="1"/>
  <c r="K71" i="1"/>
  <c r="E71" i="1" s="1"/>
  <c r="J71" i="1"/>
  <c r="D71" i="1"/>
  <c r="M70" i="1"/>
  <c r="L70" i="1"/>
  <c r="J70" i="1"/>
  <c r="Q70" i="1" s="1"/>
  <c r="D70" i="1"/>
  <c r="M67" i="1"/>
  <c r="L67" i="1"/>
  <c r="D67" i="1"/>
  <c r="O65" i="1"/>
  <c r="N65" i="1"/>
  <c r="M64" i="1"/>
  <c r="L64" i="1"/>
  <c r="J64" i="1"/>
  <c r="P64" i="1" s="1"/>
  <c r="D64" i="1"/>
  <c r="Q63" i="1"/>
  <c r="M63" i="1"/>
  <c r="L63" i="1"/>
  <c r="J63" i="1"/>
  <c r="P63" i="1" s="1"/>
  <c r="M62" i="1"/>
  <c r="L62" i="1"/>
  <c r="J62" i="1"/>
  <c r="P62" i="1" s="1"/>
  <c r="D62" i="1"/>
  <c r="Q61" i="1"/>
  <c r="M61" i="1"/>
  <c r="L61" i="1"/>
  <c r="J61" i="1"/>
  <c r="P61" i="1" s="1"/>
  <c r="M60" i="1"/>
  <c r="L60" i="1"/>
  <c r="J60" i="1"/>
  <c r="P60" i="1" s="1"/>
  <c r="D60" i="1"/>
  <c r="Q59" i="1"/>
  <c r="P59" i="1"/>
  <c r="M59" i="1"/>
  <c r="L59" i="1"/>
  <c r="J59" i="1"/>
  <c r="D59" i="1" s="1"/>
  <c r="M58" i="1"/>
  <c r="L58" i="1"/>
  <c r="J58" i="1"/>
  <c r="P58" i="1" s="1"/>
  <c r="D58" i="1"/>
  <c r="Q57" i="1"/>
  <c r="P57" i="1"/>
  <c r="M57" i="1"/>
  <c r="L57" i="1"/>
  <c r="J57" i="1"/>
  <c r="D57" i="1" s="1"/>
  <c r="M56" i="1"/>
  <c r="L56" i="1"/>
  <c r="J56" i="1"/>
  <c r="P56" i="1" s="1"/>
  <c r="D56" i="1"/>
  <c r="Q55" i="1"/>
  <c r="P55" i="1"/>
  <c r="M55" i="1"/>
  <c r="L55" i="1"/>
  <c r="J55" i="1"/>
  <c r="D55" i="1" s="1"/>
  <c r="M54" i="1"/>
  <c r="L54" i="1"/>
  <c r="J54" i="1"/>
  <c r="Q54" i="1" s="1"/>
  <c r="D54" i="1"/>
  <c r="Q53" i="1"/>
  <c r="P53" i="1"/>
  <c r="M53" i="1"/>
  <c r="L53" i="1"/>
  <c r="J53" i="1"/>
  <c r="D53" i="1" s="1"/>
  <c r="M52" i="1"/>
  <c r="L52" i="1"/>
  <c r="J52" i="1"/>
  <c r="Q52" i="1" s="1"/>
  <c r="D52" i="1"/>
  <c r="Q51" i="1"/>
  <c r="P51" i="1"/>
  <c r="M51" i="1"/>
  <c r="L51" i="1"/>
  <c r="J51" i="1"/>
  <c r="D51" i="1"/>
  <c r="M50" i="1"/>
  <c r="L50" i="1"/>
  <c r="J50" i="1"/>
  <c r="Q50" i="1" s="1"/>
  <c r="D50" i="1"/>
  <c r="O47" i="1"/>
  <c r="N47" i="1"/>
  <c r="Q45" i="1"/>
  <c r="M45" i="1"/>
  <c r="L45" i="1"/>
  <c r="K45" i="1"/>
  <c r="E45" i="1" s="1"/>
  <c r="J45" i="1"/>
  <c r="D45" i="1"/>
  <c r="Q44" i="1"/>
  <c r="P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E42" i="1" s="1"/>
  <c r="J42" i="1"/>
  <c r="D42" i="1"/>
  <c r="Q41" i="1"/>
  <c r="P41" i="1"/>
  <c r="M41" i="1"/>
  <c r="L41" i="1"/>
  <c r="K41" i="1"/>
  <c r="E41" i="1" s="1"/>
  <c r="J41" i="1"/>
  <c r="D41" i="1" s="1"/>
  <c r="Q40" i="1"/>
  <c r="M40" i="1"/>
  <c r="L40" i="1"/>
  <c r="K40" i="1"/>
  <c r="J40" i="1"/>
  <c r="P40" i="1" s="1"/>
  <c r="E40" i="1"/>
  <c r="D40" i="1"/>
  <c r="Q39" i="1"/>
  <c r="P39" i="1"/>
  <c r="M39" i="1"/>
  <c r="L39" i="1"/>
  <c r="K39" i="1"/>
  <c r="E39" i="1" s="1"/>
  <c r="J39" i="1"/>
  <c r="D39" i="1"/>
  <c r="Q38" i="1"/>
  <c r="P38" i="1"/>
  <c r="M38" i="1"/>
  <c r="L38" i="1"/>
  <c r="K38" i="1"/>
  <c r="E38" i="1" s="1"/>
  <c r="J38" i="1"/>
  <c r="D38" i="1" s="1"/>
  <c r="Q37" i="1"/>
  <c r="M37" i="1"/>
  <c r="L37" i="1"/>
  <c r="K37" i="1"/>
  <c r="J37" i="1"/>
  <c r="E37" i="1"/>
  <c r="D37" i="1"/>
  <c r="Q36" i="1"/>
  <c r="P36" i="1"/>
  <c r="M36" i="1"/>
  <c r="L36" i="1"/>
  <c r="K36" i="1"/>
  <c r="J36" i="1"/>
  <c r="E36" i="1"/>
  <c r="D36" i="1"/>
  <c r="Q35" i="1"/>
  <c r="M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D34" i="1"/>
  <c r="Q33" i="1"/>
  <c r="P33" i="1"/>
  <c r="M33" i="1"/>
  <c r="L33" i="1"/>
  <c r="K33" i="1"/>
  <c r="E33" i="1" s="1"/>
  <c r="J33" i="1"/>
  <c r="D33" i="1"/>
  <c r="Q32" i="1"/>
  <c r="M32" i="1"/>
  <c r="L32" i="1"/>
  <c r="K32" i="1"/>
  <c r="E32" i="1" s="1"/>
  <c r="J32" i="1"/>
  <c r="D32" i="1" s="1"/>
  <c r="Q31" i="1"/>
  <c r="M31" i="1"/>
  <c r="L31" i="1"/>
  <c r="K31" i="1"/>
  <c r="J31" i="1"/>
  <c r="P31" i="1" s="1"/>
  <c r="E31" i="1"/>
  <c r="D31" i="1"/>
  <c r="K30" i="1"/>
  <c r="E30" i="1" s="1"/>
  <c r="J30" i="1"/>
  <c r="D30" i="1" s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E27" i="1" s="1"/>
  <c r="J27" i="1"/>
  <c r="D27" i="1" s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E25" i="1" s="1"/>
  <c r="J25" i="1"/>
  <c r="D25" i="1"/>
  <c r="R24" i="1"/>
  <c r="Q24" i="1"/>
  <c r="P24" i="1"/>
  <c r="M24" i="1"/>
  <c r="L24" i="1"/>
  <c r="K24" i="1"/>
  <c r="E24" i="1" s="1"/>
  <c r="J24" i="1"/>
  <c r="D24" i="1" s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D21" i="1" s="1"/>
  <c r="E21" i="1"/>
  <c r="Q20" i="1"/>
  <c r="M20" i="1"/>
  <c r="L20" i="1"/>
  <c r="K20" i="1"/>
  <c r="E20" i="1" s="1"/>
  <c r="J20" i="1"/>
  <c r="P20" i="1" s="1"/>
  <c r="D20" i="1"/>
  <c r="Q19" i="1"/>
  <c r="P19" i="1"/>
  <c r="M19" i="1"/>
  <c r="L19" i="1"/>
  <c r="K19" i="1"/>
  <c r="J19" i="1"/>
  <c r="D19" i="1" s="1"/>
  <c r="E19" i="1"/>
  <c r="E18" i="1"/>
  <c r="D18" i="1"/>
  <c r="Q17" i="1"/>
  <c r="P17" i="1"/>
  <c r="M17" i="1"/>
  <c r="L17" i="1"/>
  <c r="K17" i="1"/>
  <c r="E17" i="1" s="1"/>
  <c r="J17" i="1"/>
  <c r="D17" i="1" s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J15" i="1"/>
  <c r="E15" i="1"/>
  <c r="D15" i="1"/>
  <c r="Q14" i="1"/>
  <c r="P14" i="1"/>
  <c r="M14" i="1"/>
  <c r="L14" i="1"/>
  <c r="K14" i="1"/>
  <c r="E14" i="1" s="1"/>
  <c r="J14" i="1"/>
  <c r="D14" i="1" s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E12" i="1"/>
  <c r="D12" i="1"/>
  <c r="Q11" i="1"/>
  <c r="P11" i="1"/>
  <c r="M11" i="1"/>
  <c r="L11" i="1"/>
  <c r="K11" i="1"/>
  <c r="E11" i="1" s="1"/>
  <c r="J11" i="1"/>
  <c r="D11" i="1" s="1"/>
  <c r="Q10" i="1"/>
  <c r="M10" i="1"/>
  <c r="L10" i="1"/>
  <c r="K10" i="1"/>
  <c r="J10" i="1"/>
  <c r="P10" i="1" s="1"/>
  <c r="E10" i="1"/>
  <c r="D10" i="1"/>
  <c r="Q9" i="1"/>
  <c r="P9" i="1"/>
  <c r="M9" i="1"/>
  <c r="L9" i="1"/>
  <c r="K9" i="1"/>
  <c r="J9" i="1"/>
  <c r="E9" i="1"/>
  <c r="D9" i="1"/>
  <c r="K70" i="1" l="1"/>
  <c r="E70" i="1" s="1"/>
  <c r="P27" i="1"/>
  <c r="P32" i="1"/>
  <c r="P35" i="1"/>
  <c r="D84" i="1"/>
  <c r="P54" i="1"/>
  <c r="P50" i="1"/>
  <c r="Q56" i="1"/>
  <c r="Q58" i="1"/>
  <c r="Q60" i="1"/>
  <c r="Q62" i="1"/>
  <c r="P70" i="1"/>
  <c r="Q64" i="1"/>
  <c r="D61" i="1"/>
  <c r="D63" i="1"/>
  <c r="P21" i="1"/>
</calcChain>
</file>

<file path=xl/sharedStrings.xml><?xml version="1.0" encoding="utf-8"?>
<sst xmlns="http://schemas.openxmlformats.org/spreadsheetml/2006/main" count="268" uniqueCount="183">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</sst>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" xfId="4" xr:uid="{4F000063-E68B-4A20-95BC-9A6B4FD7DAA2}"/>
    <cellStyle name="Comma 5 2 2 2 2 2 2 2 2" xfId="5" xr:uid="{86003076-D51A-4DB6-AE05-EF2F04973E90}"/>
    <cellStyle name="Comma 6 2 2 2" xfId="6" xr:uid="{3C3DC966-5572-4060-BE58-CE3D53FD1914}"/>
    <cellStyle name="Hyperlink 2" xfId="9" xr:uid="{5DA30398-698C-4CDD-A522-994B4ABF93A3}"/>
    <cellStyle name="Normal" xfId="0" builtinId="0"/>
    <cellStyle name="Normal 2" xfId="3" xr:uid="{9E7B3C0D-92AC-4C4C-84EE-D162F6CB5F0B}"/>
    <cellStyle name="Normal 20" xfId="8" xr:uid="{7B160410-C85E-45E2-81A4-A4477124C102}"/>
    <cellStyle name="Percent" xfId="2" builtinId="5"/>
    <cellStyle name="Percent 3" xfId="7" xr:uid="{07958634-D960-485F-89BF-100B5A41BBAF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718F5AD7-BBA7-4803-A431-C99C1472B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76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D5B992D4-A893-45E0-AABD-9C21F026C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01218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C6BF-1091-40AA-952B-875E5897ABC5}">
  <dimension ref="A1:II106"/>
  <sheetViews>
    <sheetView tabSelected="1" topLeftCell="A40" zoomScale="73" zoomScaleNormal="73" workbookViewId="0">
      <selection activeCell="H37" sqref="H37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7.6640625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26.6812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64846715.108319715</v>
      </c>
      <c r="E9" s="39">
        <f t="shared" ref="E9:E45" si="1">C9*K9</f>
        <v>54926608.734860316</v>
      </c>
      <c r="F9" s="40" t="s">
        <v>34</v>
      </c>
      <c r="G9" s="41">
        <v>8.9894999999999996</v>
      </c>
      <c r="H9" s="42">
        <v>13</v>
      </c>
      <c r="I9" s="43">
        <v>13.7279</v>
      </c>
      <c r="J9" s="44">
        <f>(I9/$J$5)</f>
        <v>0.51451583886781704</v>
      </c>
      <c r="K9" s="45">
        <f t="shared" ref="K9:K17" si="2">I9/$K$4</f>
        <v>0.4358063492063492</v>
      </c>
      <c r="L9" s="46">
        <f t="shared" ref="L9:L17" si="3">I9-H9</f>
        <v>0.72789999999999999</v>
      </c>
      <c r="M9" s="46">
        <f t="shared" ref="M9:M17" si="4">((I9-H9)/H9)*100</f>
        <v>5.5992307692307692</v>
      </c>
      <c r="N9" s="47">
        <v>0</v>
      </c>
      <c r="O9" s="37">
        <v>0</v>
      </c>
      <c r="P9" s="48">
        <f t="shared" ref="P9:P17" si="5">(R9)/J9</f>
        <v>2.9153621457032756E-2</v>
      </c>
      <c r="Q9" s="49">
        <f t="shared" ref="Q9:Q17" si="6">I9/G9-1</f>
        <v>0.5271038433728239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 t="shared" si="0"/>
        <v>4625487.0450663762</v>
      </c>
      <c r="E10" s="39">
        <f t="shared" si="1"/>
        <v>3917890.3157722219</v>
      </c>
      <c r="F10" s="40" t="s">
        <v>34</v>
      </c>
      <c r="G10" s="41">
        <v>3.1600000000000003E-2</v>
      </c>
      <c r="H10" s="42">
        <v>7.4999999999999997E-2</v>
      </c>
      <c r="I10" s="43">
        <v>7.5835E-2</v>
      </c>
      <c r="J10" s="44">
        <f t="shared" ref="J10:J17" si="7">I10/$J$5</f>
        <v>2.8422634664108061E-3</v>
      </c>
      <c r="K10" s="45">
        <f t="shared" si="2"/>
        <v>2.4074603174603173E-3</v>
      </c>
      <c r="L10" s="46">
        <f t="shared" si="3"/>
        <v>8.3500000000000241E-4</v>
      </c>
      <c r="M10" s="46">
        <f t="shared" si="4"/>
        <v>1.1133333333333366</v>
      </c>
      <c r="N10" s="47">
        <v>45400</v>
      </c>
      <c r="O10" s="37">
        <v>3442.92</v>
      </c>
      <c r="P10" s="51">
        <f t="shared" si="5"/>
        <v>0</v>
      </c>
      <c r="Q10" s="49">
        <f t="shared" si="6"/>
        <v>1.3998417721518983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 t="shared" si="0"/>
        <v>3603099.5225102324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8.2455061991214794E-3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 t="shared" si="0"/>
        <v>146848662.84612384</v>
      </c>
      <c r="E12" s="39">
        <f t="shared" si="1"/>
        <v>124384080.73428571</v>
      </c>
      <c r="F12" s="40" t="s">
        <v>34</v>
      </c>
      <c r="G12" s="41">
        <v>97.381</v>
      </c>
      <c r="H12" s="42">
        <v>189.89</v>
      </c>
      <c r="I12" s="43">
        <v>189.89</v>
      </c>
      <c r="J12" s="44">
        <f t="shared" si="7"/>
        <v>7.1169962370508069</v>
      </c>
      <c r="K12" s="45">
        <f t="shared" si="2"/>
        <v>6.028253968253968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0.94996970661628022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 t="shared" si="0"/>
        <v>6220374.3459814405</v>
      </c>
      <c r="E13" s="39">
        <f t="shared" si="1"/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 t="shared" si="7"/>
        <v>0.7121118990150368</v>
      </c>
      <c r="K13" s="45">
        <f t="shared" si="2"/>
        <v>0.60317460317460314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 t="shared" si="0"/>
        <v>792184371.19020128</v>
      </c>
      <c r="E14" s="39">
        <f t="shared" si="1"/>
        <v>670997766.49523807</v>
      </c>
      <c r="F14" s="40" t="s">
        <v>47</v>
      </c>
      <c r="G14" s="41">
        <v>11.5</v>
      </c>
      <c r="H14" s="42">
        <v>38.654167000000001</v>
      </c>
      <c r="I14" s="43">
        <v>40.44</v>
      </c>
      <c r="J14" s="44">
        <f t="shared" si="7"/>
        <v>1.5156739576930571</v>
      </c>
      <c r="K14" s="45">
        <f t="shared" si="2"/>
        <v>1.2838095238095237</v>
      </c>
      <c r="L14" s="46">
        <f t="shared" si="3"/>
        <v>1.7858329999999967</v>
      </c>
      <c r="M14" s="46">
        <f t="shared" si="4"/>
        <v>4.6200271241131556</v>
      </c>
      <c r="N14" s="47">
        <v>1000</v>
      </c>
      <c r="O14" s="37">
        <v>40440</v>
      </c>
      <c r="P14" s="51">
        <f t="shared" si="5"/>
        <v>0</v>
      </c>
      <c r="Q14" s="49">
        <f t="shared" si="6"/>
        <v>2.5165217391304346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 t="shared" si="0"/>
        <v>23846200.695620887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0.22487744179422214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 t="shared" si="0"/>
        <v>85819371.757823274</v>
      </c>
      <c r="E16" s="39">
        <f t="shared" si="1"/>
        <v>72690914.97602649</v>
      </c>
      <c r="F16" s="40" t="s">
        <v>34</v>
      </c>
      <c r="G16" s="41">
        <v>1.9</v>
      </c>
      <c r="H16" s="42">
        <v>6.6901110000000008</v>
      </c>
      <c r="I16" s="43">
        <v>6.3959730000000006</v>
      </c>
      <c r="J16" s="44">
        <f t="shared" si="7"/>
        <v>0.23971834100415276</v>
      </c>
      <c r="K16" s="45">
        <f t="shared" si="2"/>
        <v>0.20304676190476192</v>
      </c>
      <c r="L16" s="46">
        <f t="shared" si="3"/>
        <v>-0.29413800000000023</v>
      </c>
      <c r="M16" s="46">
        <f t="shared" si="4"/>
        <v>-4.3966086661342416</v>
      </c>
      <c r="N16" s="47">
        <v>14900</v>
      </c>
      <c r="O16" s="37">
        <v>95300</v>
      </c>
      <c r="P16" s="51">
        <f t="shared" si="5"/>
        <v>0</v>
      </c>
      <c r="Q16" s="49">
        <f t="shared" si="6"/>
        <v>2.3663015789473687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1616626588.7359262</v>
      </c>
      <c r="E17" s="39">
        <f t="shared" si="1"/>
        <v>1369318645.6946347</v>
      </c>
      <c r="F17" s="40" t="s">
        <v>34</v>
      </c>
      <c r="G17" s="41">
        <v>20.701700000000002</v>
      </c>
      <c r="H17" s="42">
        <v>32.000219000000001</v>
      </c>
      <c r="I17" s="43">
        <v>32.003799999999998</v>
      </c>
      <c r="J17" s="44">
        <f t="shared" si="7"/>
        <v>1.1994887786156543</v>
      </c>
      <c r="K17" s="45">
        <f t="shared" si="2"/>
        <v>1.0159936507936507</v>
      </c>
      <c r="L17" s="46">
        <f t="shared" si="3"/>
        <v>3.5809999999969477E-3</v>
      </c>
      <c r="M17" s="46">
        <f t="shared" si="4"/>
        <v>1.1190548414674747E-2</v>
      </c>
      <c r="N17" s="47">
        <v>27600</v>
      </c>
      <c r="O17" s="37">
        <v>883304.25</v>
      </c>
      <c r="P17" s="48">
        <f t="shared" si="5"/>
        <v>4.1684424974534284E-2</v>
      </c>
      <c r="Q17" s="49">
        <f t="shared" si="6"/>
        <v>0.54595033258138193</v>
      </c>
      <c r="R17" s="50">
        <v>0.05</v>
      </c>
      <c r="S17" s="52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339989356.34454226</v>
      </c>
      <c r="E19" s="39">
        <f t="shared" si="1"/>
        <v>287978540.14285713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0.50597424403699987</v>
      </c>
      <c r="K19" s="45">
        <f t="shared" ref="K19:K45" si="9">I19/$K$4</f>
        <v>0.42857142857142855</v>
      </c>
      <c r="L19" s="46">
        <f t="shared" ref="L19:L29" si="10">I19-H19</f>
        <v>0</v>
      </c>
      <c r="M19" s="46">
        <f t="shared" ref="M19:M29" si="11">((I19-H19)/H19)*100</f>
        <v>0</v>
      </c>
      <c r="N19" s="47">
        <v>1100</v>
      </c>
      <c r="O19" s="37">
        <v>14850</v>
      </c>
      <c r="P19" s="51">
        <f>(R19)/J19</f>
        <v>0</v>
      </c>
      <c r="Q19" s="49">
        <f t="shared" ref="Q19:Q29" si="12">I19/G19-1</f>
        <v>8.4337349397590522E-2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3286330.7967782561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3.0171056774058139E-2</v>
      </c>
      <c r="K20" s="45">
        <f t="shared" si="9"/>
        <v>2.5555555555555557E-2</v>
      </c>
      <c r="L20" s="46">
        <f t="shared" si="10"/>
        <v>0</v>
      </c>
      <c r="M20" s="46">
        <f t="shared" si="11"/>
        <v>0</v>
      </c>
      <c r="N20" s="47">
        <v>0</v>
      </c>
      <c r="O20" s="37">
        <v>0</v>
      </c>
      <c r="P20" s="51">
        <f>(R20)/J20</f>
        <v>0</v>
      </c>
      <c r="Q20" s="49">
        <f t="shared" si="12"/>
        <v>1.3000000000000003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86576674.003016353</v>
      </c>
      <c r="E21" s="39">
        <f t="shared" si="1"/>
        <v>73332366.806643799</v>
      </c>
      <c r="F21" s="40" t="s">
        <v>47</v>
      </c>
      <c r="G21" s="41">
        <v>2.85</v>
      </c>
      <c r="H21" s="42">
        <v>3.3470879999999998</v>
      </c>
      <c r="I21" s="43">
        <v>3.3470879999999998</v>
      </c>
      <c r="J21" s="44">
        <f t="shared" si="8"/>
        <v>0.12544743115002324</v>
      </c>
      <c r="K21" s="45">
        <f t="shared" si="9"/>
        <v>0.1062567619047619</v>
      </c>
      <c r="L21" s="46">
        <f t="shared" si="10"/>
        <v>0</v>
      </c>
      <c r="M21" s="46">
        <f t="shared" si="11"/>
        <v>0</v>
      </c>
      <c r="N21" s="47">
        <v>0</v>
      </c>
      <c r="O21" s="37">
        <v>0</v>
      </c>
      <c r="P21" s="51">
        <f>(R21)/J21</f>
        <v>0</v>
      </c>
      <c r="Q21" s="49">
        <f t="shared" si="12"/>
        <v>0.17441684210526298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>
        <v>0</v>
      </c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2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2534000.2135586105</v>
      </c>
      <c r="E23" s="39">
        <f t="shared" si="1"/>
        <v>2146354.4920000001</v>
      </c>
      <c r="F23" s="40" t="s">
        <v>44</v>
      </c>
      <c r="G23" s="41">
        <v>0.1</v>
      </c>
      <c r="H23" s="42">
        <v>0.11</v>
      </c>
      <c r="I23" s="43">
        <v>0.126</v>
      </c>
      <c r="J23" s="44">
        <f t="shared" si="8"/>
        <v>4.7224262776786648E-3</v>
      </c>
      <c r="K23" s="45">
        <f t="shared" si="9"/>
        <v>4.0000000000000001E-3</v>
      </c>
      <c r="L23" s="46">
        <f t="shared" si="10"/>
        <v>1.6E-2</v>
      </c>
      <c r="M23" s="46">
        <f t="shared" si="11"/>
        <v>14.545454545454545</v>
      </c>
      <c r="N23" s="47">
        <v>100</v>
      </c>
      <c r="O23" s="37">
        <v>12.6</v>
      </c>
      <c r="P23" s="51">
        <f t="shared" ref="P23:P29" si="13">(R23)/J23</f>
        <v>0</v>
      </c>
      <c r="Q23" s="49">
        <f t="shared" si="12"/>
        <v>0.26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80567992.414569065</v>
      </c>
      <c r="E24" s="39">
        <f t="shared" si="1"/>
        <v>68242879.974971429</v>
      </c>
      <c r="F24" s="40" t="s">
        <v>34</v>
      </c>
      <c r="G24" s="41">
        <v>8.1687659999999997</v>
      </c>
      <c r="H24" s="42">
        <v>11.136904999999999</v>
      </c>
      <c r="I24" s="43">
        <v>11.136900000000001</v>
      </c>
      <c r="J24" s="44">
        <f t="shared" si="8"/>
        <v>0.41740626358634547</v>
      </c>
      <c r="K24" s="45">
        <f t="shared" si="9"/>
        <v>0.35355238095238095</v>
      </c>
      <c r="L24" s="46">
        <f t="shared" si="10"/>
        <v>-4.9999999980343546E-6</v>
      </c>
      <c r="M24" s="46">
        <f t="shared" si="11"/>
        <v>-4.4895776681531856E-5</v>
      </c>
      <c r="N24" s="47">
        <v>0</v>
      </c>
      <c r="O24" s="37">
        <v>0</v>
      </c>
      <c r="P24" s="48">
        <f t="shared" si="13"/>
        <v>3.5936212051827704E-2</v>
      </c>
      <c r="Q24" s="49">
        <f t="shared" si="12"/>
        <v>0.36335157599079237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113849872.42702729</v>
      </c>
      <c r="E25" s="39">
        <f t="shared" si="1"/>
        <v>96433371.942857146</v>
      </c>
      <c r="F25" s="40" t="s">
        <v>66</v>
      </c>
      <c r="G25" s="41">
        <v>1.6675</v>
      </c>
      <c r="H25" s="42">
        <v>1.8</v>
      </c>
      <c r="I25" s="43">
        <v>1.8</v>
      </c>
      <c r="J25" s="44">
        <f t="shared" si="8"/>
        <v>6.7463232538266651E-2</v>
      </c>
      <c r="K25" s="45">
        <f t="shared" si="9"/>
        <v>5.7142857142857141E-2</v>
      </c>
      <c r="L25" s="46">
        <f t="shared" si="10"/>
        <v>0</v>
      </c>
      <c r="M25" s="46">
        <f t="shared" si="11"/>
        <v>0</v>
      </c>
      <c r="N25" s="47">
        <v>0</v>
      </c>
      <c r="O25" s="37">
        <v>0</v>
      </c>
      <c r="P25" s="51">
        <f t="shared" si="13"/>
        <v>0</v>
      </c>
      <c r="Q25" s="49">
        <f t="shared" si="12"/>
        <v>7.946026986506749E-2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23058461.950362053</v>
      </c>
      <c r="E26" s="39">
        <f t="shared" si="1"/>
        <v>19531029.682222221</v>
      </c>
      <c r="F26" s="40" t="s">
        <v>44</v>
      </c>
      <c r="G26" s="41">
        <v>1.7994999999999999</v>
      </c>
      <c r="H26" s="42">
        <v>2.5863639999999997</v>
      </c>
      <c r="I26" s="43">
        <v>2.57</v>
      </c>
      <c r="J26" s="44">
        <f t="shared" si="8"/>
        <v>9.6322504235191814E-2</v>
      </c>
      <c r="K26" s="45">
        <f t="shared" si="9"/>
        <v>8.1587301587301583E-2</v>
      </c>
      <c r="L26" s="46">
        <f t="shared" si="10"/>
        <v>-1.6363999999999823E-2</v>
      </c>
      <c r="M26" s="46">
        <f t="shared" si="11"/>
        <v>-0.63270289874123764</v>
      </c>
      <c r="N26" s="47">
        <v>200</v>
      </c>
      <c r="O26" s="37">
        <v>514</v>
      </c>
      <c r="P26" s="51">
        <f t="shared" si="13"/>
        <v>0</v>
      </c>
      <c r="Q26" s="49">
        <f t="shared" si="12"/>
        <v>0.42817449291469845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27841219.619057614</v>
      </c>
      <c r="E27" s="39">
        <f t="shared" si="1"/>
        <v>23582131.71111111</v>
      </c>
      <c r="F27" s="40" t="s">
        <v>34</v>
      </c>
      <c r="G27" s="41">
        <v>3.1361369999999997</v>
      </c>
      <c r="H27" s="42">
        <v>2.8935289999999996</v>
      </c>
      <c r="I27" s="43">
        <v>2.9</v>
      </c>
      <c r="J27" s="44">
        <f t="shared" si="8"/>
        <v>0.10869076353387404</v>
      </c>
      <c r="K27" s="45">
        <f t="shared" si="9"/>
        <v>9.2063492063492056E-2</v>
      </c>
      <c r="L27" s="46">
        <f t="shared" si="10"/>
        <v>6.4710000000003376E-3</v>
      </c>
      <c r="M27" s="46">
        <f t="shared" si="11"/>
        <v>0.22363694989752436</v>
      </c>
      <c r="N27" s="47">
        <v>200</v>
      </c>
      <c r="O27" s="37">
        <v>580</v>
      </c>
      <c r="P27" s="51">
        <f t="shared" si="13"/>
        <v>0</v>
      </c>
      <c r="Q27" s="49">
        <f t="shared" si="12"/>
        <v>-7.5295498889238477E-2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23789949.658935878</v>
      </c>
      <c r="E28" s="39">
        <f t="shared" si="1"/>
        <v>20150616.026666664</v>
      </c>
      <c r="F28" s="40" t="s">
        <v>44</v>
      </c>
      <c r="G28" s="41">
        <v>0.8</v>
      </c>
      <c r="H28" s="42">
        <v>0.84</v>
      </c>
      <c r="I28" s="43">
        <v>0.84</v>
      </c>
      <c r="J28" s="44">
        <f t="shared" si="8"/>
        <v>3.1482841851191101E-2</v>
      </c>
      <c r="K28" s="45">
        <f t="shared" si="9"/>
        <v>2.6666666666666665E-2</v>
      </c>
      <c r="L28" s="46">
        <f t="shared" si="10"/>
        <v>0</v>
      </c>
      <c r="M28" s="46">
        <f t="shared" si="11"/>
        <v>0</v>
      </c>
      <c r="N28" s="47">
        <v>0</v>
      </c>
      <c r="O28" s="37">
        <v>0</v>
      </c>
      <c r="P28" s="51">
        <f t="shared" si="13"/>
        <v>0</v>
      </c>
      <c r="Q28" s="49">
        <f t="shared" si="12"/>
        <v>4.9999999999999822E-2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94265844.894532472</v>
      </c>
      <c r="E29" s="39">
        <f t="shared" si="1"/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 t="shared" si="8"/>
        <v>0.20988561234127398</v>
      </c>
      <c r="K29" s="45">
        <f t="shared" si="9"/>
        <v>0.17777777777777776</v>
      </c>
      <c r="L29" s="46">
        <f t="shared" si="10"/>
        <v>0</v>
      </c>
      <c r="M29" s="46">
        <f t="shared" si="11"/>
        <v>0</v>
      </c>
      <c r="N29" s="47">
        <v>0</v>
      </c>
      <c r="O29" s="37">
        <v>0</v>
      </c>
      <c r="P29" s="51">
        <f t="shared" si="13"/>
        <v>0</v>
      </c>
      <c r="Q29" s="49">
        <f t="shared" si="12"/>
        <v>8.737864077669899E-2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13554387.072998591</v>
      </c>
      <c r="E31" s="39">
        <f t="shared" si="1"/>
        <v>11480867.059431428</v>
      </c>
      <c r="F31" s="40" t="s">
        <v>39</v>
      </c>
      <c r="G31" s="41">
        <v>1.4</v>
      </c>
      <c r="H31" s="42">
        <v>1.391667</v>
      </c>
      <c r="I31" s="43">
        <v>1.391667</v>
      </c>
      <c r="J31" s="44">
        <f t="shared" si="8"/>
        <v>5.2159085798239961E-2</v>
      </c>
      <c r="K31" s="45">
        <f t="shared" si="9"/>
        <v>4.4179904761904761E-2</v>
      </c>
      <c r="L31" s="46">
        <f t="shared" ref="L31:L45" si="14">I31-H31</f>
        <v>0</v>
      </c>
      <c r="M31" s="46">
        <f t="shared" ref="M31:M45" si="15">((I31-H31)/H31)*100</f>
        <v>0</v>
      </c>
      <c r="N31" s="47">
        <v>0</v>
      </c>
      <c r="O31" s="37">
        <v>0</v>
      </c>
      <c r="P31" s="51">
        <f t="shared" ref="P31:P36" si="16">(R31)/J31</f>
        <v>0</v>
      </c>
      <c r="Q31" s="49">
        <f t="shared" ref="Q31:Q45" si="17">I31/G31-1</f>
        <v>-5.9521428571428503E-3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3887570.6302565099</v>
      </c>
      <c r="E32" s="39">
        <f t="shared" si="1"/>
        <v>3292858.7142857141</v>
      </c>
      <c r="F32" s="40" t="s">
        <v>39</v>
      </c>
      <c r="G32" s="41">
        <v>0.65</v>
      </c>
      <c r="H32" s="42">
        <v>0.85</v>
      </c>
      <c r="I32" s="43">
        <v>0.85</v>
      </c>
      <c r="J32" s="44">
        <f t="shared" si="8"/>
        <v>3.1857637587514802E-2</v>
      </c>
      <c r="K32" s="45">
        <f t="shared" si="9"/>
        <v>2.6984126984126982E-2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0.30769230769230771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135488744.66068891</v>
      </c>
      <c r="E33" s="39">
        <f t="shared" si="1"/>
        <v>114761977.58859596</v>
      </c>
      <c r="F33" s="40" t="s">
        <v>92</v>
      </c>
      <c r="G33" s="41">
        <v>1.44</v>
      </c>
      <c r="H33" s="42">
        <v>1.4</v>
      </c>
      <c r="I33" s="43">
        <v>1.4486109999999999</v>
      </c>
      <c r="J33" s="44">
        <f t="shared" si="8"/>
        <v>5.4293322639161652E-2</v>
      </c>
      <c r="K33" s="45">
        <f t="shared" si="9"/>
        <v>4.5987650793650789E-2</v>
      </c>
      <c r="L33" s="46">
        <f t="shared" si="14"/>
        <v>4.861099999999996E-2</v>
      </c>
      <c r="M33" s="46">
        <f t="shared" si="15"/>
        <v>3.4722142857142835</v>
      </c>
      <c r="N33" s="47">
        <v>10800</v>
      </c>
      <c r="O33" s="37">
        <v>15645</v>
      </c>
      <c r="P33" s="51">
        <f t="shared" si="16"/>
        <v>0</v>
      </c>
      <c r="Q33" s="49">
        <f t="shared" si="17"/>
        <v>5.97986111111104E-3</v>
      </c>
      <c r="R33" s="50"/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44215301.596727952</v>
      </c>
      <c r="E34" s="39">
        <f t="shared" si="1"/>
        <v>37451343.014686286</v>
      </c>
      <c r="F34" s="40" t="s">
        <v>34</v>
      </c>
      <c r="G34" s="41">
        <v>3.6056249999999999</v>
      </c>
      <c r="H34" s="42">
        <v>4.5</v>
      </c>
      <c r="I34" s="43">
        <v>4.6538459999999997</v>
      </c>
      <c r="J34" s="44">
        <f t="shared" si="8"/>
        <v>0.17442416383071224</v>
      </c>
      <c r="K34" s="45">
        <f t="shared" si="9"/>
        <v>0.14774114285714285</v>
      </c>
      <c r="L34" s="46">
        <f t="shared" si="14"/>
        <v>0.15384599999999971</v>
      </c>
      <c r="M34" s="46">
        <f t="shared" si="15"/>
        <v>3.4187999999999934</v>
      </c>
      <c r="N34" s="47">
        <v>1300</v>
      </c>
      <c r="O34" s="37">
        <v>6050</v>
      </c>
      <c r="P34" s="51">
        <f t="shared" si="16"/>
        <v>0</v>
      </c>
      <c r="Q34" s="49">
        <f t="shared" si="17"/>
        <v>0.29071825273010909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7051101.6683807326</v>
      </c>
      <c r="E35" s="39">
        <f t="shared" si="1"/>
        <v>5972439.804266667</v>
      </c>
      <c r="F35" s="40" t="s">
        <v>34</v>
      </c>
      <c r="G35" s="41">
        <v>2.5099999999999997E-2</v>
      </c>
      <c r="H35" s="42">
        <v>3.9981000000000003E-2</v>
      </c>
      <c r="I35" s="43">
        <v>3.9900000000000005E-2</v>
      </c>
      <c r="J35" s="44">
        <f t="shared" si="8"/>
        <v>1.4954349879315774E-3</v>
      </c>
      <c r="K35" s="45">
        <f t="shared" si="9"/>
        <v>1.2666666666666668E-3</v>
      </c>
      <c r="L35" s="46">
        <f t="shared" si="14"/>
        <v>-8.099999999999774E-5</v>
      </c>
      <c r="M35" s="46">
        <f t="shared" si="15"/>
        <v>-0.20259623321076947</v>
      </c>
      <c r="N35" s="47">
        <v>1300</v>
      </c>
      <c r="O35" s="37">
        <v>51.87</v>
      </c>
      <c r="P35" s="51">
        <f t="shared" si="16"/>
        <v>0</v>
      </c>
      <c r="Q35" s="49">
        <f t="shared" si="17"/>
        <v>0.58964143426294857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64647897.395864464</v>
      </c>
      <c r="E36" s="39">
        <f t="shared" si="1"/>
        <v>54758205.714239337</v>
      </c>
      <c r="F36" s="40" t="s">
        <v>92</v>
      </c>
      <c r="G36" s="41">
        <v>0.61</v>
      </c>
      <c r="H36" s="42">
        <v>3.8</v>
      </c>
      <c r="I36" s="43">
        <v>3.284923</v>
      </c>
      <c r="J36" s="44">
        <f t="shared" si="8"/>
        <v>0.12311751345516693</v>
      </c>
      <c r="K36" s="45">
        <f t="shared" si="9"/>
        <v>0.10428326984126984</v>
      </c>
      <c r="L36" s="46">
        <f t="shared" si="14"/>
        <v>-0.51507699999999979</v>
      </c>
      <c r="M36" s="46">
        <f t="shared" si="15"/>
        <v>-13.554657894736838</v>
      </c>
      <c r="N36" s="47">
        <v>123500</v>
      </c>
      <c r="O36" s="37">
        <v>405688</v>
      </c>
      <c r="P36" s="51">
        <f t="shared" si="16"/>
        <v>0</v>
      </c>
      <c r="Q36" s="49">
        <f t="shared" si="17"/>
        <v>4.3851196721311476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47244538.194025345</v>
      </c>
      <c r="E37" s="39">
        <f t="shared" si="1"/>
        <v>40017173.728966005</v>
      </c>
      <c r="F37" s="40" t="s">
        <v>56</v>
      </c>
      <c r="G37" s="41">
        <v>0.11650199999999999</v>
      </c>
      <c r="H37" s="42">
        <v>0.30050100000000002</v>
      </c>
      <c r="I37" s="43">
        <v>0.30050100000000002</v>
      </c>
      <c r="J37" s="44">
        <f t="shared" si="8"/>
        <v>1.1262649356100926E-2</v>
      </c>
      <c r="K37" s="45">
        <f t="shared" si="9"/>
        <v>9.5397142857142868E-3</v>
      </c>
      <c r="L37" s="46">
        <f t="shared" si="14"/>
        <v>0</v>
      </c>
      <c r="M37" s="46">
        <f t="shared" si="15"/>
        <v>0</v>
      </c>
      <c r="N37" s="47">
        <v>0</v>
      </c>
      <c r="O37" s="37">
        <v>0</v>
      </c>
      <c r="P37" s="51">
        <v>0</v>
      </c>
      <c r="Q37" s="49">
        <f t="shared" si="17"/>
        <v>1.5793634444043883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20218948.637055304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4.684946704046295E-3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7183096.2100655148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6.7463232538266651E-2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3489737.2974792733</v>
      </c>
      <c r="E40" s="39">
        <f t="shared" si="1"/>
        <v>2955885.0406826665</v>
      </c>
      <c r="F40" s="40" t="s">
        <v>39</v>
      </c>
      <c r="G40" s="41">
        <v>0.03</v>
      </c>
      <c r="H40" s="42">
        <v>5.7701000000000002E-2</v>
      </c>
      <c r="I40" s="43">
        <v>5.2367999999999998E-2</v>
      </c>
      <c r="J40" s="44">
        <f t="shared" si="8"/>
        <v>1.9627303119799707E-3</v>
      </c>
      <c r="K40" s="45">
        <f t="shared" si="9"/>
        <v>1.6624761904761903E-3</v>
      </c>
      <c r="L40" s="46">
        <f t="shared" si="14"/>
        <v>-5.3330000000000044E-3</v>
      </c>
      <c r="M40" s="46">
        <f t="shared" si="15"/>
        <v>-9.2424741338971668</v>
      </c>
      <c r="N40" s="47">
        <v>190000</v>
      </c>
      <c r="O40" s="37">
        <v>9950</v>
      </c>
      <c r="P40" s="51">
        <f t="shared" si="18"/>
        <v>0</v>
      </c>
      <c r="Q40" s="49">
        <f t="shared" si="17"/>
        <v>0.74560000000000004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45371547.614799939</v>
      </c>
      <c r="E41" s="39">
        <f t="shared" si="1"/>
        <v>38430709.086349212</v>
      </c>
      <c r="F41" s="40" t="s">
        <v>47</v>
      </c>
      <c r="G41" s="41">
        <v>4.5</v>
      </c>
      <c r="H41" s="42">
        <v>6.91</v>
      </c>
      <c r="I41" s="43">
        <v>6.91</v>
      </c>
      <c r="J41" s="44">
        <f t="shared" si="8"/>
        <v>0.2589838537996792</v>
      </c>
      <c r="K41" s="45">
        <f t="shared" si="9"/>
        <v>0.21936507936507937</v>
      </c>
      <c r="L41" s="46">
        <f t="shared" si="14"/>
        <v>0</v>
      </c>
      <c r="M41" s="46">
        <f t="shared" si="15"/>
        <v>0</v>
      </c>
      <c r="N41" s="47">
        <v>0</v>
      </c>
      <c r="O41" s="37">
        <v>0</v>
      </c>
      <c r="P41" s="51">
        <f t="shared" si="18"/>
        <v>0</v>
      </c>
      <c r="Q41" s="49">
        <f t="shared" si="17"/>
        <v>0.53555555555555556</v>
      </c>
      <c r="R41" s="50">
        <v>0</v>
      </c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312.58256367779558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6.7463232538266642E-7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1727058.7529796262</v>
      </c>
      <c r="E43" s="39">
        <f t="shared" si="1"/>
        <v>1462857.142857143</v>
      </c>
      <c r="F43" s="40" t="s">
        <v>56</v>
      </c>
      <c r="G43" s="41">
        <v>7.0000000000000007E-2</v>
      </c>
      <c r="H43" s="42">
        <v>0.08</v>
      </c>
      <c r="I43" s="43">
        <v>0.08</v>
      </c>
      <c r="J43" s="44">
        <f t="shared" si="8"/>
        <v>2.9983658905896288E-3</v>
      </c>
      <c r="K43" s="45">
        <f t="shared" si="9"/>
        <v>2.5396825396825397E-3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0.14285714285714279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63494823.358033217</v>
      </c>
      <c r="E44" s="39">
        <f t="shared" si="1"/>
        <v>53781526.38032876</v>
      </c>
      <c r="F44" s="40" t="s">
        <v>47</v>
      </c>
      <c r="G44" s="41">
        <v>0.9998999999999999</v>
      </c>
      <c r="H44" s="42">
        <v>0.93174599999999996</v>
      </c>
      <c r="I44" s="43">
        <v>0.93174599999999996</v>
      </c>
      <c r="J44" s="44">
        <f t="shared" si="8"/>
        <v>3.4921442813666548E-2</v>
      </c>
      <c r="K44" s="45">
        <f t="shared" si="9"/>
        <v>2.9579238095238092E-2</v>
      </c>
      <c r="L44" s="46">
        <f t="shared" si="14"/>
        <v>0</v>
      </c>
      <c r="M44" s="46">
        <f t="shared" si="15"/>
        <v>0</v>
      </c>
      <c r="N44" s="47">
        <v>0</v>
      </c>
      <c r="O44" s="37">
        <v>0</v>
      </c>
      <c r="P44" s="51">
        <f t="shared" si="18"/>
        <v>0</v>
      </c>
      <c r="Q44" s="49">
        <f t="shared" si="17"/>
        <v>-6.8160816081608067E-2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5774432.1844594693</v>
      </c>
      <c r="E45" s="39">
        <f t="shared" si="1"/>
        <v>4891072.3809523806</v>
      </c>
      <c r="F45" s="40" t="s">
        <v>47</v>
      </c>
      <c r="G45" s="41">
        <v>1.4503460000000001</v>
      </c>
      <c r="H45" s="42">
        <v>1.5</v>
      </c>
      <c r="I45" s="43">
        <v>1.5</v>
      </c>
      <c r="J45" s="44">
        <f t="shared" si="8"/>
        <v>5.6219360448555536E-2</v>
      </c>
      <c r="K45" s="45">
        <f t="shared" si="9"/>
        <v>4.7619047619047616E-2</v>
      </c>
      <c r="L45" s="46">
        <f t="shared" si="14"/>
        <v>0</v>
      </c>
      <c r="M45" s="46">
        <f t="shared" si="15"/>
        <v>0</v>
      </c>
      <c r="N45" s="47">
        <v>100</v>
      </c>
      <c r="O45" s="37">
        <v>150</v>
      </c>
      <c r="P45" s="51">
        <v>0</v>
      </c>
      <c r="Q45" s="49">
        <f t="shared" si="17"/>
        <v>3.4235968520615057E-2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417500</v>
      </c>
      <c r="O47" s="61">
        <f>SUM(O9:O46)</f>
        <v>1475978.6400000001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0" t="s">
        <v>118</v>
      </c>
      <c r="B49" s="131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4" si="19">C50*J50</f>
        <v>80463444.659999996</v>
      </c>
      <c r="E50" s="39">
        <v>0</v>
      </c>
      <c r="F50" s="40" t="s">
        <v>92</v>
      </c>
      <c r="G50" s="70">
        <v>0.1</v>
      </c>
      <c r="H50" s="42">
        <v>0.14280000000000001</v>
      </c>
      <c r="I50" s="42">
        <v>0.14499999999999999</v>
      </c>
      <c r="J50" s="44">
        <f t="shared" ref="J50:J64" si="20">I50</f>
        <v>0.14499999999999999</v>
      </c>
      <c r="K50" s="39">
        <v>0</v>
      </c>
      <c r="L50" s="46">
        <f t="shared" ref="L50:L64" si="21">I50-H50</f>
        <v>2.1999999999999797E-3</v>
      </c>
      <c r="M50" s="46">
        <f t="shared" ref="M50:M64" si="22">((I50-H50)/H50)*100</f>
        <v>1.5406162464985851</v>
      </c>
      <c r="N50" s="47">
        <v>81809</v>
      </c>
      <c r="O50" s="37">
        <v>11860.32</v>
      </c>
      <c r="P50" s="71">
        <f>(R50)/J50</f>
        <v>0</v>
      </c>
      <c r="Q50" s="49">
        <f t="shared" ref="Q50:Q64" si="23">J50/G50-1</f>
        <v>0.44999999999999973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44898728.25</v>
      </c>
      <c r="E51" s="39">
        <v>0</v>
      </c>
      <c r="F51" s="40" t="s">
        <v>39</v>
      </c>
      <c r="G51" s="70">
        <v>39.9</v>
      </c>
      <c r="H51" s="42">
        <v>42.438499999999998</v>
      </c>
      <c r="I51" s="42">
        <v>42.45</v>
      </c>
      <c r="J51" s="44">
        <f t="shared" si="20"/>
        <v>42.45</v>
      </c>
      <c r="K51" s="39">
        <v>0</v>
      </c>
      <c r="L51" s="46">
        <f t="shared" si="21"/>
        <v>1.1500000000005173E-2</v>
      </c>
      <c r="M51" s="46">
        <f t="shared" si="22"/>
        <v>2.709803598149127E-2</v>
      </c>
      <c r="N51" s="47">
        <v>21</v>
      </c>
      <c r="O51" s="37">
        <v>891.45</v>
      </c>
      <c r="P51" s="72">
        <f>(R51)/J51</f>
        <v>1.3191990577149587E-2</v>
      </c>
      <c r="Q51" s="49">
        <f t="shared" si="23"/>
        <v>6.3909774436090361E-2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680118696.04190004</v>
      </c>
      <c r="E52" s="39"/>
      <c r="F52" s="40" t="s">
        <v>56</v>
      </c>
      <c r="G52" s="70">
        <v>0.33</v>
      </c>
      <c r="H52" s="42">
        <v>0.2283</v>
      </c>
      <c r="I52" s="42">
        <v>0.2273</v>
      </c>
      <c r="J52" s="44">
        <f t="shared" si="20"/>
        <v>0.2273</v>
      </c>
      <c r="K52" s="39">
        <v>0</v>
      </c>
      <c r="L52" s="46">
        <f t="shared" si="21"/>
        <v>-1.0000000000000009E-3</v>
      </c>
      <c r="M52" s="46">
        <f t="shared" si="22"/>
        <v>-0.43802014892685104</v>
      </c>
      <c r="N52" s="47">
        <v>38339</v>
      </c>
      <c r="O52" s="37">
        <v>8713.23</v>
      </c>
      <c r="P52" s="71">
        <v>0</v>
      </c>
      <c r="Q52" s="49">
        <f t="shared" si="23"/>
        <v>-0.31121212121212127</v>
      </c>
      <c r="R52" s="52"/>
      <c r="T52" s="52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17682487.346999999</v>
      </c>
      <c r="E53" s="39">
        <v>0</v>
      </c>
      <c r="F53" s="40" t="s">
        <v>34</v>
      </c>
      <c r="G53" s="70">
        <v>2.3E-2</v>
      </c>
      <c r="H53" s="42">
        <v>2.5100000000000001E-2</v>
      </c>
      <c r="I53" s="42">
        <v>2.9000000000000001E-2</v>
      </c>
      <c r="J53" s="44">
        <f t="shared" si="20"/>
        <v>2.9000000000000001E-2</v>
      </c>
      <c r="K53" s="39">
        <v>0</v>
      </c>
      <c r="L53" s="46">
        <f t="shared" si="21"/>
        <v>3.9000000000000007E-3</v>
      </c>
      <c r="M53" s="46">
        <f t="shared" si="22"/>
        <v>15.537848605577691</v>
      </c>
      <c r="N53" s="47">
        <v>320</v>
      </c>
      <c r="O53" s="37">
        <v>9.2799999999999994</v>
      </c>
      <c r="P53" s="71">
        <f t="shared" ref="P53:P64" si="24">(R53)/J53</f>
        <v>0</v>
      </c>
      <c r="Q53" s="49">
        <f t="shared" si="23"/>
        <v>0.26086956521739135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323755580.57129997</v>
      </c>
      <c r="E54" s="39">
        <v>0</v>
      </c>
      <c r="F54" s="40" t="s">
        <v>47</v>
      </c>
      <c r="G54" s="70">
        <v>9.0200000000000002E-2</v>
      </c>
      <c r="H54" s="42">
        <v>0.13650000000000001</v>
      </c>
      <c r="I54" s="42">
        <v>0.1497</v>
      </c>
      <c r="J54" s="44">
        <f t="shared" si="20"/>
        <v>0.1497</v>
      </c>
      <c r="K54" s="39">
        <v>0</v>
      </c>
      <c r="L54" s="46">
        <f t="shared" si="21"/>
        <v>1.319999999999999E-2</v>
      </c>
      <c r="M54" s="73">
        <f t="shared" si="22"/>
        <v>9.6703296703296626</v>
      </c>
      <c r="N54" s="47">
        <v>324786</v>
      </c>
      <c r="O54" s="37">
        <v>48608.3</v>
      </c>
      <c r="P54" s="71">
        <f t="shared" si="24"/>
        <v>0</v>
      </c>
      <c r="Q54" s="49">
        <f t="shared" si="23"/>
        <v>0.65964523281596454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829334088</v>
      </c>
      <c r="E55" s="39">
        <v>0</v>
      </c>
      <c r="F55" s="40" t="s">
        <v>34</v>
      </c>
      <c r="G55" s="70">
        <v>0.95750000000000002</v>
      </c>
      <c r="H55" s="42">
        <v>1.4502999999999999</v>
      </c>
      <c r="I55" s="42">
        <v>1.44</v>
      </c>
      <c r="J55" s="44">
        <f t="shared" si="20"/>
        <v>1.44</v>
      </c>
      <c r="K55" s="39">
        <v>0</v>
      </c>
      <c r="L55" s="46">
        <f t="shared" si="21"/>
        <v>-1.0299999999999976E-2</v>
      </c>
      <c r="M55" s="46">
        <f t="shared" si="22"/>
        <v>-0.71019789009170353</v>
      </c>
      <c r="N55" s="47">
        <v>71869</v>
      </c>
      <c r="O55" s="37">
        <v>103494.91</v>
      </c>
      <c r="P55" s="72">
        <f t="shared" si="24"/>
        <v>3.2638888888888891E-2</v>
      </c>
      <c r="Q55" s="49">
        <f t="shared" si="23"/>
        <v>0.50391644908616184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0</v>
      </c>
      <c r="O56" s="37">
        <v>0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19076056</v>
      </c>
      <c r="E57" s="39">
        <v>0</v>
      </c>
      <c r="F57" s="40" t="s">
        <v>92</v>
      </c>
      <c r="G57" s="70">
        <v>1.6799999999999999E-2</v>
      </c>
      <c r="H57" s="42">
        <v>1.84E-2</v>
      </c>
      <c r="I57" s="42">
        <v>0.02</v>
      </c>
      <c r="J57" s="44">
        <f t="shared" si="20"/>
        <v>0.02</v>
      </c>
      <c r="K57" s="39">
        <v>0</v>
      </c>
      <c r="L57" s="46">
        <f t="shared" si="21"/>
        <v>1.6000000000000007E-3</v>
      </c>
      <c r="M57" s="73">
        <f t="shared" si="22"/>
        <v>8.6956521739130466</v>
      </c>
      <c r="N57" s="47">
        <v>50800</v>
      </c>
      <c r="O57" s="37">
        <v>1016</v>
      </c>
      <c r="P57" s="71">
        <f t="shared" si="24"/>
        <v>0</v>
      </c>
      <c r="Q57" s="49">
        <f t="shared" si="23"/>
        <v>0.19047619047619047</v>
      </c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2661004.5</v>
      </c>
      <c r="E58" s="39">
        <v>0</v>
      </c>
      <c r="F58" s="40" t="s">
        <v>137</v>
      </c>
      <c r="G58" s="70">
        <v>19.5</v>
      </c>
      <c r="H58" s="42">
        <v>18</v>
      </c>
      <c r="I58" s="42">
        <v>16.5</v>
      </c>
      <c r="J58" s="44">
        <f t="shared" si="20"/>
        <v>16.5</v>
      </c>
      <c r="K58" s="39">
        <v>0</v>
      </c>
      <c r="L58" s="46">
        <f t="shared" si="21"/>
        <v>-1.5</v>
      </c>
      <c r="M58" s="46">
        <f t="shared" si="22"/>
        <v>-8.3333333333333321</v>
      </c>
      <c r="N58" s="47">
        <v>2</v>
      </c>
      <c r="O58" s="37">
        <v>33</v>
      </c>
      <c r="P58" s="71">
        <f t="shared" si="24"/>
        <v>0</v>
      </c>
      <c r="Q58" s="49">
        <f t="shared" si="23"/>
        <v>-0.15384615384615385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805090451</v>
      </c>
      <c r="D59" s="38">
        <f t="shared" si="19"/>
        <v>1009744443.6442</v>
      </c>
      <c r="E59" s="39">
        <v>0</v>
      </c>
      <c r="F59" s="40" t="s">
        <v>92</v>
      </c>
      <c r="G59" s="70">
        <v>0.59499999999999997</v>
      </c>
      <c r="H59" s="42">
        <v>1.2217</v>
      </c>
      <c r="I59" s="42">
        <v>1.2542</v>
      </c>
      <c r="J59" s="44">
        <f t="shared" si="20"/>
        <v>1.2542</v>
      </c>
      <c r="K59" s="39">
        <v>0</v>
      </c>
      <c r="L59" s="46">
        <f t="shared" si="21"/>
        <v>3.2499999999999973E-2</v>
      </c>
      <c r="M59" s="46">
        <f t="shared" si="22"/>
        <v>2.6602275517721186</v>
      </c>
      <c r="N59" s="47">
        <v>214123</v>
      </c>
      <c r="O59" s="37">
        <v>268558.57</v>
      </c>
      <c r="P59" s="71">
        <f t="shared" si="24"/>
        <v>0</v>
      </c>
      <c r="Q59" s="49">
        <f t="shared" si="23"/>
        <v>1.1078991596638654</v>
      </c>
      <c r="R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260714518</v>
      </c>
      <c r="D60" s="38">
        <f t="shared" si="19"/>
        <v>91145795.492800012</v>
      </c>
      <c r="E60" s="39">
        <v>0</v>
      </c>
      <c r="F60" s="40" t="s">
        <v>34</v>
      </c>
      <c r="G60" s="70">
        <v>0.22600000000000001</v>
      </c>
      <c r="H60" s="42">
        <v>0.39750000000000002</v>
      </c>
      <c r="I60" s="42">
        <v>0.34960000000000002</v>
      </c>
      <c r="J60" s="44">
        <f t="shared" si="20"/>
        <v>0.34960000000000002</v>
      </c>
      <c r="K60" s="39">
        <v>0</v>
      </c>
      <c r="L60" s="46">
        <f t="shared" si="21"/>
        <v>-4.7899999999999998E-2</v>
      </c>
      <c r="M60" s="46">
        <f t="shared" si="22"/>
        <v>-12.050314465408803</v>
      </c>
      <c r="N60" s="47">
        <v>3835</v>
      </c>
      <c r="O60" s="37">
        <v>1340.76</v>
      </c>
      <c r="P60" s="71">
        <f t="shared" si="24"/>
        <v>0</v>
      </c>
      <c r="Q60" s="49">
        <f t="shared" si="23"/>
        <v>0.54690265486725664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562184788</v>
      </c>
      <c r="D61" s="38">
        <f t="shared" si="19"/>
        <v>373290699.23199999</v>
      </c>
      <c r="E61" s="39">
        <v>0</v>
      </c>
      <c r="F61" s="40" t="s">
        <v>34</v>
      </c>
      <c r="G61" s="70">
        <v>0.49440000000000001</v>
      </c>
      <c r="H61" s="42">
        <v>0.70489999999999997</v>
      </c>
      <c r="I61" s="42">
        <v>0.66400000000000003</v>
      </c>
      <c r="J61" s="44">
        <f t="shared" si="20"/>
        <v>0.66400000000000003</v>
      </c>
      <c r="K61" s="39">
        <v>0</v>
      </c>
      <c r="L61" s="46">
        <f t="shared" si="21"/>
        <v>-4.0899999999999936E-2</v>
      </c>
      <c r="M61" s="46">
        <f t="shared" si="22"/>
        <v>-5.8022414526883157</v>
      </c>
      <c r="N61" s="47">
        <v>133687</v>
      </c>
      <c r="O61" s="37">
        <v>88773.119999999995</v>
      </c>
      <c r="P61" s="71">
        <f t="shared" si="24"/>
        <v>0</v>
      </c>
      <c r="Q61" s="49">
        <f t="shared" si="23"/>
        <v>0.34304207119741115</v>
      </c>
      <c r="R61" s="52"/>
      <c r="T61" s="52"/>
    </row>
    <row r="62" spans="1:20" ht="12" customHeight="1" x14ac:dyDescent="0.25">
      <c r="A62" s="35" t="s">
        <v>144</v>
      </c>
      <c r="B62" s="36" t="s">
        <v>145</v>
      </c>
      <c r="C62" s="40">
        <v>364526035</v>
      </c>
      <c r="D62" s="38">
        <f t="shared" si="19"/>
        <v>87486248.399999991</v>
      </c>
      <c r="E62" s="39">
        <v>0</v>
      </c>
      <c r="F62" s="40" t="s">
        <v>34</v>
      </c>
      <c r="G62" s="70">
        <v>0.25950000000000001</v>
      </c>
      <c r="H62" s="42">
        <v>0.25</v>
      </c>
      <c r="I62" s="42">
        <v>0.24</v>
      </c>
      <c r="J62" s="44">
        <f t="shared" si="20"/>
        <v>0.24</v>
      </c>
      <c r="K62" s="39">
        <v>0</v>
      </c>
      <c r="L62" s="46">
        <f t="shared" si="21"/>
        <v>-1.0000000000000009E-2</v>
      </c>
      <c r="M62" s="46">
        <f t="shared" si="22"/>
        <v>-4.0000000000000036</v>
      </c>
      <c r="N62" s="47">
        <v>416</v>
      </c>
      <c r="O62" s="37">
        <v>99.84</v>
      </c>
      <c r="P62" s="71">
        <f t="shared" si="24"/>
        <v>0</v>
      </c>
      <c r="Q62" s="49">
        <f t="shared" si="23"/>
        <v>-7.5144508670520249E-2</v>
      </c>
      <c r="R62" s="52"/>
      <c r="T62" s="52"/>
    </row>
    <row r="63" spans="1:20" x14ac:dyDescent="0.25">
      <c r="A63" s="35" t="s">
        <v>146</v>
      </c>
      <c r="B63" s="36" t="s">
        <v>147</v>
      </c>
      <c r="C63" s="40">
        <v>30000000</v>
      </c>
      <c r="D63" s="38">
        <f t="shared" si="19"/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 t="shared" si="20"/>
        <v>10</v>
      </c>
      <c r="K63" s="39">
        <v>0</v>
      </c>
      <c r="L63" s="46">
        <f t="shared" si="21"/>
        <v>0</v>
      </c>
      <c r="M63" s="46">
        <f t="shared" si="22"/>
        <v>0</v>
      </c>
      <c r="N63" s="47">
        <v>0</v>
      </c>
      <c r="O63" s="37">
        <v>0</v>
      </c>
      <c r="P63" s="71">
        <f t="shared" si="24"/>
        <v>0</v>
      </c>
      <c r="Q63" s="49">
        <f t="shared" si="23"/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 t="shared" si="19"/>
        <v>36422157.370200001</v>
      </c>
      <c r="E64" s="39">
        <v>0</v>
      </c>
      <c r="F64" s="40" t="s">
        <v>44</v>
      </c>
      <c r="G64" s="70">
        <v>4.2999999999999997E-2</v>
      </c>
      <c r="H64" s="42">
        <v>0.11</v>
      </c>
      <c r="I64" s="42">
        <v>0.1057</v>
      </c>
      <c r="J64" s="44">
        <f t="shared" si="20"/>
        <v>0.1057</v>
      </c>
      <c r="K64" s="39">
        <v>0</v>
      </c>
      <c r="L64" s="46">
        <f t="shared" si="21"/>
        <v>-4.2999999999999983E-3</v>
      </c>
      <c r="M64" s="46">
        <f t="shared" si="22"/>
        <v>-3.9090909090909074</v>
      </c>
      <c r="N64" s="47">
        <v>10797</v>
      </c>
      <c r="O64" s="37">
        <v>1141.1400000000001</v>
      </c>
      <c r="P64" s="71">
        <f t="shared" si="24"/>
        <v>0</v>
      </c>
      <c r="Q64" s="49">
        <f t="shared" si="23"/>
        <v>1.4581395348837214</v>
      </c>
      <c r="T64" s="52"/>
    </row>
    <row r="65" spans="1:20" ht="13.2" x14ac:dyDescent="0.35">
      <c r="A65" s="74"/>
      <c r="B65" s="36" t="s">
        <v>117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930804</v>
      </c>
      <c r="O65" s="62">
        <f>SUM(O50:O64)</f>
        <v>534539.91999999993</v>
      </c>
      <c r="P65" s="77"/>
      <c r="Q65" s="63"/>
    </row>
    <row r="66" spans="1:20" ht="12.6" hidden="1" x14ac:dyDescent="0.3">
      <c r="A66" s="134" t="s">
        <v>150</v>
      </c>
      <c r="B66" s="135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7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117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4" t="s">
        <v>154</v>
      </c>
      <c r="B69" s="135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7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52934223.060000002</v>
      </c>
      <c r="E70" s="39">
        <f>C70*K70</f>
        <v>52934223.060000002</v>
      </c>
      <c r="F70" s="89" t="s">
        <v>157</v>
      </c>
      <c r="G70" s="89">
        <v>0.24</v>
      </c>
      <c r="H70" s="90">
        <v>0.37680000000000002</v>
      </c>
      <c r="I70" s="90">
        <v>0.38</v>
      </c>
      <c r="J70" s="91">
        <f>I70</f>
        <v>0.38</v>
      </c>
      <c r="K70" s="91">
        <f>J70</f>
        <v>0.38</v>
      </c>
      <c r="L70" s="46">
        <f>I70-H70</f>
        <v>3.1999999999999806E-3</v>
      </c>
      <c r="M70" s="46">
        <f>((I70-H70)/H70)*100</f>
        <v>0.84925690021230904</v>
      </c>
      <c r="N70" s="92">
        <v>176</v>
      </c>
      <c r="O70" s="93">
        <v>66.88</v>
      </c>
      <c r="P70" s="71">
        <f>(R70)/J70</f>
        <v>0</v>
      </c>
      <c r="Q70" s="49">
        <f>J70/G70-1</f>
        <v>0.58333333333333348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70514221.800000012</v>
      </c>
      <c r="E71" s="39">
        <f>C71*K71</f>
        <v>70514221.800000012</v>
      </c>
      <c r="F71" s="89" t="s">
        <v>157</v>
      </c>
      <c r="G71" s="89">
        <v>0.1</v>
      </c>
      <c r="H71" s="90">
        <v>0.14760000000000001</v>
      </c>
      <c r="I71" s="90">
        <v>0.14960000000000001</v>
      </c>
      <c r="J71" s="91">
        <f>I71</f>
        <v>0.14960000000000001</v>
      </c>
      <c r="K71" s="91">
        <f>J71</f>
        <v>0.14960000000000001</v>
      </c>
      <c r="L71" s="46">
        <f>I71-H71</f>
        <v>2.0000000000000018E-3</v>
      </c>
      <c r="M71" s="46">
        <f>((I71-H71)/H71)*100</f>
        <v>1.3550135501355025</v>
      </c>
      <c r="N71" s="47">
        <v>4265</v>
      </c>
      <c r="O71" s="93">
        <v>638.25</v>
      </c>
      <c r="P71" s="94">
        <f>(R71)/J71</f>
        <v>2.5347593582887698E-2</v>
      </c>
      <c r="Q71" s="49">
        <f>J71/G71-1</f>
        <v>0.496</v>
      </c>
      <c r="R71" s="5">
        <v>3.7919999999999998E-3</v>
      </c>
      <c r="T71" s="52"/>
    </row>
    <row r="72" spans="1:20" ht="13.8" thickBot="1" x14ac:dyDescent="0.4">
      <c r="A72" s="35"/>
      <c r="B72" s="36" t="s">
        <v>117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4441</v>
      </c>
      <c r="O72" s="62">
        <f>SUM(O70:O71)</f>
        <v>705.13</v>
      </c>
      <c r="P72" s="87"/>
      <c r="Q72" s="63"/>
    </row>
    <row r="73" spans="1:20" ht="12.6" x14ac:dyDescent="0.3">
      <c r="A73" s="134" t="s">
        <v>160</v>
      </c>
      <c r="B73" s="135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7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2639937.3259999999</v>
      </c>
      <c r="E74" s="39">
        <f>C74*K74</f>
        <v>2639937.3259999999</v>
      </c>
      <c r="F74" s="89" t="s">
        <v>137</v>
      </c>
      <c r="G74" s="89">
        <v>0.1394</v>
      </c>
      <c r="H74" s="90">
        <v>0.12770000000000001</v>
      </c>
      <c r="I74" s="90">
        <v>0.1268</v>
      </c>
      <c r="J74" s="91">
        <f>I74</f>
        <v>0.1268</v>
      </c>
      <c r="K74" s="91">
        <f>J74</f>
        <v>0.1268</v>
      </c>
      <c r="L74" s="46">
        <f>I74-H74</f>
        <v>-9.000000000000119E-4</v>
      </c>
      <c r="M74" s="46">
        <f>((I74-H74)/H74)*100</f>
        <v>-0.7047768206734627</v>
      </c>
      <c r="N74" s="92">
        <v>4990</v>
      </c>
      <c r="O74" s="93">
        <v>632.97</v>
      </c>
      <c r="P74" s="71">
        <f>(R74)/J74</f>
        <v>0</v>
      </c>
      <c r="Q74" s="49">
        <f>J74/G74-1</f>
        <v>-9.0387374461979864E-2</v>
      </c>
    </row>
    <row r="75" spans="1:20" ht="13.2" x14ac:dyDescent="0.35">
      <c r="A75" s="35"/>
      <c r="B75" s="36" t="s">
        <v>117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30" t="s">
        <v>163</v>
      </c>
      <c r="B76" s="131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3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106940.10876572267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3.373161626913332E-3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-0.1428571428571429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395520.72306178138</v>
      </c>
      <c r="E78" s="39">
        <f>C78*K78</f>
        <v>335014.84178273019</v>
      </c>
      <c r="F78" s="40" t="s">
        <v>137</v>
      </c>
      <c r="G78" s="70">
        <v>4.2500000000000003E-2</v>
      </c>
      <c r="H78" s="42">
        <v>7.7503000000000002E-2</v>
      </c>
      <c r="I78" s="42">
        <v>7.7503000000000002E-2</v>
      </c>
      <c r="J78" s="44">
        <f>I78/$J$5</f>
        <v>2.9047793952296E-3</v>
      </c>
      <c r="K78" s="45">
        <f>I78/$K$4</f>
        <v>2.4604126984126987E-3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0.82359999999999989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32536.800818553889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4.872344572208147E-3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1.1487603305785123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28722357.690058917</v>
      </c>
      <c r="E80" s="39">
        <f>C80*K80</f>
        <v>24328475.238095239</v>
      </c>
      <c r="F80" s="40" t="s">
        <v>137</v>
      </c>
      <c r="G80" s="70">
        <v>1.85</v>
      </c>
      <c r="H80" s="42">
        <v>1.55</v>
      </c>
      <c r="I80" s="42">
        <v>1.55</v>
      </c>
      <c r="J80" s="44">
        <f>I80/$J$5</f>
        <v>5.8093339130174053E-2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5" thickBot="1" x14ac:dyDescent="0.4">
      <c r="A81" s="35"/>
      <c r="B81" s="36" t="s">
        <v>117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0</v>
      </c>
      <c r="O81" s="62">
        <f>SUM(O77:O80)</f>
        <v>0</v>
      </c>
      <c r="P81" s="77"/>
      <c r="Q81" s="63"/>
      <c r="V81" s="96"/>
      <c r="W81" s="96"/>
      <c r="DU81" s="97"/>
      <c r="DV81" s="97"/>
      <c r="DW81" s="98"/>
      <c r="DX81" s="99"/>
      <c r="DY81" s="99"/>
      <c r="DZ81" s="100"/>
      <c r="EA81" s="100"/>
      <c r="EB81" s="101"/>
      <c r="EC81" s="101"/>
      <c r="ED81" s="102"/>
      <c r="EE81" s="102"/>
      <c r="EF81" s="100"/>
      <c r="EG81" s="103"/>
      <c r="EH81" s="104"/>
      <c r="EI81" s="98"/>
      <c r="EJ81" s="97"/>
      <c r="EK81" s="97"/>
      <c r="EL81" s="98"/>
      <c r="EM81" s="99"/>
      <c r="EN81" s="99"/>
      <c r="EO81" s="100"/>
      <c r="EP81" s="100"/>
      <c r="EQ81" s="101"/>
      <c r="ER81" s="101"/>
      <c r="ES81" s="102"/>
      <c r="ET81" s="102"/>
      <c r="EU81" s="100"/>
      <c r="EV81" s="103"/>
      <c r="EW81" s="104"/>
      <c r="EX81" s="98"/>
      <c r="EY81" s="97"/>
      <c r="EZ81" s="97"/>
      <c r="FA81" s="98"/>
      <c r="FB81" s="99"/>
      <c r="FC81" s="99"/>
      <c r="FD81" s="100"/>
      <c r="FE81" s="100"/>
      <c r="FF81" s="101"/>
      <c r="FG81" s="101"/>
      <c r="FH81" s="102"/>
      <c r="FI81" s="102"/>
      <c r="FJ81" s="100"/>
      <c r="FK81" s="103"/>
      <c r="FL81" s="104"/>
      <c r="FM81" s="98"/>
      <c r="FN81" s="97"/>
      <c r="FO81" s="97"/>
      <c r="FP81" s="98"/>
      <c r="FQ81" s="99"/>
      <c r="FR81" s="99"/>
      <c r="FS81" s="100"/>
      <c r="FT81" s="100"/>
      <c r="FU81" s="101"/>
      <c r="FV81" s="101"/>
      <c r="FW81" s="102"/>
      <c r="FX81" s="102"/>
      <c r="FY81" s="100"/>
      <c r="FZ81" s="103"/>
      <c r="GA81" s="104"/>
      <c r="GB81" s="98"/>
      <c r="GC81" s="97"/>
      <c r="GD81" s="97"/>
      <c r="GE81" s="98"/>
      <c r="GF81" s="99"/>
      <c r="GG81" s="99"/>
      <c r="GH81" s="100"/>
      <c r="GI81" s="100"/>
      <c r="GJ81" s="101"/>
      <c r="GK81" s="101"/>
      <c r="GL81" s="102"/>
      <c r="GM81" s="102"/>
      <c r="GN81" s="100"/>
      <c r="GO81" s="103"/>
      <c r="GP81" s="104"/>
      <c r="GQ81" s="98"/>
      <c r="GR81" s="97"/>
      <c r="GS81" s="97"/>
      <c r="GT81" s="98"/>
      <c r="GU81" s="99"/>
      <c r="GV81" s="99"/>
      <c r="GW81" s="100"/>
      <c r="GX81" s="100"/>
      <c r="GY81" s="101"/>
      <c r="GZ81" s="101"/>
      <c r="HA81" s="102"/>
      <c r="HB81" s="102"/>
      <c r="HC81" s="100"/>
      <c r="HD81" s="103"/>
      <c r="HE81" s="104"/>
      <c r="HF81" s="98"/>
      <c r="HG81" s="97"/>
      <c r="HH81" s="97"/>
      <c r="HI81" s="98"/>
      <c r="HJ81" s="99"/>
      <c r="HK81" s="99"/>
      <c r="HL81" s="100"/>
      <c r="HM81" s="100"/>
      <c r="HN81" s="101"/>
      <c r="HO81" s="101"/>
      <c r="HP81" s="102"/>
      <c r="HQ81" s="102"/>
      <c r="HR81" s="100"/>
      <c r="HS81" s="103"/>
      <c r="HT81" s="104"/>
      <c r="HU81" s="98"/>
      <c r="HV81" s="97"/>
      <c r="HW81" s="97"/>
      <c r="HX81" s="98"/>
      <c r="HY81" s="99"/>
      <c r="HZ81" s="99"/>
      <c r="IA81" s="100"/>
      <c r="IB81" s="100"/>
      <c r="IC81" s="101"/>
      <c r="ID81" s="101"/>
      <c r="IE81" s="102"/>
      <c r="IF81" s="102"/>
      <c r="IG81" s="100"/>
      <c r="IH81" s="103"/>
      <c r="II81" s="104"/>
    </row>
    <row r="82" spans="1:243" ht="13.2" thickTop="1" x14ac:dyDescent="0.3">
      <c r="A82" s="134" t="s">
        <v>172</v>
      </c>
      <c r="B82" s="135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7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27367838.730267003</v>
      </c>
      <c r="E83" s="39">
        <f>C83*K83</f>
        <v>23181167.578730155</v>
      </c>
      <c r="F83" s="40" t="s">
        <v>175</v>
      </c>
      <c r="G83" s="40">
        <v>1.3</v>
      </c>
      <c r="H83" s="42">
        <v>1.9824999999999999</v>
      </c>
      <c r="I83" s="42">
        <v>1.9824999999999999</v>
      </c>
      <c r="J83" s="44">
        <f>I83/$J$5</f>
        <v>7.4303254726174231E-2</v>
      </c>
      <c r="K83" s="45">
        <f>I83/$K$4</f>
        <v>6.2936507936507929E-2</v>
      </c>
      <c r="L83" s="46">
        <f>I83-H83</f>
        <v>0</v>
      </c>
      <c r="M83" s="46">
        <f>((I83-H83)/H83*100)</f>
        <v>0</v>
      </c>
      <c r="N83" s="105">
        <v>13</v>
      </c>
      <c r="O83" s="106">
        <v>25.805</v>
      </c>
      <c r="P83" s="51">
        <f>(R83)/J83</f>
        <v>0</v>
      </c>
      <c r="Q83" s="49">
        <f>I83/G83-1</f>
        <v>0.52499999999999991</v>
      </c>
      <c r="R83" s="52"/>
    </row>
    <row r="84" spans="1:243" s="107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76953140.679767013</v>
      </c>
      <c r="E84" s="39">
        <f>C84*K84</f>
        <v>65181020.225555547</v>
      </c>
      <c r="F84" s="40" t="s">
        <v>175</v>
      </c>
      <c r="G84" s="40">
        <v>1.44347</v>
      </c>
      <c r="H84" s="42">
        <v>1.1210519999999999</v>
      </c>
      <c r="I84" s="42">
        <v>1.1152009999999999</v>
      </c>
      <c r="J84" s="44">
        <f>I84/$J$5</f>
        <v>4.1797257994393051E-2</v>
      </c>
      <c r="K84" s="45">
        <f>I84/$K$4</f>
        <v>3.5403206349206344E-2</v>
      </c>
      <c r="L84" s="46">
        <f>I84-H84</f>
        <v>-5.8510000000000506E-3</v>
      </c>
      <c r="M84" s="46">
        <f>((I84-H84)/H84*100)</f>
        <v>-0.52192048183313977</v>
      </c>
      <c r="N84" s="105">
        <v>35620</v>
      </c>
      <c r="O84" s="106">
        <v>39723.599999999999</v>
      </c>
      <c r="P84" s="48">
        <f>(R84)/J84</f>
        <v>5.2060831365825538E-2</v>
      </c>
      <c r="Q84" s="49">
        <f>I84/G84-1</f>
        <v>-0.22741657256472259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8"/>
      <c r="B85" s="79"/>
      <c r="C85" s="80"/>
      <c r="D85" s="108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6"/>
    </row>
    <row r="86" spans="1:243" ht="12.6" thickBot="1" x14ac:dyDescent="0.3">
      <c r="A86" s="109"/>
      <c r="B86" s="110"/>
      <c r="C86" s="110"/>
      <c r="D86" s="110"/>
      <c r="E86" s="110"/>
      <c r="F86" s="111"/>
      <c r="G86" s="111"/>
      <c r="H86" s="59"/>
      <c r="M86" s="112"/>
      <c r="N86" s="112"/>
      <c r="O86" s="59"/>
      <c r="P86" s="59"/>
      <c r="Q86" s="113"/>
    </row>
    <row r="87" spans="1:243" ht="15" customHeight="1" thickBot="1" x14ac:dyDescent="0.3">
      <c r="A87" s="138" t="s">
        <v>178</v>
      </c>
      <c r="B87" s="139"/>
      <c r="C87" s="139"/>
      <c r="D87" s="140"/>
      <c r="E87" s="138" t="s">
        <v>179</v>
      </c>
      <c r="F87" s="139"/>
      <c r="G87" s="139"/>
      <c r="H87" s="140"/>
      <c r="I87" s="52"/>
      <c r="J87" s="141" t="s">
        <v>180</v>
      </c>
      <c r="K87" s="142"/>
      <c r="L87" s="143"/>
      <c r="M87" s="141" t="s">
        <v>181</v>
      </c>
      <c r="N87" s="142"/>
      <c r="O87" s="143"/>
    </row>
    <row r="88" spans="1:243" x14ac:dyDescent="0.25">
      <c r="A88" s="35" t="s">
        <v>68</v>
      </c>
      <c r="B88" s="114">
        <v>0.126</v>
      </c>
      <c r="D88" s="114">
        <v>14.545454545454545</v>
      </c>
      <c r="E88" s="35" t="s">
        <v>97</v>
      </c>
      <c r="F88" s="115">
        <v>3.284923</v>
      </c>
      <c r="H88" s="116">
        <v>-13.554657894736838</v>
      </c>
      <c r="J88" s="35" t="s">
        <v>125</v>
      </c>
      <c r="K88" s="51">
        <v>2.9000000000000001E-2</v>
      </c>
      <c r="L88" s="117">
        <v>15.537848605577691</v>
      </c>
      <c r="M88" s="59" t="s">
        <v>140</v>
      </c>
      <c r="N88" s="115">
        <v>0.34960000000000002</v>
      </c>
      <c r="O88" s="116">
        <v>-12.050314465408803</v>
      </c>
    </row>
    <row r="89" spans="1:243" x14ac:dyDescent="0.25">
      <c r="A89" s="35" t="s">
        <v>32</v>
      </c>
      <c r="B89" s="114">
        <v>13.7279</v>
      </c>
      <c r="D89" s="114">
        <v>5.5992307692307692</v>
      </c>
      <c r="E89" s="35" t="s">
        <v>105</v>
      </c>
      <c r="F89" s="115">
        <v>5.2367999999999998E-2</v>
      </c>
      <c r="H89" s="116">
        <v>-9.2424741338971668</v>
      </c>
      <c r="J89" s="35" t="s">
        <v>127</v>
      </c>
      <c r="K89" s="51">
        <v>0.1497</v>
      </c>
      <c r="L89" s="117">
        <v>9.6703296703296626</v>
      </c>
      <c r="M89" s="59" t="s">
        <v>135</v>
      </c>
      <c r="N89" s="115">
        <v>16.5</v>
      </c>
      <c r="O89" s="116">
        <v>-8.3333333333333321</v>
      </c>
    </row>
    <row r="90" spans="1:243" x14ac:dyDescent="0.25">
      <c r="A90" s="35" t="s">
        <v>45</v>
      </c>
      <c r="B90" s="114">
        <v>40.44</v>
      </c>
      <c r="C90" s="114"/>
      <c r="D90" s="114">
        <v>4.6200271241131556</v>
      </c>
      <c r="E90" s="35" t="s">
        <v>50</v>
      </c>
      <c r="F90" s="115">
        <v>6.3959730000000006</v>
      </c>
      <c r="H90" s="116">
        <v>-4.3966086661342416</v>
      </c>
      <c r="J90" s="35" t="s">
        <v>133</v>
      </c>
      <c r="K90" s="51">
        <v>0.02</v>
      </c>
      <c r="L90" s="117">
        <v>8.6956521739130466</v>
      </c>
      <c r="M90" s="35" t="s">
        <v>142</v>
      </c>
      <c r="N90" s="115">
        <v>0.66400000000000003</v>
      </c>
      <c r="O90" s="116">
        <v>-5.8022414526883157</v>
      </c>
    </row>
    <row r="91" spans="1:243" x14ac:dyDescent="0.25">
      <c r="A91" s="35" t="s">
        <v>90</v>
      </c>
      <c r="B91" s="114">
        <v>1.4486109999999999</v>
      </c>
      <c r="C91" s="114"/>
      <c r="D91" s="114">
        <v>3.4722142857142835</v>
      </c>
      <c r="E91" s="35" t="s">
        <v>75</v>
      </c>
      <c r="F91" s="115">
        <v>2.57</v>
      </c>
      <c r="H91" s="116">
        <v>-0.63270289874123764</v>
      </c>
      <c r="J91" s="35" t="s">
        <v>138</v>
      </c>
      <c r="K91" s="51">
        <v>1.2542</v>
      </c>
      <c r="L91" s="117">
        <v>2.6602275517721186</v>
      </c>
      <c r="M91" s="35" t="s">
        <v>144</v>
      </c>
      <c r="N91" s="115">
        <v>0.24</v>
      </c>
      <c r="O91" s="116">
        <v>-4.0000000000000036</v>
      </c>
    </row>
    <row r="92" spans="1:243" x14ac:dyDescent="0.25">
      <c r="A92" s="35" t="s">
        <v>93</v>
      </c>
      <c r="B92" s="114">
        <v>4.6538459999999997</v>
      </c>
      <c r="C92" s="114"/>
      <c r="D92" s="114">
        <v>3.4187999999999934</v>
      </c>
      <c r="E92" s="35" t="s">
        <v>95</v>
      </c>
      <c r="F92" s="115">
        <v>3.9900000000000005E-2</v>
      </c>
      <c r="G92" s="115"/>
      <c r="H92" s="116">
        <v>-0.20259623321076947</v>
      </c>
      <c r="J92" s="35" t="s">
        <v>119</v>
      </c>
      <c r="K92" s="51">
        <v>0.14499999999999999</v>
      </c>
      <c r="L92" s="117">
        <v>1.5406162464985851</v>
      </c>
      <c r="M92" s="35" t="s">
        <v>148</v>
      </c>
      <c r="N92" s="115">
        <v>0.1057</v>
      </c>
      <c r="O92" s="116">
        <v>-3.9090909090909074</v>
      </c>
    </row>
    <row r="93" spans="1:243" ht="12.6" thickBot="1" x14ac:dyDescent="0.3">
      <c r="A93" s="118"/>
      <c r="B93" s="119"/>
      <c r="C93" s="119"/>
      <c r="D93" s="119"/>
      <c r="E93" s="118"/>
      <c r="F93" s="119"/>
      <c r="G93" s="119"/>
      <c r="H93" s="120"/>
      <c r="J93" s="118"/>
      <c r="K93" s="119"/>
      <c r="L93" s="120"/>
      <c r="M93" s="119"/>
      <c r="N93" s="119"/>
      <c r="O93" s="120"/>
    </row>
    <row r="94" spans="1:243" x14ac:dyDescent="0.25">
      <c r="A94" s="121"/>
      <c r="B94" s="122"/>
      <c r="C94" s="122"/>
      <c r="D94" s="122"/>
      <c r="E94" s="112"/>
      <c r="F94" s="112"/>
      <c r="G94" s="112"/>
      <c r="H94" s="112"/>
      <c r="I94" s="112"/>
      <c r="J94" s="112"/>
      <c r="K94" s="112"/>
      <c r="L94" s="112"/>
      <c r="M94" s="122"/>
      <c r="Q94" s="16"/>
    </row>
    <row r="95" spans="1:243" x14ac:dyDescent="0.25">
      <c r="A95" s="12" t="s">
        <v>182</v>
      </c>
      <c r="B95" s="123"/>
      <c r="C95" s="123"/>
      <c r="D95" s="123"/>
      <c r="E95" s="123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1"/>
      <c r="B96" s="122"/>
      <c r="C96" s="122"/>
      <c r="D96" s="122"/>
      <c r="E96" s="122"/>
      <c r="F96" s="112"/>
      <c r="G96" s="112"/>
      <c r="H96" s="122"/>
      <c r="I96" s="112"/>
      <c r="J96" s="112"/>
      <c r="K96" s="112"/>
      <c r="L96" s="112"/>
      <c r="M96" s="122"/>
      <c r="Q96" s="16"/>
    </row>
    <row r="97" spans="1:17" ht="12.6" thickBot="1" x14ac:dyDescent="0.3">
      <c r="A97" s="124"/>
      <c r="B97" s="125"/>
      <c r="C97" s="125"/>
      <c r="D97" s="125"/>
      <c r="E97" s="125"/>
      <c r="F97" s="126"/>
      <c r="G97" s="126"/>
      <c r="H97" s="126"/>
      <c r="I97" s="127"/>
      <c r="J97" s="127"/>
      <c r="K97" s="127"/>
      <c r="L97" s="127"/>
      <c r="M97" s="127"/>
      <c r="N97" s="127"/>
      <c r="O97" s="127"/>
      <c r="P97" s="127"/>
      <c r="Q97" s="128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9"/>
      <c r="J101" s="129"/>
      <c r="K101" s="129"/>
      <c r="O101" s="129"/>
      <c r="P101" s="129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9"/>
      <c r="J104" s="129"/>
      <c r="K104" s="129"/>
      <c r="O104" s="129"/>
      <c r="P104" s="129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9"/>
      <c r="J106" s="129"/>
      <c r="K106" s="129"/>
      <c r="O106" s="129"/>
      <c r="P106" s="129"/>
    </row>
  </sheetData>
  <sheetProtection algorithmName="SHA-512" hashValue="xXpMMaQkjGLw2q3VscR5YX1NohGpdHISkrIfBjBQH26fQGTLUUl+L7unud5a+JOIbm0wQPRiLX4UuAfO8XgyRg==" saltValue="Vhz3sZi9R9XMczcDbPdoaQ==" spinCount="100000" sheet="1" objects="1" scenarios="1"/>
  <mergeCells count="12">
    <mergeCell ref="A73:Q73"/>
    <mergeCell ref="L5:M5"/>
    <mergeCell ref="A6:Q6"/>
    <mergeCell ref="A49:Q49"/>
    <mergeCell ref="A66:Q66"/>
    <mergeCell ref="A69:Q69"/>
    <mergeCell ref="A76:Q76"/>
    <mergeCell ref="A82:Q82"/>
    <mergeCell ref="A87:D87"/>
    <mergeCell ref="E87:H87"/>
    <mergeCell ref="J87:L87"/>
    <mergeCell ref="M87:O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2026-07-30T14:32:07Z</dcterms:created>
  <dcterms:modified xsi:type="dcterms:W3CDTF">2026-07-30T14:49:22Z</dcterms:modified>
</cp:coreProperties>
</file>