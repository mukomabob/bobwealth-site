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ug/17.08.26/"/>
    </mc:Choice>
  </mc:AlternateContent>
  <xr:revisionPtr revIDLastSave="0" documentId="8_{A1AD9DA9-B060-48AE-8E4A-B525EFCD952E}" xr6:coauthVersionLast="47" xr6:coauthVersionMax="47" xr10:uidLastSave="{00000000-0000-0000-0000-000000000000}"/>
  <bookViews>
    <workbookView xWindow="-108" yWindow="-108" windowWidth="23256" windowHeight="12456" xr2:uid="{E84797D6-B504-4C3B-899B-8B36FE76341C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5" i="1" l="1"/>
  <c r="J85" i="1" s="1"/>
  <c r="Q85" i="1"/>
  <c r="Q84" i="1"/>
  <c r="M84" i="1"/>
  <c r="L84" i="1"/>
  <c r="K84" i="1"/>
  <c r="J84" i="1"/>
  <c r="D84" i="1" s="1"/>
  <c r="E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D80" i="1" s="1"/>
  <c r="E80" i="1"/>
  <c r="Q79" i="1"/>
  <c r="M79" i="1"/>
  <c r="L79" i="1"/>
  <c r="K79" i="1"/>
  <c r="J79" i="1"/>
  <c r="E79" i="1"/>
  <c r="D79" i="1"/>
  <c r="Q78" i="1"/>
  <c r="M78" i="1"/>
  <c r="L78" i="1"/>
  <c r="K78" i="1"/>
  <c r="E78" i="1" s="1"/>
  <c r="J78" i="1"/>
  <c r="D78" i="1"/>
  <c r="M75" i="1"/>
  <c r="L75" i="1"/>
  <c r="J75" i="1"/>
  <c r="Q75" i="1" s="1"/>
  <c r="D75" i="1"/>
  <c r="O73" i="1"/>
  <c r="N73" i="1"/>
  <c r="M72" i="1"/>
  <c r="L72" i="1"/>
  <c r="J72" i="1"/>
  <c r="D72" i="1" s="1"/>
  <c r="M71" i="1"/>
  <c r="L71" i="1"/>
  <c r="J71" i="1"/>
  <c r="K71" i="1" s="1"/>
  <c r="E71" i="1" s="1"/>
  <c r="M68" i="1"/>
  <c r="L68" i="1"/>
  <c r="D68" i="1"/>
  <c r="O66" i="1"/>
  <c r="N66" i="1"/>
  <c r="M65" i="1"/>
  <c r="L65" i="1"/>
  <c r="J65" i="1"/>
  <c r="Q65" i="1" s="1"/>
  <c r="D65" i="1"/>
  <c r="M64" i="1"/>
  <c r="L64" i="1"/>
  <c r="J64" i="1"/>
  <c r="Q64" i="1" s="1"/>
  <c r="M63" i="1"/>
  <c r="L63" i="1"/>
  <c r="J63" i="1"/>
  <c r="P63" i="1" s="1"/>
  <c r="M62" i="1"/>
  <c r="L62" i="1"/>
  <c r="J62" i="1"/>
  <c r="Q62" i="1" s="1"/>
  <c r="D62" i="1"/>
  <c r="M61" i="1"/>
  <c r="L61" i="1"/>
  <c r="J61" i="1"/>
  <c r="P61" i="1" s="1"/>
  <c r="M60" i="1"/>
  <c r="L60" i="1"/>
  <c r="J60" i="1"/>
  <c r="Q60" i="1" s="1"/>
  <c r="M59" i="1"/>
  <c r="L59" i="1"/>
  <c r="J59" i="1"/>
  <c r="Q59" i="1" s="1"/>
  <c r="M58" i="1"/>
  <c r="L58" i="1"/>
  <c r="J58" i="1"/>
  <c r="Q58" i="1" s="1"/>
  <c r="D58" i="1"/>
  <c r="M57" i="1"/>
  <c r="L57" i="1"/>
  <c r="J57" i="1"/>
  <c r="P57" i="1" s="1"/>
  <c r="M56" i="1"/>
  <c r="L56" i="1"/>
  <c r="J56" i="1"/>
  <c r="D56" i="1" s="1"/>
  <c r="M55" i="1"/>
  <c r="L55" i="1"/>
  <c r="J55" i="1"/>
  <c r="Q55" i="1" s="1"/>
  <c r="M54" i="1"/>
  <c r="L54" i="1"/>
  <c r="J54" i="1"/>
  <c r="Q54" i="1" s="1"/>
  <c r="M53" i="1"/>
  <c r="L53" i="1"/>
  <c r="J53" i="1"/>
  <c r="P53" i="1" s="1"/>
  <c r="D53" i="1"/>
  <c r="M52" i="1"/>
  <c r="L52" i="1"/>
  <c r="J52" i="1"/>
  <c r="D52" i="1" s="1"/>
  <c r="M51" i="1"/>
  <c r="L51" i="1"/>
  <c r="J51" i="1"/>
  <c r="Q51" i="1" s="1"/>
  <c r="D51" i="1"/>
  <c r="M50" i="1"/>
  <c r="L50" i="1"/>
  <c r="J50" i="1"/>
  <c r="D50" i="1" s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D44" i="1" s="1"/>
  <c r="E44" i="1"/>
  <c r="Q43" i="1"/>
  <c r="M43" i="1"/>
  <c r="L43" i="1"/>
  <c r="K43" i="1"/>
  <c r="E43" i="1" s="1"/>
  <c r="J43" i="1"/>
  <c r="D43" i="1" s="1"/>
  <c r="Q42" i="1"/>
  <c r="M42" i="1"/>
  <c r="L42" i="1"/>
  <c r="K42" i="1"/>
  <c r="J42" i="1"/>
  <c r="P42" i="1" s="1"/>
  <c r="E42" i="1"/>
  <c r="Q41" i="1"/>
  <c r="M41" i="1"/>
  <c r="L41" i="1"/>
  <c r="K41" i="1"/>
  <c r="E41" i="1" s="1"/>
  <c r="J41" i="1"/>
  <c r="D41" i="1" s="1"/>
  <c r="Q40" i="1"/>
  <c r="M40" i="1"/>
  <c r="L40" i="1"/>
  <c r="K40" i="1"/>
  <c r="E40" i="1" s="1"/>
  <c r="J40" i="1"/>
  <c r="D40" i="1" s="1"/>
  <c r="Q39" i="1"/>
  <c r="M39" i="1"/>
  <c r="L39" i="1"/>
  <c r="K39" i="1"/>
  <c r="E39" i="1" s="1"/>
  <c r="J39" i="1"/>
  <c r="P39" i="1" s="1"/>
  <c r="Q38" i="1"/>
  <c r="M38" i="1"/>
  <c r="L38" i="1"/>
  <c r="K38" i="1"/>
  <c r="J38" i="1"/>
  <c r="P38" i="1" s="1"/>
  <c r="E38" i="1"/>
  <c r="Q37" i="1"/>
  <c r="M37" i="1"/>
  <c r="L37" i="1"/>
  <c r="K37" i="1"/>
  <c r="E37" i="1" s="1"/>
  <c r="J37" i="1"/>
  <c r="D37" i="1" s="1"/>
  <c r="Q36" i="1"/>
  <c r="M36" i="1"/>
  <c r="L36" i="1"/>
  <c r="K36" i="1"/>
  <c r="J36" i="1"/>
  <c r="P36" i="1" s="1"/>
  <c r="E36" i="1"/>
  <c r="Q35" i="1"/>
  <c r="M35" i="1"/>
  <c r="L35" i="1"/>
  <c r="K35" i="1"/>
  <c r="E35" i="1" s="1"/>
  <c r="J35" i="1"/>
  <c r="P35" i="1" s="1"/>
  <c r="D35" i="1"/>
  <c r="Q34" i="1"/>
  <c r="M34" i="1"/>
  <c r="L34" i="1"/>
  <c r="K34" i="1"/>
  <c r="E34" i="1" s="1"/>
  <c r="J34" i="1"/>
  <c r="D34" i="1" s="1"/>
  <c r="Q33" i="1"/>
  <c r="M33" i="1"/>
  <c r="L33" i="1"/>
  <c r="K33" i="1"/>
  <c r="E33" i="1" s="1"/>
  <c r="J33" i="1"/>
  <c r="P33" i="1" s="1"/>
  <c r="D33" i="1"/>
  <c r="Q32" i="1"/>
  <c r="M32" i="1"/>
  <c r="L32" i="1"/>
  <c r="K32" i="1"/>
  <c r="E32" i="1" s="1"/>
  <c r="J32" i="1"/>
  <c r="P32" i="1" s="1"/>
  <c r="D32" i="1"/>
  <c r="Q31" i="1"/>
  <c r="M31" i="1"/>
  <c r="L31" i="1"/>
  <c r="K31" i="1"/>
  <c r="J31" i="1"/>
  <c r="D31" i="1" s="1"/>
  <c r="E31" i="1"/>
  <c r="K30" i="1"/>
  <c r="E30" i="1" s="1"/>
  <c r="J30" i="1"/>
  <c r="D30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D28" i="1"/>
  <c r="Q27" i="1"/>
  <c r="M27" i="1"/>
  <c r="L27" i="1"/>
  <c r="K27" i="1"/>
  <c r="E27" i="1" s="1"/>
  <c r="J27" i="1"/>
  <c r="P27" i="1" s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R24" i="1"/>
  <c r="Q24" i="1"/>
  <c r="M24" i="1"/>
  <c r="L24" i="1"/>
  <c r="K24" i="1"/>
  <c r="E24" i="1" s="1"/>
  <c r="J24" i="1"/>
  <c r="D24" i="1"/>
  <c r="Q23" i="1"/>
  <c r="M23" i="1"/>
  <c r="L23" i="1"/>
  <c r="K23" i="1"/>
  <c r="E23" i="1" s="1"/>
  <c r="J23" i="1"/>
  <c r="D23" i="1" s="1"/>
  <c r="Q22" i="1"/>
  <c r="L22" i="1"/>
  <c r="K22" i="1"/>
  <c r="E22" i="1" s="1"/>
  <c r="J22" i="1"/>
  <c r="D22" i="1" s="1"/>
  <c r="Q21" i="1"/>
  <c r="M21" i="1"/>
  <c r="L21" i="1"/>
  <c r="K21" i="1"/>
  <c r="J21" i="1"/>
  <c r="P21" i="1" s="1"/>
  <c r="E21" i="1"/>
  <c r="Q20" i="1"/>
  <c r="M20" i="1"/>
  <c r="L20" i="1"/>
  <c r="K20" i="1"/>
  <c r="J20" i="1"/>
  <c r="P20" i="1" s="1"/>
  <c r="E20" i="1"/>
  <c r="D20" i="1"/>
  <c r="Q19" i="1"/>
  <c r="M19" i="1"/>
  <c r="L19" i="1"/>
  <c r="K19" i="1"/>
  <c r="E19" i="1" s="1"/>
  <c r="J19" i="1"/>
  <c r="P19" i="1" s="1"/>
  <c r="D19" i="1"/>
  <c r="E18" i="1"/>
  <c r="D18" i="1"/>
  <c r="Q17" i="1"/>
  <c r="M17" i="1"/>
  <c r="L17" i="1"/>
  <c r="K17" i="1"/>
  <c r="E17" i="1" s="1"/>
  <c r="J17" i="1"/>
  <c r="P17" i="1" s="1"/>
  <c r="D17" i="1"/>
  <c r="Q16" i="1"/>
  <c r="M16" i="1"/>
  <c r="L16" i="1"/>
  <c r="K16" i="1"/>
  <c r="E16" i="1" s="1"/>
  <c r="J16" i="1"/>
  <c r="P16" i="1" s="1"/>
  <c r="Q15" i="1"/>
  <c r="M15" i="1"/>
  <c r="L15" i="1"/>
  <c r="K15" i="1"/>
  <c r="J15" i="1"/>
  <c r="P15" i="1" s="1"/>
  <c r="E15" i="1"/>
  <c r="D15" i="1"/>
  <c r="Q14" i="1"/>
  <c r="M14" i="1"/>
  <c r="L14" i="1"/>
  <c r="K14" i="1"/>
  <c r="E14" i="1" s="1"/>
  <c r="J14" i="1"/>
  <c r="P14" i="1" s="1"/>
  <c r="Q13" i="1"/>
  <c r="M13" i="1"/>
  <c r="L13" i="1"/>
  <c r="K13" i="1"/>
  <c r="E13" i="1" s="1"/>
  <c r="J13" i="1"/>
  <c r="D13" i="1" s="1"/>
  <c r="Q12" i="1"/>
  <c r="M12" i="1"/>
  <c r="L12" i="1"/>
  <c r="K12" i="1"/>
  <c r="E12" i="1" s="1"/>
  <c r="J12" i="1"/>
  <c r="P12" i="1" s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D10" i="1" s="1"/>
  <c r="Q9" i="1"/>
  <c r="M9" i="1"/>
  <c r="L9" i="1"/>
  <c r="K9" i="1"/>
  <c r="E9" i="1" s="1"/>
  <c r="J9" i="1"/>
  <c r="P9" i="1" s="1"/>
  <c r="P58" i="1" l="1"/>
  <c r="D57" i="1"/>
  <c r="D12" i="1"/>
  <c r="D14" i="1"/>
  <c r="D36" i="1"/>
  <c r="D38" i="1"/>
  <c r="D54" i="1"/>
  <c r="D60" i="1"/>
  <c r="D63" i="1"/>
  <c r="D55" i="1"/>
  <c r="D61" i="1"/>
  <c r="D64" i="1"/>
  <c r="D9" i="1"/>
  <c r="D11" i="1"/>
  <c r="D25" i="1"/>
  <c r="D21" i="1"/>
  <c r="D27" i="1"/>
  <c r="P44" i="1"/>
  <c r="P24" i="1"/>
  <c r="D42" i="1"/>
  <c r="D71" i="1"/>
  <c r="P41" i="1"/>
  <c r="Q56" i="1"/>
  <c r="P54" i="1"/>
  <c r="P62" i="1"/>
  <c r="D39" i="1"/>
  <c r="P60" i="1"/>
  <c r="P56" i="1"/>
  <c r="K75" i="1"/>
  <c r="E75" i="1" s="1"/>
  <c r="P64" i="1"/>
  <c r="P75" i="1"/>
  <c r="L85" i="1"/>
  <c r="P85" i="1"/>
  <c r="D85" i="1"/>
  <c r="K85" i="1"/>
  <c r="E85" i="1" s="1"/>
  <c r="M85" i="1"/>
  <c r="D59" i="1"/>
  <c r="P50" i="1"/>
  <c r="P13" i="1"/>
  <c r="P23" i="1"/>
  <c r="P43" i="1"/>
  <c r="Q50" i="1"/>
  <c r="P29" i="1"/>
  <c r="P34" i="1"/>
  <c r="Q72" i="1"/>
  <c r="P55" i="1"/>
  <c r="P59" i="1"/>
  <c r="P65" i="1"/>
  <c r="P51" i="1"/>
  <c r="Q53" i="1"/>
  <c r="Q57" i="1"/>
  <c r="Q61" i="1"/>
  <c r="Q63" i="1"/>
  <c r="P71" i="1"/>
  <c r="P10" i="1"/>
  <c r="P40" i="1"/>
  <c r="P31" i="1"/>
  <c r="D16" i="1"/>
  <c r="Q71" i="1"/>
  <c r="K72" i="1"/>
  <c r="E72" i="1" s="1"/>
  <c r="Q52" i="1"/>
  <c r="P26" i="1"/>
  <c r="P72" i="1"/>
  <c r="P84" i="1"/>
</calcChain>
</file>

<file path=xl/sharedStrings.xml><?xml version="1.0" encoding="utf-8"?>
<sst xmlns="http://schemas.openxmlformats.org/spreadsheetml/2006/main" count="269" uniqueCount="185">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</sst>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7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164" fontId="15" fillId="5" borderId="0" xfId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6" xfId="8" applyFont="1" applyFill="1" applyBorder="1" applyAlignment="1">
      <alignment horizontal="center"/>
    </xf>
  </cellXfs>
  <cellStyles count="10">
    <cellStyle name="Comma" xfId="1" builtinId="3"/>
    <cellStyle name="Comma 2 2 2 2 2 2 2 2 2 2 2 2" xfId="4" xr:uid="{2F8E7AD7-932F-4A66-8628-C795A90512F7}"/>
    <cellStyle name="Comma 5 2 2 2 2 2 2 2 2 2 2" xfId="5" xr:uid="{3EB2B3C4-E88F-4138-854B-4829D96B2F0B}"/>
    <cellStyle name="Comma 6 2 2 2 2 2" xfId="6" xr:uid="{906856EC-83EE-4704-8751-860EBCF5D7F2}"/>
    <cellStyle name="Hyperlink 2" xfId="9" xr:uid="{470D0CCC-7B11-477E-A201-79946B458CA3}"/>
    <cellStyle name="Normal" xfId="0" builtinId="0"/>
    <cellStyle name="Normal 2" xfId="3" xr:uid="{199E47BD-915F-4BAD-9A81-9773550FEC9B}"/>
    <cellStyle name="Normal 20" xfId="8" xr:uid="{6CE60900-1AD6-4974-88D3-54E06880490D}"/>
    <cellStyle name="Percent" xfId="2" builtinId="5"/>
    <cellStyle name="Percent 3" xfId="7" xr:uid="{0A0F0EB4-8ECD-416A-A7EF-EC92217E4465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97BC65C5-8C73-4AC6-A533-4A7B986B8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6108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D3A168B1-3CF9-4834-AA9F-6B9CEF320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2272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7097-3792-4F75-94D2-00CA413743C6}">
  <dimension ref="A1:II107"/>
  <sheetViews>
    <sheetView tabSelected="1" zoomScale="60" zoomScaleNormal="60" workbookViewId="0">
      <selection activeCell="F54" sqref="F54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26.785299999999999</v>
      </c>
      <c r="K5" s="22"/>
      <c r="L5" s="135" t="s">
        <v>12</v>
      </c>
      <c r="M5" s="136"/>
      <c r="N5" s="23" t="s">
        <v>13</v>
      </c>
      <c r="O5" s="24"/>
      <c r="P5" s="24"/>
      <c r="Q5" s="25"/>
    </row>
    <row r="6" spans="1:19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72966464.777952835</v>
      </c>
      <c r="E9" s="39">
        <f t="shared" ref="E9:E45" si="1">C9*K9</f>
        <v>62045353.937044449</v>
      </c>
      <c r="F9" s="40" t="s">
        <v>34</v>
      </c>
      <c r="G9" s="41">
        <v>8.9894999999999996</v>
      </c>
      <c r="H9" s="42">
        <v>15</v>
      </c>
      <c r="I9" s="43">
        <v>15.507100000000001</v>
      </c>
      <c r="J9" s="44">
        <f>(I9/$J$5)</f>
        <v>0.57894068761596851</v>
      </c>
      <c r="K9" s="45">
        <f t="shared" ref="K9:K17" si="2">I9/$K$4</f>
        <v>0.49228888888888894</v>
      </c>
      <c r="L9" s="46">
        <f t="shared" ref="L9:L17" si="3">I9-H9</f>
        <v>0.50710000000000122</v>
      </c>
      <c r="M9" s="46">
        <f t="shared" ref="M9:M17" si="4">((I9-H9)/H9)*100</f>
        <v>3.3806666666666749</v>
      </c>
      <c r="N9" s="47">
        <v>0</v>
      </c>
      <c r="O9" s="37">
        <v>0</v>
      </c>
      <c r="P9" s="48">
        <f t="shared" ref="P9:P17" si="5">(R9)/J9</f>
        <v>2.5909389892371879E-2</v>
      </c>
      <c r="Q9" s="49">
        <f t="shared" ref="Q9:Q17" si="6">I9/G9-1</f>
        <v>0.72502363868958253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4568929.5525530791</v>
      </c>
      <c r="E10" s="39">
        <f t="shared" si="1"/>
        <v>3885084.0871111103</v>
      </c>
      <c r="F10" s="40" t="s">
        <v>34</v>
      </c>
      <c r="G10" s="41">
        <v>3.1600000000000003E-2</v>
      </c>
      <c r="H10" s="42">
        <v>7.5999999999999998E-2</v>
      </c>
      <c r="I10" s="43">
        <v>7.5199999999999989E-2</v>
      </c>
      <c r="J10" s="44">
        <f t="shared" ref="J10:J17" si="7">I10/$J$5</f>
        <v>2.8075100894893838E-3</v>
      </c>
      <c r="K10" s="45">
        <f t="shared" si="2"/>
        <v>2.3873015873015868E-3</v>
      </c>
      <c r="L10" s="46">
        <f t="shared" si="3"/>
        <v>-8.0000000000000904E-4</v>
      </c>
      <c r="M10" s="46">
        <f t="shared" si="4"/>
        <v>-1.0526315789473804</v>
      </c>
      <c r="N10" s="47">
        <v>200</v>
      </c>
      <c r="O10" s="37">
        <v>15.04</v>
      </c>
      <c r="P10" s="51">
        <f t="shared" si="5"/>
        <v>0</v>
      </c>
      <c r="Q10" s="49">
        <f t="shared" si="6"/>
        <v>1.3797468354430373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3589096.219941535</v>
      </c>
      <c r="E11" s="39">
        <f t="shared" si="1"/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 t="shared" si="7"/>
        <v>8.2134603681870283E-3</v>
      </c>
      <c r="K11" s="45">
        <f t="shared" si="2"/>
        <v>6.9841269841269841E-3</v>
      </c>
      <c r="L11" s="46">
        <f t="shared" si="3"/>
        <v>0</v>
      </c>
      <c r="M11" s="46">
        <f t="shared" si="4"/>
        <v>0</v>
      </c>
      <c r="N11" s="47">
        <v>0</v>
      </c>
      <c r="O11" s="37">
        <v>0</v>
      </c>
      <c r="P11" s="51">
        <f t="shared" si="5"/>
        <v>0</v>
      </c>
      <c r="Q11" s="49">
        <f t="shared" si="6"/>
        <v>1.8205128205128207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146277556.21073872</v>
      </c>
      <c r="E12" s="39">
        <f t="shared" si="1"/>
        <v>124383753.21814287</v>
      </c>
      <c r="F12" s="40" t="s">
        <v>34</v>
      </c>
      <c r="G12" s="41">
        <v>97.381</v>
      </c>
      <c r="H12" s="42">
        <v>189.8895</v>
      </c>
      <c r="I12" s="43">
        <v>189.8895</v>
      </c>
      <c r="J12" s="44">
        <f t="shared" si="7"/>
        <v>7.0893176481129574</v>
      </c>
      <c r="K12" s="45">
        <f t="shared" si="2"/>
        <v>6.0282380952380956</v>
      </c>
      <c r="L12" s="46">
        <f t="shared" si="3"/>
        <v>0</v>
      </c>
      <c r="M12" s="46">
        <f t="shared" si="4"/>
        <v>0</v>
      </c>
      <c r="N12" s="47">
        <v>0</v>
      </c>
      <c r="O12" s="37">
        <v>0</v>
      </c>
      <c r="P12" s="51">
        <f t="shared" si="5"/>
        <v>0</v>
      </c>
      <c r="Q12" s="49">
        <f t="shared" si="6"/>
        <v>0.94996457214446339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7680025.7379980814</v>
      </c>
      <c r="E13" s="39">
        <f t="shared" si="1"/>
        <v>6530533.1238095239</v>
      </c>
      <c r="F13" s="40" t="s">
        <v>44</v>
      </c>
      <c r="G13" s="41">
        <v>13.6</v>
      </c>
      <c r="H13" s="42">
        <v>23.55</v>
      </c>
      <c r="I13" s="43">
        <v>23.55</v>
      </c>
      <c r="J13" s="44">
        <f t="shared" si="7"/>
        <v>0.87921359850365688</v>
      </c>
      <c r="K13" s="45">
        <f t="shared" si="2"/>
        <v>0.74761904761904763</v>
      </c>
      <c r="L13" s="46">
        <f t="shared" si="3"/>
        <v>0</v>
      </c>
      <c r="M13" s="46">
        <f t="shared" si="4"/>
        <v>0</v>
      </c>
      <c r="N13" s="47">
        <v>0</v>
      </c>
      <c r="O13" s="37">
        <v>0</v>
      </c>
      <c r="P13" s="51">
        <f t="shared" si="5"/>
        <v>0</v>
      </c>
      <c r="Q13" s="49">
        <f t="shared" si="6"/>
        <v>0.73161764705882359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810068390.36521912</v>
      </c>
      <c r="E14" s="39">
        <f t="shared" si="1"/>
        <v>688823011.31585717</v>
      </c>
      <c r="F14" s="40" t="s">
        <v>47</v>
      </c>
      <c r="G14" s="41">
        <v>11.5</v>
      </c>
      <c r="H14" s="42">
        <v>37.075099999999999</v>
      </c>
      <c r="I14" s="43">
        <v>41.514300000000006</v>
      </c>
      <c r="J14" s="44">
        <f t="shared" si="7"/>
        <v>1.5498911716501218</v>
      </c>
      <c r="K14" s="45">
        <f t="shared" si="2"/>
        <v>1.3179142857142858</v>
      </c>
      <c r="L14" s="46">
        <f t="shared" si="3"/>
        <v>4.4392000000000067</v>
      </c>
      <c r="M14" s="46">
        <f t="shared" si="4"/>
        <v>11.973534798287817</v>
      </c>
      <c r="N14" s="47">
        <v>7000</v>
      </c>
      <c r="O14" s="37">
        <v>290600</v>
      </c>
      <c r="P14" s="51">
        <f t="shared" si="5"/>
        <v>0</v>
      </c>
      <c r="Q14" s="49">
        <f t="shared" si="6"/>
        <v>2.6099391304347832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23753523.387828398</v>
      </c>
      <c r="E15" s="39">
        <f t="shared" si="1"/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 t="shared" si="7"/>
        <v>0.22400346458691894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0.1131725417439704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51560501.092583619</v>
      </c>
      <c r="E16" s="39">
        <f t="shared" si="1"/>
        <v>43843285.394132704</v>
      </c>
      <c r="F16" s="40" t="s">
        <v>34</v>
      </c>
      <c r="G16" s="41">
        <v>1.9</v>
      </c>
      <c r="H16" s="42">
        <v>4.1808510000000005</v>
      </c>
      <c r="I16" s="43">
        <v>3.85771</v>
      </c>
      <c r="J16" s="44">
        <f t="shared" si="7"/>
        <v>0.14402340089526719</v>
      </c>
      <c r="K16" s="45">
        <f t="shared" si="2"/>
        <v>0.12246698412698413</v>
      </c>
      <c r="L16" s="46">
        <f t="shared" si="3"/>
        <v>-0.32314100000000057</v>
      </c>
      <c r="M16" s="46">
        <f t="shared" si="4"/>
        <v>-7.729072382632161</v>
      </c>
      <c r="N16" s="47">
        <v>725000</v>
      </c>
      <c r="O16" s="37">
        <v>2796840</v>
      </c>
      <c r="P16" s="51">
        <f t="shared" si="5"/>
        <v>0.34716580562043287</v>
      </c>
      <c r="Q16" s="49">
        <f t="shared" si="6"/>
        <v>1.0303736842105264</v>
      </c>
      <c r="R16" s="50">
        <v>0.05</v>
      </c>
      <c r="S16" s="52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1630274302.0126896</v>
      </c>
      <c r="E17" s="39">
        <f t="shared" si="1"/>
        <v>1386266230.5301745</v>
      </c>
      <c r="F17" s="40" t="s">
        <v>34</v>
      </c>
      <c r="G17" s="41">
        <v>20.701700000000002</v>
      </c>
      <c r="H17" s="42">
        <v>32.408899999999996</v>
      </c>
      <c r="I17" s="43">
        <v>32.399899999999995</v>
      </c>
      <c r="J17" s="44">
        <f t="shared" si="7"/>
        <v>1.2096149753782857</v>
      </c>
      <c r="K17" s="45">
        <f t="shared" si="2"/>
        <v>1.0285682539682539</v>
      </c>
      <c r="L17" s="46">
        <f t="shared" si="3"/>
        <v>-9.0000000000003411E-3</v>
      </c>
      <c r="M17" s="46">
        <f t="shared" si="4"/>
        <v>-2.7770149557684285E-2</v>
      </c>
      <c r="N17" s="47">
        <v>67800</v>
      </c>
      <c r="O17" s="37">
        <v>2196711</v>
      </c>
      <c r="P17" s="48">
        <f t="shared" si="5"/>
        <v>0</v>
      </c>
      <c r="Q17" s="49">
        <f t="shared" si="6"/>
        <v>0.56508402691566362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338668001.27308637</v>
      </c>
      <c r="E19" s="39">
        <f t="shared" si="1"/>
        <v>287978540.14285713</v>
      </c>
      <c r="F19" s="40" t="s">
        <v>47</v>
      </c>
      <c r="G19" s="41">
        <v>12.45</v>
      </c>
      <c r="H19" s="42">
        <v>13.5</v>
      </c>
      <c r="I19" s="43">
        <v>13.5</v>
      </c>
      <c r="J19" s="44">
        <f t="shared" ref="J19:J45" si="8">I19/$J$5</f>
        <v>0.50400779532056761</v>
      </c>
      <c r="K19" s="45">
        <f t="shared" ref="K19:K45" si="9">I19/$K$4</f>
        <v>0.42857142857142855</v>
      </c>
      <c r="L19" s="46">
        <f t="shared" ref="L19:L29" si="10">I19-H19</f>
        <v>0</v>
      </c>
      <c r="M19" s="46">
        <f>((I19-H19)/H19)*100</f>
        <v>0</v>
      </c>
      <c r="N19" s="47">
        <v>0</v>
      </c>
      <c r="O19" s="37">
        <v>0</v>
      </c>
      <c r="P19" s="51">
        <f>(R19)/J19</f>
        <v>0</v>
      </c>
      <c r="Q19" s="49">
        <f t="shared" ref="Q19:Q29" si="11">I19/G19-1</f>
        <v>8.4337349397590522E-2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3273558.6032263967</v>
      </c>
      <c r="E20" s="39">
        <f t="shared" si="1"/>
        <v>2783595.2144444445</v>
      </c>
      <c r="F20" s="40" t="s">
        <v>47</v>
      </c>
      <c r="G20" s="41">
        <v>0.35</v>
      </c>
      <c r="H20" s="42">
        <v>0.80500000000000005</v>
      </c>
      <c r="I20" s="43">
        <v>0.80500000000000005</v>
      </c>
      <c r="J20" s="44">
        <f t="shared" si="8"/>
        <v>3.0053798165411628E-2</v>
      </c>
      <c r="K20" s="45">
        <f t="shared" si="9"/>
        <v>2.5555555555555557E-2</v>
      </c>
      <c r="L20" s="46">
        <f t="shared" si="10"/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 t="shared" si="11"/>
        <v>1.3000000000000003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86315227.046178311</v>
      </c>
      <c r="E21" s="39">
        <f t="shared" si="1"/>
        <v>73396166.698412701</v>
      </c>
      <c r="F21" s="40" t="s">
        <v>47</v>
      </c>
      <c r="G21" s="41">
        <v>2.85</v>
      </c>
      <c r="H21" s="42">
        <v>3.35</v>
      </c>
      <c r="I21" s="43">
        <v>3.35</v>
      </c>
      <c r="J21" s="44">
        <f t="shared" si="8"/>
        <v>0.12506860106102974</v>
      </c>
      <c r="K21" s="45">
        <f t="shared" si="9"/>
        <v>0.10634920634920635</v>
      </c>
      <c r="L21" s="46">
        <f t="shared" si="10"/>
        <v>0</v>
      </c>
      <c r="M21" s="46">
        <f>((I21-H21)/H21)*100</f>
        <v>0</v>
      </c>
      <c r="N21" s="47">
        <v>800</v>
      </c>
      <c r="O21" s="37">
        <v>2680</v>
      </c>
      <c r="P21" s="51">
        <f>(R21)/J21</f>
        <v>0</v>
      </c>
      <c r="Q21" s="49">
        <f t="shared" si="11"/>
        <v>0.17543859649122817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2103459.9356736718</v>
      </c>
      <c r="E23" s="39">
        <f t="shared" si="1"/>
        <v>1788628.7433333332</v>
      </c>
      <c r="F23" s="40" t="s">
        <v>44</v>
      </c>
      <c r="G23" s="41">
        <v>0.1</v>
      </c>
      <c r="H23" s="42">
        <v>0.105</v>
      </c>
      <c r="I23" s="43">
        <v>0.105</v>
      </c>
      <c r="J23" s="44">
        <f t="shared" si="8"/>
        <v>3.9200606302710814E-3</v>
      </c>
      <c r="K23" s="45">
        <f t="shared" si="9"/>
        <v>3.3333333333333331E-3</v>
      </c>
      <c r="L23" s="46">
        <f t="shared" si="10"/>
        <v>0</v>
      </c>
      <c r="M23" s="46">
        <f t="shared" ref="M23:M29" si="12">((I23-H23)/H23)*100</f>
        <v>0</v>
      </c>
      <c r="N23" s="47">
        <v>0</v>
      </c>
      <c r="O23" s="37">
        <v>0</v>
      </c>
      <c r="P23" s="51">
        <f t="shared" ref="P23:P29" si="13">(R23)/J23</f>
        <v>0</v>
      </c>
      <c r="Q23" s="49">
        <f t="shared" si="11"/>
        <v>4.9999999999999822E-2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77466784.504933685</v>
      </c>
      <c r="E24" s="39">
        <f t="shared" si="1"/>
        <v>65872097.238095239</v>
      </c>
      <c r="F24" s="40" t="s">
        <v>34</v>
      </c>
      <c r="G24" s="41">
        <v>8.1687659999999997</v>
      </c>
      <c r="H24" s="42">
        <v>10.75</v>
      </c>
      <c r="I24" s="43">
        <v>10.75</v>
      </c>
      <c r="J24" s="44">
        <f t="shared" si="8"/>
        <v>0.4013395407182298</v>
      </c>
      <c r="K24" s="45">
        <f t="shared" si="9"/>
        <v>0.34126984126984128</v>
      </c>
      <c r="L24" s="46">
        <f t="shared" si="10"/>
        <v>0</v>
      </c>
      <c r="M24" s="46">
        <f t="shared" si="12"/>
        <v>0</v>
      </c>
      <c r="N24" s="47">
        <v>0</v>
      </c>
      <c r="O24" s="37">
        <v>0</v>
      </c>
      <c r="P24" s="48">
        <f t="shared" si="13"/>
        <v>3.737483720930232E-2</v>
      </c>
      <c r="Q24" s="49">
        <f t="shared" si="11"/>
        <v>0.31598824106358303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107106988.35928662</v>
      </c>
      <c r="E25" s="39">
        <f t="shared" si="1"/>
        <v>91075962.390476182</v>
      </c>
      <c r="F25" s="40" t="s">
        <v>66</v>
      </c>
      <c r="G25" s="41">
        <v>1.6675</v>
      </c>
      <c r="H25" s="42">
        <v>1.7</v>
      </c>
      <c r="I25" s="43">
        <v>1.7</v>
      </c>
      <c r="J25" s="44">
        <f t="shared" si="8"/>
        <v>6.3467648299627033E-2</v>
      </c>
      <c r="K25" s="45">
        <f t="shared" si="9"/>
        <v>5.3968253968253964E-2</v>
      </c>
      <c r="L25" s="46">
        <f t="shared" si="10"/>
        <v>0</v>
      </c>
      <c r="M25" s="46">
        <f t="shared" si="12"/>
        <v>0</v>
      </c>
      <c r="N25" s="47">
        <v>0</v>
      </c>
      <c r="O25" s="37">
        <v>0</v>
      </c>
      <c r="P25" s="51">
        <f t="shared" si="13"/>
        <v>0</v>
      </c>
      <c r="Q25" s="49">
        <f t="shared" si="11"/>
        <v>1.9490254872563728E-2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22342547.390388049</v>
      </c>
      <c r="E26" s="39">
        <f t="shared" si="1"/>
        <v>18998470.940182887</v>
      </c>
      <c r="F26" s="40" t="s">
        <v>44</v>
      </c>
      <c r="G26" s="41">
        <v>1.7994999999999999</v>
      </c>
      <c r="H26" s="42">
        <v>2.5</v>
      </c>
      <c r="I26" s="43">
        <v>2.4999229999999999</v>
      </c>
      <c r="J26" s="44">
        <f t="shared" si="8"/>
        <v>9.3331902200087358E-2</v>
      </c>
      <c r="K26" s="45">
        <f t="shared" si="9"/>
        <v>7.9362634920634917E-2</v>
      </c>
      <c r="L26" s="46">
        <f t="shared" si="10"/>
        <v>-7.7000000000104762E-5</v>
      </c>
      <c r="M26" s="46">
        <f t="shared" si="12"/>
        <v>-3.0800000000041909E-3</v>
      </c>
      <c r="N26" s="47">
        <v>1300</v>
      </c>
      <c r="O26" s="37">
        <v>3249.9</v>
      </c>
      <c r="P26" s="51">
        <f t="shared" si="13"/>
        <v>0</v>
      </c>
      <c r="Q26" s="49">
        <f t="shared" si="11"/>
        <v>0.38923200889135878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23907772.266877729</v>
      </c>
      <c r="E27" s="39">
        <f t="shared" si="1"/>
        <v>20329423.888888888</v>
      </c>
      <c r="F27" s="40" t="s">
        <v>34</v>
      </c>
      <c r="G27" s="41">
        <v>3.1361369999999997</v>
      </c>
      <c r="H27" s="42">
        <v>2.5</v>
      </c>
      <c r="I27" s="43">
        <v>2.5</v>
      </c>
      <c r="J27" s="44">
        <f t="shared" si="8"/>
        <v>9.3334776911216236E-2</v>
      </c>
      <c r="K27" s="45">
        <f t="shared" si="9"/>
        <v>7.9365079365079361E-2</v>
      </c>
      <c r="L27" s="46">
        <f t="shared" si="10"/>
        <v>0</v>
      </c>
      <c r="M27" s="46">
        <f t="shared" si="12"/>
        <v>0</v>
      </c>
      <c r="N27" s="47">
        <v>17500</v>
      </c>
      <c r="O27" s="37">
        <v>43750</v>
      </c>
      <c r="P27" s="51">
        <f t="shared" si="13"/>
        <v>0</v>
      </c>
      <c r="Q27" s="49">
        <f t="shared" si="11"/>
        <v>-0.20284094731830904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27068741.171818126</v>
      </c>
      <c r="E28" s="39">
        <f t="shared" si="1"/>
        <v>23017281.044746034</v>
      </c>
      <c r="F28" s="40" t="s">
        <v>44</v>
      </c>
      <c r="G28" s="41">
        <v>0.8</v>
      </c>
      <c r="H28" s="42">
        <v>0.95950000000000002</v>
      </c>
      <c r="I28" s="43">
        <v>0.95950000000000002</v>
      </c>
      <c r="J28" s="44">
        <f t="shared" si="8"/>
        <v>3.5821887378524792E-2</v>
      </c>
      <c r="K28" s="45">
        <f t="shared" si="9"/>
        <v>3.0460317460317462E-2</v>
      </c>
      <c r="L28" s="46">
        <f t="shared" si="10"/>
        <v>0</v>
      </c>
      <c r="M28" s="46">
        <f t="shared" si="12"/>
        <v>0</v>
      </c>
      <c r="N28" s="47">
        <v>11800</v>
      </c>
      <c r="O28" s="37">
        <v>11322.1</v>
      </c>
      <c r="P28" s="51">
        <f t="shared" si="13"/>
        <v>0</v>
      </c>
      <c r="Q28" s="49">
        <f t="shared" si="11"/>
        <v>0.19937499999999986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94059180.643182352</v>
      </c>
      <c r="E29" s="39">
        <f t="shared" si="1"/>
        <v>79981059.405772448</v>
      </c>
      <c r="F29" s="40" t="s">
        <v>47</v>
      </c>
      <c r="G29" s="41">
        <v>5.15</v>
      </c>
      <c r="H29" s="42">
        <v>5.6095240000000004</v>
      </c>
      <c r="I29" s="43">
        <v>5.6095240000000004</v>
      </c>
      <c r="J29" s="44">
        <f t="shared" si="8"/>
        <v>0.20942546844724533</v>
      </c>
      <c r="K29" s="45">
        <f t="shared" si="9"/>
        <v>0.17808012698412701</v>
      </c>
      <c r="L29" s="46">
        <f t="shared" si="10"/>
        <v>0</v>
      </c>
      <c r="M29" s="46">
        <f t="shared" si="12"/>
        <v>0</v>
      </c>
      <c r="N29" s="47">
        <v>0</v>
      </c>
      <c r="O29" s="37">
        <v>0</v>
      </c>
      <c r="P29" s="51">
        <f t="shared" si="13"/>
        <v>0</v>
      </c>
      <c r="Q29" s="49">
        <f t="shared" si="11"/>
        <v>8.9227961165048608E-2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13092048.964220673</v>
      </c>
      <c r="E31" s="39">
        <f t="shared" si="1"/>
        <v>11132522.511788571</v>
      </c>
      <c r="F31" s="40" t="s">
        <v>39</v>
      </c>
      <c r="G31" s="41">
        <v>1.4</v>
      </c>
      <c r="H31" s="42">
        <v>1.3400049999999999</v>
      </c>
      <c r="I31" s="43">
        <v>1.349442</v>
      </c>
      <c r="J31" s="44">
        <f t="shared" si="8"/>
        <v>5.037994720985018E-2</v>
      </c>
      <c r="K31" s="45">
        <f t="shared" si="9"/>
        <v>4.283942857142857E-2</v>
      </c>
      <c r="L31" s="46">
        <f t="shared" ref="L31:L45" si="14">I31-H31</f>
        <v>9.4370000000001397E-3</v>
      </c>
      <c r="M31" s="46">
        <f t="shared" ref="M31:M45" si="15">((I31-H31)/H31)*100</f>
        <v>0.70425110354066889</v>
      </c>
      <c r="N31" s="47">
        <v>32900</v>
      </c>
      <c r="O31" s="37">
        <v>44396.65</v>
      </c>
      <c r="P31" s="51">
        <f t="shared" ref="P31:P36" si="16">(R31)/J31</f>
        <v>0</v>
      </c>
      <c r="Q31" s="49">
        <f t="shared" ref="Q31:Q45" si="17">I31/G31-1</f>
        <v>-3.6112857142857058E-2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3883851.3354339879</v>
      </c>
      <c r="E32" s="39">
        <f t="shared" si="1"/>
        <v>3302543.5928571429</v>
      </c>
      <c r="F32" s="40" t="s">
        <v>39</v>
      </c>
      <c r="G32" s="41">
        <v>0.65</v>
      </c>
      <c r="H32" s="42">
        <v>0.85250000000000004</v>
      </c>
      <c r="I32" s="43">
        <v>0.85250000000000004</v>
      </c>
      <c r="J32" s="44">
        <f t="shared" si="8"/>
        <v>3.1827158926724733E-2</v>
      </c>
      <c r="K32" s="45">
        <f t="shared" si="9"/>
        <v>2.7063492063492064E-2</v>
      </c>
      <c r="L32" s="46">
        <f t="shared" si="14"/>
        <v>0</v>
      </c>
      <c r="M32" s="46">
        <f t="shared" si="15"/>
        <v>0</v>
      </c>
      <c r="N32" s="47">
        <v>0</v>
      </c>
      <c r="O32" s="37">
        <v>0</v>
      </c>
      <c r="P32" s="51">
        <f t="shared" si="16"/>
        <v>0</v>
      </c>
      <c r="Q32" s="49">
        <f t="shared" si="17"/>
        <v>0.31153846153846154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148921512.25633273</v>
      </c>
      <c r="E33" s="39">
        <f t="shared" si="1"/>
        <v>126631980.38855712</v>
      </c>
      <c r="F33" s="40" t="s">
        <v>92</v>
      </c>
      <c r="G33" s="41">
        <v>1.44</v>
      </c>
      <c r="H33" s="42">
        <v>1.5984430000000001</v>
      </c>
      <c r="I33" s="43">
        <v>1.5984430000000001</v>
      </c>
      <c r="J33" s="44">
        <f t="shared" si="8"/>
        <v>5.9676128324118081E-2</v>
      </c>
      <c r="K33" s="45">
        <f t="shared" si="9"/>
        <v>5.0744222222222225E-2</v>
      </c>
      <c r="L33" s="46">
        <f t="shared" si="14"/>
        <v>0</v>
      </c>
      <c r="M33" s="46">
        <f t="shared" si="15"/>
        <v>0</v>
      </c>
      <c r="N33" s="47">
        <v>0</v>
      </c>
      <c r="O33" s="37">
        <v>0</v>
      </c>
      <c r="P33" s="51">
        <f t="shared" si="16"/>
        <v>0</v>
      </c>
      <c r="Q33" s="49">
        <f t="shared" si="17"/>
        <v>0.11002986111111124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46514991.85915409</v>
      </c>
      <c r="E34" s="39">
        <f t="shared" si="1"/>
        <v>39552952.74428571</v>
      </c>
      <c r="F34" s="40" t="s">
        <v>34</v>
      </c>
      <c r="G34" s="41">
        <v>3.6056249999999999</v>
      </c>
      <c r="H34" s="42">
        <v>4.915</v>
      </c>
      <c r="I34" s="43">
        <v>4.915</v>
      </c>
      <c r="J34" s="44">
        <f t="shared" si="8"/>
        <v>0.18349617140745111</v>
      </c>
      <c r="K34" s="45">
        <f t="shared" si="9"/>
        <v>0.15603174603174602</v>
      </c>
      <c r="L34" s="46">
        <f t="shared" si="14"/>
        <v>0</v>
      </c>
      <c r="M34" s="46">
        <f t="shared" si="15"/>
        <v>0</v>
      </c>
      <c r="N34" s="47">
        <v>0</v>
      </c>
      <c r="O34" s="37">
        <v>0</v>
      </c>
      <c r="P34" s="51">
        <f t="shared" si="16"/>
        <v>0</v>
      </c>
      <c r="Q34" s="49">
        <f t="shared" si="17"/>
        <v>0.36314785924770332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6538024.0999315307</v>
      </c>
      <c r="E35" s="39">
        <f t="shared" si="1"/>
        <v>5559458.3150443174</v>
      </c>
      <c r="F35" s="40" t="s">
        <v>34</v>
      </c>
      <c r="G35" s="41">
        <v>2.5099999999999997E-2</v>
      </c>
      <c r="H35" s="42">
        <v>3.7000000000000005E-2</v>
      </c>
      <c r="I35" s="43">
        <v>3.7141E-2</v>
      </c>
      <c r="J35" s="44">
        <f t="shared" si="8"/>
        <v>1.3866187797037929E-3</v>
      </c>
      <c r="K35" s="45">
        <f t="shared" si="9"/>
        <v>1.1790793650793652E-3</v>
      </c>
      <c r="L35" s="46">
        <f t="shared" si="14"/>
        <v>1.409999999999953E-4</v>
      </c>
      <c r="M35" s="46">
        <f t="shared" si="15"/>
        <v>0.38108108108106831</v>
      </c>
      <c r="N35" s="47">
        <v>9300</v>
      </c>
      <c r="O35" s="37">
        <v>345.41</v>
      </c>
      <c r="P35" s="51">
        <f t="shared" si="16"/>
        <v>0</v>
      </c>
      <c r="Q35" s="49">
        <f t="shared" si="17"/>
        <v>0.47972111553784869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90597108.962341174</v>
      </c>
      <c r="E36" s="39">
        <f t="shared" si="1"/>
        <v>77037166.434571341</v>
      </c>
      <c r="F36" s="40" t="s">
        <v>92</v>
      </c>
      <c r="G36" s="41">
        <v>0.61</v>
      </c>
      <c r="H36" s="42">
        <v>4.5999999999999996</v>
      </c>
      <c r="I36" s="43">
        <v>4.621429</v>
      </c>
      <c r="J36" s="44">
        <f t="shared" si="8"/>
        <v>0.17253601789041004</v>
      </c>
      <c r="K36" s="45">
        <f t="shared" si="9"/>
        <v>0.14671203174603176</v>
      </c>
      <c r="L36" s="46">
        <f t="shared" si="14"/>
        <v>2.1429000000000364E-2</v>
      </c>
      <c r="M36" s="46">
        <f t="shared" si="15"/>
        <v>0.46584782608696451</v>
      </c>
      <c r="N36" s="47">
        <v>1400</v>
      </c>
      <c r="O36" s="37">
        <v>6470</v>
      </c>
      <c r="P36" s="51">
        <f t="shared" si="16"/>
        <v>0</v>
      </c>
      <c r="Q36" s="49">
        <f t="shared" si="17"/>
        <v>6.5761131147540981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47060767.572679788</v>
      </c>
      <c r="E37" s="39">
        <f t="shared" si="1"/>
        <v>40017040.560777776</v>
      </c>
      <c r="F37" s="40" t="s">
        <v>56</v>
      </c>
      <c r="G37" s="41">
        <v>0.11650199999999999</v>
      </c>
      <c r="H37" s="42">
        <v>0.29642299999999999</v>
      </c>
      <c r="I37" s="43">
        <v>0.30049999999999999</v>
      </c>
      <c r="J37" s="44">
        <f t="shared" si="8"/>
        <v>1.121884018472819E-2</v>
      </c>
      <c r="K37" s="45">
        <f t="shared" si="9"/>
        <v>9.539682539682539E-3</v>
      </c>
      <c r="L37" s="46">
        <f t="shared" si="14"/>
        <v>4.0769999999999973E-3</v>
      </c>
      <c r="M37" s="46">
        <f t="shared" si="15"/>
        <v>1.3753993448551554</v>
      </c>
      <c r="N37" s="47">
        <v>300</v>
      </c>
      <c r="O37" s="37">
        <v>90.15</v>
      </c>
      <c r="P37" s="51">
        <v>0</v>
      </c>
      <c r="Q37" s="49">
        <f t="shared" si="17"/>
        <v>1.5793548608607577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20140368.499699462</v>
      </c>
      <c r="E38" s="39">
        <f t="shared" si="1"/>
        <v>17125898.805555556</v>
      </c>
      <c r="F38" s="40" t="s">
        <v>39</v>
      </c>
      <c r="G38" s="41">
        <v>0.1</v>
      </c>
      <c r="H38" s="42">
        <v>0.125</v>
      </c>
      <c r="I38" s="43">
        <v>0.125</v>
      </c>
      <c r="J38" s="44">
        <f t="shared" si="8"/>
        <v>4.6667388455608116E-3</v>
      </c>
      <c r="K38" s="45">
        <f t="shared" si="9"/>
        <v>3.968253968253968E-3</v>
      </c>
      <c r="L38" s="46">
        <f t="shared" si="14"/>
        <v>0</v>
      </c>
      <c r="M38" s="46">
        <f t="shared" si="15"/>
        <v>0</v>
      </c>
      <c r="N38" s="47">
        <v>0</v>
      </c>
      <c r="O38" s="37">
        <v>0</v>
      </c>
      <c r="P38" s="51">
        <f t="shared" ref="P38:P44" si="18">(R38)/J38</f>
        <v>0</v>
      </c>
      <c r="Q38" s="49">
        <f t="shared" si="17"/>
        <v>0.25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7155179.3931746148</v>
      </c>
      <c r="E39" s="39">
        <f t="shared" si="1"/>
        <v>6084242.114285714</v>
      </c>
      <c r="F39" s="40" t="s">
        <v>44</v>
      </c>
      <c r="G39" s="41">
        <v>1.7452379999999998</v>
      </c>
      <c r="H39" s="42">
        <v>1.8</v>
      </c>
      <c r="I39" s="43">
        <v>1.8</v>
      </c>
      <c r="J39" s="44">
        <f t="shared" si="8"/>
        <v>6.7201039376075689E-2</v>
      </c>
      <c r="K39" s="45">
        <f t="shared" si="9"/>
        <v>5.7142857142857141E-2</v>
      </c>
      <c r="L39" s="46">
        <f t="shared" si="14"/>
        <v>0</v>
      </c>
      <c r="M39" s="46">
        <f t="shared" si="15"/>
        <v>0</v>
      </c>
      <c r="N39" s="47">
        <v>0</v>
      </c>
      <c r="O39" s="37">
        <v>0</v>
      </c>
      <c r="P39" s="51">
        <f t="shared" si="18"/>
        <v>0</v>
      </c>
      <c r="Q39" s="49">
        <f t="shared" si="17"/>
        <v>3.1377955327583029E-2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3850025.30582073</v>
      </c>
      <c r="E40" s="39">
        <f t="shared" si="1"/>
        <v>3273780.4071111106</v>
      </c>
      <c r="F40" s="40" t="s">
        <v>39</v>
      </c>
      <c r="G40" s="41">
        <v>0.03</v>
      </c>
      <c r="H40" s="42">
        <v>5.7999999999999996E-2</v>
      </c>
      <c r="I40" s="43">
        <v>5.7999999999999996E-2</v>
      </c>
      <c r="J40" s="44">
        <f t="shared" si="8"/>
        <v>2.1653668243402165E-3</v>
      </c>
      <c r="K40" s="45">
        <f t="shared" si="9"/>
        <v>1.8412698412698411E-3</v>
      </c>
      <c r="L40" s="46">
        <f t="shared" si="14"/>
        <v>0</v>
      </c>
      <c r="M40" s="46">
        <f t="shared" si="15"/>
        <v>0</v>
      </c>
      <c r="N40" s="47">
        <v>0</v>
      </c>
      <c r="O40" s="37">
        <v>0</v>
      </c>
      <c r="P40" s="51">
        <f t="shared" si="18"/>
        <v>0</v>
      </c>
      <c r="Q40" s="49">
        <f t="shared" si="17"/>
        <v>0.93333333333333335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45634365.174024791</v>
      </c>
      <c r="E41" s="39">
        <f t="shared" si="1"/>
        <v>38804132.11097797</v>
      </c>
      <c r="F41" s="40" t="s">
        <v>47</v>
      </c>
      <c r="G41" s="41">
        <v>4.5</v>
      </c>
      <c r="H41" s="42">
        <v>6.9771429999999999</v>
      </c>
      <c r="I41" s="43">
        <v>6.9771429999999999</v>
      </c>
      <c r="J41" s="44">
        <f t="shared" si="8"/>
        <v>0.26048403415306159</v>
      </c>
      <c r="K41" s="45">
        <f t="shared" si="9"/>
        <v>0.22149660317460318</v>
      </c>
      <c r="L41" s="46">
        <f t="shared" si="14"/>
        <v>0</v>
      </c>
      <c r="M41" s="46">
        <f t="shared" si="15"/>
        <v>0</v>
      </c>
      <c r="N41" s="47">
        <v>0</v>
      </c>
      <c r="O41" s="37">
        <v>0</v>
      </c>
      <c r="P41" s="51">
        <f t="shared" si="18"/>
        <v>0</v>
      </c>
      <c r="Q41" s="49">
        <f t="shared" si="17"/>
        <v>0.55047622222222214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311.36772401279808</v>
      </c>
      <c r="E42" s="39">
        <f t="shared" si="1"/>
        <v>264.76437771428573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6.7201039376075691E-7</v>
      </c>
      <c r="K42" s="45">
        <f t="shared" si="9"/>
        <v>5.7142857142857149E-7</v>
      </c>
      <c r="L42" s="46">
        <f t="shared" si="14"/>
        <v>0</v>
      </c>
      <c r="M42" s="46">
        <f t="shared" si="15"/>
        <v>0</v>
      </c>
      <c r="N42" s="47">
        <v>0</v>
      </c>
      <c r="O42" s="37">
        <v>0</v>
      </c>
      <c r="P42" s="51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1720346.6080275376</v>
      </c>
      <c r="E43" s="39">
        <f t="shared" si="1"/>
        <v>1462857.142857143</v>
      </c>
      <c r="F43" s="40" t="s">
        <v>56</v>
      </c>
      <c r="G43" s="41">
        <v>7.0000000000000007E-2</v>
      </c>
      <c r="H43" s="42">
        <v>0.08</v>
      </c>
      <c r="I43" s="43">
        <v>0.08</v>
      </c>
      <c r="J43" s="44">
        <f t="shared" si="8"/>
        <v>2.9867128611589192E-3</v>
      </c>
      <c r="K43" s="45">
        <f t="shared" si="9"/>
        <v>2.5396825396825397E-3</v>
      </c>
      <c r="L43" s="46">
        <f t="shared" si="14"/>
        <v>0</v>
      </c>
      <c r="M43" s="46">
        <f t="shared" si="15"/>
        <v>0</v>
      </c>
      <c r="N43" s="47">
        <v>0</v>
      </c>
      <c r="O43" s="37">
        <v>0</v>
      </c>
      <c r="P43" s="51">
        <f t="shared" si="18"/>
        <v>0</v>
      </c>
      <c r="Q43" s="49">
        <f t="shared" si="17"/>
        <v>0.14285714285714279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64487157.011495106</v>
      </c>
      <c r="E44" s="39">
        <f t="shared" si="1"/>
        <v>54835169.73650793</v>
      </c>
      <c r="F44" s="40" t="s">
        <v>47</v>
      </c>
      <c r="G44" s="41">
        <v>0.9998999999999999</v>
      </c>
      <c r="H44" s="42">
        <v>0.95</v>
      </c>
      <c r="I44" s="43">
        <v>0.95</v>
      </c>
      <c r="J44" s="44">
        <f t="shared" si="8"/>
        <v>3.5467215226262165E-2</v>
      </c>
      <c r="K44" s="45">
        <f t="shared" si="9"/>
        <v>3.0158730158730156E-2</v>
      </c>
      <c r="L44" s="46">
        <f t="shared" si="14"/>
        <v>0</v>
      </c>
      <c r="M44" s="46">
        <f t="shared" si="15"/>
        <v>0</v>
      </c>
      <c r="N44" s="47">
        <v>6500</v>
      </c>
      <c r="O44" s="37">
        <v>6175</v>
      </c>
      <c r="P44" s="51">
        <f t="shared" si="18"/>
        <v>0</v>
      </c>
      <c r="Q44" s="49">
        <f t="shared" si="17"/>
        <v>-4.9904990499049839E-2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8781371.5284129735</v>
      </c>
      <c r="E45" s="39">
        <f t="shared" si="1"/>
        <v>7467037.1682539675</v>
      </c>
      <c r="F45" s="40" t="s">
        <v>47</v>
      </c>
      <c r="G45" s="41">
        <v>1.4503460000000001</v>
      </c>
      <c r="H45" s="42">
        <v>2.1</v>
      </c>
      <c r="I45" s="43">
        <v>2.29</v>
      </c>
      <c r="J45" s="44">
        <f t="shared" si="8"/>
        <v>8.5494655650674073E-2</v>
      </c>
      <c r="K45" s="45">
        <f t="shared" si="9"/>
        <v>7.2698412698412693E-2</v>
      </c>
      <c r="L45" s="46">
        <f t="shared" si="14"/>
        <v>0.18999999999999995</v>
      </c>
      <c r="M45" s="46">
        <f t="shared" si="15"/>
        <v>9.0476190476190439</v>
      </c>
      <c r="N45" s="47">
        <v>100</v>
      </c>
      <c r="O45" s="37">
        <v>229</v>
      </c>
      <c r="P45" s="51">
        <v>0</v>
      </c>
      <c r="Q45" s="49">
        <f t="shared" si="17"/>
        <v>0.57893357860813888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47"/>
      <c r="O46" s="37"/>
      <c r="P46" s="51"/>
      <c r="Q46" s="49"/>
      <c r="R46" s="50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881900</v>
      </c>
      <c r="O47" s="61">
        <f>SUM(O9:O46)</f>
        <v>5402874.2500000009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37" t="s">
        <v>118</v>
      </c>
      <c r="B49" s="138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40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 t="shared" ref="D50:D65" si="19">C50*J50</f>
        <v>72139640.040000007</v>
      </c>
      <c r="E50" s="39">
        <v>0</v>
      </c>
      <c r="F50" s="40" t="s">
        <v>92</v>
      </c>
      <c r="G50" s="70">
        <v>0.1</v>
      </c>
      <c r="H50" s="42">
        <v>0.13300000000000001</v>
      </c>
      <c r="I50" s="42">
        <v>0.13</v>
      </c>
      <c r="J50" s="44">
        <f t="shared" ref="J50:J65" si="20">I50</f>
        <v>0.13</v>
      </c>
      <c r="K50" s="39">
        <v>0</v>
      </c>
      <c r="L50" s="46">
        <f t="shared" ref="L50:L65" si="21">I50-H50</f>
        <v>-3.0000000000000027E-3</v>
      </c>
      <c r="M50" s="46">
        <f t="shared" ref="M50:M65" si="22">((I50-H50)/H50)*100</f>
        <v>-2.2556390977443628</v>
      </c>
      <c r="N50" s="47">
        <v>616068</v>
      </c>
      <c r="O50" s="37">
        <v>80104.19</v>
      </c>
      <c r="P50" s="71">
        <f>(R50)/J50</f>
        <v>0</v>
      </c>
      <c r="Q50" s="49">
        <f t="shared" ref="Q50:Q65" si="23">J50/G50-1</f>
        <v>0.30000000000000004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1057685</v>
      </c>
      <c r="D51" s="38">
        <f t="shared" si="19"/>
        <v>42307400</v>
      </c>
      <c r="E51" s="39">
        <v>0</v>
      </c>
      <c r="F51" s="40" t="s">
        <v>39</v>
      </c>
      <c r="G51" s="70">
        <v>39.9</v>
      </c>
      <c r="H51" s="42">
        <v>40</v>
      </c>
      <c r="I51" s="42">
        <v>40</v>
      </c>
      <c r="J51" s="44">
        <f t="shared" si="20"/>
        <v>40</v>
      </c>
      <c r="K51" s="39">
        <v>0</v>
      </c>
      <c r="L51" s="46">
        <f t="shared" si="21"/>
        <v>0</v>
      </c>
      <c r="M51" s="46">
        <f t="shared" si="22"/>
        <v>0</v>
      </c>
      <c r="N51" s="47">
        <v>11</v>
      </c>
      <c r="O51" s="37">
        <v>440</v>
      </c>
      <c r="P51" s="72">
        <f>(R51)/J51</f>
        <v>1.4000000000000002E-2</v>
      </c>
      <c r="Q51" s="49">
        <f t="shared" si="23"/>
        <v>2.5062656641603454E-3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687299887.72909999</v>
      </c>
      <c r="E52" s="39"/>
      <c r="F52" s="40" t="s">
        <v>56</v>
      </c>
      <c r="G52" s="70">
        <v>0.33</v>
      </c>
      <c r="H52" s="42">
        <v>0.2278</v>
      </c>
      <c r="I52" s="42">
        <v>0.22969999999999999</v>
      </c>
      <c r="J52" s="44">
        <f t="shared" si="20"/>
        <v>0.22969999999999999</v>
      </c>
      <c r="K52" s="39">
        <v>0</v>
      </c>
      <c r="L52" s="46">
        <f t="shared" si="21"/>
        <v>1.899999999999985E-3</v>
      </c>
      <c r="M52" s="46">
        <f t="shared" si="22"/>
        <v>0.83406496927128404</v>
      </c>
      <c r="N52" s="47">
        <v>41121</v>
      </c>
      <c r="O52" s="37">
        <v>9445.5300000000007</v>
      </c>
      <c r="P52" s="71">
        <v>0</v>
      </c>
      <c r="Q52" s="49">
        <f t="shared" si="23"/>
        <v>-0.30393939393939406</v>
      </c>
      <c r="R52" s="52"/>
      <c r="T52" s="52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13597223.028899999</v>
      </c>
      <c r="E53" s="39">
        <v>0</v>
      </c>
      <c r="F53" s="40" t="s">
        <v>34</v>
      </c>
      <c r="G53" s="70">
        <v>2.3E-2</v>
      </c>
      <c r="H53" s="42">
        <v>0.02</v>
      </c>
      <c r="I53" s="42">
        <v>2.23E-2</v>
      </c>
      <c r="J53" s="44">
        <f t="shared" si="20"/>
        <v>2.23E-2</v>
      </c>
      <c r="K53" s="39">
        <v>0</v>
      </c>
      <c r="L53" s="46">
        <f t="shared" si="21"/>
        <v>2.3E-3</v>
      </c>
      <c r="M53" s="46">
        <f t="shared" si="22"/>
        <v>11.5</v>
      </c>
      <c r="N53" s="47">
        <v>2801</v>
      </c>
      <c r="O53" s="37">
        <v>62.45</v>
      </c>
      <c r="P53" s="71">
        <f t="shared" ref="P53:P65" si="24">(R53)/J53</f>
        <v>0</v>
      </c>
      <c r="Q53" s="49">
        <f t="shared" si="23"/>
        <v>-3.0434782608695587E-2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305372665.17479998</v>
      </c>
      <c r="E54" s="39">
        <v>0</v>
      </c>
      <c r="F54" s="40" t="s">
        <v>47</v>
      </c>
      <c r="G54" s="70">
        <v>9.0200000000000002E-2</v>
      </c>
      <c r="H54" s="42">
        <v>0.15049999999999999</v>
      </c>
      <c r="I54" s="42">
        <v>0.14119999999999999</v>
      </c>
      <c r="J54" s="44">
        <f t="shared" si="20"/>
        <v>0.14119999999999999</v>
      </c>
      <c r="K54" s="39">
        <v>0</v>
      </c>
      <c r="L54" s="46">
        <f t="shared" si="21"/>
        <v>-9.3000000000000027E-3</v>
      </c>
      <c r="M54" s="73">
        <f t="shared" si="22"/>
        <v>-6.1794019933554836</v>
      </c>
      <c r="N54" s="47">
        <v>274110</v>
      </c>
      <c r="O54" s="37">
        <v>38714.74</v>
      </c>
      <c r="P54" s="71">
        <f t="shared" si="24"/>
        <v>0</v>
      </c>
      <c r="Q54" s="49">
        <f t="shared" si="23"/>
        <v>0.56541019955654082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839297615.58500004</v>
      </c>
      <c r="E55" s="39">
        <v>0</v>
      </c>
      <c r="F55" s="40" t="s">
        <v>34</v>
      </c>
      <c r="G55" s="70">
        <v>0.95750000000000002</v>
      </c>
      <c r="H55" s="42">
        <v>1.4663999999999999</v>
      </c>
      <c r="I55" s="42">
        <v>1.4573</v>
      </c>
      <c r="J55" s="44">
        <f t="shared" si="20"/>
        <v>1.4573</v>
      </c>
      <c r="K55" s="39">
        <v>0</v>
      </c>
      <c r="L55" s="46">
        <f t="shared" si="21"/>
        <v>-9.099999999999886E-3</v>
      </c>
      <c r="M55" s="46">
        <f t="shared" si="22"/>
        <v>-0.620567375886517</v>
      </c>
      <c r="N55" s="47">
        <v>77682</v>
      </c>
      <c r="O55" s="37">
        <v>113206.38</v>
      </c>
      <c r="P55" s="72">
        <f t="shared" si="24"/>
        <v>3.2251423866053661E-2</v>
      </c>
      <c r="Q55" s="49">
        <f t="shared" si="23"/>
        <v>0.52198433420365542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0">
        <v>0.1595</v>
      </c>
      <c r="H56" s="42">
        <v>0.15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0</v>
      </c>
      <c r="M56" s="46">
        <f t="shared" si="22"/>
        <v>0</v>
      </c>
      <c r="N56" s="47">
        <v>589</v>
      </c>
      <c r="O56" s="37">
        <v>88.35</v>
      </c>
      <c r="P56" s="71">
        <f t="shared" si="24"/>
        <v>0</v>
      </c>
      <c r="Q56" s="49">
        <f t="shared" si="23"/>
        <v>-5.9561128526645857E-2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953802800</v>
      </c>
      <c r="D57" s="38">
        <f t="shared" si="19"/>
        <v>17263830.68</v>
      </c>
      <c r="E57" s="39">
        <v>0</v>
      </c>
      <c r="F57" s="40" t="s">
        <v>92</v>
      </c>
      <c r="G57" s="70">
        <v>1.6799999999999999E-2</v>
      </c>
      <c r="H57" s="42">
        <v>1.8100000000000002E-2</v>
      </c>
      <c r="I57" s="42">
        <v>1.8100000000000002E-2</v>
      </c>
      <c r="J57" s="44">
        <f t="shared" si="20"/>
        <v>1.8100000000000002E-2</v>
      </c>
      <c r="K57" s="39">
        <v>0</v>
      </c>
      <c r="L57" s="46">
        <f t="shared" si="21"/>
        <v>0</v>
      </c>
      <c r="M57" s="73">
        <f t="shared" si="22"/>
        <v>0</v>
      </c>
      <c r="N57" s="47">
        <v>57180</v>
      </c>
      <c r="O57" s="37">
        <v>1033.42</v>
      </c>
      <c r="P57" s="71">
        <f t="shared" si="24"/>
        <v>0</v>
      </c>
      <c r="Q57" s="49">
        <f t="shared" si="23"/>
        <v>7.738095238095255E-2</v>
      </c>
      <c r="R57" s="52"/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2902914</v>
      </c>
      <c r="E58" s="39">
        <v>0</v>
      </c>
      <c r="F58" s="40" t="s">
        <v>137</v>
      </c>
      <c r="G58" s="70">
        <v>19.5</v>
      </c>
      <c r="H58" s="42">
        <v>17</v>
      </c>
      <c r="I58" s="42">
        <v>18</v>
      </c>
      <c r="J58" s="44">
        <f t="shared" si="20"/>
        <v>18</v>
      </c>
      <c r="K58" s="39">
        <v>0</v>
      </c>
      <c r="L58" s="46">
        <f t="shared" si="21"/>
        <v>1</v>
      </c>
      <c r="M58" s="46">
        <f t="shared" si="22"/>
        <v>5.8823529411764701</v>
      </c>
      <c r="N58" s="47">
        <v>6</v>
      </c>
      <c r="O58" s="37">
        <v>108</v>
      </c>
      <c r="P58" s="71">
        <f t="shared" si="24"/>
        <v>0</v>
      </c>
      <c r="Q58" s="49">
        <f t="shared" si="23"/>
        <v>-7.6923076923076872E-2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3853018734.9046001</v>
      </c>
      <c r="E59" s="39">
        <v>0</v>
      </c>
      <c r="F59" s="40" t="s">
        <v>47</v>
      </c>
      <c r="G59" s="70">
        <v>0.78169999999999995</v>
      </c>
      <c r="H59" s="74">
        <v>0.83850000000000002</v>
      </c>
      <c r="I59" s="42">
        <v>0.85660000000000003</v>
      </c>
      <c r="J59" s="44">
        <f t="shared" si="20"/>
        <v>0.85660000000000003</v>
      </c>
      <c r="K59" s="39">
        <v>0</v>
      </c>
      <c r="L59" s="46">
        <f t="shared" si="21"/>
        <v>1.8100000000000005E-2</v>
      </c>
      <c r="M59" s="46">
        <f t="shared" si="22"/>
        <v>2.1586165772212289</v>
      </c>
      <c r="N59" s="47">
        <v>176000</v>
      </c>
      <c r="O59" s="37">
        <v>150762.14000000001</v>
      </c>
      <c r="P59" s="71">
        <f t="shared" si="24"/>
        <v>0</v>
      </c>
      <c r="Q59" s="49">
        <f t="shared" si="23"/>
        <v>9.5816809517717871E-2</v>
      </c>
      <c r="R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1062155832.0042999</v>
      </c>
      <c r="E60" s="39">
        <v>0</v>
      </c>
      <c r="F60" s="40" t="s">
        <v>92</v>
      </c>
      <c r="G60" s="70">
        <v>0.59499999999999997</v>
      </c>
      <c r="H60" s="42">
        <v>1.3156000000000001</v>
      </c>
      <c r="I60" s="42">
        <v>1.3192999999999999</v>
      </c>
      <c r="J60" s="44">
        <f t="shared" si="20"/>
        <v>1.3192999999999999</v>
      </c>
      <c r="K60" s="39">
        <v>0</v>
      </c>
      <c r="L60" s="46">
        <f t="shared" si="21"/>
        <v>3.6999999999998145E-3</v>
      </c>
      <c r="M60" s="46">
        <f t="shared" si="22"/>
        <v>0.28124049863178885</v>
      </c>
      <c r="N60" s="47">
        <v>239350</v>
      </c>
      <c r="O60" s="37">
        <v>315779.62</v>
      </c>
      <c r="P60" s="71">
        <f t="shared" si="24"/>
        <v>0</v>
      </c>
      <c r="Q60" s="49">
        <f t="shared" si="23"/>
        <v>1.2173109243697477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108196524.97</v>
      </c>
      <c r="E61" s="39">
        <v>0</v>
      </c>
      <c r="F61" s="40" t="s">
        <v>34</v>
      </c>
      <c r="G61" s="70">
        <v>0.22600000000000001</v>
      </c>
      <c r="H61" s="42">
        <v>0.41210000000000002</v>
      </c>
      <c r="I61" s="42">
        <v>0.41499999999999998</v>
      </c>
      <c r="J61" s="44">
        <f t="shared" si="20"/>
        <v>0.41499999999999998</v>
      </c>
      <c r="K61" s="39">
        <v>0</v>
      </c>
      <c r="L61" s="46">
        <f t="shared" si="21"/>
        <v>2.8999999999999582E-3</v>
      </c>
      <c r="M61" s="46">
        <f t="shared" si="22"/>
        <v>0.70371269109438439</v>
      </c>
      <c r="N61" s="47">
        <v>11978</v>
      </c>
      <c r="O61" s="37">
        <v>4970.32</v>
      </c>
      <c r="P61" s="71">
        <f t="shared" si="24"/>
        <v>0</v>
      </c>
      <c r="Q61" s="49">
        <f t="shared" si="23"/>
        <v>0.83628318584070782</v>
      </c>
      <c r="T61" s="52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429621614.9896</v>
      </c>
      <c r="E62" s="39">
        <v>0</v>
      </c>
      <c r="F62" s="40" t="s">
        <v>34</v>
      </c>
      <c r="G62" s="70">
        <v>0.49440000000000001</v>
      </c>
      <c r="H62" s="42">
        <v>0.75329999999999997</v>
      </c>
      <c r="I62" s="42">
        <v>0.76419999999999999</v>
      </c>
      <c r="J62" s="44">
        <f t="shared" si="20"/>
        <v>0.76419999999999999</v>
      </c>
      <c r="K62" s="39">
        <v>0</v>
      </c>
      <c r="L62" s="46">
        <f t="shared" si="21"/>
        <v>1.0900000000000021E-2</v>
      </c>
      <c r="M62" s="46">
        <f t="shared" si="22"/>
        <v>1.4469666799415932</v>
      </c>
      <c r="N62" s="47">
        <v>44814</v>
      </c>
      <c r="O62" s="37">
        <v>34245.32</v>
      </c>
      <c r="P62" s="71">
        <f t="shared" si="24"/>
        <v>0</v>
      </c>
      <c r="Q62" s="49">
        <f t="shared" si="23"/>
        <v>0.54571197411003225</v>
      </c>
      <c r="R62" s="52"/>
      <c r="T62" s="52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80195727.700000003</v>
      </c>
      <c r="E63" s="39">
        <v>0</v>
      </c>
      <c r="F63" s="40" t="s">
        <v>34</v>
      </c>
      <c r="G63" s="70">
        <v>0.25950000000000001</v>
      </c>
      <c r="H63" s="42">
        <v>0.21940000000000001</v>
      </c>
      <c r="I63" s="42">
        <v>0.22</v>
      </c>
      <c r="J63" s="44">
        <f t="shared" si="20"/>
        <v>0.22</v>
      </c>
      <c r="K63" s="39">
        <v>0</v>
      </c>
      <c r="L63" s="46">
        <f t="shared" si="21"/>
        <v>5.9999999999998943E-4</v>
      </c>
      <c r="M63" s="46">
        <f t="shared" si="22"/>
        <v>0.27347310847766154</v>
      </c>
      <c r="N63" s="47">
        <v>665</v>
      </c>
      <c r="O63" s="37">
        <v>146.27000000000001</v>
      </c>
      <c r="P63" s="71">
        <f t="shared" si="24"/>
        <v>0</v>
      </c>
      <c r="Q63" s="49">
        <f t="shared" si="23"/>
        <v>-0.1522157996146436</v>
      </c>
      <c r="R63" s="52"/>
      <c r="T63" s="52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0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47">
        <v>0</v>
      </c>
      <c r="O64" s="37">
        <v>0</v>
      </c>
      <c r="P64" s="71">
        <f t="shared" si="24"/>
        <v>0</v>
      </c>
      <c r="Q64" s="49">
        <f t="shared" si="23"/>
        <v>0</v>
      </c>
      <c r="T64" s="52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40522665.1536</v>
      </c>
      <c r="E65" s="39">
        <v>0</v>
      </c>
      <c r="F65" s="40" t="s">
        <v>44</v>
      </c>
      <c r="G65" s="70">
        <v>4.2999999999999997E-2</v>
      </c>
      <c r="H65" s="42">
        <v>0.12</v>
      </c>
      <c r="I65" s="42">
        <v>0.1176</v>
      </c>
      <c r="J65" s="44">
        <f t="shared" si="20"/>
        <v>0.1176</v>
      </c>
      <c r="K65" s="39">
        <v>0</v>
      </c>
      <c r="L65" s="46">
        <f t="shared" si="21"/>
        <v>-2.3999999999999994E-3</v>
      </c>
      <c r="M65" s="46">
        <f t="shared" si="22"/>
        <v>-1.9999999999999998</v>
      </c>
      <c r="N65" s="47">
        <v>1650</v>
      </c>
      <c r="O65" s="37">
        <v>194</v>
      </c>
      <c r="P65" s="71">
        <f t="shared" si="24"/>
        <v>0</v>
      </c>
      <c r="Q65" s="49">
        <f t="shared" si="23"/>
        <v>1.7348837209302328</v>
      </c>
      <c r="T65" s="52"/>
    </row>
    <row r="66" spans="1:20" ht="13.2" x14ac:dyDescent="0.35">
      <c r="A66" s="75"/>
      <c r="B66" s="36" t="s">
        <v>117</v>
      </c>
      <c r="C66" s="40"/>
      <c r="D66" s="76"/>
      <c r="E66" s="76"/>
      <c r="F66" s="40"/>
      <c r="G66" s="40"/>
      <c r="H66" s="42"/>
      <c r="I66" s="42"/>
      <c r="J66" s="42"/>
      <c r="K66" s="42"/>
      <c r="L66" s="46"/>
      <c r="M66" s="77"/>
      <c r="N66" s="61">
        <f>SUM(N50:N65)</f>
        <v>1544025</v>
      </c>
      <c r="O66" s="62">
        <f>SUM(O50:O65)</f>
        <v>749300.73</v>
      </c>
      <c r="P66" s="78"/>
      <c r="Q66" s="63"/>
    </row>
    <row r="67" spans="1:20" ht="12.6" hidden="1" x14ac:dyDescent="0.3">
      <c r="A67" s="131" t="s">
        <v>152</v>
      </c>
      <c r="B67" s="132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4"/>
    </row>
    <row r="68" spans="1:20" ht="12.6" hidden="1" thickBot="1" x14ac:dyDescent="0.3">
      <c r="A68" s="79" t="s">
        <v>153</v>
      </c>
      <c r="B68" s="80" t="s">
        <v>154</v>
      </c>
      <c r="C68" s="81">
        <v>20000</v>
      </c>
      <c r="D68" s="82">
        <f>C68*J68</f>
        <v>0</v>
      </c>
      <c r="E68" s="82"/>
      <c r="F68" s="81" t="s">
        <v>155</v>
      </c>
      <c r="G68" s="81"/>
      <c r="H68" s="83">
        <v>100</v>
      </c>
      <c r="I68" s="83"/>
      <c r="J68" s="83"/>
      <c r="K68" s="83"/>
      <c r="L68" s="84">
        <f>I68-H68</f>
        <v>-100</v>
      </c>
      <c r="M68" s="85">
        <f>((I68-H68)/H68)*100</f>
        <v>-100</v>
      </c>
      <c r="N68" s="86" t="s">
        <v>57</v>
      </c>
      <c r="O68" s="86" t="s">
        <v>57</v>
      </c>
      <c r="P68" s="86"/>
      <c r="Q68" s="87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7"/>
      <c r="N69" s="88"/>
      <c r="O69" s="88"/>
      <c r="P69" s="88"/>
      <c r="Q69" s="63"/>
    </row>
    <row r="70" spans="1:20" ht="12.6" x14ac:dyDescent="0.3">
      <c r="A70" s="131" t="s">
        <v>156</v>
      </c>
      <c r="B70" s="132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4"/>
    </row>
    <row r="71" spans="1:20" x14ac:dyDescent="0.25">
      <c r="A71" s="35" t="s">
        <v>157</v>
      </c>
      <c r="B71" s="89" t="s">
        <v>158</v>
      </c>
      <c r="C71" s="90">
        <v>139300587</v>
      </c>
      <c r="D71" s="38">
        <f>C71*J71</f>
        <v>48755205.449999996</v>
      </c>
      <c r="E71" s="39">
        <f>C71*K71</f>
        <v>48755205.449999996</v>
      </c>
      <c r="F71" s="90" t="s">
        <v>159</v>
      </c>
      <c r="G71" s="90">
        <v>0.24</v>
      </c>
      <c r="H71" s="91">
        <v>0.34970000000000001</v>
      </c>
      <c r="I71" s="91">
        <v>0.35</v>
      </c>
      <c r="J71" s="92">
        <f>I71</f>
        <v>0.35</v>
      </c>
      <c r="K71" s="92">
        <f>J71</f>
        <v>0.35</v>
      </c>
      <c r="L71" s="46">
        <f>I71-H71</f>
        <v>2.9999999999996696E-4</v>
      </c>
      <c r="M71" s="46">
        <f>((I71-H71)/H71)*100</f>
        <v>8.5787818129816118E-2</v>
      </c>
      <c r="N71" s="93">
        <v>320</v>
      </c>
      <c r="O71" s="94">
        <v>112</v>
      </c>
      <c r="P71" s="71">
        <f>(R71)/J71</f>
        <v>0</v>
      </c>
      <c r="Q71" s="49">
        <f>J71/G71-1</f>
        <v>0.45833333333333326</v>
      </c>
      <c r="T71" s="52"/>
    </row>
    <row r="72" spans="1:20" x14ac:dyDescent="0.25">
      <c r="A72" s="35" t="s">
        <v>160</v>
      </c>
      <c r="B72" s="89" t="s">
        <v>161</v>
      </c>
      <c r="C72" s="90">
        <v>471351750</v>
      </c>
      <c r="D72" s="38">
        <f>C72*J72</f>
        <v>70561356.974999994</v>
      </c>
      <c r="E72" s="39">
        <f>C72*K72</f>
        <v>70561356.974999994</v>
      </c>
      <c r="F72" s="90" t="s">
        <v>159</v>
      </c>
      <c r="G72" s="90">
        <v>0.1</v>
      </c>
      <c r="H72" s="91">
        <v>0.1454</v>
      </c>
      <c r="I72" s="91">
        <v>0.1497</v>
      </c>
      <c r="J72" s="92">
        <f>I72</f>
        <v>0.1497</v>
      </c>
      <c r="K72" s="92">
        <f>J72</f>
        <v>0.1497</v>
      </c>
      <c r="L72" s="46">
        <f>I72-H72</f>
        <v>4.2999999999999983E-3</v>
      </c>
      <c r="M72" s="46">
        <f>((I72-H72)/H72)*100</f>
        <v>2.9573590096286093</v>
      </c>
      <c r="N72" s="47">
        <v>1985</v>
      </c>
      <c r="O72" s="94">
        <v>297.25</v>
      </c>
      <c r="P72" s="95">
        <f>(R72)/J72</f>
        <v>2.533066132264529E-2</v>
      </c>
      <c r="Q72" s="49">
        <f>J72/G72-1</f>
        <v>0.49699999999999989</v>
      </c>
      <c r="R72" s="5">
        <v>3.7919999999999998E-3</v>
      </c>
      <c r="T72" s="52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7"/>
      <c r="N73" s="61">
        <f>SUM(N71:N72)</f>
        <v>2305</v>
      </c>
      <c r="O73" s="62">
        <f>SUM(O71:O72)</f>
        <v>409.25</v>
      </c>
      <c r="P73" s="88"/>
      <c r="Q73" s="63"/>
    </row>
    <row r="74" spans="1:20" ht="12.6" x14ac:dyDescent="0.3">
      <c r="A74" s="131" t="s">
        <v>162</v>
      </c>
      <c r="B74" s="132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4"/>
    </row>
    <row r="75" spans="1:20" x14ac:dyDescent="0.25">
      <c r="A75" s="35" t="s">
        <v>163</v>
      </c>
      <c r="B75" s="89" t="s">
        <v>164</v>
      </c>
      <c r="C75" s="90">
        <v>20819695</v>
      </c>
      <c r="D75" s="38">
        <f>C75*J75</f>
        <v>2498363.4</v>
      </c>
      <c r="E75" s="39">
        <f>C75*K75</f>
        <v>2498363.4</v>
      </c>
      <c r="F75" s="90" t="s">
        <v>137</v>
      </c>
      <c r="G75" s="90">
        <v>0.1394</v>
      </c>
      <c r="H75" s="91">
        <v>0.1198</v>
      </c>
      <c r="I75" s="91">
        <v>0.12</v>
      </c>
      <c r="J75" s="92">
        <f>I75</f>
        <v>0.12</v>
      </c>
      <c r="K75" s="92">
        <f>J75</f>
        <v>0.12</v>
      </c>
      <c r="L75" s="46">
        <f>I75-H75</f>
        <v>1.9999999999999185E-4</v>
      </c>
      <c r="M75" s="46">
        <f>((I75-H75)/H75)*100</f>
        <v>0.1669449081802937</v>
      </c>
      <c r="N75" s="93">
        <v>5645</v>
      </c>
      <c r="O75" s="94">
        <v>677.4</v>
      </c>
      <c r="P75" s="71">
        <f>(R75)/J75</f>
        <v>0</v>
      </c>
      <c r="Q75" s="49">
        <f>J75/G75-1</f>
        <v>-0.13916786226685796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7"/>
      <c r="N76" s="61"/>
      <c r="O76" s="62"/>
      <c r="P76" s="88"/>
      <c r="Q76" s="63"/>
    </row>
    <row r="77" spans="1:20" ht="12.6" x14ac:dyDescent="0.3">
      <c r="A77" s="137" t="s">
        <v>165</v>
      </c>
      <c r="B77" s="138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40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133747.41559736125</v>
      </c>
      <c r="E78" s="39">
        <f>C78*K78</f>
        <v>113729.03653968254</v>
      </c>
      <c r="F78" s="40" t="s">
        <v>137</v>
      </c>
      <c r="G78" s="70">
        <v>0.105</v>
      </c>
      <c r="H78" s="42">
        <v>0.1</v>
      </c>
      <c r="I78" s="42">
        <v>0.113</v>
      </c>
      <c r="J78" s="44">
        <f>I78/$J$5</f>
        <v>4.218731916386974E-3</v>
      </c>
      <c r="K78" s="45">
        <f>I78/$K$4</f>
        <v>3.5873015873015873E-3</v>
      </c>
      <c r="L78" s="46">
        <f>I78-H78</f>
        <v>1.2999999999999998E-2</v>
      </c>
      <c r="M78" s="96">
        <f>((I78-H78)/H78)*100</f>
        <v>12.999999999999998</v>
      </c>
      <c r="N78" s="37">
        <v>100</v>
      </c>
      <c r="O78" s="37">
        <v>11.3</v>
      </c>
      <c r="P78" s="40">
        <v>0</v>
      </c>
      <c r="Q78" s="49">
        <f>I78/G78-1</f>
        <v>7.6190476190476364E-2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406676.95191018953</v>
      </c>
      <c r="E79" s="39">
        <f>C79*K79</f>
        <v>345808.38603174605</v>
      </c>
      <c r="F79" s="40" t="s">
        <v>137</v>
      </c>
      <c r="G79" s="70">
        <v>4.2500000000000003E-2</v>
      </c>
      <c r="H79" s="42">
        <v>0.08</v>
      </c>
      <c r="I79" s="42">
        <v>0.08</v>
      </c>
      <c r="J79" s="44">
        <f>I79/$J$5</f>
        <v>2.9867128611589192E-3</v>
      </c>
      <c r="K79" s="45">
        <f>I79/$K$4</f>
        <v>2.5396825396825397E-3</v>
      </c>
      <c r="L79" s="46">
        <f>I79-H79</f>
        <v>0</v>
      </c>
      <c r="M79" s="96">
        <f>((I79-H79)/H79)*100</f>
        <v>0</v>
      </c>
      <c r="N79" s="37">
        <v>300</v>
      </c>
      <c r="O79" s="37">
        <v>24</v>
      </c>
      <c r="P79" s="40">
        <v>0</v>
      </c>
      <c r="Q79" s="49">
        <f>I79/G79-1</f>
        <v>0.88235294117647056</v>
      </c>
    </row>
    <row r="80" spans="1:20" x14ac:dyDescent="0.25">
      <c r="A80" s="35" t="s">
        <v>170</v>
      </c>
      <c r="B80" s="36" t="s">
        <v>171</v>
      </c>
      <c r="C80" s="40">
        <v>6677853</v>
      </c>
      <c r="D80" s="38">
        <f>C80*J80</f>
        <v>32410.347840046597</v>
      </c>
      <c r="E80" s="39">
        <f>C80*K80</f>
        <v>27559.393333333337</v>
      </c>
      <c r="F80" s="40" t="s">
        <v>137</v>
      </c>
      <c r="G80" s="70">
        <v>6.0499999999999998E-2</v>
      </c>
      <c r="H80" s="42">
        <v>0.13</v>
      </c>
      <c r="I80" s="42">
        <v>0.13</v>
      </c>
      <c r="J80" s="44">
        <f>I80/$J$5</f>
        <v>4.8534083993832444E-3</v>
      </c>
      <c r="K80" s="45">
        <f>I80/$K$4</f>
        <v>4.1269841269841274E-3</v>
      </c>
      <c r="L80" s="46">
        <f>I80-H80</f>
        <v>0</v>
      </c>
      <c r="M80" s="96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1.1487603305785123</v>
      </c>
    </row>
    <row r="81" spans="1:243" x14ac:dyDescent="0.25">
      <c r="A81" s="35" t="s">
        <v>172</v>
      </c>
      <c r="B81" s="36" t="s">
        <v>173</v>
      </c>
      <c r="C81" s="37">
        <v>494417400</v>
      </c>
      <c r="D81" s="38">
        <f>C81*J81</f>
        <v>31379509.656416018</v>
      </c>
      <c r="E81" s="39">
        <f>C81*K81</f>
        <v>26682843.809523806</v>
      </c>
      <c r="F81" s="40" t="s">
        <v>137</v>
      </c>
      <c r="G81" s="70">
        <v>1.85</v>
      </c>
      <c r="H81" s="42">
        <v>1.7</v>
      </c>
      <c r="I81" s="42">
        <v>1.7</v>
      </c>
      <c r="J81" s="44">
        <f>I81/$J$5</f>
        <v>6.3467648299627033E-2</v>
      </c>
      <c r="K81" s="45">
        <f>I81/$K$4</f>
        <v>5.3968253968253964E-2</v>
      </c>
      <c r="L81" s="46">
        <f>I81-H81</f>
        <v>0</v>
      </c>
      <c r="M81" s="96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400</v>
      </c>
      <c r="O82" s="62">
        <f>SUM(O78:O81)</f>
        <v>35.299999999999997</v>
      </c>
      <c r="P82" s="78"/>
      <c r="Q82" s="63"/>
      <c r="V82" s="97"/>
      <c r="W82" s="97"/>
      <c r="DU82" s="98"/>
      <c r="DV82" s="98"/>
      <c r="DW82" s="99"/>
      <c r="DX82" s="100"/>
      <c r="DY82" s="100"/>
      <c r="DZ82" s="101"/>
      <c r="EA82" s="101"/>
      <c r="EB82" s="102"/>
      <c r="EC82" s="102"/>
      <c r="ED82" s="103"/>
      <c r="EE82" s="103"/>
      <c r="EF82" s="101"/>
      <c r="EG82" s="104"/>
      <c r="EH82" s="105"/>
      <c r="EI82" s="99"/>
      <c r="EJ82" s="98"/>
      <c r="EK82" s="98"/>
      <c r="EL82" s="99"/>
      <c r="EM82" s="100"/>
      <c r="EN82" s="100"/>
      <c r="EO82" s="101"/>
      <c r="EP82" s="101"/>
      <c r="EQ82" s="102"/>
      <c r="ER82" s="102"/>
      <c r="ES82" s="103"/>
      <c r="ET82" s="103"/>
      <c r="EU82" s="101"/>
      <c r="EV82" s="104"/>
      <c r="EW82" s="105"/>
      <c r="EX82" s="99"/>
      <c r="EY82" s="98"/>
      <c r="EZ82" s="98"/>
      <c r="FA82" s="99"/>
      <c r="FB82" s="100"/>
      <c r="FC82" s="100"/>
      <c r="FD82" s="101"/>
      <c r="FE82" s="101"/>
      <c r="FF82" s="102"/>
      <c r="FG82" s="102"/>
      <c r="FH82" s="103"/>
      <c r="FI82" s="103"/>
      <c r="FJ82" s="101"/>
      <c r="FK82" s="104"/>
      <c r="FL82" s="105"/>
      <c r="FM82" s="99"/>
      <c r="FN82" s="98"/>
      <c r="FO82" s="98"/>
      <c r="FP82" s="99"/>
      <c r="FQ82" s="100"/>
      <c r="FR82" s="100"/>
      <c r="FS82" s="101"/>
      <c r="FT82" s="101"/>
      <c r="FU82" s="102"/>
      <c r="FV82" s="102"/>
      <c r="FW82" s="103"/>
      <c r="FX82" s="103"/>
      <c r="FY82" s="101"/>
      <c r="FZ82" s="104"/>
      <c r="GA82" s="105"/>
      <c r="GB82" s="99"/>
      <c r="GC82" s="98"/>
      <c r="GD82" s="98"/>
      <c r="GE82" s="99"/>
      <c r="GF82" s="100"/>
      <c r="GG82" s="100"/>
      <c r="GH82" s="101"/>
      <c r="GI82" s="101"/>
      <c r="GJ82" s="102"/>
      <c r="GK82" s="102"/>
      <c r="GL82" s="103"/>
      <c r="GM82" s="103"/>
      <c r="GN82" s="101"/>
      <c r="GO82" s="104"/>
      <c r="GP82" s="105"/>
      <c r="GQ82" s="99"/>
      <c r="GR82" s="98"/>
      <c r="GS82" s="98"/>
      <c r="GT82" s="99"/>
      <c r="GU82" s="100"/>
      <c r="GV82" s="100"/>
      <c r="GW82" s="101"/>
      <c r="GX82" s="101"/>
      <c r="GY82" s="102"/>
      <c r="GZ82" s="102"/>
      <c r="HA82" s="103"/>
      <c r="HB82" s="103"/>
      <c r="HC82" s="101"/>
      <c r="HD82" s="104"/>
      <c r="HE82" s="105"/>
      <c r="HF82" s="99"/>
      <c r="HG82" s="98"/>
      <c r="HH82" s="98"/>
      <c r="HI82" s="99"/>
      <c r="HJ82" s="100"/>
      <c r="HK82" s="100"/>
      <c r="HL82" s="101"/>
      <c r="HM82" s="101"/>
      <c r="HN82" s="102"/>
      <c r="HO82" s="102"/>
      <c r="HP82" s="103"/>
      <c r="HQ82" s="103"/>
      <c r="HR82" s="101"/>
      <c r="HS82" s="104"/>
      <c r="HT82" s="105"/>
      <c r="HU82" s="99"/>
      <c r="HV82" s="98"/>
      <c r="HW82" s="98"/>
      <c r="HX82" s="99"/>
      <c r="HY82" s="100"/>
      <c r="HZ82" s="100"/>
      <c r="IA82" s="101"/>
      <c r="IB82" s="101"/>
      <c r="IC82" s="102"/>
      <c r="ID82" s="102"/>
      <c r="IE82" s="103"/>
      <c r="IF82" s="103"/>
      <c r="IG82" s="101"/>
      <c r="IH82" s="104"/>
      <c r="II82" s="105"/>
    </row>
    <row r="83" spans="1:243" ht="13.2" thickTop="1" x14ac:dyDescent="0.3">
      <c r="A83" s="131" t="s">
        <v>174</v>
      </c>
      <c r="B83" s="132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4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27261474.716728952</v>
      </c>
      <c r="E84" s="39">
        <f>C84*K84</f>
        <v>23181167.578730155</v>
      </c>
      <c r="F84" s="40" t="s">
        <v>177</v>
      </c>
      <c r="G84" s="40">
        <v>1.3</v>
      </c>
      <c r="H84" s="42">
        <v>1.9824999999999999</v>
      </c>
      <c r="I84" s="42">
        <v>1.9824999999999999</v>
      </c>
      <c r="J84" s="44">
        <f>I84/$J$5</f>
        <v>7.4014478090594471E-2</v>
      </c>
      <c r="K84" s="45">
        <f>I84/$K$4</f>
        <v>6.2936507936507929E-2</v>
      </c>
      <c r="L84" s="46">
        <f>I84-H84</f>
        <v>0</v>
      </c>
      <c r="M84" s="46">
        <f>((I84-H84)/H84*100)</f>
        <v>0</v>
      </c>
      <c r="N84" s="106">
        <v>0</v>
      </c>
      <c r="O84" s="107">
        <v>0</v>
      </c>
      <c r="P84" s="51">
        <f>(R84)/J84</f>
        <v>0</v>
      </c>
      <c r="Q84" s="49">
        <f>I84/G84-1</f>
        <v>0.52499999999999991</v>
      </c>
      <c r="R84" s="52"/>
    </row>
    <row r="85" spans="1:243" s="108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75577733.828256547</v>
      </c>
      <c r="E85" s="39">
        <f>C85*K85</f>
        <v>64265786.473333329</v>
      </c>
      <c r="F85" s="40" t="s">
        <v>177</v>
      </c>
      <c r="G85" s="40">
        <v>1.44347</v>
      </c>
      <c r="H85" s="42">
        <v>1.19645</v>
      </c>
      <c r="I85" s="42">
        <f>109.9542/100</f>
        <v>1.099542</v>
      </c>
      <c r="J85" s="44">
        <f>I85/$J$5</f>
        <v>4.105020290980501E-2</v>
      </c>
      <c r="K85" s="45">
        <f>I85/$K$4</f>
        <v>3.4906095238095236E-2</v>
      </c>
      <c r="L85" s="46">
        <f>I85-H85</f>
        <v>-9.6907999999999994E-2</v>
      </c>
      <c r="M85" s="46">
        <f>((I85-H85)/H85*100)</f>
        <v>-8.0996280663629907</v>
      </c>
      <c r="N85" s="107">
        <v>818564</v>
      </c>
      <c r="O85" s="107">
        <v>900148.7784999999</v>
      </c>
      <c r="P85" s="48">
        <f>(R85)/J85</f>
        <v>5.300826416817183E-2</v>
      </c>
      <c r="Q85" s="49">
        <f>I85/G85-1</f>
        <v>-0.23826473705723017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79"/>
      <c r="B86" s="80"/>
      <c r="C86" s="81"/>
      <c r="D86" s="109"/>
      <c r="E86" s="82"/>
      <c r="F86" s="81"/>
      <c r="G86" s="81"/>
      <c r="H86" s="83"/>
      <c r="I86" s="83"/>
      <c r="J86" s="83"/>
      <c r="K86" s="83"/>
      <c r="L86" s="84"/>
      <c r="M86" s="84"/>
      <c r="N86" s="84"/>
      <c r="O86" s="84"/>
      <c r="P86" s="84"/>
      <c r="Q86" s="87"/>
    </row>
    <row r="87" spans="1:243" ht="12.6" thickBot="1" x14ac:dyDescent="0.3">
      <c r="A87" s="110"/>
      <c r="B87" s="111"/>
      <c r="C87" s="111"/>
      <c r="D87" s="111"/>
      <c r="E87" s="111"/>
      <c r="F87" s="112"/>
      <c r="G87" s="112"/>
      <c r="H87" s="59"/>
      <c r="M87" s="113"/>
      <c r="N87" s="113"/>
      <c r="O87" s="59"/>
      <c r="P87" s="59"/>
      <c r="Q87" s="114"/>
    </row>
    <row r="88" spans="1:243" ht="15" customHeight="1" thickBot="1" x14ac:dyDescent="0.3">
      <c r="A88" s="141" t="s">
        <v>180</v>
      </c>
      <c r="B88" s="142"/>
      <c r="C88" s="142"/>
      <c r="D88" s="143"/>
      <c r="E88" s="141" t="s">
        <v>181</v>
      </c>
      <c r="F88" s="142"/>
      <c r="G88" s="142"/>
      <c r="H88" s="143"/>
      <c r="I88" s="52"/>
      <c r="J88" s="144" t="s">
        <v>182</v>
      </c>
      <c r="K88" s="145"/>
      <c r="L88" s="146"/>
      <c r="M88" s="144" t="s">
        <v>183</v>
      </c>
      <c r="N88" s="145"/>
      <c r="O88" s="146"/>
      <c r="Q88" s="16"/>
    </row>
    <row r="89" spans="1:243" ht="15" customHeight="1" x14ac:dyDescent="0.25">
      <c r="A89" s="35" t="s">
        <v>45</v>
      </c>
      <c r="B89" s="115">
        <v>41.514300000000006</v>
      </c>
      <c r="D89" s="115">
        <v>11.973534798287817</v>
      </c>
      <c r="E89" s="35" t="s">
        <v>50</v>
      </c>
      <c r="F89" s="116">
        <v>3.85771</v>
      </c>
      <c r="H89" s="117">
        <v>-7.729072382632161</v>
      </c>
      <c r="J89" s="35" t="s">
        <v>125</v>
      </c>
      <c r="K89" s="51">
        <v>2.23E-2</v>
      </c>
      <c r="L89" s="118">
        <v>11.5</v>
      </c>
      <c r="M89" s="59" t="s">
        <v>127</v>
      </c>
      <c r="N89" s="116">
        <v>0.14119999999999999</v>
      </c>
      <c r="O89" s="117">
        <v>-6.1794019933554836</v>
      </c>
      <c r="Q89" s="16"/>
    </row>
    <row r="90" spans="1:243" ht="15" customHeight="1" x14ac:dyDescent="0.25">
      <c r="A90" s="35" t="s">
        <v>115</v>
      </c>
      <c r="B90" s="115">
        <v>2.29</v>
      </c>
      <c r="D90" s="115">
        <v>9.0476190476190439</v>
      </c>
      <c r="E90" s="35" t="s">
        <v>35</v>
      </c>
      <c r="F90" s="116">
        <v>7.5199999999999989E-2</v>
      </c>
      <c r="H90" s="117">
        <v>-1.0526315789473804</v>
      </c>
      <c r="J90" s="35" t="s">
        <v>135</v>
      </c>
      <c r="K90" s="51">
        <v>18</v>
      </c>
      <c r="L90" s="118">
        <v>5.8823529411764701</v>
      </c>
      <c r="M90" s="59" t="s">
        <v>119</v>
      </c>
      <c r="N90" s="116">
        <v>0.13</v>
      </c>
      <c r="O90" s="117">
        <v>-2.2556390977443628</v>
      </c>
      <c r="Q90" s="16"/>
    </row>
    <row r="91" spans="1:243" ht="15" customHeight="1" x14ac:dyDescent="0.25">
      <c r="A91" s="35" t="s">
        <v>32</v>
      </c>
      <c r="B91" s="115">
        <v>15.507100000000001</v>
      </c>
      <c r="C91" s="115"/>
      <c r="D91" s="115">
        <v>3.3806666666666749</v>
      </c>
      <c r="E91" s="35" t="s">
        <v>52</v>
      </c>
      <c r="F91" s="116">
        <v>32.399899999999995</v>
      </c>
      <c r="H91" s="117">
        <v>-2.7770149557684285E-2</v>
      </c>
      <c r="J91" s="35" t="s">
        <v>138</v>
      </c>
      <c r="K91" s="51">
        <v>0.85660000000000003</v>
      </c>
      <c r="L91" s="118">
        <v>2.1586165772212289</v>
      </c>
      <c r="M91" s="35" t="s">
        <v>150</v>
      </c>
      <c r="N91" s="116">
        <v>0.1176</v>
      </c>
      <c r="O91" s="117">
        <v>-1.9999999999999998</v>
      </c>
      <c r="Q91" s="16"/>
    </row>
    <row r="92" spans="1:243" ht="15" customHeight="1" x14ac:dyDescent="0.25">
      <c r="A92" s="35" t="s">
        <v>99</v>
      </c>
      <c r="B92" s="115">
        <v>0.30049999999999999</v>
      </c>
      <c r="C92" s="115"/>
      <c r="D92" s="115">
        <v>1.3753993448551554</v>
      </c>
      <c r="E92" s="35" t="s">
        <v>75</v>
      </c>
      <c r="F92" s="116">
        <v>2.4999229999999999</v>
      </c>
      <c r="H92" s="117">
        <v>-3.0800000000041909E-3</v>
      </c>
      <c r="J92" s="35" t="s">
        <v>144</v>
      </c>
      <c r="K92" s="51">
        <v>0.76419999999999999</v>
      </c>
      <c r="L92" s="118">
        <v>1.4469666799415932</v>
      </c>
      <c r="M92" s="35" t="s">
        <v>129</v>
      </c>
      <c r="N92" s="116">
        <v>1.4573</v>
      </c>
      <c r="O92" s="117">
        <v>-0.620567375886517</v>
      </c>
      <c r="Q92" s="16"/>
    </row>
    <row r="93" spans="1:243" ht="15" customHeight="1" x14ac:dyDescent="0.25">
      <c r="A93" s="35" t="s">
        <v>86</v>
      </c>
      <c r="B93" s="115">
        <v>1.349442</v>
      </c>
      <c r="C93" s="115"/>
      <c r="D93" s="115">
        <v>0.70425110354066889</v>
      </c>
      <c r="E93" s="35"/>
      <c r="F93" s="116"/>
      <c r="G93" s="116"/>
      <c r="H93" s="117"/>
      <c r="J93" s="35" t="s">
        <v>123</v>
      </c>
      <c r="K93" s="51">
        <v>0.22969999999999999</v>
      </c>
      <c r="L93" s="118">
        <v>0.83406496927128404</v>
      </c>
      <c r="M93" s="35"/>
      <c r="N93" s="116"/>
      <c r="O93" s="117"/>
      <c r="Q93" s="16"/>
    </row>
    <row r="94" spans="1:243" ht="15.75" customHeight="1" thickBot="1" x14ac:dyDescent="0.3">
      <c r="A94" s="119"/>
      <c r="B94" s="120"/>
      <c r="C94" s="120"/>
      <c r="D94" s="120"/>
      <c r="E94" s="119"/>
      <c r="F94" s="120"/>
      <c r="G94" s="120"/>
      <c r="H94" s="121"/>
      <c r="J94" s="119"/>
      <c r="K94" s="120"/>
      <c r="L94" s="121"/>
      <c r="M94" s="120"/>
      <c r="N94" s="120"/>
      <c r="O94" s="121"/>
      <c r="Q94" s="16"/>
    </row>
    <row r="95" spans="1:243" x14ac:dyDescent="0.25">
      <c r="A95" s="122"/>
      <c r="B95" s="123"/>
      <c r="C95" s="123"/>
      <c r="D95" s="123"/>
      <c r="E95" s="113"/>
      <c r="F95" s="113"/>
      <c r="G95" s="113"/>
      <c r="H95" s="113"/>
      <c r="I95" s="113"/>
      <c r="J95" s="113"/>
      <c r="K95" s="113"/>
      <c r="L95" s="113"/>
      <c r="M95" s="123"/>
      <c r="Q95" s="16"/>
    </row>
    <row r="96" spans="1:243" x14ac:dyDescent="0.25">
      <c r="A96" s="12" t="s">
        <v>184</v>
      </c>
      <c r="B96" s="124"/>
      <c r="C96" s="124"/>
      <c r="D96" s="124"/>
      <c r="E96" s="124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2"/>
      <c r="B97" s="123"/>
      <c r="C97" s="123"/>
      <c r="D97" s="123"/>
      <c r="E97" s="123"/>
      <c r="F97" s="113"/>
      <c r="G97" s="113"/>
      <c r="H97" s="123"/>
      <c r="I97" s="113"/>
      <c r="J97" s="113"/>
      <c r="K97" s="113"/>
      <c r="L97" s="113"/>
      <c r="M97" s="123"/>
      <c r="Q97" s="16"/>
    </row>
    <row r="98" spans="1:17" ht="12.6" thickBot="1" x14ac:dyDescent="0.3">
      <c r="A98" s="125"/>
      <c r="B98" s="126"/>
      <c r="C98" s="126"/>
      <c r="D98" s="126"/>
      <c r="E98" s="126"/>
      <c r="F98" s="127"/>
      <c r="G98" s="127"/>
      <c r="H98" s="127"/>
      <c r="I98" s="128"/>
      <c r="J98" s="128"/>
      <c r="K98" s="128"/>
      <c r="L98" s="128"/>
      <c r="M98" s="128"/>
      <c r="N98" s="128"/>
      <c r="O98" s="128"/>
      <c r="P98" s="128"/>
      <c r="Q98" s="129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0"/>
      <c r="J102" s="130"/>
      <c r="K102" s="130"/>
      <c r="O102" s="130"/>
      <c r="P102" s="130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0"/>
      <c r="J105" s="130"/>
      <c r="K105" s="130"/>
      <c r="O105" s="130"/>
      <c r="P105" s="130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0"/>
      <c r="J107" s="130"/>
      <c r="K107" s="130"/>
      <c r="O107" s="130"/>
      <c r="P107" s="130"/>
    </row>
  </sheetData>
  <sheetProtection algorithmName="SHA-512" hashValue="mWASzPOHwIYWLSB9ca5lyM1vB3jlG2975CyNlKwwH25tqEvdqj8OnO6It33ut7H4uKaVYtUJVzItft1hhBGV4Q==" saltValue="OqbspGsD/b2wTQBR9d3tjw==" spinCount="100000" sheet="1"/>
  <sortState xmlns:xlrd2="http://schemas.microsoft.com/office/spreadsheetml/2017/richdata2" ref="A50:II65">
    <sortCondition ref="A50:A65"/>
  </sortState>
  <mergeCells count="12">
    <mergeCell ref="A77:Q77"/>
    <mergeCell ref="A83:Q83"/>
    <mergeCell ref="A88:D88"/>
    <mergeCell ref="E88:H88"/>
    <mergeCell ref="J88:L88"/>
    <mergeCell ref="M88:O88"/>
    <mergeCell ref="A74:Q74"/>
    <mergeCell ref="L5:M5"/>
    <mergeCell ref="A6:Q6"/>
    <mergeCell ref="A49:Q49"/>
    <mergeCell ref="A67:Q67"/>
    <mergeCell ref="A70:Q70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2026-08-17T13:46:01Z</dcterms:created>
  <dcterms:modified xsi:type="dcterms:W3CDTF">2026-08-17T14:02:02Z</dcterms:modified>
</cp:coreProperties>
</file>