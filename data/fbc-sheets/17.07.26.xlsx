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ukarwae\Music\"/>
    </mc:Choice>
  </mc:AlternateContent>
  <xr:revisionPtr revIDLastSave="0" documentId="8_{8719F42A-288E-46F4-9AB0-574879569ECF}" xr6:coauthVersionLast="47" xr6:coauthVersionMax="47" xr10:uidLastSave="{00000000-0000-0000-0000-000000000000}"/>
  <bookViews>
    <workbookView xWindow="-108" yWindow="-108" windowWidth="23256" windowHeight="12456" xr2:uid="{6CE9034F-E9DA-4EF2-A809-8F0FA300FD06}"/>
  </bookViews>
  <sheets>
    <sheet name="Price Sheet" sheetId="1" r:id="rId1"/>
  </sheets>
  <definedNames>
    <definedName name="_xlnm._FilterDatabase" localSheetId="0" hidden="1">'Price Sheet'!$9:$46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4" i="1" l="1"/>
  <c r="I84" i="1"/>
  <c r="Q84" i="1" s="1"/>
  <c r="H84" i="1"/>
  <c r="Q83" i="1"/>
  <c r="I83" i="1"/>
  <c r="J83" i="1" s="1"/>
  <c r="O81" i="1"/>
  <c r="N81" i="1"/>
  <c r="Q80" i="1"/>
  <c r="M80" i="1"/>
  <c r="L80" i="1"/>
  <c r="K80" i="1"/>
  <c r="J80" i="1"/>
  <c r="E80" i="1"/>
  <c r="D80" i="1"/>
  <c r="Q79" i="1"/>
  <c r="M79" i="1"/>
  <c r="L79" i="1"/>
  <c r="K79" i="1"/>
  <c r="J79" i="1"/>
  <c r="D79" i="1" s="1"/>
  <c r="E79" i="1"/>
  <c r="Q78" i="1"/>
  <c r="M78" i="1"/>
  <c r="L78" i="1"/>
  <c r="K78" i="1"/>
  <c r="J78" i="1"/>
  <c r="E78" i="1"/>
  <c r="D78" i="1"/>
  <c r="Q77" i="1"/>
  <c r="M77" i="1"/>
  <c r="L77" i="1"/>
  <c r="K77" i="1"/>
  <c r="E77" i="1" s="1"/>
  <c r="J77" i="1"/>
  <c r="D77" i="1"/>
  <c r="M74" i="1"/>
  <c r="L74" i="1"/>
  <c r="J74" i="1"/>
  <c r="Q74" i="1" s="1"/>
  <c r="D74" i="1"/>
  <c r="O72" i="1"/>
  <c r="N72" i="1"/>
  <c r="M71" i="1"/>
  <c r="L71" i="1"/>
  <c r="J71" i="1"/>
  <c r="Q71" i="1" s="1"/>
  <c r="D71" i="1"/>
  <c r="Q70" i="1"/>
  <c r="P70" i="1"/>
  <c r="M70" i="1"/>
  <c r="L70" i="1"/>
  <c r="J70" i="1"/>
  <c r="K70" i="1" s="1"/>
  <c r="E70" i="1" s="1"/>
  <c r="D70" i="1"/>
  <c r="M67" i="1"/>
  <c r="L67" i="1"/>
  <c r="D67" i="1"/>
  <c r="O65" i="1"/>
  <c r="N65" i="1"/>
  <c r="M64" i="1"/>
  <c r="L64" i="1"/>
  <c r="J64" i="1"/>
  <c r="P64" i="1" s="1"/>
  <c r="D64" i="1"/>
  <c r="M61" i="1"/>
  <c r="L61" i="1"/>
  <c r="J61" i="1"/>
  <c r="P61" i="1" s="1"/>
  <c r="D61" i="1"/>
  <c r="M50" i="1"/>
  <c r="L50" i="1"/>
  <c r="J50" i="1"/>
  <c r="Q50" i="1" s="1"/>
  <c r="D50" i="1"/>
  <c r="M52" i="1"/>
  <c r="L52" i="1"/>
  <c r="J52" i="1"/>
  <c r="Q52" i="1" s="1"/>
  <c r="D52" i="1"/>
  <c r="M60" i="1"/>
  <c r="L60" i="1"/>
  <c r="J60" i="1"/>
  <c r="Q60" i="1" s="1"/>
  <c r="D60" i="1"/>
  <c r="M57" i="1"/>
  <c r="L57" i="1"/>
  <c r="J57" i="1"/>
  <c r="P57" i="1" s="1"/>
  <c r="D57" i="1"/>
  <c r="Q63" i="1"/>
  <c r="P63" i="1"/>
  <c r="M63" i="1"/>
  <c r="L63" i="1"/>
  <c r="J63" i="1"/>
  <c r="D63" i="1"/>
  <c r="M62" i="1"/>
  <c r="L62" i="1"/>
  <c r="J62" i="1"/>
  <c r="Q62" i="1" s="1"/>
  <c r="D62" i="1"/>
  <c r="Q54" i="1"/>
  <c r="P54" i="1"/>
  <c r="M54" i="1"/>
  <c r="L54" i="1"/>
  <c r="J54" i="1"/>
  <c r="D54" i="1"/>
  <c r="M53" i="1"/>
  <c r="L53" i="1"/>
  <c r="J53" i="1"/>
  <c r="Q53" i="1" s="1"/>
  <c r="D53" i="1"/>
  <c r="M51" i="1"/>
  <c r="L51" i="1"/>
  <c r="J51" i="1"/>
  <c r="Q51" i="1" s="1"/>
  <c r="D51" i="1"/>
  <c r="M55" i="1"/>
  <c r="L55" i="1"/>
  <c r="J55" i="1"/>
  <c r="P55" i="1" s="1"/>
  <c r="D55" i="1"/>
  <c r="M59" i="1"/>
  <c r="L59" i="1"/>
  <c r="J59" i="1"/>
  <c r="Q59" i="1" s="1"/>
  <c r="D59" i="1"/>
  <c r="M56" i="1"/>
  <c r="L56" i="1"/>
  <c r="J56" i="1"/>
  <c r="Q56" i="1" s="1"/>
  <c r="D56" i="1"/>
  <c r="M58" i="1"/>
  <c r="L58" i="1"/>
  <c r="J58" i="1"/>
  <c r="Q58" i="1" s="1"/>
  <c r="D58" i="1"/>
  <c r="O47" i="1"/>
  <c r="N47" i="1"/>
  <c r="Q35" i="1"/>
  <c r="M35" i="1"/>
  <c r="L35" i="1"/>
  <c r="K35" i="1"/>
  <c r="J35" i="1"/>
  <c r="D35" i="1" s="1"/>
  <c r="E35" i="1"/>
  <c r="Q19" i="1"/>
  <c r="M19" i="1"/>
  <c r="L19" i="1"/>
  <c r="K19" i="1"/>
  <c r="J19" i="1"/>
  <c r="P19" i="1" s="1"/>
  <c r="E19" i="1"/>
  <c r="Q46" i="1"/>
  <c r="M46" i="1"/>
  <c r="L46" i="1"/>
  <c r="K46" i="1"/>
  <c r="E46" i="1" s="1"/>
  <c r="J46" i="1"/>
  <c r="D46" i="1"/>
  <c r="Q26" i="1"/>
  <c r="M26" i="1"/>
  <c r="L26" i="1"/>
  <c r="K26" i="1"/>
  <c r="E26" i="1" s="1"/>
  <c r="J26" i="1"/>
  <c r="P26" i="1" s="1"/>
  <c r="Q36" i="1"/>
  <c r="M36" i="1"/>
  <c r="L36" i="1"/>
  <c r="K36" i="1"/>
  <c r="J36" i="1"/>
  <c r="P36" i="1" s="1"/>
  <c r="E36" i="1"/>
  <c r="D36" i="1"/>
  <c r="Q44" i="1"/>
  <c r="P44" i="1"/>
  <c r="M44" i="1"/>
  <c r="L44" i="1"/>
  <c r="K44" i="1"/>
  <c r="E44" i="1" s="1"/>
  <c r="J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E41" i="1" s="1"/>
  <c r="J41" i="1"/>
  <c r="D41" i="1" s="1"/>
  <c r="Q40" i="1"/>
  <c r="M40" i="1"/>
  <c r="L40" i="1"/>
  <c r="K40" i="1"/>
  <c r="J40" i="1"/>
  <c r="P40" i="1" s="1"/>
  <c r="E40" i="1"/>
  <c r="D40" i="1"/>
  <c r="Q39" i="1"/>
  <c r="M39" i="1"/>
  <c r="L39" i="1"/>
  <c r="K39" i="1"/>
  <c r="E39" i="1" s="1"/>
  <c r="J39" i="1"/>
  <c r="P39" i="1" s="1"/>
  <c r="Q34" i="1"/>
  <c r="M34" i="1"/>
  <c r="L34" i="1"/>
  <c r="K34" i="1"/>
  <c r="E34" i="1" s="1"/>
  <c r="J34" i="1"/>
  <c r="P34" i="1" s="1"/>
  <c r="D34" i="1"/>
  <c r="Q33" i="1"/>
  <c r="M33" i="1"/>
  <c r="L33" i="1"/>
  <c r="K33" i="1"/>
  <c r="E33" i="1" s="1"/>
  <c r="J33" i="1"/>
  <c r="P33" i="1" s="1"/>
  <c r="D33" i="1"/>
  <c r="Q32" i="1"/>
  <c r="M32" i="1"/>
  <c r="L32" i="1"/>
  <c r="K32" i="1"/>
  <c r="J32" i="1"/>
  <c r="P32" i="1" s="1"/>
  <c r="E32" i="1"/>
  <c r="D32" i="1"/>
  <c r="Q29" i="1"/>
  <c r="M29" i="1"/>
  <c r="L29" i="1"/>
  <c r="K29" i="1"/>
  <c r="E29" i="1" s="1"/>
  <c r="J29" i="1"/>
  <c r="P29" i="1" s="1"/>
  <c r="D29" i="1"/>
  <c r="K31" i="1"/>
  <c r="J31" i="1"/>
  <c r="E31" i="1"/>
  <c r="D31" i="1"/>
  <c r="Q28" i="1"/>
  <c r="M28" i="1"/>
  <c r="L28" i="1"/>
  <c r="K28" i="1"/>
  <c r="E28" i="1" s="1"/>
  <c r="J28" i="1"/>
  <c r="P28" i="1" s="1"/>
  <c r="D28" i="1"/>
  <c r="Q27" i="1"/>
  <c r="M27" i="1"/>
  <c r="L27" i="1"/>
  <c r="K27" i="1"/>
  <c r="J27" i="1"/>
  <c r="P27" i="1" s="1"/>
  <c r="E27" i="1"/>
  <c r="Q25" i="1"/>
  <c r="M25" i="1"/>
  <c r="L25" i="1"/>
  <c r="K25" i="1"/>
  <c r="J25" i="1"/>
  <c r="P25" i="1" s="1"/>
  <c r="E25" i="1"/>
  <c r="D25" i="1"/>
  <c r="Q24" i="1"/>
  <c r="P24" i="1"/>
  <c r="M24" i="1"/>
  <c r="L24" i="1"/>
  <c r="K24" i="1"/>
  <c r="E24" i="1" s="1"/>
  <c r="J24" i="1"/>
  <c r="D24" i="1" s="1"/>
  <c r="Q21" i="1"/>
  <c r="M21" i="1"/>
  <c r="L21" i="1"/>
  <c r="K21" i="1"/>
  <c r="J21" i="1"/>
  <c r="P21" i="1" s="1"/>
  <c r="E21" i="1"/>
  <c r="D21" i="1"/>
  <c r="Q20" i="1"/>
  <c r="M20" i="1"/>
  <c r="L20" i="1"/>
  <c r="K20" i="1"/>
  <c r="E20" i="1" s="1"/>
  <c r="J20" i="1"/>
  <c r="P20" i="1" s="1"/>
  <c r="D20" i="1"/>
  <c r="Q15" i="1"/>
  <c r="M15" i="1"/>
  <c r="L15" i="1"/>
  <c r="K15" i="1"/>
  <c r="E15" i="1" s="1"/>
  <c r="J15" i="1"/>
  <c r="P15" i="1" s="1"/>
  <c r="D15" i="1"/>
  <c r="Q22" i="1"/>
  <c r="M22" i="1"/>
  <c r="L22" i="1"/>
  <c r="K22" i="1"/>
  <c r="J22" i="1"/>
  <c r="E22" i="1"/>
  <c r="D22" i="1"/>
  <c r="Q13" i="1"/>
  <c r="M13" i="1"/>
  <c r="L13" i="1"/>
  <c r="K13" i="1"/>
  <c r="E13" i="1" s="1"/>
  <c r="J13" i="1"/>
  <c r="P13" i="1" s="1"/>
  <c r="Q12" i="1"/>
  <c r="M12" i="1"/>
  <c r="L12" i="1"/>
  <c r="K12" i="1"/>
  <c r="E12" i="1" s="1"/>
  <c r="J12" i="1"/>
  <c r="D12" i="1" s="1"/>
  <c r="Q11" i="1"/>
  <c r="M11" i="1"/>
  <c r="L11" i="1"/>
  <c r="K11" i="1"/>
  <c r="E11" i="1" s="1"/>
  <c r="J11" i="1"/>
  <c r="P11" i="1" s="1"/>
  <c r="E18" i="1"/>
  <c r="D18" i="1"/>
  <c r="Q9" i="1"/>
  <c r="M9" i="1"/>
  <c r="L9" i="1"/>
  <c r="K9" i="1"/>
  <c r="J9" i="1"/>
  <c r="P9" i="1" s="1"/>
  <c r="E9" i="1"/>
  <c r="D9" i="1"/>
  <c r="Q17" i="1"/>
  <c r="M17" i="1"/>
  <c r="L17" i="1"/>
  <c r="K17" i="1"/>
  <c r="J17" i="1"/>
  <c r="P17" i="1" s="1"/>
  <c r="E17" i="1"/>
  <c r="D17" i="1"/>
  <c r="Q23" i="1"/>
  <c r="M23" i="1"/>
  <c r="L23" i="1"/>
  <c r="K23" i="1"/>
  <c r="E23" i="1" s="1"/>
  <c r="J23" i="1"/>
  <c r="D23" i="1" s="1"/>
  <c r="Q37" i="1"/>
  <c r="M37" i="1"/>
  <c r="L37" i="1"/>
  <c r="K37" i="1"/>
  <c r="J37" i="1"/>
  <c r="P37" i="1" s="1"/>
  <c r="E37" i="1"/>
  <c r="D37" i="1"/>
  <c r="Q16" i="1"/>
  <c r="P16" i="1"/>
  <c r="M16" i="1"/>
  <c r="L16" i="1"/>
  <c r="K16" i="1"/>
  <c r="E16" i="1" s="1"/>
  <c r="J16" i="1"/>
  <c r="D16" i="1"/>
  <c r="Q14" i="1"/>
  <c r="M14" i="1"/>
  <c r="L14" i="1"/>
  <c r="K14" i="1"/>
  <c r="J14" i="1"/>
  <c r="D14" i="1" s="1"/>
  <c r="E14" i="1"/>
  <c r="Q10" i="1"/>
  <c r="M10" i="1"/>
  <c r="L10" i="1"/>
  <c r="K10" i="1"/>
  <c r="J10" i="1"/>
  <c r="P10" i="1" s="1"/>
  <c r="E10" i="1"/>
  <c r="D10" i="1"/>
  <c r="Q38" i="1"/>
  <c r="M38" i="1"/>
  <c r="L38" i="1"/>
  <c r="K38" i="1"/>
  <c r="E38" i="1" s="1"/>
  <c r="J38" i="1"/>
  <c r="D38" i="1"/>
  <c r="Q45" i="1"/>
  <c r="M45" i="1"/>
  <c r="L45" i="1"/>
  <c r="K45" i="1"/>
  <c r="J45" i="1"/>
  <c r="P45" i="1" s="1"/>
  <c r="E45" i="1"/>
  <c r="D45" i="1"/>
  <c r="Q64" i="1" l="1"/>
  <c r="P51" i="1"/>
  <c r="P59" i="1"/>
  <c r="P58" i="1"/>
  <c r="P50" i="1"/>
  <c r="P60" i="1"/>
  <c r="P12" i="1"/>
  <c r="D11" i="1"/>
  <c r="D39" i="1"/>
  <c r="P41" i="1"/>
  <c r="D13" i="1"/>
  <c r="D26" i="1"/>
  <c r="D27" i="1"/>
  <c r="D19" i="1"/>
  <c r="P83" i="1"/>
  <c r="D83" i="1"/>
  <c r="K74" i="1"/>
  <c r="E74" i="1" s="1"/>
  <c r="P14" i="1"/>
  <c r="J84" i="1"/>
  <c r="K71" i="1"/>
  <c r="E71" i="1" s="1"/>
  <c r="K84" i="1"/>
  <c r="E84" i="1" s="1"/>
  <c r="P56" i="1"/>
  <c r="P53" i="1"/>
  <c r="P62" i="1"/>
  <c r="Q61" i="1"/>
  <c r="P74" i="1"/>
  <c r="K83" i="1"/>
  <c r="E83" i="1" s="1"/>
  <c r="Q55" i="1"/>
  <c r="Q57" i="1"/>
  <c r="L83" i="1"/>
  <c r="M84" i="1"/>
  <c r="P71" i="1"/>
  <c r="M83" i="1"/>
  <c r="O83" i="1"/>
  <c r="P23" i="1"/>
  <c r="P35" i="1"/>
  <c r="L84" i="1"/>
  <c r="P84" i="1" l="1"/>
  <c r="D84" i="1"/>
</calcChain>
</file>

<file path=xl/sharedStrings.xml><?xml version="1.0" encoding="utf-8"?>
<sst xmlns="http://schemas.openxmlformats.org/spreadsheetml/2006/main" count="267" uniqueCount="183">
  <si>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</si>
  <si>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</si>
  <si>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</si>
  <si>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</si>
  <si>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</si>
  <si>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</si>
  <si>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</si>
  <si>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</si>
  <si>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</si>
  <si>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</si>
  <si>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</si>
  <si>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</si>
  <si>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</si>
  <si>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</si>
  <si>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</si>
  <si>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</si>
  <si>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</si>
  <si>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</si>
  <si>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</si>
  <si>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</si>
  <si>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</si>
  <si>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</si>
  <si>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</si>
  <si>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</si>
  <si>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</si>
  <si>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</si>
  <si>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</si>
  <si>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</si>
  <si>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</si>
  <si>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</si>
  <si>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</si>
  <si>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</si>
  <si>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>Zimre</t>
  </si>
  <si>
    <t>ZW0009011611</t>
  </si>
  <si>
    <t>Financials</t>
  </si>
  <si>
    <t>Tn Cybertech Investments Holdings Limited</t>
  </si>
  <si>
    <t>ZW0009012502</t>
  </si>
  <si>
    <t>IT, Communication</t>
  </si>
  <si>
    <t xml:space="preserve">Ariston </t>
  </si>
  <si>
    <t>ZW0009011041</t>
  </si>
  <si>
    <t>Consumer Staples</t>
  </si>
  <si>
    <t>CBZ</t>
  </si>
  <si>
    <t>ZW0009011967</t>
  </si>
  <si>
    <t>Dairibord</t>
  </si>
  <si>
    <t>ZW0009011975</t>
  </si>
  <si>
    <t>Tanganda</t>
  </si>
  <si>
    <t>ZW0009012411</t>
  </si>
  <si>
    <t>Consumer Discretionary</t>
  </si>
  <si>
    <t xml:space="preserve">General Beltings </t>
  </si>
  <si>
    <t>ZW0009012049</t>
  </si>
  <si>
    <t>Industrials</t>
  </si>
  <si>
    <t>Delta</t>
  </si>
  <si>
    <t>ZW0009011199</t>
  </si>
  <si>
    <t xml:space="preserve">Afdis </t>
  </si>
  <si>
    <t>ZW0009011025</t>
  </si>
  <si>
    <t>Econet</t>
  </si>
  <si>
    <t>ZW0009012122</t>
  </si>
  <si>
    <t>Not Found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</si>
  <si>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</si>
  <si>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</si>
  <si>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</si>
  <si>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</si>
  <si>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</si>
  <si>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</si>
  <si>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</si>
  <si>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FMP</t>
  </si>
  <si>
    <t>ZW0009012312</t>
  </si>
  <si>
    <t>Real Estate</t>
  </si>
  <si>
    <t>Delisted</t>
  </si>
  <si>
    <t>CFI</t>
  </si>
  <si>
    <t>ZW0009011116</t>
  </si>
  <si>
    <t xml:space="preserve">Fidelity </t>
  </si>
  <si>
    <t>ZW0009011876</t>
  </si>
  <si>
    <t>FML</t>
  </si>
  <si>
    <t>ZW0009012197</t>
  </si>
  <si>
    <t xml:space="preserve">Hippo </t>
  </si>
  <si>
    <t>ZW0009011272</t>
  </si>
  <si>
    <t xml:space="preserve"> </t>
  </si>
  <si>
    <t>Mash Holdings</t>
  </si>
  <si>
    <t>ZW0009011348</t>
  </si>
  <si>
    <t>Meikles</t>
  </si>
  <si>
    <t>ZW0009012114</t>
  </si>
  <si>
    <t xml:space="preserve">Nampak </t>
  </si>
  <si>
    <t>ZW0009012213</t>
  </si>
  <si>
    <t/>
  </si>
  <si>
    <t>Ok Zim</t>
  </si>
  <si>
    <t>ZW0009011785</t>
  </si>
  <si>
    <t>Suspended</t>
  </si>
  <si>
    <t xml:space="preserve">Nmbz </t>
  </si>
  <si>
    <t>ZW0009011389</t>
  </si>
  <si>
    <t xml:space="preserve">Proplastics </t>
  </si>
  <si>
    <t>ZW0009012247</t>
  </si>
  <si>
    <t>Riozim</t>
  </si>
  <si>
    <t>ZW0009011959</t>
  </si>
  <si>
    <t>RTG</t>
  </si>
  <si>
    <t>ZW0009011470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</si>
  <si>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</si>
  <si>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</si>
  <si>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</si>
  <si>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</si>
  <si>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</si>
  <si>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</si>
  <si>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</si>
  <si>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</si>
  <si>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</si>
  <si>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</si>
  <si>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</si>
  <si>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</si>
  <si>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Starafrica</t>
  </si>
  <si>
    <t>ZW0009011991</t>
  </si>
  <si>
    <t xml:space="preserve">Masimba </t>
  </si>
  <si>
    <t>ZW0009012171</t>
  </si>
  <si>
    <t>ZSE Holdings</t>
  </si>
  <si>
    <t>ZW0009012494</t>
  </si>
  <si>
    <t>Fbc</t>
  </si>
  <si>
    <t>ZW0009011926</t>
  </si>
  <si>
    <t>Seedco Ltd</t>
  </si>
  <si>
    <t>ZW0009011504</t>
  </si>
  <si>
    <t>VFEX PRICE SHEET (USD$)</t>
  </si>
  <si>
    <t>Nedbank ZDR</t>
  </si>
  <si>
    <t>ZWVX301DR029</t>
  </si>
  <si>
    <t>Derivative</t>
  </si>
  <si>
    <t>Invictus Energy ZDR</t>
  </si>
  <si>
    <t>ZWVX301DR037</t>
  </si>
  <si>
    <t>Padenga</t>
  </si>
  <si>
    <t>ZWVX09010013</t>
  </si>
  <si>
    <t>Innscor Africa Limited</t>
  </si>
  <si>
    <t>ZWVX09010054</t>
  </si>
  <si>
    <t>Caledonia</t>
  </si>
  <si>
    <t>ZWVX301DR012</t>
  </si>
  <si>
    <t>Edgars</t>
  </si>
  <si>
    <t>ZWVX09010112</t>
  </si>
  <si>
    <t>First Capital Bank Limited</t>
  </si>
  <si>
    <t>ZWVX09010096</t>
  </si>
  <si>
    <t>TSL</t>
  </si>
  <si>
    <t>ZWVX09010138</t>
  </si>
  <si>
    <t>West Prop Holdings Limited</t>
  </si>
  <si>
    <t>ZWVX09010088</t>
  </si>
  <si>
    <t>Kavango Resources Plc</t>
  </si>
  <si>
    <t>GB00BF0VMV24</t>
  </si>
  <si>
    <t>Seedco Int</t>
  </si>
  <si>
    <t>BW0000002005</t>
  </si>
  <si>
    <t>Econet InfraCo</t>
  </si>
  <si>
    <t>ZWVX09010120</t>
  </si>
  <si>
    <t xml:space="preserve">Axia </t>
  </si>
  <si>
    <t>ZWVX09010062</t>
  </si>
  <si>
    <t>Simbisa</t>
  </si>
  <si>
    <t>ZWVX09010039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</si>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</sst>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6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164" fontId="15" fillId="5" borderId="0" xfId="6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9" fontId="15" fillId="5" borderId="0" xfId="2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166" fontId="15" fillId="5" borderId="11" xfId="5" applyNumberFormat="1" applyFont="1" applyFill="1" applyBorder="1" applyAlignment="1"/>
    <xf numFmtId="164" fontId="15" fillId="5" borderId="11" xfId="5" applyFont="1" applyFill="1" applyBorder="1" applyAlignment="1"/>
    <xf numFmtId="168" fontId="15" fillId="5" borderId="11" xfId="4" applyNumberFormat="1" applyFont="1" applyFill="1" applyBorder="1"/>
    <xf numFmtId="167" fontId="15" fillId="5" borderId="11" xfId="4" applyNumberFormat="1" applyFont="1" applyFill="1" applyBorder="1"/>
    <xf numFmtId="166" fontId="15" fillId="5" borderId="11" xfId="4" applyNumberFormat="1" applyFont="1" applyFill="1" applyBorder="1"/>
    <xf numFmtId="164" fontId="15" fillId="5" borderId="11" xfId="4" applyFont="1" applyFill="1" applyBorder="1"/>
    <xf numFmtId="167" fontId="15" fillId="5" borderId="12" xfId="4" applyNumberFormat="1" applyFont="1" applyFill="1" applyBorder="1"/>
    <xf numFmtId="164" fontId="15" fillId="5" borderId="13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0" fontId="21" fillId="3" borderId="0" xfId="3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164" fontId="25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164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  <xf numFmtId="165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0" fontId="22" fillId="2" borderId="14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3" fillId="2" borderId="14" xfId="8" applyFont="1" applyFill="1" applyBorder="1" applyAlignment="1">
      <alignment horizontal="center"/>
    </xf>
    <xf numFmtId="0" fontId="23" fillId="2" borderId="3" xfId="8" applyFont="1" applyFill="1" applyBorder="1" applyAlignment="1">
      <alignment horizontal="center"/>
    </xf>
    <xf numFmtId="0" fontId="23" fillId="2" borderId="15" xfId="8" applyFont="1" applyFill="1" applyBorder="1" applyAlignment="1">
      <alignment horizontal="center"/>
    </xf>
  </cellXfs>
  <cellStyles count="10">
    <cellStyle name="Comma" xfId="1" builtinId="3"/>
    <cellStyle name="Comma 2 2 2 2 2 2 2 2 2 2" xfId="4" xr:uid="{450AD34C-F70D-4B15-B5B1-EA4E0B79D790}"/>
    <cellStyle name="Comma 5 2 2 2 2 2 2 2 2" xfId="5" xr:uid="{370BE69A-7F78-4EBA-B7BA-EE989D9A8A6D}"/>
    <cellStyle name="Comma 6 2 2 2" xfId="6" xr:uid="{160E629B-8573-48FC-BA83-3BE2E12AFA73}"/>
    <cellStyle name="Hyperlink 2" xfId="9" xr:uid="{EE208631-4B6A-49FC-9750-6F5CE0BC93DB}"/>
    <cellStyle name="Normal" xfId="0" builtinId="0"/>
    <cellStyle name="Normal 2" xfId="3" xr:uid="{B7608AA0-D9DD-472F-806D-E59A79FB190D}"/>
    <cellStyle name="Normal 20" xfId="8" xr:uid="{591FF57E-D52B-4309-B1DF-A1D6B7467E45}"/>
    <cellStyle name="Percent" xfId="2" builtinId="5"/>
    <cellStyle name="Percent 3" xfId="7" xr:uid="{D7BA9244-2E25-4274-87B2-92C4480E23A0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322BEF70-FD11-4596-A17D-1DC3393ED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81045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562E9799-D92E-4148-A7DD-17430CB6B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58407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25B3-2DE3-4A29-B35D-952323454128}">
  <dimension ref="A1:II106"/>
  <sheetViews>
    <sheetView tabSelected="1" zoomScale="80" zoomScaleNormal="80" workbookViewId="0">
      <selection activeCell="A17" sqref="A17:XFD17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bestFit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26.684799999999999</v>
      </c>
      <c r="K5" s="22"/>
      <c r="L5" s="134" t="s">
        <v>12</v>
      </c>
      <c r="M5" s="135"/>
      <c r="N5" s="23" t="s">
        <v>13</v>
      </c>
      <c r="O5" s="24"/>
      <c r="P5" s="24"/>
      <c r="Q5" s="25"/>
    </row>
    <row r="6" spans="1:18" ht="6.6" customHeight="1" x14ac:dyDescent="0.3">
      <c r="A6" s="130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3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ht="12.75" customHeight="1" x14ac:dyDescent="0.25">
      <c r="A9" s="35" t="s">
        <v>53</v>
      </c>
      <c r="B9" s="36" t="s">
        <v>54</v>
      </c>
      <c r="C9" s="37">
        <v>126034439</v>
      </c>
      <c r="D9" s="38">
        <f t="shared" ref="D9:D29" si="0">C9*J9</f>
        <v>74624660.338469848</v>
      </c>
      <c r="E9" s="39">
        <f t="shared" ref="E9:E29" si="1">C9*K9</f>
        <v>63217274.165079363</v>
      </c>
      <c r="F9" s="40" t="s">
        <v>40</v>
      </c>
      <c r="G9" s="41">
        <v>8.9894999999999996</v>
      </c>
      <c r="H9" s="42">
        <v>15.8</v>
      </c>
      <c r="I9" s="43">
        <v>15.8</v>
      </c>
      <c r="J9" s="44">
        <f>(I9/$J$5)</f>
        <v>0.59209737378582572</v>
      </c>
      <c r="K9" s="45">
        <f t="shared" ref="K9:K17" si="2">I9/$K$4</f>
        <v>0.50158730158730158</v>
      </c>
      <c r="L9" s="46">
        <f t="shared" ref="L9:L17" si="3">I9-H9</f>
        <v>0</v>
      </c>
      <c r="M9" s="46">
        <f t="shared" ref="M9:M17" si="4">((I9-H9)/H9)*100</f>
        <v>0</v>
      </c>
      <c r="N9" s="47">
        <v>0</v>
      </c>
      <c r="O9" s="37">
        <v>0</v>
      </c>
      <c r="P9" s="51">
        <f t="shared" ref="P9:P17" si="5">(R9)/J9</f>
        <v>2.5333670886075944E-2</v>
      </c>
      <c r="Q9" s="49">
        <f t="shared" ref="Q9:Q17" si="6">I9/G9-1</f>
        <v>0.75760609600089013</v>
      </c>
      <c r="R9" s="50">
        <v>1.4999999999999999E-2</v>
      </c>
    </row>
    <row r="10" spans="1:18" x14ac:dyDescent="0.25">
      <c r="A10" s="35" t="s">
        <v>38</v>
      </c>
      <c r="B10" s="36" t="s">
        <v>39</v>
      </c>
      <c r="C10" s="37">
        <v>1627395595</v>
      </c>
      <c r="D10" s="38">
        <f t="shared" si="0"/>
        <v>4756897.4251259146</v>
      </c>
      <c r="E10" s="39">
        <f t="shared" si="1"/>
        <v>4029741.4733333332</v>
      </c>
      <c r="F10" s="40" t="s">
        <v>40</v>
      </c>
      <c r="G10" s="41">
        <v>3.1600000000000003E-2</v>
      </c>
      <c r="H10" s="42">
        <v>7.0199999999999999E-2</v>
      </c>
      <c r="I10" s="43">
        <v>7.8E-2</v>
      </c>
      <c r="J10" s="44">
        <f t="shared" ref="J10:J17" si="7">I10/$J$5</f>
        <v>2.9230123516009116E-3</v>
      </c>
      <c r="K10" s="45">
        <f t="shared" si="2"/>
        <v>2.476190476190476E-3</v>
      </c>
      <c r="L10" s="46">
        <f t="shared" si="3"/>
        <v>7.8000000000000014E-3</v>
      </c>
      <c r="M10" s="46">
        <f t="shared" si="4"/>
        <v>11.111111111111112</v>
      </c>
      <c r="N10" s="47">
        <v>12600</v>
      </c>
      <c r="O10" s="37">
        <v>982.8</v>
      </c>
      <c r="P10" s="48">
        <f t="shared" si="5"/>
        <v>0</v>
      </c>
      <c r="Q10" s="49">
        <f t="shared" si="6"/>
        <v>1.4683544303797467</v>
      </c>
      <c r="R10" s="50"/>
    </row>
    <row r="11" spans="1:18" x14ac:dyDescent="0.25">
      <c r="A11" s="35" t="s">
        <v>58</v>
      </c>
      <c r="B11" s="36" t="s">
        <v>59</v>
      </c>
      <c r="C11" s="37">
        <v>436977359</v>
      </c>
      <c r="D11" s="38">
        <f t="shared" si="0"/>
        <v>3602613.4346144623</v>
      </c>
      <c r="E11" s="39">
        <f t="shared" si="1"/>
        <v>3051905.3644444444</v>
      </c>
      <c r="F11" s="40" t="s">
        <v>60</v>
      </c>
      <c r="G11" s="41">
        <v>7.8E-2</v>
      </c>
      <c r="H11" s="42">
        <v>0.22</v>
      </c>
      <c r="I11" s="43">
        <v>0.22</v>
      </c>
      <c r="J11" s="44">
        <f t="shared" si="7"/>
        <v>8.2443938122076996E-3</v>
      </c>
      <c r="K11" s="45">
        <f t="shared" si="2"/>
        <v>6.9841269841269841E-3</v>
      </c>
      <c r="L11" s="46">
        <f t="shared" si="3"/>
        <v>0</v>
      </c>
      <c r="M11" s="46">
        <f t="shared" si="4"/>
        <v>0</v>
      </c>
      <c r="N11" s="47">
        <v>0</v>
      </c>
      <c r="O11" s="37">
        <v>0</v>
      </c>
      <c r="P11" s="48">
        <f t="shared" si="5"/>
        <v>0</v>
      </c>
      <c r="Q11" s="49">
        <f t="shared" si="6"/>
        <v>1.8205128205128207</v>
      </c>
      <c r="R11" s="50"/>
    </row>
    <row r="12" spans="1:18" x14ac:dyDescent="0.25">
      <c r="A12" s="35" t="s">
        <v>61</v>
      </c>
      <c r="B12" s="36" t="s">
        <v>62</v>
      </c>
      <c r="C12" s="37">
        <v>20633517</v>
      </c>
      <c r="D12" s="38">
        <f t="shared" si="0"/>
        <v>146836197.44354466</v>
      </c>
      <c r="E12" s="39">
        <f t="shared" si="1"/>
        <v>124390303.54100001</v>
      </c>
      <c r="F12" s="40" t="s">
        <v>40</v>
      </c>
      <c r="G12" s="41">
        <v>97.381</v>
      </c>
      <c r="H12" s="42">
        <v>189.89950000000002</v>
      </c>
      <c r="I12" s="43">
        <v>189.89950000000002</v>
      </c>
      <c r="J12" s="44">
        <f t="shared" si="7"/>
        <v>7.1163921033697095</v>
      </c>
      <c r="K12" s="45">
        <f t="shared" si="2"/>
        <v>6.0285555555555561</v>
      </c>
      <c r="L12" s="46">
        <f t="shared" si="3"/>
        <v>0</v>
      </c>
      <c r="M12" s="46">
        <f t="shared" si="4"/>
        <v>0</v>
      </c>
      <c r="N12" s="47">
        <v>0</v>
      </c>
      <c r="O12" s="37">
        <v>0</v>
      </c>
      <c r="P12" s="48">
        <f t="shared" si="5"/>
        <v>0</v>
      </c>
      <c r="Q12" s="49">
        <f t="shared" si="6"/>
        <v>0.95006726158080146</v>
      </c>
      <c r="R12" s="50"/>
    </row>
    <row r="13" spans="1:18" x14ac:dyDescent="0.25">
      <c r="A13" s="35" t="s">
        <v>63</v>
      </c>
      <c r="B13" s="36" t="s">
        <v>64</v>
      </c>
      <c r="C13" s="37">
        <v>8735108</v>
      </c>
      <c r="D13" s="38">
        <f t="shared" si="0"/>
        <v>6219535.1660870612</v>
      </c>
      <c r="E13" s="39">
        <f t="shared" si="1"/>
        <v>5268795.3015873013</v>
      </c>
      <c r="F13" s="40" t="s">
        <v>50</v>
      </c>
      <c r="G13" s="41">
        <v>13.6</v>
      </c>
      <c r="H13" s="42">
        <v>19</v>
      </c>
      <c r="I13" s="43">
        <v>19</v>
      </c>
      <c r="J13" s="44">
        <f t="shared" si="7"/>
        <v>0.7120158292361195</v>
      </c>
      <c r="K13" s="45">
        <f t="shared" si="2"/>
        <v>0.60317460317460314</v>
      </c>
      <c r="L13" s="46">
        <f t="shared" si="3"/>
        <v>0</v>
      </c>
      <c r="M13" s="46">
        <f t="shared" si="4"/>
        <v>0</v>
      </c>
      <c r="N13" s="47">
        <v>0</v>
      </c>
      <c r="O13" s="37">
        <v>0</v>
      </c>
      <c r="P13" s="48">
        <f t="shared" si="5"/>
        <v>0</v>
      </c>
      <c r="Q13" s="49">
        <f t="shared" si="6"/>
        <v>0.39705882352941191</v>
      </c>
      <c r="R13" s="50"/>
    </row>
    <row r="14" spans="1:18" x14ac:dyDescent="0.25">
      <c r="A14" s="35" t="s">
        <v>41</v>
      </c>
      <c r="B14" s="36" t="s">
        <v>42</v>
      </c>
      <c r="C14" s="37">
        <v>522661465</v>
      </c>
      <c r="D14" s="38">
        <f t="shared" si="0"/>
        <v>710377368.7162261</v>
      </c>
      <c r="E14" s="39">
        <f t="shared" si="1"/>
        <v>601786603.45138884</v>
      </c>
      <c r="F14" s="40" t="s">
        <v>34</v>
      </c>
      <c r="G14" s="41">
        <v>11.5</v>
      </c>
      <c r="H14" s="42">
        <v>32.75</v>
      </c>
      <c r="I14" s="43">
        <v>36.268749999999997</v>
      </c>
      <c r="J14" s="44">
        <f t="shared" si="7"/>
        <v>1.3591539003477635</v>
      </c>
      <c r="K14" s="45">
        <f t="shared" si="2"/>
        <v>1.1513888888888888</v>
      </c>
      <c r="L14" s="46">
        <f t="shared" si="3"/>
        <v>3.5187499999999972</v>
      </c>
      <c r="M14" s="46">
        <f t="shared" si="4"/>
        <v>10.744274809160297</v>
      </c>
      <c r="N14" s="47">
        <v>32000</v>
      </c>
      <c r="O14" s="37">
        <v>1160600</v>
      </c>
      <c r="P14" s="48">
        <f t="shared" si="5"/>
        <v>0</v>
      </c>
      <c r="Q14" s="49">
        <f t="shared" si="6"/>
        <v>2.1538043478260867</v>
      </c>
      <c r="R14" s="50"/>
    </row>
    <row r="15" spans="1:18" x14ac:dyDescent="0.25">
      <c r="A15" s="35" t="s">
        <v>69</v>
      </c>
      <c r="B15" s="36" t="s">
        <v>70</v>
      </c>
      <c r="C15" s="37">
        <v>106040875</v>
      </c>
      <c r="D15" s="38">
        <f t="shared" si="0"/>
        <v>23842983.646120638</v>
      </c>
      <c r="E15" s="39">
        <f t="shared" si="1"/>
        <v>20198261.904761903</v>
      </c>
      <c r="F15" s="40" t="s">
        <v>40</v>
      </c>
      <c r="G15" s="41">
        <v>5.39</v>
      </c>
      <c r="H15" s="42">
        <v>6</v>
      </c>
      <c r="I15" s="43">
        <v>6</v>
      </c>
      <c r="J15" s="44">
        <f t="shared" si="7"/>
        <v>0.22484710396930088</v>
      </c>
      <c r="K15" s="45">
        <f t="shared" si="2"/>
        <v>0.19047619047619047</v>
      </c>
      <c r="L15" s="46">
        <f t="shared" si="3"/>
        <v>0</v>
      </c>
      <c r="M15" s="46">
        <f t="shared" si="4"/>
        <v>0</v>
      </c>
      <c r="N15" s="47">
        <v>0</v>
      </c>
      <c r="O15" s="37">
        <v>0</v>
      </c>
      <c r="P15" s="48">
        <f t="shared" si="5"/>
        <v>0</v>
      </c>
      <c r="Q15" s="49">
        <f t="shared" si="6"/>
        <v>0.1131725417439704</v>
      </c>
      <c r="R15" s="50"/>
    </row>
    <row r="16" spans="1:18" x14ac:dyDescent="0.25">
      <c r="A16" s="35" t="s">
        <v>43</v>
      </c>
      <c r="B16" s="36" t="s">
        <v>44</v>
      </c>
      <c r="C16" s="37">
        <v>358000858</v>
      </c>
      <c r="D16" s="38">
        <f t="shared" si="0"/>
        <v>80097486.604669616</v>
      </c>
      <c r="E16" s="39">
        <f t="shared" si="1"/>
        <v>67853505.096771047</v>
      </c>
      <c r="F16" s="40" t="s">
        <v>40</v>
      </c>
      <c r="G16" s="41">
        <v>1.9</v>
      </c>
      <c r="H16" s="42">
        <v>5.4944629999999997</v>
      </c>
      <c r="I16" s="43">
        <v>5.9703359999999996</v>
      </c>
      <c r="J16" s="44">
        <f t="shared" si="7"/>
        <v>0.22373545988727664</v>
      </c>
      <c r="K16" s="45">
        <f t="shared" si="2"/>
        <v>0.18953447619047617</v>
      </c>
      <c r="L16" s="46">
        <f t="shared" si="3"/>
        <v>0.47587299999999999</v>
      </c>
      <c r="M16" s="46">
        <f t="shared" si="4"/>
        <v>8.6609555838304857</v>
      </c>
      <c r="N16" s="47">
        <v>32700</v>
      </c>
      <c r="O16" s="37">
        <v>195230</v>
      </c>
      <c r="P16" s="48">
        <f t="shared" si="5"/>
        <v>0</v>
      </c>
      <c r="Q16" s="49">
        <f t="shared" si="6"/>
        <v>2.142282105263158</v>
      </c>
      <c r="R16" s="50"/>
    </row>
    <row r="17" spans="1:19" x14ac:dyDescent="0.25">
      <c r="A17" s="35" t="s">
        <v>51</v>
      </c>
      <c r="B17" s="36" t="s">
        <v>52</v>
      </c>
      <c r="C17" s="37">
        <v>1347762995</v>
      </c>
      <c r="D17" s="38">
        <f t="shared" si="0"/>
        <v>1613872244.6045718</v>
      </c>
      <c r="E17" s="39">
        <f t="shared" si="1"/>
        <v>1367170097.5499706</v>
      </c>
      <c r="F17" s="40" t="s">
        <v>40</v>
      </c>
      <c r="G17" s="41">
        <v>20.701700000000002</v>
      </c>
      <c r="H17" s="42">
        <v>31.945043999999999</v>
      </c>
      <c r="I17" s="43">
        <v>31.953583999999999</v>
      </c>
      <c r="J17" s="44">
        <f t="shared" si="7"/>
        <v>1.1974451373066315</v>
      </c>
      <c r="K17" s="45">
        <f t="shared" si="2"/>
        <v>1.014399492063492</v>
      </c>
      <c r="L17" s="46">
        <f t="shared" si="3"/>
        <v>8.539999999999992E-3</v>
      </c>
      <c r="M17" s="46">
        <f t="shared" si="4"/>
        <v>2.6733411292217946E-2</v>
      </c>
      <c r="N17" s="47">
        <v>297000</v>
      </c>
      <c r="O17" s="37">
        <v>9490214.3499999996</v>
      </c>
      <c r="P17" s="51">
        <f t="shared" si="5"/>
        <v>4.1755566449134474E-2</v>
      </c>
      <c r="Q17" s="49">
        <f t="shared" si="6"/>
        <v>0.5435246380732015</v>
      </c>
      <c r="R17" s="50">
        <v>0.05</v>
      </c>
      <c r="S17" s="52"/>
    </row>
    <row r="18" spans="1:19" hidden="1" x14ac:dyDescent="0.25">
      <c r="A18" s="35" t="s">
        <v>55</v>
      </c>
      <c r="B18" s="36" t="s">
        <v>56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37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48"/>
      <c r="Q18" s="49"/>
      <c r="R18" s="50"/>
    </row>
    <row r="19" spans="1:19" x14ac:dyDescent="0.25">
      <c r="A19" s="35" t="s">
        <v>114</v>
      </c>
      <c r="B19" s="36" t="s">
        <v>115</v>
      </c>
      <c r="C19" s="37">
        <v>671949927</v>
      </c>
      <c r="D19" s="38">
        <f t="shared" si="0"/>
        <v>251558181.8387247</v>
      </c>
      <c r="E19" s="39">
        <f t="shared" si="1"/>
        <v>213104119.70571432</v>
      </c>
      <c r="F19" s="40" t="s">
        <v>34</v>
      </c>
      <c r="G19" s="41">
        <v>12.45</v>
      </c>
      <c r="H19" s="42">
        <v>9.9935709999999993</v>
      </c>
      <c r="I19" s="43">
        <v>9.99</v>
      </c>
      <c r="J19" s="44">
        <f t="shared" ref="J19:J29" si="8">I19/$J$5</f>
        <v>0.37437042810888599</v>
      </c>
      <c r="K19" s="45">
        <f t="shared" ref="K19:K29" si="9">I19/$K$4</f>
        <v>0.31714285714285717</v>
      </c>
      <c r="L19" s="46">
        <f t="shared" ref="L19:L29" si="10">I19-H19</f>
        <v>-3.5709999999991027E-3</v>
      </c>
      <c r="M19" s="46">
        <f t="shared" ref="M19:M29" si="11">((I19-H19)/H19)*100</f>
        <v>-3.5732972728157959E-2</v>
      </c>
      <c r="N19" s="47">
        <v>100</v>
      </c>
      <c r="O19" s="37">
        <v>999</v>
      </c>
      <c r="P19" s="48">
        <f>(R19)/J19</f>
        <v>0</v>
      </c>
      <c r="Q19" s="49">
        <f t="shared" ref="Q19:Q29" si="12">I19/G19-1</f>
        <v>-0.19759036144578312</v>
      </c>
      <c r="R19" s="50"/>
    </row>
    <row r="20" spans="1:19" x14ac:dyDescent="0.25">
      <c r="A20" s="35" t="s">
        <v>71</v>
      </c>
      <c r="B20" s="36" t="s">
        <v>72</v>
      </c>
      <c r="C20" s="37">
        <v>108923291</v>
      </c>
      <c r="D20" s="38">
        <f t="shared" si="0"/>
        <v>2857293.4292181316</v>
      </c>
      <c r="E20" s="39">
        <f t="shared" si="1"/>
        <v>2420517.5777777773</v>
      </c>
      <c r="F20" s="40" t="s">
        <v>34</v>
      </c>
      <c r="G20" s="41">
        <v>0.35</v>
      </c>
      <c r="H20" s="42">
        <v>0.7</v>
      </c>
      <c r="I20" s="43">
        <v>0.7</v>
      </c>
      <c r="J20" s="44">
        <f t="shared" si="8"/>
        <v>2.6232162129751768E-2</v>
      </c>
      <c r="K20" s="45">
        <f t="shared" si="9"/>
        <v>2.222222222222222E-2</v>
      </c>
      <c r="L20" s="46">
        <f t="shared" si="10"/>
        <v>0</v>
      </c>
      <c r="M20" s="46">
        <f t="shared" si="11"/>
        <v>0</v>
      </c>
      <c r="N20" s="47">
        <v>0</v>
      </c>
      <c r="O20" s="37">
        <v>0</v>
      </c>
      <c r="P20" s="48">
        <f>(R20)/J20</f>
        <v>0</v>
      </c>
      <c r="Q20" s="49">
        <f t="shared" si="12"/>
        <v>1</v>
      </c>
      <c r="R20" s="50"/>
    </row>
    <row r="21" spans="1:19" x14ac:dyDescent="0.25">
      <c r="A21" s="35" t="s">
        <v>73</v>
      </c>
      <c r="B21" s="36" t="s">
        <v>74</v>
      </c>
      <c r="C21" s="37">
        <v>690143060</v>
      </c>
      <c r="D21" s="38">
        <f t="shared" si="0"/>
        <v>84054028.697985381</v>
      </c>
      <c r="E21" s="39">
        <f t="shared" si="1"/>
        <v>71205236.349206343</v>
      </c>
      <c r="F21" s="40" t="s">
        <v>34</v>
      </c>
      <c r="G21" s="41">
        <v>2.85</v>
      </c>
      <c r="H21" s="42">
        <v>3.25</v>
      </c>
      <c r="I21" s="43">
        <v>3.25</v>
      </c>
      <c r="J21" s="44">
        <f t="shared" si="8"/>
        <v>0.12179218131670465</v>
      </c>
      <c r="K21" s="45">
        <f t="shared" si="9"/>
        <v>0.10317460317460317</v>
      </c>
      <c r="L21" s="46">
        <f t="shared" si="10"/>
        <v>0</v>
      </c>
      <c r="M21" s="46">
        <f t="shared" si="11"/>
        <v>0</v>
      </c>
      <c r="N21" s="47">
        <v>0</v>
      </c>
      <c r="O21" s="37">
        <v>0</v>
      </c>
      <c r="P21" s="48">
        <f>(R21)/J21</f>
        <v>0</v>
      </c>
      <c r="Q21" s="49">
        <f t="shared" si="12"/>
        <v>0.14035087719298245</v>
      </c>
      <c r="R21" s="50"/>
    </row>
    <row r="22" spans="1:19" hidden="1" x14ac:dyDescent="0.25">
      <c r="A22" s="35" t="s">
        <v>65</v>
      </c>
      <c r="B22" s="36" t="s">
        <v>66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67</v>
      </c>
      <c r="G22" s="41">
        <v>0.88420599999999994</v>
      </c>
      <c r="H22" s="42">
        <v>0.99</v>
      </c>
      <c r="I22" s="43"/>
      <c r="J22" s="44">
        <f t="shared" si="8"/>
        <v>0</v>
      </c>
      <c r="K22" s="45">
        <f t="shared" si="9"/>
        <v>0</v>
      </c>
      <c r="L22" s="46">
        <f t="shared" si="10"/>
        <v>-0.99</v>
      </c>
      <c r="M22" s="46">
        <f t="shared" si="11"/>
        <v>-100</v>
      </c>
      <c r="N22" s="53" t="s">
        <v>57</v>
      </c>
      <c r="O22" s="53" t="s">
        <v>57</v>
      </c>
      <c r="P22" s="53" t="s">
        <v>68</v>
      </c>
      <c r="Q22" s="49">
        <f t="shared" si="12"/>
        <v>-1</v>
      </c>
      <c r="R22" s="50"/>
    </row>
    <row r="23" spans="1:19" x14ac:dyDescent="0.25">
      <c r="A23" s="35" t="s">
        <v>48</v>
      </c>
      <c r="B23" s="36" t="s">
        <v>49</v>
      </c>
      <c r="C23" s="37">
        <v>536588623</v>
      </c>
      <c r="D23" s="38">
        <f t="shared" si="0"/>
        <v>2483387.3568660808</v>
      </c>
      <c r="E23" s="39">
        <f t="shared" si="1"/>
        <v>2103768.0933492063</v>
      </c>
      <c r="F23" s="40" t="s">
        <v>50</v>
      </c>
      <c r="G23" s="41">
        <v>0.1</v>
      </c>
      <c r="H23" s="42">
        <v>0.12300000000000001</v>
      </c>
      <c r="I23" s="43">
        <v>0.1235</v>
      </c>
      <c r="J23" s="44">
        <f t="shared" si="8"/>
        <v>4.6281028900347762E-3</v>
      </c>
      <c r="K23" s="45">
        <f t="shared" si="9"/>
        <v>3.9206349206349208E-3</v>
      </c>
      <c r="L23" s="46">
        <f t="shared" si="10"/>
        <v>4.9999999999998657E-4</v>
      </c>
      <c r="M23" s="46">
        <f t="shared" si="11"/>
        <v>0.40650406504063941</v>
      </c>
      <c r="N23" s="47">
        <v>400</v>
      </c>
      <c r="O23" s="37">
        <v>49.4</v>
      </c>
      <c r="P23" s="48">
        <f t="shared" ref="P23:P29" si="13">(R23)/J23</f>
        <v>0</v>
      </c>
      <c r="Q23" s="49">
        <f t="shared" si="12"/>
        <v>0.23499999999999988</v>
      </c>
      <c r="R23" s="50"/>
    </row>
    <row r="24" spans="1:19" x14ac:dyDescent="0.25">
      <c r="A24" s="35" t="s">
        <v>75</v>
      </c>
      <c r="B24" s="36" t="s">
        <v>76</v>
      </c>
      <c r="C24" s="37">
        <v>193020564</v>
      </c>
      <c r="D24" s="38">
        <f t="shared" si="0"/>
        <v>79566877.17352201</v>
      </c>
      <c r="E24" s="39">
        <f t="shared" si="1"/>
        <v>67404006.476190478</v>
      </c>
      <c r="F24" s="40" t="s">
        <v>40</v>
      </c>
      <c r="G24" s="41">
        <v>8.1687659999999997</v>
      </c>
      <c r="H24" s="42">
        <v>11</v>
      </c>
      <c r="I24" s="43">
        <v>11</v>
      </c>
      <c r="J24" s="44">
        <f t="shared" si="8"/>
        <v>0.41221969061038494</v>
      </c>
      <c r="K24" s="45">
        <f t="shared" si="9"/>
        <v>0.34920634920634919</v>
      </c>
      <c r="L24" s="46">
        <f t="shared" si="10"/>
        <v>0</v>
      </c>
      <c r="M24" s="46">
        <f t="shared" si="11"/>
        <v>0</v>
      </c>
      <c r="N24" s="47">
        <v>0</v>
      </c>
      <c r="O24" s="37">
        <v>0</v>
      </c>
      <c r="P24" s="48">
        <f t="shared" si="13"/>
        <v>0</v>
      </c>
      <c r="Q24" s="49">
        <f t="shared" si="12"/>
        <v>0.34659261876273595</v>
      </c>
      <c r="R24" s="50"/>
      <c r="S24" s="5" t="s">
        <v>77</v>
      </c>
    </row>
    <row r="25" spans="1:19" x14ac:dyDescent="0.25">
      <c r="A25" s="35" t="s">
        <v>78</v>
      </c>
      <c r="B25" s="36" t="s">
        <v>79</v>
      </c>
      <c r="C25" s="37">
        <v>1687584009</v>
      </c>
      <c r="D25" s="38">
        <f t="shared" si="0"/>
        <v>113834513.13856579</v>
      </c>
      <c r="E25" s="39">
        <f t="shared" si="1"/>
        <v>96433371.942857146</v>
      </c>
      <c r="F25" s="40" t="s">
        <v>67</v>
      </c>
      <c r="G25" s="41">
        <v>1.6675</v>
      </c>
      <c r="H25" s="42">
        <v>1.8</v>
      </c>
      <c r="I25" s="43">
        <v>1.8</v>
      </c>
      <c r="J25" s="44">
        <f t="shared" si="8"/>
        <v>6.7454131190790273E-2</v>
      </c>
      <c r="K25" s="45">
        <f t="shared" si="9"/>
        <v>5.7142857142857141E-2</v>
      </c>
      <c r="L25" s="46">
        <f t="shared" si="10"/>
        <v>0</v>
      </c>
      <c r="M25" s="46">
        <f t="shared" si="11"/>
        <v>0</v>
      </c>
      <c r="N25" s="47">
        <v>0</v>
      </c>
      <c r="O25" s="37">
        <v>0</v>
      </c>
      <c r="P25" s="48">
        <f t="shared" si="13"/>
        <v>0</v>
      </c>
      <c r="Q25" s="49">
        <f t="shared" si="12"/>
        <v>7.946026986506749E-2</v>
      </c>
      <c r="R25" s="50"/>
    </row>
    <row r="26" spans="1:19" x14ac:dyDescent="0.25">
      <c r="A26" s="35" t="s">
        <v>110</v>
      </c>
      <c r="B26" s="36" t="s">
        <v>111</v>
      </c>
      <c r="C26" s="37">
        <v>239388107</v>
      </c>
      <c r="D26" s="38">
        <f t="shared" si="0"/>
        <v>26222788.615437966</v>
      </c>
      <c r="E26" s="39">
        <f t="shared" si="1"/>
        <v>22214281.576039337</v>
      </c>
      <c r="F26" s="40" t="s">
        <v>50</v>
      </c>
      <c r="G26" s="41">
        <v>1.7994999999999999</v>
      </c>
      <c r="H26" s="42">
        <v>2.9560590000000002</v>
      </c>
      <c r="I26" s="43">
        <v>2.9230770000000001</v>
      </c>
      <c r="J26" s="44">
        <f t="shared" si="8"/>
        <v>0.10954089968821203</v>
      </c>
      <c r="K26" s="45">
        <f t="shared" si="9"/>
        <v>9.2796095238095247E-2</v>
      </c>
      <c r="L26" s="46">
        <f t="shared" si="10"/>
        <v>-3.2982000000000067E-2</v>
      </c>
      <c r="M26" s="46">
        <f t="shared" si="11"/>
        <v>-1.1157422771331718</v>
      </c>
      <c r="N26" s="47">
        <v>1300</v>
      </c>
      <c r="O26" s="37">
        <v>3800</v>
      </c>
      <c r="P26" s="48">
        <f t="shared" si="13"/>
        <v>0</v>
      </c>
      <c r="Q26" s="49">
        <f t="shared" si="12"/>
        <v>0.62438288413448206</v>
      </c>
      <c r="R26" s="50"/>
    </row>
    <row r="27" spans="1:19" x14ac:dyDescent="0.25">
      <c r="A27" s="35" t="s">
        <v>80</v>
      </c>
      <c r="B27" s="36" t="s">
        <v>81</v>
      </c>
      <c r="C27" s="37">
        <v>256150741</v>
      </c>
      <c r="D27" s="38">
        <f t="shared" si="0"/>
        <v>24162803.222670134</v>
      </c>
      <c r="E27" s="39">
        <f t="shared" si="1"/>
        <v>20469192.744009778</v>
      </c>
      <c r="F27" s="40" t="s">
        <v>40</v>
      </c>
      <c r="G27" s="41">
        <v>3.1361369999999997</v>
      </c>
      <c r="H27" s="42">
        <v>2.517188</v>
      </c>
      <c r="I27" s="43">
        <v>2.517188</v>
      </c>
      <c r="J27" s="44">
        <f t="shared" si="8"/>
        <v>9.4330405324379418E-2</v>
      </c>
      <c r="K27" s="45">
        <f t="shared" si="9"/>
        <v>7.9910730158730153E-2</v>
      </c>
      <c r="L27" s="46">
        <f t="shared" si="10"/>
        <v>0</v>
      </c>
      <c r="M27" s="46">
        <f t="shared" si="11"/>
        <v>0</v>
      </c>
      <c r="N27" s="47">
        <v>0</v>
      </c>
      <c r="O27" s="37">
        <v>0</v>
      </c>
      <c r="P27" s="48">
        <f t="shared" si="13"/>
        <v>0</v>
      </c>
      <c r="Q27" s="49">
        <f t="shared" si="12"/>
        <v>-0.19736031939931187</v>
      </c>
      <c r="R27" s="50"/>
    </row>
    <row r="28" spans="1:19" x14ac:dyDescent="0.25">
      <c r="A28" s="35" t="s">
        <v>82</v>
      </c>
      <c r="B28" s="36" t="s">
        <v>83</v>
      </c>
      <c r="C28" s="37">
        <v>755648101</v>
      </c>
      <c r="D28" s="38">
        <f t="shared" si="0"/>
        <v>21484381.969817836</v>
      </c>
      <c r="E28" s="39">
        <f t="shared" si="1"/>
        <v>18200204.317085553</v>
      </c>
      <c r="F28" s="40" t="s">
        <v>50</v>
      </c>
      <c r="G28" s="41">
        <v>0.8</v>
      </c>
      <c r="H28" s="42">
        <v>0.75869500000000001</v>
      </c>
      <c r="I28" s="43">
        <v>0.75869500000000001</v>
      </c>
      <c r="J28" s="44">
        <f t="shared" si="8"/>
        <v>2.8431728924331455E-2</v>
      </c>
      <c r="K28" s="45">
        <f t="shared" si="9"/>
        <v>2.4085555555555554E-2</v>
      </c>
      <c r="L28" s="46">
        <f t="shared" si="10"/>
        <v>0</v>
      </c>
      <c r="M28" s="46">
        <f t="shared" si="11"/>
        <v>0</v>
      </c>
      <c r="N28" s="47">
        <v>0</v>
      </c>
      <c r="O28" s="37">
        <v>0</v>
      </c>
      <c r="P28" s="48">
        <f t="shared" si="13"/>
        <v>0</v>
      </c>
      <c r="Q28" s="49">
        <f t="shared" si="12"/>
        <v>-5.1631250000000017E-2</v>
      </c>
      <c r="R28" s="50"/>
    </row>
    <row r="29" spans="1:19" x14ac:dyDescent="0.25">
      <c r="A29" s="35" t="s">
        <v>88</v>
      </c>
      <c r="B29" s="36" t="s">
        <v>89</v>
      </c>
      <c r="C29" s="37">
        <v>449129618</v>
      </c>
      <c r="D29" s="38">
        <f t="shared" si="0"/>
        <v>94253127.653195828</v>
      </c>
      <c r="E29" s="39">
        <f t="shared" si="1"/>
        <v>79845265.422222212</v>
      </c>
      <c r="F29" s="40" t="s">
        <v>34</v>
      </c>
      <c r="G29" s="41">
        <v>5.15</v>
      </c>
      <c r="H29" s="42">
        <v>5.6</v>
      </c>
      <c r="I29" s="43">
        <v>5.6</v>
      </c>
      <c r="J29" s="44">
        <f t="shared" si="8"/>
        <v>0.20985729703801415</v>
      </c>
      <c r="K29" s="45">
        <f t="shared" si="9"/>
        <v>0.17777777777777776</v>
      </c>
      <c r="L29" s="46">
        <f t="shared" si="10"/>
        <v>0</v>
      </c>
      <c r="M29" s="46">
        <f t="shared" si="11"/>
        <v>0</v>
      </c>
      <c r="N29" s="47">
        <v>0</v>
      </c>
      <c r="O29" s="37">
        <v>0</v>
      </c>
      <c r="P29" s="48">
        <f t="shared" si="13"/>
        <v>0</v>
      </c>
      <c r="Q29" s="49">
        <f t="shared" si="12"/>
        <v>8.737864077669899E-2</v>
      </c>
      <c r="R29" s="50"/>
    </row>
    <row r="30" spans="1:19" hidden="1" x14ac:dyDescent="0.25">
      <c r="A30" s="35"/>
      <c r="B30" s="36" t="s">
        <v>84</v>
      </c>
      <c r="C30" s="37"/>
      <c r="D30" s="38"/>
      <c r="E30" s="39"/>
      <c r="F30" s="40"/>
      <c r="G30" s="41"/>
      <c r="H30" s="42"/>
      <c r="I30" s="43"/>
      <c r="J30" s="44"/>
      <c r="K30" s="45"/>
      <c r="L30" s="46"/>
      <c r="M30" s="46"/>
      <c r="N30" s="47"/>
      <c r="O30" s="37"/>
      <c r="P30" s="48"/>
      <c r="Q30" s="49"/>
      <c r="R30" s="50"/>
    </row>
    <row r="31" spans="1:19" hidden="1" x14ac:dyDescent="0.25">
      <c r="A31" s="35" t="s">
        <v>85</v>
      </c>
      <c r="B31" s="36" t="s">
        <v>86</v>
      </c>
      <c r="C31" s="37">
        <v>3171161098</v>
      </c>
      <c r="D31" s="38">
        <f t="shared" ref="D31:D46" si="14">C31*J31</f>
        <v>0</v>
      </c>
      <c r="E31" s="39">
        <f t="shared" ref="E31:E46" si="15">C31*K31</f>
        <v>0</v>
      </c>
      <c r="F31" s="40" t="s">
        <v>40</v>
      </c>
      <c r="G31" s="41">
        <v>0.13000100000000001</v>
      </c>
      <c r="H31" s="48">
        <v>0</v>
      </c>
      <c r="I31" s="54"/>
      <c r="J31" s="55">
        <f t="shared" ref="J31:J46" si="16">I31/$J$5</f>
        <v>0</v>
      </c>
      <c r="K31" s="56">
        <f t="shared" ref="K31:K46" si="17">I31/$K$4</f>
        <v>0</v>
      </c>
      <c r="L31" s="46">
        <v>0</v>
      </c>
      <c r="M31" s="46">
        <v>0</v>
      </c>
      <c r="N31" s="53" t="s">
        <v>57</v>
      </c>
      <c r="O31" s="53" t="s">
        <v>57</v>
      </c>
      <c r="P31" s="53" t="s">
        <v>87</v>
      </c>
      <c r="Q31" s="49">
        <v>0</v>
      </c>
      <c r="R31" s="50"/>
    </row>
    <row r="32" spans="1:19" x14ac:dyDescent="0.25">
      <c r="A32" s="35" t="s">
        <v>90</v>
      </c>
      <c r="B32" s="36" t="s">
        <v>91</v>
      </c>
      <c r="C32" s="37">
        <v>259866270</v>
      </c>
      <c r="D32" s="38">
        <f t="shared" si="14"/>
        <v>12172953.797667587</v>
      </c>
      <c r="E32" s="39">
        <f t="shared" si="15"/>
        <v>10312153.571428571</v>
      </c>
      <c r="F32" s="40" t="s">
        <v>60</v>
      </c>
      <c r="G32" s="41">
        <v>1.4</v>
      </c>
      <c r="H32" s="42">
        <v>1.25</v>
      </c>
      <c r="I32" s="43">
        <v>1.25</v>
      </c>
      <c r="J32" s="44">
        <f t="shared" si="16"/>
        <v>4.6843146660271021E-2</v>
      </c>
      <c r="K32" s="45">
        <f t="shared" si="17"/>
        <v>3.968253968253968E-2</v>
      </c>
      <c r="L32" s="46">
        <f t="shared" ref="L32:L46" si="18">I32-H32</f>
        <v>0</v>
      </c>
      <c r="M32" s="46">
        <f t="shared" ref="M32:M46" si="19">((I32-H32)/H32)*100</f>
        <v>0</v>
      </c>
      <c r="N32" s="47">
        <v>0</v>
      </c>
      <c r="O32" s="37">
        <v>0</v>
      </c>
      <c r="P32" s="48">
        <f t="shared" ref="P32:P37" si="20">(R32)/J32</f>
        <v>0</v>
      </c>
      <c r="Q32" s="49">
        <f t="shared" ref="Q32:Q46" si="21">I32/G32-1</f>
        <v>-0.1071428571428571</v>
      </c>
      <c r="R32" s="50"/>
    </row>
    <row r="33" spans="1:18" x14ac:dyDescent="0.25">
      <c r="A33" s="35" t="s">
        <v>92</v>
      </c>
      <c r="B33" s="36" t="s">
        <v>93</v>
      </c>
      <c r="C33" s="37">
        <v>122029470</v>
      </c>
      <c r="D33" s="38">
        <f t="shared" si="14"/>
        <v>3887046.1648578965</v>
      </c>
      <c r="E33" s="39">
        <f t="shared" si="15"/>
        <v>3292858.7142857141</v>
      </c>
      <c r="F33" s="40" t="s">
        <v>60</v>
      </c>
      <c r="G33" s="41">
        <v>0.65</v>
      </c>
      <c r="H33" s="42">
        <v>0.85</v>
      </c>
      <c r="I33" s="43">
        <v>0.85</v>
      </c>
      <c r="J33" s="44">
        <f t="shared" si="16"/>
        <v>3.1853339728984291E-2</v>
      </c>
      <c r="K33" s="45">
        <f t="shared" si="17"/>
        <v>2.6984126984126982E-2</v>
      </c>
      <c r="L33" s="46">
        <f t="shared" si="18"/>
        <v>0</v>
      </c>
      <c r="M33" s="46">
        <f t="shared" si="19"/>
        <v>0</v>
      </c>
      <c r="N33" s="47">
        <v>0</v>
      </c>
      <c r="O33" s="37">
        <v>0</v>
      </c>
      <c r="P33" s="48">
        <f t="shared" si="20"/>
        <v>0</v>
      </c>
      <c r="Q33" s="49">
        <f t="shared" si="21"/>
        <v>0.30769230769230771</v>
      </c>
      <c r="R33" s="50"/>
    </row>
    <row r="34" spans="1:18" x14ac:dyDescent="0.25">
      <c r="A34" s="35" t="s">
        <v>94</v>
      </c>
      <c r="B34" s="36" t="s">
        <v>95</v>
      </c>
      <c r="C34" s="37">
        <v>2495495543</v>
      </c>
      <c r="D34" s="38">
        <f t="shared" si="14"/>
        <v>116896863.71080166</v>
      </c>
      <c r="E34" s="39">
        <f t="shared" si="15"/>
        <v>99027600.912698403</v>
      </c>
      <c r="F34" s="40" t="s">
        <v>47</v>
      </c>
      <c r="G34" s="41">
        <v>1.44</v>
      </c>
      <c r="H34" s="42">
        <v>1.25</v>
      </c>
      <c r="I34" s="43">
        <v>1.25</v>
      </c>
      <c r="J34" s="44">
        <f t="shared" si="16"/>
        <v>4.6843146660271021E-2</v>
      </c>
      <c r="K34" s="45">
        <f t="shared" si="17"/>
        <v>3.968253968253968E-2</v>
      </c>
      <c r="L34" s="46">
        <f t="shared" si="18"/>
        <v>0</v>
      </c>
      <c r="M34" s="46">
        <f t="shared" si="19"/>
        <v>0</v>
      </c>
      <c r="N34" s="47">
        <v>200</v>
      </c>
      <c r="O34" s="37">
        <v>250</v>
      </c>
      <c r="P34" s="48">
        <f t="shared" si="20"/>
        <v>0</v>
      </c>
      <c r="Q34" s="49">
        <f t="shared" si="21"/>
        <v>-0.13194444444444442</v>
      </c>
      <c r="R34" s="50"/>
    </row>
    <row r="35" spans="1:18" x14ac:dyDescent="0.25">
      <c r="A35" s="35" t="s">
        <v>116</v>
      </c>
      <c r="B35" s="36" t="s">
        <v>117</v>
      </c>
      <c r="C35" s="37">
        <v>253492983</v>
      </c>
      <c r="D35" s="38">
        <f t="shared" si="14"/>
        <v>43032858.143587366</v>
      </c>
      <c r="E35" s="39">
        <f t="shared" si="15"/>
        <v>36454705.17428571</v>
      </c>
      <c r="F35" s="40" t="s">
        <v>40</v>
      </c>
      <c r="G35" s="41">
        <v>3.6056249999999999</v>
      </c>
      <c r="H35" s="42">
        <v>4.5311270000000006</v>
      </c>
      <c r="I35" s="43">
        <v>4.53</v>
      </c>
      <c r="J35" s="44">
        <f t="shared" si="16"/>
        <v>0.16975956349682217</v>
      </c>
      <c r="K35" s="45">
        <f t="shared" si="17"/>
        <v>0.1438095238095238</v>
      </c>
      <c r="L35" s="46">
        <f t="shared" si="18"/>
        <v>-1.1270000000003222E-3</v>
      </c>
      <c r="M35" s="46">
        <f t="shared" si="19"/>
        <v>-2.4872399294928654E-2</v>
      </c>
      <c r="N35" s="47">
        <v>30100</v>
      </c>
      <c r="O35" s="37">
        <v>136353</v>
      </c>
      <c r="P35" s="48">
        <f t="shared" si="20"/>
        <v>0</v>
      </c>
      <c r="Q35" s="49">
        <f t="shared" si="21"/>
        <v>0.25637025481019249</v>
      </c>
      <c r="R35" s="50"/>
    </row>
    <row r="36" spans="1:18" x14ac:dyDescent="0.25">
      <c r="A36" s="35" t="s">
        <v>108</v>
      </c>
      <c r="B36" s="36" t="s">
        <v>109</v>
      </c>
      <c r="C36" s="37">
        <v>4715084056</v>
      </c>
      <c r="D36" s="38">
        <f t="shared" si="14"/>
        <v>8497109.8591326922</v>
      </c>
      <c r="E36" s="39">
        <f t="shared" si="15"/>
        <v>7198211.97361854</v>
      </c>
      <c r="F36" s="40" t="s">
        <v>40</v>
      </c>
      <c r="G36" s="41">
        <v>2.5099999999999997E-2</v>
      </c>
      <c r="H36" s="42">
        <v>4.9394E-2</v>
      </c>
      <c r="I36" s="43">
        <v>4.8089000000000007E-2</v>
      </c>
      <c r="J36" s="44">
        <f t="shared" si="16"/>
        <v>1.8021120637966186E-3</v>
      </c>
      <c r="K36" s="45">
        <f t="shared" si="17"/>
        <v>1.5266349206349207E-3</v>
      </c>
      <c r="L36" s="46">
        <f t="shared" si="18"/>
        <v>-1.3049999999999937E-3</v>
      </c>
      <c r="M36" s="46">
        <f t="shared" si="19"/>
        <v>-2.6420212981333639</v>
      </c>
      <c r="N36" s="47">
        <v>24800</v>
      </c>
      <c r="O36" s="37">
        <v>1192.5999999999999</v>
      </c>
      <c r="P36" s="48">
        <f t="shared" si="20"/>
        <v>0</v>
      </c>
      <c r="Q36" s="49">
        <f t="shared" si="21"/>
        <v>0.91589641434263003</v>
      </c>
      <c r="R36" s="50"/>
    </row>
    <row r="37" spans="1:18" x14ac:dyDescent="0.25">
      <c r="A37" s="35" t="s">
        <v>45</v>
      </c>
      <c r="B37" s="36" t="s">
        <v>46</v>
      </c>
      <c r="C37" s="37">
        <v>525090993</v>
      </c>
      <c r="D37" s="38">
        <f t="shared" si="14"/>
        <v>70768844.992804781</v>
      </c>
      <c r="E37" s="39">
        <f t="shared" si="15"/>
        <v>59950872.217904665</v>
      </c>
      <c r="F37" s="40" t="s">
        <v>47</v>
      </c>
      <c r="G37" s="41">
        <v>0.61</v>
      </c>
      <c r="H37" s="42">
        <v>3.5469439999999999</v>
      </c>
      <c r="I37" s="43">
        <v>3.5964290000000001</v>
      </c>
      <c r="J37" s="44">
        <f t="shared" si="16"/>
        <v>0.13477444088020146</v>
      </c>
      <c r="K37" s="45">
        <f t="shared" si="17"/>
        <v>0.11417234920634921</v>
      </c>
      <c r="L37" s="46">
        <f t="shared" si="18"/>
        <v>4.9485000000000223E-2</v>
      </c>
      <c r="M37" s="46">
        <f t="shared" si="19"/>
        <v>1.3951446653795556</v>
      </c>
      <c r="N37" s="47">
        <v>5600</v>
      </c>
      <c r="O37" s="37">
        <v>20140</v>
      </c>
      <c r="P37" s="48">
        <f t="shared" si="20"/>
        <v>0</v>
      </c>
      <c r="Q37" s="49">
        <f t="shared" si="21"/>
        <v>4.8957852459016395</v>
      </c>
      <c r="R37" s="50"/>
    </row>
    <row r="38" spans="1:18" x14ac:dyDescent="0.25">
      <c r="A38" s="35" t="s">
        <v>35</v>
      </c>
      <c r="B38" s="36" t="s">
        <v>36</v>
      </c>
      <c r="C38" s="37">
        <v>4194797929</v>
      </c>
      <c r="D38" s="38">
        <f t="shared" si="14"/>
        <v>43596200.610210948</v>
      </c>
      <c r="E38" s="39">
        <f t="shared" si="15"/>
        <v>36931933.144233555</v>
      </c>
      <c r="F38" s="40" t="s">
        <v>37</v>
      </c>
      <c r="G38" s="41">
        <v>0.11650199999999999</v>
      </c>
      <c r="H38" s="42">
        <v>0.24149999999999999</v>
      </c>
      <c r="I38" s="43">
        <v>0.277333</v>
      </c>
      <c r="J38" s="44">
        <f t="shared" si="16"/>
        <v>1.0392920314186354E-2</v>
      </c>
      <c r="K38" s="45">
        <f t="shared" si="17"/>
        <v>8.804222222222222E-3</v>
      </c>
      <c r="L38" s="46">
        <f t="shared" si="18"/>
        <v>3.5833000000000004E-2</v>
      </c>
      <c r="M38" s="46">
        <f t="shared" si="19"/>
        <v>14.83768115942029</v>
      </c>
      <c r="N38" s="47">
        <v>21500</v>
      </c>
      <c r="O38" s="37">
        <v>5962.65</v>
      </c>
      <c r="P38" s="48">
        <v>0</v>
      </c>
      <c r="Q38" s="49">
        <f t="shared" si="21"/>
        <v>1.3804999055810203</v>
      </c>
      <c r="R38" s="50"/>
    </row>
    <row r="39" spans="1:18" x14ac:dyDescent="0.25">
      <c r="A39" s="35" t="s">
        <v>96</v>
      </c>
      <c r="B39" s="36" t="s">
        <v>97</v>
      </c>
      <c r="C39" s="37">
        <v>4315726499</v>
      </c>
      <c r="D39" s="38">
        <f t="shared" si="14"/>
        <v>19407572.096474394</v>
      </c>
      <c r="E39" s="39">
        <f t="shared" si="15"/>
        <v>16440862.853333334</v>
      </c>
      <c r="F39" s="40" t="s">
        <v>60</v>
      </c>
      <c r="G39" s="41">
        <v>0.1</v>
      </c>
      <c r="H39" s="42">
        <v>0.12</v>
      </c>
      <c r="I39" s="43">
        <v>0.12</v>
      </c>
      <c r="J39" s="44">
        <f t="shared" si="16"/>
        <v>4.4969420793860172E-3</v>
      </c>
      <c r="K39" s="45">
        <f t="shared" si="17"/>
        <v>3.8095238095238095E-3</v>
      </c>
      <c r="L39" s="46">
        <f t="shared" si="18"/>
        <v>0</v>
      </c>
      <c r="M39" s="46">
        <f t="shared" si="19"/>
        <v>0</v>
      </c>
      <c r="N39" s="47">
        <v>0</v>
      </c>
      <c r="O39" s="37">
        <v>0</v>
      </c>
      <c r="P39" s="48">
        <f t="shared" ref="P39:P45" si="22">(R39)/J39</f>
        <v>0</v>
      </c>
      <c r="Q39" s="49">
        <f t="shared" si="21"/>
        <v>0.19999999999999996</v>
      </c>
      <c r="R39" s="50"/>
    </row>
    <row r="40" spans="1:18" x14ac:dyDescent="0.25">
      <c r="A40" s="35" t="s">
        <v>98</v>
      </c>
      <c r="B40" s="36" t="s">
        <v>99</v>
      </c>
      <c r="C40" s="37">
        <v>106474237</v>
      </c>
      <c r="D40" s="38">
        <f t="shared" si="14"/>
        <v>7980452.504440207</v>
      </c>
      <c r="E40" s="39">
        <f t="shared" si="15"/>
        <v>6760532.6663646363</v>
      </c>
      <c r="F40" s="40" t="s">
        <v>50</v>
      </c>
      <c r="G40" s="41">
        <v>1.7452379999999998</v>
      </c>
      <c r="H40" s="42">
        <v>2.0000780000000002</v>
      </c>
      <c r="I40" s="43">
        <v>2.0000780000000002</v>
      </c>
      <c r="J40" s="44">
        <f t="shared" si="16"/>
        <v>7.4951957668785235E-2</v>
      </c>
      <c r="K40" s="45">
        <f t="shared" si="17"/>
        <v>6.3494539682539694E-2</v>
      </c>
      <c r="L40" s="46">
        <f t="shared" si="18"/>
        <v>0</v>
      </c>
      <c r="M40" s="46">
        <f t="shared" si="19"/>
        <v>0</v>
      </c>
      <c r="N40" s="47">
        <v>0</v>
      </c>
      <c r="O40" s="37">
        <v>0</v>
      </c>
      <c r="P40" s="48">
        <f t="shared" si="22"/>
        <v>0</v>
      </c>
      <c r="Q40" s="49">
        <f t="shared" si="21"/>
        <v>0.14602019896426754</v>
      </c>
      <c r="R40" s="50">
        <v>0</v>
      </c>
    </row>
    <row r="41" spans="1:18" x14ac:dyDescent="0.25">
      <c r="A41" s="35" t="s">
        <v>100</v>
      </c>
      <c r="B41" s="36" t="s">
        <v>101</v>
      </c>
      <c r="C41" s="37">
        <v>1778001428</v>
      </c>
      <c r="D41" s="38">
        <f t="shared" si="14"/>
        <v>3997784.7193908137</v>
      </c>
      <c r="E41" s="39">
        <f t="shared" si="15"/>
        <v>3386669.3866666667</v>
      </c>
      <c r="F41" s="40" t="s">
        <v>60</v>
      </c>
      <c r="G41" s="41">
        <v>0.03</v>
      </c>
      <c r="H41" s="42">
        <v>0.06</v>
      </c>
      <c r="I41" s="43">
        <v>0.06</v>
      </c>
      <c r="J41" s="44">
        <f t="shared" si="16"/>
        <v>2.2484710396930086E-3</v>
      </c>
      <c r="K41" s="45">
        <f t="shared" si="17"/>
        <v>1.9047619047619048E-3</v>
      </c>
      <c r="L41" s="46">
        <f t="shared" si="18"/>
        <v>0</v>
      </c>
      <c r="M41" s="46">
        <f t="shared" si="19"/>
        <v>0</v>
      </c>
      <c r="N41" s="47">
        <v>0</v>
      </c>
      <c r="O41" s="37">
        <v>0</v>
      </c>
      <c r="P41" s="48">
        <f t="shared" si="22"/>
        <v>0</v>
      </c>
      <c r="Q41" s="49">
        <f t="shared" si="21"/>
        <v>1</v>
      </c>
      <c r="R41" s="50">
        <v>0</v>
      </c>
    </row>
    <row r="42" spans="1:18" x14ac:dyDescent="0.25">
      <c r="A42" s="35" t="s">
        <v>102</v>
      </c>
      <c r="B42" s="36" t="s">
        <v>103</v>
      </c>
      <c r="C42" s="37">
        <v>175190642</v>
      </c>
      <c r="D42" s="38">
        <f t="shared" si="14"/>
        <v>39391108.496222571</v>
      </c>
      <c r="E42" s="39">
        <f t="shared" si="15"/>
        <v>33369646.095238093</v>
      </c>
      <c r="F42" s="40" t="s">
        <v>34</v>
      </c>
      <c r="G42" s="41">
        <v>4.5</v>
      </c>
      <c r="H42" s="42">
        <v>6</v>
      </c>
      <c r="I42" s="43">
        <v>6</v>
      </c>
      <c r="J42" s="44">
        <f t="shared" si="16"/>
        <v>0.22484710396930088</v>
      </c>
      <c r="K42" s="45">
        <f t="shared" si="17"/>
        <v>0.19047619047619047</v>
      </c>
      <c r="L42" s="46">
        <f t="shared" si="18"/>
        <v>0</v>
      </c>
      <c r="M42" s="46">
        <f t="shared" si="19"/>
        <v>0</v>
      </c>
      <c r="N42" s="47">
        <v>0</v>
      </c>
      <c r="O42" s="37">
        <v>0</v>
      </c>
      <c r="P42" s="48">
        <f t="shared" si="22"/>
        <v>0</v>
      </c>
      <c r="Q42" s="49">
        <f t="shared" si="21"/>
        <v>0.33333333333333326</v>
      </c>
      <c r="R42" s="50">
        <v>0</v>
      </c>
    </row>
    <row r="43" spans="1:18" x14ac:dyDescent="0.25">
      <c r="A43" s="35" t="s">
        <v>104</v>
      </c>
      <c r="B43" s="36" t="s">
        <v>105</v>
      </c>
      <c r="C43" s="37">
        <v>463337661</v>
      </c>
      <c r="D43" s="38">
        <f t="shared" si="14"/>
        <v>312.54039370727907</v>
      </c>
      <c r="E43" s="39">
        <f t="shared" si="15"/>
        <v>264.76437771428573</v>
      </c>
      <c r="F43" s="40" t="s">
        <v>50</v>
      </c>
      <c r="G43" s="41">
        <v>1.8E-5</v>
      </c>
      <c r="H43" s="42">
        <v>1.8E-5</v>
      </c>
      <c r="I43" s="43">
        <v>1.8E-5</v>
      </c>
      <c r="J43" s="44">
        <f t="shared" si="16"/>
        <v>6.7454131190790264E-7</v>
      </c>
      <c r="K43" s="45">
        <f t="shared" si="17"/>
        <v>5.7142857142857149E-7</v>
      </c>
      <c r="L43" s="46">
        <f t="shared" si="18"/>
        <v>0</v>
      </c>
      <c r="M43" s="46">
        <f t="shared" si="19"/>
        <v>0</v>
      </c>
      <c r="N43" s="47">
        <v>0</v>
      </c>
      <c r="O43" s="37">
        <v>0</v>
      </c>
      <c r="P43" s="48">
        <f t="shared" si="22"/>
        <v>0</v>
      </c>
      <c r="Q43" s="49">
        <f t="shared" si="21"/>
        <v>0</v>
      </c>
      <c r="R43" s="50">
        <v>0</v>
      </c>
    </row>
    <row r="44" spans="1:18" x14ac:dyDescent="0.25">
      <c r="A44" s="35" t="s">
        <v>106</v>
      </c>
      <c r="B44" s="36" t="s">
        <v>107</v>
      </c>
      <c r="C44" s="37">
        <v>576000000</v>
      </c>
      <c r="D44" s="38">
        <f t="shared" si="14"/>
        <v>1519606.6674661231</v>
      </c>
      <c r="E44" s="39">
        <f t="shared" si="15"/>
        <v>1287314.2857142859</v>
      </c>
      <c r="F44" s="40" t="s">
        <v>37</v>
      </c>
      <c r="G44" s="41">
        <v>7.0000000000000007E-2</v>
      </c>
      <c r="H44" s="42">
        <v>7.0400000000000004E-2</v>
      </c>
      <c r="I44" s="43">
        <v>7.0400000000000004E-2</v>
      </c>
      <c r="J44" s="44">
        <f t="shared" si="16"/>
        <v>2.6382060199064638E-3</v>
      </c>
      <c r="K44" s="45">
        <f t="shared" si="17"/>
        <v>2.2349206349206352E-3</v>
      </c>
      <c r="L44" s="46">
        <f t="shared" si="18"/>
        <v>0</v>
      </c>
      <c r="M44" s="46">
        <f t="shared" si="19"/>
        <v>0</v>
      </c>
      <c r="N44" s="47">
        <v>0</v>
      </c>
      <c r="O44" s="37">
        <v>0</v>
      </c>
      <c r="P44" s="48">
        <f t="shared" si="22"/>
        <v>0</v>
      </c>
      <c r="Q44" s="49">
        <f t="shared" si="21"/>
        <v>5.7142857142857828E-3</v>
      </c>
      <c r="R44" s="50"/>
    </row>
    <row r="45" spans="1:18" x14ac:dyDescent="0.25">
      <c r="A45" s="35" t="s">
        <v>32</v>
      </c>
      <c r="B45" s="36" t="s">
        <v>33</v>
      </c>
      <c r="C45" s="37">
        <v>1818218786</v>
      </c>
      <c r="D45" s="38">
        <f t="shared" si="14"/>
        <v>62685921.690250628</v>
      </c>
      <c r="E45" s="39">
        <f t="shared" si="15"/>
        <v>53103532.797460318</v>
      </c>
      <c r="F45" s="40" t="s">
        <v>34</v>
      </c>
      <c r="G45" s="41">
        <v>0.9998999999999999</v>
      </c>
      <c r="H45" s="42">
        <v>0.8</v>
      </c>
      <c r="I45" s="43">
        <v>0.92</v>
      </c>
      <c r="J45" s="44">
        <f t="shared" si="16"/>
        <v>3.4476555941959468E-2</v>
      </c>
      <c r="K45" s="45">
        <f t="shared" si="17"/>
        <v>2.9206349206349208E-2</v>
      </c>
      <c r="L45" s="46">
        <f t="shared" si="18"/>
        <v>0.12</v>
      </c>
      <c r="M45" s="46">
        <f t="shared" si="19"/>
        <v>15</v>
      </c>
      <c r="N45" s="47">
        <v>4400</v>
      </c>
      <c r="O45" s="37">
        <v>4048</v>
      </c>
      <c r="P45" s="48">
        <f t="shared" si="22"/>
        <v>0</v>
      </c>
      <c r="Q45" s="49">
        <f t="shared" si="21"/>
        <v>-7.9907990799079731E-2</v>
      </c>
      <c r="R45" s="50">
        <v>0</v>
      </c>
    </row>
    <row r="46" spans="1:18" x14ac:dyDescent="0.25">
      <c r="A46" s="35" t="s">
        <v>112</v>
      </c>
      <c r="B46" s="36" t="s">
        <v>113</v>
      </c>
      <c r="C46" s="37">
        <v>102712520</v>
      </c>
      <c r="D46" s="38">
        <f t="shared" si="14"/>
        <v>5812144.1869528722</v>
      </c>
      <c r="E46" s="39">
        <f t="shared" si="15"/>
        <v>4923679.5301587302</v>
      </c>
      <c r="F46" s="40" t="s">
        <v>34</v>
      </c>
      <c r="G46" s="41">
        <v>1.4503460000000001</v>
      </c>
      <c r="H46" s="42">
        <v>1.5107710000000001</v>
      </c>
      <c r="I46" s="43">
        <v>1.51</v>
      </c>
      <c r="J46" s="44">
        <f t="shared" si="16"/>
        <v>5.658652116560739E-2</v>
      </c>
      <c r="K46" s="45">
        <f t="shared" si="17"/>
        <v>4.7936507936507937E-2</v>
      </c>
      <c r="L46" s="46">
        <f t="shared" si="18"/>
        <v>-7.7100000000007718E-4</v>
      </c>
      <c r="M46" s="46">
        <f t="shared" si="19"/>
        <v>-5.1033545123653892E-2</v>
      </c>
      <c r="N46" s="47">
        <v>900</v>
      </c>
      <c r="O46" s="37">
        <v>1359</v>
      </c>
      <c r="P46" s="48">
        <v>0</v>
      </c>
      <c r="Q46" s="49">
        <f t="shared" si="21"/>
        <v>4.1130874977419074E-2</v>
      </c>
      <c r="R46" s="50"/>
    </row>
    <row r="47" spans="1:18" ht="13.8" thickBot="1" x14ac:dyDescent="0.4">
      <c r="A47" s="57"/>
      <c r="B47" s="58" t="s">
        <v>84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SUM(N9:N46)</f>
        <v>463600</v>
      </c>
      <c r="O47" s="61">
        <f>SUM(O9:O46)</f>
        <v>11021180.800000001</v>
      </c>
      <c r="P47" s="62"/>
      <c r="Q47" s="63"/>
    </row>
    <row r="48" spans="1:18" ht="13.2" x14ac:dyDescent="0.35">
      <c r="A48" s="64"/>
      <c r="B48" s="65" t="s">
        <v>84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6" x14ac:dyDescent="0.3">
      <c r="A49" s="136" t="s">
        <v>118</v>
      </c>
      <c r="B49" s="137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9"/>
    </row>
    <row r="50" spans="1:20" ht="11.4" customHeight="1" x14ac:dyDescent="0.25">
      <c r="A50" s="35" t="s">
        <v>144</v>
      </c>
      <c r="B50" s="36" t="s">
        <v>145</v>
      </c>
      <c r="C50" s="40">
        <v>554920308</v>
      </c>
      <c r="D50" s="38">
        <f t="shared" ref="D50:D64" si="23">C50*J50</f>
        <v>72528084.255600005</v>
      </c>
      <c r="E50" s="39">
        <v>0</v>
      </c>
      <c r="F50" s="40" t="s">
        <v>47</v>
      </c>
      <c r="G50" s="70">
        <v>0.1</v>
      </c>
      <c r="H50" s="42">
        <v>0.13120000000000001</v>
      </c>
      <c r="I50" s="42">
        <v>0.13070000000000001</v>
      </c>
      <c r="J50" s="44">
        <f t="shared" ref="J50:J64" si="24">I50</f>
        <v>0.13070000000000001</v>
      </c>
      <c r="K50" s="39">
        <v>0</v>
      </c>
      <c r="L50" s="46">
        <f t="shared" ref="L50:L64" si="25">I50-H50</f>
        <v>-5.0000000000000044E-4</v>
      </c>
      <c r="M50" s="46">
        <f t="shared" ref="M50:M64" si="26">((I50-H50)/H50)*100</f>
        <v>-0.38109756097561004</v>
      </c>
      <c r="N50" s="47">
        <v>40000</v>
      </c>
      <c r="O50" s="37">
        <v>5227.49</v>
      </c>
      <c r="P50" s="71">
        <f>(R50)/J50</f>
        <v>0</v>
      </c>
      <c r="Q50" s="49">
        <f t="shared" ref="Q50:Q64" si="27">J50/G50-1</f>
        <v>0.30699999999999994</v>
      </c>
      <c r="T50" s="52"/>
    </row>
    <row r="51" spans="1:20" x14ac:dyDescent="0.25">
      <c r="A51" s="35" t="s">
        <v>128</v>
      </c>
      <c r="B51" s="36" t="s">
        <v>129</v>
      </c>
      <c r="C51" s="40">
        <v>1057685</v>
      </c>
      <c r="D51" s="38">
        <f t="shared" si="23"/>
        <v>54322172.7575</v>
      </c>
      <c r="E51" s="39">
        <v>0</v>
      </c>
      <c r="F51" s="40" t="s">
        <v>60</v>
      </c>
      <c r="G51" s="70">
        <v>39.9</v>
      </c>
      <c r="H51" s="42">
        <v>51.359499999999997</v>
      </c>
      <c r="I51" s="42">
        <v>51.359499999999997</v>
      </c>
      <c r="J51" s="44">
        <f t="shared" si="24"/>
        <v>51.359499999999997</v>
      </c>
      <c r="K51" s="39">
        <v>0</v>
      </c>
      <c r="L51" s="46">
        <f t="shared" si="25"/>
        <v>0</v>
      </c>
      <c r="M51" s="46">
        <f t="shared" si="26"/>
        <v>0</v>
      </c>
      <c r="N51" s="47">
        <v>0</v>
      </c>
      <c r="O51" s="37">
        <v>0</v>
      </c>
      <c r="P51" s="72">
        <f>(R51)/J51</f>
        <v>1.0903532939378305E-2</v>
      </c>
      <c r="Q51" s="49">
        <f t="shared" si="27"/>
        <v>0.28720551378446113</v>
      </c>
      <c r="R51" s="52">
        <v>0.56000000000000005</v>
      </c>
      <c r="T51" s="52"/>
    </row>
    <row r="52" spans="1:20" x14ac:dyDescent="0.25">
      <c r="A52" s="35" t="s">
        <v>142</v>
      </c>
      <c r="B52" s="36" t="s">
        <v>143</v>
      </c>
      <c r="C52" s="40">
        <v>2992163203</v>
      </c>
      <c r="D52" s="38">
        <f t="shared" si="23"/>
        <v>692984997.81480002</v>
      </c>
      <c r="E52" s="39"/>
      <c r="F52" s="40" t="s">
        <v>37</v>
      </c>
      <c r="G52" s="70">
        <v>0.33</v>
      </c>
      <c r="H52" s="42">
        <v>0.2447</v>
      </c>
      <c r="I52" s="42">
        <v>0.2316</v>
      </c>
      <c r="J52" s="44">
        <f t="shared" si="24"/>
        <v>0.2316</v>
      </c>
      <c r="K52" s="39">
        <v>0</v>
      </c>
      <c r="L52" s="46">
        <f t="shared" si="25"/>
        <v>-1.3100000000000001E-2</v>
      </c>
      <c r="M52" s="46">
        <f t="shared" si="26"/>
        <v>-5.3534940743767887</v>
      </c>
      <c r="N52" s="47">
        <v>25728</v>
      </c>
      <c r="O52" s="37">
        <v>5959.7</v>
      </c>
      <c r="P52" s="71">
        <v>0</v>
      </c>
      <c r="Q52" s="49">
        <f t="shared" si="27"/>
        <v>-0.29818181818181821</v>
      </c>
      <c r="R52" s="52"/>
      <c r="T52" s="52"/>
    </row>
    <row r="53" spans="1:20" x14ac:dyDescent="0.25">
      <c r="A53" s="35" t="s">
        <v>130</v>
      </c>
      <c r="B53" s="36" t="s">
        <v>131</v>
      </c>
      <c r="C53" s="40">
        <v>609740943</v>
      </c>
      <c r="D53" s="38">
        <f t="shared" si="23"/>
        <v>16158134.989499999</v>
      </c>
      <c r="E53" s="39">
        <v>0</v>
      </c>
      <c r="F53" s="40" t="s">
        <v>40</v>
      </c>
      <c r="G53" s="70">
        <v>2.3E-2</v>
      </c>
      <c r="H53" s="42">
        <v>2.6499999999999999E-2</v>
      </c>
      <c r="I53" s="42">
        <v>2.6499999999999999E-2</v>
      </c>
      <c r="J53" s="44">
        <f t="shared" si="24"/>
        <v>2.6499999999999999E-2</v>
      </c>
      <c r="K53" s="39">
        <v>0</v>
      </c>
      <c r="L53" s="46">
        <f t="shared" si="25"/>
        <v>0</v>
      </c>
      <c r="M53" s="46">
        <f t="shared" si="26"/>
        <v>0</v>
      </c>
      <c r="N53" s="47">
        <v>0</v>
      </c>
      <c r="O53" s="37">
        <v>0</v>
      </c>
      <c r="P53" s="71">
        <f t="shared" ref="P53:P64" si="28">(R53)/J53</f>
        <v>0</v>
      </c>
      <c r="Q53" s="49">
        <f t="shared" si="27"/>
        <v>0.15217391304347827</v>
      </c>
      <c r="T53" s="52"/>
    </row>
    <row r="54" spans="1:20" x14ac:dyDescent="0.25">
      <c r="A54" s="35" t="s">
        <v>132</v>
      </c>
      <c r="B54" s="36" t="s">
        <v>133</v>
      </c>
      <c r="C54" s="40">
        <v>2162695929</v>
      </c>
      <c r="D54" s="38">
        <f t="shared" si="23"/>
        <v>291963950.41500002</v>
      </c>
      <c r="E54" s="39">
        <v>0</v>
      </c>
      <c r="F54" s="40" t="s">
        <v>34</v>
      </c>
      <c r="G54" s="70">
        <v>9.0200000000000002E-2</v>
      </c>
      <c r="H54" s="42">
        <v>0.13500000000000001</v>
      </c>
      <c r="I54" s="42">
        <v>0.13500000000000001</v>
      </c>
      <c r="J54" s="44">
        <f t="shared" si="24"/>
        <v>0.13500000000000001</v>
      </c>
      <c r="K54" s="39">
        <v>0</v>
      </c>
      <c r="L54" s="46">
        <f t="shared" si="25"/>
        <v>0</v>
      </c>
      <c r="M54" s="73">
        <f t="shared" si="26"/>
        <v>0</v>
      </c>
      <c r="N54" s="47">
        <v>762855</v>
      </c>
      <c r="O54" s="37">
        <v>103002</v>
      </c>
      <c r="P54" s="71">
        <f t="shared" si="28"/>
        <v>0</v>
      </c>
      <c r="Q54" s="49">
        <f t="shared" si="27"/>
        <v>0.49667405764966754</v>
      </c>
      <c r="R54" s="52"/>
      <c r="T54" s="52"/>
    </row>
    <row r="55" spans="1:20" x14ac:dyDescent="0.25">
      <c r="A55" s="35" t="s">
        <v>126</v>
      </c>
      <c r="B55" s="36" t="s">
        <v>127</v>
      </c>
      <c r="C55" s="40">
        <v>575926450</v>
      </c>
      <c r="D55" s="38">
        <f t="shared" si="23"/>
        <v>817930744.28999996</v>
      </c>
      <c r="E55" s="39">
        <v>0</v>
      </c>
      <c r="F55" s="40" t="s">
        <v>40</v>
      </c>
      <c r="G55" s="70">
        <v>0.95750000000000002</v>
      </c>
      <c r="H55" s="42">
        <v>1.4200999999999999</v>
      </c>
      <c r="I55" s="42">
        <v>1.4201999999999999</v>
      </c>
      <c r="J55" s="44">
        <f t="shared" si="24"/>
        <v>1.4201999999999999</v>
      </c>
      <c r="K55" s="39">
        <v>0</v>
      </c>
      <c r="L55" s="46">
        <f t="shared" si="25"/>
        <v>9.9999999999988987E-5</v>
      </c>
      <c r="M55" s="46">
        <f t="shared" si="26"/>
        <v>7.0417576227018519E-3</v>
      </c>
      <c r="N55" s="47">
        <v>9304</v>
      </c>
      <c r="O55" s="37">
        <v>13213.16</v>
      </c>
      <c r="P55" s="72">
        <f t="shared" si="28"/>
        <v>3.3093930432333475E-2</v>
      </c>
      <c r="Q55" s="49">
        <f t="shared" si="27"/>
        <v>0.48323759791122711</v>
      </c>
      <c r="R55" s="52">
        <v>4.7E-2</v>
      </c>
      <c r="T55" s="52"/>
    </row>
    <row r="56" spans="1:20" x14ac:dyDescent="0.25">
      <c r="A56" s="35" t="s">
        <v>122</v>
      </c>
      <c r="B56" s="36" t="s">
        <v>123</v>
      </c>
      <c r="C56" s="40">
        <v>164208222</v>
      </c>
      <c r="D56" s="38">
        <f t="shared" si="23"/>
        <v>21675485.304000001</v>
      </c>
      <c r="E56" s="39">
        <v>0</v>
      </c>
      <c r="F56" s="40" t="s">
        <v>40</v>
      </c>
      <c r="G56" s="70">
        <v>0.1595</v>
      </c>
      <c r="H56" s="42">
        <v>0.13</v>
      </c>
      <c r="I56" s="42">
        <v>0.13200000000000001</v>
      </c>
      <c r="J56" s="44">
        <f t="shared" si="24"/>
        <v>0.13200000000000001</v>
      </c>
      <c r="K56" s="39">
        <v>0</v>
      </c>
      <c r="L56" s="46">
        <f t="shared" si="25"/>
        <v>2.0000000000000018E-3</v>
      </c>
      <c r="M56" s="46">
        <f t="shared" si="26"/>
        <v>1.5384615384615397</v>
      </c>
      <c r="N56" s="47">
        <v>191</v>
      </c>
      <c r="O56" s="37">
        <v>25.21</v>
      </c>
      <c r="P56" s="71">
        <f t="shared" si="28"/>
        <v>0</v>
      </c>
      <c r="Q56" s="49">
        <f t="shared" si="27"/>
        <v>-0.17241379310344829</v>
      </c>
      <c r="T56" s="52"/>
    </row>
    <row r="57" spans="1:20" x14ac:dyDescent="0.25">
      <c r="A57" s="35" t="s">
        <v>138</v>
      </c>
      <c r="B57" s="36" t="s">
        <v>139</v>
      </c>
      <c r="C57" s="40">
        <v>953802800</v>
      </c>
      <c r="D57" s="38">
        <f t="shared" si="23"/>
        <v>17168450.399999999</v>
      </c>
      <c r="E57" s="39">
        <v>0</v>
      </c>
      <c r="F57" s="40" t="s">
        <v>47</v>
      </c>
      <c r="G57" s="70">
        <v>1.6799999999999999E-2</v>
      </c>
      <c r="H57" s="42">
        <v>0.02</v>
      </c>
      <c r="I57" s="42">
        <v>1.7999999999999999E-2</v>
      </c>
      <c r="J57" s="44">
        <f t="shared" si="24"/>
        <v>1.7999999999999999E-2</v>
      </c>
      <c r="K57" s="39">
        <v>0</v>
      </c>
      <c r="L57" s="46">
        <f t="shared" si="25"/>
        <v>-2.0000000000000018E-3</v>
      </c>
      <c r="M57" s="73">
        <f t="shared" si="26"/>
        <v>-10.000000000000009</v>
      </c>
      <c r="N57" s="47">
        <v>2034570</v>
      </c>
      <c r="O57" s="37">
        <v>36628.29</v>
      </c>
      <c r="P57" s="71">
        <f t="shared" si="28"/>
        <v>0</v>
      </c>
      <c r="Q57" s="49">
        <f t="shared" si="27"/>
        <v>7.1428571428571397E-2</v>
      </c>
      <c r="T57" s="52"/>
    </row>
    <row r="58" spans="1:20" x14ac:dyDescent="0.25">
      <c r="A58" s="35" t="s">
        <v>119</v>
      </c>
      <c r="B58" s="36" t="s">
        <v>120</v>
      </c>
      <c r="C58" s="40">
        <v>161273</v>
      </c>
      <c r="D58" s="38">
        <f t="shared" si="23"/>
        <v>2885528.7705999999</v>
      </c>
      <c r="E58" s="39">
        <v>0</v>
      </c>
      <c r="F58" s="40" t="s">
        <v>121</v>
      </c>
      <c r="G58" s="70">
        <v>19.5</v>
      </c>
      <c r="H58" s="42">
        <v>15</v>
      </c>
      <c r="I58" s="42">
        <v>17.892199999999999</v>
      </c>
      <c r="J58" s="44">
        <f t="shared" si="24"/>
        <v>17.892199999999999</v>
      </c>
      <c r="K58" s="39">
        <v>0</v>
      </c>
      <c r="L58" s="46">
        <f t="shared" si="25"/>
        <v>2.892199999999999</v>
      </c>
      <c r="M58" s="46">
        <f t="shared" si="26"/>
        <v>19.281333333333325</v>
      </c>
      <c r="N58" s="47">
        <v>32</v>
      </c>
      <c r="O58" s="37">
        <v>572.54999999999995</v>
      </c>
      <c r="P58" s="71">
        <f t="shared" si="28"/>
        <v>0</v>
      </c>
      <c r="Q58" s="49">
        <f t="shared" si="27"/>
        <v>-8.2451282051282049E-2</v>
      </c>
      <c r="T58" s="52"/>
    </row>
    <row r="59" spans="1:20" x14ac:dyDescent="0.25">
      <c r="A59" s="35" t="s">
        <v>124</v>
      </c>
      <c r="B59" s="36" t="s">
        <v>125</v>
      </c>
      <c r="C59" s="40">
        <v>805090451</v>
      </c>
      <c r="D59" s="38">
        <f t="shared" si="23"/>
        <v>1052736273.7276001</v>
      </c>
      <c r="E59" s="39">
        <v>0</v>
      </c>
      <c r="F59" s="40" t="s">
        <v>47</v>
      </c>
      <c r="G59" s="70">
        <v>0.59499999999999997</v>
      </c>
      <c r="H59" s="42">
        <v>1.2908999999999999</v>
      </c>
      <c r="I59" s="42">
        <v>1.3076000000000001</v>
      </c>
      <c r="J59" s="44">
        <f t="shared" si="24"/>
        <v>1.3076000000000001</v>
      </c>
      <c r="K59" s="39">
        <v>0</v>
      </c>
      <c r="L59" s="46">
        <f t="shared" si="25"/>
        <v>1.6700000000000159E-2</v>
      </c>
      <c r="M59" s="46">
        <f t="shared" si="26"/>
        <v>1.293671082190732</v>
      </c>
      <c r="N59" s="47">
        <v>87251</v>
      </c>
      <c r="O59" s="37">
        <v>114085.58</v>
      </c>
      <c r="P59" s="71">
        <f t="shared" si="28"/>
        <v>0</v>
      </c>
      <c r="Q59" s="49">
        <f t="shared" si="27"/>
        <v>1.1976470588235295</v>
      </c>
      <c r="R59" s="52"/>
      <c r="T59" s="52"/>
    </row>
    <row r="60" spans="1:20" x14ac:dyDescent="0.25">
      <c r="A60" s="35" t="s">
        <v>140</v>
      </c>
      <c r="B60" s="36" t="s">
        <v>141</v>
      </c>
      <c r="C60" s="40">
        <v>260714518</v>
      </c>
      <c r="D60" s="38">
        <f t="shared" si="23"/>
        <v>86192219.650800005</v>
      </c>
      <c r="E60" s="39">
        <v>0</v>
      </c>
      <c r="F60" s="40" t="s">
        <v>40</v>
      </c>
      <c r="G60" s="70">
        <v>0.22600000000000001</v>
      </c>
      <c r="H60" s="42">
        <v>0.35959999999999998</v>
      </c>
      <c r="I60" s="42">
        <v>0.3306</v>
      </c>
      <c r="J60" s="44">
        <f t="shared" si="24"/>
        <v>0.3306</v>
      </c>
      <c r="K60" s="39">
        <v>0</v>
      </c>
      <c r="L60" s="46">
        <f t="shared" si="25"/>
        <v>-2.899999999999997E-2</v>
      </c>
      <c r="M60" s="46">
        <f t="shared" si="26"/>
        <v>-8.0645161290322509</v>
      </c>
      <c r="N60" s="47">
        <v>12533</v>
      </c>
      <c r="O60" s="37">
        <v>4143.32</v>
      </c>
      <c r="P60" s="71">
        <f t="shared" si="28"/>
        <v>0</v>
      </c>
      <c r="Q60" s="49">
        <f t="shared" si="27"/>
        <v>0.46283185840707963</v>
      </c>
      <c r="T60" s="52"/>
    </row>
    <row r="61" spans="1:20" x14ac:dyDescent="0.25">
      <c r="A61" s="35" t="s">
        <v>146</v>
      </c>
      <c r="B61" s="36" t="s">
        <v>147</v>
      </c>
      <c r="C61" s="40">
        <v>562184788</v>
      </c>
      <c r="D61" s="38">
        <f t="shared" si="23"/>
        <v>393304477.68480003</v>
      </c>
      <c r="E61" s="39">
        <v>0</v>
      </c>
      <c r="F61" s="40" t="s">
        <v>40</v>
      </c>
      <c r="G61" s="70">
        <v>0.49440000000000001</v>
      </c>
      <c r="H61" s="42">
        <v>0.7006</v>
      </c>
      <c r="I61" s="42">
        <v>0.6996</v>
      </c>
      <c r="J61" s="44">
        <f t="shared" si="24"/>
        <v>0.6996</v>
      </c>
      <c r="K61" s="39">
        <v>0</v>
      </c>
      <c r="L61" s="46">
        <f t="shared" si="25"/>
        <v>-1.0000000000000009E-3</v>
      </c>
      <c r="M61" s="46">
        <f t="shared" si="26"/>
        <v>-0.14273479874393388</v>
      </c>
      <c r="N61" s="47">
        <v>11349</v>
      </c>
      <c r="O61" s="37">
        <v>7939.98</v>
      </c>
      <c r="P61" s="71">
        <f t="shared" si="28"/>
        <v>0</v>
      </c>
      <c r="Q61" s="49">
        <f t="shared" si="27"/>
        <v>0.41504854368932032</v>
      </c>
      <c r="R61" s="52"/>
      <c r="T61" s="52"/>
    </row>
    <row r="62" spans="1:20" x14ac:dyDescent="0.25">
      <c r="A62" s="35" t="s">
        <v>134</v>
      </c>
      <c r="B62" s="36" t="s">
        <v>135</v>
      </c>
      <c r="C62" s="40">
        <v>364526035</v>
      </c>
      <c r="D62" s="38">
        <f t="shared" si="23"/>
        <v>81216400.598000005</v>
      </c>
      <c r="E62" s="39">
        <v>0</v>
      </c>
      <c r="F62" s="40" t="s">
        <v>40</v>
      </c>
      <c r="G62" s="70">
        <v>0.25950000000000001</v>
      </c>
      <c r="H62" s="42">
        <v>0.2228</v>
      </c>
      <c r="I62" s="42">
        <v>0.2228</v>
      </c>
      <c r="J62" s="44">
        <f t="shared" si="24"/>
        <v>0.2228</v>
      </c>
      <c r="K62" s="39">
        <v>0</v>
      </c>
      <c r="L62" s="46">
        <f t="shared" si="25"/>
        <v>0</v>
      </c>
      <c r="M62" s="46">
        <f t="shared" si="26"/>
        <v>0</v>
      </c>
      <c r="N62" s="47">
        <v>0</v>
      </c>
      <c r="O62" s="37">
        <v>0</v>
      </c>
      <c r="P62" s="71">
        <f t="shared" si="28"/>
        <v>0</v>
      </c>
      <c r="Q62" s="49">
        <f t="shared" si="27"/>
        <v>-0.1414258188824663</v>
      </c>
      <c r="R62" s="52"/>
      <c r="T62" s="52"/>
    </row>
    <row r="63" spans="1:20" x14ac:dyDescent="0.25">
      <c r="A63" s="35" t="s">
        <v>136</v>
      </c>
      <c r="B63" s="36" t="s">
        <v>137</v>
      </c>
      <c r="C63" s="40">
        <v>30000000</v>
      </c>
      <c r="D63" s="38">
        <f t="shared" si="23"/>
        <v>300000000</v>
      </c>
      <c r="E63" s="39">
        <v>0</v>
      </c>
      <c r="F63" s="40" t="s">
        <v>67</v>
      </c>
      <c r="G63" s="70">
        <v>10</v>
      </c>
      <c r="H63" s="42">
        <v>10</v>
      </c>
      <c r="I63" s="42">
        <v>10</v>
      </c>
      <c r="J63" s="44">
        <f t="shared" si="24"/>
        <v>10</v>
      </c>
      <c r="K63" s="39">
        <v>0</v>
      </c>
      <c r="L63" s="46">
        <f t="shared" si="25"/>
        <v>0</v>
      </c>
      <c r="M63" s="46">
        <f t="shared" si="26"/>
        <v>0</v>
      </c>
      <c r="N63" s="47">
        <v>1</v>
      </c>
      <c r="O63" s="37">
        <v>10</v>
      </c>
      <c r="P63" s="71">
        <f t="shared" si="28"/>
        <v>0</v>
      </c>
      <c r="Q63" s="49">
        <f t="shared" si="27"/>
        <v>0</v>
      </c>
      <c r="T63" s="52"/>
    </row>
    <row r="64" spans="1:20" x14ac:dyDescent="0.25">
      <c r="A64" s="35" t="s">
        <v>148</v>
      </c>
      <c r="B64" s="36" t="s">
        <v>149</v>
      </c>
      <c r="C64" s="40">
        <v>344580486</v>
      </c>
      <c r="D64" s="38">
        <f t="shared" si="23"/>
        <v>48241268.040000007</v>
      </c>
      <c r="E64" s="39">
        <v>0</v>
      </c>
      <c r="F64" s="40" t="s">
        <v>50</v>
      </c>
      <c r="G64" s="70">
        <v>4.2999999999999997E-2</v>
      </c>
      <c r="H64" s="42">
        <v>0.14019999999999999</v>
      </c>
      <c r="I64" s="42">
        <v>0.14000000000000001</v>
      </c>
      <c r="J64" s="44">
        <f t="shared" si="24"/>
        <v>0.14000000000000001</v>
      </c>
      <c r="K64" s="39">
        <v>0</v>
      </c>
      <c r="L64" s="46">
        <f t="shared" si="25"/>
        <v>-1.9999999999997797E-4</v>
      </c>
      <c r="M64" s="46">
        <f t="shared" si="26"/>
        <v>-0.14265335235376461</v>
      </c>
      <c r="N64" s="47">
        <v>50</v>
      </c>
      <c r="O64" s="37">
        <v>7</v>
      </c>
      <c r="P64" s="71">
        <f t="shared" si="28"/>
        <v>0</v>
      </c>
      <c r="Q64" s="49">
        <f t="shared" si="27"/>
        <v>2.2558139534883725</v>
      </c>
      <c r="T64" s="52"/>
    </row>
    <row r="65" spans="1:20" ht="13.2" x14ac:dyDescent="0.35">
      <c r="A65" s="74"/>
      <c r="B65" s="36" t="s">
        <v>84</v>
      </c>
      <c r="C65" s="40"/>
      <c r="D65" s="75"/>
      <c r="E65" s="75"/>
      <c r="F65" s="40"/>
      <c r="G65" s="40"/>
      <c r="H65" s="42"/>
      <c r="I65" s="42"/>
      <c r="J65" s="42"/>
      <c r="K65" s="42"/>
      <c r="L65" s="46"/>
      <c r="M65" s="76"/>
      <c r="N65" s="61">
        <f>SUM(N50:N64)</f>
        <v>2983864</v>
      </c>
      <c r="O65" s="62">
        <f>SUM(O50:O64)</f>
        <v>290814.27999999997</v>
      </c>
      <c r="P65" s="77"/>
      <c r="Q65" s="63"/>
    </row>
    <row r="66" spans="1:20" ht="12.6" hidden="1" x14ac:dyDescent="0.3">
      <c r="A66" s="130" t="s">
        <v>150</v>
      </c>
      <c r="B66" s="131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3"/>
    </row>
    <row r="67" spans="1:20" ht="12.6" hidden="1" thickBot="1" x14ac:dyDescent="0.3">
      <c r="A67" s="78" t="s">
        <v>151</v>
      </c>
      <c r="B67" s="79" t="s">
        <v>152</v>
      </c>
      <c r="C67" s="80">
        <v>20000</v>
      </c>
      <c r="D67" s="81">
        <f>C67*J67</f>
        <v>0</v>
      </c>
      <c r="E67" s="81"/>
      <c r="F67" s="80" t="s">
        <v>153</v>
      </c>
      <c r="G67" s="80"/>
      <c r="H67" s="82">
        <v>100</v>
      </c>
      <c r="I67" s="82"/>
      <c r="J67" s="82"/>
      <c r="K67" s="82"/>
      <c r="L67" s="83">
        <f>I67-H67</f>
        <v>-100</v>
      </c>
      <c r="M67" s="84">
        <f>((I67-H67)/H67)*100</f>
        <v>-100</v>
      </c>
      <c r="N67" s="85" t="s">
        <v>57</v>
      </c>
      <c r="O67" s="85" t="s">
        <v>57</v>
      </c>
      <c r="P67" s="85"/>
      <c r="Q67" s="86">
        <v>100</v>
      </c>
    </row>
    <row r="68" spans="1:20" ht="12.6" thickBot="1" x14ac:dyDescent="0.3">
      <c r="A68" s="35"/>
      <c r="B68" s="36" t="s">
        <v>84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76"/>
      <c r="N68" s="87"/>
      <c r="O68" s="87"/>
      <c r="P68" s="87"/>
      <c r="Q68" s="63"/>
    </row>
    <row r="69" spans="1:20" ht="12.6" x14ac:dyDescent="0.3">
      <c r="A69" s="130" t="s">
        <v>154</v>
      </c>
      <c r="B69" s="131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3"/>
    </row>
    <row r="70" spans="1:20" x14ac:dyDescent="0.25">
      <c r="A70" s="35" t="s">
        <v>155</v>
      </c>
      <c r="B70" s="88" t="s">
        <v>156</v>
      </c>
      <c r="C70" s="89">
        <v>139300587</v>
      </c>
      <c r="D70" s="38">
        <f>C70*J70</f>
        <v>48769135.508700006</v>
      </c>
      <c r="E70" s="39">
        <f>C70*K70</f>
        <v>48769135.508700006</v>
      </c>
      <c r="F70" s="89" t="s">
        <v>157</v>
      </c>
      <c r="G70" s="89">
        <v>0.24</v>
      </c>
      <c r="H70" s="90">
        <v>0.36</v>
      </c>
      <c r="I70" s="90">
        <v>0.35010000000000002</v>
      </c>
      <c r="J70" s="91">
        <f>I70</f>
        <v>0.35010000000000002</v>
      </c>
      <c r="K70" s="91">
        <f>J70</f>
        <v>0.35010000000000002</v>
      </c>
      <c r="L70" s="46">
        <f>I70-H70</f>
        <v>-9.8999999999999644E-3</v>
      </c>
      <c r="M70" s="46">
        <f>((I70-H70)/H70)*100</f>
        <v>-2.7499999999999902</v>
      </c>
      <c r="N70" s="92">
        <v>2698</v>
      </c>
      <c r="O70" s="93">
        <v>944.45</v>
      </c>
      <c r="P70" s="71">
        <f>(R70)/J70</f>
        <v>0</v>
      </c>
      <c r="Q70" s="49">
        <f>J70/G70-1</f>
        <v>0.45875000000000021</v>
      </c>
      <c r="T70" s="52"/>
    </row>
    <row r="71" spans="1:20" x14ac:dyDescent="0.25">
      <c r="A71" s="35" t="s">
        <v>158</v>
      </c>
      <c r="B71" s="88" t="s">
        <v>159</v>
      </c>
      <c r="C71" s="89">
        <v>471351750</v>
      </c>
      <c r="D71" s="38">
        <f>C71*J71</f>
        <v>70844168.024999991</v>
      </c>
      <c r="E71" s="39">
        <f>C71*K71</f>
        <v>70844168.024999991</v>
      </c>
      <c r="F71" s="89" t="s">
        <v>157</v>
      </c>
      <c r="G71" s="89">
        <v>0.1</v>
      </c>
      <c r="H71" s="90">
        <v>0.15</v>
      </c>
      <c r="I71" s="90">
        <v>0.15029999999999999</v>
      </c>
      <c r="J71" s="91">
        <f>I71</f>
        <v>0.15029999999999999</v>
      </c>
      <c r="K71" s="91">
        <f>J71</f>
        <v>0.15029999999999999</v>
      </c>
      <c r="L71" s="46">
        <f>I71-H71</f>
        <v>2.9999999999999472E-4</v>
      </c>
      <c r="M71" s="46">
        <f>((I71-H71)/H71)*100</f>
        <v>0.19999999999999649</v>
      </c>
      <c r="N71" s="47">
        <v>13685</v>
      </c>
      <c r="O71" s="93">
        <v>2056.94</v>
      </c>
      <c r="P71" s="94">
        <f>(R71)/J71</f>
        <v>2.5229540918163672E-2</v>
      </c>
      <c r="Q71" s="49">
        <f>J71/G71-1</f>
        <v>0.50299999999999989</v>
      </c>
      <c r="R71" s="5">
        <v>3.7919999999999998E-3</v>
      </c>
      <c r="T71" s="52"/>
    </row>
    <row r="72" spans="1:20" ht="13.8" thickBot="1" x14ac:dyDescent="0.4">
      <c r="A72" s="35"/>
      <c r="B72" s="36" t="s">
        <v>84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76"/>
      <c r="N72" s="61">
        <f>SUM(N70:N71)</f>
        <v>16383</v>
      </c>
      <c r="O72" s="62">
        <f>SUM(O70:O71)</f>
        <v>3001.3900000000003</v>
      </c>
      <c r="P72" s="87"/>
      <c r="Q72" s="63"/>
    </row>
    <row r="73" spans="1:20" ht="12.6" x14ac:dyDescent="0.3">
      <c r="A73" s="130" t="s">
        <v>160</v>
      </c>
      <c r="B73" s="131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3"/>
    </row>
    <row r="74" spans="1:20" x14ac:dyDescent="0.25">
      <c r="A74" s="35" t="s">
        <v>161</v>
      </c>
      <c r="B74" s="88" t="s">
        <v>162</v>
      </c>
      <c r="C74" s="89">
        <v>20819695</v>
      </c>
      <c r="D74" s="38">
        <f>C74*J74</f>
        <v>2700314.4415000002</v>
      </c>
      <c r="E74" s="39">
        <f>C74*K74</f>
        <v>2700314.4415000002</v>
      </c>
      <c r="F74" s="89" t="s">
        <v>121</v>
      </c>
      <c r="G74" s="89">
        <v>0.1394</v>
      </c>
      <c r="H74" s="90">
        <v>0.1202</v>
      </c>
      <c r="I74" s="90">
        <v>0.12970000000000001</v>
      </c>
      <c r="J74" s="91">
        <f>I74</f>
        <v>0.12970000000000001</v>
      </c>
      <c r="K74" s="91">
        <f>J74</f>
        <v>0.12970000000000001</v>
      </c>
      <c r="L74" s="46">
        <f>I74-H74</f>
        <v>9.5000000000000084E-3</v>
      </c>
      <c r="M74" s="46">
        <f>((I74-H74)/H74)*100</f>
        <v>7.9034941763727193</v>
      </c>
      <c r="N74" s="92">
        <v>2311</v>
      </c>
      <c r="O74" s="93">
        <v>299.82</v>
      </c>
      <c r="P74" s="71">
        <f>(R74)/J74</f>
        <v>0</v>
      </c>
      <c r="Q74" s="49">
        <f>J74/G74-1</f>
        <v>-6.9583931133428867E-2</v>
      </c>
    </row>
    <row r="75" spans="1:20" ht="13.2" x14ac:dyDescent="0.35">
      <c r="A75" s="35"/>
      <c r="B75" s="36" t="s">
        <v>84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76"/>
      <c r="N75" s="61"/>
      <c r="O75" s="62"/>
      <c r="P75" s="87"/>
      <c r="Q75" s="63"/>
    </row>
    <row r="76" spans="1:20" ht="12.6" x14ac:dyDescent="0.3">
      <c r="A76" s="136" t="s">
        <v>163</v>
      </c>
      <c r="B76" s="137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9"/>
    </row>
    <row r="77" spans="1:20" x14ac:dyDescent="0.25">
      <c r="A77" s="35" t="s">
        <v>164</v>
      </c>
      <c r="B77" s="36" t="s">
        <v>165</v>
      </c>
      <c r="C77" s="40">
        <v>31703227</v>
      </c>
      <c r="D77" s="38">
        <f>C77*J77</f>
        <v>106925.68166147021</v>
      </c>
      <c r="E77" s="39">
        <f>C77*K77</f>
        <v>90580.648571428566</v>
      </c>
      <c r="F77" s="40" t="s">
        <v>121</v>
      </c>
      <c r="G77" s="70">
        <v>0.105</v>
      </c>
      <c r="H77" s="42">
        <v>0.09</v>
      </c>
      <c r="I77" s="42">
        <v>0.09</v>
      </c>
      <c r="J77" s="44">
        <f>I77/$J$5</f>
        <v>3.3727065595395133E-3</v>
      </c>
      <c r="K77" s="45">
        <f>I77/$K$4</f>
        <v>2.8571428571428571E-3</v>
      </c>
      <c r="L77" s="46">
        <f>I77-H77</f>
        <v>0</v>
      </c>
      <c r="M77" s="95">
        <f>((I77-H77)/H77)*100</f>
        <v>0</v>
      </c>
      <c r="N77" s="37">
        <v>0</v>
      </c>
      <c r="O77" s="37">
        <v>0</v>
      </c>
      <c r="P77" s="40">
        <v>0</v>
      </c>
      <c r="Q77" s="49">
        <f>I77/G77-1</f>
        <v>-0.1428571428571429</v>
      </c>
    </row>
    <row r="78" spans="1:20" x14ac:dyDescent="0.25">
      <c r="A78" s="35" t="s">
        <v>166</v>
      </c>
      <c r="B78" s="36" t="s">
        <v>167</v>
      </c>
      <c r="C78" s="40">
        <v>136162052</v>
      </c>
      <c r="D78" s="38">
        <f>C78*J78</f>
        <v>369939.02034116798</v>
      </c>
      <c r="E78" s="39">
        <f>C78*K78</f>
        <v>313388.84984126984</v>
      </c>
      <c r="F78" s="40" t="s">
        <v>121</v>
      </c>
      <c r="G78" s="70">
        <v>4.2500000000000003E-2</v>
      </c>
      <c r="H78" s="42">
        <v>8.5000000000000006E-2</v>
      </c>
      <c r="I78" s="42">
        <v>7.2499999999999995E-2</v>
      </c>
      <c r="J78" s="44">
        <f>I78/$J$5</f>
        <v>2.7169025062957187E-3</v>
      </c>
      <c r="K78" s="45">
        <f>I78/$K$4</f>
        <v>2.3015873015873015E-3</v>
      </c>
      <c r="L78" s="46">
        <f>I78-H78</f>
        <v>-1.2500000000000011E-2</v>
      </c>
      <c r="M78" s="95">
        <f>((I78-H78)/H78)*100</f>
        <v>-14.705882352941188</v>
      </c>
      <c r="N78" s="37">
        <v>6900</v>
      </c>
      <c r="O78" s="37">
        <v>500.25</v>
      </c>
      <c r="P78" s="40">
        <v>0</v>
      </c>
      <c r="Q78" s="49">
        <f>I78/G78-1</f>
        <v>0.70588235294117618</v>
      </c>
    </row>
    <row r="79" spans="1:20" x14ac:dyDescent="0.25">
      <c r="A79" s="35" t="s">
        <v>168</v>
      </c>
      <c r="B79" s="36" t="s">
        <v>169</v>
      </c>
      <c r="C79" s="40">
        <v>6677853</v>
      </c>
      <c r="D79" s="38">
        <f>C79*J79</f>
        <v>31281.164745473081</v>
      </c>
      <c r="E79" s="39">
        <f>C79*K79</f>
        <v>26499.416666666664</v>
      </c>
      <c r="F79" s="40" t="s">
        <v>121</v>
      </c>
      <c r="G79" s="70">
        <v>6.0499999999999998E-2</v>
      </c>
      <c r="H79" s="42">
        <v>0.11</v>
      </c>
      <c r="I79" s="42">
        <v>0.125</v>
      </c>
      <c r="J79" s="44">
        <f>I79/$J$5</f>
        <v>4.6843146660271017E-3</v>
      </c>
      <c r="K79" s="45">
        <f>I79/$K$4</f>
        <v>3.968253968253968E-3</v>
      </c>
      <c r="L79" s="46">
        <f>I79-H79</f>
        <v>1.4999999999999999E-2</v>
      </c>
      <c r="M79" s="95">
        <f>((I79-H79)/H79)*100</f>
        <v>13.636363636363635</v>
      </c>
      <c r="N79" s="37">
        <v>300</v>
      </c>
      <c r="O79" s="37">
        <v>37.5</v>
      </c>
      <c r="P79" s="40">
        <v>0</v>
      </c>
      <c r="Q79" s="49">
        <f>I79/G79-1</f>
        <v>1.0661157024793391</v>
      </c>
    </row>
    <row r="80" spans="1:20" x14ac:dyDescent="0.25">
      <c r="A80" s="35" t="s">
        <v>170</v>
      </c>
      <c r="B80" s="36" t="s">
        <v>171</v>
      </c>
      <c r="C80" s="37">
        <v>494417400</v>
      </c>
      <c r="D80" s="38">
        <f>C80*J80</f>
        <v>28718482.806691453</v>
      </c>
      <c r="E80" s="39">
        <f>C80*K80</f>
        <v>24328475.238095239</v>
      </c>
      <c r="F80" s="40" t="s">
        <v>121</v>
      </c>
      <c r="G80" s="70">
        <v>1.85</v>
      </c>
      <c r="H80" s="42">
        <v>1.55</v>
      </c>
      <c r="I80" s="42">
        <v>1.55</v>
      </c>
      <c r="J80" s="44">
        <f>I80/$J$5</f>
        <v>5.8085501858736066E-2</v>
      </c>
      <c r="K80" s="45">
        <f>I80/$K$4</f>
        <v>4.9206349206349205E-2</v>
      </c>
      <c r="L80" s="46">
        <f>I80-H80</f>
        <v>0</v>
      </c>
      <c r="M80" s="95">
        <f>((I80-H80)/H80)*100</f>
        <v>0</v>
      </c>
      <c r="N80" s="37">
        <v>100</v>
      </c>
      <c r="O80" s="37">
        <v>155</v>
      </c>
      <c r="P80" s="40">
        <v>0</v>
      </c>
      <c r="Q80" s="49">
        <f>I80/G80-1</f>
        <v>-0.16216216216216217</v>
      </c>
    </row>
    <row r="81" spans="1:243" ht="13.8" thickBot="1" x14ac:dyDescent="0.4">
      <c r="A81" s="35"/>
      <c r="B81" s="36" t="s">
        <v>84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1">
        <f>SUM(N77:N80)</f>
        <v>7300</v>
      </c>
      <c r="O81" s="62">
        <f>SUM(O77:O80)</f>
        <v>692.75</v>
      </c>
      <c r="P81" s="77"/>
      <c r="Q81" s="63"/>
      <c r="DU81" s="96"/>
      <c r="DV81" s="96"/>
      <c r="DW81" s="97"/>
      <c r="DX81" s="98"/>
      <c r="DY81" s="98"/>
      <c r="DZ81" s="99"/>
      <c r="EA81" s="99"/>
      <c r="EB81" s="100"/>
      <c r="EC81" s="100"/>
      <c r="ED81" s="101"/>
      <c r="EE81" s="101"/>
      <c r="EF81" s="99"/>
      <c r="EG81" s="102"/>
      <c r="EH81" s="103"/>
      <c r="EI81" s="97"/>
      <c r="EJ81" s="96"/>
      <c r="EK81" s="96"/>
      <c r="EL81" s="97"/>
      <c r="EM81" s="98"/>
      <c r="EN81" s="98"/>
      <c r="EO81" s="99"/>
      <c r="EP81" s="99"/>
      <c r="EQ81" s="100"/>
      <c r="ER81" s="100"/>
      <c r="ES81" s="101"/>
      <c r="ET81" s="101"/>
      <c r="EU81" s="99"/>
      <c r="EV81" s="102"/>
      <c r="EW81" s="103"/>
      <c r="EX81" s="97"/>
      <c r="EY81" s="96"/>
      <c r="EZ81" s="96"/>
      <c r="FA81" s="97"/>
      <c r="FB81" s="98"/>
      <c r="FC81" s="98"/>
      <c r="FD81" s="99"/>
      <c r="FE81" s="99"/>
      <c r="FF81" s="100"/>
      <c r="FG81" s="100"/>
      <c r="FH81" s="101"/>
      <c r="FI81" s="101"/>
      <c r="FJ81" s="99"/>
      <c r="FK81" s="102"/>
      <c r="FL81" s="103"/>
      <c r="FM81" s="97"/>
      <c r="FN81" s="96"/>
      <c r="FO81" s="96"/>
      <c r="FP81" s="97"/>
      <c r="FQ81" s="98"/>
      <c r="FR81" s="98"/>
      <c r="FS81" s="99"/>
      <c r="FT81" s="99"/>
      <c r="FU81" s="100"/>
      <c r="FV81" s="100"/>
      <c r="FW81" s="101"/>
      <c r="FX81" s="101"/>
      <c r="FY81" s="99"/>
      <c r="FZ81" s="102"/>
      <c r="GA81" s="103"/>
      <c r="GB81" s="97"/>
      <c r="GC81" s="96"/>
      <c r="GD81" s="96"/>
      <c r="GE81" s="97"/>
      <c r="GF81" s="98"/>
      <c r="GG81" s="98"/>
      <c r="GH81" s="99"/>
      <c r="GI81" s="99"/>
      <c r="GJ81" s="100"/>
      <c r="GK81" s="100"/>
      <c r="GL81" s="101"/>
      <c r="GM81" s="101"/>
      <c r="GN81" s="99"/>
      <c r="GO81" s="102"/>
      <c r="GP81" s="103"/>
      <c r="GQ81" s="97"/>
      <c r="GR81" s="96"/>
      <c r="GS81" s="96"/>
      <c r="GT81" s="97"/>
      <c r="GU81" s="98"/>
      <c r="GV81" s="98"/>
      <c r="GW81" s="99"/>
      <c r="GX81" s="99"/>
      <c r="GY81" s="100"/>
      <c r="GZ81" s="100"/>
      <c r="HA81" s="101"/>
      <c r="HB81" s="101"/>
      <c r="HC81" s="99"/>
      <c r="HD81" s="102"/>
      <c r="HE81" s="103"/>
      <c r="HF81" s="97"/>
      <c r="HG81" s="96"/>
      <c r="HH81" s="96"/>
      <c r="HI81" s="97"/>
      <c r="HJ81" s="98"/>
      <c r="HK81" s="98"/>
      <c r="HL81" s="99"/>
      <c r="HM81" s="99"/>
      <c r="HN81" s="100"/>
      <c r="HO81" s="100"/>
      <c r="HP81" s="101"/>
      <c r="HQ81" s="101"/>
      <c r="HR81" s="99"/>
      <c r="HS81" s="102"/>
      <c r="HT81" s="103"/>
      <c r="HU81" s="97"/>
      <c r="HV81" s="96"/>
      <c r="HW81" s="96"/>
      <c r="HX81" s="97"/>
      <c r="HY81" s="98"/>
      <c r="HZ81" s="98"/>
      <c r="IA81" s="99"/>
      <c r="IB81" s="99"/>
      <c r="IC81" s="100"/>
      <c r="ID81" s="100"/>
      <c r="IE81" s="101"/>
      <c r="IF81" s="101"/>
      <c r="IG81" s="99"/>
      <c r="IH81" s="102"/>
      <c r="II81" s="103"/>
    </row>
    <row r="82" spans="1:243" ht="13.2" thickTop="1" x14ac:dyDescent="0.3">
      <c r="A82" s="130" t="s">
        <v>172</v>
      </c>
      <c r="B82" s="131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3"/>
    </row>
    <row r="83" spans="1:243" x14ac:dyDescent="0.25">
      <c r="A83" s="35" t="s">
        <v>173</v>
      </c>
      <c r="B83" s="36" t="s">
        <v>174</v>
      </c>
      <c r="C83" s="40">
        <v>368326244</v>
      </c>
      <c r="D83" s="38">
        <f>C83*J83</f>
        <v>27364146.582698766</v>
      </c>
      <c r="E83" s="39">
        <f>C83*K83</f>
        <v>23181167.578730155</v>
      </c>
      <c r="F83" s="40" t="s">
        <v>175</v>
      </c>
      <c r="G83" s="40">
        <v>1.3</v>
      </c>
      <c r="H83" s="42">
        <v>1.9824999999999999</v>
      </c>
      <c r="I83" s="42">
        <f>198.25/100</f>
        <v>1.9824999999999999</v>
      </c>
      <c r="J83" s="44">
        <f>I83/$J$5</f>
        <v>7.4293230603189833E-2</v>
      </c>
      <c r="K83" s="45">
        <f>I83/$K$4</f>
        <v>6.2936507936507929E-2</v>
      </c>
      <c r="L83" s="46">
        <f>I83-H83</f>
        <v>0</v>
      </c>
      <c r="M83" s="46">
        <f>((I83-H83)/H83*100)</f>
        <v>0</v>
      </c>
      <c r="N83" s="104">
        <v>200</v>
      </c>
      <c r="O83" s="105">
        <f>N83*I83</f>
        <v>396.5</v>
      </c>
      <c r="P83" s="48">
        <f>(R83)/J83</f>
        <v>0</v>
      </c>
      <c r="Q83" s="49">
        <f>I83/G83-1</f>
        <v>0.52499999999999991</v>
      </c>
      <c r="R83" s="52"/>
    </row>
    <row r="84" spans="1:243" s="106" customFormat="1" ht="12.6" thickBot="1" x14ac:dyDescent="0.3">
      <c r="A84" s="35" t="s">
        <v>176</v>
      </c>
      <c r="B84" s="36" t="s">
        <v>177</v>
      </c>
      <c r="C84" s="40">
        <v>1841105000</v>
      </c>
      <c r="D84" s="38">
        <f>C84*J84</f>
        <v>79374884.932995558</v>
      </c>
      <c r="E84" s="39">
        <f>C84*K84</f>
        <v>67241362.840000004</v>
      </c>
      <c r="F84" s="40" t="s">
        <v>175</v>
      </c>
      <c r="G84" s="40">
        <v>1.44347</v>
      </c>
      <c r="H84" s="42">
        <f>129.9318/100</f>
        <v>1.2993180000000002</v>
      </c>
      <c r="I84" s="42">
        <f>115.0452/100</f>
        <v>1.150452</v>
      </c>
      <c r="J84" s="44">
        <f>I84/$J$5</f>
        <v>4.3112633409281689E-2</v>
      </c>
      <c r="K84" s="45">
        <f>I84/$K$4</f>
        <v>3.6522285714285715E-2</v>
      </c>
      <c r="L84" s="46">
        <f>I84-H84</f>
        <v>-0.14886600000000016</v>
      </c>
      <c r="M84" s="46">
        <f>((I84-H84)/H84*100)</f>
        <v>-11.457241414341997</v>
      </c>
      <c r="N84" s="104">
        <v>2751152</v>
      </c>
      <c r="O84" s="105">
        <f>316510974/100</f>
        <v>3165109.74</v>
      </c>
      <c r="P84" s="51">
        <f>(R84)/J84</f>
        <v>5.047244456961264E-2</v>
      </c>
      <c r="Q84" s="49">
        <f>I84/G84-1</f>
        <v>-0.2029955593119358</v>
      </c>
      <c r="R84" s="52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2.6" thickBot="1" x14ac:dyDescent="0.3">
      <c r="A85" s="78"/>
      <c r="B85" s="79"/>
      <c r="C85" s="80"/>
      <c r="D85" s="107"/>
      <c r="E85" s="81"/>
      <c r="F85" s="80"/>
      <c r="G85" s="80"/>
      <c r="H85" s="82"/>
      <c r="I85" s="82"/>
      <c r="J85" s="82"/>
      <c r="K85" s="82"/>
      <c r="L85" s="83"/>
      <c r="M85" s="83"/>
      <c r="N85" s="83"/>
      <c r="O85" s="83"/>
      <c r="P85" s="83"/>
      <c r="Q85" s="83"/>
    </row>
    <row r="86" spans="1:243" ht="12.6" thickBot="1" x14ac:dyDescent="0.3">
      <c r="A86" s="108"/>
      <c r="B86" s="109"/>
      <c r="C86" s="109"/>
      <c r="D86" s="109"/>
      <c r="E86" s="109"/>
      <c r="F86" s="110"/>
      <c r="G86" s="110"/>
      <c r="H86" s="59"/>
      <c r="M86" s="111"/>
      <c r="N86" s="111"/>
      <c r="O86" s="59"/>
      <c r="P86" s="59"/>
      <c r="Q86" s="112"/>
    </row>
    <row r="87" spans="1:243" ht="12.6" thickBot="1" x14ac:dyDescent="0.3">
      <c r="A87" s="140" t="s">
        <v>178</v>
      </c>
      <c r="B87" s="141"/>
      <c r="C87" s="141"/>
      <c r="D87" s="142"/>
      <c r="E87" s="140" t="s">
        <v>179</v>
      </c>
      <c r="F87" s="141"/>
      <c r="G87" s="141"/>
      <c r="H87" s="142"/>
      <c r="I87" s="52"/>
      <c r="K87" s="52"/>
      <c r="L87" s="143" t="s">
        <v>180</v>
      </c>
      <c r="M87" s="144"/>
      <c r="N87" s="145"/>
      <c r="O87" s="143" t="s">
        <v>181</v>
      </c>
      <c r="P87" s="144"/>
      <c r="Q87" s="145"/>
    </row>
    <row r="88" spans="1:243" x14ac:dyDescent="0.25">
      <c r="A88" s="35" t="s">
        <v>32</v>
      </c>
      <c r="B88" s="113">
        <v>0.92</v>
      </c>
      <c r="D88" s="113">
        <v>15</v>
      </c>
      <c r="E88" s="35" t="s">
        <v>108</v>
      </c>
      <c r="F88" s="114">
        <v>4.8089000000000007E-2</v>
      </c>
      <c r="H88" s="115">
        <v>-2.6420212981333639</v>
      </c>
      <c r="L88" s="35" t="s">
        <v>119</v>
      </c>
      <c r="M88" s="48">
        <v>17.892199999999999</v>
      </c>
      <c r="N88" s="116">
        <v>19.281333333333325</v>
      </c>
      <c r="O88" s="59" t="s">
        <v>138</v>
      </c>
      <c r="P88" s="114">
        <v>1.7999999999999999E-2</v>
      </c>
      <c r="Q88" s="117">
        <v>-10.000000000000009</v>
      </c>
      <c r="R88" s="5">
        <v>-14.14258188824663</v>
      </c>
    </row>
    <row r="89" spans="1:243" x14ac:dyDescent="0.25">
      <c r="A89" s="35" t="s">
        <v>35</v>
      </c>
      <c r="B89" s="113">
        <v>0.277333</v>
      </c>
      <c r="D89" s="113">
        <v>14.83768115942029</v>
      </c>
      <c r="E89" s="35" t="s">
        <v>110</v>
      </c>
      <c r="F89" s="114">
        <v>2.9230770000000001</v>
      </c>
      <c r="H89" s="115">
        <v>-1.1157422771331718</v>
      </c>
      <c r="L89" s="35" t="s">
        <v>122</v>
      </c>
      <c r="M89" s="48">
        <v>0.13200000000000001</v>
      </c>
      <c r="N89" s="116">
        <v>1.5384615384615397</v>
      </c>
      <c r="O89" s="59" t="s">
        <v>140</v>
      </c>
      <c r="P89" s="114">
        <v>0.3306</v>
      </c>
      <c r="Q89" s="117">
        <v>-8.0645161290322509</v>
      </c>
      <c r="R89" s="5">
        <v>-10.819672131147543</v>
      </c>
    </row>
    <row r="90" spans="1:243" x14ac:dyDescent="0.25">
      <c r="A90" s="35" t="s">
        <v>38</v>
      </c>
      <c r="B90" s="113">
        <v>7.8E-2</v>
      </c>
      <c r="C90" s="113"/>
      <c r="D90" s="113">
        <v>11.111111111111112</v>
      </c>
      <c r="E90" s="35" t="s">
        <v>112</v>
      </c>
      <c r="F90" s="114">
        <v>1.51</v>
      </c>
      <c r="H90" s="115">
        <v>-5.1033545123653892E-2</v>
      </c>
      <c r="L90" s="35" t="s">
        <v>124</v>
      </c>
      <c r="M90" s="48">
        <v>1.3076000000000001</v>
      </c>
      <c r="N90" s="116">
        <v>1.293671082190732</v>
      </c>
      <c r="O90" s="35" t="s">
        <v>142</v>
      </c>
      <c r="P90" s="114">
        <v>0.2316</v>
      </c>
      <c r="Q90" s="117">
        <v>-5.3534940743767887</v>
      </c>
      <c r="R90" s="5">
        <v>-3.3816425120773022</v>
      </c>
    </row>
    <row r="91" spans="1:243" x14ac:dyDescent="0.25">
      <c r="A91" s="35" t="s">
        <v>41</v>
      </c>
      <c r="B91" s="113">
        <v>36.268749999999997</v>
      </c>
      <c r="C91" s="113"/>
      <c r="D91" s="113">
        <v>10.744274809160297</v>
      </c>
      <c r="E91" s="35" t="s">
        <v>114</v>
      </c>
      <c r="F91" s="114">
        <v>9.99</v>
      </c>
      <c r="H91" s="115">
        <v>-3.5732972728157959E-2</v>
      </c>
      <c r="L91" s="35" t="s">
        <v>126</v>
      </c>
      <c r="M91" s="48">
        <v>1.4201999999999999</v>
      </c>
      <c r="N91" s="116">
        <v>7.0417576227018519E-3</v>
      </c>
      <c r="O91" s="35" t="s">
        <v>144</v>
      </c>
      <c r="P91" s="114">
        <v>0.13070000000000001</v>
      </c>
      <c r="Q91" s="117">
        <v>-0.38109756097561004</v>
      </c>
      <c r="R91" s="5">
        <v>-1.7831669044222558</v>
      </c>
    </row>
    <row r="92" spans="1:243" x14ac:dyDescent="0.25">
      <c r="A92" s="35" t="s">
        <v>43</v>
      </c>
      <c r="B92" s="113">
        <v>5.9703359999999996</v>
      </c>
      <c r="C92" s="113"/>
      <c r="D92" s="113">
        <v>8.6609555838304857</v>
      </c>
      <c r="E92" s="35" t="s">
        <v>116</v>
      </c>
      <c r="F92" s="114">
        <v>4.53</v>
      </c>
      <c r="G92" s="114"/>
      <c r="H92" s="115">
        <v>-2.4872399294928654E-2</v>
      </c>
      <c r="L92" s="35"/>
      <c r="M92" s="48"/>
      <c r="N92" s="116"/>
      <c r="O92" s="35" t="s">
        <v>146</v>
      </c>
      <c r="P92" s="114">
        <v>0.6996</v>
      </c>
      <c r="Q92" s="117">
        <v>-0.14273479874393388</v>
      </c>
      <c r="R92" s="5">
        <v>-1.0362694300518251</v>
      </c>
    </row>
    <row r="93" spans="1:243" ht="12.6" thickBot="1" x14ac:dyDescent="0.3">
      <c r="A93" s="118"/>
      <c r="B93" s="119"/>
      <c r="C93" s="119"/>
      <c r="D93" s="119"/>
      <c r="E93" s="118"/>
      <c r="F93" s="119"/>
      <c r="G93" s="119"/>
      <c r="H93" s="120"/>
      <c r="L93" s="118"/>
      <c r="M93" s="119"/>
      <c r="N93" s="120"/>
      <c r="O93" s="119"/>
      <c r="P93" s="119"/>
      <c r="Q93" s="120"/>
    </row>
    <row r="94" spans="1:243" x14ac:dyDescent="0.25">
      <c r="A94" s="121"/>
      <c r="B94" s="122"/>
      <c r="C94" s="122"/>
      <c r="D94" s="122"/>
      <c r="E94" s="111"/>
      <c r="F94" s="111"/>
      <c r="G94" s="111"/>
      <c r="H94" s="111"/>
      <c r="I94" s="111"/>
      <c r="J94" s="111"/>
      <c r="K94" s="111"/>
      <c r="L94" s="111"/>
      <c r="M94" s="122"/>
      <c r="Q94" s="16"/>
    </row>
    <row r="95" spans="1:243" x14ac:dyDescent="0.25">
      <c r="A95" s="12" t="s">
        <v>182</v>
      </c>
      <c r="B95" s="123"/>
      <c r="C95" s="123"/>
      <c r="D95" s="123"/>
      <c r="E95" s="123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21"/>
      <c r="B96" s="122"/>
      <c r="C96" s="122"/>
      <c r="D96" s="122"/>
      <c r="E96" s="122"/>
      <c r="F96" s="111"/>
      <c r="G96" s="111"/>
      <c r="H96" s="122"/>
      <c r="I96" s="111"/>
      <c r="J96" s="111"/>
      <c r="K96" s="111"/>
      <c r="L96" s="111"/>
      <c r="M96" s="122"/>
      <c r="Q96" s="16"/>
    </row>
    <row r="97" spans="1:17" ht="12.6" thickBot="1" x14ac:dyDescent="0.3">
      <c r="A97" s="124"/>
      <c r="B97" s="125"/>
      <c r="C97" s="125"/>
      <c r="D97" s="125"/>
      <c r="E97" s="125"/>
      <c r="F97" s="126"/>
      <c r="G97" s="126"/>
      <c r="H97" s="126"/>
      <c r="I97" s="127"/>
      <c r="J97" s="127"/>
      <c r="K97" s="127"/>
      <c r="L97" s="127"/>
      <c r="M97" s="127"/>
      <c r="N97" s="127"/>
      <c r="O97" s="127"/>
      <c r="P97" s="127"/>
      <c r="Q97" s="128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9"/>
      <c r="J101" s="129"/>
      <c r="K101" s="129"/>
      <c r="O101" s="129"/>
      <c r="P101" s="129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9"/>
      <c r="J104" s="129"/>
      <c r="K104" s="129"/>
      <c r="O104" s="129"/>
      <c r="P104" s="129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9"/>
      <c r="J106" s="129"/>
      <c r="K106" s="129"/>
      <c r="O106" s="129"/>
      <c r="P106" s="129"/>
    </row>
  </sheetData>
  <sheetProtection algorithmName="SHA-512" hashValue="bIIU5ErBzbPYhRJUtoeldICdxmbICha5kEHdrsoAPYX6D0ZFdkVIiZjNFQjhJf857Fm5CXi1Pu86Hm5JpaVqlA==" saltValue="0Hsh2Nn4B0ZT6C4Sm2LKsQ==" spinCount="100000" sheet="1" objects="1" scenarios="1"/>
  <sortState xmlns:xlrd2="http://schemas.microsoft.com/office/spreadsheetml/2017/richdata2" ref="A50:XER64">
    <sortCondition ref="A50:A64"/>
  </sortState>
  <mergeCells count="12">
    <mergeCell ref="A76:Q76"/>
    <mergeCell ref="A82:Q82"/>
    <mergeCell ref="A87:D87"/>
    <mergeCell ref="E87:H87"/>
    <mergeCell ref="L87:N87"/>
    <mergeCell ref="O87:Q87"/>
    <mergeCell ref="A73:Q73"/>
    <mergeCell ref="L5:M5"/>
    <mergeCell ref="A6:Q6"/>
    <mergeCell ref="A49:Q49"/>
    <mergeCell ref="A66:Q66"/>
    <mergeCell ref="A69:Q69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1:A92">
    <cfRule type="duplicateValues" dxfId="39" priority="47" stopIfTrue="1"/>
  </conditionalFormatting>
  <conditionalFormatting sqref="E92">
    <cfRule type="duplicateValues" dxfId="38" priority="48" stopIfTrue="1"/>
  </conditionalFormatting>
  <conditionalFormatting sqref="L9:M26 L28:M46 L50:M64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4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4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0:Q71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T. Gachira</dc:creator>
  <cp:lastModifiedBy>Enock Rukarwa</cp:lastModifiedBy>
  <dcterms:created xsi:type="dcterms:W3CDTF">2026-07-17T13:17:13Z</dcterms:created>
  <dcterms:modified xsi:type="dcterms:W3CDTF">2026-07-17T13:25:07Z</dcterms:modified>
</cp:coreProperties>
</file>