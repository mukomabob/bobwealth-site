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fbczw-my.sharepoint.com/personal/mrewan_fbc_co_zw/Documents/Documents/FBC Sec/Price Sheets/2026/Feb/20.03.26/"/>
    </mc:Choice>
  </mc:AlternateContent>
  <xr:revisionPtr revIDLastSave="0" documentId="8_{CB5A497F-165C-4741-8A7D-41F3D8968D62}" xr6:coauthVersionLast="47" xr6:coauthVersionMax="47" xr10:uidLastSave="{00000000-0000-0000-0000-000000000000}"/>
  <bookViews>
    <workbookView xWindow="-108" yWindow="-108" windowWidth="23256" windowHeight="12456" xr2:uid="{8B3BA930-9D0A-45B6-96CF-155F95F60A10}"/>
  </bookViews>
  <sheets>
    <sheet name="Price Sheet" sheetId="1" r:id="rId1"/>
  </sheets>
  <definedNames>
    <definedName name="_xlnm._FilterDatabase" localSheetId="0" hidden="1">'Price Sheet'!$10:$48</definedName>
    <definedName name="_xlnm.Print_Area" localSheetId="0">'Price Sheet'!$A$1:$Q$95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83" i="1" l="1"/>
  <c r="N83" i="1"/>
  <c r="Q82" i="1"/>
  <c r="M82" i="1"/>
  <c r="L82" i="1"/>
  <c r="K82" i="1"/>
  <c r="J82" i="1"/>
  <c r="P82" i="1" s="1"/>
  <c r="E82" i="1"/>
  <c r="D82" i="1"/>
  <c r="Q81" i="1"/>
  <c r="P81" i="1"/>
  <c r="M81" i="1"/>
  <c r="L81" i="1"/>
  <c r="K81" i="1"/>
  <c r="J81" i="1"/>
  <c r="E81" i="1"/>
  <c r="D81" i="1"/>
  <c r="O79" i="1"/>
  <c r="N79" i="1"/>
  <c r="Q78" i="1"/>
  <c r="M78" i="1"/>
  <c r="L78" i="1"/>
  <c r="K78" i="1"/>
  <c r="E78" i="1" s="1"/>
  <c r="J78" i="1"/>
  <c r="D78" i="1"/>
  <c r="Q77" i="1"/>
  <c r="M77" i="1"/>
  <c r="L77" i="1"/>
  <c r="K77" i="1"/>
  <c r="J77" i="1"/>
  <c r="E77" i="1"/>
  <c r="D77" i="1"/>
  <c r="Q76" i="1"/>
  <c r="M76" i="1"/>
  <c r="L76" i="1"/>
  <c r="K76" i="1"/>
  <c r="J76" i="1"/>
  <c r="E76" i="1"/>
  <c r="D76" i="1"/>
  <c r="Q75" i="1"/>
  <c r="M75" i="1"/>
  <c r="L75" i="1"/>
  <c r="K75" i="1"/>
  <c r="J75" i="1"/>
  <c r="E75" i="1"/>
  <c r="D75" i="1"/>
  <c r="O73" i="1"/>
  <c r="N73" i="1"/>
  <c r="M72" i="1"/>
  <c r="L72" i="1"/>
  <c r="J72" i="1"/>
  <c r="Q72" i="1" s="1"/>
  <c r="D72" i="1"/>
  <c r="Q71" i="1"/>
  <c r="M71" i="1"/>
  <c r="L71" i="1"/>
  <c r="J71" i="1"/>
  <c r="K71" i="1" s="1"/>
  <c r="E71" i="1" s="1"/>
  <c r="D71" i="1"/>
  <c r="M68" i="1"/>
  <c r="L68" i="1"/>
  <c r="D68" i="1"/>
  <c r="O66" i="1"/>
  <c r="N66" i="1"/>
  <c r="Q65" i="1"/>
  <c r="P65" i="1"/>
  <c r="M65" i="1"/>
  <c r="L65" i="1"/>
  <c r="J65" i="1"/>
  <c r="D65" i="1"/>
  <c r="M64" i="1"/>
  <c r="L64" i="1"/>
  <c r="J64" i="1"/>
  <c r="Q64" i="1" s="1"/>
  <c r="D64" i="1"/>
  <c r="Q63" i="1"/>
  <c r="P63" i="1"/>
  <c r="M63" i="1"/>
  <c r="L63" i="1"/>
  <c r="J63" i="1"/>
  <c r="D63" i="1"/>
  <c r="M62" i="1"/>
  <c r="L62" i="1"/>
  <c r="J62" i="1"/>
  <c r="Q62" i="1" s="1"/>
  <c r="D62" i="1"/>
  <c r="Q61" i="1"/>
  <c r="P61" i="1"/>
  <c r="M61" i="1"/>
  <c r="L61" i="1"/>
  <c r="J61" i="1"/>
  <c r="D61" i="1"/>
  <c r="M60" i="1"/>
  <c r="L60" i="1"/>
  <c r="J60" i="1"/>
  <c r="Q60" i="1" s="1"/>
  <c r="D60" i="1"/>
  <c r="Q59" i="1"/>
  <c r="P59" i="1"/>
  <c r="M59" i="1"/>
  <c r="L59" i="1"/>
  <c r="J59" i="1"/>
  <c r="D59" i="1"/>
  <c r="M58" i="1"/>
  <c r="L58" i="1"/>
  <c r="J58" i="1"/>
  <c r="Q58" i="1" s="1"/>
  <c r="D58" i="1"/>
  <c r="Q57" i="1"/>
  <c r="P57" i="1"/>
  <c r="M57" i="1"/>
  <c r="L57" i="1"/>
  <c r="J57" i="1"/>
  <c r="D57" i="1"/>
  <c r="M56" i="1"/>
  <c r="L56" i="1"/>
  <c r="J56" i="1"/>
  <c r="Q56" i="1" s="1"/>
  <c r="D56" i="1"/>
  <c r="Q55" i="1"/>
  <c r="P55" i="1"/>
  <c r="M55" i="1"/>
  <c r="L55" i="1"/>
  <c r="J55" i="1"/>
  <c r="D55" i="1"/>
  <c r="M54" i="1"/>
  <c r="L54" i="1"/>
  <c r="J54" i="1"/>
  <c r="Q54" i="1" s="1"/>
  <c r="D54" i="1"/>
  <c r="Q53" i="1"/>
  <c r="P53" i="1"/>
  <c r="M53" i="1"/>
  <c r="L53" i="1"/>
  <c r="J53" i="1"/>
  <c r="D53" i="1"/>
  <c r="M52" i="1"/>
  <c r="L52" i="1"/>
  <c r="J52" i="1"/>
  <c r="Q52" i="1" s="1"/>
  <c r="E52" i="1"/>
  <c r="D52" i="1"/>
  <c r="O49" i="1"/>
  <c r="N49" i="1"/>
  <c r="Q48" i="1"/>
  <c r="M48" i="1"/>
  <c r="L48" i="1"/>
  <c r="K48" i="1"/>
  <c r="J48" i="1"/>
  <c r="E48" i="1"/>
  <c r="D48" i="1"/>
  <c r="Q47" i="1"/>
  <c r="M47" i="1"/>
  <c r="L47" i="1"/>
  <c r="K47" i="1"/>
  <c r="E47" i="1" s="1"/>
  <c r="J47" i="1"/>
  <c r="D47" i="1" s="1"/>
  <c r="Q46" i="1"/>
  <c r="M46" i="1"/>
  <c r="L46" i="1"/>
  <c r="K46" i="1"/>
  <c r="J46" i="1"/>
  <c r="P46" i="1" s="1"/>
  <c r="E46" i="1"/>
  <c r="D46" i="1"/>
  <c r="Q45" i="1"/>
  <c r="P45" i="1"/>
  <c r="M45" i="1"/>
  <c r="L45" i="1"/>
  <c r="K45" i="1"/>
  <c r="J45" i="1"/>
  <c r="E45" i="1"/>
  <c r="D45" i="1"/>
  <c r="Q44" i="1"/>
  <c r="M44" i="1"/>
  <c r="L44" i="1"/>
  <c r="K44" i="1"/>
  <c r="E44" i="1" s="1"/>
  <c r="J44" i="1"/>
  <c r="D44" i="1" s="1"/>
  <c r="Q43" i="1"/>
  <c r="M43" i="1"/>
  <c r="L43" i="1"/>
  <c r="K43" i="1"/>
  <c r="J43" i="1"/>
  <c r="P43" i="1" s="1"/>
  <c r="E43" i="1"/>
  <c r="D43" i="1"/>
  <c r="Q42" i="1"/>
  <c r="P42" i="1"/>
  <c r="M42" i="1"/>
  <c r="L42" i="1"/>
  <c r="K42" i="1"/>
  <c r="J42" i="1"/>
  <c r="E42" i="1"/>
  <c r="D42" i="1"/>
  <c r="T41" i="1"/>
  <c r="U41" i="1" s="1"/>
  <c r="Q41" i="1"/>
  <c r="P41" i="1"/>
  <c r="M41" i="1"/>
  <c r="L41" i="1"/>
  <c r="K41" i="1"/>
  <c r="J41" i="1"/>
  <c r="E41" i="1"/>
  <c r="D41" i="1"/>
  <c r="Q40" i="1"/>
  <c r="M40" i="1"/>
  <c r="L40" i="1"/>
  <c r="K40" i="1"/>
  <c r="J40" i="1"/>
  <c r="P40" i="1" s="1"/>
  <c r="E40" i="1"/>
  <c r="D40" i="1"/>
  <c r="Q39" i="1"/>
  <c r="M39" i="1"/>
  <c r="L39" i="1"/>
  <c r="K39" i="1"/>
  <c r="J39" i="1"/>
  <c r="E39" i="1"/>
  <c r="D39" i="1"/>
  <c r="U38" i="1"/>
  <c r="Q38" i="1"/>
  <c r="P38" i="1"/>
  <c r="M38" i="1"/>
  <c r="L38" i="1"/>
  <c r="K38" i="1"/>
  <c r="J38" i="1"/>
  <c r="E38" i="1"/>
  <c r="D38" i="1"/>
  <c r="Q37" i="1"/>
  <c r="M37" i="1"/>
  <c r="L37" i="1"/>
  <c r="K37" i="1"/>
  <c r="J37" i="1"/>
  <c r="P37" i="1" s="1"/>
  <c r="E37" i="1"/>
  <c r="D37" i="1"/>
  <c r="Q36" i="1"/>
  <c r="M36" i="1"/>
  <c r="L36" i="1"/>
  <c r="K36" i="1"/>
  <c r="J36" i="1"/>
  <c r="P36" i="1" s="1"/>
  <c r="E36" i="1"/>
  <c r="D36" i="1"/>
  <c r="Q35" i="1"/>
  <c r="P35" i="1"/>
  <c r="M35" i="1"/>
  <c r="L35" i="1"/>
  <c r="K35" i="1"/>
  <c r="J35" i="1"/>
  <c r="E35" i="1"/>
  <c r="D35" i="1"/>
  <c r="Q34" i="1"/>
  <c r="M34" i="1"/>
  <c r="L34" i="1"/>
  <c r="K34" i="1"/>
  <c r="J34" i="1"/>
  <c r="P34" i="1" s="1"/>
  <c r="E34" i="1"/>
  <c r="D34" i="1"/>
  <c r="Q33" i="1"/>
  <c r="M33" i="1"/>
  <c r="L33" i="1"/>
  <c r="K33" i="1"/>
  <c r="J33" i="1"/>
  <c r="P33" i="1" s="1"/>
  <c r="E33" i="1"/>
  <c r="D33" i="1"/>
  <c r="Q32" i="1"/>
  <c r="P32" i="1"/>
  <c r="M32" i="1"/>
  <c r="L32" i="1"/>
  <c r="K32" i="1"/>
  <c r="J32" i="1"/>
  <c r="E32" i="1"/>
  <c r="D32" i="1"/>
  <c r="Q30" i="1"/>
  <c r="M30" i="1"/>
  <c r="L30" i="1"/>
  <c r="K30" i="1"/>
  <c r="J30" i="1"/>
  <c r="P30" i="1" s="1"/>
  <c r="E30" i="1"/>
  <c r="D30" i="1"/>
  <c r="Q29" i="1"/>
  <c r="M29" i="1"/>
  <c r="L29" i="1"/>
  <c r="K29" i="1"/>
  <c r="J29" i="1"/>
  <c r="P29" i="1" s="1"/>
  <c r="E29" i="1"/>
  <c r="D29" i="1"/>
  <c r="Q28" i="1"/>
  <c r="P28" i="1"/>
  <c r="M28" i="1"/>
  <c r="L28" i="1"/>
  <c r="K28" i="1"/>
  <c r="J28" i="1"/>
  <c r="E28" i="1"/>
  <c r="D28" i="1"/>
  <c r="Q27" i="1"/>
  <c r="M27" i="1"/>
  <c r="L27" i="1"/>
  <c r="K27" i="1"/>
  <c r="J27" i="1"/>
  <c r="P27" i="1" s="1"/>
  <c r="E27" i="1"/>
  <c r="D27" i="1"/>
  <c r="Q26" i="1"/>
  <c r="M26" i="1"/>
  <c r="L26" i="1"/>
  <c r="K26" i="1"/>
  <c r="J26" i="1"/>
  <c r="P26" i="1" s="1"/>
  <c r="E26" i="1"/>
  <c r="D26" i="1"/>
  <c r="Q25" i="1"/>
  <c r="P25" i="1"/>
  <c r="M25" i="1"/>
  <c r="L25" i="1"/>
  <c r="K25" i="1"/>
  <c r="J25" i="1"/>
  <c r="E25" i="1"/>
  <c r="D25" i="1"/>
  <c r="Q24" i="1"/>
  <c r="M24" i="1"/>
  <c r="L24" i="1"/>
  <c r="K24" i="1"/>
  <c r="J24" i="1"/>
  <c r="P24" i="1" s="1"/>
  <c r="E24" i="1"/>
  <c r="D24" i="1"/>
  <c r="Q23" i="1"/>
  <c r="M23" i="1"/>
  <c r="L23" i="1"/>
  <c r="K23" i="1"/>
  <c r="J23" i="1"/>
  <c r="P23" i="1" s="1"/>
  <c r="E23" i="1"/>
  <c r="D23" i="1"/>
  <c r="Q22" i="1"/>
  <c r="P22" i="1"/>
  <c r="M22" i="1"/>
  <c r="L22" i="1"/>
  <c r="K22" i="1"/>
  <c r="J22" i="1"/>
  <c r="E22" i="1"/>
  <c r="D22" i="1"/>
  <c r="Q21" i="1"/>
  <c r="M21" i="1"/>
  <c r="L21" i="1"/>
  <c r="K21" i="1"/>
  <c r="J21" i="1"/>
  <c r="P21" i="1" s="1"/>
  <c r="E21" i="1"/>
  <c r="D21" i="1"/>
  <c r="Q20" i="1"/>
  <c r="M20" i="1"/>
  <c r="L20" i="1"/>
  <c r="K20" i="1"/>
  <c r="J20" i="1"/>
  <c r="P20" i="1" s="1"/>
  <c r="E20" i="1"/>
  <c r="D20" i="1"/>
  <c r="Q19" i="1"/>
  <c r="P19" i="1"/>
  <c r="M19" i="1"/>
  <c r="L19" i="1"/>
  <c r="K19" i="1"/>
  <c r="J19" i="1"/>
  <c r="E19" i="1"/>
  <c r="D19" i="1"/>
  <c r="Q18" i="1"/>
  <c r="M18" i="1"/>
  <c r="L18" i="1"/>
  <c r="K18" i="1"/>
  <c r="J18" i="1"/>
  <c r="P18" i="1" s="1"/>
  <c r="E18" i="1"/>
  <c r="D18" i="1"/>
  <c r="Q17" i="1"/>
  <c r="M17" i="1"/>
  <c r="L17" i="1"/>
  <c r="K17" i="1"/>
  <c r="J17" i="1"/>
  <c r="P17" i="1" s="1"/>
  <c r="E17" i="1"/>
  <c r="D17" i="1"/>
  <c r="Q16" i="1"/>
  <c r="P16" i="1"/>
  <c r="M16" i="1"/>
  <c r="L16" i="1"/>
  <c r="K16" i="1"/>
  <c r="J16" i="1"/>
  <c r="E16" i="1"/>
  <c r="D16" i="1"/>
  <c r="U15" i="1"/>
  <c r="Q15" i="1"/>
  <c r="M15" i="1"/>
  <c r="L15" i="1"/>
  <c r="K15" i="1"/>
  <c r="J15" i="1"/>
  <c r="D15" i="1" s="1"/>
  <c r="E15" i="1"/>
  <c r="U14" i="1"/>
  <c r="Q14" i="1"/>
  <c r="M14" i="1"/>
  <c r="L14" i="1"/>
  <c r="K14" i="1"/>
  <c r="J14" i="1"/>
  <c r="P14" i="1" s="1"/>
  <c r="E14" i="1"/>
  <c r="D14" i="1"/>
  <c r="Q13" i="1"/>
  <c r="P13" i="1"/>
  <c r="M13" i="1"/>
  <c r="L13" i="1"/>
  <c r="K13" i="1"/>
  <c r="J13" i="1"/>
  <c r="E13" i="1"/>
  <c r="D13" i="1"/>
  <c r="Q12" i="1"/>
  <c r="M12" i="1"/>
  <c r="L12" i="1"/>
  <c r="K12" i="1"/>
  <c r="E12" i="1" s="1"/>
  <c r="J12" i="1"/>
  <c r="D12" i="1" s="1"/>
  <c r="Q11" i="1"/>
  <c r="M11" i="1"/>
  <c r="L11" i="1"/>
  <c r="K11" i="1"/>
  <c r="J11" i="1"/>
  <c r="P11" i="1" s="1"/>
  <c r="E11" i="1"/>
  <c r="D11" i="1"/>
  <c r="Q10" i="1"/>
  <c r="P10" i="1"/>
  <c r="M10" i="1"/>
  <c r="L10" i="1"/>
  <c r="K10" i="1"/>
  <c r="J10" i="1"/>
  <c r="E10" i="1"/>
  <c r="D10" i="1"/>
  <c r="P12" i="1" l="1"/>
  <c r="P44" i="1"/>
  <c r="P47" i="1"/>
  <c r="P15" i="1"/>
  <c r="K72" i="1"/>
  <c r="E72" i="1" s="1"/>
  <c r="P54" i="1"/>
  <c r="P56" i="1"/>
  <c r="P58" i="1"/>
  <c r="P60" i="1"/>
  <c r="P62" i="1"/>
  <c r="P64" i="1"/>
</calcChain>
</file>

<file path=xl/sharedStrings.xml><?xml version="1.0" encoding="utf-8"?>
<sst xmlns="http://schemas.openxmlformats.org/spreadsheetml/2006/main" count="282" uniqueCount="196">
  <si>
    <t>2nd Flr, Bank Chambers</t>
  </si>
  <si>
    <t>Dealing :</t>
  </si>
  <si>
    <t xml:space="preserve">Research &amp; Investments : </t>
  </si>
  <si>
    <t xml:space="preserve">76 Samora Machel </t>
  </si>
  <si>
    <t>Manatsa Tagwireyi</t>
  </si>
  <si>
    <t>263 773 289 120</t>
  </si>
  <si>
    <t>Enock Rukarwa-           +263 777 193 053</t>
  </si>
  <si>
    <t>Harare</t>
  </si>
  <si>
    <t>Richard Mashava</t>
  </si>
  <si>
    <t>263 772 446 789</t>
  </si>
  <si>
    <t>Nelson Mrewa-             +263 778 197 260</t>
  </si>
  <si>
    <t xml:space="preserve">Tel: +2634797772/75/77; 797761/7/9 </t>
  </si>
  <si>
    <t>Email:   stockbrokers@fbc.co.zw</t>
  </si>
  <si>
    <t>MD: Benson Gasura-    +263 735 167 321</t>
  </si>
  <si>
    <t>COUNTER</t>
  </si>
  <si>
    <t>Isin</t>
  </si>
  <si>
    <t># of Shares</t>
  </si>
  <si>
    <t>US$ Market Cap (IBR)</t>
  </si>
  <si>
    <t>US$ Market Cap (PMR)</t>
  </si>
  <si>
    <t>Sector</t>
  </si>
  <si>
    <t>ZIG Prices 31 Dec 2024</t>
  </si>
  <si>
    <t>Opening
Price (ZiG)</t>
  </si>
  <si>
    <t>Closing
Price (ZiG)</t>
  </si>
  <si>
    <t>USD Prices ($) @IBR</t>
  </si>
  <si>
    <t>USD Prices ($) @PMR</t>
  </si>
  <si>
    <r>
      <t xml:space="preserve">Price </t>
    </r>
    <r>
      <rPr>
        <b/>
        <sz val="9"/>
        <color indexed="16"/>
        <rFont val="Wingdings 3"/>
        <family val="1"/>
        <charset val="2"/>
      </rPr>
      <t>p</t>
    </r>
  </si>
  <si>
    <r>
      <t xml:space="preserve">Price % </t>
    </r>
    <r>
      <rPr>
        <b/>
        <sz val="9"/>
        <color indexed="16"/>
        <rFont val="Wingdings 3"/>
        <family val="1"/>
        <charset val="2"/>
      </rPr>
      <t>p</t>
    </r>
  </si>
  <si>
    <t>Total Volume Traded</t>
  </si>
  <si>
    <t>Total Value Traded (ZiG$)</t>
  </si>
  <si>
    <t>Div Yield-FY25</t>
  </si>
  <si>
    <t>YTD Gain/Loss</t>
  </si>
  <si>
    <t>Div</t>
  </si>
  <si>
    <t>EPS</t>
  </si>
  <si>
    <t xml:space="preserve">Afdis </t>
  </si>
  <si>
    <t>ZW0009011025</t>
  </si>
  <si>
    <t>Consumer Staples</t>
  </si>
  <si>
    <t xml:space="preserve">Ariston </t>
  </si>
  <si>
    <t>ZW0009011041</t>
  </si>
  <si>
    <t>Counter</t>
  </si>
  <si>
    <t>Total Yearly Div/Share</t>
  </si>
  <si>
    <t>ART</t>
  </si>
  <si>
    <t>ZW000301DR35</t>
  </si>
  <si>
    <t>Materials</t>
  </si>
  <si>
    <t>Afdis</t>
  </si>
  <si>
    <t>BAT</t>
  </si>
  <si>
    <t>ZW0009011710</t>
  </si>
  <si>
    <t>CBZ (announcement not yet out)</t>
  </si>
  <si>
    <t>Cafca Limited</t>
  </si>
  <si>
    <t>ZW0009011942</t>
  </si>
  <si>
    <t>Industrials</t>
  </si>
  <si>
    <t>Delta</t>
  </si>
  <si>
    <t>CBZ</t>
  </si>
  <si>
    <t>ZW0009011967</t>
  </si>
  <si>
    <t>Financials</t>
  </si>
  <si>
    <t>Econet</t>
  </si>
  <si>
    <t>CFI</t>
  </si>
  <si>
    <t>ZW0009011116</t>
  </si>
  <si>
    <t>FBC</t>
  </si>
  <si>
    <t>Dairibord</t>
  </si>
  <si>
    <t>ZW0009011975</t>
  </si>
  <si>
    <t>FML</t>
  </si>
  <si>
    <t>ZW0009011199</t>
  </si>
  <si>
    <t>Mash</t>
  </si>
  <si>
    <t>ZW0009012122</t>
  </si>
  <si>
    <t>IT, Communication</t>
  </si>
  <si>
    <t>Masimba-zwg</t>
  </si>
  <si>
    <t>Fbc</t>
  </si>
  <si>
    <t>ZW0009011926</t>
  </si>
  <si>
    <t>Meikles</t>
  </si>
  <si>
    <t xml:space="preserve">Fidelity </t>
  </si>
  <si>
    <t>ZW0009011876</t>
  </si>
  <si>
    <t>NMB</t>
  </si>
  <si>
    <t>ZW0009012197</t>
  </si>
  <si>
    <t>RTG-usd</t>
  </si>
  <si>
    <t>FMP</t>
  </si>
  <si>
    <t>ZW0009012312</t>
  </si>
  <si>
    <t>Real Estate</t>
  </si>
  <si>
    <t>CAFCA</t>
  </si>
  <si>
    <t xml:space="preserve">General Beltings </t>
  </si>
  <si>
    <t>ZW0009012049</t>
  </si>
  <si>
    <t>ZHL</t>
  </si>
  <si>
    <t xml:space="preserve">Hippo </t>
  </si>
  <si>
    <t>ZW0009011272</t>
  </si>
  <si>
    <t>Tigere REIT</t>
  </si>
  <si>
    <t xml:space="preserve"> </t>
  </si>
  <si>
    <t>Mash Holdings</t>
  </si>
  <si>
    <t>ZW0009011348</t>
  </si>
  <si>
    <t>Revitas REIT</t>
  </si>
  <si>
    <t xml:space="preserve">Masimba </t>
  </si>
  <si>
    <t>ZW0009012171</t>
  </si>
  <si>
    <t>ZW0009012114</t>
  </si>
  <si>
    <t xml:space="preserve">Nampak </t>
  </si>
  <si>
    <t>ZW0009012213</t>
  </si>
  <si>
    <t xml:space="preserve">Nmbz </t>
  </si>
  <si>
    <t>ZW0009011389</t>
  </si>
  <si>
    <t>Innscor</t>
  </si>
  <si>
    <t/>
  </si>
  <si>
    <t>Ok Zim</t>
  </si>
  <si>
    <t>ZW0009011785</t>
  </si>
  <si>
    <t>First Capital</t>
  </si>
  <si>
    <t xml:space="preserve">Proplastics </t>
  </si>
  <si>
    <t>ZW0009012247</t>
  </si>
  <si>
    <t>Padenga</t>
  </si>
  <si>
    <t>Riozim</t>
  </si>
  <si>
    <t>ZW0009011959</t>
  </si>
  <si>
    <t>National Foods</t>
  </si>
  <si>
    <t>RTG</t>
  </si>
  <si>
    <t>ZW0009011470</t>
  </si>
  <si>
    <t>Consumer Discretionary</t>
  </si>
  <si>
    <t>African Sun</t>
  </si>
  <si>
    <t>Seedco Ltd</t>
  </si>
  <si>
    <t>ZW0009011504</t>
  </si>
  <si>
    <t>Caledonia</t>
  </si>
  <si>
    <t>Starafrica</t>
  </si>
  <si>
    <t>ZW0009011991</t>
  </si>
  <si>
    <t>WestProp</t>
  </si>
  <si>
    <t>Tanganda</t>
  </si>
  <si>
    <t>ZW0009012411</t>
  </si>
  <si>
    <t>Tn Cybertech Investments Holdings Limited</t>
  </si>
  <si>
    <t>ZW0009012502</t>
  </si>
  <si>
    <t>TSL</t>
  </si>
  <si>
    <t>ZW0009011579</t>
  </si>
  <si>
    <t xml:space="preserve">Turnall </t>
  </si>
  <si>
    <t>ZW0009011835</t>
  </si>
  <si>
    <t xml:space="preserve">Unifreight </t>
  </si>
  <si>
    <t>ZW0009012221</t>
  </si>
  <si>
    <t>Willdale</t>
  </si>
  <si>
    <t>ZW0009011850</t>
  </si>
  <si>
    <t xml:space="preserve">Zb </t>
  </si>
  <si>
    <t>ZW0009012007</t>
  </si>
  <si>
    <t xml:space="preserve">Zeco </t>
  </si>
  <si>
    <t>ZW0009012064</t>
  </si>
  <si>
    <t>Zimpapers</t>
  </si>
  <si>
    <t>ZW0009011595</t>
  </si>
  <si>
    <t>Zimre</t>
  </si>
  <si>
    <t>ZW0009011611</t>
  </si>
  <si>
    <t>ZSE Holdings</t>
  </si>
  <si>
    <t>ZW0009012494</t>
  </si>
  <si>
    <t>VFEX PRICE SHEET (USD$)</t>
  </si>
  <si>
    <t>ZWVX09010070</t>
  </si>
  <si>
    <t xml:space="preserve">Axia </t>
  </si>
  <si>
    <t>ZWVX09010062</t>
  </si>
  <si>
    <t>ZWVX301DR012</t>
  </si>
  <si>
    <t>Edgars</t>
  </si>
  <si>
    <t>ZWVX09010112</t>
  </si>
  <si>
    <t>First Capital Bank Limited</t>
  </si>
  <si>
    <t>ZWVX09010096</t>
  </si>
  <si>
    <t>Innscor Africa Limited</t>
  </si>
  <si>
    <t>ZWVX09010054</t>
  </si>
  <si>
    <t>Invictus Energy ZDR</t>
  </si>
  <si>
    <t>ZWVX301DR037</t>
  </si>
  <si>
    <t>Kavango Resources Plc</t>
  </si>
  <si>
    <t>GB00BF0VMV24</t>
  </si>
  <si>
    <t>Nedbank ZDR</t>
  </si>
  <si>
    <t>ZWVX301DR029</t>
  </si>
  <si>
    <t>Derivative</t>
  </si>
  <si>
    <t>ZWVX09010013</t>
  </si>
  <si>
    <t>Seedco Int</t>
  </si>
  <si>
    <t>BW0000002005</t>
  </si>
  <si>
    <t>Simbisa</t>
  </si>
  <si>
    <t>ZWVX09010039</t>
  </si>
  <si>
    <t>West Prop Holdings Limited</t>
  </si>
  <si>
    <t>ZWVX09010088</t>
  </si>
  <si>
    <t>Zimplow Holdings Limited</t>
  </si>
  <si>
    <t>ZWVX09010104</t>
  </si>
  <si>
    <t>VFEX BONDS (USD$)</t>
  </si>
  <si>
    <t xml:space="preserve">Karo </t>
  </si>
  <si>
    <t>ZWVXC0060017</t>
  </si>
  <si>
    <t>Fixed Term  Bond</t>
  </si>
  <si>
    <t>Not Found</t>
  </si>
  <si>
    <t>VFEX REITS (USD$)</t>
  </si>
  <si>
    <t>Eagle REIT</t>
  </si>
  <si>
    <t>ZWVX09030011</t>
  </si>
  <si>
    <t>Riet</t>
  </si>
  <si>
    <t>Pfuma REIT</t>
  </si>
  <si>
    <t>ZWVX09030029</t>
  </si>
  <si>
    <t>ZSE ETF PRICES (ZiG)</t>
  </si>
  <si>
    <t>Cass Saddle Agriculture ETF</t>
  </si>
  <si>
    <t>ZW0009020059</t>
  </si>
  <si>
    <t>Datvest ETF</t>
  </si>
  <si>
    <t>ZW0009020034</t>
  </si>
  <si>
    <t>Morgan &amp; CO in Zim ETF</t>
  </si>
  <si>
    <t>ZW0009020042</t>
  </si>
  <si>
    <t>Morgan &amp; CO M-Sector ETF</t>
  </si>
  <si>
    <t>ZW0009020026</t>
  </si>
  <si>
    <t>ZSE REIT PRICES (ZiG)</t>
  </si>
  <si>
    <t>Revitus</t>
  </si>
  <si>
    <t>ZW0009030025</t>
  </si>
  <si>
    <t>Reit</t>
  </si>
  <si>
    <t>Tigere Reit</t>
  </si>
  <si>
    <t>ZW0009030017</t>
  </si>
  <si>
    <t>ZSE Top Gainers</t>
  </si>
  <si>
    <t>ZSE Top Losers</t>
  </si>
  <si>
    <t>VFEX Top Gainers</t>
  </si>
  <si>
    <t>VFEX Top Losers</t>
  </si>
  <si>
    <t xml:space="preserve">This Price Sheet is based on PROVISIONAL information obtained during trading. No liability is accepted by FBC Securities (Private) Limited for any errors in this report.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</si>
</sst>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(* #,##0.00_);_(* \(#,##0.00\);_(* &quot;-&quot;??_);_(@_)"/>
    <numFmt numFmtId="165" formatCode="[$-409]d\-mmm\-yyyy;@"/>
    <numFmt numFmtId="166" formatCode="_(* #,##0_);_(* \(#,##0\);_(* &quot;-&quot;??_);_(@_)"/>
    <numFmt numFmtId="167" formatCode="_(* #,##0.0000_);_(* \(#,##0.0000\);_(* &quot;-&quot;??_);_(@_)"/>
    <numFmt numFmtId="168" formatCode="0.0000"/>
    <numFmt numFmtId="169" formatCode="_-* #,##0.0000_-;\-* #,##0.0000_-;_-* &quot;-&quot;????_-;_-@_-"/>
    <numFmt numFmtId="170" formatCode="_(* #,##0.000_);_(* \(#,##0.000\);_(* &quot;-&quot;??_);_(@_)"/>
    <numFmt numFmtId="171" formatCode="_(* #,##0.0_);_(* \(#,##0.0\);_(* &quot;-&quot;??_);_(@_)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b/>
      <sz val="9"/>
      <color rgb="FF0000CC"/>
      <name val="Berlin Sans FB Demi"/>
      <family val="2"/>
    </font>
    <font>
      <sz val="9"/>
      <name val="Berlin Sans FB Demi"/>
      <family val="2"/>
    </font>
    <font>
      <sz val="9"/>
      <color theme="0"/>
      <name val="Berlin Sans FB Demi"/>
      <family val="2"/>
    </font>
    <font>
      <sz val="9"/>
      <color theme="0"/>
      <name val="Calibri"/>
      <family val="2"/>
      <scheme val="minor"/>
    </font>
    <font>
      <b/>
      <sz val="9"/>
      <color rgb="FF0000CC"/>
      <name val="Calibri"/>
      <family val="2"/>
      <scheme val="minor"/>
    </font>
    <font>
      <b/>
      <sz val="9"/>
      <color theme="3" tint="0.79998168889431442"/>
      <name val="Berlin Sans FB Demi"/>
      <family val="2"/>
    </font>
    <font>
      <b/>
      <sz val="9"/>
      <color theme="5" tint="-0.499984740745262"/>
      <name val="Berlin Sans FB Demi"/>
      <family val="2"/>
    </font>
    <font>
      <b/>
      <sz val="9"/>
      <color rgb="FF002060"/>
      <name val="Berlin Sans FB"/>
      <family val="2"/>
    </font>
    <font>
      <b/>
      <sz val="9"/>
      <color indexed="16"/>
      <name val="Wingdings 3"/>
      <family val="1"/>
      <charset val="2"/>
    </font>
    <font>
      <sz val="10"/>
      <name val="Arial"/>
      <family val="2"/>
    </font>
    <font>
      <sz val="9"/>
      <color indexed="8"/>
      <name val="Berlin Sans FB Demi"/>
      <family val="2"/>
    </font>
    <font>
      <b/>
      <sz val="9"/>
      <color indexed="8"/>
      <name val="Calibri"/>
      <family val="2"/>
      <scheme val="minor"/>
    </font>
    <font>
      <b/>
      <sz val="9"/>
      <color indexed="8"/>
      <name val="Berlin Sans FB Demi"/>
      <family val="2"/>
    </font>
    <font>
      <b/>
      <u val="doubleAccounting"/>
      <sz val="9"/>
      <color indexed="8"/>
      <name val="Berlin Sans FB Demi"/>
      <family val="2"/>
    </font>
    <font>
      <u val="singleAccounting"/>
      <sz val="9"/>
      <color indexed="8"/>
      <name val="Berlin Sans FB Demi"/>
      <family val="2"/>
    </font>
    <font>
      <sz val="9"/>
      <color rgb="FFFF0000"/>
      <name val="Berlin Sans FB Demi"/>
      <family val="2"/>
    </font>
    <font>
      <u val="doubleAccounting"/>
      <sz val="9"/>
      <color indexed="8"/>
      <name val="Berlin Sans FB Demi"/>
      <family val="2"/>
    </font>
    <font>
      <b/>
      <sz val="9"/>
      <color indexed="9"/>
      <name val="Berlin Sans FB Demi"/>
      <family val="2"/>
    </font>
    <font>
      <b/>
      <sz val="9"/>
      <color theme="1"/>
      <name val="Berlin Sans FB Demi"/>
      <family val="2"/>
    </font>
    <font>
      <b/>
      <sz val="9"/>
      <color rgb="FF002060"/>
      <name val="Berlin Sans FB Demi"/>
      <family val="2"/>
    </font>
    <font>
      <sz val="9"/>
      <color rgb="FF00CC00"/>
      <name val="Berlin Sans FB Demi"/>
      <family val="2"/>
    </font>
    <font>
      <b/>
      <sz val="9"/>
      <color indexed="56"/>
      <name val="Berlin Sans FB Demi"/>
      <family val="2"/>
    </font>
    <font>
      <b/>
      <sz val="9"/>
      <name val="Berlin Sans FB Demi"/>
      <family val="2"/>
    </font>
    <font>
      <u/>
      <sz val="10"/>
      <color indexed="12"/>
      <name val="Arial"/>
      <family val="2"/>
    </font>
    <font>
      <u/>
      <sz val="9"/>
      <color indexed="12"/>
      <name val="Calibri"/>
      <family val="2"/>
      <scheme val="minor"/>
    </font>
  </fonts>
  <fills count="9">
    <fill>
      <patternFill patternType="none"/>
    </fill>
    <fill>
      <patternFill patternType="gray125"/>
    </fill>
    <fill>
      <gradientFill degree="90">
        <stop position="0">
          <color theme="0"/>
        </stop>
        <stop position="0.5">
          <color theme="4"/>
        </stop>
        <stop position="1">
          <color theme="0"/>
        </stop>
      </gradientFill>
    </fill>
    <fill>
      <gradientFill degree="90">
        <stop position="0">
          <color theme="0"/>
        </stop>
        <stop position="1">
          <color theme="2"/>
        </stop>
      </gradientFill>
    </fill>
    <fill>
      <gradientFill degree="90">
        <stop position="0">
          <color theme="0"/>
        </stop>
        <stop position="0.5">
          <color theme="1" tint="0.34900967436750391"/>
        </stop>
        <stop position="1">
          <color theme="0"/>
        </stop>
      </gradientFill>
    </fill>
    <fill>
      <gradientFill degree="90">
        <stop position="0">
          <color theme="0"/>
        </stop>
        <stop position="0.5">
          <color theme="2"/>
        </stop>
        <stop position="1">
          <color theme="0"/>
        </stop>
      </gradientFill>
    </fill>
    <fill>
      <patternFill patternType="solid">
        <fgColor theme="4" tint="0.79998168889431442"/>
        <bgColor indexed="9"/>
      </patternFill>
    </fill>
    <fill>
      <patternFill patternType="solid">
        <fgColor theme="8" tint="0.79998168889431442"/>
        <bgColor indexed="9"/>
      </patternFill>
    </fill>
    <fill>
      <patternFill patternType="solid">
        <fgColor theme="0"/>
        <bgColor auto="1"/>
      </patternFill>
    </fill>
  </fills>
  <borders count="1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ck">
        <color theme="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ck">
        <color rgb="FF002060"/>
      </bottom>
      <diagonal/>
    </border>
    <border>
      <left/>
      <right style="thick">
        <color rgb="FF002060"/>
      </right>
      <top/>
      <bottom style="thick">
        <color rgb="FF002060"/>
      </bottom>
      <diagonal/>
    </border>
    <border>
      <left style="thick">
        <color rgb="FF002060"/>
      </left>
      <right/>
      <top/>
      <bottom style="thick">
        <color rgb="FF00206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0">
    <xf numFmtId="0" fontId="0" fillId="0" borderId="0"/>
    <xf numFmtId="164" fontId="1" fillId="0" borderId="0" applyFont="0" applyFill="0" applyBorder="0" applyAlignment="0" applyProtection="0"/>
    <xf numFmtId="0" fontId="3" fillId="0" borderId="0">
      <alignment vertical="top"/>
    </xf>
    <xf numFmtId="164" fontId="15" fillId="0" borderId="0" applyFont="0" applyFill="0" applyBorder="0" applyAlignment="0" applyProtection="0"/>
    <xf numFmtId="164" fontId="3" fillId="0" borderId="0" applyFont="0" applyFill="0" applyBorder="0" applyAlignment="0" applyProtection="0">
      <alignment vertical="top"/>
    </xf>
    <xf numFmtId="164" fontId="1" fillId="0" borderId="0" applyFont="0" applyFill="0" applyBorder="0" applyAlignment="0" applyProtection="0"/>
    <xf numFmtId="9" fontId="3" fillId="0" borderId="0" applyFont="0" applyFill="0" applyBorder="0" applyAlignment="0" applyProtection="0">
      <alignment vertical="top"/>
    </xf>
    <xf numFmtId="9" fontId="1" fillId="0" borderId="0" applyFont="0" applyFill="0" applyBorder="0" applyAlignment="0" applyProtection="0"/>
    <xf numFmtId="0" fontId="15" fillId="0" borderId="0"/>
    <xf numFmtId="0" fontId="29" fillId="0" borderId="0" applyNumberFormat="0" applyFill="0" applyBorder="0" applyAlignment="0" applyProtection="0">
      <alignment vertical="top"/>
      <protection locked="0"/>
    </xf>
  </cellStyleXfs>
  <cellXfs count="162">
    <xf numFmtId="0" fontId="0" fillId="0" borderId="0" xfId="0"/>
    <xf numFmtId="0" fontId="4" fillId="2" borderId="1" xfId="2" applyFont="1" applyFill="1" applyBorder="1" applyAlignment="1"/>
    <xf numFmtId="0" fontId="5" fillId="2" borderId="2" xfId="2" applyFont="1" applyFill="1" applyBorder="1" applyAlignment="1"/>
    <xf numFmtId="0" fontId="5" fillId="2" borderId="3" xfId="2" applyFont="1" applyFill="1" applyBorder="1" applyAlignment="1"/>
    <xf numFmtId="0" fontId="5" fillId="2" borderId="4" xfId="2" applyFont="1" applyFill="1" applyBorder="1" applyAlignment="1"/>
    <xf numFmtId="0" fontId="5" fillId="3" borderId="0" xfId="2" applyFont="1" applyFill="1" applyAlignment="1"/>
    <xf numFmtId="0" fontId="6" fillId="3" borderId="1" xfId="2" applyFont="1" applyFill="1" applyBorder="1" applyAlignment="1"/>
    <xf numFmtId="0" fontId="7" fillId="3" borderId="2" xfId="2" applyFont="1" applyFill="1" applyBorder="1" applyAlignment="1"/>
    <xf numFmtId="0" fontId="6" fillId="3" borderId="2" xfId="2" applyFont="1" applyFill="1" applyBorder="1" applyAlignment="1"/>
    <xf numFmtId="0" fontId="6" fillId="3" borderId="0" xfId="2" applyFont="1" applyFill="1" applyAlignment="1"/>
    <xf numFmtId="0" fontId="8" fillId="3" borderId="4" xfId="2" applyFont="1" applyFill="1" applyBorder="1" applyAlignment="1"/>
    <xf numFmtId="0" fontId="9" fillId="3" borderId="4" xfId="2" applyFont="1" applyFill="1" applyBorder="1" applyAlignment="1"/>
    <xf numFmtId="0" fontId="6" fillId="3" borderId="5" xfId="2" applyFont="1" applyFill="1" applyBorder="1" applyAlignment="1"/>
    <xf numFmtId="0" fontId="10" fillId="3" borderId="0" xfId="2" applyFont="1" applyFill="1" applyAlignment="1"/>
    <xf numFmtId="0" fontId="6" fillId="3" borderId="5" xfId="2" quotePrefix="1" applyFont="1" applyFill="1" applyBorder="1" applyAlignment="1"/>
    <xf numFmtId="0" fontId="6" fillId="3" borderId="6" xfId="2" applyFont="1" applyFill="1" applyBorder="1" applyAlignment="1"/>
    <xf numFmtId="0" fontId="5" fillId="3" borderId="6" xfId="2" applyFont="1" applyFill="1" applyBorder="1" applyAlignment="1"/>
    <xf numFmtId="0" fontId="7" fillId="3" borderId="0" xfId="2" applyFont="1" applyFill="1" applyAlignment="1"/>
    <xf numFmtId="4" fontId="11" fillId="3" borderId="0" xfId="2" applyNumberFormat="1" applyFont="1" applyFill="1" applyAlignment="1"/>
    <xf numFmtId="0" fontId="6" fillId="3" borderId="7" xfId="2" applyFont="1" applyFill="1" applyBorder="1" applyAlignment="1"/>
    <xf numFmtId="0" fontId="10" fillId="3" borderId="8" xfId="2" applyFont="1" applyFill="1" applyBorder="1" applyAlignment="1"/>
    <xf numFmtId="0" fontId="6" fillId="3" borderId="8" xfId="2" applyFont="1" applyFill="1" applyBorder="1" applyAlignment="1"/>
    <xf numFmtId="0" fontId="6" fillId="3" borderId="9" xfId="2" applyFont="1" applyFill="1" applyBorder="1" applyAlignment="1"/>
    <xf numFmtId="4" fontId="11" fillId="3" borderId="8" xfId="2" applyNumberFormat="1" applyFont="1" applyFill="1" applyBorder="1" applyAlignment="1"/>
    <xf numFmtId="0" fontId="12" fillId="3" borderId="9" xfId="2" applyFont="1" applyFill="1" applyBorder="1" applyAlignment="1"/>
    <xf numFmtId="0" fontId="12" fillId="3" borderId="8" xfId="2" applyFont="1" applyFill="1" applyBorder="1" applyAlignment="1"/>
    <xf numFmtId="0" fontId="12" fillId="3" borderId="10" xfId="2" applyFont="1" applyFill="1" applyBorder="1" applyAlignment="1"/>
    <xf numFmtId="164" fontId="10" fillId="3" borderId="0" xfId="2" applyNumberFormat="1" applyFont="1" applyFill="1" applyAlignment="1"/>
    <xf numFmtId="0" fontId="12" fillId="3" borderId="0" xfId="2" applyFont="1" applyFill="1" applyAlignment="1"/>
    <xf numFmtId="0" fontId="12" fillId="4" borderId="5" xfId="2" quotePrefix="1" applyFont="1" applyFill="1" applyBorder="1" applyAlignment="1">
      <alignment horizontal="left"/>
    </xf>
    <xf numFmtId="0" fontId="12" fillId="4" borderId="0" xfId="2" applyFont="1" applyFill="1" applyAlignment="1">
      <alignment horizontal="center"/>
    </xf>
    <xf numFmtId="0" fontId="12" fillId="4" borderId="0" xfId="2" quotePrefix="1" applyFont="1" applyFill="1" applyAlignment="1">
      <alignment horizontal="left"/>
    </xf>
    <xf numFmtId="0" fontId="12" fillId="4" borderId="0" xfId="2" applyFont="1" applyFill="1" applyAlignment="1">
      <alignment horizontal="right" wrapText="1"/>
    </xf>
    <xf numFmtId="0" fontId="12" fillId="4" borderId="0" xfId="2" applyFont="1" applyFill="1" applyAlignment="1">
      <alignment horizontal="right"/>
    </xf>
    <xf numFmtId="0" fontId="12" fillId="4" borderId="6" xfId="2" applyFont="1" applyFill="1" applyBorder="1" applyAlignment="1">
      <alignment horizontal="right"/>
    </xf>
    <xf numFmtId="0" fontId="4" fillId="3" borderId="0" xfId="2" applyFont="1" applyFill="1" applyAlignment="1"/>
    <xf numFmtId="164" fontId="16" fillId="5" borderId="5" xfId="3" applyFont="1" applyFill="1" applyBorder="1" applyAlignment="1">
      <alignment horizontal="left"/>
    </xf>
    <xf numFmtId="49" fontId="16" fillId="5" borderId="0" xfId="4" applyNumberFormat="1" applyFont="1" applyFill="1" applyAlignment="1"/>
    <xf numFmtId="166" fontId="16" fillId="5" borderId="0" xfId="4" applyNumberFormat="1" applyFont="1" applyFill="1" applyAlignment="1"/>
    <xf numFmtId="164" fontId="16" fillId="6" borderId="0" xfId="4" applyFont="1" applyFill="1" applyAlignment="1"/>
    <xf numFmtId="164" fontId="16" fillId="7" borderId="0" xfId="4" applyFont="1" applyFill="1" applyAlignment="1"/>
    <xf numFmtId="164" fontId="16" fillId="5" borderId="0" xfId="4" applyFont="1" applyFill="1" applyAlignment="1"/>
    <xf numFmtId="167" fontId="16" fillId="5" borderId="0" xfId="4" applyNumberFormat="1" applyFont="1" applyFill="1" applyAlignment="1"/>
    <xf numFmtId="168" fontId="16" fillId="5" borderId="0" xfId="3" applyNumberFormat="1" applyFont="1" applyFill="1"/>
    <xf numFmtId="168" fontId="16" fillId="6" borderId="0" xfId="3" applyNumberFormat="1" applyFont="1" applyFill="1"/>
    <xf numFmtId="168" fontId="16" fillId="7" borderId="0" xfId="3" applyNumberFormat="1" applyFont="1" applyFill="1"/>
    <xf numFmtId="167" fontId="16" fillId="5" borderId="0" xfId="3" applyNumberFormat="1" applyFont="1" applyFill="1"/>
    <xf numFmtId="166" fontId="16" fillId="5" borderId="0" xfId="5" applyNumberFormat="1" applyFont="1" applyFill="1"/>
    <xf numFmtId="9" fontId="16" fillId="5" borderId="0" xfId="6" applyFont="1" applyFill="1" applyAlignment="1"/>
    <xf numFmtId="10" fontId="16" fillId="5" borderId="6" xfId="6" applyNumberFormat="1" applyFont="1" applyFill="1" applyBorder="1" applyAlignment="1"/>
    <xf numFmtId="169" fontId="5" fillId="3" borderId="0" xfId="2" applyNumberFormat="1" applyFont="1" applyFill="1" applyAlignment="1"/>
    <xf numFmtId="164" fontId="0" fillId="0" borderId="0" xfId="4" applyFont="1" applyBorder="1" applyAlignment="1"/>
    <xf numFmtId="0" fontId="2" fillId="0" borderId="11" xfId="2" applyFont="1" applyBorder="1" applyAlignment="1"/>
    <xf numFmtId="0" fontId="3" fillId="0" borderId="11" xfId="2" applyBorder="1" applyAlignment="1"/>
    <xf numFmtId="164" fontId="0" fillId="0" borderId="11" xfId="4" applyFont="1" applyBorder="1" applyAlignment="1"/>
    <xf numFmtId="164" fontId="16" fillId="5" borderId="0" xfId="5" applyFont="1" applyFill="1"/>
    <xf numFmtId="164" fontId="5" fillId="3" borderId="0" xfId="2" applyNumberFormat="1" applyFont="1" applyFill="1" applyAlignment="1"/>
    <xf numFmtId="164" fontId="0" fillId="0" borderId="0" xfId="4" applyFont="1" applyAlignment="1"/>
    <xf numFmtId="164" fontId="3" fillId="0" borderId="0" xfId="2" applyNumberFormat="1" applyAlignment="1"/>
    <xf numFmtId="0" fontId="3" fillId="0" borderId="12" xfId="2" applyBorder="1" applyAlignment="1"/>
    <xf numFmtId="164" fontId="0" fillId="0" borderId="12" xfId="4" applyFont="1" applyBorder="1" applyAlignment="1"/>
    <xf numFmtId="0" fontId="3" fillId="0" borderId="0" xfId="2" applyAlignment="1"/>
    <xf numFmtId="9" fontId="16" fillId="5" borderId="0" xfId="7" applyFont="1" applyFill="1"/>
    <xf numFmtId="9" fontId="5" fillId="3" borderId="0" xfId="6" applyFont="1" applyFill="1" applyAlignment="1"/>
    <xf numFmtId="164" fontId="17" fillId="5" borderId="5" xfId="3" applyFont="1" applyFill="1" applyBorder="1"/>
    <xf numFmtId="49" fontId="16" fillId="5" borderId="0" xfId="3" applyNumberFormat="1" applyFont="1" applyFill="1"/>
    <xf numFmtId="164" fontId="16" fillId="5" borderId="0" xfId="3" applyFont="1" applyFill="1"/>
    <xf numFmtId="164" fontId="18" fillId="5" borderId="0" xfId="3" applyFont="1" applyFill="1"/>
    <xf numFmtId="166" fontId="19" fillId="5" borderId="0" xfId="3" applyNumberFormat="1" applyFont="1" applyFill="1"/>
    <xf numFmtId="164" fontId="19" fillId="5" borderId="0" xfId="3" applyFont="1" applyFill="1"/>
    <xf numFmtId="167" fontId="16" fillId="5" borderId="6" xfId="3" applyNumberFormat="1" applyFont="1" applyFill="1" applyBorder="1"/>
    <xf numFmtId="164" fontId="16" fillId="5" borderId="1" xfId="3" applyFont="1" applyFill="1" applyBorder="1"/>
    <xf numFmtId="49" fontId="16" fillId="5" borderId="2" xfId="3" applyNumberFormat="1" applyFont="1" applyFill="1" applyBorder="1"/>
    <xf numFmtId="164" fontId="16" fillId="5" borderId="2" xfId="3" applyFont="1" applyFill="1" applyBorder="1"/>
    <xf numFmtId="166" fontId="19" fillId="5" borderId="2" xfId="3" applyNumberFormat="1" applyFont="1" applyFill="1" applyBorder="1"/>
    <xf numFmtId="167" fontId="16" fillId="5" borderId="2" xfId="3" applyNumberFormat="1" applyFont="1" applyFill="1" applyBorder="1"/>
    <xf numFmtId="167" fontId="19" fillId="5" borderId="4" xfId="3" applyNumberFormat="1" applyFont="1" applyFill="1" applyBorder="1" applyAlignment="1">
      <alignment horizontal="left"/>
    </xf>
    <xf numFmtId="170" fontId="16" fillId="5" borderId="0" xfId="4" applyNumberFormat="1" applyFont="1" applyFill="1" applyAlignment="1"/>
    <xf numFmtId="167" fontId="16" fillId="8" borderId="0" xfId="3" applyNumberFormat="1" applyFont="1" applyFill="1"/>
    <xf numFmtId="164" fontId="18" fillId="5" borderId="5" xfId="3" applyFont="1" applyFill="1" applyBorder="1" applyAlignment="1">
      <alignment horizontal="left"/>
    </xf>
    <xf numFmtId="166" fontId="18" fillId="5" borderId="0" xfId="4" applyNumberFormat="1" applyFont="1" applyFill="1" applyAlignment="1"/>
    <xf numFmtId="167" fontId="16" fillId="5" borderId="0" xfId="3" applyNumberFormat="1" applyFont="1" applyFill="1" applyAlignment="1">
      <alignment horizontal="center"/>
    </xf>
    <xf numFmtId="164" fontId="20" fillId="5" borderId="0" xfId="3" applyFont="1" applyFill="1"/>
    <xf numFmtId="164" fontId="16" fillId="5" borderId="9" xfId="3" applyFont="1" applyFill="1" applyBorder="1" applyAlignment="1">
      <alignment horizontal="left"/>
    </xf>
    <xf numFmtId="49" fontId="16" fillId="5" borderId="8" xfId="4" applyNumberFormat="1" applyFont="1" applyFill="1" applyBorder="1" applyAlignment="1"/>
    <xf numFmtId="164" fontId="16" fillId="5" borderId="8" xfId="4" applyFont="1" applyFill="1" applyBorder="1" applyAlignment="1"/>
    <xf numFmtId="166" fontId="16" fillId="5" borderId="8" xfId="4" applyNumberFormat="1" applyFont="1" applyFill="1" applyBorder="1" applyAlignment="1"/>
    <xf numFmtId="168" fontId="16" fillId="5" borderId="8" xfId="3" applyNumberFormat="1" applyFont="1" applyFill="1" applyBorder="1"/>
    <xf numFmtId="167" fontId="16" fillId="5" borderId="8" xfId="3" applyNumberFormat="1" applyFont="1" applyFill="1" applyBorder="1"/>
    <xf numFmtId="167" fontId="16" fillId="5" borderId="8" xfId="3" applyNumberFormat="1" applyFont="1" applyFill="1" applyBorder="1" applyAlignment="1">
      <alignment horizontal="center"/>
    </xf>
    <xf numFmtId="166" fontId="16" fillId="5" borderId="8" xfId="3" applyNumberFormat="1" applyFont="1" applyFill="1" applyBorder="1"/>
    <xf numFmtId="167" fontId="16" fillId="5" borderId="10" xfId="3" applyNumberFormat="1" applyFont="1" applyFill="1" applyBorder="1"/>
    <xf numFmtId="166" fontId="16" fillId="5" borderId="0" xfId="3" applyNumberFormat="1" applyFont="1" applyFill="1"/>
    <xf numFmtId="164" fontId="16" fillId="5" borderId="0" xfId="3" applyFont="1" applyFill="1" applyBorder="1" applyAlignment="1">
      <alignment horizontal="left"/>
    </xf>
    <xf numFmtId="49" fontId="7" fillId="5" borderId="0" xfId="4" applyNumberFormat="1" applyFont="1" applyFill="1" applyBorder="1" applyAlignment="1"/>
    <xf numFmtId="164" fontId="7" fillId="5" borderId="0" xfId="4" applyFont="1" applyFill="1" applyBorder="1" applyAlignment="1"/>
    <xf numFmtId="164" fontId="16" fillId="6" borderId="0" xfId="4" applyFont="1" applyFill="1" applyBorder="1" applyAlignment="1"/>
    <xf numFmtId="164" fontId="16" fillId="7" borderId="0" xfId="4" applyFont="1" applyFill="1" applyBorder="1" applyAlignment="1"/>
    <xf numFmtId="168" fontId="7" fillId="5" borderId="0" xfId="3" applyNumberFormat="1" applyFont="1" applyFill="1" applyBorder="1"/>
    <xf numFmtId="168" fontId="7" fillId="6" borderId="0" xfId="3" applyNumberFormat="1" applyFont="1" applyFill="1" applyBorder="1"/>
    <xf numFmtId="167" fontId="16" fillId="5" borderId="0" xfId="3" applyNumberFormat="1" applyFont="1" applyFill="1" applyBorder="1"/>
    <xf numFmtId="164" fontId="7" fillId="5" borderId="0" xfId="1" applyFont="1" applyFill="1" applyBorder="1"/>
    <xf numFmtId="166" fontId="7" fillId="5" borderId="0" xfId="3" applyNumberFormat="1" applyFont="1" applyFill="1" applyBorder="1"/>
    <xf numFmtId="166" fontId="21" fillId="5" borderId="0" xfId="3" applyNumberFormat="1" applyFont="1" applyFill="1" applyBorder="1"/>
    <xf numFmtId="10" fontId="16" fillId="5" borderId="0" xfId="6" applyNumberFormat="1" applyFont="1" applyFill="1" applyBorder="1" applyAlignment="1"/>
    <xf numFmtId="49" fontId="16" fillId="5" borderId="0" xfId="4" applyNumberFormat="1" applyFont="1" applyFill="1" applyBorder="1" applyAlignment="1"/>
    <xf numFmtId="164" fontId="16" fillId="5" borderId="0" xfId="4" applyFont="1" applyFill="1" applyBorder="1" applyAlignment="1"/>
    <xf numFmtId="166" fontId="16" fillId="5" borderId="0" xfId="4" applyNumberFormat="1" applyFont="1" applyFill="1" applyBorder="1" applyAlignment="1"/>
    <xf numFmtId="168" fontId="16" fillId="5" borderId="0" xfId="3" applyNumberFormat="1" applyFont="1" applyFill="1" applyBorder="1"/>
    <xf numFmtId="167" fontId="16" fillId="5" borderId="0" xfId="3" applyNumberFormat="1" applyFont="1" applyFill="1" applyBorder="1" applyAlignment="1">
      <alignment horizontal="center"/>
    </xf>
    <xf numFmtId="166" fontId="16" fillId="5" borderId="0" xfId="3" applyNumberFormat="1" applyFont="1" applyFill="1" applyBorder="1"/>
    <xf numFmtId="171" fontId="16" fillId="5" borderId="0" xfId="3" applyNumberFormat="1" applyFont="1" applyFill="1"/>
    <xf numFmtId="166" fontId="16" fillId="5" borderId="13" xfId="4" applyNumberFormat="1" applyFont="1" applyFill="1" applyBorder="1" applyAlignment="1"/>
    <xf numFmtId="164" fontId="16" fillId="5" borderId="13" xfId="4" applyFont="1" applyFill="1" applyBorder="1" applyAlignment="1"/>
    <xf numFmtId="168" fontId="16" fillId="5" borderId="13" xfId="3" applyNumberFormat="1" applyFont="1" applyFill="1" applyBorder="1"/>
    <xf numFmtId="167" fontId="16" fillId="5" borderId="13" xfId="3" applyNumberFormat="1" applyFont="1" applyFill="1" applyBorder="1"/>
    <xf numFmtId="166" fontId="16" fillId="5" borderId="13" xfId="3" applyNumberFormat="1" applyFont="1" applyFill="1" applyBorder="1"/>
    <xf numFmtId="164" fontId="16" fillId="5" borderId="13" xfId="3" applyFont="1" applyFill="1" applyBorder="1"/>
    <xf numFmtId="167" fontId="16" fillId="5" borderId="14" xfId="3" applyNumberFormat="1" applyFont="1" applyFill="1" applyBorder="1"/>
    <xf numFmtId="164" fontId="16" fillId="5" borderId="15" xfId="3" applyFont="1" applyFill="1" applyBorder="1" applyAlignment="1">
      <alignment horizontal="left"/>
    </xf>
    <xf numFmtId="164" fontId="16" fillId="5" borderId="0" xfId="1" applyFont="1" applyFill="1"/>
    <xf numFmtId="164" fontId="16" fillId="5" borderId="0" xfId="1" applyFont="1" applyFill="1" applyAlignment="1"/>
    <xf numFmtId="0" fontId="5" fillId="3" borderId="8" xfId="2" applyFont="1" applyFill="1" applyBorder="1" applyAlignment="1"/>
    <xf numFmtId="166" fontId="16" fillId="5" borderId="8" xfId="4" applyNumberFormat="1" applyFont="1" applyFill="1" applyBorder="1" applyAlignment="1">
      <alignment horizontal="right"/>
    </xf>
    <xf numFmtId="164" fontId="22" fillId="5" borderId="8" xfId="3" applyFont="1" applyFill="1" applyBorder="1"/>
    <xf numFmtId="164" fontId="16" fillId="5" borderId="5" xfId="3" applyFont="1" applyFill="1" applyBorder="1"/>
    <xf numFmtId="0" fontId="23" fillId="3" borderId="0" xfId="2" applyFont="1" applyFill="1" applyAlignment="1"/>
    <xf numFmtId="166" fontId="16" fillId="5" borderId="0" xfId="4" applyNumberFormat="1" applyFont="1" applyFill="1" applyAlignment="1">
      <alignment horizontal="right"/>
    </xf>
    <xf numFmtId="164" fontId="16" fillId="5" borderId="0" xfId="3" applyFont="1" applyFill="1" applyAlignment="1">
      <alignment horizontal="left"/>
    </xf>
    <xf numFmtId="164" fontId="16" fillId="5" borderId="6" xfId="3" applyFont="1" applyFill="1" applyBorder="1"/>
    <xf numFmtId="164" fontId="26" fillId="5" borderId="0" xfId="3" applyFont="1" applyFill="1" applyAlignment="1">
      <alignment horizontal="left"/>
    </xf>
    <xf numFmtId="164" fontId="21" fillId="5" borderId="0" xfId="3" applyFont="1" applyFill="1" applyAlignment="1">
      <alignment horizontal="left"/>
    </xf>
    <xf numFmtId="171" fontId="21" fillId="5" borderId="6" xfId="5" applyNumberFormat="1" applyFont="1" applyFill="1" applyBorder="1" applyAlignment="1">
      <alignment horizontal="left"/>
    </xf>
    <xf numFmtId="164" fontId="26" fillId="5" borderId="6" xfId="3" applyFont="1" applyFill="1" applyBorder="1" applyAlignment="1">
      <alignment horizontal="left"/>
    </xf>
    <xf numFmtId="164" fontId="21" fillId="5" borderId="6" xfId="3" applyFont="1" applyFill="1" applyBorder="1" applyAlignment="1">
      <alignment horizontal="left"/>
    </xf>
    <xf numFmtId="0" fontId="27" fillId="2" borderId="9" xfId="8" applyFont="1" applyFill="1" applyBorder="1" applyAlignment="1">
      <alignment horizontal="center"/>
    </xf>
    <xf numFmtId="0" fontId="27" fillId="2" borderId="8" xfId="8" applyFont="1" applyFill="1" applyBorder="1" applyAlignment="1">
      <alignment horizontal="center"/>
    </xf>
    <xf numFmtId="0" fontId="27" fillId="2" borderId="10" xfId="8" applyFont="1" applyFill="1" applyBorder="1" applyAlignment="1">
      <alignment horizontal="center"/>
    </xf>
    <xf numFmtId="0" fontId="28" fillId="3" borderId="5" xfId="2" applyFont="1" applyFill="1" applyBorder="1" applyAlignment="1"/>
    <xf numFmtId="0" fontId="28" fillId="3" borderId="0" xfId="2" applyFont="1" applyFill="1" applyAlignment="1"/>
    <xf numFmtId="0" fontId="4" fillId="2" borderId="9" xfId="2" applyFont="1" applyFill="1" applyBorder="1" applyAlignment="1"/>
    <xf numFmtId="0" fontId="4" fillId="2" borderId="8" xfId="2" applyFont="1" applyFill="1" applyBorder="1" applyAlignment="1"/>
    <xf numFmtId="164" fontId="4" fillId="2" borderId="8" xfId="3" applyFont="1" applyFill="1" applyBorder="1" applyAlignment="1">
      <alignment horizontal="center"/>
    </xf>
    <xf numFmtId="0" fontId="5" fillId="2" borderId="8" xfId="2" applyFont="1" applyFill="1" applyBorder="1" applyAlignment="1"/>
    <xf numFmtId="0" fontId="4" fillId="2" borderId="10" xfId="2" applyFont="1" applyFill="1" applyBorder="1" applyAlignment="1"/>
    <xf numFmtId="0" fontId="30" fillId="3" borderId="0" xfId="9" applyFont="1" applyFill="1" applyAlignment="1" applyProtection="1"/>
    <xf numFmtId="165" fontId="13" fillId="2" borderId="1" xfId="2" applyNumberFormat="1" applyFont="1" applyFill="1" applyBorder="1" applyAlignment="1">
      <alignment horizontal="center"/>
    </xf>
    <xf numFmtId="49" fontId="13" fillId="2" borderId="2" xfId="2" applyNumberFormat="1" applyFont="1" applyFill="1" applyBorder="1" applyAlignment="1">
      <alignment horizontal="center"/>
    </xf>
    <xf numFmtId="165" fontId="13" fillId="2" borderId="2" xfId="2" applyNumberFormat="1" applyFont="1" applyFill="1" applyBorder="1" applyAlignment="1">
      <alignment horizontal="center"/>
    </xf>
    <xf numFmtId="165" fontId="13" fillId="2" borderId="4" xfId="2" applyNumberFormat="1" applyFont="1" applyFill="1" applyBorder="1" applyAlignment="1">
      <alignment horizontal="center"/>
    </xf>
    <xf numFmtId="0" fontId="24" fillId="2" borderId="16" xfId="8" applyFont="1" applyFill="1" applyBorder="1" applyAlignment="1">
      <alignment horizontal="center"/>
    </xf>
    <xf numFmtId="0" fontId="24" fillId="2" borderId="3" xfId="8" applyFont="1" applyFill="1" applyBorder="1" applyAlignment="1">
      <alignment horizontal="center"/>
    </xf>
    <xf numFmtId="0" fontId="24" fillId="2" borderId="17" xfId="8" applyFont="1" applyFill="1" applyBorder="1" applyAlignment="1">
      <alignment horizontal="center"/>
    </xf>
    <xf numFmtId="0" fontId="25" fillId="2" borderId="16" xfId="8" applyFont="1" applyFill="1" applyBorder="1" applyAlignment="1">
      <alignment horizontal="center"/>
    </xf>
    <xf numFmtId="0" fontId="25" fillId="2" borderId="3" xfId="8" applyFont="1" applyFill="1" applyBorder="1" applyAlignment="1">
      <alignment horizontal="center"/>
    </xf>
    <xf numFmtId="0" fontId="25" fillId="2" borderId="17" xfId="8" applyFont="1" applyFill="1" applyBorder="1" applyAlignment="1">
      <alignment horizontal="center"/>
    </xf>
    <xf numFmtId="0" fontId="6" fillId="3" borderId="9" xfId="2" quotePrefix="1" applyFont="1" applyFill="1" applyBorder="1" applyAlignment="1">
      <alignment horizontal="left"/>
    </xf>
    <xf numFmtId="0" fontId="6" fillId="3" borderId="10" xfId="2" applyFont="1" applyFill="1" applyBorder="1" applyAlignment="1">
      <alignment horizontal="left"/>
    </xf>
    <xf numFmtId="165" fontId="13" fillId="2" borderId="5" xfId="2" applyNumberFormat="1" applyFont="1" applyFill="1" applyBorder="1" applyAlignment="1">
      <alignment horizontal="center"/>
    </xf>
    <xf numFmtId="49" fontId="13" fillId="2" borderId="0" xfId="2" applyNumberFormat="1" applyFont="1" applyFill="1" applyAlignment="1">
      <alignment horizontal="center"/>
    </xf>
    <xf numFmtId="165" fontId="13" fillId="2" borderId="0" xfId="2" applyNumberFormat="1" applyFont="1" applyFill="1" applyAlignment="1">
      <alignment horizontal="center"/>
    </xf>
    <xf numFmtId="165" fontId="13" fillId="2" borderId="6" xfId="2" applyNumberFormat="1" applyFont="1" applyFill="1" applyBorder="1" applyAlignment="1">
      <alignment horizontal="center"/>
    </xf>
  </cellXfs>
  <cellStyles count="10">
    <cellStyle name="Comma" xfId="1" builtinId="3"/>
    <cellStyle name="Comma 2 2 2 2 2 2 2" xfId="3" xr:uid="{422F745B-A1CD-4D2B-8A67-6D695799E295}"/>
    <cellStyle name="Comma 5 2 2 2 2 2" xfId="4" xr:uid="{F467476C-84DE-4A9B-9BCA-902C7DABFDBD}"/>
    <cellStyle name="Comma 6" xfId="5" xr:uid="{8856674E-568B-4471-B903-BCAF3AFEDE31}"/>
    <cellStyle name="Hyperlink 2" xfId="9" xr:uid="{C3683D9C-B42C-4DD7-8B1A-441B6039EE43}"/>
    <cellStyle name="Normal" xfId="0" builtinId="0"/>
    <cellStyle name="Normal 2" xfId="2" xr:uid="{411D14C8-5B74-4478-BBD7-D9498B3807BE}"/>
    <cellStyle name="Normal 20" xfId="8" xr:uid="{1A53B857-EFE4-4FD4-AC2E-46030B704776}"/>
    <cellStyle name="Percent 3" xfId="6" xr:uid="{04194CBE-39CC-44AB-82A8-F1342EA16268}"/>
    <cellStyle name="Percent 4" xfId="7" xr:uid="{BB874203-5516-41FF-9C7A-3188FF130B4C}"/>
  </cellStyles>
  <dxfs count="38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236220</xdr:colOff>
      <xdr:row>1</xdr:row>
      <xdr:rowOff>15240</xdr:rowOff>
    </xdr:from>
    <xdr:to>
      <xdr:col>16</xdr:col>
      <xdr:colOff>1021080</xdr:colOff>
      <xdr:row>4</xdr:row>
      <xdr:rowOff>190500</xdr:rowOff>
    </xdr:to>
    <xdr:pic>
      <xdr:nvPicPr>
        <xdr:cNvPr id="2" name="Picture 4" descr="image002">
          <a:extLst>
            <a:ext uri="{FF2B5EF4-FFF2-40B4-BE49-F238E27FC236}">
              <a16:creationId xmlns:a16="http://schemas.microsoft.com/office/drawing/2014/main" id="{D1EF82BC-AC2F-43F9-B099-936021800F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01160" y="175260"/>
          <a:ext cx="784860" cy="6019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7619</xdr:colOff>
      <xdr:row>1</xdr:row>
      <xdr:rowOff>-1</xdr:rowOff>
    </xdr:from>
    <xdr:to>
      <xdr:col>5</xdr:col>
      <xdr:colOff>1175657</xdr:colOff>
      <xdr:row>4</xdr:row>
      <xdr:rowOff>145142</xdr:rowOff>
    </xdr:to>
    <xdr:pic>
      <xdr:nvPicPr>
        <xdr:cNvPr id="3" name="Picture 2" descr="A black text on a white background&#10;&#10;AI-generated content may be incorrect.">
          <a:extLst>
            <a:ext uri="{FF2B5EF4-FFF2-40B4-BE49-F238E27FC236}">
              <a16:creationId xmlns:a16="http://schemas.microsoft.com/office/drawing/2014/main" id="{F51A38BE-1597-4359-97AD-0A949E617D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19" y="160019"/>
          <a:ext cx="6547758" cy="6023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9B63B-2E4B-4E69-B742-FA6F253347DD}">
  <dimension ref="A1:IO104"/>
  <sheetViews>
    <sheetView tabSelected="1" zoomScale="70" zoomScaleNormal="70" workbookViewId="0">
      <pane ySplit="7" topLeftCell="A10" activePane="bottomLeft" state="frozen"/>
      <selection pane="bottomLeft" activeCell="I16" sqref="I16"/>
    </sheetView>
  </sheetViews>
  <sheetFormatPr defaultRowHeight="12" x14ac:dyDescent="0.25"/>
  <cols>
    <col min="1" max="1" width="19.44140625" style="5" customWidth="1"/>
    <col min="2" max="2" width="15.21875" style="5" bestFit="1" customWidth="1"/>
    <col min="3" max="3" width="15.21875" style="5" hidden="1" customWidth="1"/>
    <col min="4" max="4" width="23" style="5" bestFit="1" customWidth="1"/>
    <col min="5" max="5" width="20.77734375" style="5" customWidth="1"/>
    <col min="6" max="6" width="17.21875" style="5" customWidth="1"/>
    <col min="7" max="7" width="8.88671875" style="5" hidden="1" customWidth="1"/>
    <col min="8" max="8" width="15.44140625" style="5" customWidth="1"/>
    <col min="9" max="9" width="16.5546875" style="5" customWidth="1"/>
    <col min="10" max="11" width="14" style="5" customWidth="1"/>
    <col min="12" max="13" width="17.5546875" style="5" customWidth="1"/>
    <col min="14" max="14" width="16.44140625" style="5" customWidth="1"/>
    <col min="15" max="15" width="20.77734375" style="5" customWidth="1"/>
    <col min="16" max="16" width="15" style="5" customWidth="1"/>
    <col min="17" max="17" width="15.21875" style="5" customWidth="1"/>
    <col min="18" max="21" width="0" style="5" hidden="1" customWidth="1"/>
    <col min="22" max="22" width="13.44140625" style="5" customWidth="1"/>
    <col min="23" max="23" width="9.21875" style="5" customWidth="1"/>
    <col min="24" max="24" width="10" style="5" bestFit="1" customWidth="1"/>
    <col min="25" max="250" width="9.21875" style="5" customWidth="1"/>
    <col min="251" max="252" width="11" style="5" bestFit="1" customWidth="1"/>
    <col min="253" max="253" width="19.44140625" style="5" customWidth="1"/>
    <col min="254" max="254" width="14" style="5" customWidth="1"/>
    <col min="255" max="255" width="0" style="5" hidden="1" customWidth="1"/>
    <col min="256" max="256" width="19.5546875" style="5" customWidth="1"/>
    <col min="257" max="257" width="20.77734375" style="5" customWidth="1"/>
    <col min="258" max="258" width="22.21875" style="5" customWidth="1"/>
    <col min="259" max="259" width="0" style="5" hidden="1" customWidth="1"/>
    <col min="260" max="260" width="15.44140625" style="5" customWidth="1"/>
    <col min="261" max="261" width="16.5546875" style="5" customWidth="1"/>
    <col min="262" max="263" width="14" style="5" customWidth="1"/>
    <col min="264" max="265" width="17.5546875" style="5" customWidth="1"/>
    <col min="266" max="266" width="16.44140625" style="5" customWidth="1"/>
    <col min="267" max="267" width="16.5546875" style="5" customWidth="1"/>
    <col min="268" max="268" width="15" style="5" customWidth="1"/>
    <col min="269" max="269" width="15.21875" style="5" customWidth="1"/>
    <col min="270" max="281" width="0" style="5" hidden="1" customWidth="1"/>
    <col min="282" max="506" width="9.21875" style="5" customWidth="1"/>
    <col min="507" max="508" width="11" style="5" bestFit="1" customWidth="1"/>
    <col min="509" max="509" width="19.44140625" style="5" customWidth="1"/>
    <col min="510" max="510" width="14" style="5" customWidth="1"/>
    <col min="511" max="511" width="0" style="5" hidden="1" customWidth="1"/>
    <col min="512" max="512" width="19.5546875" style="5" customWidth="1"/>
    <col min="513" max="513" width="20.77734375" style="5" customWidth="1"/>
    <col min="514" max="514" width="22.21875" style="5" customWidth="1"/>
    <col min="515" max="515" width="0" style="5" hidden="1" customWidth="1"/>
    <col min="516" max="516" width="15.44140625" style="5" customWidth="1"/>
    <col min="517" max="517" width="16.5546875" style="5" customWidth="1"/>
    <col min="518" max="519" width="14" style="5" customWidth="1"/>
    <col min="520" max="521" width="17.5546875" style="5" customWidth="1"/>
    <col min="522" max="522" width="16.44140625" style="5" customWidth="1"/>
    <col min="523" max="523" width="16.5546875" style="5" customWidth="1"/>
    <col min="524" max="524" width="15" style="5" customWidth="1"/>
    <col min="525" max="525" width="15.21875" style="5" customWidth="1"/>
    <col min="526" max="537" width="0" style="5" hidden="1" customWidth="1"/>
    <col min="538" max="762" width="9.21875" style="5" customWidth="1"/>
    <col min="763" max="764" width="11" style="5" bestFit="1" customWidth="1"/>
    <col min="765" max="765" width="19.44140625" style="5" customWidth="1"/>
    <col min="766" max="766" width="14" style="5" customWidth="1"/>
    <col min="767" max="767" width="0" style="5" hidden="1" customWidth="1"/>
    <col min="768" max="768" width="19.5546875" style="5" customWidth="1"/>
    <col min="769" max="769" width="20.77734375" style="5" customWidth="1"/>
    <col min="770" max="770" width="22.21875" style="5" customWidth="1"/>
    <col min="771" max="771" width="0" style="5" hidden="1" customWidth="1"/>
    <col min="772" max="772" width="15.44140625" style="5" customWidth="1"/>
    <col min="773" max="773" width="16.5546875" style="5" customWidth="1"/>
    <col min="774" max="775" width="14" style="5" customWidth="1"/>
    <col min="776" max="777" width="17.5546875" style="5" customWidth="1"/>
    <col min="778" max="778" width="16.44140625" style="5" customWidth="1"/>
    <col min="779" max="779" width="16.5546875" style="5" customWidth="1"/>
    <col min="780" max="780" width="15" style="5" customWidth="1"/>
    <col min="781" max="781" width="15.21875" style="5" customWidth="1"/>
    <col min="782" max="793" width="0" style="5" hidden="1" customWidth="1"/>
    <col min="794" max="1018" width="9.21875" style="5" customWidth="1"/>
    <col min="1019" max="1020" width="11" style="5" bestFit="1" customWidth="1"/>
    <col min="1021" max="1021" width="19.44140625" style="5" customWidth="1"/>
    <col min="1022" max="1022" width="14" style="5" customWidth="1"/>
    <col min="1023" max="1023" width="0" style="5" hidden="1" customWidth="1"/>
    <col min="1024" max="1024" width="19.5546875" style="5" customWidth="1"/>
    <col min="1025" max="1025" width="20.77734375" style="5" customWidth="1"/>
    <col min="1026" max="1026" width="22.21875" style="5" customWidth="1"/>
    <col min="1027" max="1027" width="0" style="5" hidden="1" customWidth="1"/>
    <col min="1028" max="1028" width="15.44140625" style="5" customWidth="1"/>
    <col min="1029" max="1029" width="16.5546875" style="5" customWidth="1"/>
    <col min="1030" max="1031" width="14" style="5" customWidth="1"/>
    <col min="1032" max="1033" width="17.5546875" style="5" customWidth="1"/>
    <col min="1034" max="1034" width="16.44140625" style="5" customWidth="1"/>
    <col min="1035" max="1035" width="16.5546875" style="5" customWidth="1"/>
    <col min="1036" max="1036" width="15" style="5" customWidth="1"/>
    <col min="1037" max="1037" width="15.21875" style="5" customWidth="1"/>
    <col min="1038" max="1049" width="0" style="5" hidden="1" customWidth="1"/>
    <col min="1050" max="1274" width="9.21875" style="5" customWidth="1"/>
    <col min="1275" max="1276" width="11" style="5" bestFit="1" customWidth="1"/>
    <col min="1277" max="1277" width="19.44140625" style="5" customWidth="1"/>
    <col min="1278" max="1278" width="14" style="5" customWidth="1"/>
    <col min="1279" max="1279" width="0" style="5" hidden="1" customWidth="1"/>
    <col min="1280" max="1280" width="19.5546875" style="5" customWidth="1"/>
    <col min="1281" max="1281" width="20.77734375" style="5" customWidth="1"/>
    <col min="1282" max="1282" width="22.21875" style="5" customWidth="1"/>
    <col min="1283" max="1283" width="0" style="5" hidden="1" customWidth="1"/>
    <col min="1284" max="1284" width="15.44140625" style="5" customWidth="1"/>
    <col min="1285" max="1285" width="16.5546875" style="5" customWidth="1"/>
    <col min="1286" max="1287" width="14" style="5" customWidth="1"/>
    <col min="1288" max="1289" width="17.5546875" style="5" customWidth="1"/>
    <col min="1290" max="1290" width="16.44140625" style="5" customWidth="1"/>
    <col min="1291" max="1291" width="16.5546875" style="5" customWidth="1"/>
    <col min="1292" max="1292" width="15" style="5" customWidth="1"/>
    <col min="1293" max="1293" width="15.21875" style="5" customWidth="1"/>
    <col min="1294" max="1305" width="0" style="5" hidden="1" customWidth="1"/>
    <col min="1306" max="1530" width="9.21875" style="5" customWidth="1"/>
    <col min="1531" max="1532" width="11" style="5" bestFit="1" customWidth="1"/>
    <col min="1533" max="1533" width="19.44140625" style="5" customWidth="1"/>
    <col min="1534" max="1534" width="14" style="5" customWidth="1"/>
    <col min="1535" max="1535" width="0" style="5" hidden="1" customWidth="1"/>
    <col min="1536" max="1536" width="19.5546875" style="5" customWidth="1"/>
    <col min="1537" max="1537" width="20.77734375" style="5" customWidth="1"/>
    <col min="1538" max="1538" width="22.21875" style="5" customWidth="1"/>
    <col min="1539" max="1539" width="0" style="5" hidden="1" customWidth="1"/>
    <col min="1540" max="1540" width="15.44140625" style="5" customWidth="1"/>
    <col min="1541" max="1541" width="16.5546875" style="5" customWidth="1"/>
    <col min="1542" max="1543" width="14" style="5" customWidth="1"/>
    <col min="1544" max="1545" width="17.5546875" style="5" customWidth="1"/>
    <col min="1546" max="1546" width="16.44140625" style="5" customWidth="1"/>
    <col min="1547" max="1547" width="16.5546875" style="5" customWidth="1"/>
    <col min="1548" max="1548" width="15" style="5" customWidth="1"/>
    <col min="1549" max="1549" width="15.21875" style="5" customWidth="1"/>
    <col min="1550" max="1561" width="0" style="5" hidden="1" customWidth="1"/>
    <col min="1562" max="1786" width="9.21875" style="5" customWidth="1"/>
    <col min="1787" max="1788" width="11" style="5" bestFit="1" customWidth="1"/>
    <col min="1789" max="1789" width="19.44140625" style="5" customWidth="1"/>
    <col min="1790" max="1790" width="14" style="5" customWidth="1"/>
    <col min="1791" max="1791" width="0" style="5" hidden="1" customWidth="1"/>
    <col min="1792" max="1792" width="19.5546875" style="5" customWidth="1"/>
    <col min="1793" max="1793" width="20.77734375" style="5" customWidth="1"/>
    <col min="1794" max="1794" width="22.21875" style="5" customWidth="1"/>
    <col min="1795" max="1795" width="0" style="5" hidden="1" customWidth="1"/>
    <col min="1796" max="1796" width="15.44140625" style="5" customWidth="1"/>
    <col min="1797" max="1797" width="16.5546875" style="5" customWidth="1"/>
    <col min="1798" max="1799" width="14" style="5" customWidth="1"/>
    <col min="1800" max="1801" width="17.5546875" style="5" customWidth="1"/>
    <col min="1802" max="1802" width="16.44140625" style="5" customWidth="1"/>
    <col min="1803" max="1803" width="16.5546875" style="5" customWidth="1"/>
    <col min="1804" max="1804" width="15" style="5" customWidth="1"/>
    <col min="1805" max="1805" width="15.21875" style="5" customWidth="1"/>
    <col min="1806" max="1817" width="0" style="5" hidden="1" customWidth="1"/>
    <col min="1818" max="2042" width="9.21875" style="5" customWidth="1"/>
    <col min="2043" max="2044" width="11" style="5" bestFit="1" customWidth="1"/>
    <col min="2045" max="2045" width="19.44140625" style="5" customWidth="1"/>
    <col min="2046" max="2046" width="14" style="5" customWidth="1"/>
    <col min="2047" max="2047" width="0" style="5" hidden="1" customWidth="1"/>
    <col min="2048" max="2048" width="19.5546875" style="5" customWidth="1"/>
    <col min="2049" max="2049" width="20.77734375" style="5" customWidth="1"/>
    <col min="2050" max="2050" width="22.21875" style="5" customWidth="1"/>
    <col min="2051" max="2051" width="0" style="5" hidden="1" customWidth="1"/>
    <col min="2052" max="2052" width="15.44140625" style="5" customWidth="1"/>
    <col min="2053" max="2053" width="16.5546875" style="5" customWidth="1"/>
    <col min="2054" max="2055" width="14" style="5" customWidth="1"/>
    <col min="2056" max="2057" width="17.5546875" style="5" customWidth="1"/>
    <col min="2058" max="2058" width="16.44140625" style="5" customWidth="1"/>
    <col min="2059" max="2059" width="16.5546875" style="5" customWidth="1"/>
    <col min="2060" max="2060" width="15" style="5" customWidth="1"/>
    <col min="2061" max="2061" width="15.21875" style="5" customWidth="1"/>
    <col min="2062" max="2073" width="0" style="5" hidden="1" customWidth="1"/>
    <col min="2074" max="2298" width="9.21875" style="5" customWidth="1"/>
    <col min="2299" max="2300" width="11" style="5" bestFit="1" customWidth="1"/>
    <col min="2301" max="2301" width="19.44140625" style="5" customWidth="1"/>
    <col min="2302" max="2302" width="14" style="5" customWidth="1"/>
    <col min="2303" max="2303" width="0" style="5" hidden="1" customWidth="1"/>
    <col min="2304" max="2304" width="19.5546875" style="5" customWidth="1"/>
    <col min="2305" max="2305" width="20.77734375" style="5" customWidth="1"/>
    <col min="2306" max="2306" width="22.21875" style="5" customWidth="1"/>
    <col min="2307" max="2307" width="0" style="5" hidden="1" customWidth="1"/>
    <col min="2308" max="2308" width="15.44140625" style="5" customWidth="1"/>
    <col min="2309" max="2309" width="16.5546875" style="5" customWidth="1"/>
    <col min="2310" max="2311" width="14" style="5" customWidth="1"/>
    <col min="2312" max="2313" width="17.5546875" style="5" customWidth="1"/>
    <col min="2314" max="2314" width="16.44140625" style="5" customWidth="1"/>
    <col min="2315" max="2315" width="16.5546875" style="5" customWidth="1"/>
    <col min="2316" max="2316" width="15" style="5" customWidth="1"/>
    <col min="2317" max="2317" width="15.21875" style="5" customWidth="1"/>
    <col min="2318" max="2329" width="0" style="5" hidden="1" customWidth="1"/>
    <col min="2330" max="2554" width="9.21875" style="5" customWidth="1"/>
    <col min="2555" max="2556" width="11" style="5" bestFit="1" customWidth="1"/>
    <col min="2557" max="2557" width="19.44140625" style="5" customWidth="1"/>
    <col min="2558" max="2558" width="14" style="5" customWidth="1"/>
    <col min="2559" max="2559" width="0" style="5" hidden="1" customWidth="1"/>
    <col min="2560" max="2560" width="19.5546875" style="5" customWidth="1"/>
    <col min="2561" max="2561" width="20.77734375" style="5" customWidth="1"/>
    <col min="2562" max="2562" width="22.21875" style="5" customWidth="1"/>
    <col min="2563" max="2563" width="0" style="5" hidden="1" customWidth="1"/>
    <col min="2564" max="2564" width="15.44140625" style="5" customWidth="1"/>
    <col min="2565" max="2565" width="16.5546875" style="5" customWidth="1"/>
    <col min="2566" max="2567" width="14" style="5" customWidth="1"/>
    <col min="2568" max="2569" width="17.5546875" style="5" customWidth="1"/>
    <col min="2570" max="2570" width="16.44140625" style="5" customWidth="1"/>
    <col min="2571" max="2571" width="16.5546875" style="5" customWidth="1"/>
    <col min="2572" max="2572" width="15" style="5" customWidth="1"/>
    <col min="2573" max="2573" width="15.21875" style="5" customWidth="1"/>
    <col min="2574" max="2585" width="0" style="5" hidden="1" customWidth="1"/>
    <col min="2586" max="2810" width="9.21875" style="5" customWidth="1"/>
    <col min="2811" max="2812" width="11" style="5" bestFit="1" customWidth="1"/>
    <col min="2813" max="2813" width="19.44140625" style="5" customWidth="1"/>
    <col min="2814" max="2814" width="14" style="5" customWidth="1"/>
    <col min="2815" max="2815" width="0" style="5" hidden="1" customWidth="1"/>
    <col min="2816" max="2816" width="19.5546875" style="5" customWidth="1"/>
    <col min="2817" max="2817" width="20.77734375" style="5" customWidth="1"/>
    <col min="2818" max="2818" width="22.21875" style="5" customWidth="1"/>
    <col min="2819" max="2819" width="0" style="5" hidden="1" customWidth="1"/>
    <col min="2820" max="2820" width="15.44140625" style="5" customWidth="1"/>
    <col min="2821" max="2821" width="16.5546875" style="5" customWidth="1"/>
    <col min="2822" max="2823" width="14" style="5" customWidth="1"/>
    <col min="2824" max="2825" width="17.5546875" style="5" customWidth="1"/>
    <col min="2826" max="2826" width="16.44140625" style="5" customWidth="1"/>
    <col min="2827" max="2827" width="16.5546875" style="5" customWidth="1"/>
    <col min="2828" max="2828" width="15" style="5" customWidth="1"/>
    <col min="2829" max="2829" width="15.21875" style="5" customWidth="1"/>
    <col min="2830" max="2841" width="0" style="5" hidden="1" customWidth="1"/>
    <col min="2842" max="3066" width="9.21875" style="5" customWidth="1"/>
    <col min="3067" max="3068" width="11" style="5" bestFit="1" customWidth="1"/>
    <col min="3069" max="3069" width="19.44140625" style="5" customWidth="1"/>
    <col min="3070" max="3070" width="14" style="5" customWidth="1"/>
    <col min="3071" max="3071" width="0" style="5" hidden="1" customWidth="1"/>
    <col min="3072" max="3072" width="19.5546875" style="5" customWidth="1"/>
    <col min="3073" max="3073" width="20.77734375" style="5" customWidth="1"/>
    <col min="3074" max="3074" width="22.21875" style="5" customWidth="1"/>
    <col min="3075" max="3075" width="0" style="5" hidden="1" customWidth="1"/>
    <col min="3076" max="3076" width="15.44140625" style="5" customWidth="1"/>
    <col min="3077" max="3077" width="16.5546875" style="5" customWidth="1"/>
    <col min="3078" max="3079" width="14" style="5" customWidth="1"/>
    <col min="3080" max="3081" width="17.5546875" style="5" customWidth="1"/>
    <col min="3082" max="3082" width="16.44140625" style="5" customWidth="1"/>
    <col min="3083" max="3083" width="16.5546875" style="5" customWidth="1"/>
    <col min="3084" max="3084" width="15" style="5" customWidth="1"/>
    <col min="3085" max="3085" width="15.21875" style="5" customWidth="1"/>
    <col min="3086" max="3097" width="0" style="5" hidden="1" customWidth="1"/>
    <col min="3098" max="3322" width="9.21875" style="5" customWidth="1"/>
    <col min="3323" max="3324" width="11" style="5" bestFit="1" customWidth="1"/>
    <col min="3325" max="3325" width="19.44140625" style="5" customWidth="1"/>
    <col min="3326" max="3326" width="14" style="5" customWidth="1"/>
    <col min="3327" max="3327" width="0" style="5" hidden="1" customWidth="1"/>
    <col min="3328" max="3328" width="19.5546875" style="5" customWidth="1"/>
    <col min="3329" max="3329" width="20.77734375" style="5" customWidth="1"/>
    <col min="3330" max="3330" width="22.21875" style="5" customWidth="1"/>
    <col min="3331" max="3331" width="0" style="5" hidden="1" customWidth="1"/>
    <col min="3332" max="3332" width="15.44140625" style="5" customWidth="1"/>
    <col min="3333" max="3333" width="16.5546875" style="5" customWidth="1"/>
    <col min="3334" max="3335" width="14" style="5" customWidth="1"/>
    <col min="3336" max="3337" width="17.5546875" style="5" customWidth="1"/>
    <col min="3338" max="3338" width="16.44140625" style="5" customWidth="1"/>
    <col min="3339" max="3339" width="16.5546875" style="5" customWidth="1"/>
    <col min="3340" max="3340" width="15" style="5" customWidth="1"/>
    <col min="3341" max="3341" width="15.21875" style="5" customWidth="1"/>
    <col min="3342" max="3353" width="0" style="5" hidden="1" customWidth="1"/>
    <col min="3354" max="3578" width="9.21875" style="5" customWidth="1"/>
    <col min="3579" max="3580" width="11" style="5" bestFit="1" customWidth="1"/>
    <col min="3581" max="3581" width="19.44140625" style="5" customWidth="1"/>
    <col min="3582" max="3582" width="14" style="5" customWidth="1"/>
    <col min="3583" max="3583" width="0" style="5" hidden="1" customWidth="1"/>
    <col min="3584" max="3584" width="19.5546875" style="5" customWidth="1"/>
    <col min="3585" max="3585" width="20.77734375" style="5" customWidth="1"/>
    <col min="3586" max="3586" width="22.21875" style="5" customWidth="1"/>
    <col min="3587" max="3587" width="0" style="5" hidden="1" customWidth="1"/>
    <col min="3588" max="3588" width="15.44140625" style="5" customWidth="1"/>
    <col min="3589" max="3589" width="16.5546875" style="5" customWidth="1"/>
    <col min="3590" max="3591" width="14" style="5" customWidth="1"/>
    <col min="3592" max="3593" width="17.5546875" style="5" customWidth="1"/>
    <col min="3594" max="3594" width="16.44140625" style="5" customWidth="1"/>
    <col min="3595" max="3595" width="16.5546875" style="5" customWidth="1"/>
    <col min="3596" max="3596" width="15" style="5" customWidth="1"/>
    <col min="3597" max="3597" width="15.21875" style="5" customWidth="1"/>
    <col min="3598" max="3609" width="0" style="5" hidden="1" customWidth="1"/>
    <col min="3610" max="3834" width="9.21875" style="5" customWidth="1"/>
    <col min="3835" max="3836" width="11" style="5" bestFit="1" customWidth="1"/>
    <col min="3837" max="3837" width="19.44140625" style="5" customWidth="1"/>
    <col min="3838" max="3838" width="14" style="5" customWidth="1"/>
    <col min="3839" max="3839" width="0" style="5" hidden="1" customWidth="1"/>
    <col min="3840" max="3840" width="19.5546875" style="5" customWidth="1"/>
    <col min="3841" max="3841" width="20.77734375" style="5" customWidth="1"/>
    <col min="3842" max="3842" width="22.21875" style="5" customWidth="1"/>
    <col min="3843" max="3843" width="0" style="5" hidden="1" customWidth="1"/>
    <col min="3844" max="3844" width="15.44140625" style="5" customWidth="1"/>
    <col min="3845" max="3845" width="16.5546875" style="5" customWidth="1"/>
    <col min="3846" max="3847" width="14" style="5" customWidth="1"/>
    <col min="3848" max="3849" width="17.5546875" style="5" customWidth="1"/>
    <col min="3850" max="3850" width="16.44140625" style="5" customWidth="1"/>
    <col min="3851" max="3851" width="16.5546875" style="5" customWidth="1"/>
    <col min="3852" max="3852" width="15" style="5" customWidth="1"/>
    <col min="3853" max="3853" width="15.21875" style="5" customWidth="1"/>
    <col min="3854" max="3865" width="0" style="5" hidden="1" customWidth="1"/>
    <col min="3866" max="4090" width="9.21875" style="5" customWidth="1"/>
    <col min="4091" max="4092" width="11" style="5" bestFit="1" customWidth="1"/>
    <col min="4093" max="4093" width="19.44140625" style="5" customWidth="1"/>
    <col min="4094" max="4094" width="14" style="5" customWidth="1"/>
    <col min="4095" max="4095" width="0" style="5" hidden="1" customWidth="1"/>
    <col min="4096" max="4096" width="19.5546875" style="5" customWidth="1"/>
    <col min="4097" max="4097" width="20.77734375" style="5" customWidth="1"/>
    <col min="4098" max="4098" width="22.21875" style="5" customWidth="1"/>
    <col min="4099" max="4099" width="0" style="5" hidden="1" customWidth="1"/>
    <col min="4100" max="4100" width="15.44140625" style="5" customWidth="1"/>
    <col min="4101" max="4101" width="16.5546875" style="5" customWidth="1"/>
    <col min="4102" max="4103" width="14" style="5" customWidth="1"/>
    <col min="4104" max="4105" width="17.5546875" style="5" customWidth="1"/>
    <col min="4106" max="4106" width="16.44140625" style="5" customWidth="1"/>
    <col min="4107" max="4107" width="16.5546875" style="5" customWidth="1"/>
    <col min="4108" max="4108" width="15" style="5" customWidth="1"/>
    <col min="4109" max="4109" width="15.21875" style="5" customWidth="1"/>
    <col min="4110" max="4121" width="0" style="5" hidden="1" customWidth="1"/>
    <col min="4122" max="4346" width="9.21875" style="5" customWidth="1"/>
    <col min="4347" max="4348" width="11" style="5" bestFit="1" customWidth="1"/>
    <col min="4349" max="4349" width="19.44140625" style="5" customWidth="1"/>
    <col min="4350" max="4350" width="14" style="5" customWidth="1"/>
    <col min="4351" max="4351" width="0" style="5" hidden="1" customWidth="1"/>
    <col min="4352" max="4352" width="19.5546875" style="5" customWidth="1"/>
    <col min="4353" max="4353" width="20.77734375" style="5" customWidth="1"/>
    <col min="4354" max="4354" width="22.21875" style="5" customWidth="1"/>
    <col min="4355" max="4355" width="0" style="5" hidden="1" customWidth="1"/>
    <col min="4356" max="4356" width="15.44140625" style="5" customWidth="1"/>
    <col min="4357" max="4357" width="16.5546875" style="5" customWidth="1"/>
    <col min="4358" max="4359" width="14" style="5" customWidth="1"/>
    <col min="4360" max="4361" width="17.5546875" style="5" customWidth="1"/>
    <col min="4362" max="4362" width="16.44140625" style="5" customWidth="1"/>
    <col min="4363" max="4363" width="16.5546875" style="5" customWidth="1"/>
    <col min="4364" max="4364" width="15" style="5" customWidth="1"/>
    <col min="4365" max="4365" width="15.21875" style="5" customWidth="1"/>
    <col min="4366" max="4377" width="0" style="5" hidden="1" customWidth="1"/>
    <col min="4378" max="4602" width="9.21875" style="5" customWidth="1"/>
    <col min="4603" max="4604" width="11" style="5" bestFit="1" customWidth="1"/>
    <col min="4605" max="4605" width="19.44140625" style="5" customWidth="1"/>
    <col min="4606" max="4606" width="14" style="5" customWidth="1"/>
    <col min="4607" max="4607" width="0" style="5" hidden="1" customWidth="1"/>
    <col min="4608" max="4608" width="19.5546875" style="5" customWidth="1"/>
    <col min="4609" max="4609" width="20.77734375" style="5" customWidth="1"/>
    <col min="4610" max="4610" width="22.21875" style="5" customWidth="1"/>
    <col min="4611" max="4611" width="0" style="5" hidden="1" customWidth="1"/>
    <col min="4612" max="4612" width="15.44140625" style="5" customWidth="1"/>
    <col min="4613" max="4613" width="16.5546875" style="5" customWidth="1"/>
    <col min="4614" max="4615" width="14" style="5" customWidth="1"/>
    <col min="4616" max="4617" width="17.5546875" style="5" customWidth="1"/>
    <col min="4618" max="4618" width="16.44140625" style="5" customWidth="1"/>
    <col min="4619" max="4619" width="16.5546875" style="5" customWidth="1"/>
    <col min="4620" max="4620" width="15" style="5" customWidth="1"/>
    <col min="4621" max="4621" width="15.21875" style="5" customWidth="1"/>
    <col min="4622" max="4633" width="0" style="5" hidden="1" customWidth="1"/>
    <col min="4634" max="4858" width="9.21875" style="5" customWidth="1"/>
    <col min="4859" max="4860" width="11" style="5" bestFit="1" customWidth="1"/>
    <col min="4861" max="4861" width="19.44140625" style="5" customWidth="1"/>
    <col min="4862" max="4862" width="14" style="5" customWidth="1"/>
    <col min="4863" max="4863" width="0" style="5" hidden="1" customWidth="1"/>
    <col min="4864" max="4864" width="19.5546875" style="5" customWidth="1"/>
    <col min="4865" max="4865" width="20.77734375" style="5" customWidth="1"/>
    <col min="4866" max="4866" width="22.21875" style="5" customWidth="1"/>
    <col min="4867" max="4867" width="0" style="5" hidden="1" customWidth="1"/>
    <col min="4868" max="4868" width="15.44140625" style="5" customWidth="1"/>
    <col min="4869" max="4869" width="16.5546875" style="5" customWidth="1"/>
    <col min="4870" max="4871" width="14" style="5" customWidth="1"/>
    <col min="4872" max="4873" width="17.5546875" style="5" customWidth="1"/>
    <col min="4874" max="4874" width="16.44140625" style="5" customWidth="1"/>
    <col min="4875" max="4875" width="16.5546875" style="5" customWidth="1"/>
    <col min="4876" max="4876" width="15" style="5" customWidth="1"/>
    <col min="4877" max="4877" width="15.21875" style="5" customWidth="1"/>
    <col min="4878" max="4889" width="0" style="5" hidden="1" customWidth="1"/>
    <col min="4890" max="5114" width="9.21875" style="5" customWidth="1"/>
    <col min="5115" max="5116" width="11" style="5" bestFit="1" customWidth="1"/>
    <col min="5117" max="5117" width="19.44140625" style="5" customWidth="1"/>
    <col min="5118" max="5118" width="14" style="5" customWidth="1"/>
    <col min="5119" max="5119" width="0" style="5" hidden="1" customWidth="1"/>
    <col min="5120" max="5120" width="19.5546875" style="5" customWidth="1"/>
    <col min="5121" max="5121" width="20.77734375" style="5" customWidth="1"/>
    <col min="5122" max="5122" width="22.21875" style="5" customWidth="1"/>
    <col min="5123" max="5123" width="0" style="5" hidden="1" customWidth="1"/>
    <col min="5124" max="5124" width="15.44140625" style="5" customWidth="1"/>
    <col min="5125" max="5125" width="16.5546875" style="5" customWidth="1"/>
    <col min="5126" max="5127" width="14" style="5" customWidth="1"/>
    <col min="5128" max="5129" width="17.5546875" style="5" customWidth="1"/>
    <col min="5130" max="5130" width="16.44140625" style="5" customWidth="1"/>
    <col min="5131" max="5131" width="16.5546875" style="5" customWidth="1"/>
    <col min="5132" max="5132" width="15" style="5" customWidth="1"/>
    <col min="5133" max="5133" width="15.21875" style="5" customWidth="1"/>
    <col min="5134" max="5145" width="0" style="5" hidden="1" customWidth="1"/>
    <col min="5146" max="5370" width="9.21875" style="5" customWidth="1"/>
    <col min="5371" max="5372" width="11" style="5" bestFit="1" customWidth="1"/>
    <col min="5373" max="5373" width="19.44140625" style="5" customWidth="1"/>
    <col min="5374" max="5374" width="14" style="5" customWidth="1"/>
    <col min="5375" max="5375" width="0" style="5" hidden="1" customWidth="1"/>
    <col min="5376" max="5376" width="19.5546875" style="5" customWidth="1"/>
    <col min="5377" max="5377" width="20.77734375" style="5" customWidth="1"/>
    <col min="5378" max="5378" width="22.21875" style="5" customWidth="1"/>
    <col min="5379" max="5379" width="0" style="5" hidden="1" customWidth="1"/>
    <col min="5380" max="5380" width="15.44140625" style="5" customWidth="1"/>
    <col min="5381" max="5381" width="16.5546875" style="5" customWidth="1"/>
    <col min="5382" max="5383" width="14" style="5" customWidth="1"/>
    <col min="5384" max="5385" width="17.5546875" style="5" customWidth="1"/>
    <col min="5386" max="5386" width="16.44140625" style="5" customWidth="1"/>
    <col min="5387" max="5387" width="16.5546875" style="5" customWidth="1"/>
    <col min="5388" max="5388" width="15" style="5" customWidth="1"/>
    <col min="5389" max="5389" width="15.21875" style="5" customWidth="1"/>
    <col min="5390" max="5401" width="0" style="5" hidden="1" customWidth="1"/>
    <col min="5402" max="5626" width="9.21875" style="5" customWidth="1"/>
    <col min="5627" max="5628" width="11" style="5" bestFit="1" customWidth="1"/>
    <col min="5629" max="5629" width="19.44140625" style="5" customWidth="1"/>
    <col min="5630" max="5630" width="14" style="5" customWidth="1"/>
    <col min="5631" max="5631" width="0" style="5" hidden="1" customWidth="1"/>
    <col min="5632" max="5632" width="19.5546875" style="5" customWidth="1"/>
    <col min="5633" max="5633" width="20.77734375" style="5" customWidth="1"/>
    <col min="5634" max="5634" width="22.21875" style="5" customWidth="1"/>
    <col min="5635" max="5635" width="0" style="5" hidden="1" customWidth="1"/>
    <col min="5636" max="5636" width="15.44140625" style="5" customWidth="1"/>
    <col min="5637" max="5637" width="16.5546875" style="5" customWidth="1"/>
    <col min="5638" max="5639" width="14" style="5" customWidth="1"/>
    <col min="5640" max="5641" width="17.5546875" style="5" customWidth="1"/>
    <col min="5642" max="5642" width="16.44140625" style="5" customWidth="1"/>
    <col min="5643" max="5643" width="16.5546875" style="5" customWidth="1"/>
    <col min="5644" max="5644" width="15" style="5" customWidth="1"/>
    <col min="5645" max="5645" width="15.21875" style="5" customWidth="1"/>
    <col min="5646" max="5657" width="0" style="5" hidden="1" customWidth="1"/>
    <col min="5658" max="5882" width="9.21875" style="5" customWidth="1"/>
    <col min="5883" max="5884" width="11" style="5" bestFit="1" customWidth="1"/>
    <col min="5885" max="5885" width="19.44140625" style="5" customWidth="1"/>
    <col min="5886" max="5886" width="14" style="5" customWidth="1"/>
    <col min="5887" max="5887" width="0" style="5" hidden="1" customWidth="1"/>
    <col min="5888" max="5888" width="19.5546875" style="5" customWidth="1"/>
    <col min="5889" max="5889" width="20.77734375" style="5" customWidth="1"/>
    <col min="5890" max="5890" width="22.21875" style="5" customWidth="1"/>
    <col min="5891" max="5891" width="0" style="5" hidden="1" customWidth="1"/>
    <col min="5892" max="5892" width="15.44140625" style="5" customWidth="1"/>
    <col min="5893" max="5893" width="16.5546875" style="5" customWidth="1"/>
    <col min="5894" max="5895" width="14" style="5" customWidth="1"/>
    <col min="5896" max="5897" width="17.5546875" style="5" customWidth="1"/>
    <col min="5898" max="5898" width="16.44140625" style="5" customWidth="1"/>
    <col min="5899" max="5899" width="16.5546875" style="5" customWidth="1"/>
    <col min="5900" max="5900" width="15" style="5" customWidth="1"/>
    <col min="5901" max="5901" width="15.21875" style="5" customWidth="1"/>
    <col min="5902" max="5913" width="0" style="5" hidden="1" customWidth="1"/>
    <col min="5914" max="6138" width="9.21875" style="5" customWidth="1"/>
    <col min="6139" max="6140" width="11" style="5" bestFit="1" customWidth="1"/>
    <col min="6141" max="6141" width="19.44140625" style="5" customWidth="1"/>
    <col min="6142" max="6142" width="14" style="5" customWidth="1"/>
    <col min="6143" max="6143" width="0" style="5" hidden="1" customWidth="1"/>
    <col min="6144" max="6144" width="19.5546875" style="5" customWidth="1"/>
    <col min="6145" max="6145" width="20.77734375" style="5" customWidth="1"/>
    <col min="6146" max="6146" width="22.21875" style="5" customWidth="1"/>
    <col min="6147" max="6147" width="0" style="5" hidden="1" customWidth="1"/>
    <col min="6148" max="6148" width="15.44140625" style="5" customWidth="1"/>
    <col min="6149" max="6149" width="16.5546875" style="5" customWidth="1"/>
    <col min="6150" max="6151" width="14" style="5" customWidth="1"/>
    <col min="6152" max="6153" width="17.5546875" style="5" customWidth="1"/>
    <col min="6154" max="6154" width="16.44140625" style="5" customWidth="1"/>
    <col min="6155" max="6155" width="16.5546875" style="5" customWidth="1"/>
    <col min="6156" max="6156" width="15" style="5" customWidth="1"/>
    <col min="6157" max="6157" width="15.21875" style="5" customWidth="1"/>
    <col min="6158" max="6169" width="0" style="5" hidden="1" customWidth="1"/>
    <col min="6170" max="6394" width="9.21875" style="5" customWidth="1"/>
    <col min="6395" max="6396" width="11" style="5" bestFit="1" customWidth="1"/>
    <col min="6397" max="6397" width="19.44140625" style="5" customWidth="1"/>
    <col min="6398" max="6398" width="14" style="5" customWidth="1"/>
    <col min="6399" max="6399" width="0" style="5" hidden="1" customWidth="1"/>
    <col min="6400" max="6400" width="19.5546875" style="5" customWidth="1"/>
    <col min="6401" max="6401" width="20.77734375" style="5" customWidth="1"/>
    <col min="6402" max="6402" width="22.21875" style="5" customWidth="1"/>
    <col min="6403" max="6403" width="0" style="5" hidden="1" customWidth="1"/>
    <col min="6404" max="6404" width="15.44140625" style="5" customWidth="1"/>
    <col min="6405" max="6405" width="16.5546875" style="5" customWidth="1"/>
    <col min="6406" max="6407" width="14" style="5" customWidth="1"/>
    <col min="6408" max="6409" width="17.5546875" style="5" customWidth="1"/>
    <col min="6410" max="6410" width="16.44140625" style="5" customWidth="1"/>
    <col min="6411" max="6411" width="16.5546875" style="5" customWidth="1"/>
    <col min="6412" max="6412" width="15" style="5" customWidth="1"/>
    <col min="6413" max="6413" width="15.21875" style="5" customWidth="1"/>
    <col min="6414" max="6425" width="0" style="5" hidden="1" customWidth="1"/>
    <col min="6426" max="6650" width="9.21875" style="5" customWidth="1"/>
    <col min="6651" max="6652" width="11" style="5" bestFit="1" customWidth="1"/>
    <col min="6653" max="6653" width="19.44140625" style="5" customWidth="1"/>
    <col min="6654" max="6654" width="14" style="5" customWidth="1"/>
    <col min="6655" max="6655" width="0" style="5" hidden="1" customWidth="1"/>
    <col min="6656" max="6656" width="19.5546875" style="5" customWidth="1"/>
    <col min="6657" max="6657" width="20.77734375" style="5" customWidth="1"/>
    <col min="6658" max="6658" width="22.21875" style="5" customWidth="1"/>
    <col min="6659" max="6659" width="0" style="5" hidden="1" customWidth="1"/>
    <col min="6660" max="6660" width="15.44140625" style="5" customWidth="1"/>
    <col min="6661" max="6661" width="16.5546875" style="5" customWidth="1"/>
    <col min="6662" max="6663" width="14" style="5" customWidth="1"/>
    <col min="6664" max="6665" width="17.5546875" style="5" customWidth="1"/>
    <col min="6666" max="6666" width="16.44140625" style="5" customWidth="1"/>
    <col min="6667" max="6667" width="16.5546875" style="5" customWidth="1"/>
    <col min="6668" max="6668" width="15" style="5" customWidth="1"/>
    <col min="6669" max="6669" width="15.21875" style="5" customWidth="1"/>
    <col min="6670" max="6681" width="0" style="5" hidden="1" customWidth="1"/>
    <col min="6682" max="6906" width="9.21875" style="5" customWidth="1"/>
    <col min="6907" max="6908" width="11" style="5" bestFit="1" customWidth="1"/>
    <col min="6909" max="6909" width="19.44140625" style="5" customWidth="1"/>
    <col min="6910" max="6910" width="14" style="5" customWidth="1"/>
    <col min="6911" max="6911" width="0" style="5" hidden="1" customWidth="1"/>
    <col min="6912" max="6912" width="19.5546875" style="5" customWidth="1"/>
    <col min="6913" max="6913" width="20.77734375" style="5" customWidth="1"/>
    <col min="6914" max="6914" width="22.21875" style="5" customWidth="1"/>
    <col min="6915" max="6915" width="0" style="5" hidden="1" customWidth="1"/>
    <col min="6916" max="6916" width="15.44140625" style="5" customWidth="1"/>
    <col min="6917" max="6917" width="16.5546875" style="5" customWidth="1"/>
    <col min="6918" max="6919" width="14" style="5" customWidth="1"/>
    <col min="6920" max="6921" width="17.5546875" style="5" customWidth="1"/>
    <col min="6922" max="6922" width="16.44140625" style="5" customWidth="1"/>
    <col min="6923" max="6923" width="16.5546875" style="5" customWidth="1"/>
    <col min="6924" max="6924" width="15" style="5" customWidth="1"/>
    <col min="6925" max="6925" width="15.21875" style="5" customWidth="1"/>
    <col min="6926" max="6937" width="0" style="5" hidden="1" customWidth="1"/>
    <col min="6938" max="7162" width="9.21875" style="5" customWidth="1"/>
    <col min="7163" max="7164" width="11" style="5" bestFit="1" customWidth="1"/>
    <col min="7165" max="7165" width="19.44140625" style="5" customWidth="1"/>
    <col min="7166" max="7166" width="14" style="5" customWidth="1"/>
    <col min="7167" max="7167" width="0" style="5" hidden="1" customWidth="1"/>
    <col min="7168" max="7168" width="19.5546875" style="5" customWidth="1"/>
    <col min="7169" max="7169" width="20.77734375" style="5" customWidth="1"/>
    <col min="7170" max="7170" width="22.21875" style="5" customWidth="1"/>
    <col min="7171" max="7171" width="0" style="5" hidden="1" customWidth="1"/>
    <col min="7172" max="7172" width="15.44140625" style="5" customWidth="1"/>
    <col min="7173" max="7173" width="16.5546875" style="5" customWidth="1"/>
    <col min="7174" max="7175" width="14" style="5" customWidth="1"/>
    <col min="7176" max="7177" width="17.5546875" style="5" customWidth="1"/>
    <col min="7178" max="7178" width="16.44140625" style="5" customWidth="1"/>
    <col min="7179" max="7179" width="16.5546875" style="5" customWidth="1"/>
    <col min="7180" max="7180" width="15" style="5" customWidth="1"/>
    <col min="7181" max="7181" width="15.21875" style="5" customWidth="1"/>
    <col min="7182" max="7193" width="0" style="5" hidden="1" customWidth="1"/>
    <col min="7194" max="7418" width="9.21875" style="5" customWidth="1"/>
    <col min="7419" max="7420" width="11" style="5" bestFit="1" customWidth="1"/>
    <col min="7421" max="7421" width="19.44140625" style="5" customWidth="1"/>
    <col min="7422" max="7422" width="14" style="5" customWidth="1"/>
    <col min="7423" max="7423" width="0" style="5" hidden="1" customWidth="1"/>
    <col min="7424" max="7424" width="19.5546875" style="5" customWidth="1"/>
    <col min="7425" max="7425" width="20.77734375" style="5" customWidth="1"/>
    <col min="7426" max="7426" width="22.21875" style="5" customWidth="1"/>
    <col min="7427" max="7427" width="0" style="5" hidden="1" customWidth="1"/>
    <col min="7428" max="7428" width="15.44140625" style="5" customWidth="1"/>
    <col min="7429" max="7429" width="16.5546875" style="5" customWidth="1"/>
    <col min="7430" max="7431" width="14" style="5" customWidth="1"/>
    <col min="7432" max="7433" width="17.5546875" style="5" customWidth="1"/>
    <col min="7434" max="7434" width="16.44140625" style="5" customWidth="1"/>
    <col min="7435" max="7435" width="16.5546875" style="5" customWidth="1"/>
    <col min="7436" max="7436" width="15" style="5" customWidth="1"/>
    <col min="7437" max="7437" width="15.21875" style="5" customWidth="1"/>
    <col min="7438" max="7449" width="0" style="5" hidden="1" customWidth="1"/>
    <col min="7450" max="7674" width="9.21875" style="5" customWidth="1"/>
    <col min="7675" max="7676" width="11" style="5" bestFit="1" customWidth="1"/>
    <col min="7677" max="7677" width="19.44140625" style="5" customWidth="1"/>
    <col min="7678" max="7678" width="14" style="5" customWidth="1"/>
    <col min="7679" max="7679" width="0" style="5" hidden="1" customWidth="1"/>
    <col min="7680" max="7680" width="19.5546875" style="5" customWidth="1"/>
    <col min="7681" max="7681" width="20.77734375" style="5" customWidth="1"/>
    <col min="7682" max="7682" width="22.21875" style="5" customWidth="1"/>
    <col min="7683" max="7683" width="0" style="5" hidden="1" customWidth="1"/>
    <col min="7684" max="7684" width="15.44140625" style="5" customWidth="1"/>
    <col min="7685" max="7685" width="16.5546875" style="5" customWidth="1"/>
    <col min="7686" max="7687" width="14" style="5" customWidth="1"/>
    <col min="7688" max="7689" width="17.5546875" style="5" customWidth="1"/>
    <col min="7690" max="7690" width="16.44140625" style="5" customWidth="1"/>
    <col min="7691" max="7691" width="16.5546875" style="5" customWidth="1"/>
    <col min="7692" max="7692" width="15" style="5" customWidth="1"/>
    <col min="7693" max="7693" width="15.21875" style="5" customWidth="1"/>
    <col min="7694" max="7705" width="0" style="5" hidden="1" customWidth="1"/>
    <col min="7706" max="7930" width="9.21875" style="5" customWidth="1"/>
    <col min="7931" max="7932" width="11" style="5" bestFit="1" customWidth="1"/>
    <col min="7933" max="7933" width="19.44140625" style="5" customWidth="1"/>
    <col min="7934" max="7934" width="14" style="5" customWidth="1"/>
    <col min="7935" max="7935" width="0" style="5" hidden="1" customWidth="1"/>
    <col min="7936" max="7936" width="19.5546875" style="5" customWidth="1"/>
    <col min="7937" max="7937" width="20.77734375" style="5" customWidth="1"/>
    <col min="7938" max="7938" width="22.21875" style="5" customWidth="1"/>
    <col min="7939" max="7939" width="0" style="5" hidden="1" customWidth="1"/>
    <col min="7940" max="7940" width="15.44140625" style="5" customWidth="1"/>
    <col min="7941" max="7941" width="16.5546875" style="5" customWidth="1"/>
    <col min="7942" max="7943" width="14" style="5" customWidth="1"/>
    <col min="7944" max="7945" width="17.5546875" style="5" customWidth="1"/>
    <col min="7946" max="7946" width="16.44140625" style="5" customWidth="1"/>
    <col min="7947" max="7947" width="16.5546875" style="5" customWidth="1"/>
    <col min="7948" max="7948" width="15" style="5" customWidth="1"/>
    <col min="7949" max="7949" width="15.21875" style="5" customWidth="1"/>
    <col min="7950" max="7961" width="0" style="5" hidden="1" customWidth="1"/>
    <col min="7962" max="8186" width="9.21875" style="5" customWidth="1"/>
    <col min="8187" max="8188" width="11" style="5" bestFit="1" customWidth="1"/>
    <col min="8189" max="8189" width="19.44140625" style="5" customWidth="1"/>
    <col min="8190" max="8190" width="14" style="5" customWidth="1"/>
    <col min="8191" max="8191" width="0" style="5" hidden="1" customWidth="1"/>
    <col min="8192" max="8192" width="19.5546875" style="5" customWidth="1"/>
    <col min="8193" max="8193" width="20.77734375" style="5" customWidth="1"/>
    <col min="8194" max="8194" width="22.21875" style="5" customWidth="1"/>
    <col min="8195" max="8195" width="0" style="5" hidden="1" customWidth="1"/>
    <col min="8196" max="8196" width="15.44140625" style="5" customWidth="1"/>
    <col min="8197" max="8197" width="16.5546875" style="5" customWidth="1"/>
    <col min="8198" max="8199" width="14" style="5" customWidth="1"/>
    <col min="8200" max="8201" width="17.5546875" style="5" customWidth="1"/>
    <col min="8202" max="8202" width="16.44140625" style="5" customWidth="1"/>
    <col min="8203" max="8203" width="16.5546875" style="5" customWidth="1"/>
    <col min="8204" max="8204" width="15" style="5" customWidth="1"/>
    <col min="8205" max="8205" width="15.21875" style="5" customWidth="1"/>
    <col min="8206" max="8217" width="0" style="5" hidden="1" customWidth="1"/>
    <col min="8218" max="8442" width="9.21875" style="5" customWidth="1"/>
    <col min="8443" max="8444" width="11" style="5" bestFit="1" customWidth="1"/>
    <col min="8445" max="8445" width="19.44140625" style="5" customWidth="1"/>
    <col min="8446" max="8446" width="14" style="5" customWidth="1"/>
    <col min="8447" max="8447" width="0" style="5" hidden="1" customWidth="1"/>
    <col min="8448" max="8448" width="19.5546875" style="5" customWidth="1"/>
    <col min="8449" max="8449" width="20.77734375" style="5" customWidth="1"/>
    <col min="8450" max="8450" width="22.21875" style="5" customWidth="1"/>
    <col min="8451" max="8451" width="0" style="5" hidden="1" customWidth="1"/>
    <col min="8452" max="8452" width="15.44140625" style="5" customWidth="1"/>
    <col min="8453" max="8453" width="16.5546875" style="5" customWidth="1"/>
    <col min="8454" max="8455" width="14" style="5" customWidth="1"/>
    <col min="8456" max="8457" width="17.5546875" style="5" customWidth="1"/>
    <col min="8458" max="8458" width="16.44140625" style="5" customWidth="1"/>
    <col min="8459" max="8459" width="16.5546875" style="5" customWidth="1"/>
    <col min="8460" max="8460" width="15" style="5" customWidth="1"/>
    <col min="8461" max="8461" width="15.21875" style="5" customWidth="1"/>
    <col min="8462" max="8473" width="0" style="5" hidden="1" customWidth="1"/>
    <col min="8474" max="8698" width="9.21875" style="5" customWidth="1"/>
    <col min="8699" max="8700" width="11" style="5" bestFit="1" customWidth="1"/>
    <col min="8701" max="8701" width="19.44140625" style="5" customWidth="1"/>
    <col min="8702" max="8702" width="14" style="5" customWidth="1"/>
    <col min="8703" max="8703" width="0" style="5" hidden="1" customWidth="1"/>
    <col min="8704" max="8704" width="19.5546875" style="5" customWidth="1"/>
    <col min="8705" max="8705" width="20.77734375" style="5" customWidth="1"/>
    <col min="8706" max="8706" width="22.21875" style="5" customWidth="1"/>
    <col min="8707" max="8707" width="0" style="5" hidden="1" customWidth="1"/>
    <col min="8708" max="8708" width="15.44140625" style="5" customWidth="1"/>
    <col min="8709" max="8709" width="16.5546875" style="5" customWidth="1"/>
    <col min="8710" max="8711" width="14" style="5" customWidth="1"/>
    <col min="8712" max="8713" width="17.5546875" style="5" customWidth="1"/>
    <col min="8714" max="8714" width="16.44140625" style="5" customWidth="1"/>
    <col min="8715" max="8715" width="16.5546875" style="5" customWidth="1"/>
    <col min="8716" max="8716" width="15" style="5" customWidth="1"/>
    <col min="8717" max="8717" width="15.21875" style="5" customWidth="1"/>
    <col min="8718" max="8729" width="0" style="5" hidden="1" customWidth="1"/>
    <col min="8730" max="8954" width="9.21875" style="5" customWidth="1"/>
    <col min="8955" max="8956" width="11" style="5" bestFit="1" customWidth="1"/>
    <col min="8957" max="8957" width="19.44140625" style="5" customWidth="1"/>
    <col min="8958" max="8958" width="14" style="5" customWidth="1"/>
    <col min="8959" max="8959" width="0" style="5" hidden="1" customWidth="1"/>
    <col min="8960" max="8960" width="19.5546875" style="5" customWidth="1"/>
    <col min="8961" max="8961" width="20.77734375" style="5" customWidth="1"/>
    <col min="8962" max="8962" width="22.21875" style="5" customWidth="1"/>
    <col min="8963" max="8963" width="0" style="5" hidden="1" customWidth="1"/>
    <col min="8964" max="8964" width="15.44140625" style="5" customWidth="1"/>
    <col min="8965" max="8965" width="16.5546875" style="5" customWidth="1"/>
    <col min="8966" max="8967" width="14" style="5" customWidth="1"/>
    <col min="8968" max="8969" width="17.5546875" style="5" customWidth="1"/>
    <col min="8970" max="8970" width="16.44140625" style="5" customWidth="1"/>
    <col min="8971" max="8971" width="16.5546875" style="5" customWidth="1"/>
    <col min="8972" max="8972" width="15" style="5" customWidth="1"/>
    <col min="8973" max="8973" width="15.21875" style="5" customWidth="1"/>
    <col min="8974" max="8985" width="0" style="5" hidden="1" customWidth="1"/>
    <col min="8986" max="9210" width="9.21875" style="5" customWidth="1"/>
    <col min="9211" max="9212" width="11" style="5" bestFit="1" customWidth="1"/>
    <col min="9213" max="9213" width="19.44140625" style="5" customWidth="1"/>
    <col min="9214" max="9214" width="14" style="5" customWidth="1"/>
    <col min="9215" max="9215" width="0" style="5" hidden="1" customWidth="1"/>
    <col min="9216" max="9216" width="19.5546875" style="5" customWidth="1"/>
    <col min="9217" max="9217" width="20.77734375" style="5" customWidth="1"/>
    <col min="9218" max="9218" width="22.21875" style="5" customWidth="1"/>
    <col min="9219" max="9219" width="0" style="5" hidden="1" customWidth="1"/>
    <col min="9220" max="9220" width="15.44140625" style="5" customWidth="1"/>
    <col min="9221" max="9221" width="16.5546875" style="5" customWidth="1"/>
    <col min="9222" max="9223" width="14" style="5" customWidth="1"/>
    <col min="9224" max="9225" width="17.5546875" style="5" customWidth="1"/>
    <col min="9226" max="9226" width="16.44140625" style="5" customWidth="1"/>
    <col min="9227" max="9227" width="16.5546875" style="5" customWidth="1"/>
    <col min="9228" max="9228" width="15" style="5" customWidth="1"/>
    <col min="9229" max="9229" width="15.21875" style="5" customWidth="1"/>
    <col min="9230" max="9241" width="0" style="5" hidden="1" customWidth="1"/>
    <col min="9242" max="9466" width="9.21875" style="5" customWidth="1"/>
    <col min="9467" max="9468" width="11" style="5" bestFit="1" customWidth="1"/>
    <col min="9469" max="9469" width="19.44140625" style="5" customWidth="1"/>
    <col min="9470" max="9470" width="14" style="5" customWidth="1"/>
    <col min="9471" max="9471" width="0" style="5" hidden="1" customWidth="1"/>
    <col min="9472" max="9472" width="19.5546875" style="5" customWidth="1"/>
    <col min="9473" max="9473" width="20.77734375" style="5" customWidth="1"/>
    <col min="9474" max="9474" width="22.21875" style="5" customWidth="1"/>
    <col min="9475" max="9475" width="0" style="5" hidden="1" customWidth="1"/>
    <col min="9476" max="9476" width="15.44140625" style="5" customWidth="1"/>
    <col min="9477" max="9477" width="16.5546875" style="5" customWidth="1"/>
    <col min="9478" max="9479" width="14" style="5" customWidth="1"/>
    <col min="9480" max="9481" width="17.5546875" style="5" customWidth="1"/>
    <col min="9482" max="9482" width="16.44140625" style="5" customWidth="1"/>
    <col min="9483" max="9483" width="16.5546875" style="5" customWidth="1"/>
    <col min="9484" max="9484" width="15" style="5" customWidth="1"/>
    <col min="9485" max="9485" width="15.21875" style="5" customWidth="1"/>
    <col min="9486" max="9497" width="0" style="5" hidden="1" customWidth="1"/>
    <col min="9498" max="9722" width="9.21875" style="5" customWidth="1"/>
    <col min="9723" max="9724" width="11" style="5" bestFit="1" customWidth="1"/>
    <col min="9725" max="9725" width="19.44140625" style="5" customWidth="1"/>
    <col min="9726" max="9726" width="14" style="5" customWidth="1"/>
    <col min="9727" max="9727" width="0" style="5" hidden="1" customWidth="1"/>
    <col min="9728" max="9728" width="19.5546875" style="5" customWidth="1"/>
    <col min="9729" max="9729" width="20.77734375" style="5" customWidth="1"/>
    <col min="9730" max="9730" width="22.21875" style="5" customWidth="1"/>
    <col min="9731" max="9731" width="0" style="5" hidden="1" customWidth="1"/>
    <col min="9732" max="9732" width="15.44140625" style="5" customWidth="1"/>
    <col min="9733" max="9733" width="16.5546875" style="5" customWidth="1"/>
    <col min="9734" max="9735" width="14" style="5" customWidth="1"/>
    <col min="9736" max="9737" width="17.5546875" style="5" customWidth="1"/>
    <col min="9738" max="9738" width="16.44140625" style="5" customWidth="1"/>
    <col min="9739" max="9739" width="16.5546875" style="5" customWidth="1"/>
    <col min="9740" max="9740" width="15" style="5" customWidth="1"/>
    <col min="9741" max="9741" width="15.21875" style="5" customWidth="1"/>
    <col min="9742" max="9753" width="0" style="5" hidden="1" customWidth="1"/>
    <col min="9754" max="9978" width="9.21875" style="5" customWidth="1"/>
    <col min="9979" max="9980" width="11" style="5" bestFit="1" customWidth="1"/>
    <col min="9981" max="9981" width="19.44140625" style="5" customWidth="1"/>
    <col min="9982" max="9982" width="14" style="5" customWidth="1"/>
    <col min="9983" max="9983" width="0" style="5" hidden="1" customWidth="1"/>
    <col min="9984" max="9984" width="19.5546875" style="5" customWidth="1"/>
    <col min="9985" max="9985" width="20.77734375" style="5" customWidth="1"/>
    <col min="9986" max="9986" width="22.21875" style="5" customWidth="1"/>
    <col min="9987" max="9987" width="0" style="5" hidden="1" customWidth="1"/>
    <col min="9988" max="9988" width="15.44140625" style="5" customWidth="1"/>
    <col min="9989" max="9989" width="16.5546875" style="5" customWidth="1"/>
    <col min="9990" max="9991" width="14" style="5" customWidth="1"/>
    <col min="9992" max="9993" width="17.5546875" style="5" customWidth="1"/>
    <col min="9994" max="9994" width="16.44140625" style="5" customWidth="1"/>
    <col min="9995" max="9995" width="16.5546875" style="5" customWidth="1"/>
    <col min="9996" max="9996" width="15" style="5" customWidth="1"/>
    <col min="9997" max="9997" width="15.21875" style="5" customWidth="1"/>
    <col min="9998" max="10009" width="0" style="5" hidden="1" customWidth="1"/>
    <col min="10010" max="10234" width="9.21875" style="5" customWidth="1"/>
    <col min="10235" max="10236" width="11" style="5" bestFit="1" customWidth="1"/>
    <col min="10237" max="10237" width="19.44140625" style="5" customWidth="1"/>
    <col min="10238" max="10238" width="14" style="5" customWidth="1"/>
    <col min="10239" max="10239" width="0" style="5" hidden="1" customWidth="1"/>
    <col min="10240" max="10240" width="19.5546875" style="5" customWidth="1"/>
    <col min="10241" max="10241" width="20.77734375" style="5" customWidth="1"/>
    <col min="10242" max="10242" width="22.21875" style="5" customWidth="1"/>
    <col min="10243" max="10243" width="0" style="5" hidden="1" customWidth="1"/>
    <col min="10244" max="10244" width="15.44140625" style="5" customWidth="1"/>
    <col min="10245" max="10245" width="16.5546875" style="5" customWidth="1"/>
    <col min="10246" max="10247" width="14" style="5" customWidth="1"/>
    <col min="10248" max="10249" width="17.5546875" style="5" customWidth="1"/>
    <col min="10250" max="10250" width="16.44140625" style="5" customWidth="1"/>
    <col min="10251" max="10251" width="16.5546875" style="5" customWidth="1"/>
    <col min="10252" max="10252" width="15" style="5" customWidth="1"/>
    <col min="10253" max="10253" width="15.21875" style="5" customWidth="1"/>
    <col min="10254" max="10265" width="0" style="5" hidden="1" customWidth="1"/>
    <col min="10266" max="10490" width="9.21875" style="5" customWidth="1"/>
    <col min="10491" max="10492" width="11" style="5" bestFit="1" customWidth="1"/>
    <col min="10493" max="10493" width="19.44140625" style="5" customWidth="1"/>
    <col min="10494" max="10494" width="14" style="5" customWidth="1"/>
    <col min="10495" max="10495" width="0" style="5" hidden="1" customWidth="1"/>
    <col min="10496" max="10496" width="19.5546875" style="5" customWidth="1"/>
    <col min="10497" max="10497" width="20.77734375" style="5" customWidth="1"/>
    <col min="10498" max="10498" width="22.21875" style="5" customWidth="1"/>
    <col min="10499" max="10499" width="0" style="5" hidden="1" customWidth="1"/>
    <col min="10500" max="10500" width="15.44140625" style="5" customWidth="1"/>
    <col min="10501" max="10501" width="16.5546875" style="5" customWidth="1"/>
    <col min="10502" max="10503" width="14" style="5" customWidth="1"/>
    <col min="10504" max="10505" width="17.5546875" style="5" customWidth="1"/>
    <col min="10506" max="10506" width="16.44140625" style="5" customWidth="1"/>
    <col min="10507" max="10507" width="16.5546875" style="5" customWidth="1"/>
    <col min="10508" max="10508" width="15" style="5" customWidth="1"/>
    <col min="10509" max="10509" width="15.21875" style="5" customWidth="1"/>
    <col min="10510" max="10521" width="0" style="5" hidden="1" customWidth="1"/>
    <col min="10522" max="10746" width="9.21875" style="5" customWidth="1"/>
    <col min="10747" max="10748" width="11" style="5" bestFit="1" customWidth="1"/>
    <col min="10749" max="10749" width="19.44140625" style="5" customWidth="1"/>
    <col min="10750" max="10750" width="14" style="5" customWidth="1"/>
    <col min="10751" max="10751" width="0" style="5" hidden="1" customWidth="1"/>
    <col min="10752" max="10752" width="19.5546875" style="5" customWidth="1"/>
    <col min="10753" max="10753" width="20.77734375" style="5" customWidth="1"/>
    <col min="10754" max="10754" width="22.21875" style="5" customWidth="1"/>
    <col min="10755" max="10755" width="0" style="5" hidden="1" customWidth="1"/>
    <col min="10756" max="10756" width="15.44140625" style="5" customWidth="1"/>
    <col min="10757" max="10757" width="16.5546875" style="5" customWidth="1"/>
    <col min="10758" max="10759" width="14" style="5" customWidth="1"/>
    <col min="10760" max="10761" width="17.5546875" style="5" customWidth="1"/>
    <col min="10762" max="10762" width="16.44140625" style="5" customWidth="1"/>
    <col min="10763" max="10763" width="16.5546875" style="5" customWidth="1"/>
    <col min="10764" max="10764" width="15" style="5" customWidth="1"/>
    <col min="10765" max="10765" width="15.21875" style="5" customWidth="1"/>
    <col min="10766" max="10777" width="0" style="5" hidden="1" customWidth="1"/>
    <col min="10778" max="11002" width="9.21875" style="5" customWidth="1"/>
    <col min="11003" max="11004" width="11" style="5" bestFit="1" customWidth="1"/>
    <col min="11005" max="11005" width="19.44140625" style="5" customWidth="1"/>
    <col min="11006" max="11006" width="14" style="5" customWidth="1"/>
    <col min="11007" max="11007" width="0" style="5" hidden="1" customWidth="1"/>
    <col min="11008" max="11008" width="19.5546875" style="5" customWidth="1"/>
    <col min="11009" max="11009" width="20.77734375" style="5" customWidth="1"/>
    <col min="11010" max="11010" width="22.21875" style="5" customWidth="1"/>
    <col min="11011" max="11011" width="0" style="5" hidden="1" customWidth="1"/>
    <col min="11012" max="11012" width="15.44140625" style="5" customWidth="1"/>
    <col min="11013" max="11013" width="16.5546875" style="5" customWidth="1"/>
    <col min="11014" max="11015" width="14" style="5" customWidth="1"/>
    <col min="11016" max="11017" width="17.5546875" style="5" customWidth="1"/>
    <col min="11018" max="11018" width="16.44140625" style="5" customWidth="1"/>
    <col min="11019" max="11019" width="16.5546875" style="5" customWidth="1"/>
    <col min="11020" max="11020" width="15" style="5" customWidth="1"/>
    <col min="11021" max="11021" width="15.21875" style="5" customWidth="1"/>
    <col min="11022" max="11033" width="0" style="5" hidden="1" customWidth="1"/>
    <col min="11034" max="11258" width="9.21875" style="5" customWidth="1"/>
    <col min="11259" max="11260" width="11" style="5" bestFit="1" customWidth="1"/>
    <col min="11261" max="11261" width="19.44140625" style="5" customWidth="1"/>
    <col min="11262" max="11262" width="14" style="5" customWidth="1"/>
    <col min="11263" max="11263" width="0" style="5" hidden="1" customWidth="1"/>
    <col min="11264" max="11264" width="19.5546875" style="5" customWidth="1"/>
    <col min="11265" max="11265" width="20.77734375" style="5" customWidth="1"/>
    <col min="11266" max="11266" width="22.21875" style="5" customWidth="1"/>
    <col min="11267" max="11267" width="0" style="5" hidden="1" customWidth="1"/>
    <col min="11268" max="11268" width="15.44140625" style="5" customWidth="1"/>
    <col min="11269" max="11269" width="16.5546875" style="5" customWidth="1"/>
    <col min="11270" max="11271" width="14" style="5" customWidth="1"/>
    <col min="11272" max="11273" width="17.5546875" style="5" customWidth="1"/>
    <col min="11274" max="11274" width="16.44140625" style="5" customWidth="1"/>
    <col min="11275" max="11275" width="16.5546875" style="5" customWidth="1"/>
    <col min="11276" max="11276" width="15" style="5" customWidth="1"/>
    <col min="11277" max="11277" width="15.21875" style="5" customWidth="1"/>
    <col min="11278" max="11289" width="0" style="5" hidden="1" customWidth="1"/>
    <col min="11290" max="11514" width="9.21875" style="5" customWidth="1"/>
    <col min="11515" max="11516" width="11" style="5" bestFit="1" customWidth="1"/>
    <col min="11517" max="11517" width="19.44140625" style="5" customWidth="1"/>
    <col min="11518" max="11518" width="14" style="5" customWidth="1"/>
    <col min="11519" max="11519" width="0" style="5" hidden="1" customWidth="1"/>
    <col min="11520" max="11520" width="19.5546875" style="5" customWidth="1"/>
    <col min="11521" max="11521" width="20.77734375" style="5" customWidth="1"/>
    <col min="11522" max="11522" width="22.21875" style="5" customWidth="1"/>
    <col min="11523" max="11523" width="0" style="5" hidden="1" customWidth="1"/>
    <col min="11524" max="11524" width="15.44140625" style="5" customWidth="1"/>
    <col min="11525" max="11525" width="16.5546875" style="5" customWidth="1"/>
    <col min="11526" max="11527" width="14" style="5" customWidth="1"/>
    <col min="11528" max="11529" width="17.5546875" style="5" customWidth="1"/>
    <col min="11530" max="11530" width="16.44140625" style="5" customWidth="1"/>
    <col min="11531" max="11531" width="16.5546875" style="5" customWidth="1"/>
    <col min="11532" max="11532" width="15" style="5" customWidth="1"/>
    <col min="11533" max="11533" width="15.21875" style="5" customWidth="1"/>
    <col min="11534" max="11545" width="0" style="5" hidden="1" customWidth="1"/>
    <col min="11546" max="11770" width="9.21875" style="5" customWidth="1"/>
    <col min="11771" max="11772" width="11" style="5" bestFit="1" customWidth="1"/>
    <col min="11773" max="11773" width="19.44140625" style="5" customWidth="1"/>
    <col min="11774" max="11774" width="14" style="5" customWidth="1"/>
    <col min="11775" max="11775" width="0" style="5" hidden="1" customWidth="1"/>
    <col min="11776" max="11776" width="19.5546875" style="5" customWidth="1"/>
    <col min="11777" max="11777" width="20.77734375" style="5" customWidth="1"/>
    <col min="11778" max="11778" width="22.21875" style="5" customWidth="1"/>
    <col min="11779" max="11779" width="0" style="5" hidden="1" customWidth="1"/>
    <col min="11780" max="11780" width="15.44140625" style="5" customWidth="1"/>
    <col min="11781" max="11781" width="16.5546875" style="5" customWidth="1"/>
    <col min="11782" max="11783" width="14" style="5" customWidth="1"/>
    <col min="11784" max="11785" width="17.5546875" style="5" customWidth="1"/>
    <col min="11786" max="11786" width="16.44140625" style="5" customWidth="1"/>
    <col min="11787" max="11787" width="16.5546875" style="5" customWidth="1"/>
    <col min="11788" max="11788" width="15" style="5" customWidth="1"/>
    <col min="11789" max="11789" width="15.21875" style="5" customWidth="1"/>
    <col min="11790" max="11801" width="0" style="5" hidden="1" customWidth="1"/>
    <col min="11802" max="12026" width="9.21875" style="5" customWidth="1"/>
    <col min="12027" max="12028" width="11" style="5" bestFit="1" customWidth="1"/>
    <col min="12029" max="12029" width="19.44140625" style="5" customWidth="1"/>
    <col min="12030" max="12030" width="14" style="5" customWidth="1"/>
    <col min="12031" max="12031" width="0" style="5" hidden="1" customWidth="1"/>
    <col min="12032" max="12032" width="19.5546875" style="5" customWidth="1"/>
    <col min="12033" max="12033" width="20.77734375" style="5" customWidth="1"/>
    <col min="12034" max="12034" width="22.21875" style="5" customWidth="1"/>
    <col min="12035" max="12035" width="0" style="5" hidden="1" customWidth="1"/>
    <col min="12036" max="12036" width="15.44140625" style="5" customWidth="1"/>
    <col min="12037" max="12037" width="16.5546875" style="5" customWidth="1"/>
    <col min="12038" max="12039" width="14" style="5" customWidth="1"/>
    <col min="12040" max="12041" width="17.5546875" style="5" customWidth="1"/>
    <col min="12042" max="12042" width="16.44140625" style="5" customWidth="1"/>
    <col min="12043" max="12043" width="16.5546875" style="5" customWidth="1"/>
    <col min="12044" max="12044" width="15" style="5" customWidth="1"/>
    <col min="12045" max="12045" width="15.21875" style="5" customWidth="1"/>
    <col min="12046" max="12057" width="0" style="5" hidden="1" customWidth="1"/>
    <col min="12058" max="12282" width="9.21875" style="5" customWidth="1"/>
    <col min="12283" max="12284" width="11" style="5" bestFit="1" customWidth="1"/>
    <col min="12285" max="12285" width="19.44140625" style="5" customWidth="1"/>
    <col min="12286" max="12286" width="14" style="5" customWidth="1"/>
    <col min="12287" max="12287" width="0" style="5" hidden="1" customWidth="1"/>
    <col min="12288" max="12288" width="19.5546875" style="5" customWidth="1"/>
    <col min="12289" max="12289" width="20.77734375" style="5" customWidth="1"/>
    <col min="12290" max="12290" width="22.21875" style="5" customWidth="1"/>
    <col min="12291" max="12291" width="0" style="5" hidden="1" customWidth="1"/>
    <col min="12292" max="12292" width="15.44140625" style="5" customWidth="1"/>
    <col min="12293" max="12293" width="16.5546875" style="5" customWidth="1"/>
    <col min="12294" max="12295" width="14" style="5" customWidth="1"/>
    <col min="12296" max="12297" width="17.5546875" style="5" customWidth="1"/>
    <col min="12298" max="12298" width="16.44140625" style="5" customWidth="1"/>
    <col min="12299" max="12299" width="16.5546875" style="5" customWidth="1"/>
    <col min="12300" max="12300" width="15" style="5" customWidth="1"/>
    <col min="12301" max="12301" width="15.21875" style="5" customWidth="1"/>
    <col min="12302" max="12313" width="0" style="5" hidden="1" customWidth="1"/>
    <col min="12314" max="12538" width="9.21875" style="5" customWidth="1"/>
    <col min="12539" max="12540" width="11" style="5" bestFit="1" customWidth="1"/>
    <col min="12541" max="12541" width="19.44140625" style="5" customWidth="1"/>
    <col min="12542" max="12542" width="14" style="5" customWidth="1"/>
    <col min="12543" max="12543" width="0" style="5" hidden="1" customWidth="1"/>
    <col min="12544" max="12544" width="19.5546875" style="5" customWidth="1"/>
    <col min="12545" max="12545" width="20.77734375" style="5" customWidth="1"/>
    <col min="12546" max="12546" width="22.21875" style="5" customWidth="1"/>
    <col min="12547" max="12547" width="0" style="5" hidden="1" customWidth="1"/>
    <col min="12548" max="12548" width="15.44140625" style="5" customWidth="1"/>
    <col min="12549" max="12549" width="16.5546875" style="5" customWidth="1"/>
    <col min="12550" max="12551" width="14" style="5" customWidth="1"/>
    <col min="12552" max="12553" width="17.5546875" style="5" customWidth="1"/>
    <col min="12554" max="12554" width="16.44140625" style="5" customWidth="1"/>
    <col min="12555" max="12555" width="16.5546875" style="5" customWidth="1"/>
    <col min="12556" max="12556" width="15" style="5" customWidth="1"/>
    <col min="12557" max="12557" width="15.21875" style="5" customWidth="1"/>
    <col min="12558" max="12569" width="0" style="5" hidden="1" customWidth="1"/>
    <col min="12570" max="12794" width="9.21875" style="5" customWidth="1"/>
    <col min="12795" max="12796" width="11" style="5" bestFit="1" customWidth="1"/>
    <col min="12797" max="12797" width="19.44140625" style="5" customWidth="1"/>
    <col min="12798" max="12798" width="14" style="5" customWidth="1"/>
    <col min="12799" max="12799" width="0" style="5" hidden="1" customWidth="1"/>
    <col min="12800" max="12800" width="19.5546875" style="5" customWidth="1"/>
    <col min="12801" max="12801" width="20.77734375" style="5" customWidth="1"/>
    <col min="12802" max="12802" width="22.21875" style="5" customWidth="1"/>
    <col min="12803" max="12803" width="0" style="5" hidden="1" customWidth="1"/>
    <col min="12804" max="12804" width="15.44140625" style="5" customWidth="1"/>
    <col min="12805" max="12805" width="16.5546875" style="5" customWidth="1"/>
    <col min="12806" max="12807" width="14" style="5" customWidth="1"/>
    <col min="12808" max="12809" width="17.5546875" style="5" customWidth="1"/>
    <col min="12810" max="12810" width="16.44140625" style="5" customWidth="1"/>
    <col min="12811" max="12811" width="16.5546875" style="5" customWidth="1"/>
    <col min="12812" max="12812" width="15" style="5" customWidth="1"/>
    <col min="12813" max="12813" width="15.21875" style="5" customWidth="1"/>
    <col min="12814" max="12825" width="0" style="5" hidden="1" customWidth="1"/>
    <col min="12826" max="13050" width="9.21875" style="5" customWidth="1"/>
    <col min="13051" max="13052" width="11" style="5" bestFit="1" customWidth="1"/>
    <col min="13053" max="13053" width="19.44140625" style="5" customWidth="1"/>
    <col min="13054" max="13054" width="14" style="5" customWidth="1"/>
    <col min="13055" max="13055" width="0" style="5" hidden="1" customWidth="1"/>
    <col min="13056" max="13056" width="19.5546875" style="5" customWidth="1"/>
    <col min="13057" max="13057" width="20.77734375" style="5" customWidth="1"/>
    <col min="13058" max="13058" width="22.21875" style="5" customWidth="1"/>
    <col min="13059" max="13059" width="0" style="5" hidden="1" customWidth="1"/>
    <col min="13060" max="13060" width="15.44140625" style="5" customWidth="1"/>
    <col min="13061" max="13061" width="16.5546875" style="5" customWidth="1"/>
    <col min="13062" max="13063" width="14" style="5" customWidth="1"/>
    <col min="13064" max="13065" width="17.5546875" style="5" customWidth="1"/>
    <col min="13066" max="13066" width="16.44140625" style="5" customWidth="1"/>
    <col min="13067" max="13067" width="16.5546875" style="5" customWidth="1"/>
    <col min="13068" max="13068" width="15" style="5" customWidth="1"/>
    <col min="13069" max="13069" width="15.21875" style="5" customWidth="1"/>
    <col min="13070" max="13081" width="0" style="5" hidden="1" customWidth="1"/>
    <col min="13082" max="13306" width="9.21875" style="5" customWidth="1"/>
    <col min="13307" max="13308" width="11" style="5" bestFit="1" customWidth="1"/>
    <col min="13309" max="13309" width="19.44140625" style="5" customWidth="1"/>
    <col min="13310" max="13310" width="14" style="5" customWidth="1"/>
    <col min="13311" max="13311" width="0" style="5" hidden="1" customWidth="1"/>
    <col min="13312" max="13312" width="19.5546875" style="5" customWidth="1"/>
    <col min="13313" max="13313" width="20.77734375" style="5" customWidth="1"/>
    <col min="13314" max="13314" width="22.21875" style="5" customWidth="1"/>
    <col min="13315" max="13315" width="0" style="5" hidden="1" customWidth="1"/>
    <col min="13316" max="13316" width="15.44140625" style="5" customWidth="1"/>
    <col min="13317" max="13317" width="16.5546875" style="5" customWidth="1"/>
    <col min="13318" max="13319" width="14" style="5" customWidth="1"/>
    <col min="13320" max="13321" width="17.5546875" style="5" customWidth="1"/>
    <col min="13322" max="13322" width="16.44140625" style="5" customWidth="1"/>
    <col min="13323" max="13323" width="16.5546875" style="5" customWidth="1"/>
    <col min="13324" max="13324" width="15" style="5" customWidth="1"/>
    <col min="13325" max="13325" width="15.21875" style="5" customWidth="1"/>
    <col min="13326" max="13337" width="0" style="5" hidden="1" customWidth="1"/>
    <col min="13338" max="13562" width="9.21875" style="5" customWidth="1"/>
    <col min="13563" max="13564" width="11" style="5" bestFit="1" customWidth="1"/>
    <col min="13565" max="13565" width="19.44140625" style="5" customWidth="1"/>
    <col min="13566" max="13566" width="14" style="5" customWidth="1"/>
    <col min="13567" max="13567" width="0" style="5" hidden="1" customWidth="1"/>
    <col min="13568" max="13568" width="19.5546875" style="5" customWidth="1"/>
    <col min="13569" max="13569" width="20.77734375" style="5" customWidth="1"/>
    <col min="13570" max="13570" width="22.21875" style="5" customWidth="1"/>
    <col min="13571" max="13571" width="0" style="5" hidden="1" customWidth="1"/>
    <col min="13572" max="13572" width="15.44140625" style="5" customWidth="1"/>
    <col min="13573" max="13573" width="16.5546875" style="5" customWidth="1"/>
    <col min="13574" max="13575" width="14" style="5" customWidth="1"/>
    <col min="13576" max="13577" width="17.5546875" style="5" customWidth="1"/>
    <col min="13578" max="13578" width="16.44140625" style="5" customWidth="1"/>
    <col min="13579" max="13579" width="16.5546875" style="5" customWidth="1"/>
    <col min="13580" max="13580" width="15" style="5" customWidth="1"/>
    <col min="13581" max="13581" width="15.21875" style="5" customWidth="1"/>
    <col min="13582" max="13593" width="0" style="5" hidden="1" customWidth="1"/>
    <col min="13594" max="13818" width="9.21875" style="5" customWidth="1"/>
    <col min="13819" max="13820" width="11" style="5" bestFit="1" customWidth="1"/>
    <col min="13821" max="13821" width="19.44140625" style="5" customWidth="1"/>
    <col min="13822" max="13822" width="14" style="5" customWidth="1"/>
    <col min="13823" max="13823" width="0" style="5" hidden="1" customWidth="1"/>
    <col min="13824" max="13824" width="19.5546875" style="5" customWidth="1"/>
    <col min="13825" max="13825" width="20.77734375" style="5" customWidth="1"/>
    <col min="13826" max="13826" width="22.21875" style="5" customWidth="1"/>
    <col min="13827" max="13827" width="0" style="5" hidden="1" customWidth="1"/>
    <col min="13828" max="13828" width="15.44140625" style="5" customWidth="1"/>
    <col min="13829" max="13829" width="16.5546875" style="5" customWidth="1"/>
    <col min="13830" max="13831" width="14" style="5" customWidth="1"/>
    <col min="13832" max="13833" width="17.5546875" style="5" customWidth="1"/>
    <col min="13834" max="13834" width="16.44140625" style="5" customWidth="1"/>
    <col min="13835" max="13835" width="16.5546875" style="5" customWidth="1"/>
    <col min="13836" max="13836" width="15" style="5" customWidth="1"/>
    <col min="13837" max="13837" width="15.21875" style="5" customWidth="1"/>
    <col min="13838" max="13849" width="0" style="5" hidden="1" customWidth="1"/>
    <col min="13850" max="14074" width="9.21875" style="5" customWidth="1"/>
    <col min="14075" max="14076" width="11" style="5" bestFit="1" customWidth="1"/>
    <col min="14077" max="14077" width="19.44140625" style="5" customWidth="1"/>
    <col min="14078" max="14078" width="14" style="5" customWidth="1"/>
    <col min="14079" max="14079" width="0" style="5" hidden="1" customWidth="1"/>
    <col min="14080" max="14080" width="19.5546875" style="5" customWidth="1"/>
    <col min="14081" max="14081" width="20.77734375" style="5" customWidth="1"/>
    <col min="14082" max="14082" width="22.21875" style="5" customWidth="1"/>
    <col min="14083" max="14083" width="0" style="5" hidden="1" customWidth="1"/>
    <col min="14084" max="14084" width="15.44140625" style="5" customWidth="1"/>
    <col min="14085" max="14085" width="16.5546875" style="5" customWidth="1"/>
    <col min="14086" max="14087" width="14" style="5" customWidth="1"/>
    <col min="14088" max="14089" width="17.5546875" style="5" customWidth="1"/>
    <col min="14090" max="14090" width="16.44140625" style="5" customWidth="1"/>
    <col min="14091" max="14091" width="16.5546875" style="5" customWidth="1"/>
    <col min="14092" max="14092" width="15" style="5" customWidth="1"/>
    <col min="14093" max="14093" width="15.21875" style="5" customWidth="1"/>
    <col min="14094" max="14105" width="0" style="5" hidden="1" customWidth="1"/>
    <col min="14106" max="14330" width="9.21875" style="5" customWidth="1"/>
    <col min="14331" max="14332" width="11" style="5" bestFit="1" customWidth="1"/>
    <col min="14333" max="14333" width="19.44140625" style="5" customWidth="1"/>
    <col min="14334" max="14334" width="14" style="5" customWidth="1"/>
    <col min="14335" max="14335" width="0" style="5" hidden="1" customWidth="1"/>
    <col min="14336" max="14336" width="19.5546875" style="5" customWidth="1"/>
    <col min="14337" max="14337" width="20.77734375" style="5" customWidth="1"/>
    <col min="14338" max="14338" width="22.21875" style="5" customWidth="1"/>
    <col min="14339" max="14339" width="0" style="5" hidden="1" customWidth="1"/>
    <col min="14340" max="14340" width="15.44140625" style="5" customWidth="1"/>
    <col min="14341" max="14341" width="16.5546875" style="5" customWidth="1"/>
    <col min="14342" max="14343" width="14" style="5" customWidth="1"/>
    <col min="14344" max="14345" width="17.5546875" style="5" customWidth="1"/>
    <col min="14346" max="14346" width="16.44140625" style="5" customWidth="1"/>
    <col min="14347" max="14347" width="16.5546875" style="5" customWidth="1"/>
    <col min="14348" max="14348" width="15" style="5" customWidth="1"/>
    <col min="14349" max="14349" width="15.21875" style="5" customWidth="1"/>
    <col min="14350" max="14361" width="0" style="5" hidden="1" customWidth="1"/>
    <col min="14362" max="14586" width="9.21875" style="5" customWidth="1"/>
    <col min="14587" max="14588" width="11" style="5" bestFit="1" customWidth="1"/>
    <col min="14589" max="14589" width="19.44140625" style="5" customWidth="1"/>
    <col min="14590" max="14590" width="14" style="5" customWidth="1"/>
    <col min="14591" max="14591" width="0" style="5" hidden="1" customWidth="1"/>
    <col min="14592" max="14592" width="19.5546875" style="5" customWidth="1"/>
    <col min="14593" max="14593" width="20.77734375" style="5" customWidth="1"/>
    <col min="14594" max="14594" width="22.21875" style="5" customWidth="1"/>
    <col min="14595" max="14595" width="0" style="5" hidden="1" customWidth="1"/>
    <col min="14596" max="14596" width="15.44140625" style="5" customWidth="1"/>
    <col min="14597" max="14597" width="16.5546875" style="5" customWidth="1"/>
    <col min="14598" max="14599" width="14" style="5" customWidth="1"/>
    <col min="14600" max="14601" width="17.5546875" style="5" customWidth="1"/>
    <col min="14602" max="14602" width="16.44140625" style="5" customWidth="1"/>
    <col min="14603" max="14603" width="16.5546875" style="5" customWidth="1"/>
    <col min="14604" max="14604" width="15" style="5" customWidth="1"/>
    <col min="14605" max="14605" width="15.21875" style="5" customWidth="1"/>
    <col min="14606" max="14617" width="0" style="5" hidden="1" customWidth="1"/>
    <col min="14618" max="14842" width="9.21875" style="5" customWidth="1"/>
    <col min="14843" max="14844" width="11" style="5" bestFit="1" customWidth="1"/>
    <col min="14845" max="14845" width="19.44140625" style="5" customWidth="1"/>
    <col min="14846" max="14846" width="14" style="5" customWidth="1"/>
    <col min="14847" max="14847" width="0" style="5" hidden="1" customWidth="1"/>
    <col min="14848" max="14848" width="19.5546875" style="5" customWidth="1"/>
    <col min="14849" max="14849" width="20.77734375" style="5" customWidth="1"/>
    <col min="14850" max="14850" width="22.21875" style="5" customWidth="1"/>
    <col min="14851" max="14851" width="0" style="5" hidden="1" customWidth="1"/>
    <col min="14852" max="14852" width="15.44140625" style="5" customWidth="1"/>
    <col min="14853" max="14853" width="16.5546875" style="5" customWidth="1"/>
    <col min="14854" max="14855" width="14" style="5" customWidth="1"/>
    <col min="14856" max="14857" width="17.5546875" style="5" customWidth="1"/>
    <col min="14858" max="14858" width="16.44140625" style="5" customWidth="1"/>
    <col min="14859" max="14859" width="16.5546875" style="5" customWidth="1"/>
    <col min="14860" max="14860" width="15" style="5" customWidth="1"/>
    <col min="14861" max="14861" width="15.21875" style="5" customWidth="1"/>
    <col min="14862" max="14873" width="0" style="5" hidden="1" customWidth="1"/>
    <col min="14874" max="15098" width="9.21875" style="5" customWidth="1"/>
    <col min="15099" max="15100" width="11" style="5" bestFit="1" customWidth="1"/>
    <col min="15101" max="15101" width="19.44140625" style="5" customWidth="1"/>
    <col min="15102" max="15102" width="14" style="5" customWidth="1"/>
    <col min="15103" max="15103" width="0" style="5" hidden="1" customWidth="1"/>
    <col min="15104" max="15104" width="19.5546875" style="5" customWidth="1"/>
    <col min="15105" max="15105" width="20.77734375" style="5" customWidth="1"/>
    <col min="15106" max="15106" width="22.21875" style="5" customWidth="1"/>
    <col min="15107" max="15107" width="0" style="5" hidden="1" customWidth="1"/>
    <col min="15108" max="15108" width="15.44140625" style="5" customWidth="1"/>
    <col min="15109" max="15109" width="16.5546875" style="5" customWidth="1"/>
    <col min="15110" max="15111" width="14" style="5" customWidth="1"/>
    <col min="15112" max="15113" width="17.5546875" style="5" customWidth="1"/>
    <col min="15114" max="15114" width="16.44140625" style="5" customWidth="1"/>
    <col min="15115" max="15115" width="16.5546875" style="5" customWidth="1"/>
    <col min="15116" max="15116" width="15" style="5" customWidth="1"/>
    <col min="15117" max="15117" width="15.21875" style="5" customWidth="1"/>
    <col min="15118" max="15129" width="0" style="5" hidden="1" customWidth="1"/>
    <col min="15130" max="15354" width="9.21875" style="5" customWidth="1"/>
    <col min="15355" max="15356" width="11" style="5" bestFit="1" customWidth="1"/>
    <col min="15357" max="15357" width="19.44140625" style="5" customWidth="1"/>
    <col min="15358" max="15358" width="14" style="5" customWidth="1"/>
    <col min="15359" max="15359" width="0" style="5" hidden="1" customWidth="1"/>
    <col min="15360" max="15360" width="19.5546875" style="5" customWidth="1"/>
    <col min="15361" max="15361" width="20.77734375" style="5" customWidth="1"/>
    <col min="15362" max="15362" width="22.21875" style="5" customWidth="1"/>
    <col min="15363" max="15363" width="0" style="5" hidden="1" customWidth="1"/>
    <col min="15364" max="15364" width="15.44140625" style="5" customWidth="1"/>
    <col min="15365" max="15365" width="16.5546875" style="5" customWidth="1"/>
    <col min="15366" max="15367" width="14" style="5" customWidth="1"/>
    <col min="15368" max="15369" width="17.5546875" style="5" customWidth="1"/>
    <col min="15370" max="15370" width="16.44140625" style="5" customWidth="1"/>
    <col min="15371" max="15371" width="16.5546875" style="5" customWidth="1"/>
    <col min="15372" max="15372" width="15" style="5" customWidth="1"/>
    <col min="15373" max="15373" width="15.21875" style="5" customWidth="1"/>
    <col min="15374" max="15385" width="0" style="5" hidden="1" customWidth="1"/>
    <col min="15386" max="15610" width="9.21875" style="5" customWidth="1"/>
    <col min="15611" max="15612" width="11" style="5" bestFit="1" customWidth="1"/>
    <col min="15613" max="15613" width="19.44140625" style="5" customWidth="1"/>
    <col min="15614" max="15614" width="14" style="5" customWidth="1"/>
    <col min="15615" max="15615" width="0" style="5" hidden="1" customWidth="1"/>
    <col min="15616" max="15616" width="19.5546875" style="5" customWidth="1"/>
    <col min="15617" max="15617" width="20.77734375" style="5" customWidth="1"/>
    <col min="15618" max="15618" width="22.21875" style="5" customWidth="1"/>
    <col min="15619" max="15619" width="0" style="5" hidden="1" customWidth="1"/>
    <col min="15620" max="15620" width="15.44140625" style="5" customWidth="1"/>
    <col min="15621" max="15621" width="16.5546875" style="5" customWidth="1"/>
    <col min="15622" max="15623" width="14" style="5" customWidth="1"/>
    <col min="15624" max="15625" width="17.5546875" style="5" customWidth="1"/>
    <col min="15626" max="15626" width="16.44140625" style="5" customWidth="1"/>
    <col min="15627" max="15627" width="16.5546875" style="5" customWidth="1"/>
    <col min="15628" max="15628" width="15" style="5" customWidth="1"/>
    <col min="15629" max="15629" width="15.21875" style="5" customWidth="1"/>
    <col min="15630" max="15641" width="0" style="5" hidden="1" customWidth="1"/>
    <col min="15642" max="15866" width="9.21875" style="5" customWidth="1"/>
    <col min="15867" max="15868" width="11" style="5" bestFit="1" customWidth="1"/>
    <col min="15869" max="15869" width="19.44140625" style="5" customWidth="1"/>
    <col min="15870" max="15870" width="14" style="5" customWidth="1"/>
    <col min="15871" max="15871" width="0" style="5" hidden="1" customWidth="1"/>
    <col min="15872" max="15872" width="19.5546875" style="5" customWidth="1"/>
    <col min="15873" max="15873" width="20.77734375" style="5" customWidth="1"/>
    <col min="15874" max="15874" width="22.21875" style="5" customWidth="1"/>
    <col min="15875" max="15875" width="0" style="5" hidden="1" customWidth="1"/>
    <col min="15876" max="15876" width="15.44140625" style="5" customWidth="1"/>
    <col min="15877" max="15877" width="16.5546875" style="5" customWidth="1"/>
    <col min="15878" max="15879" width="14" style="5" customWidth="1"/>
    <col min="15880" max="15881" width="17.5546875" style="5" customWidth="1"/>
    <col min="15882" max="15882" width="16.44140625" style="5" customWidth="1"/>
    <col min="15883" max="15883" width="16.5546875" style="5" customWidth="1"/>
    <col min="15884" max="15884" width="15" style="5" customWidth="1"/>
    <col min="15885" max="15885" width="15.21875" style="5" customWidth="1"/>
    <col min="15886" max="15897" width="0" style="5" hidden="1" customWidth="1"/>
    <col min="15898" max="16122" width="9.21875" style="5" customWidth="1"/>
    <col min="16123" max="16124" width="11" style="5" bestFit="1" customWidth="1"/>
    <col min="16125" max="16125" width="19.44140625" style="5" customWidth="1"/>
    <col min="16126" max="16126" width="14" style="5" customWidth="1"/>
    <col min="16127" max="16127" width="0" style="5" hidden="1" customWidth="1"/>
    <col min="16128" max="16128" width="19.5546875" style="5" customWidth="1"/>
    <col min="16129" max="16129" width="20.77734375" style="5" customWidth="1"/>
    <col min="16130" max="16130" width="22.21875" style="5" customWidth="1"/>
    <col min="16131" max="16131" width="0" style="5" hidden="1" customWidth="1"/>
    <col min="16132" max="16132" width="15.44140625" style="5" customWidth="1"/>
    <col min="16133" max="16133" width="16.5546875" style="5" customWidth="1"/>
    <col min="16134" max="16135" width="14" style="5" customWidth="1"/>
    <col min="16136" max="16137" width="17.5546875" style="5" customWidth="1"/>
    <col min="16138" max="16138" width="16.44140625" style="5" customWidth="1"/>
    <col min="16139" max="16139" width="16.5546875" style="5" customWidth="1"/>
    <col min="16140" max="16140" width="15" style="5" customWidth="1"/>
    <col min="16141" max="16141" width="15.21875" style="5" customWidth="1"/>
    <col min="16142" max="16153" width="0" style="5" hidden="1" customWidth="1"/>
    <col min="16154" max="16378" width="9.21875" style="5" customWidth="1"/>
    <col min="16379" max="16384" width="8.88671875" style="5"/>
  </cols>
  <sheetData>
    <row r="1" spans="1:22" ht="12.6" thickBot="1" x14ac:dyDescent="0.3">
      <c r="A1" s="1"/>
      <c r="B1" s="2"/>
      <c r="C1" s="2"/>
      <c r="D1" s="2"/>
      <c r="E1" s="2"/>
      <c r="F1" s="2"/>
      <c r="G1" s="2"/>
      <c r="H1" s="2"/>
      <c r="I1" s="2"/>
      <c r="J1" s="2"/>
      <c r="K1" s="3"/>
      <c r="L1" s="2"/>
      <c r="M1" s="2"/>
      <c r="N1" s="2"/>
      <c r="O1" s="2"/>
      <c r="P1" s="2"/>
      <c r="Q1" s="4"/>
    </row>
    <row r="2" spans="1:22" x14ac:dyDescent="0.25">
      <c r="A2" s="6"/>
      <c r="B2" s="7"/>
      <c r="C2" s="7"/>
      <c r="D2" s="7"/>
      <c r="E2" s="7"/>
      <c r="F2" s="8"/>
      <c r="G2" s="8"/>
      <c r="H2" s="6" t="s">
        <v>0</v>
      </c>
      <c r="I2" s="8"/>
      <c r="J2" s="8"/>
      <c r="K2" s="9"/>
      <c r="L2" s="6" t="s">
        <v>1</v>
      </c>
      <c r="M2" s="10">
        <v>100</v>
      </c>
      <c r="N2" s="6" t="s">
        <v>2</v>
      </c>
      <c r="O2" s="8"/>
      <c r="P2" s="8"/>
      <c r="Q2" s="11">
        <v>100</v>
      </c>
    </row>
    <row r="3" spans="1:22" x14ac:dyDescent="0.25">
      <c r="A3" s="12"/>
      <c r="B3" s="13"/>
      <c r="C3" s="13"/>
      <c r="D3" s="13"/>
      <c r="E3" s="13"/>
      <c r="F3" s="9"/>
      <c r="G3" s="9"/>
      <c r="H3" s="14" t="s">
        <v>3</v>
      </c>
      <c r="I3" s="9"/>
      <c r="J3" s="9"/>
      <c r="K3" s="9"/>
      <c r="L3" s="14" t="s">
        <v>4</v>
      </c>
      <c r="M3" s="15" t="s">
        <v>5</v>
      </c>
      <c r="N3" s="12" t="s">
        <v>6</v>
      </c>
      <c r="O3" s="9"/>
      <c r="P3" s="9"/>
      <c r="Q3" s="16"/>
      <c r="R3" s="9"/>
      <c r="S3" s="13"/>
      <c r="T3" s="17"/>
      <c r="U3" s="9"/>
    </row>
    <row r="4" spans="1:22" x14ac:dyDescent="0.25">
      <c r="A4" s="12"/>
      <c r="B4" s="13"/>
      <c r="C4" s="13"/>
      <c r="D4" s="13"/>
      <c r="E4" s="13"/>
      <c r="F4" s="9"/>
      <c r="G4" s="9"/>
      <c r="H4" s="14" t="s">
        <v>7</v>
      </c>
      <c r="I4" s="9"/>
      <c r="J4" s="9"/>
      <c r="K4" s="18">
        <v>30</v>
      </c>
      <c r="L4" s="14" t="s">
        <v>8</v>
      </c>
      <c r="M4" s="15" t="s">
        <v>9</v>
      </c>
      <c r="N4" s="12" t="s">
        <v>10</v>
      </c>
      <c r="O4" s="9"/>
      <c r="P4" s="9"/>
      <c r="Q4" s="16"/>
      <c r="R4" s="9"/>
      <c r="S4" s="13"/>
      <c r="T4" s="9"/>
      <c r="U4" s="9"/>
    </row>
    <row r="5" spans="1:22" ht="12.6" thickBot="1" x14ac:dyDescent="0.3">
      <c r="A5" s="19"/>
      <c r="B5" s="20"/>
      <c r="C5" s="20"/>
      <c r="D5" s="20"/>
      <c r="E5" s="20"/>
      <c r="F5" s="21"/>
      <c r="G5" s="21"/>
      <c r="H5" s="22" t="s">
        <v>11</v>
      </c>
      <c r="I5" s="21"/>
      <c r="J5" s="23">
        <v>25.3126</v>
      </c>
      <c r="K5" s="23"/>
      <c r="L5" s="156" t="s">
        <v>12</v>
      </c>
      <c r="M5" s="157"/>
      <c r="N5" s="24" t="s">
        <v>13</v>
      </c>
      <c r="O5" s="25"/>
      <c r="P5" s="25"/>
      <c r="Q5" s="26"/>
      <c r="S5" s="9"/>
      <c r="T5" s="27"/>
      <c r="U5" s="9"/>
      <c r="V5" s="9"/>
    </row>
    <row r="6" spans="1:22" ht="12.6" x14ac:dyDescent="0.3">
      <c r="A6" s="146"/>
      <c r="B6" s="148"/>
      <c r="C6" s="148"/>
      <c r="D6" s="148"/>
      <c r="E6" s="148"/>
      <c r="F6" s="148"/>
      <c r="G6" s="148"/>
      <c r="H6" s="148"/>
      <c r="I6" s="148"/>
      <c r="J6" s="148"/>
      <c r="K6" s="148"/>
      <c r="L6" s="148"/>
      <c r="M6" s="148"/>
      <c r="N6" s="148"/>
      <c r="O6" s="148"/>
      <c r="P6" s="148"/>
      <c r="Q6" s="149"/>
      <c r="S6" s="28"/>
      <c r="T6" s="13"/>
      <c r="U6" s="9"/>
      <c r="V6" s="9"/>
    </row>
    <row r="7" spans="1:22" s="35" customFormat="1" ht="28.05" customHeight="1" x14ac:dyDescent="0.25">
      <c r="A7" s="29" t="s">
        <v>14</v>
      </c>
      <c r="B7" s="30" t="s">
        <v>15</v>
      </c>
      <c r="C7" s="30" t="s">
        <v>16</v>
      </c>
      <c r="D7" s="30" t="s">
        <v>17</v>
      </c>
      <c r="E7" s="30" t="s">
        <v>18</v>
      </c>
      <c r="F7" s="31" t="s">
        <v>19</v>
      </c>
      <c r="G7" s="32" t="s">
        <v>20</v>
      </c>
      <c r="H7" s="32" t="s">
        <v>21</v>
      </c>
      <c r="I7" s="32" t="s">
        <v>22</v>
      </c>
      <c r="J7" s="32" t="s">
        <v>23</v>
      </c>
      <c r="K7" s="32" t="s">
        <v>24</v>
      </c>
      <c r="L7" s="33" t="s">
        <v>25</v>
      </c>
      <c r="M7" s="33" t="s">
        <v>26</v>
      </c>
      <c r="N7" s="32" t="s">
        <v>27</v>
      </c>
      <c r="O7" s="32" t="s">
        <v>28</v>
      </c>
      <c r="P7" s="33" t="s">
        <v>29</v>
      </c>
      <c r="Q7" s="34" t="s">
        <v>30</v>
      </c>
      <c r="R7" s="33" t="s">
        <v>31</v>
      </c>
      <c r="S7" s="33" t="s">
        <v>32</v>
      </c>
    </row>
    <row r="8" spans="1:22" s="35" customFormat="1" ht="28.05" hidden="1" customHeight="1" x14ac:dyDescent="0.25">
      <c r="A8" s="29"/>
      <c r="B8" s="30"/>
      <c r="C8" s="30"/>
      <c r="D8" s="30"/>
      <c r="E8" s="30"/>
      <c r="F8" s="31"/>
      <c r="G8" s="32"/>
      <c r="H8" s="32"/>
      <c r="I8" s="32"/>
      <c r="J8" s="32"/>
      <c r="K8" s="32"/>
      <c r="L8" s="33"/>
      <c r="M8" s="33"/>
      <c r="N8" s="32"/>
      <c r="O8" s="32"/>
      <c r="P8" s="33"/>
      <c r="Q8" s="34"/>
      <c r="R8" s="33"/>
      <c r="S8" s="33"/>
    </row>
    <row r="9" spans="1:22" s="35" customFormat="1" ht="28.05" hidden="1" customHeight="1" x14ac:dyDescent="0.25">
      <c r="A9" s="29"/>
      <c r="B9" s="30"/>
      <c r="C9" s="30"/>
      <c r="D9" s="30"/>
      <c r="E9" s="30"/>
      <c r="F9" s="31"/>
      <c r="G9" s="32"/>
      <c r="H9" s="32"/>
      <c r="I9" s="32"/>
      <c r="J9" s="32"/>
      <c r="K9" s="32"/>
      <c r="L9" s="33"/>
      <c r="M9" s="33"/>
      <c r="N9" s="32"/>
      <c r="O9" s="32"/>
      <c r="P9" s="33"/>
      <c r="Q9" s="34"/>
      <c r="R9" s="33"/>
      <c r="S9" s="33"/>
    </row>
    <row r="10" spans="1:22" ht="14.55" customHeight="1" x14ac:dyDescent="0.3">
      <c r="A10" s="36" t="s">
        <v>33</v>
      </c>
      <c r="B10" s="37" t="s">
        <v>34</v>
      </c>
      <c r="C10" s="38">
        <v>124748059</v>
      </c>
      <c r="D10" s="39">
        <f t="shared" ref="D10:D30" si="0">C10*J10</f>
        <v>67024865.181767173</v>
      </c>
      <c r="E10" s="40">
        <f t="shared" ref="E10:E30" si="1">C10*K10</f>
        <v>56552453.413333334</v>
      </c>
      <c r="F10" s="41" t="s">
        <v>35</v>
      </c>
      <c r="G10" s="42">
        <v>8.9894999999999996</v>
      </c>
      <c r="H10" s="43">
        <v>13.449200000000001</v>
      </c>
      <c r="I10" s="43">
        <v>13.6</v>
      </c>
      <c r="J10" s="44">
        <f>(I10/$J$5)</f>
        <v>0.53728182802240776</v>
      </c>
      <c r="K10" s="45">
        <f t="shared" ref="K10:K30" si="2">I10/$K$4</f>
        <v>0.45333333333333331</v>
      </c>
      <c r="L10" s="46">
        <f t="shared" ref="L10:L30" si="3">I10-H10</f>
        <v>0.15079999999999849</v>
      </c>
      <c r="M10" s="46">
        <f t="shared" ref="M10:M30" si="4">((I10-H10)/H10)*100</f>
        <v>1.1212562829015738</v>
      </c>
      <c r="N10" s="47">
        <v>200</v>
      </c>
      <c r="O10" s="38">
        <v>2720</v>
      </c>
      <c r="P10" s="48">
        <f t="shared" ref="P10:P30" si="5">(R10)/J10</f>
        <v>1.8612205882352944E-2</v>
      </c>
      <c r="Q10" s="49">
        <f t="shared" ref="Q10:Q30" si="6">I10/G10-1</f>
        <v>0.51287613326658876</v>
      </c>
      <c r="R10" s="50">
        <v>0.01</v>
      </c>
      <c r="T10" s="51"/>
      <c r="U10" s="51"/>
    </row>
    <row r="11" spans="1:22" ht="14.4" customHeight="1" x14ac:dyDescent="0.3">
      <c r="A11" s="36" t="s">
        <v>36</v>
      </c>
      <c r="B11" s="37" t="s">
        <v>37</v>
      </c>
      <c r="C11" s="38">
        <v>1627395595</v>
      </c>
      <c r="D11" s="39">
        <f t="shared" si="0"/>
        <v>2184703.6540574655</v>
      </c>
      <c r="E11" s="40">
        <f t="shared" si="1"/>
        <v>1843350.9904564999</v>
      </c>
      <c r="F11" s="41" t="s">
        <v>35</v>
      </c>
      <c r="G11" s="42">
        <v>3.1600000000000003E-2</v>
      </c>
      <c r="H11" s="43">
        <v>3.4000000000000002E-2</v>
      </c>
      <c r="I11" s="43">
        <v>3.3980999999999997E-2</v>
      </c>
      <c r="J11" s="44">
        <f t="shared" ref="J11:J30" si="7">I11/$J$5</f>
        <v>1.3424539557374588E-3</v>
      </c>
      <c r="K11" s="45">
        <f t="shared" si="2"/>
        <v>1.1326999999999999E-3</v>
      </c>
      <c r="L11" s="46">
        <f t="shared" si="3"/>
        <v>-1.9000000000005124E-5</v>
      </c>
      <c r="M11" s="46">
        <f t="shared" si="4"/>
        <v>-5.5882352941191545E-2</v>
      </c>
      <c r="N11" s="47">
        <v>5300</v>
      </c>
      <c r="O11" s="38">
        <v>180.1</v>
      </c>
      <c r="P11" s="41">
        <f t="shared" si="5"/>
        <v>0</v>
      </c>
      <c r="Q11" s="49">
        <f t="shared" si="6"/>
        <v>7.5348101265822587E-2</v>
      </c>
      <c r="R11" s="50">
        <v>0</v>
      </c>
      <c r="T11" s="52" t="s">
        <v>38</v>
      </c>
      <c r="U11" s="52" t="s">
        <v>39</v>
      </c>
    </row>
    <row r="12" spans="1:22" ht="14.4" customHeight="1" x14ac:dyDescent="0.3">
      <c r="A12" s="36" t="s">
        <v>40</v>
      </c>
      <c r="B12" s="37" t="s">
        <v>41</v>
      </c>
      <c r="C12" s="38">
        <v>436977359</v>
      </c>
      <c r="D12" s="39">
        <f t="shared" si="0"/>
        <v>4272650.6306147929</v>
      </c>
      <c r="E12" s="40">
        <f t="shared" si="1"/>
        <v>3605063.2117500002</v>
      </c>
      <c r="F12" s="41" t="s">
        <v>42</v>
      </c>
      <c r="G12" s="42">
        <v>7.8E-2</v>
      </c>
      <c r="H12" s="43">
        <v>0.2475</v>
      </c>
      <c r="I12" s="43">
        <v>0.2475</v>
      </c>
      <c r="J12" s="44">
        <f t="shared" si="7"/>
        <v>9.7777391496724955E-3</v>
      </c>
      <c r="K12" s="45">
        <f t="shared" si="2"/>
        <v>8.2500000000000004E-3</v>
      </c>
      <c r="L12" s="46">
        <f t="shared" si="3"/>
        <v>0</v>
      </c>
      <c r="M12" s="46">
        <f t="shared" si="4"/>
        <v>0</v>
      </c>
      <c r="N12" s="47">
        <v>11700</v>
      </c>
      <c r="O12" s="38">
        <v>2895.75</v>
      </c>
      <c r="P12" s="41">
        <f t="shared" si="5"/>
        <v>0</v>
      </c>
      <c r="Q12" s="49">
        <f t="shared" si="6"/>
        <v>2.1730769230769229</v>
      </c>
      <c r="R12" s="50">
        <v>0</v>
      </c>
      <c r="T12" s="53" t="s">
        <v>43</v>
      </c>
      <c r="U12" s="54">
        <v>0.01</v>
      </c>
    </row>
    <row r="13" spans="1:22" ht="14.4" customHeight="1" x14ac:dyDescent="0.3">
      <c r="A13" s="36" t="s">
        <v>44</v>
      </c>
      <c r="B13" s="37" t="s">
        <v>45</v>
      </c>
      <c r="C13" s="38">
        <v>20633517</v>
      </c>
      <c r="D13" s="39">
        <f t="shared" si="0"/>
        <v>174033457.25655732</v>
      </c>
      <c r="E13" s="40">
        <f t="shared" si="1"/>
        <v>146841309.67174441</v>
      </c>
      <c r="F13" s="41" t="s">
        <v>35</v>
      </c>
      <c r="G13" s="42">
        <v>97.381</v>
      </c>
      <c r="H13" s="43">
        <v>213.49919999999997</v>
      </c>
      <c r="I13" s="43">
        <v>213.49919600000001</v>
      </c>
      <c r="J13" s="44">
        <f t="shared" si="7"/>
        <v>8.4345028167789966</v>
      </c>
      <c r="K13" s="45">
        <f t="shared" si="2"/>
        <v>7.1166398666666675</v>
      </c>
      <c r="L13" s="46">
        <f t="shared" si="3"/>
        <v>-3.9999999614792614E-6</v>
      </c>
      <c r="M13" s="46">
        <f t="shared" si="4"/>
        <v>-1.8735433020260788E-6</v>
      </c>
      <c r="N13" s="47">
        <v>0</v>
      </c>
      <c r="O13" s="38">
        <v>0</v>
      </c>
      <c r="P13" s="55">
        <f t="shared" si="5"/>
        <v>0</v>
      </c>
      <c r="Q13" s="49">
        <f t="shared" si="6"/>
        <v>1.1924112095788706</v>
      </c>
      <c r="R13" s="50">
        <v>0</v>
      </c>
      <c r="T13" s="53" t="s">
        <v>46</v>
      </c>
      <c r="U13" s="54">
        <v>0.4</v>
      </c>
    </row>
    <row r="14" spans="1:22" ht="14.55" customHeight="1" x14ac:dyDescent="0.3">
      <c r="A14" s="36" t="s">
        <v>47</v>
      </c>
      <c r="B14" s="37" t="s">
        <v>48</v>
      </c>
      <c r="C14" s="38">
        <v>8735108</v>
      </c>
      <c r="D14" s="39">
        <f t="shared" si="0"/>
        <v>4486161.2003508136</v>
      </c>
      <c r="E14" s="40">
        <f t="shared" si="1"/>
        <v>3785213.4666666668</v>
      </c>
      <c r="F14" s="41" t="s">
        <v>49</v>
      </c>
      <c r="G14" s="42">
        <v>13.6</v>
      </c>
      <c r="H14" s="43">
        <v>13</v>
      </c>
      <c r="I14" s="43">
        <v>13</v>
      </c>
      <c r="J14" s="44">
        <f t="shared" si="7"/>
        <v>0.51357821796259573</v>
      </c>
      <c r="K14" s="45">
        <f t="shared" si="2"/>
        <v>0.43333333333333335</v>
      </c>
      <c r="L14" s="46">
        <f t="shared" si="3"/>
        <v>0</v>
      </c>
      <c r="M14" s="46">
        <f t="shared" si="4"/>
        <v>0</v>
      </c>
      <c r="N14" s="47">
        <v>0</v>
      </c>
      <c r="O14" s="38">
        <v>0</v>
      </c>
      <c r="P14" s="55">
        <f t="shared" si="5"/>
        <v>0</v>
      </c>
      <c r="Q14" s="49">
        <f t="shared" si="6"/>
        <v>-4.4117647058823484E-2</v>
      </c>
      <c r="R14" s="50">
        <v>0</v>
      </c>
      <c r="T14" s="53" t="s">
        <v>50</v>
      </c>
      <c r="U14" s="54">
        <f>3.3/100</f>
        <v>3.3000000000000002E-2</v>
      </c>
    </row>
    <row r="15" spans="1:22" ht="14.4" customHeight="1" x14ac:dyDescent="0.3">
      <c r="A15" s="36" t="s">
        <v>51</v>
      </c>
      <c r="B15" s="37" t="s">
        <v>52</v>
      </c>
      <c r="C15" s="38">
        <v>522661465</v>
      </c>
      <c r="D15" s="39">
        <f t="shared" si="0"/>
        <v>328307534.33072859</v>
      </c>
      <c r="E15" s="40">
        <f t="shared" si="1"/>
        <v>277010576.44999999</v>
      </c>
      <c r="F15" s="41" t="s">
        <v>53</v>
      </c>
      <c r="G15" s="42">
        <v>11.5</v>
      </c>
      <c r="H15" s="43">
        <v>14.046500000000002</v>
      </c>
      <c r="I15" s="43">
        <v>15.9</v>
      </c>
      <c r="J15" s="44">
        <f t="shared" si="7"/>
        <v>0.62814566658502091</v>
      </c>
      <c r="K15" s="45">
        <f t="shared" si="2"/>
        <v>0.53</v>
      </c>
      <c r="L15" s="46">
        <f t="shared" si="3"/>
        <v>1.8534999999999986</v>
      </c>
      <c r="M15" s="46">
        <f t="shared" si="4"/>
        <v>13.195457943259875</v>
      </c>
      <c r="N15" s="47">
        <v>200</v>
      </c>
      <c r="O15" s="38">
        <v>3180</v>
      </c>
      <c r="P15" s="48">
        <f t="shared" si="5"/>
        <v>1.2735899371069183E-2</v>
      </c>
      <c r="Q15" s="49">
        <f t="shared" si="6"/>
        <v>0.38260869565217392</v>
      </c>
      <c r="R15" s="50">
        <v>8.0000000000000002E-3</v>
      </c>
      <c r="T15" s="53" t="s">
        <v>54</v>
      </c>
      <c r="U15" s="54">
        <f>((0.63+0.6)/100)*2</f>
        <v>2.46E-2</v>
      </c>
      <c r="V15" s="56"/>
    </row>
    <row r="16" spans="1:22" ht="14.4" customHeight="1" x14ac:dyDescent="0.3">
      <c r="A16" s="36" t="s">
        <v>55</v>
      </c>
      <c r="B16" s="37" t="s">
        <v>56</v>
      </c>
      <c r="C16" s="38">
        <v>106040875</v>
      </c>
      <c r="D16" s="39">
        <f t="shared" si="0"/>
        <v>25931473.505289856</v>
      </c>
      <c r="E16" s="40">
        <f t="shared" si="1"/>
        <v>21879767.208333336</v>
      </c>
      <c r="F16" s="41" t="s">
        <v>35</v>
      </c>
      <c r="G16" s="42">
        <v>5.39</v>
      </c>
      <c r="H16" s="43">
        <v>6.19</v>
      </c>
      <c r="I16" s="43">
        <v>6.19</v>
      </c>
      <c r="J16" s="44">
        <f t="shared" si="7"/>
        <v>0.24454224378372827</v>
      </c>
      <c r="K16" s="45">
        <f t="shared" si="2"/>
        <v>0.20633333333333334</v>
      </c>
      <c r="L16" s="46">
        <f t="shared" si="3"/>
        <v>0</v>
      </c>
      <c r="M16" s="46">
        <f t="shared" si="4"/>
        <v>0</v>
      </c>
      <c r="N16" s="47">
        <v>0</v>
      </c>
      <c r="O16" s="38">
        <v>0</v>
      </c>
      <c r="P16" s="41">
        <f t="shared" si="5"/>
        <v>0</v>
      </c>
      <c r="Q16" s="49">
        <f t="shared" si="6"/>
        <v>0.14842300556586285</v>
      </c>
      <c r="R16" s="50">
        <v>0</v>
      </c>
      <c r="T16" s="53" t="s">
        <v>57</v>
      </c>
      <c r="U16" s="54">
        <v>0.32</v>
      </c>
    </row>
    <row r="17" spans="1:25" ht="14.4" customHeight="1" x14ac:dyDescent="0.3">
      <c r="A17" s="36" t="s">
        <v>58</v>
      </c>
      <c r="B17" s="37" t="s">
        <v>59</v>
      </c>
      <c r="C17" s="38">
        <v>358000858</v>
      </c>
      <c r="D17" s="39">
        <f t="shared" si="0"/>
        <v>38893766.720921598</v>
      </c>
      <c r="E17" s="40">
        <f t="shared" si="1"/>
        <v>32816745.316666663</v>
      </c>
      <c r="F17" s="41" t="s">
        <v>35</v>
      </c>
      <c r="G17" s="42">
        <v>1.9</v>
      </c>
      <c r="H17" s="43">
        <v>2.61</v>
      </c>
      <c r="I17" s="43">
        <v>2.75</v>
      </c>
      <c r="J17" s="44">
        <f t="shared" si="7"/>
        <v>0.10864154610747218</v>
      </c>
      <c r="K17" s="45">
        <f t="shared" si="2"/>
        <v>9.166666666666666E-2</v>
      </c>
      <c r="L17" s="46">
        <f t="shared" si="3"/>
        <v>0.14000000000000012</v>
      </c>
      <c r="M17" s="46">
        <f t="shared" si="4"/>
        <v>5.3639846743295072</v>
      </c>
      <c r="N17" s="47">
        <v>300</v>
      </c>
      <c r="O17" s="38">
        <v>825</v>
      </c>
      <c r="P17" s="41">
        <f t="shared" si="5"/>
        <v>0</v>
      </c>
      <c r="Q17" s="49">
        <f t="shared" si="6"/>
        <v>0.44736842105263164</v>
      </c>
      <c r="R17" s="50">
        <v>0</v>
      </c>
      <c r="T17" s="53" t="s">
        <v>60</v>
      </c>
      <c r="U17" s="54">
        <v>0.16400000000000001</v>
      </c>
      <c r="W17" s="57"/>
    </row>
    <row r="18" spans="1:25" ht="14.4" x14ac:dyDescent="0.3">
      <c r="A18" s="36" t="s">
        <v>50</v>
      </c>
      <c r="B18" s="37" t="s">
        <v>61</v>
      </c>
      <c r="C18" s="38">
        <v>1341613815</v>
      </c>
      <c r="D18" s="39">
        <f t="shared" si="0"/>
        <v>1416067694.6374426</v>
      </c>
      <c r="E18" s="40">
        <f t="shared" si="1"/>
        <v>1194811837.5759909</v>
      </c>
      <c r="F18" s="41" t="s">
        <v>35</v>
      </c>
      <c r="G18" s="42">
        <v>20.701700000000002</v>
      </c>
      <c r="H18" s="43">
        <v>26.1812</v>
      </c>
      <c r="I18" s="43">
        <v>26.717341999999999</v>
      </c>
      <c r="J18" s="44">
        <f t="shared" si="7"/>
        <v>1.0554957610044009</v>
      </c>
      <c r="K18" s="45">
        <f t="shared" si="2"/>
        <v>0.89057806666666661</v>
      </c>
      <c r="L18" s="46">
        <f t="shared" si="3"/>
        <v>0.53614199999999812</v>
      </c>
      <c r="M18" s="46">
        <f t="shared" si="4"/>
        <v>2.0478129344720566</v>
      </c>
      <c r="N18" s="47">
        <v>115300</v>
      </c>
      <c r="O18" s="38">
        <v>3080509.5</v>
      </c>
      <c r="P18" s="48">
        <f t="shared" si="5"/>
        <v>3.7896883604663971E-2</v>
      </c>
      <c r="Q18" s="49">
        <f t="shared" si="6"/>
        <v>0.29058686001632683</v>
      </c>
      <c r="R18" s="50">
        <v>0.04</v>
      </c>
      <c r="T18" s="53" t="s">
        <v>62</v>
      </c>
      <c r="U18" s="54">
        <v>2.3702520000000001E-2</v>
      </c>
      <c r="W18" s="57"/>
    </row>
    <row r="19" spans="1:25" ht="14.4" customHeight="1" x14ac:dyDescent="0.3">
      <c r="A19" s="36" t="s">
        <v>54</v>
      </c>
      <c r="B19" s="37" t="s">
        <v>63</v>
      </c>
      <c r="C19" s="38">
        <v>2992163203</v>
      </c>
      <c r="D19" s="39">
        <f t="shared" si="0"/>
        <v>1182603313.5394218</v>
      </c>
      <c r="E19" s="40">
        <f t="shared" si="1"/>
        <v>997825487.80993211</v>
      </c>
      <c r="F19" s="41" t="s">
        <v>64</v>
      </c>
      <c r="G19" s="42">
        <v>6.1399460000000001</v>
      </c>
      <c r="H19" s="43">
        <v>10.0038</v>
      </c>
      <c r="I19" s="43">
        <v>10.004389</v>
      </c>
      <c r="J19" s="44">
        <f t="shared" si="7"/>
        <v>0.39523355957112266</v>
      </c>
      <c r="K19" s="45">
        <f t="shared" si="2"/>
        <v>0.3334796333333333</v>
      </c>
      <c r="L19" s="46">
        <f t="shared" si="3"/>
        <v>5.8899999999972863E-4</v>
      </c>
      <c r="M19" s="46">
        <f t="shared" si="4"/>
        <v>5.8877626501902137E-3</v>
      </c>
      <c r="N19" s="47">
        <v>65944191</v>
      </c>
      <c r="O19" s="38">
        <v>285491284.12470001</v>
      </c>
      <c r="P19" s="48">
        <f t="shared" si="5"/>
        <v>6.2241678127469856E-2</v>
      </c>
      <c r="Q19" s="49">
        <f t="shared" si="6"/>
        <v>0.62939364613304405</v>
      </c>
      <c r="R19" s="50">
        <v>2.46E-2</v>
      </c>
      <c r="S19" s="56"/>
      <c r="T19" s="53" t="s">
        <v>65</v>
      </c>
      <c r="U19" s="54">
        <v>0</v>
      </c>
      <c r="W19" s="57"/>
    </row>
    <row r="20" spans="1:25" ht="14.4" x14ac:dyDescent="0.3">
      <c r="A20" s="36" t="s">
        <v>66</v>
      </c>
      <c r="B20" s="37" t="s">
        <v>67</v>
      </c>
      <c r="C20" s="38">
        <v>671949927</v>
      </c>
      <c r="D20" s="39">
        <f t="shared" si="0"/>
        <v>265460650.82212019</v>
      </c>
      <c r="E20" s="40">
        <f t="shared" si="1"/>
        <v>223983309</v>
      </c>
      <c r="F20" s="41" t="s">
        <v>53</v>
      </c>
      <c r="G20" s="42">
        <v>12.45</v>
      </c>
      <c r="H20" s="43">
        <v>10</v>
      </c>
      <c r="I20" s="43">
        <v>10</v>
      </c>
      <c r="J20" s="44">
        <f t="shared" si="7"/>
        <v>0.39506016766353513</v>
      </c>
      <c r="K20" s="45">
        <f t="shared" si="2"/>
        <v>0.33333333333333331</v>
      </c>
      <c r="L20" s="46">
        <f t="shared" si="3"/>
        <v>0</v>
      </c>
      <c r="M20" s="46">
        <f t="shared" si="4"/>
        <v>0</v>
      </c>
      <c r="N20" s="47">
        <v>25300</v>
      </c>
      <c r="O20" s="38">
        <v>253000</v>
      </c>
      <c r="P20" s="48">
        <f t="shared" si="5"/>
        <v>1.6200064E-2</v>
      </c>
      <c r="Q20" s="49">
        <f t="shared" si="6"/>
        <v>-0.19678714859437751</v>
      </c>
      <c r="R20" s="50">
        <v>6.4000000000000003E-3</v>
      </c>
      <c r="T20" s="53" t="s">
        <v>68</v>
      </c>
      <c r="U20" s="54">
        <v>1.5</v>
      </c>
      <c r="W20" s="58"/>
    </row>
    <row r="21" spans="1:25" ht="14.4" x14ac:dyDescent="0.3">
      <c r="A21" s="36" t="s">
        <v>69</v>
      </c>
      <c r="B21" s="37" t="s">
        <v>70</v>
      </c>
      <c r="C21" s="38">
        <v>108923291</v>
      </c>
      <c r="D21" s="39">
        <f t="shared" si="0"/>
        <v>2573268.9655744568</v>
      </c>
      <c r="E21" s="40">
        <f t="shared" si="1"/>
        <v>2171204.267266667</v>
      </c>
      <c r="F21" s="41" t="s">
        <v>53</v>
      </c>
      <c r="G21" s="42">
        <v>0.35</v>
      </c>
      <c r="H21" s="43">
        <v>0.52</v>
      </c>
      <c r="I21" s="43">
        <v>0.59799999999999998</v>
      </c>
      <c r="J21" s="44">
        <f t="shared" si="7"/>
        <v>2.3624598026279402E-2</v>
      </c>
      <c r="K21" s="45">
        <f t="shared" si="2"/>
        <v>1.9933333333333334E-2</v>
      </c>
      <c r="L21" s="46">
        <f t="shared" si="3"/>
        <v>7.7999999999999958E-2</v>
      </c>
      <c r="M21" s="46">
        <f t="shared" si="4"/>
        <v>14.999999999999991</v>
      </c>
      <c r="N21" s="47">
        <v>50000</v>
      </c>
      <c r="O21" s="38">
        <v>29900</v>
      </c>
      <c r="P21" s="55">
        <f t="shared" si="5"/>
        <v>0</v>
      </c>
      <c r="Q21" s="49">
        <f t="shared" si="6"/>
        <v>0.70857142857142863</v>
      </c>
      <c r="R21" s="50">
        <v>0</v>
      </c>
      <c r="T21" s="53" t="s">
        <v>71</v>
      </c>
      <c r="U21" s="54">
        <v>0.53</v>
      </c>
    </row>
    <row r="22" spans="1:25" ht="14.4" x14ac:dyDescent="0.3">
      <c r="A22" s="36" t="s">
        <v>60</v>
      </c>
      <c r="B22" s="37" t="s">
        <v>72</v>
      </c>
      <c r="C22" s="38">
        <v>690143060</v>
      </c>
      <c r="D22" s="39">
        <f t="shared" si="0"/>
        <v>113958698.35109788</v>
      </c>
      <c r="E22" s="40">
        <f t="shared" si="1"/>
        <v>96153031.596066684</v>
      </c>
      <c r="F22" s="41" t="s">
        <v>53</v>
      </c>
      <c r="G22" s="42">
        <v>2.85</v>
      </c>
      <c r="H22" s="43">
        <v>4.1797000000000004</v>
      </c>
      <c r="I22" s="43">
        <v>4.1797000000000004</v>
      </c>
      <c r="J22" s="44">
        <f t="shared" si="7"/>
        <v>0.16512329827832781</v>
      </c>
      <c r="K22" s="45">
        <f t="shared" si="2"/>
        <v>0.13932333333333335</v>
      </c>
      <c r="L22" s="46">
        <f t="shared" si="3"/>
        <v>0</v>
      </c>
      <c r="M22" s="46">
        <f t="shared" si="4"/>
        <v>0</v>
      </c>
      <c r="N22" s="47">
        <v>0</v>
      </c>
      <c r="O22" s="38">
        <v>0</v>
      </c>
      <c r="P22" s="55">
        <f t="shared" si="5"/>
        <v>0</v>
      </c>
      <c r="Q22" s="49">
        <f t="shared" si="6"/>
        <v>0.46656140350877195</v>
      </c>
      <c r="R22" s="50">
        <v>0</v>
      </c>
      <c r="T22" s="53" t="s">
        <v>73</v>
      </c>
      <c r="U22" s="54">
        <v>7.8354158426806306E-2</v>
      </c>
    </row>
    <row r="23" spans="1:25" ht="14.4" x14ac:dyDescent="0.3">
      <c r="A23" s="36" t="s">
        <v>74</v>
      </c>
      <c r="B23" s="37" t="s">
        <v>75</v>
      </c>
      <c r="C23" s="38">
        <v>1236075493</v>
      </c>
      <c r="D23" s="39">
        <f t="shared" si="0"/>
        <v>52739012.683011629</v>
      </c>
      <c r="E23" s="40">
        <f t="shared" si="1"/>
        <v>44498717.748000003</v>
      </c>
      <c r="F23" s="41" t="s">
        <v>76</v>
      </c>
      <c r="G23" s="42">
        <v>0.88420599999999994</v>
      </c>
      <c r="H23" s="43">
        <v>1.0896999999999999</v>
      </c>
      <c r="I23" s="43">
        <v>1.08</v>
      </c>
      <c r="J23" s="44">
        <f t="shared" si="7"/>
        <v>4.26664981076618E-2</v>
      </c>
      <c r="K23" s="45">
        <f t="shared" si="2"/>
        <v>3.6000000000000004E-2</v>
      </c>
      <c r="L23" s="46">
        <f t="shared" si="3"/>
        <v>-9.6999999999998199E-3</v>
      </c>
      <c r="M23" s="46">
        <f t="shared" si="4"/>
        <v>-0.89015325318893468</v>
      </c>
      <c r="N23" s="47">
        <v>100</v>
      </c>
      <c r="O23" s="38">
        <v>108</v>
      </c>
      <c r="P23" s="41">
        <f t="shared" si="5"/>
        <v>0</v>
      </c>
      <c r="Q23" s="49">
        <f t="shared" si="6"/>
        <v>0.22143482401159931</v>
      </c>
      <c r="R23" s="50">
        <v>0</v>
      </c>
      <c r="T23" s="53" t="s">
        <v>77</v>
      </c>
      <c r="U23" s="54">
        <v>0</v>
      </c>
    </row>
    <row r="24" spans="1:25" ht="14.4" x14ac:dyDescent="0.3">
      <c r="A24" s="36" t="s">
        <v>78</v>
      </c>
      <c r="B24" s="37" t="s">
        <v>79</v>
      </c>
      <c r="C24" s="38">
        <v>536588623</v>
      </c>
      <c r="D24" s="39">
        <f t="shared" si="0"/>
        <v>2130447.1532556908</v>
      </c>
      <c r="E24" s="40">
        <f t="shared" si="1"/>
        <v>1797571.88705</v>
      </c>
      <c r="F24" s="41" t="s">
        <v>49</v>
      </c>
      <c r="G24" s="42">
        <v>0.1</v>
      </c>
      <c r="H24" s="43">
        <v>0.1</v>
      </c>
      <c r="I24" s="43">
        <v>0.10050000000000001</v>
      </c>
      <c r="J24" s="44">
        <f t="shared" si="7"/>
        <v>3.9703546850185286E-3</v>
      </c>
      <c r="K24" s="45">
        <f t="shared" si="2"/>
        <v>3.3500000000000001E-3</v>
      </c>
      <c r="L24" s="46">
        <f t="shared" si="3"/>
        <v>5.0000000000000044E-4</v>
      </c>
      <c r="M24" s="46">
        <f t="shared" si="4"/>
        <v>0.50000000000000044</v>
      </c>
      <c r="N24" s="47">
        <v>200</v>
      </c>
      <c r="O24" s="38">
        <v>20.100000000000001</v>
      </c>
      <c r="P24" s="41">
        <f t="shared" si="5"/>
        <v>0</v>
      </c>
      <c r="Q24" s="49">
        <f t="shared" si="6"/>
        <v>4.9999999999998934E-3</v>
      </c>
      <c r="R24" s="50">
        <v>0</v>
      </c>
      <c r="T24" s="59" t="s">
        <v>80</v>
      </c>
      <c r="U24" s="60">
        <v>0.02</v>
      </c>
    </row>
    <row r="25" spans="1:25" ht="14.4" x14ac:dyDescent="0.3">
      <c r="A25" s="36" t="s">
        <v>81</v>
      </c>
      <c r="B25" s="37" t="s">
        <v>82</v>
      </c>
      <c r="C25" s="38">
        <v>193020564</v>
      </c>
      <c r="D25" s="39">
        <f t="shared" si="0"/>
        <v>56889846.073576011</v>
      </c>
      <c r="E25" s="40">
        <f t="shared" si="1"/>
        <v>48000997.257399999</v>
      </c>
      <c r="F25" s="41" t="s">
        <v>35</v>
      </c>
      <c r="G25" s="42">
        <v>8.1687659999999997</v>
      </c>
      <c r="H25" s="43">
        <v>7.4604999999999997</v>
      </c>
      <c r="I25" s="43">
        <v>7.4604999999999997</v>
      </c>
      <c r="J25" s="44">
        <f t="shared" si="7"/>
        <v>0.29473463808538042</v>
      </c>
      <c r="K25" s="45">
        <f t="shared" si="2"/>
        <v>0.24868333333333331</v>
      </c>
      <c r="L25" s="46">
        <f t="shared" si="3"/>
        <v>0</v>
      </c>
      <c r="M25" s="46">
        <f t="shared" si="4"/>
        <v>0</v>
      </c>
      <c r="N25" s="47">
        <v>20569480</v>
      </c>
      <c r="O25" s="38">
        <v>185125320</v>
      </c>
      <c r="P25" s="41">
        <f t="shared" si="5"/>
        <v>0</v>
      </c>
      <c r="Q25" s="49">
        <f t="shared" si="6"/>
        <v>-8.6704160701873478E-2</v>
      </c>
      <c r="R25" s="50">
        <v>0</v>
      </c>
      <c r="T25" s="54" t="s">
        <v>83</v>
      </c>
      <c r="U25" s="54">
        <v>0.13517000000000001</v>
      </c>
      <c r="Y25" s="5" t="s">
        <v>84</v>
      </c>
    </row>
    <row r="26" spans="1:25" ht="14.4" customHeight="1" x14ac:dyDescent="0.3">
      <c r="A26" s="36" t="s">
        <v>85</v>
      </c>
      <c r="B26" s="37" t="s">
        <v>86</v>
      </c>
      <c r="C26" s="38">
        <v>1687584009</v>
      </c>
      <c r="D26" s="39">
        <f t="shared" si="0"/>
        <v>79903662.001789615</v>
      </c>
      <c r="E26" s="40">
        <f t="shared" si="1"/>
        <v>67418981.159549996</v>
      </c>
      <c r="F26" s="41" t="s">
        <v>76</v>
      </c>
      <c r="G26" s="42">
        <v>1.6675</v>
      </c>
      <c r="H26" s="43">
        <v>1.1984999999999999</v>
      </c>
      <c r="I26" s="43">
        <v>1.1984999999999999</v>
      </c>
      <c r="J26" s="44">
        <f t="shared" si="7"/>
        <v>4.7347961094474686E-2</v>
      </c>
      <c r="K26" s="45">
        <f t="shared" si="2"/>
        <v>3.9949999999999999E-2</v>
      </c>
      <c r="L26" s="46">
        <f t="shared" si="3"/>
        <v>0</v>
      </c>
      <c r="M26" s="46">
        <f t="shared" si="4"/>
        <v>0</v>
      </c>
      <c r="N26" s="47">
        <v>0</v>
      </c>
      <c r="O26" s="38">
        <v>0</v>
      </c>
      <c r="P26" s="55">
        <f t="shared" si="5"/>
        <v>0</v>
      </c>
      <c r="Q26" s="49">
        <f t="shared" si="6"/>
        <v>-0.2812593703148426</v>
      </c>
      <c r="R26" s="50">
        <v>0</v>
      </c>
      <c r="T26" s="54" t="s">
        <v>87</v>
      </c>
      <c r="U26" s="54">
        <v>3.7499999999999999E-2</v>
      </c>
    </row>
    <row r="27" spans="1:25" ht="13.2" customHeight="1" x14ac:dyDescent="0.25">
      <c r="A27" s="36" t="s">
        <v>88</v>
      </c>
      <c r="B27" s="37" t="s">
        <v>89</v>
      </c>
      <c r="C27" s="38">
        <v>239388107</v>
      </c>
      <c r="D27" s="39">
        <f t="shared" si="0"/>
        <v>17330448.317339979</v>
      </c>
      <c r="E27" s="40">
        <f t="shared" si="1"/>
        <v>14622623.535916667</v>
      </c>
      <c r="F27" s="41" t="s">
        <v>49</v>
      </c>
      <c r="G27" s="42">
        <v>1.7994999999999999</v>
      </c>
      <c r="H27" s="43">
        <v>1.8325</v>
      </c>
      <c r="I27" s="43">
        <v>1.8325</v>
      </c>
      <c r="J27" s="44">
        <f t="shared" si="7"/>
        <v>7.2394775724342816E-2</v>
      </c>
      <c r="K27" s="45">
        <f t="shared" si="2"/>
        <v>6.1083333333333337E-2</v>
      </c>
      <c r="L27" s="46">
        <f t="shared" si="3"/>
        <v>0</v>
      </c>
      <c r="M27" s="46">
        <f t="shared" si="4"/>
        <v>0</v>
      </c>
      <c r="N27" s="47">
        <v>0</v>
      </c>
      <c r="O27" s="38">
        <v>0</v>
      </c>
      <c r="P27" s="55">
        <f t="shared" si="5"/>
        <v>0</v>
      </c>
      <c r="Q27" s="49">
        <f t="shared" si="6"/>
        <v>1.8338427340928165E-2</v>
      </c>
      <c r="R27" s="50">
        <v>0</v>
      </c>
      <c r="T27" s="61" t="s">
        <v>44</v>
      </c>
      <c r="U27" s="61">
        <v>0.2</v>
      </c>
    </row>
    <row r="28" spans="1:25" ht="13.2" customHeight="1" x14ac:dyDescent="0.25">
      <c r="A28" s="36" t="s">
        <v>68</v>
      </c>
      <c r="B28" s="37" t="s">
        <v>90</v>
      </c>
      <c r="C28" s="38">
        <v>256150741</v>
      </c>
      <c r="D28" s="39">
        <f t="shared" si="0"/>
        <v>30358486.405979633</v>
      </c>
      <c r="E28" s="40">
        <f t="shared" si="1"/>
        <v>25615074.100000001</v>
      </c>
      <c r="F28" s="41" t="s">
        <v>35</v>
      </c>
      <c r="G28" s="42">
        <v>3.1361369999999997</v>
      </c>
      <c r="H28" s="43">
        <v>3</v>
      </c>
      <c r="I28" s="43">
        <v>3</v>
      </c>
      <c r="J28" s="44">
        <f t="shared" si="7"/>
        <v>0.11851805029906055</v>
      </c>
      <c r="K28" s="45">
        <f t="shared" si="2"/>
        <v>0.1</v>
      </c>
      <c r="L28" s="46">
        <f t="shared" si="3"/>
        <v>0</v>
      </c>
      <c r="M28" s="46">
        <f t="shared" si="4"/>
        <v>0</v>
      </c>
      <c r="N28" s="47">
        <v>0</v>
      </c>
      <c r="O28" s="38">
        <v>0</v>
      </c>
      <c r="P28" s="48">
        <f t="shared" si="5"/>
        <v>0.12656299999999998</v>
      </c>
      <c r="Q28" s="49">
        <f t="shared" si="6"/>
        <v>-4.3409136781970892E-2</v>
      </c>
      <c r="R28" s="50">
        <v>1.4999999999999999E-2</v>
      </c>
      <c r="T28" s="61"/>
      <c r="U28" s="61"/>
    </row>
    <row r="29" spans="1:25" ht="13.2" customHeight="1" x14ac:dyDescent="0.25">
      <c r="A29" s="36" t="s">
        <v>91</v>
      </c>
      <c r="B29" s="37" t="s">
        <v>92</v>
      </c>
      <c r="C29" s="38">
        <v>755648101</v>
      </c>
      <c r="D29" s="39">
        <f t="shared" si="0"/>
        <v>22389484.910676897</v>
      </c>
      <c r="E29" s="40">
        <f t="shared" si="1"/>
        <v>18891202.525000002</v>
      </c>
      <c r="F29" s="41" t="s">
        <v>49</v>
      </c>
      <c r="G29" s="42">
        <v>0.8</v>
      </c>
      <c r="H29" s="43">
        <v>0.75</v>
      </c>
      <c r="I29" s="43">
        <v>0.75</v>
      </c>
      <c r="J29" s="44">
        <f t="shared" si="7"/>
        <v>2.9629512574765138E-2</v>
      </c>
      <c r="K29" s="45">
        <f t="shared" si="2"/>
        <v>2.5000000000000001E-2</v>
      </c>
      <c r="L29" s="46">
        <f t="shared" si="3"/>
        <v>0</v>
      </c>
      <c r="M29" s="46">
        <f t="shared" si="4"/>
        <v>0</v>
      </c>
      <c r="N29" s="47">
        <v>0</v>
      </c>
      <c r="O29" s="38">
        <v>0</v>
      </c>
      <c r="P29" s="41">
        <f t="shared" si="5"/>
        <v>0</v>
      </c>
      <c r="Q29" s="49">
        <f t="shared" si="6"/>
        <v>-6.25E-2</v>
      </c>
      <c r="R29" s="50">
        <v>0</v>
      </c>
      <c r="T29" s="61"/>
      <c r="U29" s="61"/>
    </row>
    <row r="30" spans="1:25" ht="14.4" customHeight="1" x14ac:dyDescent="0.3">
      <c r="A30" s="36" t="s">
        <v>93</v>
      </c>
      <c r="B30" s="37" t="s">
        <v>94</v>
      </c>
      <c r="C30" s="38">
        <v>404171689</v>
      </c>
      <c r="D30" s="39">
        <f t="shared" si="0"/>
        <v>79836067.610597089</v>
      </c>
      <c r="E30" s="40">
        <f t="shared" si="1"/>
        <v>67361948.166666657</v>
      </c>
      <c r="F30" s="41" t="s">
        <v>53</v>
      </c>
      <c r="G30" s="42">
        <v>5.15</v>
      </c>
      <c r="H30" s="43">
        <v>5</v>
      </c>
      <c r="I30" s="43">
        <v>5</v>
      </c>
      <c r="J30" s="44">
        <f t="shared" si="7"/>
        <v>0.19753008383176757</v>
      </c>
      <c r="K30" s="45">
        <f t="shared" si="2"/>
        <v>0.16666666666666666</v>
      </c>
      <c r="L30" s="46">
        <f t="shared" si="3"/>
        <v>0</v>
      </c>
      <c r="M30" s="46">
        <f t="shared" si="4"/>
        <v>0</v>
      </c>
      <c r="N30" s="47">
        <v>0</v>
      </c>
      <c r="O30" s="38">
        <v>0</v>
      </c>
      <c r="P30" s="55">
        <f t="shared" si="5"/>
        <v>0</v>
      </c>
      <c r="Q30" s="49">
        <f t="shared" si="6"/>
        <v>-2.9126213592233108E-2</v>
      </c>
      <c r="R30" s="50">
        <v>0</v>
      </c>
      <c r="T30" s="54" t="s">
        <v>95</v>
      </c>
      <c r="U30" s="54">
        <v>2.65</v>
      </c>
    </row>
    <row r="31" spans="1:25" ht="14.4" hidden="1" x14ac:dyDescent="0.3">
      <c r="A31" s="36"/>
      <c r="B31" s="37" t="s">
        <v>96</v>
      </c>
      <c r="C31" s="38"/>
      <c r="D31" s="39"/>
      <c r="E31" s="40"/>
      <c r="F31" s="41"/>
      <c r="G31" s="42"/>
      <c r="H31" s="43"/>
      <c r="I31" s="43"/>
      <c r="J31" s="44"/>
      <c r="K31" s="45"/>
      <c r="L31" s="46"/>
      <c r="M31" s="46"/>
      <c r="N31" s="47"/>
      <c r="O31" s="38"/>
      <c r="P31" s="55"/>
      <c r="Q31" s="49"/>
      <c r="R31" s="50"/>
      <c r="T31" s="54"/>
      <c r="U31" s="54"/>
    </row>
    <row r="32" spans="1:25" ht="14.4" customHeight="1" x14ac:dyDescent="0.3">
      <c r="A32" s="36" t="s">
        <v>97</v>
      </c>
      <c r="B32" s="37" t="s">
        <v>98</v>
      </c>
      <c r="C32" s="38">
        <v>3171161098</v>
      </c>
      <c r="D32" s="39">
        <f t="shared" ref="D32:D48" si="8">C32*J32</f>
        <v>14243577.89701619</v>
      </c>
      <c r="E32" s="40">
        <f t="shared" ref="E32:E48" si="9">C32*K32</f>
        <v>12018066.3292004</v>
      </c>
      <c r="F32" s="41" t="s">
        <v>35</v>
      </c>
      <c r="G32" s="42">
        <v>0.13000100000000001</v>
      </c>
      <c r="H32" s="43">
        <v>0.113694</v>
      </c>
      <c r="I32" s="43">
        <v>0.113694</v>
      </c>
      <c r="J32" s="44">
        <f t="shared" ref="J32:J48" si="10">I32/$J$5</f>
        <v>4.491597070233797E-3</v>
      </c>
      <c r="K32" s="45">
        <f t="shared" ref="K32:K48" si="11">I32/$K$4</f>
        <v>3.7898000000000003E-3</v>
      </c>
      <c r="L32" s="46">
        <f t="shared" ref="L32:L48" si="12">I32-H32</f>
        <v>0</v>
      </c>
      <c r="M32" s="46">
        <f t="shared" ref="M32:M48" si="13">((I32-H32)/H32)*100</f>
        <v>0</v>
      </c>
      <c r="N32" s="47">
        <v>0</v>
      </c>
      <c r="O32" s="38">
        <v>0</v>
      </c>
      <c r="P32" s="41">
        <f t="shared" ref="P32:P38" si="14">(R32)/J32</f>
        <v>0</v>
      </c>
      <c r="Q32" s="49">
        <f t="shared" ref="Q32:Q48" si="15">I32/G32-1</f>
        <v>-0.12543749663464132</v>
      </c>
      <c r="R32" s="50">
        <v>0</v>
      </c>
      <c r="T32" s="54" t="s">
        <v>99</v>
      </c>
      <c r="U32" s="54">
        <v>0.66100000000000003</v>
      </c>
    </row>
    <row r="33" spans="1:22" ht="14.4" customHeight="1" x14ac:dyDescent="0.3">
      <c r="A33" s="36" t="s">
        <v>100</v>
      </c>
      <c r="B33" s="37" t="s">
        <v>101</v>
      </c>
      <c r="C33" s="38">
        <v>259866270</v>
      </c>
      <c r="D33" s="39">
        <f t="shared" si="8"/>
        <v>12832851.524537187</v>
      </c>
      <c r="E33" s="40">
        <f t="shared" si="9"/>
        <v>10827761.25</v>
      </c>
      <c r="F33" s="41" t="s">
        <v>42</v>
      </c>
      <c r="G33" s="42">
        <v>1.4</v>
      </c>
      <c r="H33" s="43">
        <v>1.25</v>
      </c>
      <c r="I33" s="43">
        <v>1.25</v>
      </c>
      <c r="J33" s="44">
        <f t="shared" si="10"/>
        <v>4.9382520957941892E-2</v>
      </c>
      <c r="K33" s="45">
        <f t="shared" si="11"/>
        <v>4.1666666666666664E-2</v>
      </c>
      <c r="L33" s="46">
        <f t="shared" si="12"/>
        <v>0</v>
      </c>
      <c r="M33" s="46">
        <f t="shared" si="13"/>
        <v>0</v>
      </c>
      <c r="N33" s="47">
        <v>200</v>
      </c>
      <c r="O33" s="38">
        <v>250</v>
      </c>
      <c r="P33" s="55">
        <f t="shared" si="14"/>
        <v>0</v>
      </c>
      <c r="Q33" s="49">
        <f t="shared" si="15"/>
        <v>-0.1071428571428571</v>
      </c>
      <c r="R33" s="50">
        <v>0</v>
      </c>
      <c r="T33" s="54" t="s">
        <v>102</v>
      </c>
      <c r="U33" s="54">
        <v>1.06</v>
      </c>
    </row>
    <row r="34" spans="1:22" ht="14.4" customHeight="1" x14ac:dyDescent="0.3">
      <c r="A34" s="36" t="s">
        <v>103</v>
      </c>
      <c r="B34" s="37" t="s">
        <v>104</v>
      </c>
      <c r="C34" s="38">
        <v>122029470</v>
      </c>
      <c r="D34" s="39">
        <f t="shared" si="8"/>
        <v>3615673.7158569251</v>
      </c>
      <c r="E34" s="40">
        <f t="shared" si="9"/>
        <v>3050736.75</v>
      </c>
      <c r="F34" s="41" t="s">
        <v>42</v>
      </c>
      <c r="G34" s="42">
        <v>0.65</v>
      </c>
      <c r="H34" s="43">
        <v>0.75</v>
      </c>
      <c r="I34" s="43">
        <v>0.75</v>
      </c>
      <c r="J34" s="44">
        <f t="shared" si="10"/>
        <v>2.9629512574765138E-2</v>
      </c>
      <c r="K34" s="45">
        <f t="shared" si="11"/>
        <v>2.5000000000000001E-2</v>
      </c>
      <c r="L34" s="46">
        <f t="shared" si="12"/>
        <v>0</v>
      </c>
      <c r="M34" s="46">
        <f t="shared" si="13"/>
        <v>0</v>
      </c>
      <c r="N34" s="47">
        <v>1200</v>
      </c>
      <c r="O34" s="38">
        <v>900</v>
      </c>
      <c r="P34" s="41">
        <f t="shared" si="14"/>
        <v>0</v>
      </c>
      <c r="Q34" s="49">
        <f t="shared" si="15"/>
        <v>0.15384615384615374</v>
      </c>
      <c r="R34" s="50">
        <v>0</v>
      </c>
      <c r="T34" s="54" t="s">
        <v>105</v>
      </c>
      <c r="U34" s="54">
        <v>6.71</v>
      </c>
    </row>
    <row r="35" spans="1:22" ht="14.4" customHeight="1" x14ac:dyDescent="0.3">
      <c r="A35" s="36" t="s">
        <v>106</v>
      </c>
      <c r="B35" s="37" t="s">
        <v>107</v>
      </c>
      <c r="C35" s="38">
        <v>2495495543</v>
      </c>
      <c r="D35" s="39">
        <f t="shared" si="8"/>
        <v>129187042.3075486</v>
      </c>
      <c r="E35" s="40">
        <f t="shared" si="9"/>
        <v>109001997.57046849</v>
      </c>
      <c r="F35" s="41" t="s">
        <v>108</v>
      </c>
      <c r="G35" s="42">
        <v>1.44</v>
      </c>
      <c r="H35" s="43">
        <v>1.3103849999999999</v>
      </c>
      <c r="I35" s="43">
        <v>1.3103849999999999</v>
      </c>
      <c r="J35" s="44">
        <f t="shared" si="10"/>
        <v>5.1768091780378146E-2</v>
      </c>
      <c r="K35" s="45">
        <f t="shared" si="11"/>
        <v>4.3679499999999996E-2</v>
      </c>
      <c r="L35" s="46">
        <f t="shared" si="12"/>
        <v>0</v>
      </c>
      <c r="M35" s="46">
        <f t="shared" si="13"/>
        <v>0</v>
      </c>
      <c r="N35" s="47">
        <v>0</v>
      </c>
      <c r="O35" s="38">
        <v>0</v>
      </c>
      <c r="P35" s="55">
        <f t="shared" si="14"/>
        <v>0</v>
      </c>
      <c r="Q35" s="49">
        <f t="shared" si="15"/>
        <v>-9.0010416666666648E-2</v>
      </c>
      <c r="R35" s="50">
        <v>0</v>
      </c>
      <c r="T35" s="54" t="s">
        <v>109</v>
      </c>
      <c r="U35" s="54">
        <v>0.10181000000000001</v>
      </c>
    </row>
    <row r="36" spans="1:22" ht="14.4" customHeight="1" x14ac:dyDescent="0.3">
      <c r="A36" s="36" t="s">
        <v>110</v>
      </c>
      <c r="B36" s="37" t="s">
        <v>111</v>
      </c>
      <c r="C36" s="38">
        <v>253492983</v>
      </c>
      <c r="D36" s="39">
        <f t="shared" si="8"/>
        <v>42728528.294116803</v>
      </c>
      <c r="E36" s="40">
        <f t="shared" si="9"/>
        <v>36052338.176588699</v>
      </c>
      <c r="F36" s="41" t="s">
        <v>35</v>
      </c>
      <c r="G36" s="42">
        <v>3.6056249999999999</v>
      </c>
      <c r="H36" s="43">
        <v>4.1333330000000004</v>
      </c>
      <c r="I36" s="43">
        <v>4.266667</v>
      </c>
      <c r="J36" s="44">
        <f t="shared" si="10"/>
        <v>0.16855901803844725</v>
      </c>
      <c r="K36" s="45">
        <f t="shared" si="11"/>
        <v>0.14222223333333334</v>
      </c>
      <c r="L36" s="46">
        <f t="shared" si="12"/>
        <v>0.13333399999999962</v>
      </c>
      <c r="M36" s="46">
        <f t="shared" si="13"/>
        <v>3.225822840792155</v>
      </c>
      <c r="N36" s="47">
        <v>300</v>
      </c>
      <c r="O36" s="38">
        <v>1280</v>
      </c>
      <c r="P36" s="62">
        <f t="shared" si="14"/>
        <v>5.3987025469763639E-2</v>
      </c>
      <c r="Q36" s="49">
        <f t="shared" si="15"/>
        <v>0.18333631478592483</v>
      </c>
      <c r="R36" s="50">
        <v>9.1000000000000004E-3</v>
      </c>
      <c r="T36" s="54" t="s">
        <v>112</v>
      </c>
      <c r="U36" s="54">
        <v>0.56000000000000005</v>
      </c>
    </row>
    <row r="37" spans="1:22" x14ac:dyDescent="0.25">
      <c r="A37" s="36" t="s">
        <v>113</v>
      </c>
      <c r="B37" s="37" t="s">
        <v>114</v>
      </c>
      <c r="C37" s="38">
        <v>4715084056</v>
      </c>
      <c r="D37" s="39">
        <f t="shared" si="8"/>
        <v>6705870.8317596782</v>
      </c>
      <c r="E37" s="40">
        <f t="shared" si="9"/>
        <v>5658100.8672000002</v>
      </c>
      <c r="F37" s="41" t="s">
        <v>35</v>
      </c>
      <c r="G37" s="42">
        <v>2.5099999999999997E-2</v>
      </c>
      <c r="H37" s="43">
        <v>3.6318000000000003E-2</v>
      </c>
      <c r="I37" s="43">
        <v>3.6000000000000004E-2</v>
      </c>
      <c r="J37" s="44">
        <f t="shared" si="10"/>
        <v>1.4222166035887268E-3</v>
      </c>
      <c r="K37" s="45">
        <f t="shared" si="11"/>
        <v>1.2000000000000001E-3</v>
      </c>
      <c r="L37" s="46">
        <f t="shared" si="12"/>
        <v>-3.1799999999999884E-4</v>
      </c>
      <c r="M37" s="46">
        <f t="shared" si="13"/>
        <v>-0.87559887659011737</v>
      </c>
      <c r="N37" s="47">
        <v>10700</v>
      </c>
      <c r="O37" s="38">
        <v>385.2</v>
      </c>
      <c r="P37" s="41">
        <f t="shared" si="14"/>
        <v>0</v>
      </c>
      <c r="Q37" s="49">
        <f t="shared" si="15"/>
        <v>0.4342629482071716</v>
      </c>
      <c r="R37" s="50">
        <v>0</v>
      </c>
      <c r="T37" s="5" t="s">
        <v>115</v>
      </c>
      <c r="U37" s="5">
        <v>83.33</v>
      </c>
    </row>
    <row r="38" spans="1:22" x14ac:dyDescent="0.25">
      <c r="A38" s="36" t="s">
        <v>116</v>
      </c>
      <c r="B38" s="37" t="s">
        <v>117</v>
      </c>
      <c r="C38" s="38">
        <v>261064590</v>
      </c>
      <c r="D38" s="39">
        <f t="shared" si="8"/>
        <v>10313622.069641206</v>
      </c>
      <c r="E38" s="40">
        <f t="shared" si="9"/>
        <v>8702153</v>
      </c>
      <c r="F38" s="41" t="s">
        <v>108</v>
      </c>
      <c r="G38" s="42">
        <v>0.61</v>
      </c>
      <c r="H38" s="43">
        <v>1</v>
      </c>
      <c r="I38" s="43">
        <v>1</v>
      </c>
      <c r="J38" s="44">
        <f t="shared" si="10"/>
        <v>3.9506016766353513E-2</v>
      </c>
      <c r="K38" s="45">
        <f t="shared" si="11"/>
        <v>3.3333333333333333E-2</v>
      </c>
      <c r="L38" s="46">
        <f t="shared" si="12"/>
        <v>0</v>
      </c>
      <c r="M38" s="46">
        <f t="shared" si="13"/>
        <v>0</v>
      </c>
      <c r="N38" s="47">
        <v>0</v>
      </c>
      <c r="O38" s="38">
        <v>0</v>
      </c>
      <c r="P38" s="41">
        <f t="shared" si="14"/>
        <v>0</v>
      </c>
      <c r="Q38" s="49">
        <f t="shared" si="15"/>
        <v>0.63934426229508201</v>
      </c>
      <c r="R38" s="50">
        <v>0</v>
      </c>
      <c r="T38" s="5">
        <v>6.9239999999999996E-3</v>
      </c>
      <c r="U38" s="5">
        <f>T38*100</f>
        <v>0.6923999999999999</v>
      </c>
    </row>
    <row r="39" spans="1:22" ht="12" customHeight="1" x14ac:dyDescent="0.25">
      <c r="A39" s="36" t="s">
        <v>118</v>
      </c>
      <c r="B39" s="37" t="s">
        <v>119</v>
      </c>
      <c r="C39" s="38">
        <v>4194797929</v>
      </c>
      <c r="D39" s="39">
        <f t="shared" si="8"/>
        <v>20714969.664317373</v>
      </c>
      <c r="E39" s="40">
        <f t="shared" si="9"/>
        <v>17478324.704166666</v>
      </c>
      <c r="F39" s="41" t="s">
        <v>64</v>
      </c>
      <c r="G39" s="42">
        <v>0.11650199999999999</v>
      </c>
      <c r="H39" s="43">
        <v>0.125</v>
      </c>
      <c r="I39" s="43">
        <v>0.125</v>
      </c>
      <c r="J39" s="44">
        <f t="shared" si="10"/>
        <v>4.9382520957941892E-3</v>
      </c>
      <c r="K39" s="45">
        <f t="shared" si="11"/>
        <v>4.1666666666666666E-3</v>
      </c>
      <c r="L39" s="46">
        <f t="shared" si="12"/>
        <v>0</v>
      </c>
      <c r="M39" s="46">
        <f t="shared" si="13"/>
        <v>0</v>
      </c>
      <c r="N39" s="47">
        <v>25100</v>
      </c>
      <c r="O39" s="38">
        <v>3137.5</v>
      </c>
      <c r="P39" s="41">
        <v>0</v>
      </c>
      <c r="Q39" s="49">
        <f t="shared" si="15"/>
        <v>7.2942953769034036E-2</v>
      </c>
      <c r="R39" s="50"/>
    </row>
    <row r="40" spans="1:22" ht="12" customHeight="1" x14ac:dyDescent="0.25">
      <c r="A40" s="36" t="s">
        <v>120</v>
      </c>
      <c r="B40" s="37" t="s">
        <v>121</v>
      </c>
      <c r="C40" s="38">
        <v>362927587</v>
      </c>
      <c r="D40" s="39">
        <f t="shared" si="8"/>
        <v>47314817.01208093</v>
      </c>
      <c r="E40" s="40">
        <f t="shared" si="9"/>
        <v>39922034.57</v>
      </c>
      <c r="F40" s="41" t="s">
        <v>35</v>
      </c>
      <c r="G40" s="42">
        <v>2.6005000000000003</v>
      </c>
      <c r="H40" s="43">
        <v>3.7349999999999999</v>
      </c>
      <c r="I40" s="43">
        <v>3.3</v>
      </c>
      <c r="J40" s="44">
        <f t="shared" si="10"/>
        <v>0.13036985532896658</v>
      </c>
      <c r="K40" s="45">
        <f t="shared" si="11"/>
        <v>0.11</v>
      </c>
      <c r="L40" s="46">
        <f t="shared" si="12"/>
        <v>-0.43500000000000005</v>
      </c>
      <c r="M40" s="46">
        <f t="shared" si="13"/>
        <v>-11.646586345381529</v>
      </c>
      <c r="N40" s="47">
        <v>1400</v>
      </c>
      <c r="O40" s="38">
        <v>4620</v>
      </c>
      <c r="P40" s="62">
        <f t="shared" ref="P40:P47" si="16">(R40)/J40</f>
        <v>9.9156357636363643E-2</v>
      </c>
      <c r="Q40" s="49">
        <f t="shared" si="15"/>
        <v>0.26898673332051515</v>
      </c>
      <c r="R40" s="50">
        <v>1.2926999999999999E-2</v>
      </c>
    </row>
    <row r="41" spans="1:22" ht="12" customHeight="1" x14ac:dyDescent="0.25">
      <c r="A41" s="36" t="s">
        <v>122</v>
      </c>
      <c r="B41" s="37" t="s">
        <v>123</v>
      </c>
      <c r="C41" s="38">
        <v>4315726499</v>
      </c>
      <c r="D41" s="39">
        <f t="shared" si="8"/>
        <v>16879219.179420527</v>
      </c>
      <c r="E41" s="40">
        <f t="shared" si="9"/>
        <v>14241897.446699999</v>
      </c>
      <c r="F41" s="41" t="s">
        <v>42</v>
      </c>
      <c r="G41" s="42">
        <v>0.1</v>
      </c>
      <c r="H41" s="43">
        <v>9.9000000000000005E-2</v>
      </c>
      <c r="I41" s="43">
        <v>9.9000000000000005E-2</v>
      </c>
      <c r="J41" s="44">
        <f t="shared" si="10"/>
        <v>3.9110956598689987E-3</v>
      </c>
      <c r="K41" s="45">
        <f t="shared" si="11"/>
        <v>3.3E-3</v>
      </c>
      <c r="L41" s="46">
        <f t="shared" si="12"/>
        <v>0</v>
      </c>
      <c r="M41" s="46">
        <f t="shared" si="13"/>
        <v>0</v>
      </c>
      <c r="N41" s="47">
        <v>0</v>
      </c>
      <c r="O41" s="38">
        <v>0</v>
      </c>
      <c r="P41" s="41">
        <f t="shared" si="16"/>
        <v>0</v>
      </c>
      <c r="Q41" s="49">
        <f t="shared" si="15"/>
        <v>-1.0000000000000009E-2</v>
      </c>
      <c r="R41" s="50">
        <v>0</v>
      </c>
      <c r="T41" s="5" t="e">
        <f>#REF!/2</f>
        <v>#REF!</v>
      </c>
      <c r="U41" s="5" t="e">
        <f>T41*100</f>
        <v>#REF!</v>
      </c>
    </row>
    <row r="42" spans="1:22" ht="12" customHeight="1" x14ac:dyDescent="0.25">
      <c r="A42" s="36" t="s">
        <v>124</v>
      </c>
      <c r="B42" s="37" t="s">
        <v>125</v>
      </c>
      <c r="C42" s="38">
        <v>106474237</v>
      </c>
      <c r="D42" s="39">
        <f t="shared" si="8"/>
        <v>13208011.195215033</v>
      </c>
      <c r="E42" s="40">
        <f t="shared" si="9"/>
        <v>11144303.472666668</v>
      </c>
      <c r="F42" s="41" t="s">
        <v>49</v>
      </c>
      <c r="G42" s="42">
        <v>1.7452379999999998</v>
      </c>
      <c r="H42" s="43">
        <v>3.14</v>
      </c>
      <c r="I42" s="43">
        <v>3.14</v>
      </c>
      <c r="J42" s="44">
        <f t="shared" si="10"/>
        <v>0.12404889264635005</v>
      </c>
      <c r="K42" s="45">
        <f t="shared" si="11"/>
        <v>0.10466666666666667</v>
      </c>
      <c r="L42" s="46">
        <f t="shared" si="12"/>
        <v>0</v>
      </c>
      <c r="M42" s="46">
        <f t="shared" si="13"/>
        <v>0</v>
      </c>
      <c r="N42" s="47">
        <v>0</v>
      </c>
      <c r="O42" s="38">
        <v>0</v>
      </c>
      <c r="P42" s="55">
        <f t="shared" si="16"/>
        <v>0</v>
      </c>
      <c r="Q42" s="49">
        <f t="shared" si="15"/>
        <v>0.7991815442936725</v>
      </c>
      <c r="R42" s="50">
        <v>0</v>
      </c>
    </row>
    <row r="43" spans="1:22" ht="12" customHeight="1" x14ac:dyDescent="0.25">
      <c r="A43" s="36" t="s">
        <v>126</v>
      </c>
      <c r="B43" s="37" t="s">
        <v>127</v>
      </c>
      <c r="C43" s="38">
        <v>1778001428</v>
      </c>
      <c r="D43" s="39">
        <f t="shared" si="8"/>
        <v>2107252.6267550546</v>
      </c>
      <c r="E43" s="40">
        <f t="shared" si="9"/>
        <v>1778001.4280000001</v>
      </c>
      <c r="F43" s="41" t="s">
        <v>42</v>
      </c>
      <c r="G43" s="42">
        <v>0.03</v>
      </c>
      <c r="H43" s="43">
        <v>0.03</v>
      </c>
      <c r="I43" s="43">
        <v>0.03</v>
      </c>
      <c r="J43" s="44">
        <f t="shared" si="10"/>
        <v>1.1851805029906054E-3</v>
      </c>
      <c r="K43" s="45">
        <f t="shared" si="11"/>
        <v>1E-3</v>
      </c>
      <c r="L43" s="46">
        <f t="shared" si="12"/>
        <v>0</v>
      </c>
      <c r="M43" s="46">
        <f t="shared" si="13"/>
        <v>0</v>
      </c>
      <c r="N43" s="47">
        <v>22600</v>
      </c>
      <c r="O43" s="38">
        <v>678</v>
      </c>
      <c r="P43" s="41">
        <f t="shared" si="16"/>
        <v>0</v>
      </c>
      <c r="Q43" s="49">
        <f t="shared" si="15"/>
        <v>0</v>
      </c>
      <c r="R43" s="50">
        <v>0</v>
      </c>
    </row>
    <row r="44" spans="1:22" ht="12" customHeight="1" x14ac:dyDescent="0.25">
      <c r="A44" s="36" t="s">
        <v>128</v>
      </c>
      <c r="B44" s="37" t="s">
        <v>129</v>
      </c>
      <c r="C44" s="38">
        <v>175190642</v>
      </c>
      <c r="D44" s="39">
        <f t="shared" si="8"/>
        <v>31144879.98072106</v>
      </c>
      <c r="E44" s="40">
        <f t="shared" si="9"/>
        <v>26278596.300000001</v>
      </c>
      <c r="F44" s="41" t="s">
        <v>53</v>
      </c>
      <c r="G44" s="42">
        <v>4.5</v>
      </c>
      <c r="H44" s="43">
        <v>4.5</v>
      </c>
      <c r="I44" s="43">
        <v>4.5</v>
      </c>
      <c r="J44" s="44">
        <f t="shared" si="10"/>
        <v>0.17777707544859081</v>
      </c>
      <c r="K44" s="45">
        <f t="shared" si="11"/>
        <v>0.15</v>
      </c>
      <c r="L44" s="46">
        <f t="shared" si="12"/>
        <v>0</v>
      </c>
      <c r="M44" s="46">
        <f t="shared" si="13"/>
        <v>0</v>
      </c>
      <c r="N44" s="47">
        <v>0</v>
      </c>
      <c r="O44" s="38">
        <v>0</v>
      </c>
      <c r="P44" s="55">
        <f t="shared" si="16"/>
        <v>0</v>
      </c>
      <c r="Q44" s="49">
        <f t="shared" si="15"/>
        <v>0</v>
      </c>
      <c r="R44" s="50">
        <v>0</v>
      </c>
    </row>
    <row r="45" spans="1:22" ht="12" customHeight="1" x14ac:dyDescent="0.25">
      <c r="A45" s="36" t="s">
        <v>130</v>
      </c>
      <c r="B45" s="37" t="s">
        <v>131</v>
      </c>
      <c r="C45" s="38">
        <v>463337661</v>
      </c>
      <c r="D45" s="39">
        <f t="shared" si="8"/>
        <v>329.48325727108238</v>
      </c>
      <c r="E45" s="40">
        <f t="shared" si="9"/>
        <v>278.0025966</v>
      </c>
      <c r="F45" s="41" t="s">
        <v>49</v>
      </c>
      <c r="G45" s="42">
        <v>1.8E-5</v>
      </c>
      <c r="H45" s="43">
        <v>1.8E-5</v>
      </c>
      <c r="I45" s="43">
        <v>1.8E-5</v>
      </c>
      <c r="J45" s="44">
        <f t="shared" si="10"/>
        <v>7.1110830179436327E-7</v>
      </c>
      <c r="K45" s="45">
        <f t="shared" si="11"/>
        <v>5.9999999999999997E-7</v>
      </c>
      <c r="L45" s="46">
        <f t="shared" si="12"/>
        <v>0</v>
      </c>
      <c r="M45" s="46">
        <f t="shared" si="13"/>
        <v>0</v>
      </c>
      <c r="N45" s="47">
        <v>0</v>
      </c>
      <c r="O45" s="38">
        <v>0</v>
      </c>
      <c r="P45" s="41">
        <f t="shared" si="16"/>
        <v>0</v>
      </c>
      <c r="Q45" s="49">
        <f t="shared" si="15"/>
        <v>0</v>
      </c>
      <c r="R45" s="50">
        <v>0</v>
      </c>
      <c r="V45" s="63"/>
    </row>
    <row r="46" spans="1:22" ht="12" customHeight="1" x14ac:dyDescent="0.25">
      <c r="A46" s="36" t="s">
        <v>132</v>
      </c>
      <c r="B46" s="37" t="s">
        <v>133</v>
      </c>
      <c r="C46" s="38">
        <v>576000000</v>
      </c>
      <c r="D46" s="39">
        <f t="shared" si="8"/>
        <v>1820437.2525935699</v>
      </c>
      <c r="E46" s="40">
        <f t="shared" si="9"/>
        <v>1536000</v>
      </c>
      <c r="F46" s="41" t="s">
        <v>64</v>
      </c>
      <c r="G46" s="42">
        <v>7.0000000000000007E-2</v>
      </c>
      <c r="H46" s="43">
        <v>0.08</v>
      </c>
      <c r="I46" s="43">
        <v>0.08</v>
      </c>
      <c r="J46" s="44">
        <f t="shared" si="10"/>
        <v>3.1604813413082813E-3</v>
      </c>
      <c r="K46" s="45">
        <f t="shared" si="11"/>
        <v>2.6666666666666666E-3</v>
      </c>
      <c r="L46" s="46">
        <f t="shared" si="12"/>
        <v>0</v>
      </c>
      <c r="M46" s="46">
        <f t="shared" si="13"/>
        <v>0</v>
      </c>
      <c r="N46" s="47">
        <v>0</v>
      </c>
      <c r="O46" s="38">
        <v>0</v>
      </c>
      <c r="P46" s="41">
        <f t="shared" si="16"/>
        <v>0</v>
      </c>
      <c r="Q46" s="49">
        <f t="shared" si="15"/>
        <v>0.14285714285714279</v>
      </c>
      <c r="R46" s="50"/>
    </row>
    <row r="47" spans="1:22" ht="12" customHeight="1" x14ac:dyDescent="0.25">
      <c r="A47" s="36" t="s">
        <v>134</v>
      </c>
      <c r="B47" s="37" t="s">
        <v>135</v>
      </c>
      <c r="C47" s="38">
        <v>1818218786</v>
      </c>
      <c r="D47" s="39">
        <f t="shared" si="8"/>
        <v>49563101.472784303</v>
      </c>
      <c r="E47" s="40">
        <f t="shared" si="9"/>
        <v>41819032.078000002</v>
      </c>
      <c r="F47" s="41" t="s">
        <v>53</v>
      </c>
      <c r="G47" s="42">
        <v>0.9998999999999999</v>
      </c>
      <c r="H47" s="43">
        <v>0.69</v>
      </c>
      <c r="I47" s="43">
        <v>0.69</v>
      </c>
      <c r="J47" s="44">
        <f t="shared" si="10"/>
        <v>2.7259151568783925E-2</v>
      </c>
      <c r="K47" s="45">
        <f t="shared" si="11"/>
        <v>2.3E-2</v>
      </c>
      <c r="L47" s="46">
        <f t="shared" si="12"/>
        <v>0</v>
      </c>
      <c r="M47" s="46">
        <f t="shared" si="13"/>
        <v>0</v>
      </c>
      <c r="N47" s="47">
        <v>0</v>
      </c>
      <c r="O47" s="38">
        <v>0</v>
      </c>
      <c r="P47" s="55">
        <f t="shared" si="16"/>
        <v>0</v>
      </c>
      <c r="Q47" s="49">
        <f t="shared" si="15"/>
        <v>-0.30993099309930994</v>
      </c>
      <c r="R47" s="50">
        <v>0</v>
      </c>
    </row>
    <row r="48" spans="1:22" ht="12" customHeight="1" x14ac:dyDescent="0.25">
      <c r="A48" s="36" t="s">
        <v>136</v>
      </c>
      <c r="B48" s="37" t="s">
        <v>137</v>
      </c>
      <c r="C48" s="38">
        <v>102712520</v>
      </c>
      <c r="D48" s="39">
        <f t="shared" si="8"/>
        <v>3936029.6611173884</v>
      </c>
      <c r="E48" s="40">
        <f t="shared" si="9"/>
        <v>3321038.1466666665</v>
      </c>
      <c r="F48" s="41" t="s">
        <v>53</v>
      </c>
      <c r="G48" s="42">
        <v>1.4503460000000001</v>
      </c>
      <c r="H48" s="43">
        <v>0.85274399999999995</v>
      </c>
      <c r="I48" s="43">
        <v>0.97</v>
      </c>
      <c r="J48" s="44">
        <f t="shared" si="10"/>
        <v>3.8320836263362912E-2</v>
      </c>
      <c r="K48" s="45">
        <f t="shared" si="11"/>
        <v>3.2333333333333332E-2</v>
      </c>
      <c r="L48" s="46">
        <f t="shared" si="12"/>
        <v>0.11725600000000003</v>
      </c>
      <c r="M48" s="46">
        <f t="shared" si="13"/>
        <v>13.750433893407637</v>
      </c>
      <c r="N48" s="47">
        <v>18700</v>
      </c>
      <c r="O48" s="38">
        <v>18139</v>
      </c>
      <c r="P48" s="41">
        <v>0</v>
      </c>
      <c r="Q48" s="49">
        <f t="shared" si="15"/>
        <v>-0.33119407369000231</v>
      </c>
      <c r="R48" s="50"/>
    </row>
    <row r="49" spans="1:26" ht="13.8" thickBot="1" x14ac:dyDescent="0.4">
      <c r="A49" s="64"/>
      <c r="B49" s="65" t="s">
        <v>96</v>
      </c>
      <c r="C49" s="66"/>
      <c r="D49" s="67"/>
      <c r="E49" s="67"/>
      <c r="F49" s="68"/>
      <c r="G49" s="68"/>
      <c r="H49" s="46"/>
      <c r="I49" s="46"/>
      <c r="J49" s="46"/>
      <c r="K49" s="46"/>
      <c r="L49" s="46"/>
      <c r="M49" s="46"/>
      <c r="N49" s="68">
        <f>SUM(N10:N48)</f>
        <v>86802471</v>
      </c>
      <c r="O49" s="69">
        <f>SUM(O10:O48)</f>
        <v>474019332.27470005</v>
      </c>
      <c r="P49" s="69"/>
      <c r="Q49" s="70"/>
    </row>
    <row r="50" spans="1:26" ht="13.2" x14ac:dyDescent="0.35">
      <c r="A50" s="71"/>
      <c r="B50" s="72" t="s">
        <v>96</v>
      </c>
      <c r="C50" s="73"/>
      <c r="D50" s="73"/>
      <c r="E50" s="73"/>
      <c r="F50" s="74"/>
      <c r="G50" s="74"/>
      <c r="H50" s="75"/>
      <c r="I50" s="75"/>
      <c r="J50" s="75"/>
      <c r="K50" s="75"/>
      <c r="L50" s="75"/>
      <c r="M50" s="75"/>
      <c r="N50" s="74"/>
      <c r="O50" s="74"/>
      <c r="P50" s="74"/>
      <c r="Q50" s="76"/>
    </row>
    <row r="51" spans="1:26" ht="12.6" x14ac:dyDescent="0.3">
      <c r="A51" s="158" t="s">
        <v>138</v>
      </c>
      <c r="B51" s="159"/>
      <c r="C51" s="160"/>
      <c r="D51" s="160"/>
      <c r="E51" s="160"/>
      <c r="F51" s="160"/>
      <c r="G51" s="160"/>
      <c r="H51" s="160"/>
      <c r="I51" s="160"/>
      <c r="J51" s="160"/>
      <c r="K51" s="160"/>
      <c r="L51" s="160"/>
      <c r="M51" s="160"/>
      <c r="N51" s="160"/>
      <c r="O51" s="160"/>
      <c r="P51" s="160"/>
      <c r="Q51" s="161"/>
    </row>
    <row r="52" spans="1:26" x14ac:dyDescent="0.25">
      <c r="A52" s="36" t="s">
        <v>109</v>
      </c>
      <c r="B52" s="37" t="s">
        <v>139</v>
      </c>
      <c r="C52" s="41">
        <v>14779932</v>
      </c>
      <c r="D52" s="39">
        <f t="shared" ref="D52:D65" si="17">C52*J52</f>
        <v>69122785.977600008</v>
      </c>
      <c r="E52" s="40">
        <f>C52*K52</f>
        <v>0</v>
      </c>
      <c r="F52" s="41" t="s">
        <v>108</v>
      </c>
      <c r="G52" s="77">
        <v>4</v>
      </c>
      <c r="H52" s="43">
        <v>4.6768000000000001</v>
      </c>
      <c r="I52" s="43">
        <v>4.6768000000000001</v>
      </c>
      <c r="J52" s="44">
        <f t="shared" ref="J52:J65" si="18">I52</f>
        <v>4.6768000000000001</v>
      </c>
      <c r="K52" s="40">
        <v>0</v>
      </c>
      <c r="L52" s="46">
        <f t="shared" ref="L52:L65" si="19">I52-H52</f>
        <v>0</v>
      </c>
      <c r="M52" s="46">
        <f t="shared" ref="M52:M65" si="20">((I52-H52)/H52)*100</f>
        <v>0</v>
      </c>
      <c r="N52" s="47">
        <v>0</v>
      </c>
      <c r="O52" s="38">
        <v>0</v>
      </c>
      <c r="P52" s="55">
        <v>0</v>
      </c>
      <c r="Q52" s="49">
        <f t="shared" ref="Q52:Q65" si="21">J52/G52-1</f>
        <v>0.16920000000000002</v>
      </c>
      <c r="R52" s="56">
        <v>1.0181000000000001E-3</v>
      </c>
      <c r="X52" s="56"/>
      <c r="Z52" s="56"/>
    </row>
    <row r="53" spans="1:26" x14ac:dyDescent="0.25">
      <c r="A53" s="36" t="s">
        <v>140</v>
      </c>
      <c r="B53" s="37" t="s">
        <v>141</v>
      </c>
      <c r="C53" s="41">
        <v>554920933</v>
      </c>
      <c r="D53" s="39">
        <f t="shared" si="17"/>
        <v>70031021.744599998</v>
      </c>
      <c r="E53" s="40">
        <v>0</v>
      </c>
      <c r="F53" s="41" t="s">
        <v>108</v>
      </c>
      <c r="G53" s="77">
        <v>0.1</v>
      </c>
      <c r="H53" s="43">
        <v>0.1231</v>
      </c>
      <c r="I53" s="43">
        <v>0.12620000000000001</v>
      </c>
      <c r="J53" s="44">
        <f t="shared" si="18"/>
        <v>0.12620000000000001</v>
      </c>
      <c r="K53" s="40">
        <v>0</v>
      </c>
      <c r="L53" s="46">
        <f t="shared" si="19"/>
        <v>3.1000000000000055E-3</v>
      </c>
      <c r="M53" s="46">
        <f t="shared" si="20"/>
        <v>2.5182778229082095</v>
      </c>
      <c r="N53" s="47">
        <v>1335</v>
      </c>
      <c r="O53" s="38">
        <v>168.51</v>
      </c>
      <c r="P53" s="41">
        <f t="shared" ref="P53:P65" si="22">(R53)/J53</f>
        <v>0</v>
      </c>
      <c r="Q53" s="49">
        <f t="shared" si="21"/>
        <v>0.26200000000000001</v>
      </c>
      <c r="X53" s="56"/>
      <c r="Z53" s="56"/>
    </row>
    <row r="54" spans="1:26" x14ac:dyDescent="0.25">
      <c r="A54" s="36" t="s">
        <v>112</v>
      </c>
      <c r="B54" s="37" t="s">
        <v>142</v>
      </c>
      <c r="C54" s="41">
        <v>1049554</v>
      </c>
      <c r="D54" s="39">
        <f t="shared" si="17"/>
        <v>72097117.877399996</v>
      </c>
      <c r="E54" s="40">
        <v>0</v>
      </c>
      <c r="F54" s="41" t="s">
        <v>42</v>
      </c>
      <c r="G54" s="77">
        <v>39.9</v>
      </c>
      <c r="H54" s="43">
        <v>69</v>
      </c>
      <c r="I54" s="43">
        <v>68.693100000000001</v>
      </c>
      <c r="J54" s="44">
        <f t="shared" si="18"/>
        <v>68.693100000000001</v>
      </c>
      <c r="K54" s="40">
        <v>0</v>
      </c>
      <c r="L54" s="46">
        <f t="shared" si="19"/>
        <v>-0.30689999999999884</v>
      </c>
      <c r="M54" s="46">
        <f t="shared" si="20"/>
        <v>-0.44478260869565045</v>
      </c>
      <c r="N54" s="47">
        <v>1111</v>
      </c>
      <c r="O54" s="38">
        <v>76318</v>
      </c>
      <c r="P54" s="48">
        <f t="shared" si="22"/>
        <v>8.1522016039456665E-5</v>
      </c>
      <c r="Q54" s="49">
        <f t="shared" si="21"/>
        <v>0.7216315789473684</v>
      </c>
      <c r="R54" s="56">
        <v>5.6000000000000008E-3</v>
      </c>
      <c r="X54" s="56"/>
      <c r="Z54" s="56"/>
    </row>
    <row r="55" spans="1:26" x14ac:dyDescent="0.25">
      <c r="A55" s="36" t="s">
        <v>143</v>
      </c>
      <c r="B55" s="37" t="s">
        <v>144</v>
      </c>
      <c r="C55" s="41">
        <v>609740943</v>
      </c>
      <c r="D55" s="39">
        <f t="shared" si="17"/>
        <v>15304497.669300001</v>
      </c>
      <c r="E55" s="40">
        <v>0</v>
      </c>
      <c r="F55" s="41" t="s">
        <v>35</v>
      </c>
      <c r="G55" s="77">
        <v>2.3E-2</v>
      </c>
      <c r="H55" s="43">
        <v>2.4E-2</v>
      </c>
      <c r="I55" s="43">
        <v>2.5100000000000001E-2</v>
      </c>
      <c r="J55" s="44">
        <f t="shared" si="18"/>
        <v>2.5100000000000001E-2</v>
      </c>
      <c r="K55" s="40">
        <v>0</v>
      </c>
      <c r="L55" s="46">
        <f t="shared" si="19"/>
        <v>1.1000000000000003E-3</v>
      </c>
      <c r="M55" s="46">
        <f t="shared" si="20"/>
        <v>4.5833333333333348</v>
      </c>
      <c r="N55" s="47">
        <v>4449</v>
      </c>
      <c r="O55" s="38">
        <v>111.67</v>
      </c>
      <c r="P55" s="41">
        <f t="shared" si="22"/>
        <v>0</v>
      </c>
      <c r="Q55" s="49">
        <f t="shared" si="21"/>
        <v>9.1304347826087096E-2</v>
      </c>
      <c r="X55" s="56"/>
      <c r="Z55" s="56"/>
    </row>
    <row r="56" spans="1:26" x14ac:dyDescent="0.25">
      <c r="A56" s="36" t="s">
        <v>145</v>
      </c>
      <c r="B56" s="37" t="s">
        <v>146</v>
      </c>
      <c r="C56" s="41">
        <v>2162005813</v>
      </c>
      <c r="D56" s="39">
        <f t="shared" si="17"/>
        <v>209065962.1171</v>
      </c>
      <c r="E56" s="40">
        <v>0</v>
      </c>
      <c r="F56" s="41" t="s">
        <v>53</v>
      </c>
      <c r="G56" s="77">
        <v>9.0200000000000002E-2</v>
      </c>
      <c r="H56" s="43">
        <v>9.9299999999999999E-2</v>
      </c>
      <c r="I56" s="43">
        <v>9.6699999999999994E-2</v>
      </c>
      <c r="J56" s="44">
        <f t="shared" si="18"/>
        <v>9.6699999999999994E-2</v>
      </c>
      <c r="K56" s="40">
        <v>0</v>
      </c>
      <c r="L56" s="46">
        <f t="shared" si="19"/>
        <v>-2.6000000000000051E-3</v>
      </c>
      <c r="M56" s="78">
        <f t="shared" si="20"/>
        <v>-2.6183282980866114</v>
      </c>
      <c r="N56" s="47">
        <v>4733</v>
      </c>
      <c r="O56" s="38">
        <v>457.83</v>
      </c>
      <c r="P56" s="48">
        <f t="shared" si="22"/>
        <v>6.3495346432264732E-2</v>
      </c>
      <c r="Q56" s="49">
        <f t="shared" si="21"/>
        <v>7.2062084257206172E-2</v>
      </c>
      <c r="R56" s="56">
        <v>6.1399999999999996E-3</v>
      </c>
      <c r="X56" s="56"/>
      <c r="Z56" s="56"/>
    </row>
    <row r="57" spans="1:26" x14ac:dyDescent="0.25">
      <c r="A57" s="36" t="s">
        <v>147</v>
      </c>
      <c r="B57" s="37" t="s">
        <v>148</v>
      </c>
      <c r="C57" s="41">
        <v>575927100</v>
      </c>
      <c r="D57" s="39">
        <f t="shared" si="17"/>
        <v>748705230</v>
      </c>
      <c r="E57" s="40">
        <v>0</v>
      </c>
      <c r="F57" s="41" t="s">
        <v>35</v>
      </c>
      <c r="G57" s="77">
        <v>0.95750000000000002</v>
      </c>
      <c r="H57" s="43">
        <v>1.2955000000000001</v>
      </c>
      <c r="I57" s="43">
        <v>1.3</v>
      </c>
      <c r="J57" s="44">
        <f t="shared" si="18"/>
        <v>1.3</v>
      </c>
      <c r="K57" s="40">
        <v>0</v>
      </c>
      <c r="L57" s="46">
        <f t="shared" si="19"/>
        <v>4.4999999999999485E-3</v>
      </c>
      <c r="M57" s="46">
        <f t="shared" si="20"/>
        <v>0.34735623311462355</v>
      </c>
      <c r="N57" s="47">
        <v>1512271</v>
      </c>
      <c r="O57" s="38">
        <v>1965982.92</v>
      </c>
      <c r="P57" s="48">
        <f t="shared" si="22"/>
        <v>2.2692307692307689E-2</v>
      </c>
      <c r="Q57" s="49">
        <f t="shared" si="21"/>
        <v>0.35770234986945182</v>
      </c>
      <c r="R57" s="56">
        <v>2.9499999999999998E-2</v>
      </c>
      <c r="X57" s="56"/>
      <c r="Z57" s="56"/>
    </row>
    <row r="58" spans="1:26" x14ac:dyDescent="0.25">
      <c r="A58" s="36" t="s">
        <v>149</v>
      </c>
      <c r="B58" s="37" t="s">
        <v>150</v>
      </c>
      <c r="C58" s="41">
        <v>164208222</v>
      </c>
      <c r="D58" s="39">
        <f t="shared" si="17"/>
        <v>25452274.41</v>
      </c>
      <c r="E58" s="40">
        <v>0</v>
      </c>
      <c r="F58" s="41" t="s">
        <v>35</v>
      </c>
      <c r="G58" s="77">
        <v>0.1595</v>
      </c>
      <c r="H58" s="43">
        <v>0.14430000000000001</v>
      </c>
      <c r="I58" s="43">
        <v>0.155</v>
      </c>
      <c r="J58" s="44">
        <f t="shared" si="18"/>
        <v>0.155</v>
      </c>
      <c r="K58" s="40">
        <v>0</v>
      </c>
      <c r="L58" s="46">
        <f t="shared" si="19"/>
        <v>1.0699999999999987E-2</v>
      </c>
      <c r="M58" s="46">
        <f t="shared" si="20"/>
        <v>7.4151074151074052</v>
      </c>
      <c r="N58" s="47">
        <v>10</v>
      </c>
      <c r="O58" s="38">
        <v>1.55</v>
      </c>
      <c r="P58" s="41">
        <f t="shared" si="22"/>
        <v>0</v>
      </c>
      <c r="Q58" s="49">
        <f t="shared" si="21"/>
        <v>-2.8213166144200663E-2</v>
      </c>
      <c r="X58" s="56"/>
      <c r="Z58" s="56"/>
    </row>
    <row r="59" spans="1:26" x14ac:dyDescent="0.25">
      <c r="A59" s="36" t="s">
        <v>151</v>
      </c>
      <c r="B59" s="37" t="s">
        <v>152</v>
      </c>
      <c r="C59" s="41">
        <v>370573735</v>
      </c>
      <c r="D59" s="39">
        <f t="shared" si="17"/>
        <v>13674170.821500001</v>
      </c>
      <c r="E59" s="40">
        <v>0</v>
      </c>
      <c r="F59" s="41" t="s">
        <v>108</v>
      </c>
      <c r="G59" s="77">
        <v>1.6799999999999999E-2</v>
      </c>
      <c r="H59" s="43">
        <v>3.8199999999999998E-2</v>
      </c>
      <c r="I59" s="43">
        <v>3.6900000000000002E-2</v>
      </c>
      <c r="J59" s="44">
        <f t="shared" si="18"/>
        <v>3.6900000000000002E-2</v>
      </c>
      <c r="K59" s="40">
        <v>0</v>
      </c>
      <c r="L59" s="46">
        <f t="shared" si="19"/>
        <v>-1.2999999999999956E-3</v>
      </c>
      <c r="M59" s="78">
        <f t="shared" si="20"/>
        <v>-3.4031413612565333</v>
      </c>
      <c r="N59" s="47">
        <v>127261</v>
      </c>
      <c r="O59" s="38">
        <v>4700.4799999999996</v>
      </c>
      <c r="P59" s="55">
        <f t="shared" si="22"/>
        <v>0</v>
      </c>
      <c r="Q59" s="49">
        <f t="shared" si="21"/>
        <v>1.1964285714285716</v>
      </c>
      <c r="X59" s="56"/>
      <c r="Z59" s="56"/>
    </row>
    <row r="60" spans="1:26" x14ac:dyDescent="0.25">
      <c r="A60" s="36" t="s">
        <v>153</v>
      </c>
      <c r="B60" s="37" t="s">
        <v>154</v>
      </c>
      <c r="C60" s="41">
        <v>161273</v>
      </c>
      <c r="D60" s="39">
        <f t="shared" si="17"/>
        <v>2096549</v>
      </c>
      <c r="E60" s="40">
        <v>0</v>
      </c>
      <c r="F60" s="41" t="s">
        <v>155</v>
      </c>
      <c r="G60" s="77">
        <v>19.5</v>
      </c>
      <c r="H60" s="43">
        <v>13</v>
      </c>
      <c r="I60" s="43">
        <v>13</v>
      </c>
      <c r="J60" s="44">
        <f t="shared" si="18"/>
        <v>13</v>
      </c>
      <c r="K60" s="40">
        <v>0</v>
      </c>
      <c r="L60" s="46">
        <f t="shared" si="19"/>
        <v>0</v>
      </c>
      <c r="M60" s="46">
        <f t="shared" si="20"/>
        <v>0</v>
      </c>
      <c r="N60" s="47">
        <v>0</v>
      </c>
      <c r="O60" s="38">
        <v>0</v>
      </c>
      <c r="P60" s="41">
        <f t="shared" si="22"/>
        <v>0</v>
      </c>
      <c r="Q60" s="49">
        <f t="shared" si="21"/>
        <v>-0.33333333333333337</v>
      </c>
      <c r="X60" s="56"/>
      <c r="Z60" s="56"/>
    </row>
    <row r="61" spans="1:26" x14ac:dyDescent="0.25">
      <c r="A61" s="36" t="s">
        <v>102</v>
      </c>
      <c r="B61" s="37" t="s">
        <v>156</v>
      </c>
      <c r="C61" s="41">
        <v>805091101</v>
      </c>
      <c r="D61" s="39">
        <f t="shared" si="17"/>
        <v>805735173.88079989</v>
      </c>
      <c r="E61" s="40">
        <v>0</v>
      </c>
      <c r="F61" s="41" t="s">
        <v>108</v>
      </c>
      <c r="G61" s="77">
        <v>0.59499999999999997</v>
      </c>
      <c r="H61" s="43">
        <v>1.0094000000000001</v>
      </c>
      <c r="I61" s="43">
        <v>1.0007999999999999</v>
      </c>
      <c r="J61" s="44">
        <f t="shared" si="18"/>
        <v>1.0007999999999999</v>
      </c>
      <c r="K61" s="40">
        <v>0</v>
      </c>
      <c r="L61" s="46">
        <f t="shared" si="19"/>
        <v>-8.6000000000001631E-3</v>
      </c>
      <c r="M61" s="46">
        <f t="shared" si="20"/>
        <v>-0.85199128194968909</v>
      </c>
      <c r="N61" s="47">
        <v>430656</v>
      </c>
      <c r="O61" s="38">
        <v>431011</v>
      </c>
      <c r="P61" s="62">
        <f t="shared" si="22"/>
        <v>2.2981614708233414E-2</v>
      </c>
      <c r="Q61" s="49">
        <f t="shared" si="21"/>
        <v>0.68201680672268905</v>
      </c>
      <c r="R61" s="56">
        <v>2.3E-2</v>
      </c>
      <c r="X61" s="56"/>
      <c r="Z61" s="56"/>
    </row>
    <row r="62" spans="1:26" x14ac:dyDescent="0.25">
      <c r="A62" s="36" t="s">
        <v>157</v>
      </c>
      <c r="B62" s="37" t="s">
        <v>158</v>
      </c>
      <c r="C62" s="41">
        <v>260714518</v>
      </c>
      <c r="D62" s="39">
        <f t="shared" si="17"/>
        <v>79674356.700800002</v>
      </c>
      <c r="E62" s="40">
        <v>0</v>
      </c>
      <c r="F62" s="41" t="s">
        <v>35</v>
      </c>
      <c r="G62" s="77">
        <v>0.22600000000000001</v>
      </c>
      <c r="H62" s="43">
        <v>0.3</v>
      </c>
      <c r="I62" s="43">
        <v>0.30559999999999998</v>
      </c>
      <c r="J62" s="44">
        <f t="shared" si="18"/>
        <v>0.30559999999999998</v>
      </c>
      <c r="K62" s="40">
        <v>0</v>
      </c>
      <c r="L62" s="46">
        <f t="shared" si="19"/>
        <v>5.5999999999999939E-3</v>
      </c>
      <c r="M62" s="46">
        <f t="shared" si="20"/>
        <v>1.8666666666666647</v>
      </c>
      <c r="N62" s="47">
        <v>1158</v>
      </c>
      <c r="O62" s="38">
        <v>353.89</v>
      </c>
      <c r="P62" s="62">
        <f t="shared" si="22"/>
        <v>2.356020942408377E-2</v>
      </c>
      <c r="Q62" s="49">
        <f t="shared" si="21"/>
        <v>0.3522123893805309</v>
      </c>
      <c r="R62" s="5">
        <v>7.1999999999999998E-3</v>
      </c>
      <c r="X62" s="56"/>
      <c r="Z62" s="56"/>
    </row>
    <row r="63" spans="1:26" x14ac:dyDescent="0.25">
      <c r="A63" s="36" t="s">
        <v>159</v>
      </c>
      <c r="B63" s="37" t="s">
        <v>160</v>
      </c>
      <c r="C63" s="41">
        <v>562184788</v>
      </c>
      <c r="D63" s="39">
        <f t="shared" si="17"/>
        <v>410844643.0704</v>
      </c>
      <c r="E63" s="40">
        <v>0</v>
      </c>
      <c r="F63" s="41" t="s">
        <v>35</v>
      </c>
      <c r="G63" s="77">
        <v>0.49440000000000001</v>
      </c>
      <c r="H63" s="43">
        <v>0.74</v>
      </c>
      <c r="I63" s="43">
        <v>0.73080000000000001</v>
      </c>
      <c r="J63" s="44">
        <f t="shared" si="18"/>
        <v>0.73080000000000001</v>
      </c>
      <c r="K63" s="40">
        <v>0</v>
      </c>
      <c r="L63" s="46">
        <f t="shared" si="19"/>
        <v>-9.199999999999986E-3</v>
      </c>
      <c r="M63" s="46">
        <f t="shared" si="20"/>
        <v>-1.2432432432432412</v>
      </c>
      <c r="N63" s="47">
        <v>24258</v>
      </c>
      <c r="O63" s="38">
        <v>17728.46</v>
      </c>
      <c r="P63" s="48">
        <f t="shared" si="22"/>
        <v>1.6967706622879036E-2</v>
      </c>
      <c r="Q63" s="49">
        <f t="shared" si="21"/>
        <v>0.47815533980582514</v>
      </c>
      <c r="R63" s="56">
        <v>1.24E-2</v>
      </c>
      <c r="X63" s="56"/>
      <c r="Z63" s="56"/>
    </row>
    <row r="64" spans="1:26" x14ac:dyDescent="0.25">
      <c r="A64" s="36" t="s">
        <v>161</v>
      </c>
      <c r="B64" s="37" t="s">
        <v>162</v>
      </c>
      <c r="C64" s="41">
        <v>30000000</v>
      </c>
      <c r="D64" s="39">
        <f t="shared" si="17"/>
        <v>300000000</v>
      </c>
      <c r="E64" s="40">
        <v>0</v>
      </c>
      <c r="F64" s="41" t="s">
        <v>76</v>
      </c>
      <c r="G64" s="77">
        <v>10</v>
      </c>
      <c r="H64" s="43">
        <v>10</v>
      </c>
      <c r="I64" s="43">
        <v>10</v>
      </c>
      <c r="J64" s="44">
        <f t="shared" si="18"/>
        <v>10</v>
      </c>
      <c r="K64" s="40">
        <v>0</v>
      </c>
      <c r="L64" s="46">
        <f t="shared" si="19"/>
        <v>0</v>
      </c>
      <c r="M64" s="46">
        <f t="shared" si="20"/>
        <v>0</v>
      </c>
      <c r="N64" s="47">
        <v>0</v>
      </c>
      <c r="O64" s="38">
        <v>0</v>
      </c>
      <c r="P64" s="55">
        <f t="shared" si="22"/>
        <v>0</v>
      </c>
      <c r="Q64" s="49">
        <f t="shared" si="21"/>
        <v>0</v>
      </c>
      <c r="R64" s="5">
        <v>0</v>
      </c>
      <c r="X64" s="56"/>
      <c r="Z64" s="56"/>
    </row>
    <row r="65" spans="1:249" x14ac:dyDescent="0.25">
      <c r="A65" s="36" t="s">
        <v>163</v>
      </c>
      <c r="B65" s="37" t="s">
        <v>164</v>
      </c>
      <c r="C65" s="41">
        <v>344580486</v>
      </c>
      <c r="D65" s="39">
        <f t="shared" si="17"/>
        <v>15712870.161600001</v>
      </c>
      <c r="E65" s="40">
        <v>0</v>
      </c>
      <c r="F65" s="41" t="s">
        <v>49</v>
      </c>
      <c r="G65" s="77">
        <v>4.2999999999999997E-2</v>
      </c>
      <c r="H65" s="43">
        <v>4.5600000000000002E-2</v>
      </c>
      <c r="I65" s="43">
        <v>4.5600000000000002E-2</v>
      </c>
      <c r="J65" s="44">
        <f t="shared" si="18"/>
        <v>4.5600000000000002E-2</v>
      </c>
      <c r="K65" s="40">
        <v>0</v>
      </c>
      <c r="L65" s="46">
        <f t="shared" si="19"/>
        <v>0</v>
      </c>
      <c r="M65" s="46">
        <f t="shared" si="20"/>
        <v>0</v>
      </c>
      <c r="N65" s="47">
        <v>0</v>
      </c>
      <c r="O65" s="38">
        <v>0</v>
      </c>
      <c r="P65" s="41">
        <f t="shared" si="22"/>
        <v>0</v>
      </c>
      <c r="Q65" s="49">
        <f t="shared" si="21"/>
        <v>6.0465116279069919E-2</v>
      </c>
      <c r="X65" s="56"/>
      <c r="Z65" s="56"/>
    </row>
    <row r="66" spans="1:249" ht="13.2" x14ac:dyDescent="0.35">
      <c r="A66" s="79"/>
      <c r="B66" s="37" t="s">
        <v>96</v>
      </c>
      <c r="C66" s="41"/>
      <c r="D66" s="80"/>
      <c r="E66" s="80"/>
      <c r="F66" s="41"/>
      <c r="G66" s="41"/>
      <c r="H66" s="43"/>
      <c r="I66" s="43"/>
      <c r="J66" s="43"/>
      <c r="K66" s="43"/>
      <c r="L66" s="46"/>
      <c r="M66" s="81"/>
      <c r="N66" s="68">
        <f>SUM(N52:N65)</f>
        <v>2107242</v>
      </c>
      <c r="O66" s="69">
        <f>SUM(O52:O65)</f>
        <v>2496834.31</v>
      </c>
      <c r="P66" s="82"/>
      <c r="Q66" s="70"/>
    </row>
    <row r="67" spans="1:249" ht="12.6" hidden="1" x14ac:dyDescent="0.3">
      <c r="A67" s="146" t="s">
        <v>165</v>
      </c>
      <c r="B67" s="147"/>
      <c r="C67" s="148"/>
      <c r="D67" s="148"/>
      <c r="E67" s="148"/>
      <c r="F67" s="148"/>
      <c r="G67" s="148"/>
      <c r="H67" s="148"/>
      <c r="I67" s="148"/>
      <c r="J67" s="148"/>
      <c r="K67" s="148"/>
      <c r="L67" s="148"/>
      <c r="M67" s="148"/>
      <c r="N67" s="148"/>
      <c r="O67" s="148"/>
      <c r="P67" s="148"/>
      <c r="Q67" s="149"/>
    </row>
    <row r="68" spans="1:249" ht="12.6" hidden="1" thickBot="1" x14ac:dyDescent="0.3">
      <c r="A68" s="83" t="s">
        <v>166</v>
      </c>
      <c r="B68" s="84" t="s">
        <v>167</v>
      </c>
      <c r="C68" s="85">
        <v>20000</v>
      </c>
      <c r="D68" s="86">
        <f>C68*J68</f>
        <v>0</v>
      </c>
      <c r="E68" s="86"/>
      <c r="F68" s="85" t="s">
        <v>168</v>
      </c>
      <c r="G68" s="85"/>
      <c r="H68" s="87">
        <v>100</v>
      </c>
      <c r="I68" s="87"/>
      <c r="J68" s="87"/>
      <c r="K68" s="87"/>
      <c r="L68" s="88">
        <f>I68-H68</f>
        <v>-100</v>
      </c>
      <c r="M68" s="89">
        <f>((I68-H68)/H68)*100</f>
        <v>-100</v>
      </c>
      <c r="N68" s="90" t="s">
        <v>169</v>
      </c>
      <c r="O68" s="90" t="s">
        <v>169</v>
      </c>
      <c r="P68" s="90"/>
      <c r="Q68" s="91">
        <v>100</v>
      </c>
    </row>
    <row r="69" spans="1:249" ht="12.6" thickBot="1" x14ac:dyDescent="0.3">
      <c r="A69" s="36"/>
      <c r="B69" s="37" t="s">
        <v>96</v>
      </c>
      <c r="C69" s="41"/>
      <c r="D69" s="38"/>
      <c r="E69" s="38"/>
      <c r="F69" s="41"/>
      <c r="G69" s="41"/>
      <c r="H69" s="43"/>
      <c r="I69" s="43"/>
      <c r="J69" s="43"/>
      <c r="K69" s="43"/>
      <c r="L69" s="46"/>
      <c r="M69" s="81"/>
      <c r="N69" s="92"/>
      <c r="O69" s="92"/>
      <c r="P69" s="92"/>
      <c r="Q69" s="70"/>
    </row>
    <row r="70" spans="1:249" ht="12.6" x14ac:dyDescent="0.3">
      <c r="A70" s="146" t="s">
        <v>170</v>
      </c>
      <c r="B70" s="147"/>
      <c r="C70" s="148"/>
      <c r="D70" s="148"/>
      <c r="E70" s="148"/>
      <c r="F70" s="148"/>
      <c r="G70" s="148"/>
      <c r="H70" s="148"/>
      <c r="I70" s="148"/>
      <c r="J70" s="148"/>
      <c r="K70" s="148"/>
      <c r="L70" s="148"/>
      <c r="M70" s="148"/>
      <c r="N70" s="148"/>
      <c r="O70" s="148"/>
      <c r="P70" s="148"/>
      <c r="Q70" s="149"/>
    </row>
    <row r="71" spans="1:249" x14ac:dyDescent="0.25">
      <c r="A71" s="93" t="s">
        <v>171</v>
      </c>
      <c r="B71" s="94" t="s">
        <v>172</v>
      </c>
      <c r="C71" s="95">
        <v>139300587</v>
      </c>
      <c r="D71" s="96">
        <f>C71*J71</f>
        <v>50148211.32</v>
      </c>
      <c r="E71" s="97">
        <f>C71*K71</f>
        <v>50148211.32</v>
      </c>
      <c r="F71" s="95" t="s">
        <v>173</v>
      </c>
      <c r="G71" s="95">
        <v>0.24</v>
      </c>
      <c r="H71" s="98">
        <v>0.36</v>
      </c>
      <c r="I71" s="98">
        <v>0.36</v>
      </c>
      <c r="J71" s="99">
        <f>I71</f>
        <v>0.36</v>
      </c>
      <c r="K71" s="99">
        <f>J71</f>
        <v>0.36</v>
      </c>
      <c r="L71" s="100">
        <f>I71-H71</f>
        <v>0</v>
      </c>
      <c r="M71" s="100">
        <f>((I71-H71)/H71)*100</f>
        <v>0</v>
      </c>
      <c r="N71" s="101">
        <v>115</v>
      </c>
      <c r="O71" s="102">
        <v>41.4</v>
      </c>
      <c r="P71" s="103">
        <v>0</v>
      </c>
      <c r="Q71" s="104">
        <f>J71/G71-1</f>
        <v>0.5</v>
      </c>
      <c r="Z71" s="56"/>
    </row>
    <row r="72" spans="1:249" x14ac:dyDescent="0.25">
      <c r="A72" s="93" t="s">
        <v>174</v>
      </c>
      <c r="B72" s="94" t="s">
        <v>175</v>
      </c>
      <c r="C72" s="95">
        <v>471351750</v>
      </c>
      <c r="D72" s="96">
        <f>C72*J72</f>
        <v>65894974.650000006</v>
      </c>
      <c r="E72" s="97">
        <f>C72*K72</f>
        <v>65894974.650000006</v>
      </c>
      <c r="F72" s="95" t="s">
        <v>173</v>
      </c>
      <c r="G72" s="95">
        <v>0.1</v>
      </c>
      <c r="H72" s="98">
        <v>0.14949999999999999</v>
      </c>
      <c r="I72" s="98">
        <v>0.13980000000000001</v>
      </c>
      <c r="J72" s="99">
        <f>I72</f>
        <v>0.13980000000000001</v>
      </c>
      <c r="K72" s="99">
        <f>J72</f>
        <v>0.13980000000000001</v>
      </c>
      <c r="L72" s="100">
        <f>I72-H72</f>
        <v>-9.6999999999999864E-3</v>
      </c>
      <c r="M72" s="100">
        <f>((I72-H72)/H72)*100</f>
        <v>-6.488294314381263</v>
      </c>
      <c r="N72" s="47">
        <v>33215</v>
      </c>
      <c r="O72" s="102">
        <v>4642.1400000000003</v>
      </c>
      <c r="P72" s="103">
        <v>0</v>
      </c>
      <c r="Q72" s="104">
        <f>J72/G72-1</f>
        <v>0.39799999999999991</v>
      </c>
      <c r="Z72" s="56"/>
    </row>
    <row r="73" spans="1:249" ht="13.2" x14ac:dyDescent="0.35">
      <c r="A73" s="93"/>
      <c r="B73" s="105" t="s">
        <v>96</v>
      </c>
      <c r="C73" s="106"/>
      <c r="D73" s="107"/>
      <c r="E73" s="107"/>
      <c r="F73" s="106"/>
      <c r="G73" s="106"/>
      <c r="H73" s="108"/>
      <c r="I73" s="108"/>
      <c r="J73" s="108"/>
      <c r="K73" s="108"/>
      <c r="L73" s="100"/>
      <c r="M73" s="109"/>
      <c r="N73" s="68">
        <f>SUM(N71:N72)</f>
        <v>33330</v>
      </c>
      <c r="O73" s="69">
        <f>SUM(O71:O72)</f>
        <v>4683.54</v>
      </c>
      <c r="P73" s="110"/>
      <c r="Q73" s="100"/>
    </row>
    <row r="74" spans="1:249" ht="12.6" x14ac:dyDescent="0.3">
      <c r="A74" s="158" t="s">
        <v>176</v>
      </c>
      <c r="B74" s="159"/>
      <c r="C74" s="160"/>
      <c r="D74" s="160"/>
      <c r="E74" s="160"/>
      <c r="F74" s="160"/>
      <c r="G74" s="160"/>
      <c r="H74" s="160"/>
      <c r="I74" s="160"/>
      <c r="J74" s="160"/>
      <c r="K74" s="160"/>
      <c r="L74" s="160"/>
      <c r="M74" s="160"/>
      <c r="N74" s="160"/>
      <c r="O74" s="160"/>
      <c r="P74" s="160"/>
      <c r="Q74" s="161"/>
    </row>
    <row r="75" spans="1:249" x14ac:dyDescent="0.25">
      <c r="A75" s="36" t="s">
        <v>177</v>
      </c>
      <c r="B75" s="37" t="s">
        <v>178</v>
      </c>
      <c r="C75" s="41">
        <v>45396463</v>
      </c>
      <c r="D75" s="39">
        <f>C75*J75</f>
        <v>125540.3399887803</v>
      </c>
      <c r="E75" s="40">
        <f>C75*K75</f>
        <v>105925.08033333335</v>
      </c>
      <c r="F75" s="41" t="s">
        <v>155</v>
      </c>
      <c r="G75" s="77">
        <v>0.105</v>
      </c>
      <c r="H75" s="43">
        <v>7.0000000000000007E-2</v>
      </c>
      <c r="I75" s="43">
        <v>7.0000000000000007E-2</v>
      </c>
      <c r="J75" s="44">
        <f>I75/$J$5</f>
        <v>2.7654211736447463E-3</v>
      </c>
      <c r="K75" s="45">
        <f>I75/$K$4</f>
        <v>2.3333333333333335E-3</v>
      </c>
      <c r="L75" s="46">
        <f>I75-H75</f>
        <v>0</v>
      </c>
      <c r="M75" s="111">
        <f>((I75-H75)/H75)*100</f>
        <v>0</v>
      </c>
      <c r="N75" s="38">
        <v>0</v>
      </c>
      <c r="O75" s="38">
        <v>0</v>
      </c>
      <c r="P75" s="41">
        <v>0</v>
      </c>
      <c r="Q75" s="49">
        <f>I75/G75-1</f>
        <v>-0.33333333333333326</v>
      </c>
    </row>
    <row r="76" spans="1:249" x14ac:dyDescent="0.25">
      <c r="A76" s="36" t="s">
        <v>179</v>
      </c>
      <c r="B76" s="37" t="s">
        <v>180</v>
      </c>
      <c r="C76" s="41">
        <v>136162052</v>
      </c>
      <c r="D76" s="39">
        <f>C76*J76</f>
        <v>367712.74189992336</v>
      </c>
      <c r="E76" s="40">
        <f>C76*K76</f>
        <v>310258.85168720002</v>
      </c>
      <c r="F76" s="41" t="s">
        <v>155</v>
      </c>
      <c r="G76" s="77">
        <v>4.2500000000000003E-2</v>
      </c>
      <c r="H76" s="43">
        <v>6.8358000000000002E-2</v>
      </c>
      <c r="I76" s="43">
        <v>6.8358000000000002E-2</v>
      </c>
      <c r="J76" s="44">
        <f>I76/$J$5</f>
        <v>2.7005522941143936E-3</v>
      </c>
      <c r="K76" s="45">
        <f>I76/$K$4</f>
        <v>2.2786E-3</v>
      </c>
      <c r="L76" s="46">
        <f>I76-H76</f>
        <v>0</v>
      </c>
      <c r="M76" s="111">
        <f>((I76-H76)/H76)*100</f>
        <v>0</v>
      </c>
      <c r="N76" s="38">
        <v>0</v>
      </c>
      <c r="O76" s="38">
        <v>0</v>
      </c>
      <c r="P76" s="41">
        <v>0</v>
      </c>
      <c r="Q76" s="49">
        <f>I76/G76-1</f>
        <v>0.60842352941176459</v>
      </c>
    </row>
    <row r="77" spans="1:249" x14ac:dyDescent="0.25">
      <c r="A77" s="36" t="s">
        <v>181</v>
      </c>
      <c r="B77" s="37" t="s">
        <v>182</v>
      </c>
      <c r="C77" s="41">
        <v>494417400</v>
      </c>
      <c r="D77" s="39">
        <f>C77*J77</f>
        <v>1367272.3465783841</v>
      </c>
      <c r="E77" s="40">
        <f>C77*K77</f>
        <v>1153640.6000000001</v>
      </c>
      <c r="F77" s="41" t="s">
        <v>155</v>
      </c>
      <c r="G77" s="77">
        <v>6.0499999999999998E-2</v>
      </c>
      <c r="H77" s="43">
        <v>6.7667000000000005E-2</v>
      </c>
      <c r="I77" s="43">
        <v>7.0000000000000007E-2</v>
      </c>
      <c r="J77" s="44">
        <f>I77/$J$5</f>
        <v>2.7654211736447463E-3</v>
      </c>
      <c r="K77" s="45">
        <f>I77/$K$4</f>
        <v>2.3333333333333335E-3</v>
      </c>
      <c r="L77" s="46">
        <f>I77-H77</f>
        <v>2.3330000000000017E-3</v>
      </c>
      <c r="M77" s="111">
        <f>((I77-H77)/H77)*100</f>
        <v>3.4477662671612479</v>
      </c>
      <c r="N77" s="38">
        <v>100</v>
      </c>
      <c r="O77" s="38">
        <v>7</v>
      </c>
      <c r="P77" s="41">
        <v>0</v>
      </c>
      <c r="Q77" s="49">
        <f>I77/G77-1</f>
        <v>0.1570247933884299</v>
      </c>
    </row>
    <row r="78" spans="1:249" x14ac:dyDescent="0.25">
      <c r="A78" s="36" t="s">
        <v>183</v>
      </c>
      <c r="B78" s="37" t="s">
        <v>184</v>
      </c>
      <c r="C78" s="38">
        <v>41156692</v>
      </c>
      <c r="D78" s="39">
        <f>C78*J78</f>
        <v>2878648.2279520873</v>
      </c>
      <c r="E78" s="40">
        <f>C78*K78</f>
        <v>2428869.0378286666</v>
      </c>
      <c r="F78" s="41" t="s">
        <v>155</v>
      </c>
      <c r="G78" s="77">
        <v>1.85</v>
      </c>
      <c r="H78" s="43">
        <v>1.7704550000000001</v>
      </c>
      <c r="I78" s="43">
        <v>1.7704550000000001</v>
      </c>
      <c r="J78" s="44">
        <f>I78/$J$5</f>
        <v>6.9943624914074423E-2</v>
      </c>
      <c r="K78" s="45">
        <f>I78/$K$4</f>
        <v>5.9015166666666667E-2</v>
      </c>
      <c r="L78" s="46">
        <f>I78-H78</f>
        <v>0</v>
      </c>
      <c r="M78" s="111">
        <f>((I78-H78)/H78)*100</f>
        <v>0</v>
      </c>
      <c r="N78" s="38">
        <v>0</v>
      </c>
      <c r="O78" s="38">
        <v>0</v>
      </c>
      <c r="P78" s="41">
        <v>0</v>
      </c>
      <c r="Q78" s="49">
        <f>I78/G78-1</f>
        <v>-4.2997297297297288E-2</v>
      </c>
    </row>
    <row r="79" spans="1:249" ht="13.8" thickBot="1" x14ac:dyDescent="0.4">
      <c r="A79" s="36"/>
      <c r="B79" s="37" t="s">
        <v>96</v>
      </c>
      <c r="C79" s="38"/>
      <c r="D79" s="38"/>
      <c r="E79" s="38"/>
      <c r="F79" s="41"/>
      <c r="G79" s="41"/>
      <c r="H79" s="43"/>
      <c r="I79" s="43"/>
      <c r="J79" s="43"/>
      <c r="K79" s="43"/>
      <c r="L79" s="46"/>
      <c r="M79" s="46"/>
      <c r="N79" s="68">
        <f>SUM(N75:N78)</f>
        <v>100</v>
      </c>
      <c r="O79" s="69">
        <f>SUM(O75:O78)</f>
        <v>7</v>
      </c>
      <c r="P79" s="82"/>
      <c r="Q79" s="70"/>
      <c r="EA79" s="112"/>
      <c r="EB79" s="112"/>
      <c r="EC79" s="113"/>
      <c r="ED79" s="114"/>
      <c r="EE79" s="114"/>
      <c r="EF79" s="115"/>
      <c r="EG79" s="115"/>
      <c r="EH79" s="116"/>
      <c r="EI79" s="116"/>
      <c r="EJ79" s="117"/>
      <c r="EK79" s="117"/>
      <c r="EL79" s="115"/>
      <c r="EM79" s="118"/>
      <c r="EN79" s="119"/>
      <c r="EO79" s="113"/>
      <c r="EP79" s="112"/>
      <c r="EQ79" s="112"/>
      <c r="ER79" s="113"/>
      <c r="ES79" s="114"/>
      <c r="ET79" s="114"/>
      <c r="EU79" s="115"/>
      <c r="EV79" s="115"/>
      <c r="EW79" s="116"/>
      <c r="EX79" s="116"/>
      <c r="EY79" s="117"/>
      <c r="EZ79" s="117"/>
      <c r="FA79" s="115"/>
      <c r="FB79" s="118"/>
      <c r="FC79" s="119"/>
      <c r="FD79" s="113"/>
      <c r="FE79" s="112"/>
      <c r="FF79" s="112"/>
      <c r="FG79" s="113"/>
      <c r="FH79" s="114"/>
      <c r="FI79" s="114"/>
      <c r="FJ79" s="115"/>
      <c r="FK79" s="115"/>
      <c r="FL79" s="116"/>
      <c r="FM79" s="116"/>
      <c r="FN79" s="117"/>
      <c r="FO79" s="117"/>
      <c r="FP79" s="115"/>
      <c r="FQ79" s="118"/>
      <c r="FR79" s="119"/>
      <c r="FS79" s="113"/>
      <c r="FT79" s="112"/>
      <c r="FU79" s="112"/>
      <c r="FV79" s="113"/>
      <c r="FW79" s="114"/>
      <c r="FX79" s="114"/>
      <c r="FY79" s="115"/>
      <c r="FZ79" s="115"/>
      <c r="GA79" s="116"/>
      <c r="GB79" s="116"/>
      <c r="GC79" s="117"/>
      <c r="GD79" s="117"/>
      <c r="GE79" s="115"/>
      <c r="GF79" s="118"/>
      <c r="GG79" s="119"/>
      <c r="GH79" s="113"/>
      <c r="GI79" s="112"/>
      <c r="GJ79" s="112"/>
      <c r="GK79" s="113"/>
      <c r="GL79" s="114"/>
      <c r="GM79" s="114"/>
      <c r="GN79" s="115"/>
      <c r="GO79" s="115"/>
      <c r="GP79" s="116"/>
      <c r="GQ79" s="116"/>
      <c r="GR79" s="117"/>
      <c r="GS79" s="117"/>
      <c r="GT79" s="115"/>
      <c r="GU79" s="118"/>
      <c r="GV79" s="119"/>
      <c r="GW79" s="113"/>
      <c r="GX79" s="112"/>
      <c r="GY79" s="112"/>
      <c r="GZ79" s="113"/>
      <c r="HA79" s="114"/>
      <c r="HB79" s="114"/>
      <c r="HC79" s="115"/>
      <c r="HD79" s="115"/>
      <c r="HE79" s="116"/>
      <c r="HF79" s="116"/>
      <c r="HG79" s="117"/>
      <c r="HH79" s="117"/>
      <c r="HI79" s="115"/>
      <c r="HJ79" s="118"/>
      <c r="HK79" s="119"/>
      <c r="HL79" s="113"/>
      <c r="HM79" s="112"/>
      <c r="HN79" s="112"/>
      <c r="HO79" s="113"/>
      <c r="HP79" s="114"/>
      <c r="HQ79" s="114"/>
      <c r="HR79" s="115"/>
      <c r="HS79" s="115"/>
      <c r="HT79" s="116"/>
      <c r="HU79" s="116"/>
      <c r="HV79" s="117"/>
      <c r="HW79" s="117"/>
      <c r="HX79" s="115"/>
      <c r="HY79" s="118"/>
      <c r="HZ79" s="119"/>
      <c r="IA79" s="113"/>
      <c r="IB79" s="112"/>
      <c r="IC79" s="112"/>
      <c r="ID79" s="113"/>
      <c r="IE79" s="114"/>
      <c r="IF79" s="114"/>
      <c r="IG79" s="115"/>
      <c r="IH79" s="115"/>
      <c r="II79" s="116"/>
      <c r="IJ79" s="116"/>
      <c r="IK79" s="117"/>
      <c r="IL79" s="117"/>
      <c r="IM79" s="115"/>
      <c r="IN79" s="118"/>
      <c r="IO79" s="119"/>
    </row>
    <row r="80" spans="1:249" ht="13.2" thickTop="1" x14ac:dyDescent="0.3">
      <c r="A80" s="146" t="s">
        <v>185</v>
      </c>
      <c r="B80" s="147"/>
      <c r="C80" s="148"/>
      <c r="D80" s="148"/>
      <c r="E80" s="148"/>
      <c r="F80" s="148"/>
      <c r="G80" s="148"/>
      <c r="H80" s="148"/>
      <c r="I80" s="148"/>
      <c r="J80" s="148"/>
      <c r="K80" s="148"/>
      <c r="L80" s="148"/>
      <c r="M80" s="148"/>
      <c r="N80" s="148"/>
      <c r="O80" s="148"/>
      <c r="P80" s="148"/>
      <c r="Q80" s="149"/>
    </row>
    <row r="81" spans="1:44" x14ac:dyDescent="0.25">
      <c r="A81" s="36" t="s">
        <v>186</v>
      </c>
      <c r="B81" s="37" t="s">
        <v>187</v>
      </c>
      <c r="C81" s="41">
        <v>368326244</v>
      </c>
      <c r="D81" s="39">
        <f>C81*J81</f>
        <v>30702826.846708748</v>
      </c>
      <c r="E81" s="40">
        <f>C81*K81</f>
        <v>25905612.494666666</v>
      </c>
      <c r="F81" s="41" t="s">
        <v>188</v>
      </c>
      <c r="G81" s="41">
        <v>1.3</v>
      </c>
      <c r="H81" s="43">
        <v>2.11</v>
      </c>
      <c r="I81" s="43">
        <v>2.11</v>
      </c>
      <c r="J81" s="44">
        <f>I81/$J$5</f>
        <v>8.3357695377005908E-2</v>
      </c>
      <c r="K81" s="45">
        <f>I81/$K$4</f>
        <v>7.0333333333333331E-2</v>
      </c>
      <c r="L81" s="46">
        <f>I81-H81</f>
        <v>0</v>
      </c>
      <c r="M81" s="46">
        <f>((I81-H81)/H81*100)</f>
        <v>0</v>
      </c>
      <c r="N81" s="120">
        <v>0</v>
      </c>
      <c r="O81" s="38">
        <v>0</v>
      </c>
      <c r="P81" s="55">
        <f>(R81)/J81</f>
        <v>0</v>
      </c>
      <c r="Q81" s="49">
        <f>I81/G81-1</f>
        <v>0.62307692307692286</v>
      </c>
      <c r="R81" s="56">
        <v>0</v>
      </c>
    </row>
    <row r="82" spans="1:44" s="122" customFormat="1" ht="12.6" thickBot="1" x14ac:dyDescent="0.3">
      <c r="A82" s="36" t="s">
        <v>189</v>
      </c>
      <c r="B82" s="37" t="s">
        <v>190</v>
      </c>
      <c r="C82" s="41">
        <v>1841105000</v>
      </c>
      <c r="D82" s="39">
        <f>C82*J82</f>
        <v>83189105.226843551</v>
      </c>
      <c r="E82" s="40">
        <f>C82*K82</f>
        <v>70191084.832166672</v>
      </c>
      <c r="F82" s="41" t="s">
        <v>188</v>
      </c>
      <c r="G82" s="41">
        <v>1.44347</v>
      </c>
      <c r="H82" s="43">
        <v>1.15133</v>
      </c>
      <c r="I82" s="43">
        <v>1.1437330000000001</v>
      </c>
      <c r="J82" s="44">
        <f>I82/$J$5</f>
        <v>4.5184335074231807E-2</v>
      </c>
      <c r="K82" s="45">
        <f>I82/$K$4</f>
        <v>3.8124433333333339E-2</v>
      </c>
      <c r="L82" s="46">
        <f>I82-H82</f>
        <v>-7.5969999999998539E-3</v>
      </c>
      <c r="M82" s="46">
        <f>((I82-H82)/H82*100)</f>
        <v>-0.65984556990609589</v>
      </c>
      <c r="N82" s="121">
        <v>1504525</v>
      </c>
      <c r="O82" s="38">
        <v>1720780.6255000001</v>
      </c>
      <c r="P82" s="48">
        <f>(R82)/J82</f>
        <v>4.2116366144895702E-2</v>
      </c>
      <c r="Q82" s="49">
        <f>I82/G82-1</f>
        <v>-0.20765031486625973</v>
      </c>
      <c r="R82" s="56">
        <v>1.903E-3</v>
      </c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</row>
    <row r="83" spans="1:44" ht="13.8" thickBot="1" x14ac:dyDescent="0.4">
      <c r="A83" s="83"/>
      <c r="B83" s="84" t="s">
        <v>96</v>
      </c>
      <c r="C83" s="85"/>
      <c r="D83" s="123"/>
      <c r="E83" s="86"/>
      <c r="F83" s="85"/>
      <c r="G83" s="85"/>
      <c r="H83" s="87"/>
      <c r="I83" s="87"/>
      <c r="J83" s="87"/>
      <c r="K83" s="87"/>
      <c r="L83" s="88"/>
      <c r="M83" s="88"/>
      <c r="N83" s="68">
        <f>SUM(N81:N82)</f>
        <v>1504525</v>
      </c>
      <c r="O83" s="69">
        <f>SUM(O81:O82)</f>
        <v>1720780.6255000001</v>
      </c>
      <c r="P83" s="124"/>
      <c r="Q83" s="91"/>
    </row>
    <row r="84" spans="1:44" ht="12.6" thickBot="1" x14ac:dyDescent="0.3">
      <c r="A84" s="125"/>
      <c r="B84" s="126"/>
      <c r="C84" s="126"/>
      <c r="D84" s="126"/>
      <c r="E84" s="126"/>
      <c r="F84" s="127"/>
      <c r="G84" s="127"/>
      <c r="H84" s="66"/>
      <c r="M84" s="128"/>
      <c r="N84" s="128"/>
      <c r="O84" s="66"/>
      <c r="P84" s="66"/>
      <c r="Q84" s="129"/>
    </row>
    <row r="85" spans="1:44" ht="12.6" thickBot="1" x14ac:dyDescent="0.3">
      <c r="A85" s="150" t="s">
        <v>191</v>
      </c>
      <c r="B85" s="151"/>
      <c r="C85" s="151"/>
      <c r="D85" s="151"/>
      <c r="E85" s="150" t="s">
        <v>192</v>
      </c>
      <c r="F85" s="151"/>
      <c r="G85" s="151"/>
      <c r="H85" s="152"/>
      <c r="L85" s="153" t="s">
        <v>193</v>
      </c>
      <c r="M85" s="154"/>
      <c r="N85" s="155"/>
      <c r="O85" s="153" t="s">
        <v>194</v>
      </c>
      <c r="P85" s="154"/>
      <c r="Q85" s="155"/>
    </row>
    <row r="86" spans="1:44" x14ac:dyDescent="0.25">
      <c r="A86" s="36" t="s">
        <v>69</v>
      </c>
      <c r="B86" s="130">
        <v>0.59799999999999998</v>
      </c>
      <c r="C86" s="130"/>
      <c r="D86" s="130">
        <v>14.999999999999991</v>
      </c>
      <c r="E86" s="36" t="s">
        <v>120</v>
      </c>
      <c r="F86" s="131">
        <v>3.3</v>
      </c>
      <c r="G86" s="131"/>
      <c r="H86" s="132">
        <v>-11.646586345381529</v>
      </c>
      <c r="L86" s="36" t="s">
        <v>149</v>
      </c>
      <c r="M86" s="130">
        <v>0.155</v>
      </c>
      <c r="N86" s="133">
        <v>7.4151074151074052</v>
      </c>
      <c r="O86" s="36" t="s">
        <v>151</v>
      </c>
      <c r="P86" s="131">
        <v>3.6900000000000002E-2</v>
      </c>
      <c r="Q86" s="132">
        <v>-3.4031413612565333</v>
      </c>
    </row>
    <row r="87" spans="1:44" x14ac:dyDescent="0.25">
      <c r="A87" s="36" t="s">
        <v>136</v>
      </c>
      <c r="B87" s="130">
        <v>0.97</v>
      </c>
      <c r="C87" s="130"/>
      <c r="D87" s="130">
        <v>13.750433893407637</v>
      </c>
      <c r="E87" s="36" t="s">
        <v>74</v>
      </c>
      <c r="F87" s="131">
        <v>1.08</v>
      </c>
      <c r="G87" s="131"/>
      <c r="H87" s="132">
        <v>-0.89015325318893468</v>
      </c>
      <c r="L87" s="36" t="s">
        <v>143</v>
      </c>
      <c r="M87" s="130">
        <v>2.5100000000000001E-2</v>
      </c>
      <c r="N87" s="133">
        <v>4.5833333333333348</v>
      </c>
      <c r="O87" s="36" t="s">
        <v>145</v>
      </c>
      <c r="P87" s="131">
        <v>9.6699999999999994E-2</v>
      </c>
      <c r="Q87" s="132">
        <v>-2.6183282980866114</v>
      </c>
    </row>
    <row r="88" spans="1:44" x14ac:dyDescent="0.25">
      <c r="A88" s="36" t="s">
        <v>51</v>
      </c>
      <c r="B88" s="130">
        <v>15.9</v>
      </c>
      <c r="C88" s="130"/>
      <c r="D88" s="130">
        <v>13.195457943259875</v>
      </c>
      <c r="E88" s="36" t="s">
        <v>113</v>
      </c>
      <c r="F88" s="131">
        <v>3.6000000000000004E-2</v>
      </c>
      <c r="G88" s="131"/>
      <c r="H88" s="132">
        <v>-0.87559887659011737</v>
      </c>
      <c r="L88" s="36" t="s">
        <v>140</v>
      </c>
      <c r="M88" s="130">
        <v>0.12620000000000001</v>
      </c>
      <c r="N88" s="133">
        <v>2.5182778229082095</v>
      </c>
      <c r="O88" s="36" t="s">
        <v>159</v>
      </c>
      <c r="P88" s="131">
        <v>0.73080000000000001</v>
      </c>
      <c r="Q88" s="132">
        <v>-1.2432432432432412</v>
      </c>
    </row>
    <row r="89" spans="1:44" x14ac:dyDescent="0.25">
      <c r="A89" s="36" t="s">
        <v>58</v>
      </c>
      <c r="B89" s="130">
        <v>2.75</v>
      </c>
      <c r="C89" s="130"/>
      <c r="D89" s="130">
        <v>5.3639846743295072</v>
      </c>
      <c r="E89" s="36" t="s">
        <v>36</v>
      </c>
      <c r="F89" s="131">
        <v>3.3980999999999997E-2</v>
      </c>
      <c r="G89" s="131"/>
      <c r="H89" s="132">
        <v>-5.5882352941191545E-2</v>
      </c>
      <c r="L89" s="36" t="s">
        <v>157</v>
      </c>
      <c r="M89" s="130">
        <v>0.30559999999999998</v>
      </c>
      <c r="N89" s="133">
        <v>1.8666666666666647</v>
      </c>
      <c r="O89" s="36" t="s">
        <v>102</v>
      </c>
      <c r="P89" s="131">
        <v>1.0007999999999999</v>
      </c>
      <c r="Q89" s="132">
        <v>-0.85199128194968909</v>
      </c>
    </row>
    <row r="90" spans="1:44" x14ac:dyDescent="0.25">
      <c r="A90" s="36" t="s">
        <v>110</v>
      </c>
      <c r="B90" s="130">
        <v>4.266667</v>
      </c>
      <c r="C90" s="130"/>
      <c r="D90" s="130">
        <v>3.225822840792155</v>
      </c>
      <c r="E90" s="36" t="s">
        <v>44</v>
      </c>
      <c r="F90" s="131">
        <v>213.49919600000001</v>
      </c>
      <c r="G90" s="131"/>
      <c r="H90" s="132">
        <v>-1.8735433020260788E-6</v>
      </c>
      <c r="L90" s="36" t="s">
        <v>147</v>
      </c>
      <c r="M90" s="130">
        <v>1.3</v>
      </c>
      <c r="N90" s="133">
        <v>0.34735623311462355</v>
      </c>
      <c r="O90" s="36" t="s">
        <v>112</v>
      </c>
      <c r="P90" s="131">
        <v>68.693100000000001</v>
      </c>
      <c r="Q90" s="134">
        <v>-0.44478260869565045</v>
      </c>
    </row>
    <row r="91" spans="1:44" ht="12.6" thickBot="1" x14ac:dyDescent="0.3">
      <c r="A91" s="135"/>
      <c r="B91" s="136"/>
      <c r="C91" s="136"/>
      <c r="D91" s="136"/>
      <c r="E91" s="135"/>
      <c r="F91" s="136"/>
      <c r="G91" s="136"/>
      <c r="H91" s="137"/>
      <c r="L91" s="135"/>
      <c r="M91" s="136"/>
      <c r="N91" s="137"/>
      <c r="O91" s="136"/>
      <c r="P91" s="136"/>
      <c r="Q91" s="137"/>
    </row>
    <row r="92" spans="1:44" x14ac:dyDescent="0.25">
      <c r="A92" s="138"/>
      <c r="B92" s="139"/>
      <c r="C92" s="139"/>
      <c r="D92" s="139"/>
      <c r="E92" s="128"/>
      <c r="F92" s="128"/>
      <c r="G92" s="128"/>
      <c r="H92" s="128"/>
      <c r="I92" s="128"/>
      <c r="J92" s="128"/>
      <c r="K92" s="128"/>
      <c r="L92" s="128"/>
      <c r="M92" s="139"/>
      <c r="Q92" s="16"/>
    </row>
    <row r="93" spans="1:44" x14ac:dyDescent="0.25">
      <c r="A93" s="12" t="s">
        <v>195</v>
      </c>
      <c r="B93" s="27"/>
      <c r="C93" s="27"/>
      <c r="D93" s="27"/>
      <c r="E93" s="27"/>
      <c r="F93" s="13"/>
      <c r="G93" s="13"/>
      <c r="H93" s="13"/>
      <c r="I93" s="13"/>
      <c r="J93" s="13"/>
      <c r="K93" s="13"/>
      <c r="L93" s="13"/>
      <c r="M93" s="13"/>
      <c r="Q93" s="16"/>
    </row>
    <row r="94" spans="1:44" x14ac:dyDescent="0.25">
      <c r="A94" s="138"/>
      <c r="B94" s="139"/>
      <c r="C94" s="139"/>
      <c r="D94" s="139"/>
      <c r="E94" s="139"/>
      <c r="F94" s="128"/>
      <c r="G94" s="128"/>
      <c r="H94" s="139"/>
      <c r="I94" s="128"/>
      <c r="J94" s="128"/>
      <c r="K94" s="128"/>
      <c r="L94" s="128"/>
      <c r="M94" s="139"/>
      <c r="Q94" s="16"/>
    </row>
    <row r="95" spans="1:44" ht="12.6" thickBot="1" x14ac:dyDescent="0.3">
      <c r="A95" s="140"/>
      <c r="B95" s="141"/>
      <c r="C95" s="141"/>
      <c r="D95" s="141"/>
      <c r="E95" s="141"/>
      <c r="F95" s="142"/>
      <c r="G95" s="142"/>
      <c r="H95" s="142"/>
      <c r="I95" s="143"/>
      <c r="J95" s="143"/>
      <c r="K95" s="143"/>
      <c r="L95" s="143"/>
      <c r="M95" s="143"/>
      <c r="N95" s="143"/>
      <c r="O95" s="143"/>
      <c r="P95" s="143"/>
      <c r="Q95" s="144"/>
    </row>
    <row r="96" spans="1:44" x14ac:dyDescent="0.25">
      <c r="I96" s="35"/>
      <c r="J96" s="35"/>
      <c r="K96" s="35"/>
      <c r="L96" s="35"/>
      <c r="M96" s="35"/>
      <c r="N96" s="35"/>
      <c r="O96" s="35"/>
      <c r="P96" s="35"/>
    </row>
    <row r="97" spans="9:16" x14ac:dyDescent="0.25">
      <c r="I97" s="35"/>
      <c r="J97" s="35"/>
      <c r="K97" s="35"/>
      <c r="O97" s="35"/>
      <c r="P97" s="35"/>
    </row>
    <row r="98" spans="9:16" x14ac:dyDescent="0.25">
      <c r="I98" s="35"/>
      <c r="J98" s="35"/>
      <c r="K98" s="35"/>
      <c r="O98" s="35"/>
      <c r="P98" s="35"/>
    </row>
    <row r="99" spans="9:16" x14ac:dyDescent="0.25">
      <c r="I99" s="145"/>
      <c r="J99" s="145"/>
      <c r="K99" s="145"/>
      <c r="O99" s="145"/>
      <c r="P99" s="145"/>
    </row>
    <row r="101" spans="9:16" x14ac:dyDescent="0.25">
      <c r="I101" s="35"/>
      <c r="J101" s="35"/>
      <c r="K101" s="35"/>
      <c r="O101" s="35"/>
      <c r="P101" s="35"/>
    </row>
    <row r="102" spans="9:16" x14ac:dyDescent="0.25">
      <c r="I102" s="145"/>
      <c r="J102" s="145"/>
      <c r="K102" s="145"/>
      <c r="O102" s="145"/>
      <c r="P102" s="145"/>
    </row>
    <row r="103" spans="9:16" x14ac:dyDescent="0.25">
      <c r="I103" s="35"/>
      <c r="J103" s="35"/>
      <c r="K103" s="35"/>
      <c r="O103" s="35"/>
      <c r="P103" s="35"/>
    </row>
    <row r="104" spans="9:16" x14ac:dyDescent="0.25">
      <c r="I104" s="145"/>
      <c r="J104" s="145"/>
      <c r="K104" s="145"/>
      <c r="O104" s="145"/>
      <c r="P104" s="145"/>
    </row>
  </sheetData>
  <sheetProtection algorithmName="SHA-512" hashValue="EW49B3VaKtlbrVRCRRD0pU+Qia/05nMeuMUjzYI/NXIq2w3yOC9RfcsFsClo46RN7LNFu9q79Dww9BrqaW7Zrg==" saltValue="oQTegW8aSBJx6FThzmuOtw==" spinCount="100000" sheet="1"/>
  <mergeCells count="11">
    <mergeCell ref="A74:Q74"/>
    <mergeCell ref="L5:M5"/>
    <mergeCell ref="A6:Q6"/>
    <mergeCell ref="A51:Q51"/>
    <mergeCell ref="A67:Q67"/>
    <mergeCell ref="A70:Q70"/>
    <mergeCell ref="A80:Q80"/>
    <mergeCell ref="A85:D85"/>
    <mergeCell ref="E85:H85"/>
    <mergeCell ref="L85:N85"/>
    <mergeCell ref="O85:Q85"/>
  </mergeCells>
  <conditionalFormatting sqref="A10:A12">
    <cfRule type="duplicateValues" dxfId="37" priority="42" stopIfTrue="1"/>
  </conditionalFormatting>
  <conditionalFormatting sqref="A30:A35">
    <cfRule type="duplicateValues" dxfId="36" priority="43" stopIfTrue="1"/>
  </conditionalFormatting>
  <conditionalFormatting sqref="A86:A88">
    <cfRule type="duplicateValues" dxfId="35" priority="23" stopIfTrue="1"/>
  </conditionalFormatting>
  <conditionalFormatting sqref="L10:M27 L29:M48 L52:M65">
    <cfRule type="cellIs" dxfId="34" priority="39" stopIfTrue="1" operator="greaterThan">
      <formula>0</formula>
    </cfRule>
    <cfRule type="cellIs" priority="41" stopIfTrue="1" operator="greaterThan">
      <formula>0</formula>
    </cfRule>
    <cfRule type="cellIs" dxfId="33" priority="40" stopIfTrue="1" operator="greaterThan">
      <formula>0</formula>
    </cfRule>
  </conditionalFormatting>
  <conditionalFormatting sqref="L10:M48">
    <cfRule type="cellIs" dxfId="32" priority="11" stopIfTrue="1" operator="lessThan">
      <formula>0</formula>
    </cfRule>
    <cfRule type="cellIs" dxfId="31" priority="15" stopIfTrue="1" operator="greaterThan">
      <formula>0</formula>
    </cfRule>
  </conditionalFormatting>
  <conditionalFormatting sqref="L28:M28">
    <cfRule type="cellIs" priority="16" stopIfTrue="1" operator="greaterThan">
      <formula>0</formula>
    </cfRule>
    <cfRule type="cellIs" dxfId="30" priority="12" stopIfTrue="1" operator="greaterThan">
      <formula>0</formula>
    </cfRule>
    <cfRule type="cellIs" dxfId="29" priority="13" stopIfTrue="1" operator="lessThan">
      <formula>0</formula>
    </cfRule>
    <cfRule type="cellIs" dxfId="28" priority="14" stopIfTrue="1" operator="greaterThan">
      <formula>0</formula>
    </cfRule>
  </conditionalFormatting>
  <conditionalFormatting sqref="L52:M65 L10:M27 L29:M48">
    <cfRule type="cellIs" dxfId="27" priority="38" stopIfTrue="1" operator="lessThan">
      <formula>0</formula>
    </cfRule>
  </conditionalFormatting>
  <conditionalFormatting sqref="L52:M65">
    <cfRule type="cellIs" dxfId="26" priority="37" stopIfTrue="1" operator="greaterThan">
      <formula>0</formula>
    </cfRule>
    <cfRule type="cellIs" dxfId="25" priority="36" stopIfTrue="1" operator="lessThan">
      <formula>0</formula>
    </cfRule>
  </conditionalFormatting>
  <conditionalFormatting sqref="L71:M72">
    <cfRule type="cellIs" dxfId="24" priority="2" stopIfTrue="1" operator="greaterThan">
      <formula>0</formula>
    </cfRule>
    <cfRule type="cellIs" dxfId="23" priority="3" stopIfTrue="1" operator="lessThan">
      <formula>0</formula>
    </cfRule>
    <cfRule type="cellIs" dxfId="22" priority="4" stopIfTrue="1" operator="greaterThan">
      <formula>0</formula>
    </cfRule>
    <cfRule type="cellIs" dxfId="21" priority="5" stopIfTrue="1" operator="greaterThan">
      <formula>0</formula>
    </cfRule>
    <cfRule type="cellIs" dxfId="20" priority="1" stopIfTrue="1" operator="lessThan">
      <formula>0</formula>
    </cfRule>
    <cfRule type="cellIs" priority="6" stopIfTrue="1" operator="greaterThan">
      <formula>0</formula>
    </cfRule>
  </conditionalFormatting>
  <conditionalFormatting sqref="L75:M78">
    <cfRule type="cellIs" dxfId="19" priority="30" stopIfTrue="1" operator="lessThan">
      <formula>0</formula>
    </cfRule>
    <cfRule type="cellIs" dxfId="18" priority="31" stopIfTrue="1" operator="greaterThan">
      <formula>0</formula>
    </cfRule>
    <cfRule type="cellIs" dxfId="17" priority="32" stopIfTrue="1" operator="lessThan">
      <formula>0</formula>
    </cfRule>
    <cfRule type="cellIs" dxfId="16" priority="34" stopIfTrue="1" operator="greaterThan">
      <formula>0</formula>
    </cfRule>
    <cfRule type="cellIs" priority="35" stopIfTrue="1" operator="greaterThan">
      <formula>0</formula>
    </cfRule>
    <cfRule type="cellIs" dxfId="15" priority="33" stopIfTrue="1" operator="greaterThan">
      <formula>0</formula>
    </cfRule>
  </conditionalFormatting>
  <conditionalFormatting sqref="L81:M82">
    <cfRule type="cellIs" dxfId="14" priority="24" stopIfTrue="1" operator="lessThan">
      <formula>0</formula>
    </cfRule>
    <cfRule type="cellIs" dxfId="13" priority="25" stopIfTrue="1" operator="greaterThan">
      <formula>0</formula>
    </cfRule>
    <cfRule type="cellIs" dxfId="12" priority="26" stopIfTrue="1" operator="lessThan">
      <formula>0</formula>
    </cfRule>
    <cfRule type="cellIs" dxfId="11" priority="28" stopIfTrue="1" operator="greaterThan">
      <formula>0</formula>
    </cfRule>
    <cfRule type="cellIs" priority="29" stopIfTrue="1" operator="greaterThan">
      <formula>0</formula>
    </cfRule>
    <cfRule type="cellIs" dxfId="10" priority="27" stopIfTrue="1" operator="greaterThan">
      <formula>0</formula>
    </cfRule>
  </conditionalFormatting>
  <conditionalFormatting sqref="Q10:Q48">
    <cfRule type="cellIs" dxfId="9" priority="10" stopIfTrue="1" operator="lessThan">
      <formula>0</formula>
    </cfRule>
    <cfRule type="cellIs" dxfId="8" priority="9" stopIfTrue="1" operator="greaterThan">
      <formula>0</formula>
    </cfRule>
  </conditionalFormatting>
  <conditionalFormatting sqref="Q52:Q65">
    <cfRule type="cellIs" dxfId="7" priority="21" stopIfTrue="1" operator="greaterThan">
      <formula>0</formula>
    </cfRule>
    <cfRule type="cellIs" dxfId="6" priority="22" stopIfTrue="1" operator="lessThan">
      <formula>0</formula>
    </cfRule>
  </conditionalFormatting>
  <conditionalFormatting sqref="Q71:Q72">
    <cfRule type="cellIs" dxfId="5" priority="7" stopIfTrue="1" operator="greaterThan">
      <formula>0</formula>
    </cfRule>
    <cfRule type="cellIs" dxfId="4" priority="8" stopIfTrue="1" operator="lessThan">
      <formula>0</formula>
    </cfRule>
  </conditionalFormatting>
  <conditionalFormatting sqref="Q75:Q78">
    <cfRule type="cellIs" dxfId="3" priority="20" stopIfTrue="1" operator="lessThan">
      <formula>0</formula>
    </cfRule>
    <cfRule type="cellIs" dxfId="2" priority="19" stopIfTrue="1" operator="greaterThan">
      <formula>0</formula>
    </cfRule>
  </conditionalFormatting>
  <conditionalFormatting sqref="Q81:Q82">
    <cfRule type="cellIs" dxfId="1" priority="17" stopIfTrue="1" operator="greaterThan">
      <formula>0</formula>
    </cfRule>
    <cfRule type="cellIs" dxfId="0" priority="18" stopIfTrue="1" operator="lessThan">
      <formula>0</formula>
    </cfRule>
  </conditionalFormatting>
  <pageMargins left="0.7" right="0.7" top="0.75" bottom="0.75" header="0.3" footer="0.3"/>
  <pageSetup paperSize="8" scale="10" fitToHeight="0" orientation="landscape" r:id="rId1"/>
  <headerFooter>
    <oddHeader>&amp;R&amp;"Aptos"&amp;10&amp;K000000 FBCH_CONFIDENTIAL&amp;1#_x000D_</oddHeader>
  </headerFooter>
  <colBreaks count="2" manualBreakCount="2">
    <brk id="5" max="93" man="1"/>
    <brk id="11" max="93" man="1"/>
  </colBreaks>
  <drawing r:id="rId2"/>
</worksheet>
</file>

<file path=docMetadata/LabelInfo.xml><?xml version="1.0" encoding="utf-8"?>
<clbl:labelList xmlns:clbl="http://schemas.microsoft.com/office/2020/mipLabelMetadata">
  <clbl:label id="{e41c8e45-d3ad-446c-84f0-885696763f32}" enabled="1" method="Standard" siteId="{2ab9ba88-e1a4-4c9a-8ebc-0fce705d2f56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Price Sheet</vt:lpstr>
      <vt:lpstr>'Price Sheet'!Print_Area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Nelson Mrewa</dc:creator>
  <cp:lastModifiedBy>Nelson Mrewa</cp:lastModifiedBy>
  <dcterms:created xsi:type="dcterms:W3CDTF">2026-03-20T13:43:35Z</dcterms:created>
  <dcterms:modified xsi:type="dcterms:W3CDTF">2026-03-20T13:45:05Z</dcterms:modified>
</cp:coreProperties>
</file>