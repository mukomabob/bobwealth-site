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chiras\Downloads\"/>
    </mc:Choice>
  </mc:AlternateContent>
  <xr:revisionPtr revIDLastSave="0" documentId="8_{ACBC2606-FE0B-41FB-9F32-219B84F8DAA3}" xr6:coauthVersionLast="47" xr6:coauthVersionMax="47" xr10:uidLastSave="{00000000-0000-0000-0000-000000000000}"/>
  <bookViews>
    <workbookView xWindow="-120" yWindow="-120" windowWidth="29040" windowHeight="15720" xr2:uid="{10887F12-CB4E-4217-A939-5B8BD385F166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P84" i="1"/>
  <c r="M84" i="1"/>
  <c r="L84" i="1"/>
  <c r="K84" i="1"/>
  <c r="J84" i="1"/>
  <c r="E84" i="1"/>
  <c r="D84" i="1"/>
  <c r="Q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D78" i="1" s="1"/>
  <c r="E78" i="1"/>
  <c r="Q77" i="1"/>
  <c r="M77" i="1"/>
  <c r="L77" i="1"/>
  <c r="K77" i="1"/>
  <c r="J77" i="1"/>
  <c r="E77" i="1"/>
  <c r="D77" i="1"/>
  <c r="Q74" i="1"/>
  <c r="P74" i="1"/>
  <c r="M74" i="1"/>
  <c r="L74" i="1"/>
  <c r="J74" i="1"/>
  <c r="K74" i="1" s="1"/>
  <c r="E74" i="1" s="1"/>
  <c r="O72" i="1"/>
  <c r="N72" i="1"/>
  <c r="M71" i="1"/>
  <c r="L71" i="1"/>
  <c r="J71" i="1"/>
  <c r="D71" i="1" s="1"/>
  <c r="M70" i="1"/>
  <c r="L70" i="1"/>
  <c r="J70" i="1"/>
  <c r="Q70" i="1" s="1"/>
  <c r="D70" i="1"/>
  <c r="M67" i="1"/>
  <c r="L67" i="1"/>
  <c r="D67" i="1"/>
  <c r="O65" i="1"/>
  <c r="N65" i="1"/>
  <c r="M64" i="1"/>
  <c r="L64" i="1"/>
  <c r="J64" i="1"/>
  <c r="Q64" i="1" s="1"/>
  <c r="D64" i="1"/>
  <c r="Q63" i="1"/>
  <c r="P63" i="1"/>
  <c r="M63" i="1"/>
  <c r="L63" i="1"/>
  <c r="J63" i="1"/>
  <c r="D63" i="1" s="1"/>
  <c r="M62" i="1"/>
  <c r="L62" i="1"/>
  <c r="J62" i="1"/>
  <c r="Q62" i="1" s="1"/>
  <c r="D62" i="1"/>
  <c r="Q61" i="1"/>
  <c r="P61" i="1"/>
  <c r="M61" i="1"/>
  <c r="L61" i="1"/>
  <c r="J61" i="1"/>
  <c r="D61" i="1" s="1"/>
  <c r="M60" i="1"/>
  <c r="L60" i="1"/>
  <c r="J60" i="1"/>
  <c r="Q60" i="1" s="1"/>
  <c r="D60" i="1"/>
  <c r="Q59" i="1"/>
  <c r="P59" i="1"/>
  <c r="M59" i="1"/>
  <c r="L59" i="1"/>
  <c r="J59" i="1"/>
  <c r="D59" i="1" s="1"/>
  <c r="M58" i="1"/>
  <c r="L58" i="1"/>
  <c r="J58" i="1"/>
  <c r="Q58" i="1" s="1"/>
  <c r="D58" i="1"/>
  <c r="Q57" i="1"/>
  <c r="P57" i="1"/>
  <c r="M57" i="1"/>
  <c r="L57" i="1"/>
  <c r="J57" i="1"/>
  <c r="D57" i="1" s="1"/>
  <c r="M56" i="1"/>
  <c r="L56" i="1"/>
  <c r="J56" i="1"/>
  <c r="Q56" i="1" s="1"/>
  <c r="D56" i="1"/>
  <c r="Q55" i="1"/>
  <c r="P55" i="1"/>
  <c r="M55" i="1"/>
  <c r="L55" i="1"/>
  <c r="J55" i="1"/>
  <c r="D55" i="1" s="1"/>
  <c r="M54" i="1"/>
  <c r="L54" i="1"/>
  <c r="J54" i="1"/>
  <c r="Q54" i="1" s="1"/>
  <c r="D54" i="1"/>
  <c r="Q53" i="1"/>
  <c r="P53" i="1"/>
  <c r="M53" i="1"/>
  <c r="L53" i="1"/>
  <c r="J53" i="1"/>
  <c r="D53" i="1" s="1"/>
  <c r="M52" i="1"/>
  <c r="L52" i="1"/>
  <c r="J52" i="1"/>
  <c r="Q52" i="1" s="1"/>
  <c r="D52" i="1"/>
  <c r="Q51" i="1"/>
  <c r="P51" i="1"/>
  <c r="M51" i="1"/>
  <c r="L51" i="1"/>
  <c r="J51" i="1"/>
  <c r="D51" i="1"/>
  <c r="M50" i="1"/>
  <c r="L50" i="1"/>
  <c r="J50" i="1"/>
  <c r="Q50" i="1" s="1"/>
  <c r="D50" i="1"/>
  <c r="O47" i="1"/>
  <c r="N47" i="1"/>
  <c r="Q45" i="1"/>
  <c r="M45" i="1"/>
  <c r="L45" i="1"/>
  <c r="K45" i="1"/>
  <c r="E45" i="1" s="1"/>
  <c r="J45" i="1"/>
  <c r="D45" i="1"/>
  <c r="Q44" i="1"/>
  <c r="M44" i="1"/>
  <c r="L44" i="1"/>
  <c r="K44" i="1"/>
  <c r="J44" i="1"/>
  <c r="D44" i="1" s="1"/>
  <c r="E44" i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E42" i="1" s="1"/>
  <c r="J42" i="1"/>
  <c r="D42" i="1"/>
  <c r="Q41" i="1"/>
  <c r="M41" i="1"/>
  <c r="L41" i="1"/>
  <c r="K41" i="1"/>
  <c r="J41" i="1"/>
  <c r="D41" i="1" s="1"/>
  <c r="E41" i="1"/>
  <c r="Q40" i="1"/>
  <c r="M40" i="1"/>
  <c r="L40" i="1"/>
  <c r="K40" i="1"/>
  <c r="J40" i="1"/>
  <c r="P40" i="1" s="1"/>
  <c r="E40" i="1"/>
  <c r="D40" i="1"/>
  <c r="Q39" i="1"/>
  <c r="P39" i="1"/>
  <c r="M39" i="1"/>
  <c r="L39" i="1"/>
  <c r="K39" i="1"/>
  <c r="E39" i="1" s="1"/>
  <c r="J39" i="1"/>
  <c r="D39" i="1"/>
  <c r="Q38" i="1"/>
  <c r="M38" i="1"/>
  <c r="L38" i="1"/>
  <c r="K38" i="1"/>
  <c r="J38" i="1"/>
  <c r="D38" i="1" s="1"/>
  <c r="E38" i="1"/>
  <c r="Q37" i="1"/>
  <c r="M37" i="1"/>
  <c r="L37" i="1"/>
  <c r="K37" i="1"/>
  <c r="J37" i="1"/>
  <c r="E37" i="1"/>
  <c r="D37" i="1"/>
  <c r="Q36" i="1"/>
  <c r="P36" i="1"/>
  <c r="M36" i="1"/>
  <c r="L36" i="1"/>
  <c r="K36" i="1"/>
  <c r="E36" i="1" s="1"/>
  <c r="J36" i="1"/>
  <c r="D36" i="1" s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J34" i="1"/>
  <c r="E34" i="1"/>
  <c r="D34" i="1"/>
  <c r="Q33" i="1"/>
  <c r="P33" i="1"/>
  <c r="M33" i="1"/>
  <c r="L33" i="1"/>
  <c r="K33" i="1"/>
  <c r="E33" i="1" s="1"/>
  <c r="J33" i="1"/>
  <c r="D33" i="1" s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J31" i="1"/>
  <c r="E31" i="1"/>
  <c r="D31" i="1"/>
  <c r="K30" i="1"/>
  <c r="J30" i="1"/>
  <c r="E30" i="1"/>
  <c r="D30" i="1"/>
  <c r="Q29" i="1"/>
  <c r="P29" i="1"/>
  <c r="M29" i="1"/>
  <c r="L29" i="1"/>
  <c r="K29" i="1"/>
  <c r="J29" i="1"/>
  <c r="E29" i="1"/>
  <c r="D29" i="1"/>
  <c r="Q28" i="1"/>
  <c r="P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E26" i="1"/>
  <c r="D26" i="1"/>
  <c r="Q25" i="1"/>
  <c r="P25" i="1"/>
  <c r="M25" i="1"/>
  <c r="L25" i="1"/>
  <c r="K25" i="1"/>
  <c r="E25" i="1" s="1"/>
  <c r="J25" i="1"/>
  <c r="D25" i="1" s="1"/>
  <c r="R24" i="1"/>
  <c r="Q24" i="1"/>
  <c r="M24" i="1"/>
  <c r="L24" i="1"/>
  <c r="K24" i="1"/>
  <c r="J24" i="1"/>
  <c r="D24" i="1" s="1"/>
  <c r="E24" i="1"/>
  <c r="Q23" i="1"/>
  <c r="M23" i="1"/>
  <c r="L23" i="1"/>
  <c r="K23" i="1"/>
  <c r="J23" i="1"/>
  <c r="P23" i="1" s="1"/>
  <c r="E23" i="1"/>
  <c r="D23" i="1"/>
  <c r="Q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J20" i="1"/>
  <c r="E20" i="1"/>
  <c r="D20" i="1"/>
  <c r="Q19" i="1"/>
  <c r="P19" i="1"/>
  <c r="M19" i="1"/>
  <c r="L19" i="1"/>
  <c r="K19" i="1"/>
  <c r="E19" i="1" s="1"/>
  <c r="J19" i="1"/>
  <c r="D19" i="1" s="1"/>
  <c r="E18" i="1"/>
  <c r="D18" i="1"/>
  <c r="Q17" i="1"/>
  <c r="M17" i="1"/>
  <c r="L17" i="1"/>
  <c r="K17" i="1"/>
  <c r="J17" i="1"/>
  <c r="D17" i="1" s="1"/>
  <c r="E17" i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E15" i="1" s="1"/>
  <c r="J15" i="1"/>
  <c r="D15" i="1"/>
  <c r="Q14" i="1"/>
  <c r="M14" i="1"/>
  <c r="L14" i="1"/>
  <c r="K14" i="1"/>
  <c r="J14" i="1"/>
  <c r="D14" i="1" s="1"/>
  <c r="E14" i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E12" i="1" s="1"/>
  <c r="J12" i="1"/>
  <c r="D12" i="1"/>
  <c r="Q11" i="1"/>
  <c r="M11" i="1"/>
  <c r="L11" i="1"/>
  <c r="K11" i="1"/>
  <c r="J11" i="1"/>
  <c r="D11" i="1" s="1"/>
  <c r="E11" i="1"/>
  <c r="Q10" i="1"/>
  <c r="M10" i="1"/>
  <c r="L10" i="1"/>
  <c r="K10" i="1"/>
  <c r="J10" i="1"/>
  <c r="P10" i="1" s="1"/>
  <c r="E10" i="1"/>
  <c r="D10" i="1"/>
  <c r="Q9" i="1"/>
  <c r="P9" i="1"/>
  <c r="M9" i="1"/>
  <c r="L9" i="1"/>
  <c r="K9" i="1"/>
  <c r="E9" i="1" s="1"/>
  <c r="J9" i="1"/>
  <c r="D9" i="1"/>
  <c r="K71" i="1" l="1"/>
  <c r="E71" i="1" s="1"/>
  <c r="P71" i="1"/>
  <c r="P83" i="1"/>
  <c r="P11" i="1"/>
  <c r="P14" i="1"/>
  <c r="P17" i="1"/>
  <c r="P24" i="1"/>
  <c r="P38" i="1"/>
  <c r="P41" i="1"/>
  <c r="P44" i="1"/>
  <c r="K70" i="1"/>
  <c r="E70" i="1" s="1"/>
  <c r="Q71" i="1"/>
  <c r="P54" i="1"/>
  <c r="P56" i="1"/>
  <c r="P58" i="1"/>
  <c r="P60" i="1"/>
  <c r="P62" i="1"/>
  <c r="P64" i="1"/>
  <c r="P50" i="1"/>
  <c r="P70" i="1"/>
  <c r="D74" i="1"/>
</calcChain>
</file>

<file path=xl/sharedStrings.xml><?xml version="1.0" encoding="utf-8"?>
<sst xmlns="http://schemas.openxmlformats.org/spreadsheetml/2006/main" count="268" uniqueCount="183">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</sst>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43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5" fontId="15" fillId="5" borderId="0" xfId="5" applyNumberFormat="1" applyFont="1" applyFill="1" applyBorder="1" applyAlignment="1"/>
    <xf numFmtId="43" fontId="15" fillId="6" borderId="0" xfId="5" applyFont="1" applyFill="1" applyBorder="1" applyAlignment="1"/>
    <xf numFmtId="43" fontId="15" fillId="7" borderId="0" xfId="5" applyFont="1" applyFill="1" applyBorder="1" applyAlignment="1"/>
    <xf numFmtId="43" fontId="15" fillId="5" borderId="0" xfId="5" applyFont="1" applyFill="1" applyBorder="1" applyAlignment="1"/>
    <xf numFmtId="166" fontId="15" fillId="5" borderId="0" xfId="5" applyNumberFormat="1" applyFont="1" applyFill="1" applyBorder="1" applyAlignment="1"/>
    <xf numFmtId="167" fontId="15" fillId="5" borderId="0" xfId="4" applyNumberFormat="1" applyFont="1" applyFill="1" applyBorder="1"/>
    <xf numFmtId="167" fontId="15" fillId="8" borderId="0" xfId="4" applyNumberFormat="1" applyFont="1" applyFill="1" applyBorder="1"/>
    <xf numFmtId="167" fontId="15" fillId="6" borderId="0" xfId="4" applyNumberFormat="1" applyFont="1" applyFill="1" applyBorder="1"/>
    <xf numFmtId="167" fontId="15" fillId="7" borderId="0" xfId="4" applyNumberFormat="1" applyFont="1" applyFill="1" applyBorder="1"/>
    <xf numFmtId="166" fontId="15" fillId="5" borderId="0" xfId="4" applyNumberFormat="1" applyFont="1" applyFill="1" applyBorder="1"/>
    <xf numFmtId="165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8" fontId="4" fillId="3" borderId="0" xfId="3" applyNumberFormat="1" applyFont="1" applyFill="1" applyAlignment="1"/>
    <xf numFmtId="43" fontId="15" fillId="5" borderId="0" xfId="6" applyFont="1" applyFill="1" applyBorder="1"/>
    <xf numFmtId="43" fontId="4" fillId="3" borderId="0" xfId="3" applyNumberFormat="1" applyFont="1" applyFill="1" applyAlignment="1"/>
    <xf numFmtId="165" fontId="15" fillId="5" borderId="0" xfId="6" applyNumberFormat="1" applyFont="1" applyFill="1" applyBorder="1" applyAlignment="1">
      <alignment horizontal="right"/>
    </xf>
    <xf numFmtId="43" fontId="15" fillId="8" borderId="0" xfId="6" applyFont="1" applyFill="1" applyBorder="1"/>
    <xf numFmtId="43" fontId="15" fillId="6" borderId="0" xfId="6" applyFont="1" applyFill="1" applyBorder="1"/>
    <xf numFmtId="43" fontId="15" fillId="7" borderId="0" xfId="6" applyFont="1" applyFill="1" applyBorder="1"/>
    <xf numFmtId="43" fontId="16" fillId="5" borderId="5" xfId="4" applyFont="1" applyFill="1" applyBorder="1"/>
    <xf numFmtId="49" fontId="15" fillId="5" borderId="0" xfId="4" applyNumberFormat="1" applyFont="1" applyFill="1" applyBorder="1"/>
    <xf numFmtId="43" fontId="15" fillId="5" borderId="0" xfId="4" applyFont="1" applyFill="1" applyBorder="1"/>
    <xf numFmtId="43" fontId="17" fillId="5" borderId="0" xfId="4" applyFont="1" applyFill="1" applyBorder="1"/>
    <xf numFmtId="165" fontId="18" fillId="5" borderId="0" xfId="4" applyNumberFormat="1" applyFont="1" applyFill="1" applyBorder="1"/>
    <xf numFmtId="43" fontId="18" fillId="5" borderId="0" xfId="4" applyFont="1" applyFill="1" applyBorder="1"/>
    <xf numFmtId="166" fontId="15" fillId="5" borderId="6" xfId="4" applyNumberFormat="1" applyFont="1" applyFill="1" applyBorder="1"/>
    <xf numFmtId="43" fontId="15" fillId="5" borderId="1" xfId="4" applyFont="1" applyFill="1" applyBorder="1"/>
    <xf numFmtId="49" fontId="15" fillId="5" borderId="2" xfId="4" applyNumberFormat="1" applyFont="1" applyFill="1" applyBorder="1"/>
    <xf numFmtId="43" fontId="15" fillId="5" borderId="2" xfId="4" applyFont="1" applyFill="1" applyBorder="1"/>
    <xf numFmtId="165" fontId="18" fillId="5" borderId="2" xfId="4" applyNumberFormat="1" applyFont="1" applyFill="1" applyBorder="1"/>
    <xf numFmtId="166" fontId="15" fillId="5" borderId="2" xfId="4" applyNumberFormat="1" applyFont="1" applyFill="1" applyBorder="1"/>
    <xf numFmtId="166" fontId="18" fillId="5" borderId="4" xfId="4" applyNumberFormat="1" applyFont="1" applyFill="1" applyBorder="1" applyAlignment="1">
      <alignment horizontal="left"/>
    </xf>
    <xf numFmtId="169" fontId="15" fillId="5" borderId="0" xfId="5" applyNumberFormat="1" applyFont="1" applyFill="1" applyBorder="1" applyAlignment="1"/>
    <xf numFmtId="43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6" fontId="15" fillId="9" borderId="0" xfId="4" applyNumberFormat="1" applyFont="1" applyFill="1" applyBorder="1"/>
    <xf numFmtId="0" fontId="4" fillId="3" borderId="5" xfId="3" applyFont="1" applyFill="1" applyBorder="1" applyAlignment="1"/>
    <xf numFmtId="165" fontId="17" fillId="5" borderId="0" xfId="5" applyNumberFormat="1" applyFont="1" applyFill="1" applyBorder="1" applyAlignment="1"/>
    <xf numFmtId="166" fontId="15" fillId="5" borderId="0" xfId="4" applyNumberFormat="1" applyFont="1" applyFill="1" applyBorder="1" applyAlignment="1">
      <alignment horizontal="center"/>
    </xf>
    <xf numFmtId="43" fontId="19" fillId="5" borderId="0" xfId="4" applyFont="1" applyFill="1" applyBorder="1"/>
    <xf numFmtId="43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43" fontId="15" fillId="5" borderId="8" xfId="5" applyFont="1" applyFill="1" applyBorder="1" applyAlignment="1"/>
    <xf numFmtId="165" fontId="15" fillId="5" borderId="8" xfId="5" applyNumberFormat="1" applyFont="1" applyFill="1" applyBorder="1" applyAlignment="1"/>
    <xf numFmtId="167" fontId="15" fillId="5" borderId="8" xfId="4" applyNumberFormat="1" applyFont="1" applyFill="1" applyBorder="1"/>
    <xf numFmtId="166" fontId="15" fillId="5" borderId="8" xfId="4" applyNumberFormat="1" applyFont="1" applyFill="1" applyBorder="1"/>
    <xf numFmtId="166" fontId="15" fillId="5" borderId="8" xfId="4" applyNumberFormat="1" applyFont="1" applyFill="1" applyBorder="1" applyAlignment="1">
      <alignment horizontal="center"/>
    </xf>
    <xf numFmtId="165" fontId="15" fillId="5" borderId="8" xfId="4" applyNumberFormat="1" applyFont="1" applyFill="1" applyBorder="1"/>
    <xf numFmtId="166" fontId="15" fillId="5" borderId="10" xfId="4" applyNumberFormat="1" applyFont="1" applyFill="1" applyBorder="1"/>
    <xf numFmtId="165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43" fontId="6" fillId="5" borderId="0" xfId="5" applyFont="1" applyFill="1" applyBorder="1" applyAlignment="1"/>
    <xf numFmtId="167" fontId="6" fillId="5" borderId="0" xfId="4" applyNumberFormat="1" applyFont="1" applyFill="1" applyBorder="1"/>
    <xf numFmtId="167" fontId="6" fillId="6" borderId="0" xfId="4" applyNumberFormat="1" applyFont="1" applyFill="1" applyBorder="1"/>
    <xf numFmtId="43" fontId="6" fillId="5" borderId="0" xfId="6" applyFont="1" applyFill="1" applyBorder="1"/>
    <xf numFmtId="165" fontId="6" fillId="5" borderId="0" xfId="4" applyNumberFormat="1" applyFont="1" applyFill="1" applyBorder="1"/>
    <xf numFmtId="9" fontId="20" fillId="5" borderId="0" xfId="2" applyFont="1" applyFill="1" applyBorder="1"/>
    <xf numFmtId="170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5" applyNumberFormat="1" applyFont="1" applyFill="1" applyBorder="1" applyAlignment="1"/>
    <xf numFmtId="43" fontId="15" fillId="5" borderId="12" xfId="5" applyFont="1" applyFill="1" applyBorder="1" applyAlignment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5" fontId="15" fillId="5" borderId="12" xfId="4" applyNumberFormat="1" applyFont="1" applyFill="1" applyBorder="1"/>
    <xf numFmtId="43" fontId="15" fillId="5" borderId="12" xfId="4" applyFont="1" applyFill="1" applyBorder="1"/>
    <xf numFmtId="166" fontId="15" fillId="5" borderId="13" xfId="4" applyNumberFormat="1" applyFont="1" applyFill="1" applyBorder="1"/>
    <xf numFmtId="43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5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5" fontId="15" fillId="5" borderId="8" xfId="5" applyNumberFormat="1" applyFont="1" applyFill="1" applyBorder="1" applyAlignment="1">
      <alignment horizontal="right"/>
    </xf>
    <xf numFmtId="43" fontId="15" fillId="5" borderId="5" xfId="4" applyFont="1" applyFill="1" applyBorder="1"/>
    <xf numFmtId="0" fontId="21" fillId="3" borderId="0" xfId="3" applyFont="1" applyFill="1" applyAlignment="1"/>
    <xf numFmtId="165" fontId="15" fillId="5" borderId="0" xfId="5" applyNumberFormat="1" applyFont="1" applyFill="1" applyBorder="1" applyAlignment="1">
      <alignment horizontal="right"/>
    </xf>
    <xf numFmtId="43" fontId="15" fillId="5" borderId="0" xfId="4" applyFont="1" applyFill="1" applyBorder="1" applyAlignment="1">
      <alignment horizontal="left"/>
    </xf>
    <xf numFmtId="43" fontId="15" fillId="5" borderId="6" xfId="4" applyFont="1" applyFill="1" applyBorder="1"/>
    <xf numFmtId="0" fontId="23" fillId="2" borderId="15" xfId="8" applyFont="1" applyFill="1" applyBorder="1"/>
    <xf numFmtId="0" fontId="23" fillId="2" borderId="3" xfId="8" applyFont="1" applyFill="1" applyBorder="1"/>
    <xf numFmtId="0" fontId="23" fillId="2" borderId="16" xfId="8" applyFont="1" applyFill="1" applyBorder="1"/>
    <xf numFmtId="43" fontId="24" fillId="5" borderId="0" xfId="4" applyFont="1" applyFill="1" applyBorder="1" applyAlignment="1">
      <alignment horizontal="left"/>
    </xf>
    <xf numFmtId="43" fontId="25" fillId="5" borderId="0" xfId="4" applyFont="1" applyFill="1" applyBorder="1" applyAlignment="1">
      <alignment horizontal="left"/>
    </xf>
    <xf numFmtId="170" fontId="25" fillId="5" borderId="6" xfId="6" applyNumberFormat="1" applyFont="1" applyFill="1" applyBorder="1" applyAlignment="1">
      <alignment horizontal="left"/>
    </xf>
    <xf numFmtId="43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43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43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4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4" fontId="12" fillId="2" borderId="0" xfId="3" applyNumberFormat="1" applyFont="1" applyFill="1" applyAlignment="1">
      <alignment horizontal="center"/>
    </xf>
    <xf numFmtId="164" fontId="12" fillId="2" borderId="6" xfId="3" applyNumberFormat="1" applyFont="1" applyFill="1" applyBorder="1" applyAlignment="1">
      <alignment horizontal="center"/>
    </xf>
    <xf numFmtId="164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4" fontId="12" fillId="2" borderId="2" xfId="3" applyNumberFormat="1" applyFont="1" applyFill="1" applyBorder="1" applyAlignment="1">
      <alignment horizontal="center"/>
    </xf>
    <xf numFmtId="164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 2" xfId="4" xr:uid="{19C3D5D7-0EF1-4EEC-A881-CBECF22F2BF6}"/>
    <cellStyle name="Comma 5 2 2 2 2 2 2 2 2 2" xfId="5" xr:uid="{08AA918B-F22C-4112-AF53-B6B8ABF6B497}"/>
    <cellStyle name="Comma 6 2 2 2 2" xfId="6" xr:uid="{7229CAD6-5822-41AD-B474-CE3586E25D8A}"/>
    <cellStyle name="Hyperlink 2" xfId="9" xr:uid="{7362B88F-7278-4456-8636-34C2BA03BC84}"/>
    <cellStyle name="Normal" xfId="0" builtinId="0"/>
    <cellStyle name="Normal 2" xfId="3" xr:uid="{63248A3E-5421-4646-A451-299EF2283423}"/>
    <cellStyle name="Normal 20" xfId="8" xr:uid="{0AA8C13C-2C4F-4AE7-85A6-2F298388E680}"/>
    <cellStyle name="Percent" xfId="2" builtinId="5"/>
    <cellStyle name="Percent 3" xfId="7" xr:uid="{2600D7CD-28C1-4F33-B314-48FB7E8FBD28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5ECA1322-8228-42B9-8AE3-320E49156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76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6DAE4892-5372-4C43-9055-D171DD04F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01218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B1C0-AE1C-4342-845F-3C368E478974}">
  <dimension ref="A1:II106"/>
  <sheetViews>
    <sheetView tabSelected="1" zoomScale="73" zoomScaleNormal="73" workbookViewId="0">
      <selection activeCell="J5" sqref="J5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5.140625" style="5" hidden="1" customWidth="1"/>
    <col min="4" max="4" width="17.7109375" style="5" bestFit="1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8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26.6845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6.6" customHeight="1" x14ac:dyDescent="0.25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8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70846993.010923937</v>
      </c>
      <c r="E9" s="39">
        <f t="shared" ref="E9:E45" si="1">C9*K9</f>
        <v>60016399.523809522</v>
      </c>
      <c r="F9" s="40" t="s">
        <v>34</v>
      </c>
      <c r="G9" s="41">
        <v>8.9894999999999996</v>
      </c>
      <c r="H9" s="42">
        <v>13.7279</v>
      </c>
      <c r="I9" s="43">
        <v>15</v>
      </c>
      <c r="J9" s="44">
        <f>(I9/$J$5)</f>
        <v>0.56212407952181975</v>
      </c>
      <c r="K9" s="45">
        <f t="shared" ref="K9:K17" si="2">I9/$K$4</f>
        <v>0.47619047619047616</v>
      </c>
      <c r="L9" s="46">
        <f t="shared" ref="L9:L17" si="3">I9-H9</f>
        <v>1.2721</v>
      </c>
      <c r="M9" s="46">
        <f t="shared" ref="M9:M17" si="4">((I9-H9)/H9)*100</f>
        <v>9.2665302049111666</v>
      </c>
      <c r="N9" s="47">
        <v>0</v>
      </c>
      <c r="O9" s="37">
        <v>0</v>
      </c>
      <c r="P9" s="48">
        <f t="shared" ref="P9:P17" si="5">(R9)/J9</f>
        <v>2.66845E-2</v>
      </c>
      <c r="Q9" s="49">
        <f t="shared" ref="Q9:Q17" si="6">I9/G9-1</f>
        <v>0.66861338227932587</v>
      </c>
      <c r="R9" s="50">
        <v>1.4999999999999999E-2</v>
      </c>
    </row>
    <row r="10" spans="1:18" x14ac:dyDescent="0.2">
      <c r="A10" s="35" t="s">
        <v>35</v>
      </c>
      <c r="B10" s="36" t="s">
        <v>36</v>
      </c>
      <c r="C10" s="37">
        <v>1627395595</v>
      </c>
      <c r="D10" s="38">
        <f t="shared" si="0"/>
        <v>4634977.8043433456</v>
      </c>
      <c r="E10" s="39">
        <f t="shared" si="1"/>
        <v>3926414.7688888889</v>
      </c>
      <c r="F10" s="40" t="s">
        <v>34</v>
      </c>
      <c r="G10" s="41">
        <v>3.1600000000000003E-2</v>
      </c>
      <c r="H10" s="42">
        <v>7.5835E-2</v>
      </c>
      <c r="I10" s="43">
        <v>7.5999999999999998E-2</v>
      </c>
      <c r="J10" s="44">
        <f t="shared" ref="J10:J17" si="7">I10/$J$5</f>
        <v>2.848095336243887E-3</v>
      </c>
      <c r="K10" s="45">
        <f t="shared" si="2"/>
        <v>2.4126984126984128E-3</v>
      </c>
      <c r="L10" s="46">
        <f t="shared" si="3"/>
        <v>1.6499999999999848E-4</v>
      </c>
      <c r="M10" s="46">
        <f t="shared" si="4"/>
        <v>0.21757763565635721</v>
      </c>
      <c r="N10" s="47">
        <v>54700</v>
      </c>
      <c r="O10" s="37">
        <v>4157.2</v>
      </c>
      <c r="P10" s="51">
        <f t="shared" si="5"/>
        <v>0</v>
      </c>
      <c r="Q10" s="49">
        <f t="shared" si="6"/>
        <v>1.40506329113924</v>
      </c>
      <c r="R10" s="50"/>
    </row>
    <row r="11" spans="1:18" x14ac:dyDescent="0.2">
      <c r="A11" s="35" t="s">
        <v>37</v>
      </c>
      <c r="B11" s="36" t="s">
        <v>38</v>
      </c>
      <c r="C11" s="37">
        <v>436977359</v>
      </c>
      <c r="D11" s="38">
        <f t="shared" si="0"/>
        <v>3602653.9369296785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8.2444864996533574E-3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1.8205128205128207</v>
      </c>
      <c r="R11" s="50"/>
    </row>
    <row r="12" spans="1:18" x14ac:dyDescent="0.2">
      <c r="A12" s="35" t="s">
        <v>40</v>
      </c>
      <c r="B12" s="36" t="s">
        <v>41</v>
      </c>
      <c r="C12" s="37">
        <v>20633517</v>
      </c>
      <c r="D12" s="38">
        <f t="shared" si="0"/>
        <v>146830502.46884894</v>
      </c>
      <c r="E12" s="39">
        <f t="shared" si="1"/>
        <v>124384080.73428571</v>
      </c>
      <c r="F12" s="40" t="s">
        <v>34</v>
      </c>
      <c r="G12" s="41">
        <v>97.381</v>
      </c>
      <c r="H12" s="42">
        <v>189.89</v>
      </c>
      <c r="I12" s="43">
        <v>189.89</v>
      </c>
      <c r="J12" s="44">
        <f t="shared" si="7"/>
        <v>7.1161160973598898</v>
      </c>
      <c r="K12" s="45">
        <f t="shared" si="2"/>
        <v>6.028253968253968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0.94996970661628022</v>
      </c>
      <c r="R12" s="50"/>
    </row>
    <row r="13" spans="1:18" x14ac:dyDescent="0.2">
      <c r="A13" s="35" t="s">
        <v>42</v>
      </c>
      <c r="B13" s="36" t="s">
        <v>43</v>
      </c>
      <c r="C13" s="37">
        <v>8735108</v>
      </c>
      <c r="D13" s="38">
        <f t="shared" si="0"/>
        <v>6219605.0890966663</v>
      </c>
      <c r="E13" s="39">
        <f t="shared" si="1"/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 t="shared" si="7"/>
        <v>0.71202383406097169</v>
      </c>
      <c r="K13" s="45">
        <f t="shared" si="2"/>
        <v>0.60317460317460314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0.39705882352941191</v>
      </c>
      <c r="R13" s="50"/>
    </row>
    <row r="14" spans="1:18" x14ac:dyDescent="0.2">
      <c r="A14" s="35" t="s">
        <v>45</v>
      </c>
      <c r="B14" s="36" t="s">
        <v>46</v>
      </c>
      <c r="C14" s="37">
        <v>522661465</v>
      </c>
      <c r="D14" s="38">
        <f t="shared" si="0"/>
        <v>793261606.26955724</v>
      </c>
      <c r="E14" s="39">
        <f t="shared" si="1"/>
        <v>671993312.14285719</v>
      </c>
      <c r="F14" s="40" t="s">
        <v>47</v>
      </c>
      <c r="G14" s="41">
        <v>11.5</v>
      </c>
      <c r="H14" s="42">
        <v>40.44</v>
      </c>
      <c r="I14" s="43">
        <v>40.5</v>
      </c>
      <c r="J14" s="44">
        <f t="shared" si="7"/>
        <v>1.5177350147089135</v>
      </c>
      <c r="K14" s="45">
        <f t="shared" si="2"/>
        <v>1.2857142857142858</v>
      </c>
      <c r="L14" s="46">
        <f t="shared" si="3"/>
        <v>6.0000000000002274E-2</v>
      </c>
      <c r="M14" s="46">
        <f t="shared" si="4"/>
        <v>0.14836795252226082</v>
      </c>
      <c r="N14" s="47">
        <v>1400</v>
      </c>
      <c r="O14" s="37">
        <v>56700</v>
      </c>
      <c r="P14" s="51">
        <f t="shared" si="5"/>
        <v>0</v>
      </c>
      <c r="Q14" s="49">
        <f t="shared" si="6"/>
        <v>2.5217391304347827</v>
      </c>
      <c r="R14" s="50"/>
    </row>
    <row r="15" spans="1:18" x14ac:dyDescent="0.2">
      <c r="A15" s="35" t="s">
        <v>48</v>
      </c>
      <c r="B15" s="36" t="s">
        <v>49</v>
      </c>
      <c r="C15" s="37">
        <v>106040875</v>
      </c>
      <c r="D15" s="38">
        <f t="shared" si="0"/>
        <v>23843251.700425342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0.22484963180872791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8" x14ac:dyDescent="0.2">
      <c r="A16" s="35" t="s">
        <v>50</v>
      </c>
      <c r="B16" s="36" t="s">
        <v>51</v>
      </c>
      <c r="C16" s="37">
        <v>358000858</v>
      </c>
      <c r="D16" s="38">
        <f t="shared" si="0"/>
        <v>76501890.181221142</v>
      </c>
      <c r="E16" s="39">
        <f t="shared" si="1"/>
        <v>64806815.509231612</v>
      </c>
      <c r="F16" s="40" t="s">
        <v>34</v>
      </c>
      <c r="G16" s="41">
        <v>1.9</v>
      </c>
      <c r="H16" s="42">
        <v>6.3959730000000006</v>
      </c>
      <c r="I16" s="43">
        <v>5.7022619999999993</v>
      </c>
      <c r="J16" s="44">
        <f t="shared" si="7"/>
        <v>0.21369191852948338</v>
      </c>
      <c r="K16" s="45">
        <f t="shared" si="2"/>
        <v>0.18102419047619045</v>
      </c>
      <c r="L16" s="46">
        <f t="shared" si="3"/>
        <v>-0.6937110000000013</v>
      </c>
      <c r="M16" s="46">
        <f t="shared" si="4"/>
        <v>-10.846058918635229</v>
      </c>
      <c r="N16" s="47">
        <v>26000</v>
      </c>
      <c r="O16" s="37">
        <v>148258.79999999999</v>
      </c>
      <c r="P16" s="51">
        <f t="shared" si="5"/>
        <v>0</v>
      </c>
      <c r="Q16" s="49">
        <f t="shared" si="6"/>
        <v>2.0011905263157894</v>
      </c>
      <c r="R16" s="50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1619285380.085743</v>
      </c>
      <c r="E17" s="39">
        <f t="shared" si="1"/>
        <v>1371740340.4729524</v>
      </c>
      <c r="F17" s="40" t="s">
        <v>34</v>
      </c>
      <c r="G17" s="41">
        <v>20.701700000000002</v>
      </c>
      <c r="H17" s="42">
        <v>32.003799999999998</v>
      </c>
      <c r="I17" s="43">
        <v>32.060400000000001</v>
      </c>
      <c r="J17" s="44">
        <f t="shared" si="7"/>
        <v>1.2014615226067569</v>
      </c>
      <c r="K17" s="45">
        <f t="shared" si="2"/>
        <v>1.0177904761904761</v>
      </c>
      <c r="L17" s="46">
        <f t="shared" si="3"/>
        <v>5.6600000000003092E-2</v>
      </c>
      <c r="M17" s="46">
        <f t="shared" si="4"/>
        <v>0.17685399858767739</v>
      </c>
      <c r="N17" s="47">
        <v>206900</v>
      </c>
      <c r="O17" s="37">
        <v>6633287.2000000002</v>
      </c>
      <c r="P17" s="48">
        <f t="shared" si="5"/>
        <v>4.1615981085700735E-2</v>
      </c>
      <c r="Q17" s="49">
        <f t="shared" si="6"/>
        <v>0.54868440756073156</v>
      </c>
      <c r="R17" s="50">
        <v>0.05</v>
      </c>
      <c r="S17" s="52"/>
    </row>
    <row r="18" spans="1:19" ht="11.25" hidden="1" customHeight="1" x14ac:dyDescent="0.2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339947310.77966607</v>
      </c>
      <c r="E19" s="39">
        <f t="shared" si="1"/>
        <v>287978540.14285713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0.50591167156963779</v>
      </c>
      <c r="K19" s="45">
        <f t="shared" ref="K19:K45" si="9">I19/$K$4</f>
        <v>0.42857142857142855</v>
      </c>
      <c r="L19" s="46">
        <f t="shared" ref="L19:L29" si="10">I19-H19</f>
        <v>0</v>
      </c>
      <c r="M19" s="46">
        <f>((I19-H19)/H19)*100</f>
        <v>0</v>
      </c>
      <c r="N19" s="47">
        <v>0</v>
      </c>
      <c r="O19" s="37">
        <v>0</v>
      </c>
      <c r="P19" s="51">
        <f>(R19)/J19</f>
        <v>0</v>
      </c>
      <c r="Q19" s="49">
        <f t="shared" ref="Q19:Q29" si="11">I19/G19-1</f>
        <v>8.4337349397590522E-2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3285924.3851299449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3.0167325601004331E-2</v>
      </c>
      <c r="K20" s="45">
        <f t="shared" si="9"/>
        <v>2.5555555555555557E-2</v>
      </c>
      <c r="L20" s="46">
        <f t="shared" si="10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11"/>
        <v>1.3000000000000003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86565967.299716309</v>
      </c>
      <c r="E21" s="39">
        <f t="shared" si="1"/>
        <v>73332366.806643799</v>
      </c>
      <c r="F21" s="40" t="s">
        <v>47</v>
      </c>
      <c r="G21" s="41">
        <v>2.85</v>
      </c>
      <c r="H21" s="42">
        <v>3.3470879999999998</v>
      </c>
      <c r="I21" s="43">
        <v>3.3470879999999998</v>
      </c>
      <c r="J21" s="44">
        <f t="shared" si="8"/>
        <v>0.12543191740523524</v>
      </c>
      <c r="K21" s="45">
        <f t="shared" si="9"/>
        <v>0.1062567619047619</v>
      </c>
      <c r="L21" s="46">
        <f t="shared" si="10"/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 t="shared" si="11"/>
        <v>0.17441684210526298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2483415.2763027223</v>
      </c>
      <c r="E23" s="39">
        <f t="shared" si="1"/>
        <v>2103768.0933492063</v>
      </c>
      <c r="F23" s="40" t="s">
        <v>44</v>
      </c>
      <c r="G23" s="41">
        <v>0.1</v>
      </c>
      <c r="H23" s="42">
        <v>0.126</v>
      </c>
      <c r="I23" s="43">
        <v>0.1235</v>
      </c>
      <c r="J23" s="44">
        <f t="shared" si="8"/>
        <v>4.6281549213963158E-3</v>
      </c>
      <c r="K23" s="45">
        <f t="shared" si="9"/>
        <v>3.9206349206349208E-3</v>
      </c>
      <c r="L23" s="46">
        <f t="shared" si="10"/>
        <v>-2.5000000000000022E-3</v>
      </c>
      <c r="M23" s="46">
        <f t="shared" ref="M23:M29" si="12">((I23-H23)/H23)*100</f>
        <v>-1.9841269841269857</v>
      </c>
      <c r="N23" s="47">
        <v>300</v>
      </c>
      <c r="O23" s="37">
        <v>37.049999999999997</v>
      </c>
      <c r="P23" s="51">
        <f t="shared" ref="P23:P29" si="13">(R23)/J23</f>
        <v>0</v>
      </c>
      <c r="Q23" s="49">
        <f t="shared" si="11"/>
        <v>0.23499999999999988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80558028.78868258</v>
      </c>
      <c r="E24" s="39">
        <f t="shared" si="1"/>
        <v>68242879.974971429</v>
      </c>
      <c r="F24" s="40" t="s">
        <v>34</v>
      </c>
      <c r="G24" s="41">
        <v>8.1687659999999997</v>
      </c>
      <c r="H24" s="42">
        <v>11.136900000000001</v>
      </c>
      <c r="I24" s="43">
        <v>11.136900000000001</v>
      </c>
      <c r="J24" s="44">
        <f t="shared" si="8"/>
        <v>0.41735464408177037</v>
      </c>
      <c r="K24" s="45">
        <f t="shared" si="9"/>
        <v>0.35355238095238095</v>
      </c>
      <c r="L24" s="46">
        <f t="shared" si="10"/>
        <v>0</v>
      </c>
      <c r="M24" s="46">
        <f t="shared" si="12"/>
        <v>0</v>
      </c>
      <c r="N24" s="47">
        <v>0</v>
      </c>
      <c r="O24" s="37">
        <v>0</v>
      </c>
      <c r="P24" s="48">
        <f t="shared" si="13"/>
        <v>3.5940656735716399E-2</v>
      </c>
      <c r="Q24" s="49">
        <f t="shared" si="11"/>
        <v>0.36335157599079237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113835792.92098409</v>
      </c>
      <c r="E25" s="39">
        <f t="shared" si="1"/>
        <v>96433371.942857146</v>
      </c>
      <c r="F25" s="40" t="s">
        <v>66</v>
      </c>
      <c r="G25" s="41">
        <v>1.6675</v>
      </c>
      <c r="H25" s="42">
        <v>1.8</v>
      </c>
      <c r="I25" s="43">
        <v>1.8</v>
      </c>
      <c r="J25" s="44">
        <f t="shared" si="8"/>
        <v>6.7454889542618371E-2</v>
      </c>
      <c r="K25" s="45">
        <f t="shared" si="9"/>
        <v>5.7142857142857141E-2</v>
      </c>
      <c r="L25" s="46">
        <f t="shared" si="10"/>
        <v>0</v>
      </c>
      <c r="M25" s="46">
        <f t="shared" si="12"/>
        <v>0</v>
      </c>
      <c r="N25" s="47">
        <v>400</v>
      </c>
      <c r="O25" s="37">
        <v>720</v>
      </c>
      <c r="P25" s="51">
        <f t="shared" si="13"/>
        <v>0</v>
      </c>
      <c r="Q25" s="49">
        <f t="shared" si="11"/>
        <v>7.946026986506749E-2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23055610.372688264</v>
      </c>
      <c r="E26" s="39">
        <f t="shared" si="1"/>
        <v>19531029.682222221</v>
      </c>
      <c r="F26" s="40" t="s">
        <v>44</v>
      </c>
      <c r="G26" s="41">
        <v>1.7994999999999999</v>
      </c>
      <c r="H26" s="42">
        <v>2.57</v>
      </c>
      <c r="I26" s="43">
        <v>2.57</v>
      </c>
      <c r="J26" s="44">
        <f t="shared" si="8"/>
        <v>9.6310592291405123E-2</v>
      </c>
      <c r="K26" s="45">
        <f t="shared" si="9"/>
        <v>8.1587301587301583E-2</v>
      </c>
      <c r="L26" s="46">
        <f t="shared" si="10"/>
        <v>0</v>
      </c>
      <c r="M26" s="46">
        <f t="shared" si="12"/>
        <v>0</v>
      </c>
      <c r="N26" s="47">
        <v>0</v>
      </c>
      <c r="O26" s="37">
        <v>0</v>
      </c>
      <c r="P26" s="51">
        <f t="shared" si="13"/>
        <v>0</v>
      </c>
      <c r="Q26" s="49">
        <f t="shared" si="11"/>
        <v>0.42817449291469845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27837776.570668362</v>
      </c>
      <c r="E27" s="39">
        <f t="shared" si="1"/>
        <v>23582131.71111111</v>
      </c>
      <c r="F27" s="40" t="s">
        <v>34</v>
      </c>
      <c r="G27" s="41">
        <v>3.1361369999999997</v>
      </c>
      <c r="H27" s="42">
        <v>2.9</v>
      </c>
      <c r="I27" s="43">
        <v>2.9</v>
      </c>
      <c r="J27" s="44">
        <f t="shared" si="8"/>
        <v>0.10867732204088515</v>
      </c>
      <c r="K27" s="45">
        <f t="shared" si="9"/>
        <v>9.2063492063492056E-2</v>
      </c>
      <c r="L27" s="46">
        <f t="shared" si="10"/>
        <v>0</v>
      </c>
      <c r="M27" s="46">
        <f t="shared" si="12"/>
        <v>0</v>
      </c>
      <c r="N27" s="47">
        <v>100</v>
      </c>
      <c r="O27" s="37">
        <v>290</v>
      </c>
      <c r="P27" s="51">
        <f t="shared" si="13"/>
        <v>0</v>
      </c>
      <c r="Q27" s="49">
        <f t="shared" si="11"/>
        <v>-7.5295498889238477E-2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26541571.420434076</v>
      </c>
      <c r="E28" s="39">
        <f t="shared" si="1"/>
        <v>22484081.351383269</v>
      </c>
      <c r="F28" s="40" t="s">
        <v>44</v>
      </c>
      <c r="G28" s="41">
        <v>0.8</v>
      </c>
      <c r="H28" s="42">
        <v>0.84</v>
      </c>
      <c r="I28" s="43">
        <v>0.93727300000000002</v>
      </c>
      <c r="J28" s="44">
        <f t="shared" si="8"/>
        <v>3.5124248159043643E-2</v>
      </c>
      <c r="K28" s="45">
        <f t="shared" si="9"/>
        <v>2.9754698412698413E-2</v>
      </c>
      <c r="L28" s="46">
        <f t="shared" si="10"/>
        <v>9.7273000000000054E-2</v>
      </c>
      <c r="M28" s="46">
        <f t="shared" si="12"/>
        <v>11.580119047619055</v>
      </c>
      <c r="N28" s="47">
        <v>3300</v>
      </c>
      <c r="O28" s="37">
        <v>3093</v>
      </c>
      <c r="P28" s="51">
        <f t="shared" si="13"/>
        <v>0</v>
      </c>
      <c r="Q28" s="49">
        <f t="shared" si="11"/>
        <v>0.17159124999999986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94254187.292248309</v>
      </c>
      <c r="E29" s="39">
        <f t="shared" si="1"/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 t="shared" si="8"/>
        <v>0.20985965635481271</v>
      </c>
      <c r="K29" s="45">
        <f t="shared" si="9"/>
        <v>0.17777777777777776</v>
      </c>
      <c r="L29" s="46">
        <f t="shared" si="10"/>
        <v>0</v>
      </c>
      <c r="M29" s="46">
        <f t="shared" si="12"/>
        <v>0</v>
      </c>
      <c r="N29" s="47">
        <v>3100</v>
      </c>
      <c r="O29" s="37">
        <v>17360</v>
      </c>
      <c r="P29" s="51">
        <f t="shared" si="13"/>
        <v>0</v>
      </c>
      <c r="Q29" s="49">
        <f t="shared" si="11"/>
        <v>8.737864077669899E-2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13552710.838580074</v>
      </c>
      <c r="E31" s="39">
        <f t="shared" si="1"/>
        <v>11480867.059431428</v>
      </c>
      <c r="F31" s="40" t="s">
        <v>39</v>
      </c>
      <c r="G31" s="41">
        <v>1.4</v>
      </c>
      <c r="H31" s="42">
        <v>1.391667</v>
      </c>
      <c r="I31" s="43">
        <v>1.391667</v>
      </c>
      <c r="J31" s="44">
        <f t="shared" si="8"/>
        <v>5.215263542505949E-2</v>
      </c>
      <c r="K31" s="45">
        <f t="shared" si="9"/>
        <v>4.4179904761904761E-2</v>
      </c>
      <c r="L31" s="46">
        <f t="shared" ref="L31:L45" si="14">I31-H31</f>
        <v>0</v>
      </c>
      <c r="M31" s="46">
        <f t="shared" ref="M31:M45" si="15">((I31-H31)/H31)*100</f>
        <v>0</v>
      </c>
      <c r="N31" s="47">
        <v>0</v>
      </c>
      <c r="O31" s="37">
        <v>0</v>
      </c>
      <c r="P31" s="51">
        <f t="shared" ref="P31:P36" si="16">(R31)/J31</f>
        <v>0</v>
      </c>
      <c r="Q31" s="49">
        <f t="shared" ref="Q31:Q45" si="17">I31/G31-1</f>
        <v>-5.9521428571428503E-3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3887089.8649028465</v>
      </c>
      <c r="E32" s="39">
        <f t="shared" si="1"/>
        <v>3292858.7142857141</v>
      </c>
      <c r="F32" s="40" t="s">
        <v>39</v>
      </c>
      <c r="G32" s="41">
        <v>0.65</v>
      </c>
      <c r="H32" s="42">
        <v>0.85</v>
      </c>
      <c r="I32" s="43">
        <v>0.85</v>
      </c>
      <c r="J32" s="44">
        <f t="shared" si="8"/>
        <v>3.1853697839569789E-2</v>
      </c>
      <c r="K32" s="45">
        <f t="shared" si="9"/>
        <v>2.6984126984126982E-2</v>
      </c>
      <c r="L32" s="46">
        <f t="shared" si="14"/>
        <v>0</v>
      </c>
      <c r="M32" s="46">
        <f t="shared" si="15"/>
        <v>0</v>
      </c>
      <c r="N32" s="47">
        <v>0</v>
      </c>
      <c r="O32" s="37">
        <v>0</v>
      </c>
      <c r="P32" s="51">
        <f t="shared" si="16"/>
        <v>0</v>
      </c>
      <c r="Q32" s="49">
        <f t="shared" si="17"/>
        <v>0.30769230769230771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144146114.49120846</v>
      </c>
      <c r="E33" s="39">
        <f t="shared" si="1"/>
        <v>122110063.2425604</v>
      </c>
      <c r="F33" s="40" t="s">
        <v>92</v>
      </c>
      <c r="G33" s="41">
        <v>1.44</v>
      </c>
      <c r="H33" s="42">
        <v>1.4486109999999999</v>
      </c>
      <c r="I33" s="43">
        <v>1.5413640000000002</v>
      </c>
      <c r="J33" s="44">
        <f t="shared" si="8"/>
        <v>5.7762521313871357E-2</v>
      </c>
      <c r="K33" s="45">
        <f t="shared" si="9"/>
        <v>4.8932190476190483E-2</v>
      </c>
      <c r="L33" s="46">
        <f t="shared" si="14"/>
        <v>9.2753000000000307E-2</v>
      </c>
      <c r="M33" s="46">
        <f t="shared" si="15"/>
        <v>6.4028921497904072</v>
      </c>
      <c r="N33" s="47">
        <v>34500</v>
      </c>
      <c r="O33" s="37">
        <v>53177.05</v>
      </c>
      <c r="P33" s="51">
        <f t="shared" si="16"/>
        <v>0</v>
      </c>
      <c r="Q33" s="49">
        <f t="shared" si="17"/>
        <v>7.0391666666666852E-2</v>
      </c>
      <c r="R33" s="50"/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50569715.065762483</v>
      </c>
      <c r="E34" s="39">
        <f t="shared" si="1"/>
        <v>42838970.211820282</v>
      </c>
      <c r="F34" s="40" t="s">
        <v>34</v>
      </c>
      <c r="G34" s="41">
        <v>3.6056249999999999</v>
      </c>
      <c r="H34" s="42">
        <v>4.6538459999999997</v>
      </c>
      <c r="I34" s="43">
        <v>5.3233329999999999</v>
      </c>
      <c r="J34" s="44">
        <f t="shared" si="8"/>
        <v>0.19949157750754182</v>
      </c>
      <c r="K34" s="45">
        <f t="shared" si="9"/>
        <v>0.1689946984126984</v>
      </c>
      <c r="L34" s="46">
        <f t="shared" si="14"/>
        <v>0.66948700000000017</v>
      </c>
      <c r="M34" s="46">
        <f t="shared" si="15"/>
        <v>14.385671549939561</v>
      </c>
      <c r="N34" s="47">
        <v>1500</v>
      </c>
      <c r="O34" s="37">
        <v>7985</v>
      </c>
      <c r="P34" s="51">
        <f t="shared" si="16"/>
        <v>0</v>
      </c>
      <c r="Q34" s="49">
        <f t="shared" si="17"/>
        <v>0.47639674120298148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6888021.3858604068</v>
      </c>
      <c r="E35" s="39">
        <f t="shared" si="1"/>
        <v>5835028.7832060959</v>
      </c>
      <c r="F35" s="40" t="s">
        <v>34</v>
      </c>
      <c r="G35" s="41">
        <v>2.5099999999999997E-2</v>
      </c>
      <c r="H35" s="42">
        <v>3.9900000000000005E-2</v>
      </c>
      <c r="I35" s="43">
        <v>3.8982000000000003E-2</v>
      </c>
      <c r="J35" s="44">
        <f t="shared" si="8"/>
        <v>1.4608480578613054E-3</v>
      </c>
      <c r="K35" s="45">
        <f t="shared" si="9"/>
        <v>1.2375238095238097E-3</v>
      </c>
      <c r="L35" s="46">
        <f t="shared" si="14"/>
        <v>-9.1800000000000215E-4</v>
      </c>
      <c r="M35" s="46">
        <f t="shared" si="15"/>
        <v>-2.300751879699253</v>
      </c>
      <c r="N35" s="47">
        <v>26200</v>
      </c>
      <c r="O35" s="37">
        <v>1021.33</v>
      </c>
      <c r="P35" s="51">
        <f t="shared" si="16"/>
        <v>0</v>
      </c>
      <c r="Q35" s="49">
        <f t="shared" si="17"/>
        <v>0.55306772908366564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64639902.565104797</v>
      </c>
      <c r="E36" s="39">
        <f t="shared" si="1"/>
        <v>54758205.714239337</v>
      </c>
      <c r="F36" s="40" t="s">
        <v>92</v>
      </c>
      <c r="G36" s="41">
        <v>0.61</v>
      </c>
      <c r="H36" s="42">
        <v>3.284923</v>
      </c>
      <c r="I36" s="43">
        <v>3.284923</v>
      </c>
      <c r="J36" s="44">
        <f t="shared" si="8"/>
        <v>0.12310228784500366</v>
      </c>
      <c r="K36" s="45">
        <f t="shared" si="9"/>
        <v>0.10428326984126984</v>
      </c>
      <c r="L36" s="46">
        <f t="shared" si="14"/>
        <v>0</v>
      </c>
      <c r="M36" s="46">
        <f t="shared" si="15"/>
        <v>0</v>
      </c>
      <c r="N36" s="47">
        <v>0</v>
      </c>
      <c r="O36" s="37">
        <v>0</v>
      </c>
      <c r="P36" s="51">
        <f t="shared" si="16"/>
        <v>0</v>
      </c>
      <c r="Q36" s="49">
        <f t="shared" si="17"/>
        <v>4.3851196721311476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51541882.777300499</v>
      </c>
      <c r="E37" s="39">
        <f t="shared" si="1"/>
        <v>43662519.713361114</v>
      </c>
      <c r="F37" s="40" t="s">
        <v>56</v>
      </c>
      <c r="G37" s="41">
        <v>0.11650199999999999</v>
      </c>
      <c r="H37" s="42">
        <v>0.30050100000000002</v>
      </c>
      <c r="I37" s="43">
        <v>0.32787500000000003</v>
      </c>
      <c r="J37" s="44">
        <f t="shared" si="8"/>
        <v>1.2287095504881112E-2</v>
      </c>
      <c r="K37" s="45">
        <f t="shared" si="9"/>
        <v>1.0408730158730159E-2</v>
      </c>
      <c r="L37" s="46">
        <f t="shared" si="14"/>
        <v>2.7374000000000009E-2</v>
      </c>
      <c r="M37" s="46">
        <f t="shared" si="15"/>
        <v>9.1094538786892585</v>
      </c>
      <c r="N37" s="47">
        <v>400</v>
      </c>
      <c r="O37" s="37">
        <v>131.15</v>
      </c>
      <c r="P37" s="51">
        <v>0</v>
      </c>
      <c r="Q37" s="49">
        <f t="shared" si="17"/>
        <v>1.8143293677361765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20216448.214319173</v>
      </c>
      <c r="E38" s="39">
        <f t="shared" si="1"/>
        <v>17125898.805555556</v>
      </c>
      <c r="F38" s="40" t="s">
        <v>39</v>
      </c>
      <c r="G38" s="41">
        <v>0.1</v>
      </c>
      <c r="H38" s="42">
        <v>0.125</v>
      </c>
      <c r="I38" s="43">
        <v>0.125</v>
      </c>
      <c r="J38" s="44">
        <f t="shared" si="8"/>
        <v>4.6843673293484982E-3</v>
      </c>
      <c r="K38" s="45">
        <f t="shared" si="9"/>
        <v>3.968253968253968E-3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7182207.8959695697</v>
      </c>
      <c r="E39" s="39">
        <f t="shared" si="1"/>
        <v>6084242.114285714</v>
      </c>
      <c r="F39" s="40" t="s">
        <v>44</v>
      </c>
      <c r="G39" s="41">
        <v>1.7452379999999998</v>
      </c>
      <c r="H39" s="42">
        <v>1.8</v>
      </c>
      <c r="I39" s="43">
        <v>1.8</v>
      </c>
      <c r="J39" s="44">
        <f t="shared" si="8"/>
        <v>6.7454889542618371E-2</v>
      </c>
      <c r="K39" s="45">
        <f t="shared" si="9"/>
        <v>5.7142857142857141E-2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3.1377955327583029E-2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3331524.7203432703</v>
      </c>
      <c r="E40" s="39">
        <f t="shared" si="1"/>
        <v>2822224.4888888891</v>
      </c>
      <c r="F40" s="40" t="s">
        <v>39</v>
      </c>
      <c r="G40" s="41">
        <v>0.03</v>
      </c>
      <c r="H40" s="42">
        <v>5.2367999999999998E-2</v>
      </c>
      <c r="I40" s="43">
        <v>0.05</v>
      </c>
      <c r="J40" s="44">
        <f t="shared" si="8"/>
        <v>1.8737469317393993E-3</v>
      </c>
      <c r="K40" s="45">
        <f t="shared" si="9"/>
        <v>1.5873015873015873E-3</v>
      </c>
      <c r="L40" s="46">
        <f t="shared" si="14"/>
        <v>-2.3679999999999951E-3</v>
      </c>
      <c r="M40" s="46">
        <f t="shared" si="15"/>
        <v>-4.5218454017720653</v>
      </c>
      <c r="N40" s="47">
        <v>1400</v>
      </c>
      <c r="O40" s="37">
        <v>70</v>
      </c>
      <c r="P40" s="51">
        <f t="shared" si="18"/>
        <v>0</v>
      </c>
      <c r="Q40" s="49">
        <f t="shared" si="17"/>
        <v>0.66666666666666674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45956809.908373781</v>
      </c>
      <c r="E41" s="39">
        <f t="shared" si="1"/>
        <v>38931253.777777776</v>
      </c>
      <c r="F41" s="40" t="s">
        <v>47</v>
      </c>
      <c r="G41" s="41">
        <v>4.5</v>
      </c>
      <c r="H41" s="42">
        <v>6.91</v>
      </c>
      <c r="I41" s="43">
        <v>7</v>
      </c>
      <c r="J41" s="44">
        <f t="shared" si="8"/>
        <v>0.26232457044351593</v>
      </c>
      <c r="K41" s="45">
        <f t="shared" si="9"/>
        <v>0.22222222222222221</v>
      </c>
      <c r="L41" s="46">
        <f t="shared" si="14"/>
        <v>8.9999999999999858E-2</v>
      </c>
      <c r="M41" s="46">
        <f t="shared" si="15"/>
        <v>1.3024602026049183</v>
      </c>
      <c r="N41" s="47">
        <v>5000</v>
      </c>
      <c r="O41" s="37">
        <v>35000</v>
      </c>
      <c r="P41" s="51">
        <f t="shared" si="18"/>
        <v>0</v>
      </c>
      <c r="Q41" s="49">
        <f t="shared" si="17"/>
        <v>0.55555555555555558</v>
      </c>
      <c r="R41" s="50">
        <v>0</v>
      </c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312.54390743690158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6.7454889542618376E-7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1726845.1722910304</v>
      </c>
      <c r="E43" s="39">
        <f t="shared" si="1"/>
        <v>1462857.142857143</v>
      </c>
      <c r="F43" s="40" t="s">
        <v>56</v>
      </c>
      <c r="G43" s="41">
        <v>7.0000000000000007E-2</v>
      </c>
      <c r="H43" s="42">
        <v>0.08</v>
      </c>
      <c r="I43" s="43">
        <v>0.08</v>
      </c>
      <c r="J43" s="44">
        <f t="shared" si="8"/>
        <v>2.9979950907830389E-3</v>
      </c>
      <c r="K43" s="45">
        <f t="shared" si="9"/>
        <v>2.5396825396825397E-3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0.14285714285714279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60642497.312672153</v>
      </c>
      <c r="E44" s="39">
        <f t="shared" si="1"/>
        <v>51371895.858412698</v>
      </c>
      <c r="F44" s="40" t="s">
        <v>47</v>
      </c>
      <c r="G44" s="41">
        <v>0.9998999999999999</v>
      </c>
      <c r="H44" s="42">
        <v>0.93174599999999996</v>
      </c>
      <c r="I44" s="43">
        <v>0.89</v>
      </c>
      <c r="J44" s="44">
        <f t="shared" si="8"/>
        <v>3.3352695384961308E-2</v>
      </c>
      <c r="K44" s="45">
        <f t="shared" si="9"/>
        <v>2.8253968253968254E-2</v>
      </c>
      <c r="L44" s="46">
        <f t="shared" si="14"/>
        <v>-4.174599999999995E-2</v>
      </c>
      <c r="M44" s="46">
        <f t="shared" si="15"/>
        <v>-4.4804056041024003</v>
      </c>
      <c r="N44" s="47">
        <v>1600</v>
      </c>
      <c r="O44" s="37">
        <v>1424</v>
      </c>
      <c r="P44" s="51">
        <f t="shared" si="18"/>
        <v>0</v>
      </c>
      <c r="Q44" s="49">
        <f t="shared" si="17"/>
        <v>-0.10991099109910984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5196346.268432986</v>
      </c>
      <c r="E45" s="39">
        <f t="shared" si="1"/>
        <v>4401965.1428571427</v>
      </c>
      <c r="F45" s="40" t="s">
        <v>47</v>
      </c>
      <c r="G45" s="41">
        <v>1.4503460000000001</v>
      </c>
      <c r="H45" s="42">
        <v>1.5</v>
      </c>
      <c r="I45" s="43">
        <v>1.35</v>
      </c>
      <c r="J45" s="44">
        <f t="shared" si="8"/>
        <v>5.0591167156963782E-2</v>
      </c>
      <c r="K45" s="45">
        <f t="shared" si="9"/>
        <v>4.2857142857142858E-2</v>
      </c>
      <c r="L45" s="46">
        <f t="shared" si="14"/>
        <v>-0.14999999999999991</v>
      </c>
      <c r="M45" s="46">
        <f t="shared" si="15"/>
        <v>-9.9999999999999929</v>
      </c>
      <c r="N45" s="47">
        <v>62200</v>
      </c>
      <c r="O45" s="37">
        <v>83970</v>
      </c>
      <c r="P45" s="51">
        <v>0</v>
      </c>
      <c r="Q45" s="49">
        <f t="shared" si="17"/>
        <v>-6.9187628331446427E-2</v>
      </c>
      <c r="R45" s="50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429000</v>
      </c>
      <c r="O47" s="61">
        <f>SUM(O9:O46)</f>
        <v>7046681.7800000003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5" customHeight="1" x14ac:dyDescent="0.2">
      <c r="A50" s="35" t="s">
        <v>119</v>
      </c>
      <c r="B50" s="36" t="s">
        <v>120</v>
      </c>
      <c r="C50" s="40">
        <v>554920308</v>
      </c>
      <c r="D50" s="38">
        <f t="shared" ref="D50:D64" si="19">C50*J50</f>
        <v>82072713.553200006</v>
      </c>
      <c r="E50" s="39">
        <v>0</v>
      </c>
      <c r="F50" s="40" t="s">
        <v>92</v>
      </c>
      <c r="G50" s="70">
        <v>0.1</v>
      </c>
      <c r="H50" s="42">
        <v>0.14499999999999999</v>
      </c>
      <c r="I50" s="42">
        <v>0.1479</v>
      </c>
      <c r="J50" s="44">
        <f t="shared" ref="J50:J64" si="20">I50</f>
        <v>0.1479</v>
      </c>
      <c r="K50" s="39">
        <v>0</v>
      </c>
      <c r="L50" s="46">
        <f t="shared" ref="L50:L64" si="21">I50-H50</f>
        <v>2.9000000000000137E-3</v>
      </c>
      <c r="M50" s="46">
        <f t="shared" ref="M50:M64" si="22">((I50-H50)/H50)*100</f>
        <v>2.0000000000000093</v>
      </c>
      <c r="N50" s="47">
        <v>7932</v>
      </c>
      <c r="O50" s="37">
        <v>1172.8699999999999</v>
      </c>
      <c r="P50" s="71">
        <f>(R50)/J50</f>
        <v>0</v>
      </c>
      <c r="Q50" s="49">
        <f t="shared" ref="Q50:Q64" si="23">J50/G50-1</f>
        <v>0.47899999999999987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1057685</v>
      </c>
      <c r="D51" s="38">
        <f t="shared" si="19"/>
        <v>44680527.8345</v>
      </c>
      <c r="E51" s="39">
        <v>0</v>
      </c>
      <c r="F51" s="40" t="s">
        <v>39</v>
      </c>
      <c r="G51" s="70">
        <v>39.9</v>
      </c>
      <c r="H51" s="42">
        <v>42.45</v>
      </c>
      <c r="I51" s="42">
        <v>42.243699999999997</v>
      </c>
      <c r="J51" s="44">
        <f t="shared" si="20"/>
        <v>42.243699999999997</v>
      </c>
      <c r="K51" s="39">
        <v>0</v>
      </c>
      <c r="L51" s="46">
        <f t="shared" si="21"/>
        <v>-0.20630000000000592</v>
      </c>
      <c r="M51" s="46">
        <f t="shared" si="22"/>
        <v>-0.48598351001179252</v>
      </c>
      <c r="N51" s="47">
        <v>388</v>
      </c>
      <c r="O51" s="37">
        <v>16390.55</v>
      </c>
      <c r="P51" s="72">
        <f>(R51)/J51</f>
        <v>1.3256414565958949E-2</v>
      </c>
      <c r="Q51" s="49">
        <f t="shared" si="23"/>
        <v>5.8739348370927313E-2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678921830.76069999</v>
      </c>
      <c r="E52" s="39"/>
      <c r="F52" s="40" t="s">
        <v>56</v>
      </c>
      <c r="G52" s="70">
        <v>0.33</v>
      </c>
      <c r="H52" s="42">
        <v>0.2273</v>
      </c>
      <c r="I52" s="42">
        <v>0.22689999999999999</v>
      </c>
      <c r="J52" s="44">
        <f t="shared" si="20"/>
        <v>0.22689999999999999</v>
      </c>
      <c r="K52" s="39">
        <v>0</v>
      </c>
      <c r="L52" s="46">
        <f t="shared" si="21"/>
        <v>-4.0000000000001146E-4</v>
      </c>
      <c r="M52" s="46">
        <f t="shared" si="22"/>
        <v>-0.17597888253410096</v>
      </c>
      <c r="N52" s="47">
        <v>65146</v>
      </c>
      <c r="O52" s="37">
        <v>14784.76</v>
      </c>
      <c r="P52" s="71">
        <v>0</v>
      </c>
      <c r="Q52" s="49">
        <f t="shared" si="23"/>
        <v>-0.31242424242424249</v>
      </c>
      <c r="R52" s="52"/>
      <c r="T52" s="52"/>
    </row>
    <row r="53" spans="1:20" ht="12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15792290.423699999</v>
      </c>
      <c r="E53" s="39">
        <v>0</v>
      </c>
      <c r="F53" s="40" t="s">
        <v>34</v>
      </c>
      <c r="G53" s="70">
        <v>2.3E-2</v>
      </c>
      <c r="H53" s="42">
        <v>2.9000000000000001E-2</v>
      </c>
      <c r="I53" s="42">
        <v>2.5899999999999999E-2</v>
      </c>
      <c r="J53" s="44">
        <f t="shared" si="20"/>
        <v>2.5899999999999999E-2</v>
      </c>
      <c r="K53" s="39">
        <v>0</v>
      </c>
      <c r="L53" s="46">
        <f t="shared" si="21"/>
        <v>-3.1000000000000021E-3</v>
      </c>
      <c r="M53" s="46">
        <f t="shared" si="22"/>
        <v>-10.689655172413799</v>
      </c>
      <c r="N53" s="47">
        <v>14135</v>
      </c>
      <c r="O53" s="37">
        <v>365.65</v>
      </c>
      <c r="P53" s="71">
        <f t="shared" ref="P53:P64" si="24">(R53)/J53</f>
        <v>0</v>
      </c>
      <c r="Q53" s="49">
        <f t="shared" si="23"/>
        <v>0.12608695652173907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303426238.8387</v>
      </c>
      <c r="E54" s="39">
        <v>0</v>
      </c>
      <c r="F54" s="40" t="s">
        <v>47</v>
      </c>
      <c r="G54" s="70">
        <v>9.0200000000000002E-2</v>
      </c>
      <c r="H54" s="42">
        <v>0.1497</v>
      </c>
      <c r="I54" s="42">
        <v>0.14030000000000001</v>
      </c>
      <c r="J54" s="44">
        <f t="shared" si="20"/>
        <v>0.14030000000000001</v>
      </c>
      <c r="K54" s="39">
        <v>0</v>
      </c>
      <c r="L54" s="46">
        <f t="shared" si="21"/>
        <v>-9.3999999999999917E-3</v>
      </c>
      <c r="M54" s="73">
        <f t="shared" si="22"/>
        <v>-6.279225116900462</v>
      </c>
      <c r="N54" s="47">
        <v>12225</v>
      </c>
      <c r="O54" s="37">
        <v>1715.01</v>
      </c>
      <c r="P54" s="71">
        <f t="shared" si="24"/>
        <v>0</v>
      </c>
      <c r="Q54" s="49">
        <f t="shared" si="23"/>
        <v>0.55543237250554323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863832082.35500002</v>
      </c>
      <c r="E55" s="39">
        <v>0</v>
      </c>
      <c r="F55" s="40" t="s">
        <v>34</v>
      </c>
      <c r="G55" s="70">
        <v>0.95750000000000002</v>
      </c>
      <c r="H55" s="42">
        <v>1.44</v>
      </c>
      <c r="I55" s="42">
        <v>1.4999</v>
      </c>
      <c r="J55" s="44">
        <f t="shared" si="20"/>
        <v>1.4999</v>
      </c>
      <c r="K55" s="39">
        <v>0</v>
      </c>
      <c r="L55" s="46">
        <f t="shared" si="21"/>
        <v>5.9900000000000064E-2</v>
      </c>
      <c r="M55" s="46">
        <f t="shared" si="22"/>
        <v>4.1597222222222268</v>
      </c>
      <c r="N55" s="47">
        <v>67640</v>
      </c>
      <c r="O55" s="37">
        <v>101450.51</v>
      </c>
      <c r="P55" s="72">
        <f t="shared" si="24"/>
        <v>3.1335422361490763E-2</v>
      </c>
      <c r="Q55" s="49">
        <f t="shared" si="23"/>
        <v>0.56647519582245431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47">
        <v>948</v>
      </c>
      <c r="O56" s="37">
        <v>142.19999999999999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953802800</v>
      </c>
      <c r="D57" s="38">
        <f t="shared" si="19"/>
        <v>19076056</v>
      </c>
      <c r="E57" s="39">
        <v>0</v>
      </c>
      <c r="F57" s="40" t="s">
        <v>92</v>
      </c>
      <c r="G57" s="70">
        <v>1.6799999999999999E-2</v>
      </c>
      <c r="H57" s="42">
        <v>0.02</v>
      </c>
      <c r="I57" s="42">
        <v>0.02</v>
      </c>
      <c r="J57" s="44">
        <f t="shared" si="20"/>
        <v>0.02</v>
      </c>
      <c r="K57" s="39">
        <v>0</v>
      </c>
      <c r="L57" s="46">
        <f t="shared" si="21"/>
        <v>0</v>
      </c>
      <c r="M57" s="73">
        <f t="shared" si="22"/>
        <v>0</v>
      </c>
      <c r="N57" s="47">
        <v>31731</v>
      </c>
      <c r="O57" s="37">
        <v>634.62</v>
      </c>
      <c r="P57" s="71">
        <f t="shared" si="24"/>
        <v>0</v>
      </c>
      <c r="Q57" s="49">
        <f t="shared" si="23"/>
        <v>0.19047619047619047</v>
      </c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2661004.5</v>
      </c>
      <c r="E58" s="39">
        <v>0</v>
      </c>
      <c r="F58" s="40" t="s">
        <v>137</v>
      </c>
      <c r="G58" s="70">
        <v>19.5</v>
      </c>
      <c r="H58" s="42">
        <v>16.5</v>
      </c>
      <c r="I58" s="42">
        <v>16.5</v>
      </c>
      <c r="J58" s="44">
        <f t="shared" si="20"/>
        <v>16.5</v>
      </c>
      <c r="K58" s="39">
        <v>0</v>
      </c>
      <c r="L58" s="46">
        <f t="shared" si="21"/>
        <v>0</v>
      </c>
      <c r="M58" s="46">
        <f t="shared" si="22"/>
        <v>0</v>
      </c>
      <c r="N58" s="47">
        <v>0</v>
      </c>
      <c r="O58" s="37">
        <v>0</v>
      </c>
      <c r="P58" s="71">
        <f t="shared" si="24"/>
        <v>0</v>
      </c>
      <c r="Q58" s="49">
        <f t="shared" si="23"/>
        <v>-0.15384615384615385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805090451</v>
      </c>
      <c r="D59" s="38">
        <f t="shared" si="19"/>
        <v>1167381153.95</v>
      </c>
      <c r="E59" s="39">
        <v>0</v>
      </c>
      <c r="F59" s="40" t="s">
        <v>92</v>
      </c>
      <c r="G59" s="70">
        <v>0.59499999999999997</v>
      </c>
      <c r="H59" s="42">
        <v>1.2542</v>
      </c>
      <c r="I59" s="42">
        <v>1.45</v>
      </c>
      <c r="J59" s="44">
        <f t="shared" si="20"/>
        <v>1.45</v>
      </c>
      <c r="K59" s="39">
        <v>0</v>
      </c>
      <c r="L59" s="46">
        <f t="shared" si="21"/>
        <v>0.19579999999999997</v>
      </c>
      <c r="M59" s="46">
        <f t="shared" si="22"/>
        <v>15.611545208100781</v>
      </c>
      <c r="N59" s="47">
        <v>18</v>
      </c>
      <c r="O59" s="37">
        <v>26.1</v>
      </c>
      <c r="P59" s="71">
        <f t="shared" si="24"/>
        <v>0</v>
      </c>
      <c r="Q59" s="49">
        <f t="shared" si="23"/>
        <v>1.4369747899159666</v>
      </c>
      <c r="R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260714518</v>
      </c>
      <c r="D60" s="38">
        <f t="shared" si="19"/>
        <v>91145795.492800012</v>
      </c>
      <c r="E60" s="39">
        <v>0</v>
      </c>
      <c r="F60" s="40" t="s">
        <v>34</v>
      </c>
      <c r="G60" s="70">
        <v>0.22600000000000001</v>
      </c>
      <c r="H60" s="42">
        <v>0.34960000000000002</v>
      </c>
      <c r="I60" s="42">
        <v>0.34960000000000002</v>
      </c>
      <c r="J60" s="44">
        <f t="shared" si="20"/>
        <v>0.34960000000000002</v>
      </c>
      <c r="K60" s="39">
        <v>0</v>
      </c>
      <c r="L60" s="46">
        <f t="shared" si="21"/>
        <v>0</v>
      </c>
      <c r="M60" s="46">
        <f t="shared" si="22"/>
        <v>0</v>
      </c>
      <c r="N60" s="47">
        <v>0</v>
      </c>
      <c r="O60" s="37">
        <v>0</v>
      </c>
      <c r="P60" s="71">
        <f t="shared" si="24"/>
        <v>0</v>
      </c>
      <c r="Q60" s="49">
        <f t="shared" si="23"/>
        <v>0.54690265486725664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562184788</v>
      </c>
      <c r="D61" s="38">
        <f t="shared" si="19"/>
        <v>389369184.1688</v>
      </c>
      <c r="E61" s="39">
        <v>0</v>
      </c>
      <c r="F61" s="40" t="s">
        <v>34</v>
      </c>
      <c r="G61" s="70">
        <v>0.49440000000000001</v>
      </c>
      <c r="H61" s="42">
        <v>0.66400000000000003</v>
      </c>
      <c r="I61" s="42">
        <v>0.69259999999999999</v>
      </c>
      <c r="J61" s="44">
        <f t="shared" si="20"/>
        <v>0.69259999999999999</v>
      </c>
      <c r="K61" s="39">
        <v>0</v>
      </c>
      <c r="L61" s="46">
        <f t="shared" si="21"/>
        <v>2.8599999999999959E-2</v>
      </c>
      <c r="M61" s="46">
        <f t="shared" si="22"/>
        <v>4.3072289156626438</v>
      </c>
      <c r="N61" s="47">
        <v>41254</v>
      </c>
      <c r="O61" s="37">
        <v>28572.9</v>
      </c>
      <c r="P61" s="71">
        <f t="shared" si="24"/>
        <v>0</v>
      </c>
      <c r="Q61" s="49">
        <f t="shared" si="23"/>
        <v>0.40088996763754037</v>
      </c>
      <c r="R61" s="52"/>
      <c r="T61" s="52"/>
    </row>
    <row r="62" spans="1:20" ht="12" customHeight="1" x14ac:dyDescent="0.2">
      <c r="A62" s="35" t="s">
        <v>144</v>
      </c>
      <c r="B62" s="36" t="s">
        <v>145</v>
      </c>
      <c r="C62" s="40">
        <v>364526035</v>
      </c>
      <c r="D62" s="38">
        <f t="shared" si="19"/>
        <v>89090162.953999996</v>
      </c>
      <c r="E62" s="39">
        <v>0</v>
      </c>
      <c r="F62" s="40" t="s">
        <v>34</v>
      </c>
      <c r="G62" s="70">
        <v>0.25950000000000001</v>
      </c>
      <c r="H62" s="42">
        <v>0.24</v>
      </c>
      <c r="I62" s="42">
        <v>0.24440000000000001</v>
      </c>
      <c r="J62" s="44">
        <f t="shared" si="20"/>
        <v>0.24440000000000001</v>
      </c>
      <c r="K62" s="39">
        <v>0</v>
      </c>
      <c r="L62" s="46">
        <f t="shared" si="21"/>
        <v>4.400000000000015E-3</v>
      </c>
      <c r="M62" s="46">
        <f t="shared" si="22"/>
        <v>1.8333333333333397</v>
      </c>
      <c r="N62" s="47">
        <v>2260</v>
      </c>
      <c r="O62" s="37">
        <v>552.4</v>
      </c>
      <c r="P62" s="71">
        <f t="shared" si="24"/>
        <v>0</v>
      </c>
      <c r="Q62" s="49">
        <f t="shared" si="23"/>
        <v>-5.8188824662813055E-2</v>
      </c>
      <c r="R62" s="52"/>
      <c r="T62" s="52"/>
    </row>
    <row r="63" spans="1:20" x14ac:dyDescent="0.2">
      <c r="A63" s="35" t="s">
        <v>146</v>
      </c>
      <c r="B63" s="36" t="s">
        <v>147</v>
      </c>
      <c r="C63" s="40">
        <v>30000000</v>
      </c>
      <c r="D63" s="38">
        <f t="shared" si="19"/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 t="shared" si="20"/>
        <v>10</v>
      </c>
      <c r="K63" s="39">
        <v>0</v>
      </c>
      <c r="L63" s="46">
        <f t="shared" si="21"/>
        <v>0</v>
      </c>
      <c r="M63" s="46">
        <f t="shared" si="22"/>
        <v>0</v>
      </c>
      <c r="N63" s="47">
        <v>4</v>
      </c>
      <c r="O63" s="37">
        <v>40</v>
      </c>
      <c r="P63" s="71">
        <f t="shared" si="24"/>
        <v>0</v>
      </c>
      <c r="Q63" s="49">
        <f t="shared" si="23"/>
        <v>0</v>
      </c>
      <c r="T63" s="52"/>
    </row>
    <row r="64" spans="1:20" x14ac:dyDescent="0.2">
      <c r="A64" s="35" t="s">
        <v>148</v>
      </c>
      <c r="B64" s="36" t="s">
        <v>149</v>
      </c>
      <c r="C64" s="40">
        <v>344580486</v>
      </c>
      <c r="D64" s="38">
        <f t="shared" si="19"/>
        <v>35216125.669200003</v>
      </c>
      <c r="E64" s="39">
        <v>0</v>
      </c>
      <c r="F64" s="40" t="s">
        <v>44</v>
      </c>
      <c r="G64" s="70">
        <v>4.2999999999999997E-2</v>
      </c>
      <c r="H64" s="42">
        <v>0.1057</v>
      </c>
      <c r="I64" s="42">
        <v>0.1022</v>
      </c>
      <c r="J64" s="44">
        <f t="shared" si="20"/>
        <v>0.1022</v>
      </c>
      <c r="K64" s="39">
        <v>0</v>
      </c>
      <c r="L64" s="46">
        <f t="shared" si="21"/>
        <v>-3.5000000000000031E-3</v>
      </c>
      <c r="M64" s="46">
        <f t="shared" si="22"/>
        <v>-3.3112582781456985</v>
      </c>
      <c r="N64" s="47">
        <v>11674</v>
      </c>
      <c r="O64" s="37">
        <v>1193.0999999999999</v>
      </c>
      <c r="P64" s="71">
        <f t="shared" si="24"/>
        <v>0</v>
      </c>
      <c r="Q64" s="49">
        <f t="shared" si="23"/>
        <v>1.3767441860465119</v>
      </c>
      <c r="T64" s="52"/>
    </row>
    <row r="65" spans="1:20" ht="13.5" x14ac:dyDescent="0.3">
      <c r="A65" s="74"/>
      <c r="B65" s="36" t="s">
        <v>117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255355</v>
      </c>
      <c r="O65" s="62">
        <f>SUM(O50:O64)</f>
        <v>167040.67000000001</v>
      </c>
      <c r="P65" s="77"/>
      <c r="Q65" s="63"/>
    </row>
    <row r="66" spans="1:20" ht="12.75" hidden="1" x14ac:dyDescent="0.25">
      <c r="A66" s="137" t="s">
        <v>150</v>
      </c>
      <c r="B66" s="138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40"/>
    </row>
    <row r="67" spans="1:20" ht="12.75" hidden="1" thickBot="1" x14ac:dyDescent="0.25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75" thickBot="1" x14ac:dyDescent="0.25">
      <c r="A68" s="35"/>
      <c r="B68" s="36" t="s">
        <v>117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75" x14ac:dyDescent="0.25">
      <c r="A69" s="137" t="s">
        <v>154</v>
      </c>
      <c r="B69" s="138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40"/>
    </row>
    <row r="70" spans="1:20" x14ac:dyDescent="0.2">
      <c r="A70" s="35" t="s">
        <v>155</v>
      </c>
      <c r="B70" s="88" t="s">
        <v>156</v>
      </c>
      <c r="C70" s="89">
        <v>139300587</v>
      </c>
      <c r="D70" s="38">
        <f>C70*J70</f>
        <v>54786920.8671</v>
      </c>
      <c r="E70" s="39">
        <f>C70*K70</f>
        <v>54786920.8671</v>
      </c>
      <c r="F70" s="89" t="s">
        <v>157</v>
      </c>
      <c r="G70" s="89">
        <v>0.24</v>
      </c>
      <c r="H70" s="90">
        <v>0.38</v>
      </c>
      <c r="I70" s="90">
        <v>0.39329999999999998</v>
      </c>
      <c r="J70" s="91">
        <f>I70</f>
        <v>0.39329999999999998</v>
      </c>
      <c r="K70" s="91">
        <f>J70</f>
        <v>0.39329999999999998</v>
      </c>
      <c r="L70" s="46">
        <f>I70-H70</f>
        <v>1.3299999999999979E-2</v>
      </c>
      <c r="M70" s="46">
        <f>((I70-H70)/H70)*100</f>
        <v>3.4999999999999942</v>
      </c>
      <c r="N70" s="92">
        <v>78</v>
      </c>
      <c r="O70" s="93">
        <v>30.68</v>
      </c>
      <c r="P70" s="71">
        <f>(R70)/J70</f>
        <v>0</v>
      </c>
      <c r="Q70" s="49">
        <f>J70/G70-1</f>
        <v>0.63874999999999993</v>
      </c>
      <c r="T70" s="52"/>
    </row>
    <row r="71" spans="1:20" x14ac:dyDescent="0.2">
      <c r="A71" s="35" t="s">
        <v>158</v>
      </c>
      <c r="B71" s="88" t="s">
        <v>159</v>
      </c>
      <c r="C71" s="89">
        <v>471351750</v>
      </c>
      <c r="D71" s="38">
        <f>C71*J71</f>
        <v>70702762.5</v>
      </c>
      <c r="E71" s="39">
        <f>C71*K71</f>
        <v>70702762.5</v>
      </c>
      <c r="F71" s="89" t="s">
        <v>157</v>
      </c>
      <c r="G71" s="89">
        <v>0.1</v>
      </c>
      <c r="H71" s="90">
        <v>0.14960000000000001</v>
      </c>
      <c r="I71" s="90">
        <v>0.15</v>
      </c>
      <c r="J71" s="91">
        <f>I71</f>
        <v>0.15</v>
      </c>
      <c r="K71" s="91">
        <f>J71</f>
        <v>0.15</v>
      </c>
      <c r="L71" s="46">
        <f>I71-H71</f>
        <v>3.999999999999837E-4</v>
      </c>
      <c r="M71" s="46">
        <f>((I71-H71)/H71)*100</f>
        <v>0.2673796791443741</v>
      </c>
      <c r="N71" s="47">
        <v>1406</v>
      </c>
      <c r="O71" s="93">
        <v>210.9</v>
      </c>
      <c r="P71" s="94">
        <f>(R71)/J71</f>
        <v>2.528E-2</v>
      </c>
      <c r="Q71" s="49">
        <f>J71/G71-1</f>
        <v>0.49999999999999978</v>
      </c>
      <c r="R71" s="5">
        <v>3.7919999999999998E-3</v>
      </c>
      <c r="T71" s="52"/>
    </row>
    <row r="72" spans="1:20" ht="14.25" thickBot="1" x14ac:dyDescent="0.35">
      <c r="A72" s="35"/>
      <c r="B72" s="36" t="s">
        <v>117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1484</v>
      </c>
      <c r="O72" s="62">
        <f>SUM(O70:O71)</f>
        <v>241.58</v>
      </c>
      <c r="P72" s="87"/>
      <c r="Q72" s="63"/>
    </row>
    <row r="73" spans="1:20" ht="12.75" x14ac:dyDescent="0.25">
      <c r="A73" s="137" t="s">
        <v>160</v>
      </c>
      <c r="B73" s="138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40"/>
    </row>
    <row r="74" spans="1:20" x14ac:dyDescent="0.2">
      <c r="A74" s="35" t="s">
        <v>161</v>
      </c>
      <c r="B74" s="88" t="s">
        <v>162</v>
      </c>
      <c r="C74" s="89">
        <v>20819695</v>
      </c>
      <c r="D74" s="38">
        <f>C74*J74</f>
        <v>2646183.2344999998</v>
      </c>
      <c r="E74" s="39">
        <f>C74*K74</f>
        <v>2646183.2344999998</v>
      </c>
      <c r="F74" s="89" t="s">
        <v>137</v>
      </c>
      <c r="G74" s="89">
        <v>0.1394</v>
      </c>
      <c r="H74" s="90">
        <v>0.1268</v>
      </c>
      <c r="I74" s="90">
        <v>0.12709999999999999</v>
      </c>
      <c r="J74" s="91">
        <f>I74</f>
        <v>0.12709999999999999</v>
      </c>
      <c r="K74" s="91">
        <f>J74</f>
        <v>0.12709999999999999</v>
      </c>
      <c r="L74" s="46">
        <f>I74-H74</f>
        <v>2.9999999999999472E-4</v>
      </c>
      <c r="M74" s="46">
        <f>((I74-H74)/H74)*100</f>
        <v>0.23659305993690435</v>
      </c>
      <c r="N74" s="92">
        <v>3975</v>
      </c>
      <c r="O74" s="93">
        <v>505.07</v>
      </c>
      <c r="P74" s="71">
        <f>(R74)/J74</f>
        <v>0</v>
      </c>
      <c r="Q74" s="49">
        <f>J74/G74-1</f>
        <v>-8.8235294117647078E-2</v>
      </c>
    </row>
    <row r="75" spans="1:20" ht="13.5" x14ac:dyDescent="0.3">
      <c r="A75" s="35"/>
      <c r="B75" s="36" t="s">
        <v>117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75" x14ac:dyDescent="0.25">
      <c r="A76" s="133" t="s">
        <v>163</v>
      </c>
      <c r="B76" s="134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6"/>
    </row>
    <row r="77" spans="1:20" x14ac:dyDescent="0.2">
      <c r="A77" s="35" t="s">
        <v>164</v>
      </c>
      <c r="B77" s="36" t="s">
        <v>165</v>
      </c>
      <c r="C77" s="40">
        <v>31703227</v>
      </c>
      <c r="D77" s="38">
        <f>C77*J77</f>
        <v>106926.88377147782</v>
      </c>
      <c r="E77" s="39">
        <f>C77*K77</f>
        <v>90580.648571428566</v>
      </c>
      <c r="F77" s="40" t="s">
        <v>137</v>
      </c>
      <c r="G77" s="70">
        <v>0.105</v>
      </c>
      <c r="H77" s="42">
        <v>0.09</v>
      </c>
      <c r="I77" s="42">
        <v>0.09</v>
      </c>
      <c r="J77" s="44">
        <f>I77/$J$5</f>
        <v>3.3727444771309185E-3</v>
      </c>
      <c r="K77" s="45">
        <f>I77/$K$4</f>
        <v>2.8571428571428571E-3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-0.1428571428571429</v>
      </c>
    </row>
    <row r="78" spans="1:20" x14ac:dyDescent="0.2">
      <c r="A78" s="35" t="s">
        <v>166</v>
      </c>
      <c r="B78" s="36" t="s">
        <v>167</v>
      </c>
      <c r="C78" s="40">
        <v>136162052</v>
      </c>
      <c r="D78" s="38">
        <f>C78*J78</f>
        <v>395471.81008285709</v>
      </c>
      <c r="E78" s="39">
        <f>C78*K78</f>
        <v>335014.84178273019</v>
      </c>
      <c r="F78" s="40" t="s">
        <v>137</v>
      </c>
      <c r="G78" s="70">
        <v>4.2500000000000003E-2</v>
      </c>
      <c r="H78" s="42">
        <v>7.7503000000000002E-2</v>
      </c>
      <c r="I78" s="42">
        <v>7.7503000000000002E-2</v>
      </c>
      <c r="J78" s="44">
        <f>I78/$J$5</f>
        <v>2.9044201690119733E-3</v>
      </c>
      <c r="K78" s="45">
        <f>I78/$K$4</f>
        <v>2.4604126984126987E-3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0.82359999999999989</v>
      </c>
    </row>
    <row r="79" spans="1:20" x14ac:dyDescent="0.2">
      <c r="A79" s="35" t="s">
        <v>168</v>
      </c>
      <c r="B79" s="36" t="s">
        <v>169</v>
      </c>
      <c r="C79" s="40">
        <v>6677853</v>
      </c>
      <c r="D79" s="38">
        <f>C79*J79</f>
        <v>32532.777080327531</v>
      </c>
      <c r="E79" s="39">
        <f>C79*K79</f>
        <v>27559.393333333337</v>
      </c>
      <c r="F79" s="40" t="s">
        <v>137</v>
      </c>
      <c r="G79" s="70">
        <v>6.0499999999999998E-2</v>
      </c>
      <c r="H79" s="42">
        <v>0.13</v>
      </c>
      <c r="I79" s="42">
        <v>0.13</v>
      </c>
      <c r="J79" s="44">
        <f>I79/$J$5</f>
        <v>4.871742022522438E-3</v>
      </c>
      <c r="K79" s="45">
        <f>I79/$K$4</f>
        <v>4.1269841269841274E-3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1.1487603305785123</v>
      </c>
    </row>
    <row r="80" spans="1:20" x14ac:dyDescent="0.2">
      <c r="A80" s="35" t="s">
        <v>170</v>
      </c>
      <c r="B80" s="36" t="s">
        <v>171</v>
      </c>
      <c r="C80" s="37">
        <v>494417400</v>
      </c>
      <c r="D80" s="38">
        <f>C80*J80</f>
        <v>28718805.673705712</v>
      </c>
      <c r="E80" s="39">
        <f>C80*K80</f>
        <v>24328475.238095239</v>
      </c>
      <c r="F80" s="40" t="s">
        <v>137</v>
      </c>
      <c r="G80" s="70">
        <v>1.85</v>
      </c>
      <c r="H80" s="42">
        <v>1.55</v>
      </c>
      <c r="I80" s="42">
        <v>1.55</v>
      </c>
      <c r="J80" s="44">
        <f>I80/$J$5</f>
        <v>5.8086154883921381E-2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-0.16216216216216217</v>
      </c>
    </row>
    <row r="81" spans="1:243" ht="15.75" thickBot="1" x14ac:dyDescent="0.35">
      <c r="A81" s="35"/>
      <c r="B81" s="36" t="s">
        <v>117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0</v>
      </c>
      <c r="O81" s="62">
        <f>SUM(O77:O80)</f>
        <v>0</v>
      </c>
      <c r="P81" s="77"/>
      <c r="Q81" s="63"/>
      <c r="V81" s="96"/>
      <c r="W81" s="96"/>
      <c r="DU81" s="97"/>
      <c r="DV81" s="97"/>
      <c r="DW81" s="98"/>
      <c r="DX81" s="99"/>
      <c r="DY81" s="99"/>
      <c r="DZ81" s="100"/>
      <c r="EA81" s="100"/>
      <c r="EB81" s="101"/>
      <c r="EC81" s="101"/>
      <c r="ED81" s="102"/>
      <c r="EE81" s="102"/>
      <c r="EF81" s="100"/>
      <c r="EG81" s="103"/>
      <c r="EH81" s="104"/>
      <c r="EI81" s="98"/>
      <c r="EJ81" s="97"/>
      <c r="EK81" s="97"/>
      <c r="EL81" s="98"/>
      <c r="EM81" s="99"/>
      <c r="EN81" s="99"/>
      <c r="EO81" s="100"/>
      <c r="EP81" s="100"/>
      <c r="EQ81" s="101"/>
      <c r="ER81" s="101"/>
      <c r="ES81" s="102"/>
      <c r="ET81" s="102"/>
      <c r="EU81" s="100"/>
      <c r="EV81" s="103"/>
      <c r="EW81" s="104"/>
      <c r="EX81" s="98"/>
      <c r="EY81" s="97"/>
      <c r="EZ81" s="97"/>
      <c r="FA81" s="98"/>
      <c r="FB81" s="99"/>
      <c r="FC81" s="99"/>
      <c r="FD81" s="100"/>
      <c r="FE81" s="100"/>
      <c r="FF81" s="101"/>
      <c r="FG81" s="101"/>
      <c r="FH81" s="102"/>
      <c r="FI81" s="102"/>
      <c r="FJ81" s="100"/>
      <c r="FK81" s="103"/>
      <c r="FL81" s="104"/>
      <c r="FM81" s="98"/>
      <c r="FN81" s="97"/>
      <c r="FO81" s="97"/>
      <c r="FP81" s="98"/>
      <c r="FQ81" s="99"/>
      <c r="FR81" s="99"/>
      <c r="FS81" s="100"/>
      <c r="FT81" s="100"/>
      <c r="FU81" s="101"/>
      <c r="FV81" s="101"/>
      <c r="FW81" s="102"/>
      <c r="FX81" s="102"/>
      <c r="FY81" s="100"/>
      <c r="FZ81" s="103"/>
      <c r="GA81" s="104"/>
      <c r="GB81" s="98"/>
      <c r="GC81" s="97"/>
      <c r="GD81" s="97"/>
      <c r="GE81" s="98"/>
      <c r="GF81" s="99"/>
      <c r="GG81" s="99"/>
      <c r="GH81" s="100"/>
      <c r="GI81" s="100"/>
      <c r="GJ81" s="101"/>
      <c r="GK81" s="101"/>
      <c r="GL81" s="102"/>
      <c r="GM81" s="102"/>
      <c r="GN81" s="100"/>
      <c r="GO81" s="103"/>
      <c r="GP81" s="104"/>
      <c r="GQ81" s="98"/>
      <c r="GR81" s="97"/>
      <c r="GS81" s="97"/>
      <c r="GT81" s="98"/>
      <c r="GU81" s="99"/>
      <c r="GV81" s="99"/>
      <c r="GW81" s="100"/>
      <c r="GX81" s="100"/>
      <c r="GY81" s="101"/>
      <c r="GZ81" s="101"/>
      <c r="HA81" s="102"/>
      <c r="HB81" s="102"/>
      <c r="HC81" s="100"/>
      <c r="HD81" s="103"/>
      <c r="HE81" s="104"/>
      <c r="HF81" s="98"/>
      <c r="HG81" s="97"/>
      <c r="HH81" s="97"/>
      <c r="HI81" s="98"/>
      <c r="HJ81" s="99"/>
      <c r="HK81" s="99"/>
      <c r="HL81" s="100"/>
      <c r="HM81" s="100"/>
      <c r="HN81" s="101"/>
      <c r="HO81" s="101"/>
      <c r="HP81" s="102"/>
      <c r="HQ81" s="102"/>
      <c r="HR81" s="100"/>
      <c r="HS81" s="103"/>
      <c r="HT81" s="104"/>
      <c r="HU81" s="98"/>
      <c r="HV81" s="97"/>
      <c r="HW81" s="97"/>
      <c r="HX81" s="98"/>
      <c r="HY81" s="99"/>
      <c r="HZ81" s="99"/>
      <c r="IA81" s="100"/>
      <c r="IB81" s="100"/>
      <c r="IC81" s="101"/>
      <c r="ID81" s="101"/>
      <c r="IE81" s="102"/>
      <c r="IF81" s="102"/>
      <c r="IG81" s="100"/>
      <c r="IH81" s="103"/>
      <c r="II81" s="104"/>
    </row>
    <row r="82" spans="1:243" ht="13.5" thickTop="1" x14ac:dyDescent="0.25">
      <c r="A82" s="137" t="s">
        <v>172</v>
      </c>
      <c r="B82" s="138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40"/>
    </row>
    <row r="83" spans="1:243" x14ac:dyDescent="0.2">
      <c r="A83" s="35" t="s">
        <v>173</v>
      </c>
      <c r="B83" s="36" t="s">
        <v>174</v>
      </c>
      <c r="C83" s="40">
        <v>368326244</v>
      </c>
      <c r="D83" s="38">
        <f>C83*J83</f>
        <v>27329946.715134256</v>
      </c>
      <c r="E83" s="39">
        <f>C83*K83</f>
        <v>23151935.337142859</v>
      </c>
      <c r="F83" s="40" t="s">
        <v>175</v>
      </c>
      <c r="G83" s="40">
        <v>1.3</v>
      </c>
      <c r="H83" s="42">
        <v>1.9824999999999999</v>
      </c>
      <c r="I83" s="42">
        <v>1.98</v>
      </c>
      <c r="J83" s="44">
        <f>I83/$J$5</f>
        <v>7.4200378496880215E-2</v>
      </c>
      <c r="K83" s="45">
        <f>I83/$K$4</f>
        <v>6.2857142857142861E-2</v>
      </c>
      <c r="L83" s="46">
        <f>I83-H83</f>
        <v>-2.4999999999999467E-3</v>
      </c>
      <c r="M83" s="46">
        <f>((I83-H83)/H83*100)</f>
        <v>-0.12610340479192669</v>
      </c>
      <c r="N83" s="105">
        <v>2300</v>
      </c>
      <c r="O83" s="106">
        <v>4554.2825000000003</v>
      </c>
      <c r="P83" s="51">
        <f>(R83)/J83</f>
        <v>0</v>
      </c>
      <c r="Q83" s="49">
        <f>I83/G83-1</f>
        <v>0.52307692307692299</v>
      </c>
      <c r="R83" s="52"/>
    </row>
    <row r="84" spans="1:243" s="107" customFormat="1" ht="12.75" thickBot="1" x14ac:dyDescent="0.25">
      <c r="A84" s="35" t="s">
        <v>176</v>
      </c>
      <c r="B84" s="36" t="s">
        <v>177</v>
      </c>
      <c r="C84" s="40">
        <v>1841105000</v>
      </c>
      <c r="D84" s="38">
        <f>C84*J84</f>
        <v>75948918.897487313</v>
      </c>
      <c r="E84" s="39">
        <f>C84*K84</f>
        <v>64338378.61333333</v>
      </c>
      <c r="F84" s="40" t="s">
        <v>175</v>
      </c>
      <c r="G84" s="40">
        <v>1.44347</v>
      </c>
      <c r="H84" s="42">
        <v>1.1152009999999999</v>
      </c>
      <c r="I84" s="42">
        <v>1.100784</v>
      </c>
      <c r="J84" s="44">
        <f>I84/$J$5</f>
        <v>4.1251812850156458E-2</v>
      </c>
      <c r="K84" s="45">
        <f>I84/$K$4</f>
        <v>3.4945523809523808E-2</v>
      </c>
      <c r="L84" s="46">
        <f>I84-H84</f>
        <v>-1.4416999999999902E-2</v>
      </c>
      <c r="M84" s="46">
        <f>((I84-H84)/H84*100)</f>
        <v>-1.2927714376152732</v>
      </c>
      <c r="N84" s="105">
        <v>1839313</v>
      </c>
      <c r="O84" s="106">
        <v>2024704.6325000001</v>
      </c>
      <c r="P84" s="48">
        <f>(R84)/J84</f>
        <v>5.2749196936001976E-2</v>
      </c>
      <c r="Q84" s="49">
        <f>I84/G84-1</f>
        <v>-0.23740431044635502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75" thickBot="1" x14ac:dyDescent="0.25">
      <c r="A85" s="78"/>
      <c r="B85" s="79"/>
      <c r="C85" s="80"/>
      <c r="D85" s="108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6"/>
    </row>
    <row r="86" spans="1:243" ht="12.75" thickBot="1" x14ac:dyDescent="0.25">
      <c r="A86" s="109"/>
      <c r="B86" s="110"/>
      <c r="C86" s="110"/>
      <c r="D86" s="110"/>
      <c r="E86" s="110"/>
      <c r="F86" s="111"/>
      <c r="G86" s="111"/>
      <c r="H86" s="59"/>
      <c r="M86" s="112"/>
      <c r="N86" s="112"/>
      <c r="O86" s="59"/>
      <c r="P86" s="59"/>
      <c r="Q86" s="113"/>
    </row>
    <row r="87" spans="1:243" ht="15" customHeight="1" thickBot="1" x14ac:dyDescent="0.25">
      <c r="A87" s="141" t="s">
        <v>178</v>
      </c>
      <c r="B87" s="142"/>
      <c r="C87" s="142"/>
      <c r="D87" s="143"/>
      <c r="E87" s="141" t="s">
        <v>179</v>
      </c>
      <c r="F87" s="142"/>
      <c r="G87" s="142"/>
      <c r="H87" s="143"/>
      <c r="I87" s="52"/>
      <c r="J87" s="114" t="s">
        <v>180</v>
      </c>
      <c r="K87" s="115"/>
      <c r="L87" s="116"/>
      <c r="M87" s="114" t="s">
        <v>181</v>
      </c>
      <c r="N87" s="115"/>
      <c r="O87" s="116"/>
    </row>
    <row r="88" spans="1:243" ht="15" customHeight="1" x14ac:dyDescent="0.2">
      <c r="A88" s="35" t="s">
        <v>32</v>
      </c>
      <c r="B88" s="117">
        <v>15</v>
      </c>
      <c r="D88" s="117">
        <v>15.384615384615385</v>
      </c>
      <c r="E88" s="35" t="s">
        <v>50</v>
      </c>
      <c r="F88" s="118">
        <v>5.7022619999999993</v>
      </c>
      <c r="H88" s="119">
        <v>-10.846058918635229</v>
      </c>
      <c r="J88" s="35" t="s">
        <v>138</v>
      </c>
      <c r="K88" s="51">
        <v>1.45</v>
      </c>
      <c r="L88" s="120">
        <v>15.611545208100781</v>
      </c>
      <c r="M88" s="59" t="s">
        <v>125</v>
      </c>
      <c r="N88" s="118">
        <v>2.5899999999999999E-2</v>
      </c>
      <c r="O88" s="119">
        <v>-10.689655172413799</v>
      </c>
    </row>
    <row r="89" spans="1:243" ht="15" customHeight="1" x14ac:dyDescent="0.2">
      <c r="A89" s="35" t="s">
        <v>93</v>
      </c>
      <c r="B89" s="117">
        <v>5.3233329999999999</v>
      </c>
      <c r="D89" s="117">
        <v>14.385671549939561</v>
      </c>
      <c r="E89" s="35" t="s">
        <v>115</v>
      </c>
      <c r="F89" s="118">
        <v>1.35</v>
      </c>
      <c r="H89" s="119">
        <v>-9.9999999999999929</v>
      </c>
      <c r="J89" s="35" t="s">
        <v>142</v>
      </c>
      <c r="K89" s="51">
        <v>0.69259999999999999</v>
      </c>
      <c r="L89" s="120">
        <v>4.3072289156626438</v>
      </c>
      <c r="M89" s="59" t="s">
        <v>127</v>
      </c>
      <c r="N89" s="118">
        <v>0.14030000000000001</v>
      </c>
      <c r="O89" s="119">
        <v>-6.279225116900462</v>
      </c>
    </row>
    <row r="90" spans="1:243" ht="15" customHeight="1" x14ac:dyDescent="0.2">
      <c r="A90" s="35" t="s">
        <v>79</v>
      </c>
      <c r="B90" s="117">
        <v>0.93727300000000002</v>
      </c>
      <c r="C90" s="117"/>
      <c r="D90" s="117">
        <v>11.580119047619055</v>
      </c>
      <c r="E90" s="35" t="s">
        <v>105</v>
      </c>
      <c r="F90" s="118">
        <v>0.05</v>
      </c>
      <c r="H90" s="119">
        <v>-4.5218454017720653</v>
      </c>
      <c r="J90" s="35" t="s">
        <v>129</v>
      </c>
      <c r="K90" s="51">
        <v>1.4999</v>
      </c>
      <c r="L90" s="120">
        <v>4.1597222222222268</v>
      </c>
      <c r="M90" s="35" t="s">
        <v>148</v>
      </c>
      <c r="N90" s="118">
        <v>0.1022</v>
      </c>
      <c r="O90" s="119">
        <v>-3.3112582781456985</v>
      </c>
    </row>
    <row r="91" spans="1:243" ht="15" customHeight="1" x14ac:dyDescent="0.2">
      <c r="A91" s="35" t="s">
        <v>99</v>
      </c>
      <c r="B91" s="117">
        <v>0.32787500000000003</v>
      </c>
      <c r="C91" s="117"/>
      <c r="D91" s="117">
        <v>9.1094538786892585</v>
      </c>
      <c r="E91" s="35" t="s">
        <v>113</v>
      </c>
      <c r="F91" s="118">
        <v>0.89</v>
      </c>
      <c r="H91" s="119">
        <v>-4.4804056041024003</v>
      </c>
      <c r="J91" s="35" t="s">
        <v>119</v>
      </c>
      <c r="K91" s="51">
        <v>0.1479</v>
      </c>
      <c r="L91" s="120">
        <v>2.0000000000000093</v>
      </c>
      <c r="M91" s="35" t="s">
        <v>121</v>
      </c>
      <c r="N91" s="118">
        <v>42.243699999999997</v>
      </c>
      <c r="O91" s="119">
        <v>-0.48598351001179252</v>
      </c>
    </row>
    <row r="92" spans="1:243" ht="15" customHeight="1" x14ac:dyDescent="0.2">
      <c r="A92" s="35" t="s">
        <v>90</v>
      </c>
      <c r="B92" s="117">
        <v>1.5413640000000002</v>
      </c>
      <c r="C92" s="117"/>
      <c r="D92" s="117">
        <v>6.4028921497904072</v>
      </c>
      <c r="E92" s="35" t="s">
        <v>95</v>
      </c>
      <c r="F92" s="118">
        <v>3.8982000000000003E-2</v>
      </c>
      <c r="G92" s="118"/>
      <c r="H92" s="119">
        <v>-2.300751879699253</v>
      </c>
      <c r="J92" s="35" t="s">
        <v>144</v>
      </c>
      <c r="K92" s="51">
        <v>0.24440000000000001</v>
      </c>
      <c r="L92" s="120">
        <v>1.8333333333333397</v>
      </c>
      <c r="M92" s="35" t="s">
        <v>123</v>
      </c>
      <c r="N92" s="118">
        <v>0.22689999999999999</v>
      </c>
      <c r="O92" s="119">
        <v>-0.17597888253410096</v>
      </c>
    </row>
    <row r="93" spans="1:243" ht="15.75" customHeight="1" thickBot="1" x14ac:dyDescent="0.25">
      <c r="A93" s="121"/>
      <c r="B93" s="122"/>
      <c r="C93" s="122"/>
      <c r="D93" s="122"/>
      <c r="E93" s="121"/>
      <c r="F93" s="122"/>
      <c r="G93" s="122"/>
      <c r="H93" s="123"/>
      <c r="J93" s="121"/>
      <c r="K93" s="122"/>
      <c r="L93" s="123"/>
      <c r="M93" s="122"/>
      <c r="N93" s="122"/>
      <c r="O93" s="123"/>
    </row>
    <row r="94" spans="1:243" x14ac:dyDescent="0.2">
      <c r="A94" s="124"/>
      <c r="B94" s="125"/>
      <c r="C94" s="125"/>
      <c r="D94" s="125"/>
      <c r="E94" s="112"/>
      <c r="F94" s="112"/>
      <c r="G94" s="112"/>
      <c r="H94" s="112"/>
      <c r="I94" s="112"/>
      <c r="J94" s="112"/>
      <c r="K94" s="112"/>
      <c r="L94" s="112"/>
      <c r="M94" s="125"/>
      <c r="Q94" s="16"/>
    </row>
    <row r="95" spans="1:243" x14ac:dyDescent="0.2">
      <c r="A95" s="12" t="s">
        <v>182</v>
      </c>
      <c r="B95" s="126"/>
      <c r="C95" s="126"/>
      <c r="D95" s="126"/>
      <c r="E95" s="126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">
      <c r="A96" s="124"/>
      <c r="B96" s="125"/>
      <c r="C96" s="125"/>
      <c r="D96" s="125"/>
      <c r="E96" s="125"/>
      <c r="F96" s="112"/>
      <c r="G96" s="112"/>
      <c r="H96" s="125"/>
      <c r="I96" s="112"/>
      <c r="J96" s="112"/>
      <c r="K96" s="112"/>
      <c r="L96" s="112"/>
      <c r="M96" s="125"/>
      <c r="Q96" s="16"/>
    </row>
    <row r="97" spans="1:17" ht="12.75" thickBot="1" x14ac:dyDescent="0.25">
      <c r="A97" s="127"/>
      <c r="B97" s="128"/>
      <c r="C97" s="128"/>
      <c r="D97" s="128"/>
      <c r="E97" s="128"/>
      <c r="F97" s="129"/>
      <c r="G97" s="129"/>
      <c r="H97" s="129"/>
      <c r="I97" s="130"/>
      <c r="J97" s="130"/>
      <c r="K97" s="130"/>
      <c r="L97" s="130"/>
      <c r="M97" s="130"/>
      <c r="N97" s="130"/>
      <c r="O97" s="130"/>
      <c r="P97" s="130"/>
      <c r="Q97" s="131"/>
    </row>
    <row r="98" spans="1:17" x14ac:dyDescent="0.2">
      <c r="I98" s="32"/>
      <c r="J98" s="32"/>
      <c r="K98" s="32"/>
      <c r="L98" s="32"/>
      <c r="M98" s="32"/>
      <c r="N98" s="32"/>
      <c r="O98" s="32"/>
      <c r="P98" s="32"/>
    </row>
    <row r="99" spans="1:17" x14ac:dyDescent="0.2">
      <c r="I99" s="32"/>
      <c r="J99" s="32"/>
      <c r="K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132"/>
      <c r="J101" s="132"/>
      <c r="K101" s="132"/>
      <c r="O101" s="132"/>
      <c r="P101" s="132"/>
    </row>
    <row r="103" spans="1:17" x14ac:dyDescent="0.2">
      <c r="I103" s="32"/>
      <c r="J103" s="32"/>
      <c r="K103" s="32"/>
      <c r="O103" s="32"/>
      <c r="P103" s="32"/>
    </row>
    <row r="104" spans="1:17" x14ac:dyDescent="0.2">
      <c r="I104" s="132"/>
      <c r="J104" s="132"/>
      <c r="K104" s="132"/>
      <c r="O104" s="132"/>
      <c r="P104" s="132"/>
    </row>
    <row r="105" spans="1:17" x14ac:dyDescent="0.2">
      <c r="I105" s="32"/>
      <c r="J105" s="32"/>
      <c r="K105" s="32"/>
      <c r="O105" s="32"/>
      <c r="P105" s="32"/>
    </row>
    <row r="106" spans="1:17" x14ac:dyDescent="0.2">
      <c r="I106" s="132"/>
      <c r="J106" s="132"/>
      <c r="K106" s="132"/>
      <c r="O106" s="132"/>
      <c r="P106" s="132"/>
    </row>
  </sheetData>
  <sheetProtection algorithmName="SHA-512" hashValue="ZXUmOxZJyku8TZoZj2NQp9WE+3IJfRrpGTV2di9FT/+RwM8uR+KWHp7bcIjMTdsrhs89UKSs+LXWi7b6Y2Ul8A==" saltValue="zxoNqsW25T8agGnLUZJP2A==" spinCount="100000" sheet="1" objects="1" scenarios="1"/>
  <mergeCells count="10">
    <mergeCell ref="A76:Q76"/>
    <mergeCell ref="A82:Q82"/>
    <mergeCell ref="A87:D87"/>
    <mergeCell ref="E87:H87"/>
    <mergeCell ref="L5:M5"/>
    <mergeCell ref="A6:Q6"/>
    <mergeCell ref="A49:Q49"/>
    <mergeCell ref="A66:Q66"/>
    <mergeCell ref="A69:Q69"/>
    <mergeCell ref="A73:Q73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Stanley T. Gachira</cp:lastModifiedBy>
  <dcterms:created xsi:type="dcterms:W3CDTF">2026-07-31T13:25:43Z</dcterms:created>
  <dcterms:modified xsi:type="dcterms:W3CDTF">2026-07-31T13:27:31Z</dcterms:modified>
</cp:coreProperties>
</file>