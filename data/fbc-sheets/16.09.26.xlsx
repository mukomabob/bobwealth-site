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karwae\Music\"/>
    </mc:Choice>
  </mc:AlternateContent>
  <xr:revisionPtr revIDLastSave="0" documentId="13_ncr:1_{42A3BB3E-505B-4F97-8704-B509393C8962}" xr6:coauthVersionLast="47" xr6:coauthVersionMax="47" xr10:uidLastSave="{00000000-0000-0000-0000-000000000000}"/>
  <bookViews>
    <workbookView xWindow="-108" yWindow="-108" windowWidth="23256" windowHeight="12456" xr2:uid="{24088C9C-F8C1-4C24-9DD3-AF4B8FA3BE7B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M55" i="1"/>
  <c r="L55" i="1"/>
  <c r="J55" i="1"/>
  <c r="Q54" i="1"/>
  <c r="M54" i="1"/>
  <c r="L54" i="1"/>
  <c r="J54" i="1"/>
  <c r="P54" i="1" s="1"/>
  <c r="D54" i="1"/>
  <c r="M53" i="1"/>
  <c r="L53" i="1"/>
  <c r="J53" i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P75" i="1" l="1"/>
  <c r="Q75" i="1"/>
  <c r="K75" i="1"/>
  <c r="E75" i="1" s="1"/>
  <c r="P72" i="1"/>
  <c r="Q72" i="1"/>
  <c r="K72" i="1"/>
  <c r="E72" i="1" s="1"/>
  <c r="P71" i="1"/>
  <c r="Q71" i="1"/>
  <c r="K71" i="1"/>
  <c r="E71" i="1" s="1"/>
  <c r="P65" i="1"/>
  <c r="Q65" i="1"/>
  <c r="Q64" i="1"/>
  <c r="P64" i="1"/>
  <c r="Q63" i="1"/>
  <c r="P63" i="1"/>
  <c r="P62" i="1"/>
  <c r="Q62" i="1"/>
  <c r="Q61" i="1"/>
  <c r="P61" i="1"/>
  <c r="Q60" i="1"/>
  <c r="P60" i="1"/>
  <c r="P59" i="1"/>
  <c r="Q59" i="1"/>
  <c r="P58" i="1"/>
  <c r="Q58" i="1"/>
  <c r="P57" i="1"/>
  <c r="Q57" i="1"/>
  <c r="D56" i="1"/>
  <c r="P56" i="1"/>
  <c r="Q56" i="1"/>
  <c r="P55" i="1"/>
  <c r="Q55" i="1"/>
  <c r="D55" i="1"/>
  <c r="Q53" i="1"/>
  <c r="P53" i="1"/>
  <c r="Q51" i="1"/>
  <c r="P51" i="1"/>
  <c r="P50" i="1"/>
  <c r="Q50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<sst xmlns="http://schemas.openxmlformats.org/spreadsheetml/2006/main" count="271" uniqueCount="185">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</sst>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4" fontId="15" fillId="5" borderId="0" xfId="5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166" fontId="15" fillId="5" borderId="0" xfId="5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</cellXfs>
  <cellStyles count="9">
    <cellStyle name="Comma 2 2 2 2 2 2 2 2 2 2 2 2 2 2" xfId="3" xr:uid="{CA95171C-7628-4197-B8B4-9042D142D933}"/>
    <cellStyle name="Comma 5 2 2 2 2 2 2 2 2 2 2 2 2" xfId="4" xr:uid="{2CBEB80A-77BF-4502-AEE7-074BCA31A238}"/>
    <cellStyle name="Comma 6 2 2 2 2 2 2 2" xfId="5" xr:uid="{E2478F46-367F-4DFC-AD9B-DEEA9E233750}"/>
    <cellStyle name="Hyperlink 2" xfId="8" xr:uid="{467C907D-036E-4DB6-9EED-FBB937821901}"/>
    <cellStyle name="Normal" xfId="0" builtinId="0"/>
    <cellStyle name="Normal 2" xfId="2" xr:uid="{8389E285-3B73-4EC8-979D-DCBB84338103}"/>
    <cellStyle name="Normal 20" xfId="7" xr:uid="{F5B77CE2-CB7E-430E-8118-F18A4E3C2CEB}"/>
    <cellStyle name="Percent" xfId="1" builtinId="5"/>
    <cellStyle name="Percent 3" xfId="6" xr:uid="{28A47A6A-7F48-40B5-9CF0-B99624169F50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7DB3B34-D83D-4264-BE5D-144A962B6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22293F65-BD82-498C-A0E6-39E3906C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E026-B6CD-4B16-B09C-ED8FBD82DBD1}">
  <dimension ref="A1:II107"/>
  <sheetViews>
    <sheetView tabSelected="1" zoomScale="70" zoomScaleNormal="70" workbookViewId="0">
      <selection activeCell="I55" sqref="I5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26.6843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9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81474652.614083931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0.64644753656644538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5500</v>
      </c>
      <c r="O9" s="37">
        <v>94875</v>
      </c>
      <c r="P9" s="48">
        <f t="shared" ref="P9:P17" si="5">(R9)/J9</f>
        <v>2.3203739130434786E-2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3300555.840168376</v>
      </c>
      <c r="E10" s="39">
        <f t="shared" si="1"/>
        <v>2752281.9439314064</v>
      </c>
      <c r="F10" s="40" t="s">
        <v>34</v>
      </c>
      <c r="G10" s="41">
        <v>3.1600000000000003E-2</v>
      </c>
      <c r="H10" s="42">
        <v>5.4119E-2</v>
      </c>
      <c r="I10" s="43">
        <v>5.4119E-2</v>
      </c>
      <c r="J10" s="44">
        <f t="shared" ref="J10:J17" si="7">I10/$J$5</f>
        <v>2.0281214047211281E-3</v>
      </c>
      <c r="K10" s="45">
        <f t="shared" si="2"/>
        <v>1.69121875E-3</v>
      </c>
      <c r="L10" s="46">
        <f t="shared" si="3"/>
        <v>0</v>
      </c>
      <c r="M10" s="46">
        <f t="shared" si="4"/>
        <v>0</v>
      </c>
      <c r="N10" s="51">
        <v>0</v>
      </c>
      <c r="O10" s="37">
        <v>0</v>
      </c>
      <c r="P10" s="52">
        <f t="shared" si="5"/>
        <v>0</v>
      </c>
      <c r="Q10" s="49">
        <f t="shared" si="6"/>
        <v>0.71262658227848097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3283352.4012059527</v>
      </c>
      <c r="E11" s="39">
        <f t="shared" si="1"/>
        <v>2737936.2649843753</v>
      </c>
      <c r="F11" s="40" t="s">
        <v>39</v>
      </c>
      <c r="G11" s="41">
        <v>7.8E-2</v>
      </c>
      <c r="H11" s="42">
        <v>0.2175</v>
      </c>
      <c r="I11" s="43">
        <v>0.20050000000000001</v>
      </c>
      <c r="J11" s="44">
        <f t="shared" si="7"/>
        <v>7.5137815119752068E-3</v>
      </c>
      <c r="K11" s="45">
        <f t="shared" si="2"/>
        <v>6.2656250000000004E-3</v>
      </c>
      <c r="L11" s="46">
        <f t="shared" si="3"/>
        <v>-1.6999999999999987E-2</v>
      </c>
      <c r="M11" s="46">
        <f t="shared" si="4"/>
        <v>-7.8160919540229825</v>
      </c>
      <c r="N11" s="51">
        <v>2800</v>
      </c>
      <c r="O11" s="37">
        <v>561.4</v>
      </c>
      <c r="P11" s="52">
        <f t="shared" si="5"/>
        <v>0</v>
      </c>
      <c r="Q11" s="49">
        <f t="shared" si="6"/>
        <v>1.5705128205128207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139934252.40647122</v>
      </c>
      <c r="E12" s="39">
        <f t="shared" si="1"/>
        <v>116688986.60906249</v>
      </c>
      <c r="F12" s="40" t="s">
        <v>34</v>
      </c>
      <c r="G12" s="41">
        <v>97.381</v>
      </c>
      <c r="H12" s="42">
        <v>169.99950000000001</v>
      </c>
      <c r="I12" s="43">
        <v>180.97</v>
      </c>
      <c r="J12" s="44">
        <f t="shared" si="7"/>
        <v>6.7818904749234568</v>
      </c>
      <c r="K12" s="45">
        <f t="shared" si="2"/>
        <v>5.6553125</v>
      </c>
      <c r="L12" s="46">
        <f t="shared" si="3"/>
        <v>10.970499999999987</v>
      </c>
      <c r="M12" s="46">
        <f t="shared" si="4"/>
        <v>6.4532542742772687</v>
      </c>
      <c r="N12" s="51">
        <v>1500</v>
      </c>
      <c r="O12" s="37">
        <v>271455</v>
      </c>
      <c r="P12" s="52">
        <f t="shared" si="5"/>
        <v>0</v>
      </c>
      <c r="Q12" s="49">
        <f t="shared" si="6"/>
        <v>0.85837072940306625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8183752.2438287679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0.93688048777745714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763883354.73319519</v>
      </c>
      <c r="E14" s="39">
        <f t="shared" si="1"/>
        <v>636990393.83459377</v>
      </c>
      <c r="F14" s="40" t="s">
        <v>47</v>
      </c>
      <c r="G14" s="41">
        <v>11.5</v>
      </c>
      <c r="H14" s="42">
        <v>38.9998</v>
      </c>
      <c r="I14" s="43">
        <v>38.9998</v>
      </c>
      <c r="J14" s="44">
        <f t="shared" si="7"/>
        <v>1.4615260658889309</v>
      </c>
      <c r="K14" s="45">
        <f t="shared" si="2"/>
        <v>1.21874375</v>
      </c>
      <c r="L14" s="46">
        <f t="shared" si="3"/>
        <v>0</v>
      </c>
      <c r="M14" s="46">
        <f t="shared" si="4"/>
        <v>0</v>
      </c>
      <c r="N14" s="51">
        <v>0</v>
      </c>
      <c r="O14" s="37">
        <v>0</v>
      </c>
      <c r="P14" s="52">
        <f t="shared" si="5"/>
        <v>0</v>
      </c>
      <c r="Q14" s="49">
        <f t="shared" si="6"/>
        <v>2.3912869565217392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31513067.187447298</v>
      </c>
      <c r="E15" s="39">
        <f t="shared" si="1"/>
        <v>26278254.3359375</v>
      </c>
      <c r="F15" s="40" t="s">
        <v>34</v>
      </c>
      <c r="G15" s="41">
        <v>5.39</v>
      </c>
      <c r="H15" s="42">
        <v>6.9004999999999992</v>
      </c>
      <c r="I15" s="43">
        <v>7.93</v>
      </c>
      <c r="J15" s="44">
        <f t="shared" si="7"/>
        <v>0.29717849072300939</v>
      </c>
      <c r="K15" s="45">
        <f t="shared" si="2"/>
        <v>0.24781249999999999</v>
      </c>
      <c r="L15" s="46">
        <f t="shared" si="3"/>
        <v>1.0295000000000005</v>
      </c>
      <c r="M15" s="46">
        <f t="shared" si="4"/>
        <v>14.919208752988924</v>
      </c>
      <c r="N15" s="51">
        <v>400</v>
      </c>
      <c r="O15" s="37">
        <v>3172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80429883.628575608</v>
      </c>
      <c r="E16" s="39">
        <f t="shared" si="1"/>
        <v>67069223.240937501</v>
      </c>
      <c r="F16" s="40" t="s">
        <v>34</v>
      </c>
      <c r="G16" s="41">
        <v>1.9</v>
      </c>
      <c r="H16" s="42">
        <v>5.9950000000000001</v>
      </c>
      <c r="I16" s="43">
        <v>5.9950000000000001</v>
      </c>
      <c r="J16" s="44">
        <f t="shared" si="7"/>
        <v>0.22466394096903422</v>
      </c>
      <c r="K16" s="45">
        <f t="shared" si="2"/>
        <v>0.18734375</v>
      </c>
      <c r="L16" s="46">
        <f t="shared" si="3"/>
        <v>0</v>
      </c>
      <c r="M16" s="46">
        <f t="shared" si="4"/>
        <v>0</v>
      </c>
      <c r="N16" s="51">
        <v>0</v>
      </c>
      <c r="O16" s="37">
        <v>0</v>
      </c>
      <c r="P16" s="52">
        <f t="shared" si="5"/>
        <v>0.22255462885738117</v>
      </c>
      <c r="Q16" s="49">
        <f t="shared" si="6"/>
        <v>2.155263157894737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1420787048.0263488</v>
      </c>
      <c r="E17" s="39">
        <f t="shared" si="1"/>
        <v>1184772119.5515471</v>
      </c>
      <c r="F17" s="40" t="s">
        <v>34</v>
      </c>
      <c r="G17" s="41">
        <v>20.701700000000002</v>
      </c>
      <c r="H17" s="42">
        <v>28.071999999999999</v>
      </c>
      <c r="I17" s="43">
        <v>28.130100000000002</v>
      </c>
      <c r="J17" s="44">
        <f t="shared" si="7"/>
        <v>1.054181672369146</v>
      </c>
      <c r="K17" s="45">
        <f t="shared" si="2"/>
        <v>0.87906562500000007</v>
      </c>
      <c r="L17" s="46">
        <f t="shared" si="3"/>
        <v>5.8100000000003149E-2</v>
      </c>
      <c r="M17" s="46">
        <f t="shared" si="4"/>
        <v>0.20696779709320018</v>
      </c>
      <c r="N17" s="51">
        <v>86000</v>
      </c>
      <c r="O17" s="37">
        <v>2419187.0499999998</v>
      </c>
      <c r="P17" s="48">
        <f t="shared" si="5"/>
        <v>0</v>
      </c>
      <c r="Q17" s="49">
        <f t="shared" si="6"/>
        <v>0.3588304342155475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339949858.6996848</v>
      </c>
      <c r="E19" s="39">
        <f t="shared" si="1"/>
        <v>283478875.453125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0.50591546339982685</v>
      </c>
      <c r="K19" s="45">
        <f t="shared" ref="K19:K45" si="9">I19/$K$4</f>
        <v>0.421875</v>
      </c>
      <c r="L19" s="46">
        <f t="shared" ref="L19:L29" si="10">I19-H19</f>
        <v>0</v>
      </c>
      <c r="M19" s="46">
        <f>((I19-H19)/H19)*100</f>
        <v>0</v>
      </c>
      <c r="N19" s="51">
        <v>0</v>
      </c>
      <c r="O19" s="37">
        <v>0</v>
      </c>
      <c r="P19" s="52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3796189.5432894998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3.4851954145321405E-2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86383297.309653983</v>
      </c>
      <c r="E21" s="39">
        <f t="shared" si="1"/>
        <v>72033681.887500003</v>
      </c>
      <c r="F21" s="40" t="s">
        <v>47</v>
      </c>
      <c r="G21" s="41">
        <v>2.85</v>
      </c>
      <c r="H21" s="42">
        <v>2.9849999999999999</v>
      </c>
      <c r="I21" s="43">
        <v>3.34</v>
      </c>
      <c r="J21" s="44">
        <f t="shared" si="8"/>
        <v>0.12516723316706826</v>
      </c>
      <c r="K21" s="45">
        <f t="shared" si="9"/>
        <v>0.104375</v>
      </c>
      <c r="L21" s="46">
        <f t="shared" si="10"/>
        <v>0.35499999999999998</v>
      </c>
      <c r="M21" s="46">
        <f>((I21-H21)/H21)*100</f>
        <v>11.892797319932997</v>
      </c>
      <c r="N21" s="51">
        <v>100</v>
      </c>
      <c r="O21" s="37">
        <v>334</v>
      </c>
      <c r="P21" s="52">
        <f>(R21)/J21</f>
        <v>0</v>
      </c>
      <c r="Q21" s="49">
        <f t="shared" si="11"/>
        <v>0.17192982456140338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2010877.6434082964</v>
      </c>
      <c r="E23" s="39">
        <f t="shared" si="1"/>
        <v>1676839.4468750001</v>
      </c>
      <c r="F23" s="40" t="s">
        <v>44</v>
      </c>
      <c r="G23" s="41">
        <v>0.1</v>
      </c>
      <c r="H23" s="42">
        <v>9.9880999999999998E-2</v>
      </c>
      <c r="I23" s="43">
        <v>0.1</v>
      </c>
      <c r="J23" s="44">
        <f t="shared" si="8"/>
        <v>3.7475219511098287E-3</v>
      </c>
      <c r="K23" s="45">
        <f t="shared" si="9"/>
        <v>3.1250000000000002E-3</v>
      </c>
      <c r="L23" s="46">
        <f t="shared" si="10"/>
        <v>1.1900000000000799E-4</v>
      </c>
      <c r="M23" s="46">
        <f t="shared" ref="M23:M29" si="12">((I23-H23)/H23)*100</f>
        <v>0.11914177871668084</v>
      </c>
      <c r="N23" s="51">
        <v>2500</v>
      </c>
      <c r="O23" s="37">
        <v>250</v>
      </c>
      <c r="P23" s="52">
        <f t="shared" ref="P23:P29" si="13">(R23)/J23</f>
        <v>0</v>
      </c>
      <c r="Q23" s="49">
        <f t="shared" si="11"/>
        <v>0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66482207.046955995</v>
      </c>
      <c r="E24" s="39">
        <f t="shared" si="1"/>
        <v>55438473.6719715</v>
      </c>
      <c r="F24" s="40" t="s">
        <v>34</v>
      </c>
      <c r="G24" s="41">
        <v>8.1687659999999997</v>
      </c>
      <c r="H24" s="42">
        <v>9.1806800000000006</v>
      </c>
      <c r="I24" s="43">
        <v>9.1908919999999998</v>
      </c>
      <c r="J24" s="44">
        <f t="shared" si="8"/>
        <v>0.34443069520279712</v>
      </c>
      <c r="K24" s="45">
        <f t="shared" si="9"/>
        <v>0.28721537499999999</v>
      </c>
      <c r="L24" s="46">
        <f t="shared" si="10"/>
        <v>1.0211999999999222E-2</v>
      </c>
      <c r="M24" s="46">
        <f t="shared" si="12"/>
        <v>0.1112335905401258</v>
      </c>
      <c r="N24" s="51">
        <v>55200</v>
      </c>
      <c r="O24" s="37">
        <v>507337.26</v>
      </c>
      <c r="P24" s="48">
        <f t="shared" si="13"/>
        <v>4.3550125493804083E-2</v>
      </c>
      <c r="Q24" s="49">
        <f t="shared" si="11"/>
        <v>0.12512612064049833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92243794.875306413</v>
      </c>
      <c r="E25" s="39">
        <f t="shared" si="1"/>
        <v>76920659.237223104</v>
      </c>
      <c r="F25" s="40" t="s">
        <v>66</v>
      </c>
      <c r="G25" s="41">
        <v>1.6675</v>
      </c>
      <c r="H25" s="42">
        <v>1.59</v>
      </c>
      <c r="I25" s="43">
        <v>1.4585710000000001</v>
      </c>
      <c r="J25" s="44">
        <f t="shared" si="8"/>
        <v>5.4660268397522138E-2</v>
      </c>
      <c r="K25" s="45">
        <f t="shared" si="9"/>
        <v>4.5580343750000002E-2</v>
      </c>
      <c r="L25" s="46">
        <f t="shared" si="10"/>
        <v>-0.13142900000000002</v>
      </c>
      <c r="M25" s="46">
        <f t="shared" si="12"/>
        <v>-8.2659748427672959</v>
      </c>
      <c r="N25" s="51">
        <v>2100</v>
      </c>
      <c r="O25" s="37">
        <v>3063</v>
      </c>
      <c r="P25" s="52">
        <f t="shared" si="13"/>
        <v>0</v>
      </c>
      <c r="Q25" s="49">
        <f t="shared" si="11"/>
        <v>-0.12529475262368805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31316320.413529459</v>
      </c>
      <c r="E26" s="39">
        <f t="shared" si="1"/>
        <v>26114190.275335751</v>
      </c>
      <c r="F26" s="40" t="s">
        <v>44</v>
      </c>
      <c r="G26" s="41">
        <v>1.7994999999999999</v>
      </c>
      <c r="H26" s="42">
        <v>3.05</v>
      </c>
      <c r="I26" s="43">
        <v>3.4907920000000003</v>
      </c>
      <c r="J26" s="44">
        <f t="shared" si="8"/>
        <v>0.13081819646758583</v>
      </c>
      <c r="K26" s="45">
        <f t="shared" si="9"/>
        <v>0.10908725000000001</v>
      </c>
      <c r="L26" s="46">
        <f t="shared" si="10"/>
        <v>0.44079200000000052</v>
      </c>
      <c r="M26" s="46">
        <f t="shared" si="12"/>
        <v>14.452196721311495</v>
      </c>
      <c r="N26" s="51">
        <v>588100</v>
      </c>
      <c r="O26" s="37">
        <v>2052935</v>
      </c>
      <c r="P26" s="52">
        <f t="shared" si="13"/>
        <v>0</v>
      </c>
      <c r="Q26" s="49">
        <f t="shared" si="11"/>
        <v>0.93986774103917781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23062330.855690423</v>
      </c>
      <c r="E27" s="39">
        <f t="shared" si="1"/>
        <v>19231317.351640623</v>
      </c>
      <c r="F27" s="40" t="s">
        <v>34</v>
      </c>
      <c r="G27" s="41">
        <v>3.1361369999999997</v>
      </c>
      <c r="H27" s="42">
        <v>2.4024999999999999</v>
      </c>
      <c r="I27" s="43">
        <v>2.4024999999999999</v>
      </c>
      <c r="J27" s="44">
        <f t="shared" si="8"/>
        <v>9.0034214875413632E-2</v>
      </c>
      <c r="K27" s="45">
        <f t="shared" si="9"/>
        <v>7.5078124999999996E-2</v>
      </c>
      <c r="L27" s="46">
        <f t="shared" si="10"/>
        <v>0</v>
      </c>
      <c r="M27" s="46">
        <f t="shared" si="12"/>
        <v>0</v>
      </c>
      <c r="N27" s="51">
        <v>0</v>
      </c>
      <c r="O27" s="37">
        <v>0</v>
      </c>
      <c r="P27" s="52">
        <f t="shared" si="13"/>
        <v>0</v>
      </c>
      <c r="Q27" s="49">
        <f t="shared" si="11"/>
        <v>-0.233930150372895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25486270.612307612</v>
      </c>
      <c r="E28" s="39">
        <f t="shared" si="1"/>
        <v>21252602.840624999</v>
      </c>
      <c r="F28" s="40" t="s">
        <v>44</v>
      </c>
      <c r="G28" s="41">
        <v>0.8</v>
      </c>
      <c r="H28" s="42">
        <v>0.9</v>
      </c>
      <c r="I28" s="43">
        <v>0.9</v>
      </c>
      <c r="J28" s="44">
        <f t="shared" si="8"/>
        <v>3.3727697559988459E-2</v>
      </c>
      <c r="K28" s="45">
        <f t="shared" si="9"/>
        <v>2.8125000000000001E-2</v>
      </c>
      <c r="L28" s="46">
        <f t="shared" si="10"/>
        <v>0</v>
      </c>
      <c r="M28" s="46">
        <f t="shared" si="12"/>
        <v>0</v>
      </c>
      <c r="N28" s="51">
        <v>0</v>
      </c>
      <c r="O28" s="37">
        <v>0</v>
      </c>
      <c r="P28" s="52">
        <f t="shared" si="13"/>
        <v>0</v>
      </c>
      <c r="Q28" s="49">
        <f t="shared" si="11"/>
        <v>0.125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114620683.26993774</v>
      </c>
      <c r="E29" s="39">
        <f t="shared" si="1"/>
        <v>95580396.830624998</v>
      </c>
      <c r="F29" s="40" t="s">
        <v>47</v>
      </c>
      <c r="G29" s="41">
        <v>5.15</v>
      </c>
      <c r="H29" s="42">
        <v>6.81</v>
      </c>
      <c r="I29" s="43">
        <v>6.81</v>
      </c>
      <c r="J29" s="44">
        <f t="shared" si="8"/>
        <v>0.2552062448705793</v>
      </c>
      <c r="K29" s="45">
        <f t="shared" si="9"/>
        <v>0.21281249999999999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0.32233009708737836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13930989.354601771</v>
      </c>
      <c r="E31" s="39">
        <f t="shared" si="1"/>
        <v>11616834.35109375</v>
      </c>
      <c r="F31" s="40" t="s">
        <v>39</v>
      </c>
      <c r="G31" s="41">
        <v>1.4</v>
      </c>
      <c r="H31" s="42">
        <v>1.43</v>
      </c>
      <c r="I31" s="43">
        <v>1.4305000000000001</v>
      </c>
      <c r="J31" s="44">
        <f t="shared" si="8"/>
        <v>5.3608301510626101E-2</v>
      </c>
      <c r="K31" s="45">
        <f t="shared" si="9"/>
        <v>4.4703125000000003E-2</v>
      </c>
      <c r="L31" s="46">
        <f t="shared" ref="L31:L45" si="14">I31-H31</f>
        <v>5.0000000000016698E-4</v>
      </c>
      <c r="M31" s="46">
        <f t="shared" ref="M31:M45" si="15">((I31-H31)/H31)*100</f>
        <v>3.4965034965046639E-2</v>
      </c>
      <c r="N31" s="51">
        <v>26000</v>
      </c>
      <c r="O31" s="37">
        <v>37193</v>
      </c>
      <c r="P31" s="52">
        <f t="shared" ref="P31:P36" si="16">(R31)/J31</f>
        <v>0</v>
      </c>
      <c r="Q31" s="49">
        <f t="shared" ref="Q31:Q45" si="17">I31/G31-1</f>
        <v>2.1785714285714519E-2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4115773.0575656849</v>
      </c>
      <c r="E32" s="39">
        <f t="shared" si="1"/>
        <v>3432078.84375</v>
      </c>
      <c r="F32" s="40" t="s">
        <v>39</v>
      </c>
      <c r="G32" s="41">
        <v>0.65</v>
      </c>
      <c r="H32" s="42">
        <v>0.98</v>
      </c>
      <c r="I32" s="43">
        <v>0.9</v>
      </c>
      <c r="J32" s="44">
        <f t="shared" si="8"/>
        <v>3.3727697559988459E-2</v>
      </c>
      <c r="K32" s="45">
        <f t="shared" si="9"/>
        <v>2.8125000000000001E-2</v>
      </c>
      <c r="L32" s="46">
        <f t="shared" si="14"/>
        <v>-7.999999999999996E-2</v>
      </c>
      <c r="M32" s="46">
        <f t="shared" si="15"/>
        <v>-8.1632653061224456</v>
      </c>
      <c r="N32" s="51">
        <v>300</v>
      </c>
      <c r="O32" s="37">
        <v>270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132844085.05493867</v>
      </c>
      <c r="E33" s="39">
        <f t="shared" si="1"/>
        <v>110776606.83848438</v>
      </c>
      <c r="F33" s="40" t="s">
        <v>92</v>
      </c>
      <c r="G33" s="41">
        <v>1.44</v>
      </c>
      <c r="H33" s="42">
        <v>1.293509</v>
      </c>
      <c r="I33" s="43">
        <v>1.4205000000000001</v>
      </c>
      <c r="J33" s="44">
        <f t="shared" si="8"/>
        <v>5.3233549315515119E-2</v>
      </c>
      <c r="K33" s="45">
        <f t="shared" si="9"/>
        <v>4.4390625000000003E-2</v>
      </c>
      <c r="L33" s="46">
        <f t="shared" si="14"/>
        <v>0.12699100000000008</v>
      </c>
      <c r="M33" s="46">
        <f t="shared" si="15"/>
        <v>9.8175582852535292</v>
      </c>
      <c r="N33" s="51">
        <v>100</v>
      </c>
      <c r="O33" s="37">
        <v>142.05000000000001</v>
      </c>
      <c r="P33" s="52">
        <f t="shared" si="16"/>
        <v>0</v>
      </c>
      <c r="Q33" s="49">
        <f t="shared" si="17"/>
        <v>-1.3541666666666563E-2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44021272.826667592</v>
      </c>
      <c r="E34" s="39">
        <f t="shared" si="1"/>
        <v>36708651.577770188</v>
      </c>
      <c r="F34" s="40" t="s">
        <v>34</v>
      </c>
      <c r="G34" s="41">
        <v>3.6056249999999999</v>
      </c>
      <c r="H34" s="42">
        <v>4.5</v>
      </c>
      <c r="I34" s="43">
        <v>4.6339620000000004</v>
      </c>
      <c r="J34" s="44">
        <f t="shared" si="8"/>
        <v>0.17365874315608804</v>
      </c>
      <c r="K34" s="45">
        <f t="shared" si="9"/>
        <v>0.14481131250000001</v>
      </c>
      <c r="L34" s="46">
        <f t="shared" si="14"/>
        <v>0.13396200000000036</v>
      </c>
      <c r="M34" s="46">
        <f t="shared" si="15"/>
        <v>2.9769333333333412</v>
      </c>
      <c r="N34" s="51">
        <v>405400</v>
      </c>
      <c r="O34" s="37">
        <v>1878608</v>
      </c>
      <c r="P34" s="52">
        <f t="shared" si="16"/>
        <v>0</v>
      </c>
      <c r="Q34" s="49">
        <f t="shared" si="17"/>
        <v>0.28520353614144578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9723382.1173337102</v>
      </c>
      <c r="E35" s="39">
        <f t="shared" si="1"/>
        <v>8108176.4197989991</v>
      </c>
      <c r="F35" s="40" t="s">
        <v>34</v>
      </c>
      <c r="G35" s="41">
        <v>2.5099999999999997E-2</v>
      </c>
      <c r="H35" s="42">
        <v>5.5E-2</v>
      </c>
      <c r="I35" s="43">
        <v>5.5027999999999994E-2</v>
      </c>
      <c r="J35" s="44">
        <f t="shared" si="8"/>
        <v>2.062186379256716E-3</v>
      </c>
      <c r="K35" s="45">
        <f t="shared" si="9"/>
        <v>1.7196249999999998E-3</v>
      </c>
      <c r="L35" s="46">
        <f t="shared" si="14"/>
        <v>2.7999999999993308E-5</v>
      </c>
      <c r="M35" s="46">
        <f t="shared" si="15"/>
        <v>5.090909090907874E-2</v>
      </c>
      <c r="N35" s="51">
        <v>341300</v>
      </c>
      <c r="O35" s="37">
        <v>18781</v>
      </c>
      <c r="P35" s="52">
        <f t="shared" si="16"/>
        <v>0</v>
      </c>
      <c r="Q35" s="49">
        <f t="shared" si="17"/>
        <v>1.1923505976095616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69624917.238653317</v>
      </c>
      <c r="E36" s="39">
        <f t="shared" si="1"/>
        <v>58059130.595981151</v>
      </c>
      <c r="F36" s="40" t="s">
        <v>92</v>
      </c>
      <c r="G36" s="41">
        <v>0.61</v>
      </c>
      <c r="H36" s="42">
        <v>3.5225</v>
      </c>
      <c r="I36" s="43">
        <v>3.5382289999999998</v>
      </c>
      <c r="J36" s="44">
        <f t="shared" si="8"/>
        <v>0.13259590845553376</v>
      </c>
      <c r="K36" s="45">
        <f t="shared" si="9"/>
        <v>0.11056965625</v>
      </c>
      <c r="L36" s="46">
        <f t="shared" si="14"/>
        <v>1.5728999999999882E-2</v>
      </c>
      <c r="M36" s="46">
        <f t="shared" si="15"/>
        <v>0.44652945351312656</v>
      </c>
      <c r="N36" s="51">
        <v>4800</v>
      </c>
      <c r="O36" s="37">
        <v>16983.5</v>
      </c>
      <c r="P36" s="52">
        <f t="shared" si="16"/>
        <v>0</v>
      </c>
      <c r="Q36" s="49">
        <f t="shared" si="17"/>
        <v>4.8003754098360654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70811649.978145838</v>
      </c>
      <c r="E37" s="39">
        <f t="shared" si="1"/>
        <v>59048728.484744906</v>
      </c>
      <c r="F37" s="40" t="s">
        <v>56</v>
      </c>
      <c r="G37" s="41">
        <v>0.11650199999999999</v>
      </c>
      <c r="H37" s="42">
        <v>0.41724200000000006</v>
      </c>
      <c r="I37" s="43">
        <v>0.45045299999999999</v>
      </c>
      <c r="J37" s="44">
        <f t="shared" si="8"/>
        <v>1.6880825054432756E-2</v>
      </c>
      <c r="K37" s="45">
        <f t="shared" si="9"/>
        <v>1.407665625E-2</v>
      </c>
      <c r="L37" s="46">
        <f t="shared" si="14"/>
        <v>3.3210999999999935E-2</v>
      </c>
      <c r="M37" s="46">
        <f t="shared" si="15"/>
        <v>7.9596493162241408</v>
      </c>
      <c r="N37" s="51">
        <v>11600</v>
      </c>
      <c r="O37" s="37">
        <v>5225.25</v>
      </c>
      <c r="P37" s="52">
        <v>0</v>
      </c>
      <c r="Q37" s="49">
        <f t="shared" si="17"/>
        <v>2.8664829788329813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22723458.104934365</v>
      </c>
      <c r="E38" s="39">
        <f t="shared" si="1"/>
        <v>18948736.659671877</v>
      </c>
      <c r="F38" s="40" t="s">
        <v>39</v>
      </c>
      <c r="G38" s="41">
        <v>0.1</v>
      </c>
      <c r="H38" s="42">
        <v>0.14050000000000001</v>
      </c>
      <c r="I38" s="43">
        <v>0.14050000000000001</v>
      </c>
      <c r="J38" s="44">
        <f t="shared" si="8"/>
        <v>5.2652683413093098E-3</v>
      </c>
      <c r="K38" s="45">
        <f t="shared" si="9"/>
        <v>4.3906250000000004E-3</v>
      </c>
      <c r="L38" s="46">
        <f t="shared" si="14"/>
        <v>0</v>
      </c>
      <c r="M38" s="46">
        <f t="shared" si="15"/>
        <v>0</v>
      </c>
      <c r="N38" s="51">
        <v>0</v>
      </c>
      <c r="O38" s="37">
        <v>0</v>
      </c>
      <c r="P38" s="52">
        <f t="shared" ref="P38:P44" si="18">(R38)/J38</f>
        <v>0</v>
      </c>
      <c r="Q38" s="49">
        <f t="shared" si="17"/>
        <v>0.40500000000000003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7984612.1351757776</v>
      </c>
      <c r="E39" s="39">
        <f t="shared" si="1"/>
        <v>6658243.2999584684</v>
      </c>
      <c r="F39" s="40" t="s">
        <v>44</v>
      </c>
      <c r="G39" s="41">
        <v>1.7452379999999998</v>
      </c>
      <c r="H39" s="42">
        <v>2</v>
      </c>
      <c r="I39" s="43">
        <v>2.0010829999999999</v>
      </c>
      <c r="J39" s="44">
        <f t="shared" si="8"/>
        <v>7.4991024684927091E-2</v>
      </c>
      <c r="K39" s="45">
        <f t="shared" si="9"/>
        <v>6.2533843749999998E-2</v>
      </c>
      <c r="L39" s="46">
        <f t="shared" si="14"/>
        <v>1.0829999999999451E-3</v>
      </c>
      <c r="M39" s="46">
        <f t="shared" si="15"/>
        <v>5.4149999999997256E-2</v>
      </c>
      <c r="N39" s="51">
        <v>27700</v>
      </c>
      <c r="O39" s="37">
        <v>55430</v>
      </c>
      <c r="P39" s="52">
        <f t="shared" si="18"/>
        <v>0</v>
      </c>
      <c r="Q39" s="49">
        <f t="shared" si="17"/>
        <v>0.14659605165599188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4356467.6369811464</v>
      </c>
      <c r="E40" s="39">
        <f t="shared" si="1"/>
        <v>3632790.2926717498</v>
      </c>
      <c r="F40" s="40" t="s">
        <v>39</v>
      </c>
      <c r="G40" s="41">
        <v>0.03</v>
      </c>
      <c r="H40" s="42">
        <v>6.5381999999999996E-2</v>
      </c>
      <c r="I40" s="43">
        <v>6.5381999999999996E-2</v>
      </c>
      <c r="J40" s="44">
        <f t="shared" si="8"/>
        <v>2.4502048020746282E-3</v>
      </c>
      <c r="K40" s="45">
        <f t="shared" si="9"/>
        <v>2.0431874999999999E-3</v>
      </c>
      <c r="L40" s="46">
        <f t="shared" si="14"/>
        <v>0</v>
      </c>
      <c r="M40" s="46">
        <f t="shared" si="15"/>
        <v>0</v>
      </c>
      <c r="N40" s="51">
        <v>0</v>
      </c>
      <c r="O40" s="37">
        <v>0</v>
      </c>
      <c r="P40" s="52">
        <f t="shared" si="18"/>
        <v>0</v>
      </c>
      <c r="Q40" s="49">
        <f t="shared" si="17"/>
        <v>1.1793999999999998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45957154.356681645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0.26232653657768801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312.54624996720918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6.7455395119976912E-7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1554172.3035642682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2.6982158047990767E-3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66775385.162061587</v>
      </c>
      <c r="E44" s="39">
        <f t="shared" si="1"/>
        <v>55682950.321249999</v>
      </c>
      <c r="F44" s="40" t="s">
        <v>47</v>
      </c>
      <c r="G44" s="41">
        <v>0.9998999999999999</v>
      </c>
      <c r="H44" s="42">
        <v>0.98</v>
      </c>
      <c r="I44" s="43">
        <v>0.98</v>
      </c>
      <c r="J44" s="44">
        <f t="shared" si="8"/>
        <v>3.6725715120876322E-2</v>
      </c>
      <c r="K44" s="45">
        <f t="shared" si="9"/>
        <v>3.0624999999999999E-2</v>
      </c>
      <c r="L44" s="46">
        <f t="shared" si="14"/>
        <v>0</v>
      </c>
      <c r="M44" s="46">
        <f t="shared" si="15"/>
        <v>0</v>
      </c>
      <c r="N44" s="51">
        <v>0</v>
      </c>
      <c r="O44" s="37">
        <v>0</v>
      </c>
      <c r="P44" s="52">
        <f t="shared" si="18"/>
        <v>0</v>
      </c>
      <c r="Q44" s="49">
        <f t="shared" si="17"/>
        <v>-1.9901990199019837E-2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13087192.394029448</v>
      </c>
      <c r="E45" s="39">
        <f t="shared" si="1"/>
        <v>10913205.25</v>
      </c>
      <c r="F45" s="40" t="s">
        <v>47</v>
      </c>
      <c r="G45" s="41">
        <v>1.4503460000000001</v>
      </c>
      <c r="H45" s="42">
        <v>3.4</v>
      </c>
      <c r="I45" s="43">
        <v>3.4</v>
      </c>
      <c r="J45" s="44">
        <f t="shared" si="8"/>
        <v>0.12741574633773417</v>
      </c>
      <c r="K45" s="45">
        <f t="shared" si="9"/>
        <v>0.10625</v>
      </c>
      <c r="L45" s="46">
        <f t="shared" si="14"/>
        <v>0</v>
      </c>
      <c r="M45" s="46">
        <f t="shared" si="15"/>
        <v>0</v>
      </c>
      <c r="N45" s="51">
        <v>71800</v>
      </c>
      <c r="O45" s="37">
        <v>244120</v>
      </c>
      <c r="P45" s="52">
        <v>0</v>
      </c>
      <c r="Q45" s="49">
        <f t="shared" si="17"/>
        <v>1.3442681953133939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1633200</v>
      </c>
      <c r="O47" s="62">
        <f>SUM(O9:O45)</f>
        <v>7609922.5099999998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9" t="s">
        <v>118</v>
      </c>
      <c r="B49" s="140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2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90324750.152999997</v>
      </c>
      <c r="E50" s="39">
        <v>0</v>
      </c>
      <c r="F50" s="40" t="s">
        <v>92</v>
      </c>
      <c r="G50" s="71">
        <v>0.1</v>
      </c>
      <c r="H50" s="42">
        <v>0.155</v>
      </c>
      <c r="I50" s="42">
        <v>0.1595</v>
      </c>
      <c r="J50" s="44">
        <f t="shared" ref="J50:J65" si="20">I50</f>
        <v>0.1595</v>
      </c>
      <c r="K50" s="39">
        <v>0</v>
      </c>
      <c r="L50" s="46">
        <f t="shared" ref="L50:L65" si="21">I50-H50</f>
        <v>4.500000000000004E-3</v>
      </c>
      <c r="M50" s="46">
        <f t="shared" ref="M50:M65" si="22">((I50-H50)/H50)*100</f>
        <v>2.9032258064516157</v>
      </c>
      <c r="N50" s="51">
        <v>20594</v>
      </c>
      <c r="O50" s="37">
        <v>3285.36</v>
      </c>
      <c r="P50" s="72">
        <f>(R50)/J50</f>
        <v>0</v>
      </c>
      <c r="Q50" s="49">
        <f t="shared" ref="Q50:Q65" si="23">J50/G50-1</f>
        <v>0.59499999999999997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43364334</v>
      </c>
      <c r="E51" s="39">
        <v>0</v>
      </c>
      <c r="F51" s="40" t="s">
        <v>39</v>
      </c>
      <c r="G51" s="71">
        <v>39.9</v>
      </c>
      <c r="H51" s="42">
        <v>38</v>
      </c>
      <c r="I51" s="42">
        <v>39</v>
      </c>
      <c r="J51" s="44">
        <f t="shared" si="20"/>
        <v>39</v>
      </c>
      <c r="K51" s="39">
        <v>0</v>
      </c>
      <c r="L51" s="46">
        <f t="shared" si="21"/>
        <v>1</v>
      </c>
      <c r="M51" s="46">
        <f t="shared" si="22"/>
        <v>2.6315789473684208</v>
      </c>
      <c r="N51" s="51">
        <v>3</v>
      </c>
      <c r="O51" s="37">
        <v>117</v>
      </c>
      <c r="P51" s="73">
        <f>(R51)/J51</f>
        <v>1.4358974358974361E-2</v>
      </c>
      <c r="Q51" s="49">
        <f t="shared" si="23"/>
        <v>-2.2556390977443552E-2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668748475.87049997</v>
      </c>
      <c r="E52" s="39"/>
      <c r="F52" s="40" t="s">
        <v>56</v>
      </c>
      <c r="G52" s="71">
        <v>0.33</v>
      </c>
      <c r="H52" s="42">
        <v>0.2261</v>
      </c>
      <c r="I52" s="42">
        <v>0.2235</v>
      </c>
      <c r="J52" s="44">
        <f t="shared" si="20"/>
        <v>0.2235</v>
      </c>
      <c r="K52" s="39">
        <v>0</v>
      </c>
      <c r="L52" s="46">
        <f t="shared" si="21"/>
        <v>-2.5999999999999912E-3</v>
      </c>
      <c r="M52" s="46">
        <f t="shared" si="22"/>
        <v>-1.1499336576735919</v>
      </c>
      <c r="N52" s="51">
        <v>29073</v>
      </c>
      <c r="O52" s="37">
        <v>6496.82</v>
      </c>
      <c r="P52" s="72">
        <v>0</v>
      </c>
      <c r="Q52" s="49">
        <f t="shared" si="23"/>
        <v>-0.32272727272727275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14633782.632000001</v>
      </c>
      <c r="E53" s="39">
        <v>0</v>
      </c>
      <c r="F53" s="40" t="s">
        <v>34</v>
      </c>
      <c r="G53" s="71">
        <v>2.3E-2</v>
      </c>
      <c r="H53" s="42">
        <v>2.4E-2</v>
      </c>
      <c r="I53" s="42">
        <v>2.4E-2</v>
      </c>
      <c r="J53" s="44">
        <f t="shared" si="20"/>
        <v>2.4E-2</v>
      </c>
      <c r="K53" s="39">
        <v>0</v>
      </c>
      <c r="L53" s="46">
        <f t="shared" si="21"/>
        <v>0</v>
      </c>
      <c r="M53" s="46">
        <f t="shared" si="22"/>
        <v>0</v>
      </c>
      <c r="N53" s="51">
        <v>2</v>
      </c>
      <c r="O53" s="37">
        <v>0.05</v>
      </c>
      <c r="P53" s="72">
        <f t="shared" ref="P53:P65" si="24">(R53)/J53</f>
        <v>0</v>
      </c>
      <c r="Q53" s="49">
        <f t="shared" si="23"/>
        <v>4.3478260869565188E-2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335217868.995</v>
      </c>
      <c r="E54" s="39">
        <v>0</v>
      </c>
      <c r="F54" s="40" t="s">
        <v>47</v>
      </c>
      <c r="G54" s="71">
        <v>9.0200000000000002E-2</v>
      </c>
      <c r="H54" s="42">
        <v>0.16009999999999999</v>
      </c>
      <c r="I54" s="42">
        <v>0.155</v>
      </c>
      <c r="J54" s="44">
        <f t="shared" si="20"/>
        <v>0.155</v>
      </c>
      <c r="K54" s="39">
        <v>0</v>
      </c>
      <c r="L54" s="46">
        <f t="shared" si="21"/>
        <v>-5.0999999999999934E-3</v>
      </c>
      <c r="M54" s="74">
        <f t="shared" si="22"/>
        <v>-3.1855090568394715</v>
      </c>
      <c r="N54" s="51">
        <v>354160</v>
      </c>
      <c r="O54" s="37">
        <v>54901.9</v>
      </c>
      <c r="P54" s="72">
        <f t="shared" si="24"/>
        <v>0</v>
      </c>
      <c r="Q54" s="49">
        <f t="shared" si="23"/>
        <v>0.71840354767184023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863371341.19500005</v>
      </c>
      <c r="E55" s="39">
        <v>0</v>
      </c>
      <c r="F55" s="40" t="s">
        <v>34</v>
      </c>
      <c r="G55" s="71">
        <v>0.95750000000000002</v>
      </c>
      <c r="H55" s="42">
        <v>1.4934000000000001</v>
      </c>
      <c r="I55" s="42">
        <v>1.4991000000000001</v>
      </c>
      <c r="J55" s="44">
        <f t="shared" si="20"/>
        <v>1.4991000000000001</v>
      </c>
      <c r="K55" s="39">
        <v>0</v>
      </c>
      <c r="L55" s="46">
        <f t="shared" si="21"/>
        <v>5.7000000000000384E-3</v>
      </c>
      <c r="M55" s="46">
        <f t="shared" si="22"/>
        <v>0.38167938931297962</v>
      </c>
      <c r="N55" s="51">
        <v>74415</v>
      </c>
      <c r="O55" s="37">
        <v>111559.09</v>
      </c>
      <c r="P55" s="73">
        <f t="shared" si="24"/>
        <v>3.1352144620105396E-2</v>
      </c>
      <c r="Q55" s="49">
        <f t="shared" si="23"/>
        <v>0.56563968668407316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21560539.548599999</v>
      </c>
      <c r="E56" s="39">
        <v>0</v>
      </c>
      <c r="F56" s="40" t="s">
        <v>34</v>
      </c>
      <c r="G56" s="71">
        <v>0.1595</v>
      </c>
      <c r="H56" s="42">
        <v>0.14949999999999999</v>
      </c>
      <c r="I56" s="42">
        <v>0.1313</v>
      </c>
      <c r="J56" s="44">
        <f t="shared" si="20"/>
        <v>0.1313</v>
      </c>
      <c r="K56" s="39">
        <v>0</v>
      </c>
      <c r="L56" s="46">
        <f t="shared" si="21"/>
        <v>-1.8199999999999994E-2</v>
      </c>
      <c r="M56" s="46">
        <f t="shared" si="22"/>
        <v>-12.173913043478258</v>
      </c>
      <c r="N56" s="51">
        <v>11254</v>
      </c>
      <c r="O56" s="37">
        <v>1477.71</v>
      </c>
      <c r="P56" s="72">
        <f t="shared" si="24"/>
        <v>0</v>
      </c>
      <c r="Q56" s="49">
        <f t="shared" si="23"/>
        <v>-0.17680250783699059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24824240.935199998</v>
      </c>
      <c r="E57" s="39">
        <v>0</v>
      </c>
      <c r="F57" s="40" t="s">
        <v>92</v>
      </c>
      <c r="G57" s="71">
        <v>1.6799999999999999E-2</v>
      </c>
      <c r="H57" s="42">
        <v>2.5000000000000001E-2</v>
      </c>
      <c r="I57" s="42">
        <v>2.52E-2</v>
      </c>
      <c r="J57" s="44">
        <f t="shared" si="20"/>
        <v>2.52E-2</v>
      </c>
      <c r="K57" s="39">
        <v>0</v>
      </c>
      <c r="L57" s="46">
        <f t="shared" si="21"/>
        <v>1.9999999999999879E-4</v>
      </c>
      <c r="M57" s="74">
        <f t="shared" si="22"/>
        <v>0.79999999999999516</v>
      </c>
      <c r="N57" s="51">
        <v>65005</v>
      </c>
      <c r="O57" s="37">
        <v>1637.55</v>
      </c>
      <c r="P57" s="72">
        <f t="shared" si="24"/>
        <v>0</v>
      </c>
      <c r="Q57" s="49">
        <f t="shared" si="23"/>
        <v>0.5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4091864514.5256996</v>
      </c>
      <c r="E59" s="39">
        <v>0</v>
      </c>
      <c r="F59" s="40" t="s">
        <v>47</v>
      </c>
      <c r="G59" s="71">
        <v>0.78169999999999995</v>
      </c>
      <c r="H59" s="52">
        <v>0.89470000000000005</v>
      </c>
      <c r="I59" s="42">
        <v>0.90969999999999995</v>
      </c>
      <c r="J59" s="44">
        <f t="shared" si="20"/>
        <v>0.90969999999999995</v>
      </c>
      <c r="K59" s="39">
        <v>0</v>
      </c>
      <c r="L59" s="46">
        <f t="shared" si="21"/>
        <v>1.4999999999999902E-2</v>
      </c>
      <c r="M59" s="46">
        <f t="shared" si="22"/>
        <v>1.6765396222197273</v>
      </c>
      <c r="N59" s="75">
        <v>27723</v>
      </c>
      <c r="O59" s="76">
        <v>25219.06</v>
      </c>
      <c r="P59" s="72">
        <f t="shared" si="24"/>
        <v>0</v>
      </c>
      <c r="Q59" s="49">
        <f t="shared" si="23"/>
        <v>0.16374568248688748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1131554628.8805001</v>
      </c>
      <c r="E60" s="39">
        <v>0</v>
      </c>
      <c r="F60" s="40" t="s">
        <v>92</v>
      </c>
      <c r="G60" s="71">
        <v>0.59499999999999997</v>
      </c>
      <c r="H60" s="42">
        <v>1.3671</v>
      </c>
      <c r="I60" s="42">
        <v>1.4055</v>
      </c>
      <c r="J60" s="44">
        <f t="shared" si="20"/>
        <v>1.4055</v>
      </c>
      <c r="K60" s="39">
        <v>0</v>
      </c>
      <c r="L60" s="46">
        <f t="shared" si="21"/>
        <v>3.839999999999999E-2</v>
      </c>
      <c r="M60" s="46">
        <f t="shared" si="22"/>
        <v>2.8088654816765408</v>
      </c>
      <c r="N60" s="51">
        <v>107180</v>
      </c>
      <c r="O60" s="37">
        <v>150644.18</v>
      </c>
      <c r="P60" s="72">
        <f t="shared" si="24"/>
        <v>0</v>
      </c>
      <c r="Q60" s="49">
        <f t="shared" si="23"/>
        <v>1.3621848739495799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116774032.61220001</v>
      </c>
      <c r="E61" s="39">
        <v>0</v>
      </c>
      <c r="F61" s="40" t="s">
        <v>34</v>
      </c>
      <c r="G61" s="71">
        <v>0.22600000000000001</v>
      </c>
      <c r="H61" s="42">
        <v>0.44790000000000002</v>
      </c>
      <c r="I61" s="42">
        <v>0.44790000000000002</v>
      </c>
      <c r="J61" s="44">
        <f t="shared" si="20"/>
        <v>0.44790000000000002</v>
      </c>
      <c r="K61" s="39">
        <v>0</v>
      </c>
      <c r="L61" s="46">
        <f t="shared" si="21"/>
        <v>0</v>
      </c>
      <c r="M61" s="46">
        <f t="shared" si="22"/>
        <v>0</v>
      </c>
      <c r="N61" s="51">
        <v>0</v>
      </c>
      <c r="O61" s="37">
        <v>0</v>
      </c>
      <c r="P61" s="72">
        <f t="shared" si="24"/>
        <v>0</v>
      </c>
      <c r="Q61" s="49">
        <f t="shared" si="23"/>
        <v>0.98185840707964611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370929523.12240005</v>
      </c>
      <c r="E62" s="39">
        <v>0</v>
      </c>
      <c r="F62" s="40" t="s">
        <v>34</v>
      </c>
      <c r="G62" s="71">
        <v>0.49440000000000001</v>
      </c>
      <c r="H62" s="42">
        <v>0.71440000000000003</v>
      </c>
      <c r="I62" s="42">
        <v>0.65980000000000005</v>
      </c>
      <c r="J62" s="44">
        <f t="shared" si="20"/>
        <v>0.65980000000000005</v>
      </c>
      <c r="K62" s="39">
        <v>0</v>
      </c>
      <c r="L62" s="46">
        <f t="shared" si="21"/>
        <v>-5.4599999999999982E-2</v>
      </c>
      <c r="M62" s="46">
        <f t="shared" si="22"/>
        <v>-7.6427771556550921</v>
      </c>
      <c r="N62" s="51">
        <v>288432</v>
      </c>
      <c r="O62" s="37">
        <v>190318</v>
      </c>
      <c r="P62" s="72">
        <f t="shared" si="24"/>
        <v>0</v>
      </c>
      <c r="Q62" s="49">
        <f t="shared" si="23"/>
        <v>0.33454692556634313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91131508.75</v>
      </c>
      <c r="E63" s="39">
        <v>0</v>
      </c>
      <c r="F63" s="40" t="s">
        <v>34</v>
      </c>
      <c r="G63" s="71">
        <v>0.25950000000000001</v>
      </c>
      <c r="H63" s="42">
        <v>0.25</v>
      </c>
      <c r="I63" s="42">
        <v>0.25</v>
      </c>
      <c r="J63" s="44">
        <f t="shared" si="20"/>
        <v>0.25</v>
      </c>
      <c r="K63" s="39">
        <v>0</v>
      </c>
      <c r="L63" s="46">
        <f t="shared" si="21"/>
        <v>0</v>
      </c>
      <c r="M63" s="46">
        <f t="shared" si="22"/>
        <v>0</v>
      </c>
      <c r="N63" s="51">
        <v>175</v>
      </c>
      <c r="O63" s="37">
        <v>43.75</v>
      </c>
      <c r="P63" s="72">
        <f t="shared" si="24"/>
        <v>0</v>
      </c>
      <c r="Q63" s="49">
        <f t="shared" si="23"/>
        <v>-3.6608863198458574E-2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40384832.959200002</v>
      </c>
      <c r="E65" s="39">
        <v>0</v>
      </c>
      <c r="F65" s="40" t="s">
        <v>44</v>
      </c>
      <c r="G65" s="71">
        <v>4.2999999999999997E-2</v>
      </c>
      <c r="H65" s="42">
        <v>0.12</v>
      </c>
      <c r="I65" s="42">
        <v>0.1172</v>
      </c>
      <c r="J65" s="44">
        <f t="shared" si="20"/>
        <v>0.1172</v>
      </c>
      <c r="K65" s="39">
        <v>0</v>
      </c>
      <c r="L65" s="46">
        <f t="shared" si="21"/>
        <v>-2.7999999999999969E-3</v>
      </c>
      <c r="M65" s="46">
        <f t="shared" si="22"/>
        <v>-2.3333333333333308</v>
      </c>
      <c r="N65" s="51">
        <v>2100</v>
      </c>
      <c r="O65" s="37">
        <v>246.15</v>
      </c>
      <c r="P65" s="72">
        <f t="shared" si="24"/>
        <v>0</v>
      </c>
      <c r="Q65" s="49">
        <f t="shared" si="23"/>
        <v>1.7255813953488373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980116</v>
      </c>
      <c r="O66" s="63">
        <f>SUM(O50:O65)</f>
        <v>545946.62</v>
      </c>
      <c r="P66" s="80"/>
      <c r="Q66" s="64"/>
    </row>
    <row r="67" spans="1:20" ht="12.6" hidden="1" x14ac:dyDescent="0.3">
      <c r="A67" s="133" t="s">
        <v>152</v>
      </c>
      <c r="B67" s="134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6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3" t="s">
        <v>156</v>
      </c>
      <c r="B70" s="134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6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45551291.949000001</v>
      </c>
      <c r="E71" s="39">
        <f>C71*K71</f>
        <v>45551291.949000001</v>
      </c>
      <c r="F71" s="92" t="s">
        <v>159</v>
      </c>
      <c r="G71" s="92">
        <v>0.24</v>
      </c>
      <c r="H71" s="93">
        <v>0.3241</v>
      </c>
      <c r="I71" s="93">
        <v>0.32700000000000001</v>
      </c>
      <c r="J71" s="94">
        <f>I71</f>
        <v>0.32700000000000001</v>
      </c>
      <c r="K71" s="94">
        <f>J71</f>
        <v>0.32700000000000001</v>
      </c>
      <c r="L71" s="46">
        <f>I71-H71</f>
        <v>2.9000000000000137E-3</v>
      </c>
      <c r="M71" s="46">
        <f>((I71-H71)/H71)*100</f>
        <v>0.8947855600123461</v>
      </c>
      <c r="N71" s="95">
        <v>282</v>
      </c>
      <c r="O71" s="96">
        <v>92.2</v>
      </c>
      <c r="P71" s="72">
        <f>(R71)/J71</f>
        <v>0</v>
      </c>
      <c r="Q71" s="49">
        <f>J71/G71-1</f>
        <v>0.36250000000000004</v>
      </c>
      <c r="T71" s="53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81383138.375</v>
      </c>
      <c r="E72" s="39">
        <f>C72*K72</f>
        <v>81383138.375</v>
      </c>
      <c r="F72" s="92" t="s">
        <v>159</v>
      </c>
      <c r="G72" s="92">
        <v>0.1</v>
      </c>
      <c r="H72" s="93">
        <v>0.15049999999999999</v>
      </c>
      <c r="I72" s="93">
        <v>0.15049999999999999</v>
      </c>
      <c r="J72" s="94">
        <f>I72</f>
        <v>0.15049999999999999</v>
      </c>
      <c r="K72" s="94">
        <f>J72</f>
        <v>0.15049999999999999</v>
      </c>
      <c r="L72" s="46">
        <f>I72-H72</f>
        <v>0</v>
      </c>
      <c r="M72" s="46">
        <f>((I72-H72)/H72)*100</f>
        <v>0</v>
      </c>
      <c r="N72" s="51">
        <v>2866</v>
      </c>
      <c r="O72" s="96">
        <v>431.33</v>
      </c>
      <c r="P72" s="97">
        <f>(R72)/J72</f>
        <v>2.5196013289036544E-2</v>
      </c>
      <c r="Q72" s="49">
        <f>J72/G72-1</f>
        <v>0.50499999999999989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3148</v>
      </c>
      <c r="O73" s="63">
        <f>SUM(O71:O72)</f>
        <v>523.53</v>
      </c>
      <c r="P73" s="90"/>
      <c r="Q73" s="64"/>
    </row>
    <row r="74" spans="1:20" ht="12.6" x14ac:dyDescent="0.3">
      <c r="A74" s="133" t="s">
        <v>162</v>
      </c>
      <c r="B74" s="134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6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7754124.1857000003</v>
      </c>
      <c r="E75" s="39">
        <f>C75*K75</f>
        <v>7754124.1857000003</v>
      </c>
      <c r="F75" s="92" t="s">
        <v>137</v>
      </c>
      <c r="G75" s="92">
        <v>0.1394</v>
      </c>
      <c r="H75" s="93">
        <v>0.12139999999999999</v>
      </c>
      <c r="I75" s="93">
        <v>0.1207</v>
      </c>
      <c r="J75" s="94">
        <f>I75</f>
        <v>0.1207</v>
      </c>
      <c r="K75" s="94">
        <f>J75</f>
        <v>0.1207</v>
      </c>
      <c r="L75" s="46">
        <f>I75-H75</f>
        <v>-6.999999999999923E-4</v>
      </c>
      <c r="M75" s="46">
        <f>((I75-H75)/H75)*100</f>
        <v>-0.57660626029653406</v>
      </c>
      <c r="N75" s="95">
        <v>3566</v>
      </c>
      <c r="O75" s="96">
        <v>430.27</v>
      </c>
      <c r="P75" s="72">
        <f>(R75)/J75</f>
        <v>0</v>
      </c>
      <c r="Q75" s="49">
        <f>J75/G75-1</f>
        <v>-0.13414634146341464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9" t="s">
        <v>165</v>
      </c>
      <c r="B77" s="140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2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168058.24281809904</v>
      </c>
      <c r="E78" s="39">
        <f>C78*K78</f>
        <v>140141.14277596874</v>
      </c>
      <c r="F78" s="40" t="s">
        <v>137</v>
      </c>
      <c r="G78" s="71">
        <v>0.105</v>
      </c>
      <c r="H78" s="42">
        <v>0.141453</v>
      </c>
      <c r="I78" s="42">
        <v>0.141453</v>
      </c>
      <c r="J78" s="44">
        <f>I78/$J$5</f>
        <v>5.300982225503386E-3</v>
      </c>
      <c r="K78" s="45">
        <f>I78/$K$4</f>
        <v>4.4204062499999999E-3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0.34717142857142869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433729.73696143425</v>
      </c>
      <c r="E79" s="39">
        <f>C79*K79</f>
        <v>361680.450625</v>
      </c>
      <c r="F79" s="40" t="s">
        <v>137</v>
      </c>
      <c r="G79" s="71">
        <v>4.2500000000000003E-2</v>
      </c>
      <c r="H79" s="42">
        <v>8.5000000000000006E-2</v>
      </c>
      <c r="I79" s="42">
        <v>8.5000000000000006E-2</v>
      </c>
      <c r="J79" s="44">
        <f>I79/$J$5</f>
        <v>3.1853936584433544E-3</v>
      </c>
      <c r="K79" s="45">
        <f>I79/$K$4</f>
        <v>2.6562500000000002E-3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1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1466837.7675262231</v>
      </c>
      <c r="E80" s="39">
        <f>C80*K80</f>
        <v>1223173.095</v>
      </c>
      <c r="F80" s="40" t="s">
        <v>137</v>
      </c>
      <c r="G80" s="71">
        <v>6.0499999999999998E-2</v>
      </c>
      <c r="H80" s="42">
        <v>0.12</v>
      </c>
      <c r="I80" s="42">
        <v>0.12</v>
      </c>
      <c r="J80" s="44">
        <f>I80/$J$5</f>
        <v>4.4970263413317939E-3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425431.81196433859</v>
      </c>
      <c r="E81" s="39">
        <f>C81*K81</f>
        <v>354760.94062499999</v>
      </c>
      <c r="F81" s="40" t="s">
        <v>137</v>
      </c>
      <c r="G81" s="71">
        <v>1.85</v>
      </c>
      <c r="H81" s="42">
        <v>1.7</v>
      </c>
      <c r="I81" s="42">
        <v>1.7</v>
      </c>
      <c r="J81" s="44">
        <f>I81/$J$5</f>
        <v>6.3707873168867085E-2</v>
      </c>
      <c r="K81" s="45">
        <f>I81/$K$4</f>
        <v>5.3124999999999999E-2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0</v>
      </c>
      <c r="O82" s="63">
        <f>SUM(O78:O81)</f>
        <v>0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3" t="s">
        <v>174</v>
      </c>
      <c r="B83" s="134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6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29435125.348238472</v>
      </c>
      <c r="E84" s="39">
        <f>C84*K84</f>
        <v>24545491.104062498</v>
      </c>
      <c r="F84" s="40" t="s">
        <v>177</v>
      </c>
      <c r="G84" s="40">
        <v>1.3</v>
      </c>
      <c r="H84" s="42">
        <v>2.1324999999999998</v>
      </c>
      <c r="I84" s="42">
        <v>2.1324999999999998</v>
      </c>
      <c r="J84" s="44">
        <f>I84/$J$5</f>
        <v>7.9915905607417084E-2</v>
      </c>
      <c r="K84" s="45">
        <f>I84/$K$4</f>
        <v>6.6640624999999995E-2</v>
      </c>
      <c r="L84" s="46">
        <f>I84-H84</f>
        <v>0</v>
      </c>
      <c r="M84" s="46">
        <f>((I84-H84)/H84*100)</f>
        <v>0</v>
      </c>
      <c r="N84" s="108">
        <v>12</v>
      </c>
      <c r="O84" s="109">
        <v>25.59</v>
      </c>
      <c r="P84" s="52">
        <f>(R84)/J84</f>
        <v>0</v>
      </c>
      <c r="Q84" s="49">
        <f>I84/G84-1</f>
        <v>0.64038461538461511</v>
      </c>
      <c r="R84" s="53"/>
    </row>
    <row r="85" spans="1:243" s="110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80378467.431410983</v>
      </c>
      <c r="E85" s="39">
        <f>C85*K85</f>
        <v>67026348.077500001</v>
      </c>
      <c r="F85" s="40" t="s">
        <v>177</v>
      </c>
      <c r="G85" s="40">
        <v>1.44347</v>
      </c>
      <c r="H85" s="42">
        <v>1.083234</v>
      </c>
      <c r="I85" s="42">
        <v>1.164976</v>
      </c>
      <c r="J85" s="44">
        <f>I85/$J$5</f>
        <v>4.3657731325161236E-2</v>
      </c>
      <c r="K85" s="45">
        <f>I85/$K$4</f>
        <v>3.64055E-2</v>
      </c>
      <c r="L85" s="46">
        <f>I85-H85</f>
        <v>8.1741999999999981E-2</v>
      </c>
      <c r="M85" s="46">
        <f>((I85-H85)/H85*100)</f>
        <v>7.5461073046082365</v>
      </c>
      <c r="N85" s="109">
        <v>169717</v>
      </c>
      <c r="O85" s="109">
        <v>197678.11</v>
      </c>
      <c r="P85" s="48">
        <f>(R85)/J85</f>
        <v>4.9842260098062106E-2</v>
      </c>
      <c r="Q85" s="49">
        <f>I85/G85-1</f>
        <v>-0.19293369450005893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1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2"/>
      <c r="B87" s="113"/>
      <c r="C87" s="113"/>
      <c r="D87" s="113"/>
      <c r="E87" s="113"/>
      <c r="F87" s="114"/>
      <c r="G87" s="114"/>
      <c r="H87" s="60"/>
      <c r="M87" s="115"/>
      <c r="N87" s="115"/>
      <c r="O87" s="60"/>
      <c r="P87" s="60"/>
      <c r="Q87" s="116"/>
    </row>
    <row r="88" spans="1:243" ht="15" customHeight="1" thickBot="1" x14ac:dyDescent="0.3">
      <c r="A88" s="143" t="s">
        <v>180</v>
      </c>
      <c r="B88" s="144"/>
      <c r="C88" s="144"/>
      <c r="D88" s="145"/>
      <c r="E88" s="143" t="s">
        <v>181</v>
      </c>
      <c r="F88" s="144"/>
      <c r="G88" s="144"/>
      <c r="H88" s="145"/>
      <c r="I88" s="53"/>
      <c r="J88" s="146" t="s">
        <v>182</v>
      </c>
      <c r="K88" s="147"/>
      <c r="L88" s="148"/>
      <c r="M88" s="146" t="s">
        <v>183</v>
      </c>
      <c r="N88" s="147"/>
      <c r="O88" s="148"/>
      <c r="Q88" s="16"/>
    </row>
    <row r="89" spans="1:243" ht="15" customHeight="1" x14ac:dyDescent="0.25">
      <c r="A89" s="35" t="s">
        <v>48</v>
      </c>
      <c r="B89" s="117">
        <v>7.93</v>
      </c>
      <c r="D89" s="117">
        <v>14.919208752988924</v>
      </c>
      <c r="E89" s="35" t="s">
        <v>73</v>
      </c>
      <c r="F89" s="118">
        <v>1.4585710000000001</v>
      </c>
      <c r="H89" s="119">
        <v>-8.2659748427672959</v>
      </c>
      <c r="J89" s="35" t="s">
        <v>119</v>
      </c>
      <c r="K89" s="52">
        <v>0.1595</v>
      </c>
      <c r="L89" s="120">
        <v>2.9032258064516157</v>
      </c>
      <c r="M89" s="60" t="s">
        <v>131</v>
      </c>
      <c r="N89" s="118">
        <v>0.1313</v>
      </c>
      <c r="O89" s="119">
        <v>-12.173913043478258</v>
      </c>
      <c r="Q89" s="16"/>
    </row>
    <row r="90" spans="1:243" ht="15" customHeight="1" x14ac:dyDescent="0.25">
      <c r="A90" s="35" t="s">
        <v>75</v>
      </c>
      <c r="B90" s="117">
        <v>3.4907920000000003</v>
      </c>
      <c r="D90" s="117">
        <v>14.452196721311495</v>
      </c>
      <c r="E90" s="35" t="s">
        <v>88</v>
      </c>
      <c r="F90" s="118">
        <v>0.9</v>
      </c>
      <c r="H90" s="119">
        <v>-8.1632653061224456</v>
      </c>
      <c r="J90" s="35" t="s">
        <v>140</v>
      </c>
      <c r="K90" s="52">
        <v>1.4055</v>
      </c>
      <c r="L90" s="120">
        <v>2.8088654816765408</v>
      </c>
      <c r="M90" s="35" t="s">
        <v>144</v>
      </c>
      <c r="N90" s="118">
        <v>0.65980000000000005</v>
      </c>
      <c r="O90" s="119">
        <v>-7.6427771556550921</v>
      </c>
      <c r="Q90" s="16"/>
    </row>
    <row r="91" spans="1:243" ht="15" customHeight="1" x14ac:dyDescent="0.25">
      <c r="A91" s="35" t="s">
        <v>62</v>
      </c>
      <c r="B91" s="117">
        <v>3.34</v>
      </c>
      <c r="C91" s="117"/>
      <c r="D91" s="117">
        <v>11.892797319932997</v>
      </c>
      <c r="E91" s="35" t="s">
        <v>37</v>
      </c>
      <c r="F91" s="118">
        <v>0.20050000000000001</v>
      </c>
      <c r="H91" s="119">
        <v>-7.8160919540229825</v>
      </c>
      <c r="J91" s="35" t="s">
        <v>121</v>
      </c>
      <c r="K91" s="52">
        <v>39</v>
      </c>
      <c r="L91" s="120">
        <v>2.6315789473684208</v>
      </c>
      <c r="M91" s="35" t="s">
        <v>127</v>
      </c>
      <c r="N91" s="118">
        <v>0.155</v>
      </c>
      <c r="O91" s="119">
        <v>-3.1855090568394715</v>
      </c>
      <c r="Q91" s="16"/>
    </row>
    <row r="92" spans="1:243" ht="15" customHeight="1" x14ac:dyDescent="0.25">
      <c r="A92" s="35" t="s">
        <v>90</v>
      </c>
      <c r="B92" s="117">
        <v>1.4205000000000001</v>
      </c>
      <c r="C92" s="117"/>
      <c r="D92" s="117">
        <v>9.8175582852535292</v>
      </c>
      <c r="E92" s="35" t="s">
        <v>32</v>
      </c>
      <c r="F92" s="118">
        <v>17.25</v>
      </c>
      <c r="H92" s="119">
        <v>0</v>
      </c>
      <c r="J92" s="35" t="s">
        <v>138</v>
      </c>
      <c r="K92" s="52">
        <v>0.90969999999999995</v>
      </c>
      <c r="L92" s="120">
        <v>1.6765396222197273</v>
      </c>
      <c r="M92" s="35" t="s">
        <v>123</v>
      </c>
      <c r="N92" s="118">
        <v>0.2235</v>
      </c>
      <c r="O92" s="119">
        <v>-1.1499336576735919</v>
      </c>
      <c r="Q92" s="16"/>
    </row>
    <row r="93" spans="1:243" ht="15" customHeight="1" x14ac:dyDescent="0.25">
      <c r="A93" s="35" t="s">
        <v>99</v>
      </c>
      <c r="B93" s="117">
        <v>0.45045299999999999</v>
      </c>
      <c r="C93" s="117"/>
      <c r="D93" s="117">
        <v>7.9596493162241408</v>
      </c>
      <c r="E93" s="35" t="s">
        <v>35</v>
      </c>
      <c r="F93" s="118">
        <v>5.4119E-2</v>
      </c>
      <c r="G93" s="118"/>
      <c r="H93" s="119">
        <v>0</v>
      </c>
      <c r="J93" s="35" t="s">
        <v>133</v>
      </c>
      <c r="K93" s="52">
        <v>2.52E-2</v>
      </c>
      <c r="L93" s="120">
        <v>0.79999999999999516</v>
      </c>
      <c r="M93" s="35" t="s">
        <v>129</v>
      </c>
      <c r="N93" s="118">
        <v>1.4991000000000001</v>
      </c>
      <c r="O93" s="119">
        <v>0.38167938931297962</v>
      </c>
      <c r="Q93" s="16"/>
    </row>
    <row r="94" spans="1:243" ht="15.75" customHeight="1" thickBot="1" x14ac:dyDescent="0.3">
      <c r="A94" s="121"/>
      <c r="B94" s="122"/>
      <c r="C94" s="122"/>
      <c r="D94" s="122"/>
      <c r="E94" s="121"/>
      <c r="F94" s="122"/>
      <c r="G94" s="122"/>
      <c r="H94" s="123"/>
      <c r="J94" s="121"/>
      <c r="K94" s="122"/>
      <c r="L94" s="123"/>
      <c r="M94" s="122"/>
      <c r="N94" s="122"/>
      <c r="O94" s="123"/>
      <c r="Q94" s="16"/>
    </row>
    <row r="95" spans="1:243" x14ac:dyDescent="0.25">
      <c r="A95" s="124"/>
      <c r="B95" s="125"/>
      <c r="C95" s="125"/>
      <c r="D95" s="125"/>
      <c r="E95" s="115"/>
      <c r="F95" s="115"/>
      <c r="G95" s="115"/>
      <c r="H95" s="115"/>
      <c r="I95" s="115"/>
      <c r="J95" s="115"/>
      <c r="K95" s="115"/>
      <c r="L95" s="115"/>
      <c r="M95" s="125"/>
      <c r="Q95" s="16"/>
    </row>
    <row r="96" spans="1:243" x14ac:dyDescent="0.25">
      <c r="A96" s="12" t="s">
        <v>184</v>
      </c>
      <c r="B96" s="126"/>
      <c r="C96" s="126"/>
      <c r="D96" s="126"/>
      <c r="E96" s="126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4"/>
      <c r="B97" s="125"/>
      <c r="C97" s="125"/>
      <c r="D97" s="125"/>
      <c r="E97" s="125"/>
      <c r="F97" s="115"/>
      <c r="G97" s="115"/>
      <c r="H97" s="125"/>
      <c r="I97" s="115"/>
      <c r="J97" s="115"/>
      <c r="K97" s="115"/>
      <c r="L97" s="115"/>
      <c r="M97" s="125"/>
      <c r="Q97" s="16"/>
    </row>
    <row r="98" spans="1:17" ht="12.6" thickBot="1" x14ac:dyDescent="0.3">
      <c r="A98" s="127"/>
      <c r="B98" s="128"/>
      <c r="C98" s="128"/>
      <c r="D98" s="128"/>
      <c r="E98" s="128"/>
      <c r="F98" s="129"/>
      <c r="G98" s="129"/>
      <c r="H98" s="129"/>
      <c r="I98" s="130"/>
      <c r="J98" s="130"/>
      <c r="K98" s="130"/>
      <c r="L98" s="130"/>
      <c r="M98" s="130"/>
      <c r="N98" s="130"/>
      <c r="O98" s="130"/>
      <c r="P98" s="130"/>
      <c r="Q98" s="131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2"/>
      <c r="J102" s="132"/>
      <c r="K102" s="132"/>
      <c r="O102" s="132"/>
      <c r="P102" s="132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2"/>
      <c r="J105" s="132"/>
      <c r="K105" s="132"/>
      <c r="O105" s="132"/>
      <c r="P105" s="132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2"/>
      <c r="J107" s="132"/>
      <c r="K107" s="132"/>
      <c r="O107" s="132"/>
      <c r="P107" s="132"/>
    </row>
  </sheetData>
  <sheetProtection algorithmName="SHA-512" hashValue="zvsR5ZSs+1B3LKQVCRdDOnSScsz5KrdMuDguWmZ55t/wedvqM1ZPkQCdI5+rQgDqjiaH9CGdqyp8ba5VvvhyGA==" saltValue="FFLaTrTjVQGz4CR6XNQbaA==" spinCount="100000" sheet="1" objects="1" scenarios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Enock Rukarwa</cp:lastModifiedBy>
  <dcterms:created xsi:type="dcterms:W3CDTF">2026-09-16T14:23:24Z</dcterms:created>
  <dcterms:modified xsi:type="dcterms:W3CDTF">2026-09-16T14:38:14Z</dcterms:modified>
</cp:coreProperties>
</file>