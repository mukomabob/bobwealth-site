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28.04.26/"/>
    </mc:Choice>
  </mc:AlternateContent>
  <xr:revisionPtr revIDLastSave="15" documentId="8_{CF85F839-35BB-4AFD-B654-F522914C9595}" xr6:coauthVersionLast="47" xr6:coauthVersionMax="47" xr10:uidLastSave="{DC95C8E7-A922-420D-A06F-4671447CBED4}"/>
  <bookViews>
    <workbookView xWindow="-108" yWindow="-108" windowWidth="23256" windowHeight="12456" xr2:uid="{18448F13-BA6B-45E0-85A5-9DF7EF3261A1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3" i="1" l="1"/>
  <c r="P72" i="1"/>
  <c r="O84" i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E82" i="1" s="1"/>
  <c r="J82" i="1"/>
  <c r="D82" i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 s="1"/>
  <c r="Q76" i="1"/>
  <c r="M76" i="1"/>
  <c r="L76" i="1"/>
  <c r="K76" i="1"/>
  <c r="J76" i="1"/>
  <c r="E76" i="1"/>
  <c r="D76" i="1"/>
  <c r="O74" i="1"/>
  <c r="N74" i="1"/>
  <c r="Q73" i="1"/>
  <c r="M73" i="1"/>
  <c r="L73" i="1"/>
  <c r="J73" i="1"/>
  <c r="K73" i="1" s="1"/>
  <c r="E73" i="1" s="1"/>
  <c r="D73" i="1"/>
  <c r="Q72" i="1"/>
  <c r="M72" i="1"/>
  <c r="L72" i="1"/>
  <c r="K72" i="1"/>
  <c r="E72" i="1" s="1"/>
  <c r="J72" i="1"/>
  <c r="D72" i="1" s="1"/>
  <c r="M69" i="1"/>
  <c r="L69" i="1"/>
  <c r="D69" i="1"/>
  <c r="O67" i="1"/>
  <c r="N67" i="1"/>
  <c r="Q66" i="1"/>
  <c r="P66" i="1"/>
  <c r="M66" i="1"/>
  <c r="L66" i="1"/>
  <c r="J66" i="1"/>
  <c r="D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M54" i="1"/>
  <c r="L54" i="1"/>
  <c r="J54" i="1"/>
  <c r="D54" i="1" s="1"/>
  <c r="Q53" i="1"/>
  <c r="M53" i="1"/>
  <c r="L53" i="1"/>
  <c r="J53" i="1"/>
  <c r="P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P47" i="1"/>
  <c r="M47" i="1"/>
  <c r="L47" i="1"/>
  <c r="K47" i="1"/>
  <c r="J47" i="1"/>
  <c r="E47" i="1"/>
  <c r="D47" i="1"/>
  <c r="Q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E43" i="1" s="1"/>
  <c r="J43" i="1"/>
  <c r="D43" i="1" s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E40" i="1" s="1"/>
  <c r="J40" i="1"/>
  <c r="D40" i="1" s="1"/>
  <c r="Q39" i="1"/>
  <c r="M39" i="1"/>
  <c r="L39" i="1"/>
  <c r="K39" i="1"/>
  <c r="J39" i="1"/>
  <c r="E39" i="1"/>
  <c r="D39" i="1"/>
  <c r="Q38" i="1"/>
  <c r="P38" i="1"/>
  <c r="M38" i="1"/>
  <c r="L38" i="1"/>
  <c r="K38" i="1"/>
  <c r="E38" i="1" s="1"/>
  <c r="J38" i="1"/>
  <c r="D38" i="1"/>
  <c r="Q37" i="1"/>
  <c r="M37" i="1"/>
  <c r="L37" i="1"/>
  <c r="K37" i="1"/>
  <c r="J37" i="1"/>
  <c r="D37" i="1" s="1"/>
  <c r="E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D34" i="1" s="1"/>
  <c r="E34" i="1"/>
  <c r="Q33" i="1"/>
  <c r="M33" i="1"/>
  <c r="L33" i="1"/>
  <c r="K33" i="1"/>
  <c r="J33" i="1"/>
  <c r="P33" i="1" s="1"/>
  <c r="E33" i="1"/>
  <c r="D33" i="1"/>
  <c r="K32" i="1"/>
  <c r="J32" i="1"/>
  <c r="D32" i="1" s="1"/>
  <c r="E32" i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E29" i="1" s="1"/>
  <c r="J29" i="1"/>
  <c r="D29" i="1"/>
  <c r="Q28" i="1"/>
  <c r="M28" i="1"/>
  <c r="L28" i="1"/>
  <c r="K28" i="1"/>
  <c r="J28" i="1"/>
  <c r="D28" i="1" s="1"/>
  <c r="E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/>
  <c r="Q25" i="1"/>
  <c r="M25" i="1"/>
  <c r="L25" i="1"/>
  <c r="K25" i="1"/>
  <c r="J25" i="1"/>
  <c r="D25" i="1" s="1"/>
  <c r="E25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/>
  <c r="Q22" i="1"/>
  <c r="M22" i="1"/>
  <c r="L22" i="1"/>
  <c r="K22" i="1"/>
  <c r="J22" i="1"/>
  <c r="D22" i="1" s="1"/>
  <c r="E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E19" i="1"/>
  <c r="D19" i="1"/>
  <c r="Q18" i="1"/>
  <c r="P18" i="1"/>
  <c r="M18" i="1"/>
  <c r="L18" i="1"/>
  <c r="K18" i="1"/>
  <c r="E18" i="1" s="1"/>
  <c r="J18" i="1"/>
  <c r="D18" i="1" s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P54" i="1" l="1"/>
  <c r="P40" i="1"/>
  <c r="P43" i="1"/>
  <c r="P46" i="1"/>
  <c r="Q52" i="1"/>
  <c r="Q54" i="1"/>
  <c r="P22" i="1"/>
  <c r="P25" i="1"/>
  <c r="P28" i="1"/>
  <c r="P34" i="1"/>
  <c r="P37" i="1"/>
  <c r="P57" i="1"/>
  <c r="P59" i="1"/>
  <c r="P61" i="1"/>
  <c r="P63" i="1"/>
  <c r="P65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<sst xmlns="http://schemas.openxmlformats.org/spreadsheetml/2006/main" count="265" uniqueCount="181">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</sst>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  <font>
      <sz val="9"/>
      <color theme="1"/>
      <name val="Berlin Sans FB Demi"/>
      <family val="2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66" fontId="20" fillId="5" borderId="0" xfId="3" applyNumberFormat="1" applyFont="1" applyFill="1"/>
    <xf numFmtId="10" fontId="15" fillId="5" borderId="0" xfId="6" applyNumberFormat="1" applyFont="1" applyFill="1" applyAlignment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9" fontId="30" fillId="5" borderId="0" xfId="1" applyFont="1" applyFill="1"/>
  </cellXfs>
  <cellStyles count="9">
    <cellStyle name="Comma 2 2 2 2 2 2 2 2 2 2" xfId="3" xr:uid="{85F3B7CF-45CB-4981-8613-4F96BE7F39EB}"/>
    <cellStyle name="Comma 5 2 2 2 2 2 2 2 2" xfId="4" xr:uid="{FADF2220-770C-44EE-99A1-DCBBE5070A29}"/>
    <cellStyle name="Comma 6 2 2 2" xfId="5" xr:uid="{FB89F73B-0057-4BF7-A21A-9504C0B6BA28}"/>
    <cellStyle name="Hyperlink 2" xfId="8" xr:uid="{D3892EFF-7DF4-453E-A6C0-4589285846C6}"/>
    <cellStyle name="Normal" xfId="0" builtinId="0"/>
    <cellStyle name="Normal 2" xfId="2" xr:uid="{CF845A6D-212A-4D05-BC4B-6A9072D86E6F}"/>
    <cellStyle name="Normal 20" xfId="7" xr:uid="{70C9B613-2E1D-48F2-BD10-7A07159AABCF}"/>
    <cellStyle name="Percent" xfId="1" builtinId="5"/>
    <cellStyle name="Percent 3" xfId="6" xr:uid="{7EB03B91-6C09-42A9-9D63-7845C81AC2B6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722B3F8-D2A1-4FC2-8207-1271A46F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1171190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07EEACA3-5C94-4106-B3D3-136C8D45E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4329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6AF7-6670-43ED-BA7A-04267515696A}">
  <dimension ref="A1:II105"/>
  <sheetViews>
    <sheetView tabSelected="1" topLeftCell="A62" zoomScale="70" zoomScaleNormal="70" workbookViewId="0">
      <selection activeCell="O98" sqref="O98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25.288900000000002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12.6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34.799999999999997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68074262.391800359</v>
      </c>
      <c r="E10" s="39">
        <f t="shared" ref="E10:E30" si="1">C10*K10</f>
        <v>57384107.140000001</v>
      </c>
      <c r="F10" s="40" t="s">
        <v>34</v>
      </c>
      <c r="G10" s="41">
        <v>8.9894999999999996</v>
      </c>
      <c r="H10" s="42">
        <v>13.8</v>
      </c>
      <c r="I10" s="42">
        <v>13.8</v>
      </c>
      <c r="J10" s="43">
        <f>(I10/$J$5)</f>
        <v>0.54569396059140574</v>
      </c>
      <c r="K10" s="44">
        <f t="shared" ref="K10:K18" si="2">I10/$K$4</f>
        <v>0.46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400</v>
      </c>
      <c r="O10" s="37">
        <v>5520</v>
      </c>
      <c r="P10" s="47">
        <f t="shared" ref="P10:P18" si="5">(R10)/J10</f>
        <v>0</v>
      </c>
      <c r="Q10" s="48">
        <f t="shared" ref="Q10:Q18" si="6">I10/G10-1</f>
        <v>0.53512431169697994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2574086.8048827746</v>
      </c>
      <c r="E11" s="39">
        <f t="shared" si="1"/>
        <v>2169860.7933333335</v>
      </c>
      <c r="F11" s="40" t="s">
        <v>34</v>
      </c>
      <c r="G11" s="41">
        <v>3.1600000000000003E-2</v>
      </c>
      <c r="H11" s="42">
        <v>0.04</v>
      </c>
      <c r="I11" s="42">
        <v>0.04</v>
      </c>
      <c r="J11" s="43">
        <f t="shared" ref="J11:J18" si="7">I11/$J$5</f>
        <v>1.5817216249026252E-3</v>
      </c>
      <c r="K11" s="44">
        <f t="shared" si="2"/>
        <v>1.3333333333333333E-3</v>
      </c>
      <c r="L11" s="45">
        <f t="shared" si="3"/>
        <v>0</v>
      </c>
      <c r="M11" s="45">
        <f t="shared" si="4"/>
        <v>0</v>
      </c>
      <c r="N11" s="46">
        <v>3100</v>
      </c>
      <c r="O11" s="37">
        <v>124</v>
      </c>
      <c r="P11" s="47">
        <f t="shared" si="5"/>
        <v>0</v>
      </c>
      <c r="Q11" s="48">
        <f t="shared" si="6"/>
        <v>0.26582278481012644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4268015.1241453756</v>
      </c>
      <c r="E12" s="39">
        <f t="shared" si="1"/>
        <v>3597780.255766667</v>
      </c>
      <c r="F12" s="40" t="s">
        <v>39</v>
      </c>
      <c r="G12" s="41">
        <v>7.8E-2</v>
      </c>
      <c r="H12" s="42">
        <v>0.247</v>
      </c>
      <c r="I12" s="42">
        <v>0.247</v>
      </c>
      <c r="J12" s="43">
        <f t="shared" si="7"/>
        <v>9.7671310337737096E-3</v>
      </c>
      <c r="K12" s="44">
        <f t="shared" si="2"/>
        <v>8.2333333333333338E-3</v>
      </c>
      <c r="L12" s="45">
        <f t="shared" si="3"/>
        <v>0</v>
      </c>
      <c r="M12" s="45">
        <f t="shared" si="4"/>
        <v>0</v>
      </c>
      <c r="N12" s="46">
        <v>300</v>
      </c>
      <c r="O12" s="37">
        <v>74.099999999999994</v>
      </c>
      <c r="P12" s="47">
        <f t="shared" si="5"/>
        <v>0</v>
      </c>
      <c r="Q12" s="48">
        <f t="shared" si="6"/>
        <v>2.1666666666666665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156654696.22014007</v>
      </c>
      <c r="E13" s="39">
        <f t="shared" si="1"/>
        <v>132054164.90805002</v>
      </c>
      <c r="F13" s="40" t="s">
        <v>34</v>
      </c>
      <c r="G13" s="41">
        <v>97.381</v>
      </c>
      <c r="H13" s="42">
        <v>191.99950000000001</v>
      </c>
      <c r="I13" s="42">
        <v>191.99950000000001</v>
      </c>
      <c r="J13" s="43">
        <f t="shared" si="7"/>
        <v>7.5922440280122903</v>
      </c>
      <c r="K13" s="44">
        <f t="shared" si="2"/>
        <v>6.399983333333334</v>
      </c>
      <c r="L13" s="45">
        <f t="shared" si="3"/>
        <v>0</v>
      </c>
      <c r="M13" s="45">
        <f t="shared" si="4"/>
        <v>0</v>
      </c>
      <c r="N13" s="46">
        <v>0</v>
      </c>
      <c r="O13" s="37">
        <v>0</v>
      </c>
      <c r="P13" s="47">
        <f t="shared" si="5"/>
        <v>0</v>
      </c>
      <c r="Q13" s="48">
        <f t="shared" si="6"/>
        <v>0.97163204321171492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4490538.2026897166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0.51407929961366439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290121765.47566324</v>
      </c>
      <c r="E15" s="39">
        <f t="shared" si="1"/>
        <v>244562010.49791667</v>
      </c>
      <c r="F15" s="40" t="s">
        <v>47</v>
      </c>
      <c r="G15" s="41">
        <v>11.5</v>
      </c>
      <c r="H15" s="42">
        <v>15.9444</v>
      </c>
      <c r="I15" s="42">
        <v>14.0375</v>
      </c>
      <c r="J15" s="43">
        <f t="shared" si="7"/>
        <v>0.55508543273926503</v>
      </c>
      <c r="K15" s="44">
        <f t="shared" si="2"/>
        <v>0.46791666666666665</v>
      </c>
      <c r="L15" s="45">
        <f t="shared" si="3"/>
        <v>-1.9069000000000003</v>
      </c>
      <c r="M15" s="45">
        <f t="shared" si="4"/>
        <v>-11.959684905045034</v>
      </c>
      <c r="N15" s="46">
        <v>29600</v>
      </c>
      <c r="O15" s="37">
        <v>415510</v>
      </c>
      <c r="P15" s="47">
        <f t="shared" si="5"/>
        <v>0</v>
      </c>
      <c r="Q15" s="48">
        <f t="shared" si="6"/>
        <v>0.22065217391304337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25955775.705942132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0.24477142145368125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32566895.904092308</v>
      </c>
      <c r="E17" s="39">
        <f t="shared" si="1"/>
        <v>27452699.127633337</v>
      </c>
      <c r="F17" s="40" t="s">
        <v>34</v>
      </c>
      <c r="G17" s="41">
        <v>1.9</v>
      </c>
      <c r="H17" s="42">
        <v>2.3005</v>
      </c>
      <c r="I17" s="42">
        <v>2.3005</v>
      </c>
      <c r="J17" s="43">
        <f t="shared" si="7"/>
        <v>9.0968764952212233E-2</v>
      </c>
      <c r="K17" s="44">
        <f t="shared" si="2"/>
        <v>7.6683333333333339E-2</v>
      </c>
      <c r="L17" s="45">
        <f t="shared" si="3"/>
        <v>0</v>
      </c>
      <c r="M17" s="45">
        <f t="shared" si="4"/>
        <v>0</v>
      </c>
      <c r="N17" s="46">
        <v>122100</v>
      </c>
      <c r="O17" s="37">
        <v>280891.05</v>
      </c>
      <c r="P17" s="47">
        <f t="shared" si="5"/>
        <v>0</v>
      </c>
      <c r="Q17" s="48">
        <f t="shared" si="6"/>
        <v>0.21078947368421064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1432321251.8947244</v>
      </c>
      <c r="E18" s="39">
        <f t="shared" si="1"/>
        <v>1207394296.90135</v>
      </c>
      <c r="F18" s="40" t="s">
        <v>34</v>
      </c>
      <c r="G18" s="41">
        <v>20.701700000000002</v>
      </c>
      <c r="H18" s="42">
        <v>26.7575</v>
      </c>
      <c r="I18" s="42">
        <v>26.998699999999999</v>
      </c>
      <c r="J18" s="43">
        <f t="shared" si="7"/>
        <v>1.0676106908564627</v>
      </c>
      <c r="K18" s="44">
        <f t="shared" si="2"/>
        <v>0.89995666666666663</v>
      </c>
      <c r="L18" s="45">
        <f t="shared" si="3"/>
        <v>0.24119999999999919</v>
      </c>
      <c r="M18" s="45">
        <f t="shared" si="4"/>
        <v>0.90142950574604952</v>
      </c>
      <c r="N18" s="46">
        <v>741000</v>
      </c>
      <c r="O18" s="37">
        <v>20006035</v>
      </c>
      <c r="P18" s="47">
        <f t="shared" si="5"/>
        <v>0</v>
      </c>
      <c r="Q18" s="48">
        <f t="shared" si="6"/>
        <v>0.30417791775554637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263052338.27094099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0.39147610216339973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0</v>
      </c>
      <c r="O20" s="37">
        <v>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2489537.3937972784</v>
      </c>
      <c r="E21" s="39">
        <f t="shared" si="1"/>
        <v>2098588.7399333329</v>
      </c>
      <c r="F21" s="40" t="s">
        <v>47</v>
      </c>
      <c r="G21" s="41">
        <v>0.35</v>
      </c>
      <c r="H21" s="42">
        <v>0.57850000000000001</v>
      </c>
      <c r="I21" s="42">
        <v>0.57799999999999996</v>
      </c>
      <c r="J21" s="43">
        <f t="shared" si="8"/>
        <v>2.2855877479842933E-2</v>
      </c>
      <c r="K21" s="44">
        <f t="shared" si="9"/>
        <v>1.9266666666666665E-2</v>
      </c>
      <c r="L21" s="45">
        <f t="shared" si="10"/>
        <v>-5.0000000000005596E-4</v>
      </c>
      <c r="M21" s="45">
        <f t="shared" si="11"/>
        <v>-8.6430423509084864E-2</v>
      </c>
      <c r="N21" s="46">
        <v>5000</v>
      </c>
      <c r="O21" s="37">
        <v>2890</v>
      </c>
      <c r="P21" s="47">
        <f t="shared" si="12"/>
        <v>0</v>
      </c>
      <c r="Q21" s="48">
        <f t="shared" si="13"/>
        <v>0.65142857142857147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78869126.114619449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0.11427938739921467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54743565.444127664</v>
      </c>
      <c r="E23" s="39">
        <f t="shared" si="1"/>
        <v>46146818.40533334</v>
      </c>
      <c r="F23" s="40" t="s">
        <v>66</v>
      </c>
      <c r="G23" s="41">
        <v>0.88420599999999994</v>
      </c>
      <c r="H23" s="42">
        <v>1.1200000000000001</v>
      </c>
      <c r="I23" s="42">
        <v>1.1200000000000001</v>
      </c>
      <c r="J23" s="43">
        <f t="shared" si="8"/>
        <v>4.4288205497273511E-2</v>
      </c>
      <c r="K23" s="44">
        <f t="shared" si="9"/>
        <v>3.7333333333333336E-2</v>
      </c>
      <c r="L23" s="45">
        <f t="shared" si="10"/>
        <v>0</v>
      </c>
      <c r="M23" s="45">
        <f t="shared" si="11"/>
        <v>0</v>
      </c>
      <c r="N23" s="46">
        <v>0</v>
      </c>
      <c r="O23" s="37">
        <v>0</v>
      </c>
      <c r="P23" s="47">
        <f t="shared" si="12"/>
        <v>0</v>
      </c>
      <c r="Q23" s="48">
        <f t="shared" si="13"/>
        <v>0.26667315082684362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2475480.7397530535</v>
      </c>
      <c r="E24" s="39">
        <f t="shared" si="1"/>
        <v>2086739.4959847</v>
      </c>
      <c r="F24" s="40" t="s">
        <v>44</v>
      </c>
      <c r="G24" s="41">
        <v>0.1</v>
      </c>
      <c r="H24" s="42">
        <v>0.11</v>
      </c>
      <c r="I24" s="42">
        <v>0.11666700000000001</v>
      </c>
      <c r="J24" s="43">
        <f t="shared" si="8"/>
        <v>4.6133679203128643E-3</v>
      </c>
      <c r="K24" s="44">
        <f t="shared" si="9"/>
        <v>3.8889000000000003E-3</v>
      </c>
      <c r="L24" s="45">
        <f t="shared" si="10"/>
        <v>6.6670000000000063E-3</v>
      </c>
      <c r="M24" s="45">
        <f t="shared" si="11"/>
        <v>6.0609090909090968</v>
      </c>
      <c r="N24" s="46">
        <v>6000</v>
      </c>
      <c r="O24" s="37">
        <v>700</v>
      </c>
      <c r="P24" s="47">
        <f t="shared" si="12"/>
        <v>0</v>
      </c>
      <c r="Q24" s="48">
        <f t="shared" si="13"/>
        <v>0.1666700000000001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72433563.830771595</v>
      </c>
      <c r="E25" s="39">
        <f t="shared" si="1"/>
        <v>61058838.412000008</v>
      </c>
      <c r="F25" s="40" t="s">
        <v>34</v>
      </c>
      <c r="G25" s="41">
        <v>8.1687659999999997</v>
      </c>
      <c r="H25" s="42">
        <v>9.49</v>
      </c>
      <c r="I25" s="42">
        <v>9.49</v>
      </c>
      <c r="J25" s="43">
        <f t="shared" si="8"/>
        <v>0.37526345550814783</v>
      </c>
      <c r="K25" s="44">
        <f t="shared" si="9"/>
        <v>0.31633333333333336</v>
      </c>
      <c r="L25" s="45">
        <f t="shared" si="10"/>
        <v>0</v>
      </c>
      <c r="M25" s="45">
        <f t="shared" si="11"/>
        <v>0</v>
      </c>
      <c r="N25" s="46">
        <v>0</v>
      </c>
      <c r="O25" s="37">
        <v>0</v>
      </c>
      <c r="P25" s="47">
        <f t="shared" si="12"/>
        <v>0</v>
      </c>
      <c r="Q25" s="48">
        <f t="shared" si="13"/>
        <v>0.16174217745985131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80045277.524744049</v>
      </c>
      <c r="E26" s="39">
        <f t="shared" si="1"/>
        <v>67475233.959849998</v>
      </c>
      <c r="F26" s="40" t="s">
        <v>66</v>
      </c>
      <c r="G26" s="41">
        <v>1.6675</v>
      </c>
      <c r="H26" s="42">
        <v>1.1995</v>
      </c>
      <c r="I26" s="42">
        <v>1.1995</v>
      </c>
      <c r="J26" s="43">
        <f t="shared" si="8"/>
        <v>4.743187722676747E-2</v>
      </c>
      <c r="K26" s="44">
        <f t="shared" si="9"/>
        <v>3.9983333333333336E-2</v>
      </c>
      <c r="L26" s="45">
        <f t="shared" si="10"/>
        <v>0</v>
      </c>
      <c r="M26" s="45">
        <f t="shared" si="11"/>
        <v>0</v>
      </c>
      <c r="N26" s="46">
        <v>0</v>
      </c>
      <c r="O26" s="37">
        <v>0</v>
      </c>
      <c r="P26" s="47">
        <f t="shared" si="12"/>
        <v>0</v>
      </c>
      <c r="Q26" s="48">
        <f t="shared" si="13"/>
        <v>-0.28065967016491755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28398400.918980263</v>
      </c>
      <c r="E27" s="39">
        <f t="shared" si="1"/>
        <v>23938810.700000003</v>
      </c>
      <c r="F27" s="40" t="s">
        <v>44</v>
      </c>
      <c r="G27" s="41">
        <v>1.7994999999999999</v>
      </c>
      <c r="H27" s="42">
        <v>2.65</v>
      </c>
      <c r="I27" s="42">
        <v>3</v>
      </c>
      <c r="J27" s="43">
        <f t="shared" si="8"/>
        <v>0.11862912186769689</v>
      </c>
      <c r="K27" s="44">
        <f t="shared" si="9"/>
        <v>0.1</v>
      </c>
      <c r="L27" s="45">
        <f t="shared" si="10"/>
        <v>0.35000000000000009</v>
      </c>
      <c r="M27" s="45">
        <f t="shared" si="11"/>
        <v>13.207547169811324</v>
      </c>
      <c r="N27" s="46">
        <v>200</v>
      </c>
      <c r="O27" s="37">
        <v>600</v>
      </c>
      <c r="P27" s="47">
        <f t="shared" si="12"/>
        <v>0</v>
      </c>
      <c r="Q27" s="48">
        <f t="shared" si="13"/>
        <v>0.66712975826618526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31399835.386276193</v>
      </c>
      <c r="E28" s="39">
        <f t="shared" si="1"/>
        <v>26468909.903333332</v>
      </c>
      <c r="F28" s="40" t="s">
        <v>34</v>
      </c>
      <c r="G28" s="41">
        <v>3.1361369999999997</v>
      </c>
      <c r="H28" s="42">
        <v>3.13</v>
      </c>
      <c r="I28" s="42">
        <v>3.1</v>
      </c>
      <c r="J28" s="43">
        <f t="shared" si="8"/>
        <v>0.12258342592995346</v>
      </c>
      <c r="K28" s="44">
        <f t="shared" si="9"/>
        <v>0.10333333333333333</v>
      </c>
      <c r="L28" s="45">
        <f t="shared" si="10"/>
        <v>-2.9999999999999805E-2</v>
      </c>
      <c r="M28" s="45">
        <f t="shared" si="11"/>
        <v>-0.95846645367411509</v>
      </c>
      <c r="N28" s="46">
        <v>200</v>
      </c>
      <c r="O28" s="37">
        <v>620</v>
      </c>
      <c r="P28" s="47">
        <f t="shared" si="12"/>
        <v>0</v>
      </c>
      <c r="Q28" s="48">
        <f t="shared" si="13"/>
        <v>-1.1522774674703196E-2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25398530.021076437</v>
      </c>
      <c r="E29" s="39">
        <f t="shared" si="1"/>
        <v>21410029.528333332</v>
      </c>
      <c r="F29" s="40" t="s">
        <v>44</v>
      </c>
      <c r="G29" s="41">
        <v>0.8</v>
      </c>
      <c r="H29" s="42">
        <v>0.85244399999999998</v>
      </c>
      <c r="I29" s="42">
        <v>0.85</v>
      </c>
      <c r="J29" s="43">
        <f t="shared" si="8"/>
        <v>3.3611584529180782E-2</v>
      </c>
      <c r="K29" s="44">
        <f t="shared" si="9"/>
        <v>2.8333333333333332E-2</v>
      </c>
      <c r="L29" s="45">
        <f t="shared" si="10"/>
        <v>-2.4440000000000017E-3</v>
      </c>
      <c r="M29" s="45">
        <f t="shared" si="11"/>
        <v>-0.28670505041973454</v>
      </c>
      <c r="N29" s="46">
        <v>200</v>
      </c>
      <c r="O29" s="37">
        <v>170</v>
      </c>
      <c r="P29" s="47">
        <f t="shared" si="12"/>
        <v>0</v>
      </c>
      <c r="Q29" s="48">
        <f t="shared" si="13"/>
        <v>6.25E-2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83107323.086413398</v>
      </c>
      <c r="E30" s="39">
        <f t="shared" si="1"/>
        <v>70056426.093333334</v>
      </c>
      <c r="F30" s="40" t="s">
        <v>47</v>
      </c>
      <c r="G30" s="41">
        <v>5.15</v>
      </c>
      <c r="H30" s="42">
        <v>5.2</v>
      </c>
      <c r="I30" s="42">
        <v>5.2</v>
      </c>
      <c r="J30" s="43">
        <f t="shared" si="8"/>
        <v>0.20562381123734128</v>
      </c>
      <c r="K30" s="44">
        <f t="shared" si="9"/>
        <v>0.17333333333333334</v>
      </c>
      <c r="L30" s="45">
        <f t="shared" si="10"/>
        <v>0</v>
      </c>
      <c r="M30" s="45">
        <f t="shared" si="11"/>
        <v>0</v>
      </c>
      <c r="N30" s="46">
        <v>0</v>
      </c>
      <c r="O30" s="37">
        <v>0</v>
      </c>
      <c r="P30" s="47">
        <f t="shared" si="12"/>
        <v>0</v>
      </c>
      <c r="Q30" s="48">
        <f t="shared" si="13"/>
        <v>9.7087378640776656E-3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15208335.65714602</v>
      </c>
      <c r="E33" s="39">
        <f t="shared" si="15"/>
        <v>12820069.32</v>
      </c>
      <c r="F33" s="40" t="s">
        <v>39</v>
      </c>
      <c r="G33" s="41">
        <v>1.4</v>
      </c>
      <c r="H33" s="42">
        <v>1.48</v>
      </c>
      <c r="I33" s="42">
        <v>1.48</v>
      </c>
      <c r="J33" s="43">
        <f t="shared" si="16"/>
        <v>5.8523700121397133E-2</v>
      </c>
      <c r="K33" s="44">
        <f t="shared" si="17"/>
        <v>4.9333333333333333E-2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0</v>
      </c>
      <c r="O33" s="37">
        <v>0</v>
      </c>
      <c r="P33" s="47">
        <f t="shared" ref="P33:P38" si="20">(R33)/J33</f>
        <v>0</v>
      </c>
      <c r="Q33" s="48">
        <f t="shared" ref="Q33:Q48" si="21">I33/G33-1</f>
        <v>5.7142857142857162E-2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3619062.2170201153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2.9657280466924223E-2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171659569.82114211</v>
      </c>
      <c r="E35" s="39">
        <f t="shared" si="15"/>
        <v>144702723.17499605</v>
      </c>
      <c r="F35" s="40" t="s">
        <v>92</v>
      </c>
      <c r="G35" s="41">
        <v>1.44</v>
      </c>
      <c r="H35" s="42">
        <v>1.74</v>
      </c>
      <c r="I35" s="42">
        <v>1.7395670000000001</v>
      </c>
      <c r="J35" s="43">
        <f t="shared" si="16"/>
        <v>6.8787768546674621E-2</v>
      </c>
      <c r="K35" s="44">
        <f t="shared" si="17"/>
        <v>5.7985566666666669E-2</v>
      </c>
      <c r="L35" s="45">
        <f t="shared" si="18"/>
        <v>-4.3299999999990568E-4</v>
      </c>
      <c r="M35" s="45">
        <f t="shared" si="19"/>
        <v>-2.4885057471258947E-2</v>
      </c>
      <c r="N35" s="46">
        <v>10500</v>
      </c>
      <c r="O35" s="37">
        <v>18265.45</v>
      </c>
      <c r="P35" s="47">
        <f t="shared" si="20"/>
        <v>0</v>
      </c>
      <c r="Q35" s="48">
        <f t="shared" si="21"/>
        <v>0.2080326388888889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37118349.734949052</v>
      </c>
      <c r="E36" s="39">
        <f t="shared" si="15"/>
        <v>31289407.8204051</v>
      </c>
      <c r="F36" s="40" t="s">
        <v>34</v>
      </c>
      <c r="G36" s="41">
        <v>3.6056249999999999</v>
      </c>
      <c r="H36" s="42">
        <v>3.7</v>
      </c>
      <c r="I36" s="42">
        <v>3.7029909999999999</v>
      </c>
      <c r="J36" s="43">
        <f t="shared" si="16"/>
        <v>0.14642752353799493</v>
      </c>
      <c r="K36" s="44">
        <f t="shared" si="17"/>
        <v>0.12343303333333333</v>
      </c>
      <c r="L36" s="45">
        <f t="shared" si="18"/>
        <v>2.9909999999997439E-3</v>
      </c>
      <c r="M36" s="45">
        <f t="shared" si="19"/>
        <v>8.0837837837830911E-2</v>
      </c>
      <c r="N36" s="46">
        <v>27900</v>
      </c>
      <c r="O36" s="37">
        <v>103313.45</v>
      </c>
      <c r="P36" s="47">
        <f t="shared" si="20"/>
        <v>0</v>
      </c>
      <c r="Q36" s="48">
        <f t="shared" si="21"/>
        <v>2.7003917490032947E-2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6354546.650767412</v>
      </c>
      <c r="E37" s="39">
        <f t="shared" si="15"/>
        <v>5356649.8265530672</v>
      </c>
      <c r="F37" s="40" t="s">
        <v>34</v>
      </c>
      <c r="G37" s="41">
        <v>2.5099999999999997E-2</v>
      </c>
      <c r="H37" s="42">
        <v>3.4082000000000001E-2</v>
      </c>
      <c r="I37" s="42">
        <v>3.4082000000000001E-2</v>
      </c>
      <c r="J37" s="43">
        <f t="shared" si="16"/>
        <v>1.3477059104982818E-3</v>
      </c>
      <c r="K37" s="44">
        <f t="shared" si="17"/>
        <v>1.1360666666666668E-3</v>
      </c>
      <c r="L37" s="45">
        <f t="shared" si="18"/>
        <v>0</v>
      </c>
      <c r="M37" s="45">
        <f t="shared" si="19"/>
        <v>0</v>
      </c>
      <c r="N37" s="46">
        <v>0</v>
      </c>
      <c r="O37" s="37">
        <v>0</v>
      </c>
      <c r="P37" s="47">
        <f t="shared" si="20"/>
        <v>0</v>
      </c>
      <c r="Q37" s="48">
        <f t="shared" si="21"/>
        <v>0.35784860557768949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24259726.065586086</v>
      </c>
      <c r="E38" s="39">
        <f t="shared" si="15"/>
        <v>20450059.550000001</v>
      </c>
      <c r="F38" s="40" t="s">
        <v>92</v>
      </c>
      <c r="G38" s="41">
        <v>0.61</v>
      </c>
      <c r="H38" s="42">
        <v>2.1958709999999999</v>
      </c>
      <c r="I38" s="42">
        <v>2.35</v>
      </c>
      <c r="J38" s="43">
        <f t="shared" si="16"/>
        <v>9.2926145463029228E-2</v>
      </c>
      <c r="K38" s="44">
        <f t="shared" si="17"/>
        <v>7.8333333333333338E-2</v>
      </c>
      <c r="L38" s="45">
        <f t="shared" si="18"/>
        <v>0.15412900000000018</v>
      </c>
      <c r="M38" s="45">
        <f t="shared" si="19"/>
        <v>7.019037092798265</v>
      </c>
      <c r="N38" s="46">
        <v>70500</v>
      </c>
      <c r="O38" s="37">
        <v>165675</v>
      </c>
      <c r="P38" s="47">
        <f t="shared" si="20"/>
        <v>0</v>
      </c>
      <c r="Q38" s="48">
        <f t="shared" si="21"/>
        <v>2.8524590163934427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16587506.490990119</v>
      </c>
      <c r="E39" s="39">
        <f t="shared" si="15"/>
        <v>13982659.763333334</v>
      </c>
      <c r="F39" s="40" t="s">
        <v>56</v>
      </c>
      <c r="G39" s="41">
        <v>0.11650199999999999</v>
      </c>
      <c r="H39" s="42">
        <v>0.1</v>
      </c>
      <c r="I39" s="42">
        <v>0.1</v>
      </c>
      <c r="J39" s="43">
        <f t="shared" si="16"/>
        <v>3.9543040622565633E-3</v>
      </c>
      <c r="K39" s="44">
        <f t="shared" si="17"/>
        <v>3.3333333333333335E-3</v>
      </c>
      <c r="L39" s="45">
        <f t="shared" si="18"/>
        <v>0</v>
      </c>
      <c r="M39" s="45">
        <f t="shared" si="19"/>
        <v>0</v>
      </c>
      <c r="N39" s="46">
        <v>4600</v>
      </c>
      <c r="O39" s="37">
        <v>460</v>
      </c>
      <c r="P39" s="47">
        <v>0</v>
      </c>
      <c r="Q39" s="48">
        <f t="shared" si="21"/>
        <v>-0.14164563698477273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86107561.894744337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6</v>
      </c>
      <c r="I40" s="42">
        <v>6</v>
      </c>
      <c r="J40" s="43">
        <f t="shared" si="16"/>
        <v>0.23725824373539378</v>
      </c>
      <c r="K40" s="44">
        <f t="shared" si="17"/>
        <v>0.2</v>
      </c>
      <c r="L40" s="45">
        <f t="shared" si="18"/>
        <v>0</v>
      </c>
      <c r="M40" s="45">
        <f t="shared" si="19"/>
        <v>0</v>
      </c>
      <c r="N40" s="46">
        <v>2400</v>
      </c>
      <c r="O40" s="37">
        <v>14400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15393256.733578764</v>
      </c>
      <c r="E41" s="39">
        <f t="shared" si="15"/>
        <v>12975951.006993333</v>
      </c>
      <c r="F41" s="40" t="s">
        <v>39</v>
      </c>
      <c r="G41" s="41">
        <v>0.1</v>
      </c>
      <c r="H41" s="42">
        <v>9.0200000000000002E-2</v>
      </c>
      <c r="I41" s="42">
        <v>9.0200000000000002E-2</v>
      </c>
      <c r="J41" s="43">
        <f t="shared" si="16"/>
        <v>3.5667822641554199E-3</v>
      </c>
      <c r="K41" s="44">
        <f t="shared" si="17"/>
        <v>3.0066666666666666E-3</v>
      </c>
      <c r="L41" s="45">
        <f t="shared" si="18"/>
        <v>0</v>
      </c>
      <c r="M41" s="45">
        <f t="shared" si="19"/>
        <v>0</v>
      </c>
      <c r="N41" s="46">
        <v>0</v>
      </c>
      <c r="O41" s="37">
        <v>0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8420630.1578953601</v>
      </c>
      <c r="E42" s="39">
        <f t="shared" si="15"/>
        <v>7098282.4666666668</v>
      </c>
      <c r="F42" s="40" t="s">
        <v>44</v>
      </c>
      <c r="G42" s="41">
        <v>1.7452379999999998</v>
      </c>
      <c r="H42" s="42">
        <v>2</v>
      </c>
      <c r="I42" s="42">
        <v>2</v>
      </c>
      <c r="J42" s="43">
        <f t="shared" si="16"/>
        <v>7.9086081245131251E-2</v>
      </c>
      <c r="K42" s="44">
        <f t="shared" si="17"/>
        <v>6.6666666666666666E-2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0.14597550591953667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2812303.307775348</v>
      </c>
      <c r="E43" s="39">
        <f t="shared" si="15"/>
        <v>2370668.5706666666</v>
      </c>
      <c r="F43" s="40" t="s">
        <v>39</v>
      </c>
      <c r="G43" s="41">
        <v>0.03</v>
      </c>
      <c r="H43" s="42">
        <v>0.04</v>
      </c>
      <c r="I43" s="42">
        <v>0.04</v>
      </c>
      <c r="J43" s="43">
        <f t="shared" si="16"/>
        <v>1.5817216249026252E-3</v>
      </c>
      <c r="K43" s="44">
        <f t="shared" si="17"/>
        <v>1.3333333333333333E-3</v>
      </c>
      <c r="L43" s="45">
        <f t="shared" si="18"/>
        <v>0</v>
      </c>
      <c r="M43" s="45">
        <f t="shared" si="19"/>
        <v>0</v>
      </c>
      <c r="N43" s="46">
        <v>0</v>
      </c>
      <c r="O43" s="37">
        <v>0</v>
      </c>
      <c r="P43" s="47">
        <f t="shared" si="22"/>
        <v>0</v>
      </c>
      <c r="Q43" s="48">
        <f t="shared" si="21"/>
        <v>0.33333333333333348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35884816.087690644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0.20483295042488994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5400</v>
      </c>
      <c r="O44" s="37">
        <v>27972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329.79203911597574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7.117747312061813E-7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1639928.9806990419</v>
      </c>
      <c r="E46" s="39">
        <f t="shared" si="15"/>
        <v>1382400.0000000002</v>
      </c>
      <c r="F46" s="40" t="s">
        <v>56</v>
      </c>
      <c r="G46" s="41">
        <v>7.0000000000000007E-2</v>
      </c>
      <c r="H46" s="42">
        <v>7.2000000000000008E-2</v>
      </c>
      <c r="I46" s="42">
        <v>7.2000000000000008E-2</v>
      </c>
      <c r="J46" s="43">
        <f t="shared" si="16"/>
        <v>2.8470989248247256E-3</v>
      </c>
      <c r="K46" s="44">
        <f t="shared" si="17"/>
        <v>2.4000000000000002E-3</v>
      </c>
      <c r="L46" s="45">
        <f t="shared" si="18"/>
        <v>0</v>
      </c>
      <c r="M46" s="45">
        <f t="shared" si="19"/>
        <v>0</v>
      </c>
      <c r="N46" s="46">
        <v>0</v>
      </c>
      <c r="O46" s="37">
        <v>0</v>
      </c>
      <c r="P46" s="47">
        <f t="shared" si="22"/>
        <v>0</v>
      </c>
      <c r="Q46" s="48">
        <f t="shared" si="21"/>
        <v>2.8571428571428692E-2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52054079.104429215</v>
      </c>
      <c r="E47" s="39">
        <f t="shared" si="15"/>
        <v>43879680.035466671</v>
      </c>
      <c r="F47" s="40" t="s">
        <v>47</v>
      </c>
      <c r="G47" s="41">
        <v>0.9998999999999999</v>
      </c>
      <c r="H47" s="42">
        <v>0.724074</v>
      </c>
      <c r="I47" s="42">
        <v>0.72400000000000009</v>
      </c>
      <c r="J47" s="43">
        <f t="shared" si="16"/>
        <v>2.8629161410737517E-2</v>
      </c>
      <c r="K47" s="44">
        <f t="shared" si="17"/>
        <v>2.4133333333333336E-2</v>
      </c>
      <c r="L47" s="45">
        <f t="shared" si="18"/>
        <v>-7.3999999999907473E-5</v>
      </c>
      <c r="M47" s="45">
        <f t="shared" si="19"/>
        <v>-1.021994989461125E-2</v>
      </c>
      <c r="N47" s="46">
        <v>1600</v>
      </c>
      <c r="O47" s="37">
        <v>1158.4000000000001</v>
      </c>
      <c r="P47" s="47">
        <f t="shared" si="22"/>
        <v>0</v>
      </c>
      <c r="Q47" s="48">
        <f t="shared" si="21"/>
        <v>-0.27592759275927581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4061565.3508060845</v>
      </c>
      <c r="E48" s="39">
        <f t="shared" si="15"/>
        <v>3423750.6666666665</v>
      </c>
      <c r="F48" s="40" t="s">
        <v>47</v>
      </c>
      <c r="G48" s="41">
        <v>1.4503460000000001</v>
      </c>
      <c r="H48" s="42">
        <v>1.0338579999999999</v>
      </c>
      <c r="I48" s="42">
        <v>1</v>
      </c>
      <c r="J48" s="43">
        <f t="shared" si="16"/>
        <v>3.9543040622565626E-2</v>
      </c>
      <c r="K48" s="44">
        <f t="shared" si="17"/>
        <v>3.3333333333333333E-2</v>
      </c>
      <c r="L48" s="45">
        <f t="shared" si="18"/>
        <v>-3.3857999999999944E-2</v>
      </c>
      <c r="M48" s="45">
        <f t="shared" si="19"/>
        <v>-3.2749178320426933</v>
      </c>
      <c r="N48" s="46">
        <v>3400</v>
      </c>
      <c r="O48" s="37">
        <v>3400</v>
      </c>
      <c r="P48" s="47">
        <v>0</v>
      </c>
      <c r="Q48" s="48">
        <f t="shared" si="21"/>
        <v>-0.31050935431959004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1034400</v>
      </c>
      <c r="O49" s="58">
        <f>SUM(O10:O48)</f>
        <v>21047778.449999996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74359321.272</v>
      </c>
      <c r="E53" s="39">
        <v>0</v>
      </c>
      <c r="F53" s="40" t="s">
        <v>92</v>
      </c>
      <c r="G53" s="66">
        <v>0.1</v>
      </c>
      <c r="H53" s="42">
        <v>0.13919999999999999</v>
      </c>
      <c r="I53" s="42">
        <v>0.13400000000000001</v>
      </c>
      <c r="J53" s="43">
        <f t="shared" si="24"/>
        <v>0.13400000000000001</v>
      </c>
      <c r="K53" s="39">
        <v>0</v>
      </c>
      <c r="L53" s="45">
        <f t="shared" si="25"/>
        <v>-5.1999999999999824E-3</v>
      </c>
      <c r="M53" s="45">
        <f t="shared" si="26"/>
        <v>-3.735632183908034</v>
      </c>
      <c r="N53" s="46">
        <v>4714</v>
      </c>
      <c r="O53" s="37">
        <v>631.63</v>
      </c>
      <c r="P53" s="68">
        <f>(R53)/J53</f>
        <v>0</v>
      </c>
      <c r="Q53" s="48">
        <f t="shared" si="27"/>
        <v>0.34000000000000008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58189492.191500001</v>
      </c>
      <c r="E54" s="39">
        <v>0</v>
      </c>
      <c r="F54" s="40" t="s">
        <v>39</v>
      </c>
      <c r="G54" s="66">
        <v>39.9</v>
      </c>
      <c r="H54" s="42">
        <v>55.015900000000002</v>
      </c>
      <c r="I54" s="42">
        <v>55.015900000000002</v>
      </c>
      <c r="J54" s="43">
        <f t="shared" si="24"/>
        <v>55.015900000000002</v>
      </c>
      <c r="K54" s="39">
        <v>0</v>
      </c>
      <c r="L54" s="45">
        <f t="shared" si="25"/>
        <v>0</v>
      </c>
      <c r="M54" s="45">
        <f t="shared" si="26"/>
        <v>0</v>
      </c>
      <c r="N54" s="46">
        <v>0</v>
      </c>
      <c r="O54" s="37">
        <v>0</v>
      </c>
      <c r="P54" s="69">
        <f>(R54)/J54</f>
        <v>1.0178875561428605E-2</v>
      </c>
      <c r="Q54" s="48">
        <f t="shared" si="27"/>
        <v>0.37884461152882221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801899738.40400004</v>
      </c>
      <c r="E55" s="39"/>
      <c r="F55" s="40" t="s">
        <v>56</v>
      </c>
      <c r="G55" s="66">
        <v>0.33</v>
      </c>
      <c r="H55" s="42">
        <v>0.26290000000000002</v>
      </c>
      <c r="I55" s="42">
        <v>0.26800000000000002</v>
      </c>
      <c r="J55" s="43">
        <f t="shared" si="24"/>
        <v>0.26800000000000002</v>
      </c>
      <c r="K55" s="39">
        <v>0</v>
      </c>
      <c r="L55" s="45">
        <f t="shared" si="25"/>
        <v>5.0999999999999934E-3</v>
      </c>
      <c r="M55" s="45">
        <f t="shared" si="26"/>
        <v>1.9399011030810167</v>
      </c>
      <c r="N55" s="46">
        <v>137087</v>
      </c>
      <c r="O55" s="37">
        <v>36732.82</v>
      </c>
      <c r="P55" s="68">
        <v>0</v>
      </c>
      <c r="Q55" s="48">
        <f t="shared" si="27"/>
        <v>-0.18787878787878787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12194818.859999999</v>
      </c>
      <c r="E56" s="39">
        <v>0</v>
      </c>
      <c r="F56" s="40" t="s">
        <v>34</v>
      </c>
      <c r="G56" s="66">
        <v>2.3E-2</v>
      </c>
      <c r="H56" s="42">
        <v>0.02</v>
      </c>
      <c r="I56" s="42">
        <v>0.02</v>
      </c>
      <c r="J56" s="43">
        <f t="shared" si="24"/>
        <v>0.02</v>
      </c>
      <c r="K56" s="39">
        <v>0</v>
      </c>
      <c r="L56" s="45">
        <f t="shared" si="25"/>
        <v>0</v>
      </c>
      <c r="M56" s="45">
        <f t="shared" si="26"/>
        <v>0</v>
      </c>
      <c r="N56" s="46">
        <v>27099</v>
      </c>
      <c r="O56" s="37">
        <v>541.98</v>
      </c>
      <c r="P56" s="68">
        <f t="shared" ref="P56:P66" si="28">(R56)/J56</f>
        <v>0</v>
      </c>
      <c r="Q56" s="48">
        <f t="shared" si="27"/>
        <v>-0.13043478260869557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239319665.34030002</v>
      </c>
      <c r="E57" s="39">
        <v>0</v>
      </c>
      <c r="F57" s="40" t="s">
        <v>47</v>
      </c>
      <c r="G57" s="66">
        <v>9.0200000000000002E-2</v>
      </c>
      <c r="H57" s="42">
        <v>0.1069</v>
      </c>
      <c r="I57" s="42">
        <v>0.11070000000000001</v>
      </c>
      <c r="J57" s="43">
        <f t="shared" si="24"/>
        <v>0.11070000000000001</v>
      </c>
      <c r="K57" s="39">
        <v>0</v>
      </c>
      <c r="L57" s="45">
        <f t="shared" si="25"/>
        <v>3.8000000000000117E-3</v>
      </c>
      <c r="M57" s="70">
        <f t="shared" si="26"/>
        <v>3.5547240411599734</v>
      </c>
      <c r="N57" s="46">
        <v>2830</v>
      </c>
      <c r="O57" s="37">
        <v>313.41000000000003</v>
      </c>
      <c r="P57" s="68">
        <f t="shared" si="28"/>
        <v>0</v>
      </c>
      <c r="Q57" s="48">
        <f t="shared" si="27"/>
        <v>0.22727272727272729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699232302.94499993</v>
      </c>
      <c r="E58" s="39">
        <v>0</v>
      </c>
      <c r="F58" s="40" t="s">
        <v>34</v>
      </c>
      <c r="G58" s="66">
        <v>0.95750000000000002</v>
      </c>
      <c r="H58" s="42">
        <v>1.163</v>
      </c>
      <c r="I58" s="42">
        <v>1.2141</v>
      </c>
      <c r="J58" s="43">
        <f t="shared" si="24"/>
        <v>1.2141</v>
      </c>
      <c r="K58" s="39">
        <v>0</v>
      </c>
      <c r="L58" s="45">
        <f t="shared" si="25"/>
        <v>5.1099999999999923E-2</v>
      </c>
      <c r="M58" s="45">
        <f t="shared" si="26"/>
        <v>4.3938091143594082</v>
      </c>
      <c r="N58" s="46">
        <v>24315</v>
      </c>
      <c r="O58" s="37">
        <v>29520.2</v>
      </c>
      <c r="P58" s="69">
        <f t="shared" si="28"/>
        <v>3.8711802981632487E-2</v>
      </c>
      <c r="Q58" s="48">
        <f t="shared" si="27"/>
        <v>0.26798955613577014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0.1547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-4.7000000000000097E-3</v>
      </c>
      <c r="M59" s="45">
        <f t="shared" si="26"/>
        <v>-3.0381383322559854</v>
      </c>
      <c r="N59" s="46">
        <v>272</v>
      </c>
      <c r="O59" s="37">
        <v>40.799999999999997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15812164.2084</v>
      </c>
      <c r="E60" s="39">
        <v>0</v>
      </c>
      <c r="F60" s="40" t="s">
        <v>92</v>
      </c>
      <c r="G60" s="66">
        <v>1.6799999999999999E-2</v>
      </c>
      <c r="H60" s="42">
        <v>0.02</v>
      </c>
      <c r="I60" s="42">
        <v>1.9900000000000001E-2</v>
      </c>
      <c r="J60" s="43">
        <f t="shared" si="24"/>
        <v>1.9900000000000001E-2</v>
      </c>
      <c r="K60" s="39">
        <v>0</v>
      </c>
      <c r="L60" s="45">
        <f t="shared" si="25"/>
        <v>-9.9999999999999395E-5</v>
      </c>
      <c r="M60" s="70">
        <f t="shared" si="26"/>
        <v>-0.499999999999997</v>
      </c>
      <c r="N60" s="46">
        <v>410487</v>
      </c>
      <c r="O60" s="37">
        <v>8181.2</v>
      </c>
      <c r="P60" s="68">
        <f t="shared" si="28"/>
        <v>0</v>
      </c>
      <c r="Q60" s="48">
        <f t="shared" si="27"/>
        <v>0.18452380952380976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2902914</v>
      </c>
      <c r="E61" s="39">
        <v>0</v>
      </c>
      <c r="F61" s="40" t="s">
        <v>140</v>
      </c>
      <c r="G61" s="66">
        <v>19.5</v>
      </c>
      <c r="H61" s="42">
        <v>15.6</v>
      </c>
      <c r="I61" s="42">
        <v>18</v>
      </c>
      <c r="J61" s="43">
        <f t="shared" si="24"/>
        <v>18</v>
      </c>
      <c r="K61" s="39">
        <v>0</v>
      </c>
      <c r="L61" s="45">
        <f t="shared" si="25"/>
        <v>2.4000000000000004</v>
      </c>
      <c r="M61" s="45">
        <f t="shared" si="26"/>
        <v>15.384615384615389</v>
      </c>
      <c r="N61" s="46">
        <v>1</v>
      </c>
      <c r="O61" s="37">
        <v>18</v>
      </c>
      <c r="P61" s="68">
        <f t="shared" si="28"/>
        <v>0</v>
      </c>
      <c r="Q61" s="48">
        <f t="shared" si="27"/>
        <v>-7.6923076923076872E-2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783836063.09360003</v>
      </c>
      <c r="E62" s="39">
        <v>0</v>
      </c>
      <c r="F62" s="40" t="s">
        <v>92</v>
      </c>
      <c r="G62" s="66">
        <v>0.59499999999999997</v>
      </c>
      <c r="H62" s="42">
        <v>0.99980000000000002</v>
      </c>
      <c r="I62" s="42">
        <v>0.97360000000000002</v>
      </c>
      <c r="J62" s="43">
        <f t="shared" si="24"/>
        <v>0.97360000000000002</v>
      </c>
      <c r="K62" s="39">
        <v>0</v>
      </c>
      <c r="L62" s="45">
        <f t="shared" si="25"/>
        <v>-2.6200000000000001E-2</v>
      </c>
      <c r="M62" s="45">
        <f t="shared" si="26"/>
        <v>-2.620524104820964</v>
      </c>
      <c r="N62" s="46">
        <v>162261</v>
      </c>
      <c r="O62" s="37">
        <v>157973.19</v>
      </c>
      <c r="P62" s="68">
        <f t="shared" si="28"/>
        <v>0</v>
      </c>
      <c r="Q62" s="48">
        <f t="shared" si="27"/>
        <v>0.63630252100840345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82776859.465000004</v>
      </c>
      <c r="E63" s="39">
        <v>0</v>
      </c>
      <c r="F63" s="40" t="s">
        <v>34</v>
      </c>
      <c r="G63" s="66">
        <v>0.22600000000000001</v>
      </c>
      <c r="H63" s="42">
        <v>0.31950000000000001</v>
      </c>
      <c r="I63" s="42">
        <v>0.3175</v>
      </c>
      <c r="J63" s="43">
        <f t="shared" si="24"/>
        <v>0.3175</v>
      </c>
      <c r="K63" s="39">
        <v>0</v>
      </c>
      <c r="L63" s="45">
        <f t="shared" si="25"/>
        <v>-2.0000000000000018E-3</v>
      </c>
      <c r="M63" s="45">
        <f t="shared" si="26"/>
        <v>-0.62597809076682365</v>
      </c>
      <c r="N63" s="46">
        <v>2300</v>
      </c>
      <c r="O63" s="37">
        <v>730.16</v>
      </c>
      <c r="P63" s="68">
        <f t="shared" si="28"/>
        <v>0</v>
      </c>
      <c r="Q63" s="48">
        <f t="shared" si="27"/>
        <v>0.40486725663716805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379474731.90000004</v>
      </c>
      <c r="E64" s="39">
        <v>0</v>
      </c>
      <c r="F64" s="40" t="s">
        <v>34</v>
      </c>
      <c r="G64" s="66">
        <v>0.49440000000000001</v>
      </c>
      <c r="H64" s="42">
        <v>0.68</v>
      </c>
      <c r="I64" s="42">
        <v>0.67500000000000004</v>
      </c>
      <c r="J64" s="43">
        <f t="shared" si="24"/>
        <v>0.67500000000000004</v>
      </c>
      <c r="K64" s="39">
        <v>0</v>
      </c>
      <c r="L64" s="45">
        <f t="shared" si="25"/>
        <v>-5.0000000000000044E-3</v>
      </c>
      <c r="M64" s="45">
        <f t="shared" si="26"/>
        <v>-0.73529411764705943</v>
      </c>
      <c r="N64" s="46">
        <v>224833</v>
      </c>
      <c r="O64" s="37">
        <v>151760.1</v>
      </c>
      <c r="P64" s="68">
        <f t="shared" si="28"/>
        <v>0</v>
      </c>
      <c r="Q64" s="48">
        <f t="shared" si="27"/>
        <v>0.36529126213592233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17229024.300000001</v>
      </c>
      <c r="E66" s="39">
        <v>0</v>
      </c>
      <c r="F66" s="40" t="s">
        <v>44</v>
      </c>
      <c r="G66" s="66">
        <v>4.2999999999999997E-2</v>
      </c>
      <c r="H66" s="42">
        <v>0.05</v>
      </c>
      <c r="I66" s="42">
        <v>0.05</v>
      </c>
      <c r="J66" s="43">
        <f t="shared" si="24"/>
        <v>0.05</v>
      </c>
      <c r="K66" s="39">
        <v>0</v>
      </c>
      <c r="L66" s="45">
        <f t="shared" si="25"/>
        <v>0</v>
      </c>
      <c r="M66" s="45">
        <f t="shared" si="26"/>
        <v>0</v>
      </c>
      <c r="N66" s="46">
        <v>0</v>
      </c>
      <c r="O66" s="37">
        <v>0</v>
      </c>
      <c r="P66" s="68">
        <f t="shared" si="28"/>
        <v>0</v>
      </c>
      <c r="Q66" s="48">
        <f t="shared" si="27"/>
        <v>0.16279069767441867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996199</v>
      </c>
      <c r="O67" s="58">
        <f>SUM(O52:O66)</f>
        <v>386443.49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50148211.32</v>
      </c>
      <c r="E72" s="39">
        <f>C72*K72</f>
        <v>50148211.32</v>
      </c>
      <c r="F72" s="86" t="s">
        <v>158</v>
      </c>
      <c r="G72" s="86">
        <v>0.24</v>
      </c>
      <c r="H72" s="87">
        <v>0.36</v>
      </c>
      <c r="I72" s="87">
        <v>0.36</v>
      </c>
      <c r="J72" s="88">
        <f>I72</f>
        <v>0.36</v>
      </c>
      <c r="K72" s="88">
        <f>J72</f>
        <v>0.36</v>
      </c>
      <c r="L72" s="45">
        <f>I72-H72</f>
        <v>0</v>
      </c>
      <c r="M72" s="45">
        <f>((I72-H72)/H72)*100</f>
        <v>0</v>
      </c>
      <c r="N72" s="89">
        <v>111</v>
      </c>
      <c r="O72" s="90">
        <v>39.96</v>
      </c>
      <c r="P72" s="91">
        <f>(R72)/J72</f>
        <v>0</v>
      </c>
      <c r="Q72" s="92">
        <f>J72/G72-1</f>
        <v>0.5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68770220.325000003</v>
      </c>
      <c r="E73" s="39">
        <f>C73*K73</f>
        <v>68770220.325000003</v>
      </c>
      <c r="F73" s="86" t="s">
        <v>158</v>
      </c>
      <c r="G73" s="86">
        <v>0.1</v>
      </c>
      <c r="H73" s="87">
        <v>0.14499999999999999</v>
      </c>
      <c r="I73" s="87">
        <v>0.1459</v>
      </c>
      <c r="J73" s="88">
        <f>I73</f>
        <v>0.1459</v>
      </c>
      <c r="K73" s="88">
        <f>J73</f>
        <v>0.1459</v>
      </c>
      <c r="L73" s="45">
        <f>I73-H73</f>
        <v>9.000000000000119E-4</v>
      </c>
      <c r="M73" s="45">
        <f>((I73-H73)/H73)*100</f>
        <v>0.62068965517242203</v>
      </c>
      <c r="N73" s="46">
        <v>16070</v>
      </c>
      <c r="O73" s="90">
        <v>2345.04</v>
      </c>
      <c r="P73" s="143">
        <f>(R73)/J73</f>
        <v>2.5990404386566138E-2</v>
      </c>
      <c r="Q73" s="92">
        <f>J73/G73-1</f>
        <v>0.45899999999999985</v>
      </c>
      <c r="R73" s="5">
        <v>3.7919999999999998E-3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16181</v>
      </c>
      <c r="O74" s="58">
        <f>SUM(O72:O73)</f>
        <v>2385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167843.17587953608</v>
      </c>
      <c r="E76" s="39">
        <f>C76*K76</f>
        <v>141485.64301666667</v>
      </c>
      <c r="F76" s="40" t="s">
        <v>140</v>
      </c>
      <c r="G76" s="66">
        <v>0.105</v>
      </c>
      <c r="H76" s="42">
        <v>9.35E-2</v>
      </c>
      <c r="I76" s="42">
        <v>9.35E-2</v>
      </c>
      <c r="J76" s="43">
        <f>I76/$J$5</f>
        <v>3.6972742982098864E-3</v>
      </c>
      <c r="K76" s="44">
        <f>I76/$K$4</f>
        <v>3.1166666666666665E-3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-0.10952380952380947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296134.38544183417</v>
      </c>
      <c r="E77" s="39">
        <f>C77*K77</f>
        <v>249630.42866666667</v>
      </c>
      <c r="F77" s="40" t="s">
        <v>140</v>
      </c>
      <c r="G77" s="66">
        <v>4.2500000000000003E-2</v>
      </c>
      <c r="H77" s="42">
        <v>5.5E-2</v>
      </c>
      <c r="I77" s="42">
        <v>5.5E-2</v>
      </c>
      <c r="J77" s="43">
        <f>I77/$J$5</f>
        <v>2.1748672342411096E-3</v>
      </c>
      <c r="K77" s="44">
        <f>I77/$K$4</f>
        <v>1.8333333333333333E-3</v>
      </c>
      <c r="L77" s="45">
        <f>I77-H77</f>
        <v>0</v>
      </c>
      <c r="M77" s="93">
        <f>((I77-H77)/H77)*100</f>
        <v>0</v>
      </c>
      <c r="N77" s="37">
        <v>4400</v>
      </c>
      <c r="O77" s="37">
        <v>242</v>
      </c>
      <c r="P77" s="40">
        <v>0</v>
      </c>
      <c r="Q77" s="48">
        <f>I77/G77-1</f>
        <v>0.29411764705882337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1564061.3866162624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3.1634432498052504E-3</v>
      </c>
      <c r="K78" s="44">
        <f>I78/$K$4</f>
        <v>2.6666666666666666E-3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2603937.1898342753</v>
      </c>
      <c r="E79" s="39">
        <f>C79*K79</f>
        <v>2195023.5733333332</v>
      </c>
      <c r="F79" s="40" t="s">
        <v>140</v>
      </c>
      <c r="G79" s="66">
        <v>1.85</v>
      </c>
      <c r="H79" s="42">
        <v>1.6</v>
      </c>
      <c r="I79" s="42">
        <v>1.6</v>
      </c>
      <c r="J79" s="43">
        <f>I79/$J$5</f>
        <v>6.3268864996105012E-2</v>
      </c>
      <c r="K79" s="44">
        <f>I79/$K$4</f>
        <v>5.3333333333333337E-2</v>
      </c>
      <c r="L79" s="45">
        <f>I79-H79</f>
        <v>0</v>
      </c>
      <c r="M79" s="93">
        <f>((I79-H79)/H79)*100</f>
        <v>0</v>
      </c>
      <c r="N79" s="37">
        <v>300</v>
      </c>
      <c r="O79" s="37">
        <v>480</v>
      </c>
      <c r="P79" s="40">
        <v>0</v>
      </c>
      <c r="Q79" s="48">
        <f>I79/G79-1</f>
        <v>-0.13513513513513509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4700</v>
      </c>
      <c r="O80" s="58">
        <f>SUM(O76:O79)</f>
        <v>722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33740952.554244593</v>
      </c>
      <c r="E82" s="39">
        <f>C82*K82</f>
        <v>28442385.83496787</v>
      </c>
      <c r="F82" s="40" t="s">
        <v>173</v>
      </c>
      <c r="G82" s="40">
        <v>1.3</v>
      </c>
      <c r="H82" s="42">
        <v>2.65</v>
      </c>
      <c r="I82" s="42">
        <v>2.3166190000000002</v>
      </c>
      <c r="J82" s="43">
        <f>I82/$J$5</f>
        <v>9.1606159224007375E-2</v>
      </c>
      <c r="K82" s="44">
        <f>I82/$K$4</f>
        <v>7.7220633333333344E-2</v>
      </c>
      <c r="L82" s="45">
        <f>I82-H82</f>
        <v>-0.33338099999999971</v>
      </c>
      <c r="M82" s="45">
        <f>((I82-H82)/H82*100)</f>
        <v>-12.580415094339612</v>
      </c>
      <c r="N82" s="47">
        <v>2100</v>
      </c>
      <c r="O82" s="37">
        <v>4864.8999999999996</v>
      </c>
      <c r="P82" s="47">
        <f>(R82)/J82</f>
        <v>0</v>
      </c>
      <c r="Q82" s="48">
        <f>I82/G82-1</f>
        <v>0.78201461538461547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73416399.757798865</v>
      </c>
      <c r="E83" s="39">
        <f>C83*K83</f>
        <v>61887333.061166666</v>
      </c>
      <c r="F83" s="40" t="s">
        <v>173</v>
      </c>
      <c r="G83" s="40">
        <v>1.44347</v>
      </c>
      <c r="H83" s="42">
        <v>1.026162</v>
      </c>
      <c r="I83" s="42">
        <v>1.008427</v>
      </c>
      <c r="J83" s="43">
        <f>I83/$J$5</f>
        <v>3.9876269825891986E-2</v>
      </c>
      <c r="K83" s="44">
        <f>I83/$K$4</f>
        <v>3.3614233333333333E-2</v>
      </c>
      <c r="L83" s="45">
        <f>I83-H83</f>
        <v>-1.7735000000000056E-2</v>
      </c>
      <c r="M83" s="45">
        <f>((I83-H83)/H83*100)</f>
        <v>-1.7282846178283795</v>
      </c>
      <c r="N83" s="47">
        <v>106685</v>
      </c>
      <c r="O83" s="37">
        <v>107589.17849999999</v>
      </c>
      <c r="P83" s="102">
        <f>(R83)/J83</f>
        <v>5.4568795163160058E-2</v>
      </c>
      <c r="Q83" s="48">
        <f>I83/G83-1</f>
        <v>-0.30138693564812569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108785</v>
      </c>
      <c r="O84" s="58">
        <f>SUM(O82:O83)</f>
        <v>112454.07849999999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74</v>
      </c>
      <c r="B87" s="110">
        <v>3</v>
      </c>
      <c r="C87" s="110"/>
      <c r="D87" s="110">
        <v>13.207547169811324</v>
      </c>
      <c r="E87" s="35" t="s">
        <v>45</v>
      </c>
      <c r="F87" s="111">
        <v>14.0375</v>
      </c>
      <c r="G87" s="111"/>
      <c r="H87" s="112">
        <v>-11.959684905045034</v>
      </c>
      <c r="L87" s="35" t="s">
        <v>138</v>
      </c>
      <c r="M87" s="47">
        <v>18</v>
      </c>
      <c r="N87" s="113">
        <v>15.384615384615389</v>
      </c>
      <c r="O87" s="35" t="s">
        <v>122</v>
      </c>
      <c r="P87" s="111">
        <v>0.13400000000000001</v>
      </c>
      <c r="Q87" s="114">
        <v>-3.735632183908034</v>
      </c>
    </row>
    <row r="88" spans="1:38" x14ac:dyDescent="0.25">
      <c r="A88" s="35" t="s">
        <v>97</v>
      </c>
      <c r="B88" s="110">
        <v>2.35</v>
      </c>
      <c r="C88" s="110"/>
      <c r="D88" s="110">
        <v>7.019037092798265</v>
      </c>
      <c r="E88" s="35" t="s">
        <v>117</v>
      </c>
      <c r="F88" s="111">
        <v>1</v>
      </c>
      <c r="G88" s="111"/>
      <c r="H88" s="112">
        <v>-3.2749178320426933</v>
      </c>
      <c r="L88" s="35" t="s">
        <v>132</v>
      </c>
      <c r="M88" s="47">
        <v>1.2141</v>
      </c>
      <c r="N88" s="113">
        <v>4.3938091143594082</v>
      </c>
      <c r="O88" s="35" t="s">
        <v>134</v>
      </c>
      <c r="P88" s="111">
        <v>0.15</v>
      </c>
      <c r="Q88" s="114">
        <v>-3.0381383322559854</v>
      </c>
    </row>
    <row r="89" spans="1:38" x14ac:dyDescent="0.25">
      <c r="A89" s="35" t="s">
        <v>67</v>
      </c>
      <c r="B89" s="110">
        <v>0.11666700000000001</v>
      </c>
      <c r="C89" s="110"/>
      <c r="D89" s="110">
        <v>6.0609090909090968</v>
      </c>
      <c r="E89" s="35" t="s">
        <v>76</v>
      </c>
      <c r="F89" s="111">
        <v>3.1</v>
      </c>
      <c r="G89" s="111"/>
      <c r="H89" s="112">
        <v>-0.95846645367411509</v>
      </c>
      <c r="L89" s="35" t="s">
        <v>130</v>
      </c>
      <c r="M89" s="47">
        <v>0.11070000000000001</v>
      </c>
      <c r="N89" s="113">
        <v>3.5547240411599734</v>
      </c>
      <c r="O89" s="35" t="s">
        <v>141</v>
      </c>
      <c r="P89" s="111">
        <v>0.97360000000000002</v>
      </c>
      <c r="Q89" s="114">
        <v>-2.620524104820964</v>
      </c>
    </row>
    <row r="90" spans="1:38" x14ac:dyDescent="0.25">
      <c r="A90" s="35" t="s">
        <v>52</v>
      </c>
      <c r="B90" s="110">
        <v>26.998699999999999</v>
      </c>
      <c r="C90" s="110"/>
      <c r="D90" s="110">
        <v>0.90142950574604952</v>
      </c>
      <c r="E90" s="35" t="s">
        <v>78</v>
      </c>
      <c r="F90" s="111">
        <v>0.85</v>
      </c>
      <c r="G90" s="111"/>
      <c r="H90" s="112">
        <v>-0.28670505041973454</v>
      </c>
      <c r="L90" s="35" t="s">
        <v>126</v>
      </c>
      <c r="M90" s="47">
        <v>0.26800000000000002</v>
      </c>
      <c r="N90" s="113">
        <v>1.9399011030810167</v>
      </c>
      <c r="O90" s="35" t="s">
        <v>145</v>
      </c>
      <c r="P90" s="111">
        <v>0.67500000000000004</v>
      </c>
      <c r="Q90" s="114">
        <v>-0.73529411764705943</v>
      </c>
    </row>
    <row r="91" spans="1:38" x14ac:dyDescent="0.25">
      <c r="A91" s="35" t="s">
        <v>93</v>
      </c>
      <c r="B91" s="110">
        <v>3.7029909999999999</v>
      </c>
      <c r="C91" s="110"/>
      <c r="D91" s="110">
        <v>8.0837837837830911E-2</v>
      </c>
      <c r="E91" s="35" t="s">
        <v>60</v>
      </c>
      <c r="F91" s="111">
        <v>0.57799999999999996</v>
      </c>
      <c r="G91" s="111"/>
      <c r="H91" s="112">
        <v>-8.6430423509084864E-2</v>
      </c>
      <c r="L91" s="35"/>
      <c r="M91" s="47"/>
      <c r="N91" s="113"/>
      <c r="O91" s="35" t="s">
        <v>136</v>
      </c>
      <c r="P91" s="111">
        <v>1.9900000000000001E-2</v>
      </c>
      <c r="Q91" s="114">
        <v>-0.499999999999997</v>
      </c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rzQBvk+SL0SQGFHJrPmcSssghnXzTYFOti1T4IX6sM5RTOHaulSYTGdl9T4MlleoOW1qOC0ULdPutK+3rlDTKw==" saltValue="sw5z0fE7+XHZzdm9MfHwVw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2026-04-28T13:40:43Z</dcterms:created>
  <dcterms:modified xsi:type="dcterms:W3CDTF">2026-04-28T13:49:02Z</dcterms:modified>
</cp:coreProperties>
</file>