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Aug/13.08.26/"/>
    </mc:Choice>
  </mc:AlternateContent>
  <xr:revisionPtr revIDLastSave="9" documentId="8_{956A8B34-2C8B-4FEE-A50E-D5E89CBC9F0F}" xr6:coauthVersionLast="47" xr6:coauthVersionMax="47" xr10:uidLastSave="{B704BA5F-C371-41FC-B4E0-CBF98182D211}"/>
  <bookViews>
    <workbookView xWindow="-108" yWindow="-108" windowWidth="23256" windowHeight="12456" xr2:uid="{682FFF60-1CF3-462C-AE3F-F495904ECA9D}"/>
  </bookViews>
  <sheets>
    <sheet name="Price Sheet" sheetId="1" r:id="rId1"/>
  </sheets>
  <definedNames>
    <definedName name="_xlnm._FilterDatabase" localSheetId="0" hidden="1">'Price Sheet'!$9:$46</definedName>
    <definedName name="_xlnm.Print_Area" localSheetId="0">'Price Sheet'!$A$1:$Q$98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85" i="1" l="1"/>
  <c r="Q85" i="1" s="1"/>
  <c r="Q84" i="1"/>
  <c r="P84" i="1"/>
  <c r="M84" i="1"/>
  <c r="L84" i="1"/>
  <c r="K84" i="1"/>
  <c r="J84" i="1"/>
  <c r="E84" i="1"/>
  <c r="D84" i="1"/>
  <c r="O82" i="1"/>
  <c r="N82" i="1"/>
  <c r="Q81" i="1"/>
  <c r="M81" i="1"/>
  <c r="L81" i="1"/>
  <c r="K81" i="1"/>
  <c r="J81" i="1"/>
  <c r="D81" i="1" s="1"/>
  <c r="E81" i="1"/>
  <c r="Q80" i="1"/>
  <c r="M80" i="1"/>
  <c r="L80" i="1"/>
  <c r="K80" i="1"/>
  <c r="E80" i="1" s="1"/>
  <c r="J80" i="1"/>
  <c r="D80" i="1"/>
  <c r="Q79" i="1"/>
  <c r="M79" i="1"/>
  <c r="L79" i="1"/>
  <c r="K79" i="1"/>
  <c r="E79" i="1" s="1"/>
  <c r="J79" i="1"/>
  <c r="D79" i="1"/>
  <c r="Q78" i="1"/>
  <c r="M78" i="1"/>
  <c r="L78" i="1"/>
  <c r="K78" i="1"/>
  <c r="E78" i="1" s="1"/>
  <c r="J78" i="1"/>
  <c r="D78" i="1" s="1"/>
  <c r="Q75" i="1"/>
  <c r="P75" i="1"/>
  <c r="M75" i="1"/>
  <c r="L75" i="1"/>
  <c r="J75" i="1"/>
  <c r="K75" i="1" s="1"/>
  <c r="E75" i="1" s="1"/>
  <c r="O73" i="1"/>
  <c r="N73" i="1"/>
  <c r="P72" i="1"/>
  <c r="M72" i="1"/>
  <c r="L72" i="1"/>
  <c r="J72" i="1"/>
  <c r="K72" i="1" s="1"/>
  <c r="E72" i="1" s="1"/>
  <c r="D72" i="1"/>
  <c r="M71" i="1"/>
  <c r="L71" i="1"/>
  <c r="J71" i="1"/>
  <c r="Q71" i="1" s="1"/>
  <c r="D71" i="1"/>
  <c r="M68" i="1"/>
  <c r="L68" i="1"/>
  <c r="D68" i="1"/>
  <c r="O66" i="1"/>
  <c r="N66" i="1"/>
  <c r="M56" i="1"/>
  <c r="L56" i="1"/>
  <c r="J56" i="1"/>
  <c r="Q56" i="1" s="1"/>
  <c r="D56" i="1"/>
  <c r="Q58" i="1"/>
  <c r="M58" i="1"/>
  <c r="L58" i="1"/>
  <c r="J58" i="1"/>
  <c r="P58" i="1" s="1"/>
  <c r="M51" i="1"/>
  <c r="L51" i="1"/>
  <c r="J51" i="1"/>
  <c r="Q51" i="1" s="1"/>
  <c r="M63" i="1"/>
  <c r="L63" i="1"/>
  <c r="J63" i="1"/>
  <c r="P63" i="1" s="1"/>
  <c r="Q52" i="1"/>
  <c r="M52" i="1"/>
  <c r="L52" i="1"/>
  <c r="J52" i="1"/>
  <c r="D52" i="1"/>
  <c r="Q53" i="1"/>
  <c r="P53" i="1"/>
  <c r="M53" i="1"/>
  <c r="L53" i="1"/>
  <c r="J53" i="1"/>
  <c r="D53" i="1" s="1"/>
  <c r="Q65" i="1"/>
  <c r="P65" i="1"/>
  <c r="M65" i="1"/>
  <c r="L65" i="1"/>
  <c r="J65" i="1"/>
  <c r="D65" i="1"/>
  <c r="Q54" i="1"/>
  <c r="P54" i="1"/>
  <c r="M54" i="1"/>
  <c r="L54" i="1"/>
  <c r="J54" i="1"/>
  <c r="D54" i="1"/>
  <c r="Q64" i="1"/>
  <c r="P64" i="1"/>
  <c r="M64" i="1"/>
  <c r="L64" i="1"/>
  <c r="J64" i="1"/>
  <c r="D64" i="1"/>
  <c r="Q50" i="1"/>
  <c r="P50" i="1"/>
  <c r="M50" i="1"/>
  <c r="L50" i="1"/>
  <c r="J50" i="1"/>
  <c r="D50" i="1"/>
  <c r="Q55" i="1"/>
  <c r="P55" i="1"/>
  <c r="M55" i="1"/>
  <c r="L55" i="1"/>
  <c r="J55" i="1"/>
  <c r="D55" i="1"/>
  <c r="Q62" i="1"/>
  <c r="P62" i="1"/>
  <c r="M62" i="1"/>
  <c r="L62" i="1"/>
  <c r="J62" i="1"/>
  <c r="D62" i="1"/>
  <c r="Q60" i="1"/>
  <c r="P60" i="1"/>
  <c r="M60" i="1"/>
  <c r="L60" i="1"/>
  <c r="J60" i="1"/>
  <c r="D60" i="1"/>
  <c r="Q59" i="1"/>
  <c r="P59" i="1"/>
  <c r="M59" i="1"/>
  <c r="L59" i="1"/>
  <c r="J59" i="1"/>
  <c r="D59" i="1"/>
  <c r="Q57" i="1"/>
  <c r="P57" i="1"/>
  <c r="M57" i="1"/>
  <c r="L57" i="1"/>
  <c r="J57" i="1"/>
  <c r="D57" i="1"/>
  <c r="Q61" i="1"/>
  <c r="P61" i="1"/>
  <c r="M61" i="1"/>
  <c r="L61" i="1"/>
  <c r="J61" i="1"/>
  <c r="D61" i="1"/>
  <c r="O47" i="1"/>
  <c r="N47" i="1"/>
  <c r="Q37" i="1"/>
  <c r="M37" i="1"/>
  <c r="L37" i="1"/>
  <c r="K37" i="1"/>
  <c r="E37" i="1" s="1"/>
  <c r="J37" i="1"/>
  <c r="D37" i="1" s="1"/>
  <c r="Q45" i="1"/>
  <c r="M45" i="1"/>
  <c r="L45" i="1"/>
  <c r="K45" i="1"/>
  <c r="E45" i="1" s="1"/>
  <c r="J45" i="1"/>
  <c r="D45" i="1"/>
  <c r="Q36" i="1"/>
  <c r="P36" i="1"/>
  <c r="M36" i="1"/>
  <c r="L36" i="1"/>
  <c r="K36" i="1"/>
  <c r="J36" i="1"/>
  <c r="E36" i="1"/>
  <c r="D36" i="1"/>
  <c r="Q31" i="1"/>
  <c r="M31" i="1"/>
  <c r="L31" i="1"/>
  <c r="K31" i="1"/>
  <c r="J31" i="1"/>
  <c r="P31" i="1" s="1"/>
  <c r="E31" i="1"/>
  <c r="D31" i="1"/>
  <c r="Q39" i="1"/>
  <c r="M39" i="1"/>
  <c r="L39" i="1"/>
  <c r="K39" i="1"/>
  <c r="E39" i="1" s="1"/>
  <c r="J39" i="1"/>
  <c r="P39" i="1" s="1"/>
  <c r="D39" i="1"/>
  <c r="Q28" i="1"/>
  <c r="M28" i="1"/>
  <c r="L28" i="1"/>
  <c r="K28" i="1"/>
  <c r="E28" i="1" s="1"/>
  <c r="J28" i="1"/>
  <c r="P28" i="1" s="1"/>
  <c r="Q21" i="1"/>
  <c r="M21" i="1"/>
  <c r="L21" i="1"/>
  <c r="K21" i="1"/>
  <c r="J21" i="1"/>
  <c r="P21" i="1" s="1"/>
  <c r="E21" i="1"/>
  <c r="D21" i="1"/>
  <c r="Q26" i="1"/>
  <c r="M26" i="1"/>
  <c r="L26" i="1"/>
  <c r="K26" i="1"/>
  <c r="E26" i="1" s="1"/>
  <c r="J26" i="1"/>
  <c r="P26" i="1" s="1"/>
  <c r="D26" i="1"/>
  <c r="Q27" i="1"/>
  <c r="M27" i="1"/>
  <c r="L27" i="1"/>
  <c r="K27" i="1"/>
  <c r="J27" i="1"/>
  <c r="P27" i="1" s="1"/>
  <c r="E27" i="1"/>
  <c r="D27" i="1"/>
  <c r="Q42" i="1"/>
  <c r="M42" i="1"/>
  <c r="L42" i="1"/>
  <c r="K42" i="1"/>
  <c r="J42" i="1"/>
  <c r="P42" i="1" s="1"/>
  <c r="E42" i="1"/>
  <c r="D42" i="1"/>
  <c r="Q23" i="1"/>
  <c r="M23" i="1"/>
  <c r="L23" i="1"/>
  <c r="K23" i="1"/>
  <c r="E23" i="1" s="1"/>
  <c r="J23" i="1"/>
  <c r="P23" i="1" s="1"/>
  <c r="D23" i="1"/>
  <c r="Q41" i="1"/>
  <c r="M41" i="1"/>
  <c r="L41" i="1"/>
  <c r="K41" i="1"/>
  <c r="J41" i="1"/>
  <c r="P41" i="1" s="1"/>
  <c r="E41" i="1"/>
  <c r="D41" i="1"/>
  <c r="Q35" i="1"/>
  <c r="M35" i="1"/>
  <c r="L35" i="1"/>
  <c r="K35" i="1"/>
  <c r="E35" i="1" s="1"/>
  <c r="J35" i="1"/>
  <c r="P35" i="1" s="1"/>
  <c r="Q16" i="1"/>
  <c r="M16" i="1"/>
  <c r="L16" i="1"/>
  <c r="K16" i="1"/>
  <c r="E16" i="1" s="1"/>
  <c r="J16" i="1"/>
  <c r="P16" i="1" s="1"/>
  <c r="D16" i="1"/>
  <c r="Q14" i="1"/>
  <c r="P14" i="1"/>
  <c r="M14" i="1"/>
  <c r="L14" i="1"/>
  <c r="K14" i="1"/>
  <c r="J14" i="1"/>
  <c r="E14" i="1"/>
  <c r="D14" i="1"/>
  <c r="K30" i="1"/>
  <c r="E30" i="1" s="1"/>
  <c r="J30" i="1"/>
  <c r="D30" i="1"/>
  <c r="Q32" i="1"/>
  <c r="P32" i="1"/>
  <c r="M32" i="1"/>
  <c r="L32" i="1"/>
  <c r="K32" i="1"/>
  <c r="E32" i="1" s="1"/>
  <c r="J32" i="1"/>
  <c r="D32" i="1"/>
  <c r="Q13" i="1"/>
  <c r="M13" i="1"/>
  <c r="L13" i="1"/>
  <c r="K13" i="1"/>
  <c r="J13" i="1"/>
  <c r="P13" i="1" s="1"/>
  <c r="E13" i="1"/>
  <c r="D13" i="1"/>
  <c r="Q19" i="1"/>
  <c r="M19" i="1"/>
  <c r="L19" i="1"/>
  <c r="K19" i="1"/>
  <c r="E19" i="1" s="1"/>
  <c r="J19" i="1"/>
  <c r="P19" i="1" s="1"/>
  <c r="D19" i="1"/>
  <c r="Q20" i="1"/>
  <c r="M20" i="1"/>
  <c r="L20" i="1"/>
  <c r="K20" i="1"/>
  <c r="E20" i="1" s="1"/>
  <c r="J20" i="1"/>
  <c r="P20" i="1" s="1"/>
  <c r="D20" i="1"/>
  <c r="Q40" i="1"/>
  <c r="M40" i="1"/>
  <c r="L40" i="1"/>
  <c r="K40" i="1"/>
  <c r="J40" i="1"/>
  <c r="P40" i="1" s="1"/>
  <c r="E40" i="1"/>
  <c r="D40" i="1"/>
  <c r="Q38" i="1"/>
  <c r="M38" i="1"/>
  <c r="L38" i="1"/>
  <c r="K38" i="1"/>
  <c r="E38" i="1" s="1"/>
  <c r="J38" i="1"/>
  <c r="P38" i="1" s="1"/>
  <c r="D38" i="1"/>
  <c r="Q12" i="1"/>
  <c r="M12" i="1"/>
  <c r="L12" i="1"/>
  <c r="K12" i="1"/>
  <c r="E12" i="1" s="1"/>
  <c r="J12" i="1"/>
  <c r="P12" i="1" s="1"/>
  <c r="D12" i="1"/>
  <c r="Q22" i="1"/>
  <c r="L22" i="1"/>
  <c r="K22" i="1"/>
  <c r="E22" i="1" s="1"/>
  <c r="J22" i="1"/>
  <c r="D22" i="1" s="1"/>
  <c r="Q44" i="1"/>
  <c r="M44" i="1"/>
  <c r="L44" i="1"/>
  <c r="K44" i="1"/>
  <c r="J44" i="1"/>
  <c r="D44" i="1" s="1"/>
  <c r="E44" i="1"/>
  <c r="Q43" i="1"/>
  <c r="M43" i="1"/>
  <c r="L43" i="1"/>
  <c r="K43" i="1"/>
  <c r="E43" i="1" s="1"/>
  <c r="J43" i="1"/>
  <c r="D43" i="1" s="1"/>
  <c r="Q34" i="1"/>
  <c r="M34" i="1"/>
  <c r="L34" i="1"/>
  <c r="K34" i="1"/>
  <c r="E34" i="1" s="1"/>
  <c r="J34" i="1"/>
  <c r="P34" i="1" s="1"/>
  <c r="E18" i="1"/>
  <c r="D18" i="1"/>
  <c r="Q33" i="1"/>
  <c r="M33" i="1"/>
  <c r="L33" i="1"/>
  <c r="K33" i="1"/>
  <c r="E33" i="1" s="1"/>
  <c r="J33" i="1"/>
  <c r="P33" i="1" s="1"/>
  <c r="D33" i="1"/>
  <c r="Q29" i="1"/>
  <c r="M29" i="1"/>
  <c r="L29" i="1"/>
  <c r="K29" i="1"/>
  <c r="E29" i="1" s="1"/>
  <c r="J29" i="1"/>
  <c r="P29" i="1" s="1"/>
  <c r="D29" i="1"/>
  <c r="Q25" i="1"/>
  <c r="M25" i="1"/>
  <c r="L25" i="1"/>
  <c r="K25" i="1"/>
  <c r="E25" i="1" s="1"/>
  <c r="J25" i="1"/>
  <c r="P25" i="1" s="1"/>
  <c r="R24" i="1"/>
  <c r="Q24" i="1"/>
  <c r="M24" i="1"/>
  <c r="L24" i="1"/>
  <c r="K24" i="1"/>
  <c r="J24" i="1"/>
  <c r="P24" i="1" s="1"/>
  <c r="E24" i="1"/>
  <c r="Q17" i="1"/>
  <c r="P17" i="1"/>
  <c r="M17" i="1"/>
  <c r="L17" i="1"/>
  <c r="K17" i="1"/>
  <c r="J17" i="1"/>
  <c r="E17" i="1"/>
  <c r="D17" i="1"/>
  <c r="Q15" i="1"/>
  <c r="M15" i="1"/>
  <c r="L15" i="1"/>
  <c r="K15" i="1"/>
  <c r="J15" i="1"/>
  <c r="D15" i="1" s="1"/>
  <c r="E15" i="1"/>
  <c r="Q10" i="1"/>
  <c r="M10" i="1"/>
  <c r="L10" i="1"/>
  <c r="K10" i="1"/>
  <c r="J10" i="1"/>
  <c r="P10" i="1" s="1"/>
  <c r="E10" i="1"/>
  <c r="Q9" i="1"/>
  <c r="M9" i="1"/>
  <c r="L9" i="1"/>
  <c r="K9" i="1"/>
  <c r="J9" i="1"/>
  <c r="D9" i="1" s="1"/>
  <c r="E9" i="1"/>
  <c r="Q11" i="1"/>
  <c r="M11" i="1"/>
  <c r="L11" i="1"/>
  <c r="K11" i="1"/>
  <c r="J11" i="1"/>
  <c r="D11" i="1" s="1"/>
  <c r="E11" i="1"/>
  <c r="J85" i="1" l="1"/>
  <c r="K85" i="1"/>
  <c r="E85" i="1" s="1"/>
  <c r="L85" i="1"/>
  <c r="M85" i="1"/>
  <c r="Q63" i="1"/>
  <c r="D51" i="1"/>
  <c r="D35" i="1"/>
  <c r="D25" i="1"/>
  <c r="D28" i="1"/>
  <c r="P9" i="1"/>
  <c r="P44" i="1"/>
  <c r="D34" i="1"/>
  <c r="D10" i="1"/>
  <c r="D24" i="1"/>
  <c r="K71" i="1"/>
  <c r="E71" i="1" s="1"/>
  <c r="Q72" i="1"/>
  <c r="P15" i="1"/>
  <c r="P51" i="1"/>
  <c r="P56" i="1"/>
  <c r="P43" i="1"/>
  <c r="P11" i="1"/>
  <c r="P71" i="1"/>
  <c r="D75" i="1"/>
  <c r="D63" i="1"/>
  <c r="D58" i="1"/>
  <c r="P85" i="1" l="1"/>
  <c r="D85" i="1"/>
</calcChain>
</file>

<file path=xl/sharedStrings.xml><?xml version="1.0" encoding="utf-8"?>
<sst xmlns="http://schemas.openxmlformats.org/spreadsheetml/2006/main" count="270" uniqueCount="185">
  <si>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</si>
  <si>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</si>
  <si>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</si>
  <si>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</si>
  <si>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</si>
  <si>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</si>
  <si>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</si>
  <si>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</si>
  <si>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</si>
  <si>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</si>
  <si>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</si>
  <si>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</si>
  <si>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</si>
  <si>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</si>
  <si>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</si>
  <si>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</si>
  <si>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</si>
  <si>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</si>
  <si>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</si>
  <si>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</si>
  <si>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</si>
  <si>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</si>
  <si>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</si>
  <si>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</si>
  <si>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</si>
  <si>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</si>
  <si>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</si>
  <si>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</si>
  <si>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</si>
  <si>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</si>
  <si>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</si>
  <si>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</si>
  <si>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>ART</t>
  </si>
  <si>
    <t>ZW000301DR35</t>
  </si>
  <si>
    <t>Materials</t>
  </si>
  <si>
    <t xml:space="preserve">Afdis </t>
  </si>
  <si>
    <t>ZW0009011025</t>
  </si>
  <si>
    <t>Consumer Staples</t>
  </si>
  <si>
    <t xml:space="preserve">Ariston </t>
  </si>
  <si>
    <t>ZW0009011041</t>
  </si>
  <si>
    <t>CFI</t>
  </si>
  <si>
    <t>ZW0009011116</t>
  </si>
  <si>
    <t>Delta</t>
  </si>
  <si>
    <t>ZW0009011199</t>
  </si>
  <si>
    <t xml:space="preserve">Hippo </t>
  </si>
  <si>
    <t>ZW0009011272</t>
  </si>
  <si>
    <t xml:space="preserve"> </t>
  </si>
  <si>
    <t>Mash Holdings</t>
  </si>
  <si>
    <t>ZW0009011348</t>
  </si>
  <si>
    <t>Real Estate</t>
  </si>
  <si>
    <t xml:space="preserve">Nmbz </t>
  </si>
  <si>
    <t>ZW0009011389</t>
  </si>
  <si>
    <t>Financials</t>
  </si>
  <si>
    <t>RTG</t>
  </si>
  <si>
    <t>ZW0009011470</t>
  </si>
  <si>
    <t>Consumer Discretionary</t>
  </si>
  <si>
    <t>Econet</t>
  </si>
  <si>
    <t>ZW0009012122</t>
  </si>
  <si>
    <t>IT, Communication</t>
  </si>
  <si>
    <t>Not Found</t>
  </si>
  <si>
    <t>Seedco Ltd</t>
  </si>
  <si>
    <t>ZW0009011504</t>
  </si>
  <si>
    <t>Zimpapers</t>
  </si>
  <si>
    <t>ZW0009011595</t>
  </si>
  <si>
    <t>Zimre</t>
  </si>
  <si>
    <t>ZW0009011611</t>
  </si>
  <si>
    <t>FMP</t>
  </si>
  <si>
    <t>ZW0009012312</t>
  </si>
  <si>
    <t>Delisted</t>
  </si>
  <si>
    <t>BAT</t>
  </si>
  <si>
    <t>ZW0009011710</t>
  </si>
  <si>
    <t xml:space="preserve">Turnall </t>
  </si>
  <si>
    <t>ZW0009011835</t>
  </si>
  <si>
    <t>Willdale</t>
  </si>
  <si>
    <t>ZW0009011850</t>
  </si>
  <si>
    <t xml:space="preserve">Fidelity </t>
  </si>
  <si>
    <t>ZW0009011876</t>
  </si>
  <si>
    <t>Fbc</t>
  </si>
  <si>
    <t>ZW0009011926</t>
  </si>
  <si>
    <t>Cafca Limited</t>
  </si>
  <si>
    <t>ZW0009011942</t>
  </si>
  <si>
    <t>Industrials</t>
  </si>
  <si>
    <t>Riozim</t>
  </si>
  <si>
    <t>ZW0009011959</t>
  </si>
  <si>
    <t>Ok Zim</t>
  </si>
  <si>
    <t>ZW0009011785</t>
  </si>
  <si>
    <t>Suspended</t>
  </si>
  <si>
    <t>CBZ</t>
  </si>
  <si>
    <t>ZW0009011967</t>
  </si>
  <si>
    <t>Dairibord</t>
  </si>
  <si>
    <t>ZW0009011975</t>
  </si>
  <si>
    <t>Starafrica</t>
  </si>
  <si>
    <t>ZW0009011991</t>
  </si>
  <si>
    <t xml:space="preserve">Zb </t>
  </si>
  <si>
    <t>ZW0009012007</t>
  </si>
  <si>
    <t xml:space="preserve">General Beltings </t>
  </si>
  <si>
    <t>ZW0009012049</t>
  </si>
  <si>
    <t xml:space="preserve">Zeco </t>
  </si>
  <si>
    <t>ZW0009012064</t>
  </si>
  <si>
    <t>Meikles</t>
  </si>
  <si>
    <t>ZW0009012114</t>
  </si>
  <si>
    <t xml:space="preserve">Masimba </t>
  </si>
  <si>
    <t>ZW0009012171</t>
  </si>
  <si>
    <t>FML</t>
  </si>
  <si>
    <t>ZW0009012197</t>
  </si>
  <si>
    <t xml:space="preserve">Nampak </t>
  </si>
  <si>
    <t>ZW0009012213</t>
  </si>
  <si>
    <t xml:space="preserve">Unifreight </t>
  </si>
  <si>
    <t>ZW0009012221</t>
  </si>
  <si>
    <t xml:space="preserve">Proplastics </t>
  </si>
  <si>
    <t>ZW0009012247</t>
  </si>
  <si>
    <t>Tanganda</t>
  </si>
  <si>
    <t>ZW0009012411</t>
  </si>
  <si>
    <t>ZSE Holdings</t>
  </si>
  <si>
    <t>ZW0009012494</t>
  </si>
  <si>
    <t>Tn Cybertech Investments Holdings Limited</t>
  </si>
  <si>
    <t>ZW0009012502</t>
  </si>
  <si>
    <t/>
  </si>
  <si>
    <t>VFEX PRICE SHEET (USD$)</t>
  </si>
  <si>
    <t>Seedco Int</t>
  </si>
  <si>
    <t>BW0000002005</t>
  </si>
  <si>
    <t>Kavango Resources Plc</t>
  </si>
  <si>
    <t>GB00BF0VMV24</t>
  </si>
  <si>
    <t>Old Mutual Limited</t>
  </si>
  <si>
    <t>ZAE000255360</t>
  </si>
  <si>
    <t>Padenga</t>
  </si>
  <si>
    <t>ZWVX09010013</t>
  </si>
  <si>
    <t>Simbisa</t>
  </si>
  <si>
    <t>ZWVX09010039</t>
  </si>
  <si>
    <t>Innscor Africa Limited</t>
  </si>
  <si>
    <t>ZWVX09010054</t>
  </si>
  <si>
    <t xml:space="preserve">Axia </t>
  </si>
  <si>
    <t>ZWVX09010062</t>
  </si>
  <si>
    <t>West Prop Holdings Limited</t>
  </si>
  <si>
    <t>ZWVX09010088</t>
  </si>
  <si>
    <t>First Capital Bank Limited</t>
  </si>
  <si>
    <t>ZWVX09010096</t>
  </si>
  <si>
    <t>Zimplow Holdings Limited</t>
  </si>
  <si>
    <t>ZWVX09010104</t>
  </si>
  <si>
    <t>Edgars</t>
  </si>
  <si>
    <t>ZWVX09010112</t>
  </si>
  <si>
    <t>Econet InfraCo</t>
  </si>
  <si>
    <t>ZWVX09010120</t>
  </si>
  <si>
    <t>TSL</t>
  </si>
  <si>
    <t>ZWVX09010138</t>
  </si>
  <si>
    <t>Caledonia</t>
  </si>
  <si>
    <t>ZWVX301DR012</t>
  </si>
  <si>
    <t>Nedbank ZDR</t>
  </si>
  <si>
    <t>ZWVX301DR029</t>
  </si>
  <si>
    <t>Derivative</t>
  </si>
  <si>
    <t>Invictus Energy ZDR</t>
  </si>
  <si>
    <t>ZWVX301DR037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</si>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</sst>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1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F9FAFB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47">
    <xf numFmtId="0" fontId="0" fillId="0" borderId="0" xfId="0"/>
    <xf numFmtId="0" fontId="3" fillId="2" borderId="1" xfId="3" applyFont="1" applyFill="1" applyBorder="1" applyAlignment="1"/>
    <xf numFmtId="0" fontId="4" fillId="2" borderId="2" xfId="3" applyFont="1" applyFill="1" applyBorder="1" applyAlignment="1"/>
    <xf numFmtId="0" fontId="4" fillId="2" borderId="3" xfId="3" applyFont="1" applyFill="1" applyBorder="1" applyAlignment="1"/>
    <xf numFmtId="0" fontId="4" fillId="2" borderId="4" xfId="3" applyFont="1" applyFill="1" applyBorder="1" applyAlignment="1"/>
    <xf numFmtId="0" fontId="4" fillId="3" borderId="0" xfId="3" applyFont="1" applyFill="1" applyAlignment="1"/>
    <xf numFmtId="0" fontId="5" fillId="3" borderId="1" xfId="3" applyFont="1" applyFill="1" applyBorder="1" applyAlignment="1"/>
    <xf numFmtId="0" fontId="6" fillId="3" borderId="2" xfId="3" applyFont="1" applyFill="1" applyBorder="1" applyAlignment="1"/>
    <xf numFmtId="0" fontId="5" fillId="3" borderId="2" xfId="3" applyFont="1" applyFill="1" applyBorder="1" applyAlignment="1"/>
    <xf numFmtId="0" fontId="5" fillId="3" borderId="0" xfId="3" applyFont="1" applyFill="1" applyAlignment="1"/>
    <xf numFmtId="0" fontId="7" fillId="3" borderId="4" xfId="3" applyFont="1" applyFill="1" applyBorder="1" applyAlignment="1"/>
    <xf numFmtId="0" fontId="8" fillId="3" borderId="4" xfId="3" applyFont="1" applyFill="1" applyBorder="1" applyAlignment="1"/>
    <xf numFmtId="0" fontId="5" fillId="3" borderId="5" xfId="3" applyFont="1" applyFill="1" applyBorder="1" applyAlignment="1"/>
    <xf numFmtId="0" fontId="9" fillId="3" borderId="0" xfId="3" applyFont="1" applyFill="1" applyAlignment="1"/>
    <xf numFmtId="0" fontId="5" fillId="3" borderId="5" xfId="3" quotePrefix="1" applyFont="1" applyFill="1" applyBorder="1" applyAlignment="1"/>
    <xf numFmtId="0" fontId="5" fillId="3" borderId="6" xfId="3" applyFont="1" applyFill="1" applyBorder="1" applyAlignment="1"/>
    <xf numFmtId="0" fontId="4" fillId="3" borderId="6" xfId="3" applyFont="1" applyFill="1" applyBorder="1" applyAlignment="1"/>
    <xf numFmtId="4" fontId="10" fillId="3" borderId="0" xfId="3" applyNumberFormat="1" applyFont="1" applyFill="1" applyAlignment="1"/>
    <xf numFmtId="0" fontId="5" fillId="3" borderId="7" xfId="3" applyFont="1" applyFill="1" applyBorder="1" applyAlignment="1"/>
    <xf numFmtId="0" fontId="9" fillId="3" borderId="8" xfId="3" applyFont="1" applyFill="1" applyBorder="1" applyAlignment="1"/>
    <xf numFmtId="0" fontId="5" fillId="3" borderId="8" xfId="3" applyFont="1" applyFill="1" applyBorder="1" applyAlignment="1"/>
    <xf numFmtId="0" fontId="5" fillId="3" borderId="9" xfId="3" applyFont="1" applyFill="1" applyBorder="1" applyAlignment="1"/>
    <xf numFmtId="4" fontId="10" fillId="3" borderId="8" xfId="3" applyNumberFormat="1" applyFont="1" applyFill="1" applyBorder="1" applyAlignment="1"/>
    <xf numFmtId="0" fontId="11" fillId="3" borderId="9" xfId="3" applyFont="1" applyFill="1" applyBorder="1" applyAlignment="1"/>
    <xf numFmtId="0" fontId="11" fillId="3" borderId="8" xfId="3" applyFont="1" applyFill="1" applyBorder="1" applyAlignment="1"/>
    <xf numFmtId="0" fontId="11" fillId="3" borderId="10" xfId="3" applyFont="1" applyFill="1" applyBorder="1" applyAlignment="1"/>
    <xf numFmtId="0" fontId="11" fillId="4" borderId="5" xfId="3" quotePrefix="1" applyFont="1" applyFill="1" applyBorder="1" applyAlignment="1">
      <alignment horizontal="left"/>
    </xf>
    <xf numFmtId="0" fontId="11" fillId="4" borderId="0" xfId="3" applyFont="1" applyFill="1" applyAlignment="1">
      <alignment horizontal="center"/>
    </xf>
    <xf numFmtId="0" fontId="11" fillId="4" borderId="0" xfId="3" quotePrefix="1" applyFont="1" applyFill="1" applyAlignment="1">
      <alignment horizontal="left"/>
    </xf>
    <xf numFmtId="0" fontId="11" fillId="4" borderId="0" xfId="3" applyFont="1" applyFill="1" applyAlignment="1">
      <alignment horizontal="right" wrapText="1"/>
    </xf>
    <xf numFmtId="0" fontId="11" fillId="4" borderId="0" xfId="3" applyFont="1" applyFill="1" applyAlignment="1">
      <alignment horizontal="right"/>
    </xf>
    <xf numFmtId="0" fontId="11" fillId="4" borderId="6" xfId="3" applyFont="1" applyFill="1" applyBorder="1" applyAlignment="1">
      <alignment horizontal="right"/>
    </xf>
    <xf numFmtId="0" fontId="3" fillId="3" borderId="0" xfId="3" applyFont="1" applyFill="1" applyAlignment="1"/>
    <xf numFmtId="0" fontId="11" fillId="4" borderId="5" xfId="3" applyFont="1" applyFill="1" applyBorder="1" applyAlignment="1">
      <alignment horizontal="left"/>
    </xf>
    <xf numFmtId="0" fontId="11" fillId="4" borderId="0" xfId="3" applyFont="1" applyFill="1" applyAlignment="1">
      <alignment horizontal="left"/>
    </xf>
    <xf numFmtId="164" fontId="15" fillId="5" borderId="5" xfId="4" applyFont="1" applyFill="1" applyBorder="1" applyAlignment="1">
      <alignment horizontal="left"/>
    </xf>
    <xf numFmtId="49" fontId="15" fillId="5" borderId="0" xfId="5" applyNumberFormat="1" applyFont="1" applyFill="1" applyBorder="1" applyAlignment="1"/>
    <xf numFmtId="166" fontId="15" fillId="5" borderId="0" xfId="5" applyNumberFormat="1" applyFont="1" applyFill="1" applyBorder="1" applyAlignment="1"/>
    <xf numFmtId="164" fontId="15" fillId="6" borderId="0" xfId="5" applyFont="1" applyFill="1" applyBorder="1" applyAlignment="1"/>
    <xf numFmtId="164" fontId="15" fillId="7" borderId="0" xfId="5" applyFont="1" applyFill="1" applyBorder="1" applyAlignment="1"/>
    <xf numFmtId="164" fontId="15" fillId="5" borderId="0" xfId="5" applyFont="1" applyFill="1" applyBorder="1" applyAlignment="1"/>
    <xf numFmtId="167" fontId="15" fillId="5" borderId="0" xfId="5" applyNumberFormat="1" applyFont="1" applyFill="1" applyBorder="1" applyAlignment="1"/>
    <xf numFmtId="168" fontId="15" fillId="5" borderId="0" xfId="4" applyNumberFormat="1" applyFont="1" applyFill="1" applyBorder="1"/>
    <xf numFmtId="168" fontId="15" fillId="8" borderId="0" xfId="4" applyNumberFormat="1" applyFont="1" applyFill="1" applyBorder="1"/>
    <xf numFmtId="168" fontId="15" fillId="6" borderId="0" xfId="4" applyNumberFormat="1" applyFont="1" applyFill="1" applyBorder="1"/>
    <xf numFmtId="168" fontId="15" fillId="7" borderId="0" xfId="4" applyNumberFormat="1" applyFont="1" applyFill="1" applyBorder="1"/>
    <xf numFmtId="167" fontId="15" fillId="5" borderId="0" xfId="4" applyNumberFormat="1" applyFont="1" applyFill="1" applyBorder="1"/>
    <xf numFmtId="166" fontId="15" fillId="5" borderId="0" xfId="6" applyNumberFormat="1" applyFont="1" applyFill="1" applyBorder="1"/>
    <xf numFmtId="164" fontId="15" fillId="5" borderId="0" xfId="6" applyFont="1" applyFill="1" applyBorder="1"/>
    <xf numFmtId="10" fontId="15" fillId="5" borderId="6" xfId="7" applyNumberFormat="1" applyFont="1" applyFill="1" applyBorder="1" applyAlignment="1"/>
    <xf numFmtId="169" fontId="4" fillId="3" borderId="0" xfId="3" applyNumberFormat="1" applyFont="1" applyFill="1" applyAlignment="1"/>
    <xf numFmtId="9" fontId="15" fillId="5" borderId="0" xfId="2" applyFont="1" applyFill="1" applyBorder="1"/>
    <xf numFmtId="164" fontId="4" fillId="3" borderId="0" xfId="3" applyNumberFormat="1" applyFont="1" applyFill="1" applyAlignment="1"/>
    <xf numFmtId="166" fontId="15" fillId="5" borderId="0" xfId="6" applyNumberFormat="1" applyFont="1" applyFill="1" applyBorder="1" applyAlignment="1">
      <alignment horizontal="right"/>
    </xf>
    <xf numFmtId="164" fontId="15" fillId="8" borderId="0" xfId="6" applyFont="1" applyFill="1" applyBorder="1"/>
    <xf numFmtId="164" fontId="15" fillId="6" borderId="0" xfId="6" applyFont="1" applyFill="1" applyBorder="1"/>
    <xf numFmtId="164" fontId="15" fillId="7" borderId="0" xfId="6" applyFont="1" applyFill="1" applyBorder="1"/>
    <xf numFmtId="164" fontId="16" fillId="5" borderId="5" xfId="4" applyFont="1" applyFill="1" applyBorder="1"/>
    <xf numFmtId="49" fontId="15" fillId="5" borderId="0" xfId="4" applyNumberFormat="1" applyFont="1" applyFill="1" applyBorder="1"/>
    <xf numFmtId="164" fontId="15" fillId="5" borderId="0" xfId="4" applyFont="1" applyFill="1" applyBorder="1"/>
    <xf numFmtId="164" fontId="17" fillId="5" borderId="0" xfId="4" applyFont="1" applyFill="1" applyBorder="1"/>
    <xf numFmtId="166" fontId="18" fillId="5" borderId="0" xfId="4" applyNumberFormat="1" applyFont="1" applyFill="1" applyBorder="1"/>
    <xf numFmtId="164" fontId="18" fillId="5" borderId="0" xfId="4" applyFont="1" applyFill="1" applyBorder="1"/>
    <xf numFmtId="167" fontId="15" fillId="5" borderId="6" xfId="4" applyNumberFormat="1" applyFont="1" applyFill="1" applyBorder="1"/>
    <xf numFmtId="164" fontId="15" fillId="5" borderId="1" xfId="4" applyFont="1" applyFill="1" applyBorder="1"/>
    <xf numFmtId="49" fontId="15" fillId="5" borderId="2" xfId="4" applyNumberFormat="1" applyFont="1" applyFill="1" applyBorder="1"/>
    <xf numFmtId="164" fontId="15" fillId="5" borderId="2" xfId="4" applyFont="1" applyFill="1" applyBorder="1"/>
    <xf numFmtId="166" fontId="18" fillId="5" borderId="2" xfId="4" applyNumberFormat="1" applyFont="1" applyFill="1" applyBorder="1"/>
    <xf numFmtId="167" fontId="15" fillId="5" borderId="2" xfId="4" applyNumberFormat="1" applyFont="1" applyFill="1" applyBorder="1"/>
    <xf numFmtId="167" fontId="18" fillId="5" borderId="4" xfId="4" applyNumberFormat="1" applyFont="1" applyFill="1" applyBorder="1" applyAlignment="1">
      <alignment horizontal="left"/>
    </xf>
    <xf numFmtId="170" fontId="15" fillId="5" borderId="0" xfId="5" applyNumberFormat="1" applyFont="1" applyFill="1" applyBorder="1" applyAlignment="1"/>
    <xf numFmtId="164" fontId="15" fillId="5" borderId="0" xfId="5" applyFont="1" applyFill="1" applyBorder="1" applyAlignment="1">
      <alignment horizontal="right"/>
    </xf>
    <xf numFmtId="167" fontId="15" fillId="9" borderId="0" xfId="4" applyNumberFormat="1" applyFont="1" applyFill="1" applyBorder="1"/>
    <xf numFmtId="164" fontId="15" fillId="5" borderId="0" xfId="1" applyFont="1" applyFill="1" applyBorder="1"/>
    <xf numFmtId="9" fontId="15" fillId="5" borderId="0" xfId="2" applyFont="1" applyFill="1" applyBorder="1" applyAlignment="1">
      <alignment horizontal="right"/>
    </xf>
    <xf numFmtId="0" fontId="4" fillId="3" borderId="5" xfId="3" applyFont="1" applyFill="1" applyBorder="1" applyAlignment="1"/>
    <xf numFmtId="166" fontId="17" fillId="5" borderId="0" xfId="5" applyNumberFormat="1" applyFont="1" applyFill="1" applyBorder="1" applyAlignment="1"/>
    <xf numFmtId="167" fontId="15" fillId="5" borderId="0" xfId="4" applyNumberFormat="1" applyFont="1" applyFill="1" applyBorder="1" applyAlignment="1">
      <alignment horizontal="center"/>
    </xf>
    <xf numFmtId="164" fontId="19" fillId="5" borderId="0" xfId="4" applyFont="1" applyFill="1" applyBorder="1"/>
    <xf numFmtId="164" fontId="15" fillId="5" borderId="9" xfId="4" applyFont="1" applyFill="1" applyBorder="1" applyAlignment="1">
      <alignment horizontal="left"/>
    </xf>
    <xf numFmtId="49" fontId="15" fillId="5" borderId="8" xfId="5" applyNumberFormat="1" applyFont="1" applyFill="1" applyBorder="1" applyAlignment="1"/>
    <xf numFmtId="164" fontId="15" fillId="5" borderId="8" xfId="5" applyFont="1" applyFill="1" applyBorder="1" applyAlignment="1"/>
    <xf numFmtId="166" fontId="15" fillId="5" borderId="8" xfId="5" applyNumberFormat="1" applyFont="1" applyFill="1" applyBorder="1" applyAlignment="1"/>
    <xf numFmtId="168" fontId="15" fillId="5" borderId="8" xfId="4" applyNumberFormat="1" applyFont="1" applyFill="1" applyBorder="1"/>
    <xf numFmtId="167" fontId="15" fillId="5" borderId="8" xfId="4" applyNumberFormat="1" applyFont="1" applyFill="1" applyBorder="1"/>
    <xf numFmtId="167" fontId="15" fillId="5" borderId="8" xfId="4" applyNumberFormat="1" applyFont="1" applyFill="1" applyBorder="1" applyAlignment="1">
      <alignment horizontal="center"/>
    </xf>
    <xf numFmtId="166" fontId="15" fillId="5" borderId="8" xfId="4" applyNumberFormat="1" applyFont="1" applyFill="1" applyBorder="1"/>
    <xf numFmtId="167" fontId="15" fillId="5" borderId="10" xfId="4" applyNumberFormat="1" applyFont="1" applyFill="1" applyBorder="1"/>
    <xf numFmtId="166" fontId="15" fillId="5" borderId="0" xfId="4" applyNumberFormat="1" applyFont="1" applyFill="1" applyBorder="1"/>
    <xf numFmtId="49" fontId="6" fillId="5" borderId="0" xfId="5" applyNumberFormat="1" applyFont="1" applyFill="1" applyBorder="1" applyAlignment="1"/>
    <xf numFmtId="164" fontId="6" fillId="5" borderId="0" xfId="5" applyFont="1" applyFill="1" applyBorder="1" applyAlignment="1"/>
    <xf numFmtId="168" fontId="6" fillId="5" borderId="0" xfId="4" applyNumberFormat="1" applyFont="1" applyFill="1" applyBorder="1"/>
    <xf numFmtId="168" fontId="6" fillId="6" borderId="0" xfId="4" applyNumberFormat="1" applyFont="1" applyFill="1" applyBorder="1"/>
    <xf numFmtId="164" fontId="6" fillId="5" borderId="0" xfId="6" applyFont="1" applyFill="1" applyBorder="1"/>
    <xf numFmtId="166" fontId="6" fillId="5" borderId="0" xfId="4" applyNumberFormat="1" applyFont="1" applyFill="1" applyBorder="1"/>
    <xf numFmtId="9" fontId="20" fillId="5" borderId="0" xfId="2" applyFont="1" applyFill="1" applyBorder="1"/>
    <xf numFmtId="171" fontId="15" fillId="5" borderId="0" xfId="4" applyNumberFormat="1" applyFont="1" applyFill="1" applyBorder="1"/>
    <xf numFmtId="0" fontId="0" fillId="10" borderId="11" xfId="0" applyFill="1" applyBorder="1" applyAlignment="1">
      <alignment horizontal="right" vertical="center"/>
    </xf>
    <xf numFmtId="166" fontId="15" fillId="5" borderId="12" xfId="5" applyNumberFormat="1" applyFont="1" applyFill="1" applyBorder="1" applyAlignment="1"/>
    <xf numFmtId="164" fontId="15" fillId="5" borderId="12" xfId="5" applyFont="1" applyFill="1" applyBorder="1" applyAlignment="1"/>
    <xf numFmtId="168" fontId="15" fillId="5" borderId="12" xfId="4" applyNumberFormat="1" applyFont="1" applyFill="1" applyBorder="1"/>
    <xf numFmtId="167" fontId="15" fillId="5" borderId="12" xfId="4" applyNumberFormat="1" applyFont="1" applyFill="1" applyBorder="1"/>
    <xf numFmtId="166" fontId="15" fillId="5" borderId="12" xfId="4" applyNumberFormat="1" applyFont="1" applyFill="1" applyBorder="1"/>
    <xf numFmtId="164" fontId="15" fillId="5" borderId="12" xfId="4" applyFont="1" applyFill="1" applyBorder="1"/>
    <xf numFmtId="167" fontId="15" fillId="5" borderId="13" xfId="4" applyNumberFormat="1" applyFont="1" applyFill="1" applyBorder="1"/>
    <xf numFmtId="164" fontId="15" fillId="5" borderId="14" xfId="4" applyFont="1" applyFill="1" applyBorder="1" applyAlignment="1">
      <alignment horizontal="left"/>
    </xf>
    <xf numFmtId="0" fontId="15" fillId="5" borderId="0" xfId="5" applyNumberFormat="1" applyFont="1" applyFill="1" applyBorder="1" applyAlignment="1"/>
    <xf numFmtId="166" fontId="15" fillId="5" borderId="0" xfId="1" applyNumberFormat="1" applyFont="1" applyFill="1" applyBorder="1" applyAlignment="1"/>
    <xf numFmtId="0" fontId="4" fillId="3" borderId="8" xfId="3" applyFont="1" applyFill="1" applyBorder="1" applyAlignment="1"/>
    <xf numFmtId="166" fontId="15" fillId="5" borderId="8" xfId="5" applyNumberFormat="1" applyFont="1" applyFill="1" applyBorder="1" applyAlignment="1">
      <alignment horizontal="right"/>
    </xf>
    <xf numFmtId="164" fontId="15" fillId="5" borderId="5" xfId="4" applyFont="1" applyFill="1" applyBorder="1"/>
    <xf numFmtId="0" fontId="21" fillId="3" borderId="0" xfId="3" applyFont="1" applyFill="1" applyAlignment="1"/>
    <xf numFmtId="166" fontId="15" fillId="5" borderId="0" xfId="5" applyNumberFormat="1" applyFont="1" applyFill="1" applyBorder="1" applyAlignment="1">
      <alignment horizontal="right"/>
    </xf>
    <xf numFmtId="164" fontId="15" fillId="5" borderId="0" xfId="4" applyFont="1" applyFill="1" applyBorder="1" applyAlignment="1">
      <alignment horizontal="left"/>
    </xf>
    <xf numFmtId="164" fontId="15" fillId="5" borderId="6" xfId="4" applyFont="1" applyFill="1" applyBorder="1"/>
    <xf numFmtId="164" fontId="24" fillId="5" borderId="0" xfId="4" applyFont="1" applyFill="1" applyBorder="1" applyAlignment="1">
      <alignment horizontal="left"/>
    </xf>
    <xf numFmtId="164" fontId="25" fillId="5" borderId="0" xfId="4" applyFont="1" applyFill="1" applyBorder="1" applyAlignment="1">
      <alignment horizontal="left"/>
    </xf>
    <xf numFmtId="171" fontId="25" fillId="5" borderId="6" xfId="6" applyNumberFormat="1" applyFont="1" applyFill="1" applyBorder="1" applyAlignment="1">
      <alignment horizontal="left"/>
    </xf>
    <xf numFmtId="164" fontId="24" fillId="5" borderId="6" xfId="4" applyFont="1" applyFill="1" applyBorder="1" applyAlignment="1">
      <alignment horizontal="left"/>
    </xf>
    <xf numFmtId="0" fontId="26" fillId="2" borderId="9" xfId="8" applyFont="1" applyFill="1" applyBorder="1" applyAlignment="1">
      <alignment horizontal="center"/>
    </xf>
    <xf numFmtId="0" fontId="26" fillId="2" borderId="8" xfId="8" applyFont="1" applyFill="1" applyBorder="1" applyAlignment="1">
      <alignment horizontal="center"/>
    </xf>
    <xf numFmtId="0" fontId="26" fillId="2" borderId="10" xfId="8" applyFont="1" applyFill="1" applyBorder="1" applyAlignment="1">
      <alignment horizontal="center"/>
    </xf>
    <xf numFmtId="0" fontId="27" fillId="3" borderId="5" xfId="3" applyFont="1" applyFill="1" applyBorder="1" applyAlignment="1"/>
    <xf numFmtId="0" fontId="27" fillId="3" borderId="0" xfId="3" applyFont="1" applyFill="1" applyAlignment="1"/>
    <xf numFmtId="164" fontId="9" fillId="3" borderId="0" xfId="3" applyNumberFormat="1" applyFont="1" applyFill="1" applyAlignment="1"/>
    <xf numFmtId="0" fontId="3" fillId="2" borderId="9" xfId="3" applyFont="1" applyFill="1" applyBorder="1" applyAlignment="1"/>
    <xf numFmtId="0" fontId="3" fillId="2" borderId="8" xfId="3" applyFont="1" applyFill="1" applyBorder="1" applyAlignment="1"/>
    <xf numFmtId="164" fontId="3" fillId="2" borderId="8" xfId="4" applyFont="1" applyFill="1" applyBorder="1" applyAlignment="1">
      <alignment horizontal="center"/>
    </xf>
    <xf numFmtId="0" fontId="4" fillId="2" borderId="8" xfId="3" applyFont="1" applyFill="1" applyBorder="1" applyAlignment="1"/>
    <xf numFmtId="0" fontId="3" fillId="2" borderId="10" xfId="3" applyFont="1" applyFill="1" applyBorder="1" applyAlignment="1"/>
    <xf numFmtId="0" fontId="29" fillId="3" borderId="0" xfId="9" applyFont="1" applyFill="1" applyAlignment="1" applyProtection="1"/>
    <xf numFmtId="165" fontId="12" fillId="2" borderId="1" xfId="3" applyNumberFormat="1" applyFont="1" applyFill="1" applyBorder="1" applyAlignment="1">
      <alignment horizontal="center"/>
    </xf>
    <xf numFmtId="49" fontId="12" fillId="2" borderId="2" xfId="3" applyNumberFormat="1" applyFont="1" applyFill="1" applyBorder="1" applyAlignment="1">
      <alignment horizontal="center"/>
    </xf>
    <xf numFmtId="165" fontId="12" fillId="2" borderId="2" xfId="3" applyNumberFormat="1" applyFont="1" applyFill="1" applyBorder="1" applyAlignment="1">
      <alignment horizontal="center"/>
    </xf>
    <xf numFmtId="165" fontId="12" fillId="2" borderId="4" xfId="3" applyNumberFormat="1" applyFont="1" applyFill="1" applyBorder="1" applyAlignment="1">
      <alignment horizontal="center"/>
    </xf>
    <xf numFmtId="0" fontId="5" fillId="3" borderId="9" xfId="3" quotePrefix="1" applyFont="1" applyFill="1" applyBorder="1" applyAlignment="1">
      <alignment horizontal="left"/>
    </xf>
    <xf numFmtId="0" fontId="5" fillId="3" borderId="10" xfId="3" applyFont="1" applyFill="1" applyBorder="1" applyAlignment="1">
      <alignment horizontal="left"/>
    </xf>
    <xf numFmtId="165" fontId="12" fillId="2" borderId="5" xfId="3" applyNumberFormat="1" applyFont="1" applyFill="1" applyBorder="1" applyAlignment="1">
      <alignment horizontal="center"/>
    </xf>
    <xf numFmtId="49" fontId="12" fillId="2" borderId="0" xfId="3" applyNumberFormat="1" applyFont="1" applyFill="1" applyAlignment="1">
      <alignment horizontal="center"/>
    </xf>
    <xf numFmtId="165" fontId="12" fillId="2" borderId="0" xfId="3" applyNumberFormat="1" applyFont="1" applyFill="1" applyAlignment="1">
      <alignment horizontal="center"/>
    </xf>
    <xf numFmtId="165" fontId="12" fillId="2" borderId="6" xfId="3" applyNumberFormat="1" applyFont="1" applyFill="1" applyBorder="1" applyAlignment="1">
      <alignment horizontal="center"/>
    </xf>
    <xf numFmtId="0" fontId="22" fillId="2" borderId="15" xfId="8" applyFont="1" applyFill="1" applyBorder="1" applyAlignment="1">
      <alignment horizontal="center"/>
    </xf>
    <xf numFmtId="0" fontId="22" fillId="2" borderId="3" xfId="8" applyFont="1" applyFill="1" applyBorder="1" applyAlignment="1">
      <alignment horizontal="center"/>
    </xf>
    <xf numFmtId="0" fontId="22" fillId="2" borderId="16" xfId="8" applyFont="1" applyFill="1" applyBorder="1" applyAlignment="1">
      <alignment horizontal="center"/>
    </xf>
    <xf numFmtId="0" fontId="23" fillId="2" borderId="15" xfId="8" applyFont="1" applyFill="1" applyBorder="1" applyAlignment="1">
      <alignment horizontal="center"/>
    </xf>
    <xf numFmtId="0" fontId="23" fillId="2" borderId="3" xfId="8" applyFont="1" applyFill="1" applyBorder="1" applyAlignment="1">
      <alignment horizontal="center"/>
    </xf>
    <xf numFmtId="0" fontId="23" fillId="2" borderId="16" xfId="8" applyFont="1" applyFill="1" applyBorder="1" applyAlignment="1">
      <alignment horizontal="center"/>
    </xf>
  </cellXfs>
  <cellStyles count="10">
    <cellStyle name="Comma" xfId="1" builtinId="3"/>
    <cellStyle name="Comma 2 2 2 2 2 2 2 2 2 2 2 2" xfId="4" xr:uid="{57250A23-C9D3-49E0-948F-5C4E56E024F5}"/>
    <cellStyle name="Comma 5 2 2 2 2 2 2 2 2 2 2" xfId="5" xr:uid="{FDEF27FD-2A68-4BD4-B3F2-33AF7EA64FBE}"/>
    <cellStyle name="Comma 6 2 2 2 2 2" xfId="6" xr:uid="{24C38449-5236-49A3-8507-CA8B8B2B77B9}"/>
    <cellStyle name="Hyperlink 2" xfId="9" xr:uid="{2601741A-EFAC-46C1-9092-3B92A2446ED0}"/>
    <cellStyle name="Normal" xfId="0" builtinId="0"/>
    <cellStyle name="Normal 2" xfId="3" xr:uid="{F6D86EE9-A0C4-4AA3-AB4B-D4E275ABB698}"/>
    <cellStyle name="Normal 20" xfId="8" xr:uid="{CA7C057B-BF69-4E7C-89D5-4019EAB55089}"/>
    <cellStyle name="Percent" xfId="2" builtinId="5"/>
    <cellStyle name="Percent 3" xfId="7" xr:uid="{F1DA89AB-A0F0-407C-BC81-2062CE375428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330E68A7-7F5E-4841-9E77-E9DF0EF4F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19120" y="177165"/>
          <a:ext cx="784860" cy="603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5</xdr:col>
      <xdr:colOff>1143000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1E238CAE-400C-40C1-BCF4-952A928EA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1960"/>
          <a:ext cx="6374131" cy="6221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D71D2-A3BC-4B12-93BB-11A8592C4A35}">
  <dimension ref="A1:II107"/>
  <sheetViews>
    <sheetView tabSelected="1" zoomScale="60" zoomScaleNormal="60" workbookViewId="0">
      <selection activeCell="W88" sqref="W88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23.3320312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0" width="19.5546875" style="5" customWidth="1"/>
    <col min="11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6.109375" style="5" hidden="1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9.1093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31.5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26.589099999999998</v>
      </c>
      <c r="K5" s="22"/>
      <c r="L5" s="135" t="s">
        <v>12</v>
      </c>
      <c r="M5" s="136"/>
      <c r="N5" s="23" t="s">
        <v>13</v>
      </c>
      <c r="O5" s="24"/>
      <c r="P5" s="24"/>
      <c r="Q5" s="25"/>
    </row>
    <row r="6" spans="1:18" ht="6.6" customHeight="1" x14ac:dyDescent="0.3">
      <c r="A6" s="131"/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4"/>
    </row>
    <row r="7" spans="1:18" s="32" customFormat="1" ht="27.75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ht="12.75" customHeight="1" x14ac:dyDescent="0.25">
      <c r="A9" s="35" t="s">
        <v>35</v>
      </c>
      <c r="B9" s="36" t="s">
        <v>36</v>
      </c>
      <c r="C9" s="37">
        <v>126034439</v>
      </c>
      <c r="D9" s="38">
        <f>C9*J9</f>
        <v>71218267.472133324</v>
      </c>
      <c r="E9" s="39">
        <f>C9*K9</f>
        <v>60115226.528358735</v>
      </c>
      <c r="F9" s="40" t="s">
        <v>37</v>
      </c>
      <c r="G9" s="41">
        <v>8.9894999999999996</v>
      </c>
      <c r="H9" s="42">
        <v>15</v>
      </c>
      <c r="I9" s="43">
        <v>15.024700000000001</v>
      </c>
      <c r="J9" s="44">
        <f>(I9/$J$5)</f>
        <v>0.5650698970630823</v>
      </c>
      <c r="K9" s="45">
        <f>I9/$K$4</f>
        <v>0.47697460317460322</v>
      </c>
      <c r="L9" s="46">
        <f>I9-H9</f>
        <v>2.4700000000001054E-2</v>
      </c>
      <c r="M9" s="46">
        <f>((I9-H9)/H9)*100</f>
        <v>0.16466666666667371</v>
      </c>
      <c r="N9" s="47">
        <v>0</v>
      </c>
      <c r="O9" s="37">
        <v>0</v>
      </c>
      <c r="P9" s="51">
        <f>(R9)/J9</f>
        <v>2.6545388593449449E-2</v>
      </c>
      <c r="Q9" s="49">
        <f>I9/G9-1</f>
        <v>0.67136103231547928</v>
      </c>
      <c r="R9" s="50">
        <v>1.4999999999999999E-2</v>
      </c>
    </row>
    <row r="10" spans="1:18" x14ac:dyDescent="0.25">
      <c r="A10" s="35" t="s">
        <v>38</v>
      </c>
      <c r="B10" s="36" t="s">
        <v>39</v>
      </c>
      <c r="C10" s="37">
        <v>1627395595</v>
      </c>
      <c r="D10" s="38">
        <f>C10*J10</f>
        <v>4590402.4440466203</v>
      </c>
      <c r="E10" s="39">
        <f>C10*K10</f>
        <v>3874751.4166666665</v>
      </c>
      <c r="F10" s="40" t="s">
        <v>37</v>
      </c>
      <c r="G10" s="41">
        <v>3.1600000000000003E-2</v>
      </c>
      <c r="H10" s="42">
        <v>7.4999999999999997E-2</v>
      </c>
      <c r="I10" s="43">
        <v>7.4999999999999997E-2</v>
      </c>
      <c r="J10" s="44">
        <f>I10/$J$5</f>
        <v>2.8207047248684611E-3</v>
      </c>
      <c r="K10" s="45">
        <f>I10/$K$4</f>
        <v>2.3809523809523807E-3</v>
      </c>
      <c r="L10" s="46">
        <f>I10-H10</f>
        <v>0</v>
      </c>
      <c r="M10" s="46">
        <f>((I10-H10)/H10)*100</f>
        <v>0</v>
      </c>
      <c r="N10" s="47">
        <v>0</v>
      </c>
      <c r="O10" s="37">
        <v>0</v>
      </c>
      <c r="P10" s="48">
        <f>(R10)/J10</f>
        <v>0</v>
      </c>
      <c r="Q10" s="49">
        <f>I10/G10-1</f>
        <v>1.3734177215189871</v>
      </c>
      <c r="R10" s="50"/>
    </row>
    <row r="11" spans="1:18" x14ac:dyDescent="0.25">
      <c r="A11" s="35" t="s">
        <v>32</v>
      </c>
      <c r="B11" s="36" t="s">
        <v>33</v>
      </c>
      <c r="C11" s="37">
        <v>436977359</v>
      </c>
      <c r="D11" s="38">
        <f>C11*J11</f>
        <v>3615580.0301627363</v>
      </c>
      <c r="E11" s="39">
        <f>C11*K11</f>
        <v>3051905.3644444444</v>
      </c>
      <c r="F11" s="40" t="s">
        <v>34</v>
      </c>
      <c r="G11" s="41">
        <v>7.8E-2</v>
      </c>
      <c r="H11" s="42">
        <v>0.22</v>
      </c>
      <c r="I11" s="43">
        <v>0.22</v>
      </c>
      <c r="J11" s="44">
        <f>I11/$J$5</f>
        <v>8.2740671929474874E-3</v>
      </c>
      <c r="K11" s="45">
        <f>I11/$K$4</f>
        <v>6.9841269841269841E-3</v>
      </c>
      <c r="L11" s="46">
        <f>I11-H11</f>
        <v>0</v>
      </c>
      <c r="M11" s="46">
        <f>((I11-H11)/H11)*100</f>
        <v>0</v>
      </c>
      <c r="N11" s="47">
        <v>0</v>
      </c>
      <c r="O11" s="37">
        <v>0</v>
      </c>
      <c r="P11" s="48">
        <f>(R11)/J11</f>
        <v>0</v>
      </c>
      <c r="Q11" s="49">
        <f>I11/G11-1</f>
        <v>1.8205128205128207</v>
      </c>
      <c r="R11" s="50"/>
    </row>
    <row r="12" spans="1:18" x14ac:dyDescent="0.25">
      <c r="A12" s="35" t="s">
        <v>69</v>
      </c>
      <c r="B12" s="36" t="s">
        <v>70</v>
      </c>
      <c r="C12" s="37">
        <v>20633517</v>
      </c>
      <c r="D12" s="38">
        <f>C12*J12</f>
        <v>147356932.96770105</v>
      </c>
      <c r="E12" s="39">
        <f>C12*K12</f>
        <v>124383753.21814287</v>
      </c>
      <c r="F12" s="40" t="s">
        <v>37</v>
      </c>
      <c r="G12" s="41">
        <v>97.381</v>
      </c>
      <c r="H12" s="42">
        <v>189.89</v>
      </c>
      <c r="I12" s="43">
        <v>189.8895</v>
      </c>
      <c r="J12" s="44">
        <f>I12/$J$5</f>
        <v>7.1416294647054626</v>
      </c>
      <c r="K12" s="45">
        <f>I12/$K$4</f>
        <v>6.0282380952380956</v>
      </c>
      <c r="L12" s="46">
        <f>I12-H12</f>
        <v>-4.9999999998817657E-4</v>
      </c>
      <c r="M12" s="46">
        <f>((I12-H12)/H12)*100</f>
        <v>-2.6331033755762633E-4</v>
      </c>
      <c r="N12" s="47">
        <v>3600</v>
      </c>
      <c r="O12" s="37">
        <v>683602.2</v>
      </c>
      <c r="P12" s="48">
        <f>(R12)/J12</f>
        <v>0</v>
      </c>
      <c r="Q12" s="49">
        <f>I12/G12-1</f>
        <v>0.94996457214446339</v>
      </c>
      <c r="R12" s="50"/>
    </row>
    <row r="13" spans="1:18" x14ac:dyDescent="0.25">
      <c r="A13" s="35" t="s">
        <v>79</v>
      </c>
      <c r="B13" s="36" t="s">
        <v>80</v>
      </c>
      <c r="C13" s="37">
        <v>8735108</v>
      </c>
      <c r="D13" s="38">
        <f>C13*J13</f>
        <v>7736696.3680605972</v>
      </c>
      <c r="E13" s="39">
        <f>C13*K13</f>
        <v>6530533.1238095239</v>
      </c>
      <c r="F13" s="40" t="s">
        <v>81</v>
      </c>
      <c r="G13" s="41">
        <v>13.6</v>
      </c>
      <c r="H13" s="42">
        <v>23.5138</v>
      </c>
      <c r="I13" s="43">
        <v>23.55</v>
      </c>
      <c r="J13" s="44">
        <f>I13/$J$5</f>
        <v>0.88570128360869693</v>
      </c>
      <c r="K13" s="45">
        <f>I13/$K$4</f>
        <v>0.74761904761904763</v>
      </c>
      <c r="L13" s="46">
        <f>I13-H13</f>
        <v>3.6200000000000898E-2</v>
      </c>
      <c r="M13" s="46">
        <f>((I13-H13)/H13)*100</f>
        <v>0.15395214724970402</v>
      </c>
      <c r="N13" s="47">
        <v>100</v>
      </c>
      <c r="O13" s="37">
        <v>2355</v>
      </c>
      <c r="P13" s="48">
        <f>(R13)/J13</f>
        <v>0</v>
      </c>
      <c r="Q13" s="49">
        <f>I13/G13-1</f>
        <v>0.73161764705882359</v>
      </c>
      <c r="R13" s="50"/>
    </row>
    <row r="14" spans="1:18" x14ac:dyDescent="0.25">
      <c r="A14" s="35" t="s">
        <v>87</v>
      </c>
      <c r="B14" s="36" t="s">
        <v>88</v>
      </c>
      <c r="C14" s="37">
        <v>522661465</v>
      </c>
      <c r="D14" s="38">
        <f>C14*J14</f>
        <v>668337394.2705847</v>
      </c>
      <c r="E14" s="39">
        <f>C14*K14</f>
        <v>564142533.65079367</v>
      </c>
      <c r="F14" s="40" t="s">
        <v>52</v>
      </c>
      <c r="G14" s="41">
        <v>11.5</v>
      </c>
      <c r="H14" s="42">
        <v>40</v>
      </c>
      <c r="I14" s="43">
        <v>34</v>
      </c>
      <c r="J14" s="44">
        <f>I14/$J$5</f>
        <v>1.2787194752737026</v>
      </c>
      <c r="K14" s="45">
        <f>I14/$K$4</f>
        <v>1.0793650793650793</v>
      </c>
      <c r="L14" s="46">
        <f>I14-H14</f>
        <v>-6</v>
      </c>
      <c r="M14" s="46">
        <f>((I14-H14)/H14)*100</f>
        <v>-15</v>
      </c>
      <c r="N14" s="47">
        <v>200</v>
      </c>
      <c r="O14" s="37">
        <v>6800</v>
      </c>
      <c r="P14" s="48">
        <f>(R14)/J14</f>
        <v>0</v>
      </c>
      <c r="Q14" s="49">
        <f>I14/G14-1</f>
        <v>1.9565217391304346</v>
      </c>
      <c r="R14" s="50"/>
    </row>
    <row r="15" spans="1:18" x14ac:dyDescent="0.25">
      <c r="A15" s="35" t="s">
        <v>40</v>
      </c>
      <c r="B15" s="36" t="s">
        <v>41</v>
      </c>
      <c r="C15" s="37">
        <v>106040875</v>
      </c>
      <c r="D15" s="38">
        <f>C15*J15</f>
        <v>23928799.771334872</v>
      </c>
      <c r="E15" s="39">
        <f>C15*K15</f>
        <v>20198261.904761903</v>
      </c>
      <c r="F15" s="40" t="s">
        <v>37</v>
      </c>
      <c r="G15" s="41">
        <v>5.39</v>
      </c>
      <c r="H15" s="42">
        <v>6</v>
      </c>
      <c r="I15" s="43">
        <v>6</v>
      </c>
      <c r="J15" s="44">
        <f>I15/$J$5</f>
        <v>0.22565637798947691</v>
      </c>
      <c r="K15" s="45">
        <f>I15/$K$4</f>
        <v>0.19047619047619047</v>
      </c>
      <c r="L15" s="46">
        <f>I15-H15</f>
        <v>0</v>
      </c>
      <c r="M15" s="46">
        <f>((I15-H15)/H15)*100</f>
        <v>0</v>
      </c>
      <c r="N15" s="47">
        <v>0</v>
      </c>
      <c r="O15" s="37">
        <v>0</v>
      </c>
      <c r="P15" s="48">
        <f>(R15)/J15</f>
        <v>0</v>
      </c>
      <c r="Q15" s="49">
        <f>I15/G15-1</f>
        <v>0.1131725417439704</v>
      </c>
      <c r="R15" s="50"/>
    </row>
    <row r="16" spans="1:18" x14ac:dyDescent="0.25">
      <c r="A16" s="35" t="s">
        <v>89</v>
      </c>
      <c r="B16" s="36" t="s">
        <v>90</v>
      </c>
      <c r="C16" s="37">
        <v>358000858</v>
      </c>
      <c r="D16" s="38">
        <f>C16*J16</f>
        <v>65974561.162280791</v>
      </c>
      <c r="E16" s="39">
        <f>C16*K16</f>
        <v>55689022.355555557</v>
      </c>
      <c r="F16" s="40" t="s">
        <v>37</v>
      </c>
      <c r="G16" s="41">
        <v>1.9</v>
      </c>
      <c r="H16" s="42">
        <v>4.292338</v>
      </c>
      <c r="I16" s="43">
        <v>4.9000000000000004</v>
      </c>
      <c r="J16" s="44">
        <f>I16/$J$5</f>
        <v>0.18428604202473947</v>
      </c>
      <c r="K16" s="45">
        <f>I16/$K$4</f>
        <v>0.15555555555555556</v>
      </c>
      <c r="L16" s="46">
        <f>I16-H16</f>
        <v>0.60766200000000037</v>
      </c>
      <c r="M16" s="46">
        <f>((I16-H16)/H16)*100</f>
        <v>14.156900039092923</v>
      </c>
      <c r="N16" s="47">
        <v>2300</v>
      </c>
      <c r="O16" s="37">
        <v>11270</v>
      </c>
      <c r="P16" s="48">
        <f>(R16)/J16</f>
        <v>0</v>
      </c>
      <c r="Q16" s="49">
        <f>I16/G16-1</f>
        <v>1.5789473684210531</v>
      </c>
      <c r="R16" s="50"/>
    </row>
    <row r="17" spans="1:19" x14ac:dyDescent="0.25">
      <c r="A17" s="35" t="s">
        <v>42</v>
      </c>
      <c r="B17" s="36" t="s">
        <v>43</v>
      </c>
      <c r="C17" s="37">
        <v>1347762995</v>
      </c>
      <c r="D17" s="38">
        <f>C17*J17</f>
        <v>1644519126.430831</v>
      </c>
      <c r="E17" s="39">
        <f>C17*K17</f>
        <v>1388135984.2724447</v>
      </c>
      <c r="F17" s="40" t="s">
        <v>37</v>
      </c>
      <c r="G17" s="41">
        <v>20.701700000000002</v>
      </c>
      <c r="H17" s="42">
        <v>31.825599999999998</v>
      </c>
      <c r="I17" s="43">
        <v>32.443600000000004</v>
      </c>
      <c r="J17" s="44">
        <f>I17/$J$5</f>
        <v>1.2201842108232324</v>
      </c>
      <c r="K17" s="45">
        <f>I17/$K$4</f>
        <v>1.0299555555555557</v>
      </c>
      <c r="L17" s="46">
        <f>I17-H17</f>
        <v>0.61800000000000566</v>
      </c>
      <c r="M17" s="46">
        <f>((I17-H17)/H17)*100</f>
        <v>1.9418329897943973</v>
      </c>
      <c r="N17" s="47">
        <v>56500</v>
      </c>
      <c r="O17" s="37">
        <v>1833065.95</v>
      </c>
      <c r="P17" s="51">
        <f>(R17)/J17</f>
        <v>4.0977419275296197E-2</v>
      </c>
      <c r="Q17" s="49">
        <f>I17/G17-1</f>
        <v>0.56719496466473762</v>
      </c>
      <c r="R17" s="50">
        <v>0.05</v>
      </c>
      <c r="S17" s="52"/>
    </row>
    <row r="18" spans="1:19" ht="11.25" hidden="1" customHeight="1" x14ac:dyDescent="0.25">
      <c r="A18" s="35" t="s">
        <v>56</v>
      </c>
      <c r="B18" s="36" t="s">
        <v>57</v>
      </c>
      <c r="C18" s="37">
        <v>671949927</v>
      </c>
      <c r="D18" s="38">
        <f>C18*J18</f>
        <v>0</v>
      </c>
      <c r="E18" s="39">
        <f>C18*K18</f>
        <v>0</v>
      </c>
      <c r="F18" s="40" t="s">
        <v>58</v>
      </c>
      <c r="G18" s="41">
        <v>6.1399460000000001</v>
      </c>
      <c r="H18" s="42"/>
      <c r="I18" s="43"/>
      <c r="J18" s="44"/>
      <c r="K18" s="45"/>
      <c r="L18" s="46"/>
      <c r="M18" s="46"/>
      <c r="N18" s="47" t="s">
        <v>59</v>
      </c>
      <c r="O18" s="37" t="s">
        <v>59</v>
      </c>
      <c r="P18" s="48"/>
      <c r="Q18" s="49"/>
      <c r="R18" s="50"/>
    </row>
    <row r="19" spans="1:19" x14ac:dyDescent="0.25">
      <c r="A19" s="35" t="s">
        <v>77</v>
      </c>
      <c r="B19" s="36" t="s">
        <v>78</v>
      </c>
      <c r="C19" s="37">
        <v>671949927</v>
      </c>
      <c r="D19" s="38">
        <f>C19*J19</f>
        <v>341167020.11350518</v>
      </c>
      <c r="E19" s="39">
        <f>C19*K19</f>
        <v>287978540.14285713</v>
      </c>
      <c r="F19" s="40" t="s">
        <v>52</v>
      </c>
      <c r="G19" s="41">
        <v>12.45</v>
      </c>
      <c r="H19" s="42">
        <v>13.4976</v>
      </c>
      <c r="I19" s="43">
        <v>13.5</v>
      </c>
      <c r="J19" s="44">
        <f>I19/$J$5</f>
        <v>0.50772685047632304</v>
      </c>
      <c r="K19" s="45">
        <f>I19/$K$4</f>
        <v>0.42857142857142855</v>
      </c>
      <c r="L19" s="46">
        <f>I19-H19</f>
        <v>2.3999999999997357E-3</v>
      </c>
      <c r="M19" s="46">
        <f>((I19-H19)/H19)*100</f>
        <v>1.7780938833568453E-2</v>
      </c>
      <c r="N19" s="47">
        <v>200</v>
      </c>
      <c r="O19" s="37">
        <v>2700</v>
      </c>
      <c r="P19" s="48">
        <f>(R19)/J19</f>
        <v>0</v>
      </c>
      <c r="Q19" s="49">
        <f>I19/G19-1</f>
        <v>8.4337349397590522E-2</v>
      </c>
      <c r="R19" s="50"/>
    </row>
    <row r="20" spans="1:19" x14ac:dyDescent="0.25">
      <c r="A20" s="35" t="s">
        <v>75</v>
      </c>
      <c r="B20" s="36" t="s">
        <v>76</v>
      </c>
      <c r="C20" s="37">
        <v>108923291</v>
      </c>
      <c r="D20" s="38">
        <f>C20*J20</f>
        <v>3297714.0728719668</v>
      </c>
      <c r="E20" s="39">
        <f>C20*K20</f>
        <v>2783595.2144444445</v>
      </c>
      <c r="F20" s="40" t="s">
        <v>52</v>
      </c>
      <c r="G20" s="41">
        <v>0.35</v>
      </c>
      <c r="H20" s="42">
        <v>0.80500000000000005</v>
      </c>
      <c r="I20" s="43">
        <v>0.80500000000000005</v>
      </c>
      <c r="J20" s="44">
        <f>I20/$J$5</f>
        <v>3.0275564046921485E-2</v>
      </c>
      <c r="K20" s="45">
        <f>I20/$K$4</f>
        <v>2.5555555555555557E-2</v>
      </c>
      <c r="L20" s="46">
        <f>I20-H20</f>
        <v>0</v>
      </c>
      <c r="M20" s="46">
        <f>((I20-H20)/H20)*100</f>
        <v>0</v>
      </c>
      <c r="N20" s="47">
        <v>0</v>
      </c>
      <c r="O20" s="37">
        <v>0</v>
      </c>
      <c r="P20" s="48">
        <f>(R20)/J20</f>
        <v>0</v>
      </c>
      <c r="Q20" s="49">
        <f>I20/G20-1</f>
        <v>1.3000000000000003</v>
      </c>
      <c r="R20" s="50"/>
    </row>
    <row r="21" spans="1:19" x14ac:dyDescent="0.25">
      <c r="A21" s="35" t="s">
        <v>103</v>
      </c>
      <c r="B21" s="36" t="s">
        <v>104</v>
      </c>
      <c r="C21" s="37">
        <v>690143060</v>
      </c>
      <c r="D21" s="38">
        <f>C21*J21</f>
        <v>86952143.96124728</v>
      </c>
      <c r="E21" s="39">
        <f>C21*K21</f>
        <v>73396166.698412701</v>
      </c>
      <c r="F21" s="40" t="s">
        <v>52</v>
      </c>
      <c r="G21" s="41">
        <v>2.85</v>
      </c>
      <c r="H21" s="42">
        <v>3.35</v>
      </c>
      <c r="I21" s="43">
        <v>3.35</v>
      </c>
      <c r="J21" s="44">
        <f>I21/$J$5</f>
        <v>0.12599147771079128</v>
      </c>
      <c r="K21" s="45">
        <f>I21/$K$4</f>
        <v>0.10634920634920635</v>
      </c>
      <c r="L21" s="46">
        <f>I21-H21</f>
        <v>0</v>
      </c>
      <c r="M21" s="46">
        <f>((I21-H21)/H21)*100</f>
        <v>0</v>
      </c>
      <c r="N21" s="47">
        <v>0</v>
      </c>
      <c r="O21" s="37">
        <v>0</v>
      </c>
      <c r="P21" s="48">
        <f>(R21)/J21</f>
        <v>0</v>
      </c>
      <c r="Q21" s="49">
        <f>I21/G21-1</f>
        <v>0.17543859649122817</v>
      </c>
      <c r="R21" s="50"/>
    </row>
    <row r="22" spans="1:19" ht="12" hidden="1" customHeight="1" x14ac:dyDescent="0.25">
      <c r="A22" s="35" t="s">
        <v>66</v>
      </c>
      <c r="B22" s="36" t="s">
        <v>67</v>
      </c>
      <c r="C22" s="37">
        <v>193020564</v>
      </c>
      <c r="D22" s="38">
        <f>C22*J22</f>
        <v>0</v>
      </c>
      <c r="E22" s="39">
        <f>C22*K22</f>
        <v>0</v>
      </c>
      <c r="F22" s="40" t="s">
        <v>49</v>
      </c>
      <c r="G22" s="41">
        <v>0.88420599999999994</v>
      </c>
      <c r="H22" s="42">
        <v>0</v>
      </c>
      <c r="I22" s="43"/>
      <c r="J22" s="44">
        <f>I22/$J$5</f>
        <v>0</v>
      </c>
      <c r="K22" s="45">
        <f>I22/$K$4</f>
        <v>0</v>
      </c>
      <c r="L22" s="46">
        <f>I22-H22</f>
        <v>0</v>
      </c>
      <c r="M22" s="46">
        <v>0</v>
      </c>
      <c r="N22" s="53" t="s">
        <v>59</v>
      </c>
      <c r="O22" s="53" t="s">
        <v>59</v>
      </c>
      <c r="P22" s="53" t="s">
        <v>68</v>
      </c>
      <c r="Q22" s="49">
        <f>I22/G22-1</f>
        <v>-1</v>
      </c>
      <c r="R22" s="50"/>
    </row>
    <row r="23" spans="1:19" x14ac:dyDescent="0.25">
      <c r="A23" s="35" t="s">
        <v>95</v>
      </c>
      <c r="B23" s="36" t="s">
        <v>96</v>
      </c>
      <c r="C23" s="37">
        <v>536588623</v>
      </c>
      <c r="D23" s="38">
        <f>C23*J23</f>
        <v>2118981.289889466</v>
      </c>
      <c r="E23" s="39">
        <f>C23*K23</f>
        <v>1788628.7433333332</v>
      </c>
      <c r="F23" s="40" t="s">
        <v>81</v>
      </c>
      <c r="G23" s="41">
        <v>0.1</v>
      </c>
      <c r="H23" s="42">
        <v>0.105</v>
      </c>
      <c r="I23" s="43">
        <v>0.105</v>
      </c>
      <c r="J23" s="44">
        <f>I23/$J$5</f>
        <v>3.9489866148158456E-3</v>
      </c>
      <c r="K23" s="45">
        <f>I23/$K$4</f>
        <v>3.3333333333333331E-3</v>
      </c>
      <c r="L23" s="46">
        <f>I23-H23</f>
        <v>0</v>
      </c>
      <c r="M23" s="46">
        <f>((I23-H23)/H23)*100</f>
        <v>0</v>
      </c>
      <c r="N23" s="47">
        <v>3500</v>
      </c>
      <c r="O23" s="37">
        <v>367.5</v>
      </c>
      <c r="P23" s="48">
        <f>(R23)/J23</f>
        <v>0</v>
      </c>
      <c r="Q23" s="49">
        <f>I23/G23-1</f>
        <v>4.9999999999999822E-2</v>
      </c>
      <c r="R23" s="50"/>
    </row>
    <row r="24" spans="1:19" x14ac:dyDescent="0.25">
      <c r="A24" s="35" t="s">
        <v>44</v>
      </c>
      <c r="B24" s="36" t="s">
        <v>45</v>
      </c>
      <c r="C24" s="37">
        <v>193020564</v>
      </c>
      <c r="D24" s="38">
        <f>C24*J24</f>
        <v>78038409.084925786</v>
      </c>
      <c r="E24" s="39">
        <f>C24*K24</f>
        <v>65872097.238095239</v>
      </c>
      <c r="F24" s="40" t="s">
        <v>37</v>
      </c>
      <c r="G24" s="41">
        <v>8.1687659999999997</v>
      </c>
      <c r="H24" s="42">
        <v>10.75</v>
      </c>
      <c r="I24" s="43">
        <v>10.75</v>
      </c>
      <c r="J24" s="44">
        <f>I24/$J$5</f>
        <v>0.40430101056447948</v>
      </c>
      <c r="K24" s="45">
        <f>I24/$K$4</f>
        <v>0.34126984126984128</v>
      </c>
      <c r="L24" s="46">
        <f>I24-H24</f>
        <v>0</v>
      </c>
      <c r="M24" s="46">
        <f>((I24-H24)/H24)*100</f>
        <v>0</v>
      </c>
      <c r="N24" s="47">
        <v>0</v>
      </c>
      <c r="O24" s="37">
        <v>0</v>
      </c>
      <c r="P24" s="51">
        <f>(R24)/J24</f>
        <v>3.7101069767441854E-2</v>
      </c>
      <c r="Q24" s="49">
        <f>I24/G24-1</f>
        <v>0.31598824106358303</v>
      </c>
      <c r="R24" s="50">
        <f>(1.5/100)</f>
        <v>1.4999999999999999E-2</v>
      </c>
      <c r="S24" s="5" t="s">
        <v>46</v>
      </c>
    </row>
    <row r="25" spans="1:19" x14ac:dyDescent="0.25">
      <c r="A25" s="35" t="s">
        <v>47</v>
      </c>
      <c r="B25" s="36" t="s">
        <v>48</v>
      </c>
      <c r="C25" s="37">
        <v>1687584009</v>
      </c>
      <c r="D25" s="38">
        <f>C25*J25</f>
        <v>107897326.92343856</v>
      </c>
      <c r="E25" s="39">
        <f>C25*K25</f>
        <v>91075962.390476182</v>
      </c>
      <c r="F25" s="40" t="s">
        <v>49</v>
      </c>
      <c r="G25" s="41">
        <v>1.6675</v>
      </c>
      <c r="H25" s="42">
        <v>1.7</v>
      </c>
      <c r="I25" s="43">
        <v>1.7</v>
      </c>
      <c r="J25" s="44">
        <f>I25/$J$5</f>
        <v>6.3935973763685122E-2</v>
      </c>
      <c r="K25" s="45">
        <f>I25/$K$4</f>
        <v>5.3968253968253964E-2</v>
      </c>
      <c r="L25" s="46">
        <f>I25-H25</f>
        <v>0</v>
      </c>
      <c r="M25" s="46">
        <f>((I25-H25)/H25)*100</f>
        <v>0</v>
      </c>
      <c r="N25" s="47">
        <v>0</v>
      </c>
      <c r="O25" s="37">
        <v>0</v>
      </c>
      <c r="P25" s="48">
        <f>(R25)/J25</f>
        <v>0</v>
      </c>
      <c r="Q25" s="49">
        <f>I25/G25-1</f>
        <v>1.9490254872563728E-2</v>
      </c>
      <c r="R25" s="50"/>
    </row>
    <row r="26" spans="1:19" x14ac:dyDescent="0.25">
      <c r="A26" s="35" t="s">
        <v>101</v>
      </c>
      <c r="B26" s="36" t="s">
        <v>102</v>
      </c>
      <c r="C26" s="37">
        <v>239388107</v>
      </c>
      <c r="D26" s="38">
        <f>C26*J26</f>
        <v>22508105.483073894</v>
      </c>
      <c r="E26" s="39">
        <f>C26*K26</f>
        <v>18999056.111111108</v>
      </c>
      <c r="F26" s="40" t="s">
        <v>81</v>
      </c>
      <c r="G26" s="41">
        <v>1.7994999999999999</v>
      </c>
      <c r="H26" s="42">
        <v>2.5036670000000001</v>
      </c>
      <c r="I26" s="43">
        <v>2.5</v>
      </c>
      <c r="J26" s="44">
        <f>I26/$J$5</f>
        <v>9.4023490828948716E-2</v>
      </c>
      <c r="K26" s="45">
        <f>I26/$K$4</f>
        <v>7.9365079365079361E-2</v>
      </c>
      <c r="L26" s="46">
        <f>I26-H26</f>
        <v>-3.6670000000000869E-3</v>
      </c>
      <c r="M26" s="46">
        <f>((I26-H26)/H26)*100</f>
        <v>-0.14646516489613381</v>
      </c>
      <c r="N26" s="47">
        <v>1600</v>
      </c>
      <c r="O26" s="37">
        <v>4000</v>
      </c>
      <c r="P26" s="48">
        <f>(R26)/J26</f>
        <v>0</v>
      </c>
      <c r="Q26" s="49">
        <f>I26/G26-1</f>
        <v>0.38927479855515434</v>
      </c>
      <c r="R26" s="50"/>
    </row>
    <row r="27" spans="1:19" x14ac:dyDescent="0.25">
      <c r="A27" s="35" t="s">
        <v>99</v>
      </c>
      <c r="B27" s="36" t="s">
        <v>100</v>
      </c>
      <c r="C27" s="37">
        <v>256150741</v>
      </c>
      <c r="D27" s="38">
        <f>C27*J27</f>
        <v>24084186.847241919</v>
      </c>
      <c r="E27" s="39">
        <f>C27*K27</f>
        <v>20329423.888888888</v>
      </c>
      <c r="F27" s="40" t="s">
        <v>37</v>
      </c>
      <c r="G27" s="41">
        <v>3.1361369999999997</v>
      </c>
      <c r="H27" s="42">
        <v>2.409834</v>
      </c>
      <c r="I27" s="43">
        <v>2.5</v>
      </c>
      <c r="J27" s="44">
        <f>I27/$J$5</f>
        <v>9.4023490828948716E-2</v>
      </c>
      <c r="K27" s="45">
        <f>I27/$K$4</f>
        <v>7.9365079365079361E-2</v>
      </c>
      <c r="L27" s="46">
        <f>I27-H27</f>
        <v>9.0165999999999968E-2</v>
      </c>
      <c r="M27" s="46">
        <f>((I27-H27)/H27)*100</f>
        <v>3.7415855199984716</v>
      </c>
      <c r="N27" s="47">
        <v>10000</v>
      </c>
      <c r="O27" s="37">
        <v>25000</v>
      </c>
      <c r="P27" s="48">
        <f>(R27)/J27</f>
        <v>0</v>
      </c>
      <c r="Q27" s="49">
        <f>I27/G27-1</f>
        <v>-0.20284094731830904</v>
      </c>
      <c r="R27" s="50"/>
    </row>
    <row r="28" spans="1:19" x14ac:dyDescent="0.25">
      <c r="A28" s="35" t="s">
        <v>105</v>
      </c>
      <c r="B28" s="36" t="s">
        <v>106</v>
      </c>
      <c r="C28" s="37">
        <v>755648101</v>
      </c>
      <c r="D28" s="38">
        <f>C28*J28</f>
        <v>27268480.426546972</v>
      </c>
      <c r="E28" s="39">
        <f>C28*K28</f>
        <v>23017281.044746034</v>
      </c>
      <c r="F28" s="40" t="s">
        <v>81</v>
      </c>
      <c r="G28" s="41">
        <v>0.8</v>
      </c>
      <c r="H28" s="42">
        <v>0.95950000000000002</v>
      </c>
      <c r="I28" s="43">
        <v>0.95950000000000002</v>
      </c>
      <c r="J28" s="44">
        <f>I28/$J$5</f>
        <v>3.6086215780150518E-2</v>
      </c>
      <c r="K28" s="45">
        <f>I28/$K$4</f>
        <v>3.0460317460317462E-2</v>
      </c>
      <c r="L28" s="46">
        <f>I28-H28</f>
        <v>0</v>
      </c>
      <c r="M28" s="46">
        <f>((I28-H28)/H28)*100</f>
        <v>0</v>
      </c>
      <c r="N28" s="47">
        <v>0</v>
      </c>
      <c r="O28" s="37">
        <v>0</v>
      </c>
      <c r="P28" s="48">
        <f>(R28)/J28</f>
        <v>0</v>
      </c>
      <c r="Q28" s="49">
        <f>I28/G28-1</f>
        <v>0.19937499999999986</v>
      </c>
      <c r="R28" s="50"/>
    </row>
    <row r="29" spans="1:19" x14ac:dyDescent="0.25">
      <c r="A29" s="35" t="s">
        <v>50</v>
      </c>
      <c r="B29" s="36" t="s">
        <v>51</v>
      </c>
      <c r="C29" s="37">
        <v>449129618</v>
      </c>
      <c r="D29" s="38">
        <f>C29*J29</f>
        <v>94753239.909655929</v>
      </c>
      <c r="E29" s="39">
        <f>C29*K29</f>
        <v>79981059.405772448</v>
      </c>
      <c r="F29" s="40" t="s">
        <v>52</v>
      </c>
      <c r="G29" s="41">
        <v>5.15</v>
      </c>
      <c r="H29" s="42">
        <v>5.6095240000000004</v>
      </c>
      <c r="I29" s="43">
        <v>5.6095240000000004</v>
      </c>
      <c r="J29" s="44">
        <f>I29/$J$5</f>
        <v>0.21097081134750709</v>
      </c>
      <c r="K29" s="45">
        <f>I29/$K$4</f>
        <v>0.17808012698412701</v>
      </c>
      <c r="L29" s="46">
        <f>I29-H29</f>
        <v>0</v>
      </c>
      <c r="M29" s="46">
        <f>((I29-H29)/H29)*100</f>
        <v>0</v>
      </c>
      <c r="N29" s="47">
        <v>0</v>
      </c>
      <c r="O29" s="37">
        <v>0</v>
      </c>
      <c r="P29" s="48">
        <f>(R29)/J29</f>
        <v>0</v>
      </c>
      <c r="Q29" s="49">
        <f>I29/G29-1</f>
        <v>8.9227961165048608E-2</v>
      </c>
      <c r="R29" s="50"/>
    </row>
    <row r="30" spans="1:19" ht="12" hidden="1" customHeight="1" x14ac:dyDescent="0.25">
      <c r="A30" s="35" t="s">
        <v>84</v>
      </c>
      <c r="B30" s="36" t="s">
        <v>85</v>
      </c>
      <c r="C30" s="37">
        <v>3171161098</v>
      </c>
      <c r="D30" s="38">
        <f>C30*J30</f>
        <v>0</v>
      </c>
      <c r="E30" s="39">
        <f>C30*K30</f>
        <v>0</v>
      </c>
      <c r="F30" s="40" t="s">
        <v>37</v>
      </c>
      <c r="G30" s="41">
        <v>0.13000100000000001</v>
      </c>
      <c r="H30" s="48">
        <v>0</v>
      </c>
      <c r="I30" s="54"/>
      <c r="J30" s="55">
        <f>I30/$J$5</f>
        <v>0</v>
      </c>
      <c r="K30" s="56">
        <f>I30/$K$4</f>
        <v>0</v>
      </c>
      <c r="L30" s="46">
        <v>0</v>
      </c>
      <c r="M30" s="46">
        <v>0</v>
      </c>
      <c r="N30" s="53" t="s">
        <v>59</v>
      </c>
      <c r="O30" s="53" t="s">
        <v>59</v>
      </c>
      <c r="P30" s="53" t="s">
        <v>86</v>
      </c>
      <c r="Q30" s="49">
        <v>0</v>
      </c>
      <c r="R30" s="50"/>
    </row>
    <row r="31" spans="1:19" ht="12" customHeight="1" x14ac:dyDescent="0.25">
      <c r="A31" s="35" t="s">
        <v>109</v>
      </c>
      <c r="B31" s="36" t="s">
        <v>110</v>
      </c>
      <c r="C31" s="37">
        <v>259866270</v>
      </c>
      <c r="D31" s="38">
        <f>C31*J31</f>
        <v>13096423.012864294</v>
      </c>
      <c r="E31" s="39">
        <f>C31*K31</f>
        <v>11054669.877185713</v>
      </c>
      <c r="F31" s="40" t="s">
        <v>34</v>
      </c>
      <c r="G31" s="41">
        <v>1.4</v>
      </c>
      <c r="H31" s="42">
        <v>1.384296</v>
      </c>
      <c r="I31" s="43">
        <v>1.3400049999999999</v>
      </c>
      <c r="J31" s="44">
        <f>I31/$J$5</f>
        <v>5.0396779131298163E-2</v>
      </c>
      <c r="K31" s="45">
        <f>I31/$K$4</f>
        <v>4.2539841269841269E-2</v>
      </c>
      <c r="L31" s="46">
        <f>I31-H31</f>
        <v>-4.429100000000008E-2</v>
      </c>
      <c r="M31" s="46">
        <f>((I31-H31)/H31)*100</f>
        <v>-3.1995324699341818</v>
      </c>
      <c r="N31" s="47">
        <v>187800</v>
      </c>
      <c r="O31" s="37">
        <v>251653</v>
      </c>
      <c r="P31" s="48">
        <f>(R31)/J31</f>
        <v>0</v>
      </c>
      <c r="Q31" s="49">
        <f>I31/G31-1</f>
        <v>-4.2853571428571491E-2</v>
      </c>
      <c r="R31" s="50"/>
    </row>
    <row r="32" spans="1:19" x14ac:dyDescent="0.25">
      <c r="A32" s="35" t="s">
        <v>82</v>
      </c>
      <c r="B32" s="36" t="s">
        <v>83</v>
      </c>
      <c r="C32" s="37">
        <v>122029470</v>
      </c>
      <c r="D32" s="38">
        <f>C32*J32</f>
        <v>3912510.1329116072</v>
      </c>
      <c r="E32" s="39">
        <f>C32*K32</f>
        <v>3302543.5928571429</v>
      </c>
      <c r="F32" s="40" t="s">
        <v>34</v>
      </c>
      <c r="G32" s="41">
        <v>0.65</v>
      </c>
      <c r="H32" s="42">
        <v>0.85250000000000004</v>
      </c>
      <c r="I32" s="43">
        <v>0.85250000000000004</v>
      </c>
      <c r="J32" s="44">
        <f>I32/$J$5</f>
        <v>3.2062010372671514E-2</v>
      </c>
      <c r="K32" s="45">
        <f>I32/$K$4</f>
        <v>2.7063492063492064E-2</v>
      </c>
      <c r="L32" s="46">
        <f>I32-H32</f>
        <v>0</v>
      </c>
      <c r="M32" s="46">
        <f>((I32-H32)/H32)*100</f>
        <v>0</v>
      </c>
      <c r="N32" s="47">
        <v>0</v>
      </c>
      <c r="O32" s="37">
        <v>0</v>
      </c>
      <c r="P32" s="48">
        <f>(R32)/J32</f>
        <v>0</v>
      </c>
      <c r="Q32" s="49">
        <f>I32/G32-1</f>
        <v>0.31153846153846154</v>
      </c>
      <c r="R32" s="50"/>
    </row>
    <row r="33" spans="1:18" x14ac:dyDescent="0.25">
      <c r="A33" s="35" t="s">
        <v>53</v>
      </c>
      <c r="B33" s="36" t="s">
        <v>54</v>
      </c>
      <c r="C33" s="37">
        <v>2495495543</v>
      </c>
      <c r="D33" s="38">
        <f>C33*J33</f>
        <v>154814558.97610423</v>
      </c>
      <c r="E33" s="39">
        <f>C33*K33</f>
        <v>130678723.49433437</v>
      </c>
      <c r="F33" s="40" t="s">
        <v>55</v>
      </c>
      <c r="G33" s="41">
        <v>1.44</v>
      </c>
      <c r="H33" s="42">
        <v>1.55</v>
      </c>
      <c r="I33" s="43">
        <v>1.6495240000000002</v>
      </c>
      <c r="J33" s="44">
        <f>I33/$J$5</f>
        <v>6.2037601874452328E-2</v>
      </c>
      <c r="K33" s="45">
        <f>I33/$K$4</f>
        <v>5.2365841269841278E-2</v>
      </c>
      <c r="L33" s="46">
        <f>I33-H33</f>
        <v>9.9524000000000168E-2</v>
      </c>
      <c r="M33" s="46">
        <f>((I33-H33)/H33)*100</f>
        <v>6.4209032258064624</v>
      </c>
      <c r="N33" s="47">
        <v>2100</v>
      </c>
      <c r="O33" s="37">
        <v>3464</v>
      </c>
      <c r="P33" s="48">
        <f>(R33)/J33</f>
        <v>0</v>
      </c>
      <c r="Q33" s="49">
        <f>I33/G33-1</f>
        <v>0.14550277777777798</v>
      </c>
      <c r="R33" s="50"/>
    </row>
    <row r="34" spans="1:18" x14ac:dyDescent="0.25">
      <c r="A34" s="35" t="s">
        <v>60</v>
      </c>
      <c r="B34" s="36" t="s">
        <v>61</v>
      </c>
      <c r="C34" s="37">
        <v>253492983</v>
      </c>
      <c r="D34" s="38">
        <f>C34*J34</f>
        <v>46858224.289088391</v>
      </c>
      <c r="E34" s="39">
        <f>C34*K34</f>
        <v>39552952.74428571</v>
      </c>
      <c r="F34" s="40" t="s">
        <v>37</v>
      </c>
      <c r="G34" s="41">
        <v>3.6056249999999999</v>
      </c>
      <c r="H34" s="42">
        <v>4.9107060000000002</v>
      </c>
      <c r="I34" s="43">
        <v>4.915</v>
      </c>
      <c r="J34" s="44">
        <f>I34/$J$5</f>
        <v>0.18485018296971317</v>
      </c>
      <c r="K34" s="45">
        <f>I34/$K$4</f>
        <v>0.15603174603174602</v>
      </c>
      <c r="L34" s="46">
        <f>I34-H34</f>
        <v>4.293999999999798E-3</v>
      </c>
      <c r="M34" s="46">
        <f>((I34-H34)/H34)*100</f>
        <v>8.7441602083280848E-2</v>
      </c>
      <c r="N34" s="47">
        <v>10300</v>
      </c>
      <c r="O34" s="37">
        <v>50624.5</v>
      </c>
      <c r="P34" s="48">
        <f>(R34)/J34</f>
        <v>0</v>
      </c>
      <c r="Q34" s="49">
        <f>I34/G34-1</f>
        <v>0.36314785924770332</v>
      </c>
      <c r="R34" s="50"/>
    </row>
    <row r="35" spans="1:18" x14ac:dyDescent="0.25">
      <c r="A35" s="35" t="s">
        <v>91</v>
      </c>
      <c r="B35" s="36" t="s">
        <v>92</v>
      </c>
      <c r="C35" s="37">
        <v>4715084056</v>
      </c>
      <c r="D35" s="38">
        <f>C35*J35</f>
        <v>5757420.674116537</v>
      </c>
      <c r="E35" s="39">
        <f>C35*K35</f>
        <v>4859829.6522587938</v>
      </c>
      <c r="F35" s="40" t="s">
        <v>37</v>
      </c>
      <c r="G35" s="41">
        <v>2.5099999999999997E-2</v>
      </c>
      <c r="H35" s="42">
        <v>3.2467000000000003E-2</v>
      </c>
      <c r="I35" s="43">
        <v>3.2467000000000003E-2</v>
      </c>
      <c r="J35" s="44">
        <f>I35/$J$5</f>
        <v>1.2210642706973912E-3</v>
      </c>
      <c r="K35" s="45">
        <f>I35/$K$4</f>
        <v>1.0306984126984128E-3</v>
      </c>
      <c r="L35" s="46">
        <f>I35-H35</f>
        <v>0</v>
      </c>
      <c r="M35" s="46">
        <f>((I35-H35)/H35)*100</f>
        <v>0</v>
      </c>
      <c r="N35" s="47">
        <v>0</v>
      </c>
      <c r="O35" s="37">
        <v>0</v>
      </c>
      <c r="P35" s="48">
        <f>(R35)/J35</f>
        <v>0</v>
      </c>
      <c r="Q35" s="49">
        <f>I35/G35-1</f>
        <v>0.29350597609561779</v>
      </c>
      <c r="R35" s="50"/>
    </row>
    <row r="36" spans="1:18" x14ac:dyDescent="0.25">
      <c r="A36" s="35" t="s">
        <v>111</v>
      </c>
      <c r="B36" s="36" t="s">
        <v>112</v>
      </c>
      <c r="C36" s="37">
        <v>525090993</v>
      </c>
      <c r="D36" s="38">
        <f>C36*J36</f>
        <v>90832560.045413345</v>
      </c>
      <c r="E36" s="39">
        <f>C36*K36</f>
        <v>76671619.755666673</v>
      </c>
      <c r="F36" s="40" t="s">
        <v>55</v>
      </c>
      <c r="G36" s="41">
        <v>0.61</v>
      </c>
      <c r="H36" s="42">
        <v>4.6399999999999997</v>
      </c>
      <c r="I36" s="43">
        <v>4.5994999999999999</v>
      </c>
      <c r="J36" s="44">
        <f>I36/$J$5</f>
        <v>0.17298441842709983</v>
      </c>
      <c r="K36" s="45">
        <f>I36/$K$4</f>
        <v>0.14601587301587302</v>
      </c>
      <c r="L36" s="46">
        <f>I36-H36</f>
        <v>-4.0499999999999758E-2</v>
      </c>
      <c r="M36" s="46">
        <f>((I36-H36)/H36)*100</f>
        <v>-0.87284482758620174</v>
      </c>
      <c r="N36" s="47">
        <v>4000</v>
      </c>
      <c r="O36" s="37">
        <v>18398</v>
      </c>
      <c r="P36" s="48">
        <f>(R36)/J36</f>
        <v>0</v>
      </c>
      <c r="Q36" s="49">
        <f>I36/G36-1</f>
        <v>6.5401639344262295</v>
      </c>
      <c r="R36" s="50"/>
    </row>
    <row r="37" spans="1:18" x14ac:dyDescent="0.25">
      <c r="A37" s="35" t="s">
        <v>115</v>
      </c>
      <c r="B37" s="36" t="s">
        <v>116</v>
      </c>
      <c r="C37" s="37">
        <v>4194797929</v>
      </c>
      <c r="D37" s="38">
        <f>C37*J37</f>
        <v>44213309.95040261</v>
      </c>
      <c r="E37" s="39">
        <f>C37*K37</f>
        <v>37320384.749277778</v>
      </c>
      <c r="F37" s="40" t="s">
        <v>58</v>
      </c>
      <c r="G37" s="41">
        <v>0.11650199999999999</v>
      </c>
      <c r="H37" s="42">
        <v>0.25007000000000001</v>
      </c>
      <c r="I37" s="43">
        <v>0.28025</v>
      </c>
      <c r="J37" s="44">
        <f>I37/$J$5</f>
        <v>1.054003332192515E-2</v>
      </c>
      <c r="K37" s="45">
        <f>I37/$K$4</f>
        <v>8.896825396825396E-3</v>
      </c>
      <c r="L37" s="46">
        <f>I37-H37</f>
        <v>3.0179999999999985E-2</v>
      </c>
      <c r="M37" s="46">
        <f>((I37-H37)/H37)*100</f>
        <v>12.068620786179862</v>
      </c>
      <c r="N37" s="47">
        <v>2000</v>
      </c>
      <c r="O37" s="37">
        <v>560.5</v>
      </c>
      <c r="P37" s="48">
        <v>0</v>
      </c>
      <c r="Q37" s="49">
        <f>I37/G37-1</f>
        <v>1.4055381023501745</v>
      </c>
      <c r="R37" s="50"/>
    </row>
    <row r="38" spans="1:18" x14ac:dyDescent="0.25">
      <c r="A38" s="35" t="s">
        <v>71</v>
      </c>
      <c r="B38" s="36" t="s">
        <v>72</v>
      </c>
      <c r="C38" s="37">
        <v>4315726499</v>
      </c>
      <c r="D38" s="38">
        <f>C38*J38</f>
        <v>20288983.544948872</v>
      </c>
      <c r="E38" s="39">
        <f>C38*K38</f>
        <v>17125898.805555556</v>
      </c>
      <c r="F38" s="40" t="s">
        <v>34</v>
      </c>
      <c r="G38" s="41">
        <v>0.1</v>
      </c>
      <c r="H38" s="42">
        <v>0.125</v>
      </c>
      <c r="I38" s="43">
        <v>0.125</v>
      </c>
      <c r="J38" s="44">
        <f>I38/$J$5</f>
        <v>4.7011745414474353E-3</v>
      </c>
      <c r="K38" s="45">
        <f>I38/$K$4</f>
        <v>3.968253968253968E-3</v>
      </c>
      <c r="L38" s="46">
        <f>I38-H38</f>
        <v>0</v>
      </c>
      <c r="M38" s="46">
        <f>((I38-H38)/H38)*100</f>
        <v>0</v>
      </c>
      <c r="N38" s="47">
        <v>0</v>
      </c>
      <c r="O38" s="37">
        <v>0</v>
      </c>
      <c r="P38" s="48">
        <f>(R38)/J38</f>
        <v>0</v>
      </c>
      <c r="Q38" s="49">
        <f>I38/G38-1</f>
        <v>0.25</v>
      </c>
      <c r="R38" s="50"/>
    </row>
    <row r="39" spans="1:18" x14ac:dyDescent="0.25">
      <c r="A39" s="35" t="s">
        <v>107</v>
      </c>
      <c r="B39" s="36" t="s">
        <v>108</v>
      </c>
      <c r="C39" s="37">
        <v>106474237</v>
      </c>
      <c r="D39" s="38">
        <f>C39*J39</f>
        <v>7207977.201183944</v>
      </c>
      <c r="E39" s="39">
        <f>C39*K39</f>
        <v>6084242.114285714</v>
      </c>
      <c r="F39" s="40" t="s">
        <v>81</v>
      </c>
      <c r="G39" s="41">
        <v>1.7452379999999998</v>
      </c>
      <c r="H39" s="42">
        <v>1.8</v>
      </c>
      <c r="I39" s="43">
        <v>1.8</v>
      </c>
      <c r="J39" s="44">
        <f>I39/$J$5</f>
        <v>6.769691339684307E-2</v>
      </c>
      <c r="K39" s="45">
        <f>I39/$K$4</f>
        <v>5.7142857142857141E-2</v>
      </c>
      <c r="L39" s="46">
        <f>I39-H39</f>
        <v>0</v>
      </c>
      <c r="M39" s="46">
        <f>((I39-H39)/H39)*100</f>
        <v>0</v>
      </c>
      <c r="N39" s="47">
        <v>0</v>
      </c>
      <c r="O39" s="37">
        <v>0</v>
      </c>
      <c r="P39" s="48">
        <f>(R39)/J39</f>
        <v>0</v>
      </c>
      <c r="Q39" s="49">
        <f>I39/G39-1</f>
        <v>3.1377955327583029E-2</v>
      </c>
      <c r="R39" s="50">
        <v>0</v>
      </c>
    </row>
    <row r="40" spans="1:18" x14ac:dyDescent="0.25">
      <c r="A40" s="35" t="s">
        <v>73</v>
      </c>
      <c r="B40" s="36" t="s">
        <v>74</v>
      </c>
      <c r="C40" s="37">
        <v>1778001428</v>
      </c>
      <c r="D40" s="38">
        <f>C40*J40</f>
        <v>3878434.5022584442</v>
      </c>
      <c r="E40" s="39">
        <f>C40*K40</f>
        <v>3273780.4071111106</v>
      </c>
      <c r="F40" s="40" t="s">
        <v>34</v>
      </c>
      <c r="G40" s="41">
        <v>0.03</v>
      </c>
      <c r="H40" s="42">
        <v>5.0980999999999999E-2</v>
      </c>
      <c r="I40" s="43">
        <v>5.7999999999999996E-2</v>
      </c>
      <c r="J40" s="44">
        <f>I40/$J$5</f>
        <v>2.1813449872316098E-3</v>
      </c>
      <c r="K40" s="45">
        <f>I40/$K$4</f>
        <v>1.8412698412698411E-3</v>
      </c>
      <c r="L40" s="46">
        <f>I40-H40</f>
        <v>7.0189999999999975E-3</v>
      </c>
      <c r="M40" s="46">
        <f>((I40-H40)/H40)*100</f>
        <v>13.76787430611404</v>
      </c>
      <c r="N40" s="47">
        <v>5000</v>
      </c>
      <c r="O40" s="37">
        <v>290</v>
      </c>
      <c r="P40" s="48">
        <f>(R40)/J40</f>
        <v>0</v>
      </c>
      <c r="Q40" s="49">
        <f>I40/G40-1</f>
        <v>0.93333333333333335</v>
      </c>
      <c r="R40" s="50">
        <v>0</v>
      </c>
    </row>
    <row r="41" spans="1:18" x14ac:dyDescent="0.25">
      <c r="A41" s="35" t="s">
        <v>93</v>
      </c>
      <c r="B41" s="36" t="s">
        <v>94</v>
      </c>
      <c r="C41" s="37">
        <v>175190642</v>
      </c>
      <c r="D41" s="38">
        <f>C41*J41</f>
        <v>46121700.019932985</v>
      </c>
      <c r="E41" s="39">
        <f>C41*K41</f>
        <v>38931253.777777776</v>
      </c>
      <c r="F41" s="40" t="s">
        <v>52</v>
      </c>
      <c r="G41" s="41">
        <v>4.5</v>
      </c>
      <c r="H41" s="42">
        <v>7</v>
      </c>
      <c r="I41" s="43">
        <v>7</v>
      </c>
      <c r="J41" s="44">
        <f>I41/$J$5</f>
        <v>0.26326577432105641</v>
      </c>
      <c r="K41" s="45">
        <f>I41/$K$4</f>
        <v>0.22222222222222221</v>
      </c>
      <c r="L41" s="46">
        <f>I41-H41</f>
        <v>0</v>
      </c>
      <c r="M41" s="46">
        <f>((I41-H41)/H41)*100</f>
        <v>0</v>
      </c>
      <c r="N41" s="47">
        <v>2000</v>
      </c>
      <c r="O41" s="37">
        <v>14000</v>
      </c>
      <c r="P41" s="48">
        <f>(R41)/J41</f>
        <v>0</v>
      </c>
      <c r="Q41" s="49">
        <f>I41/G41-1</f>
        <v>0.55555555555555558</v>
      </c>
      <c r="R41" s="50">
        <v>0</v>
      </c>
    </row>
    <row r="42" spans="1:18" ht="12" customHeight="1" x14ac:dyDescent="0.25">
      <c r="A42" s="35" t="s">
        <v>97</v>
      </c>
      <c r="B42" s="36" t="s">
        <v>98</v>
      </c>
      <c r="C42" s="37">
        <v>463337661</v>
      </c>
      <c r="D42" s="38">
        <f>C42*J42</f>
        <v>313.66529510212837</v>
      </c>
      <c r="E42" s="39">
        <f>C42*K42</f>
        <v>264.76437771428573</v>
      </c>
      <c r="F42" s="40" t="s">
        <v>81</v>
      </c>
      <c r="G42" s="41">
        <v>1.8E-5</v>
      </c>
      <c r="H42" s="42">
        <v>1.8E-5</v>
      </c>
      <c r="I42" s="43">
        <v>1.8E-5</v>
      </c>
      <c r="J42" s="44">
        <f>I42/$J$5</f>
        <v>6.7696913396843075E-7</v>
      </c>
      <c r="K42" s="45">
        <f>I42/$K$4</f>
        <v>5.7142857142857149E-7</v>
      </c>
      <c r="L42" s="46">
        <f>I42-H42</f>
        <v>0</v>
      </c>
      <c r="M42" s="46">
        <f>((I42-H42)/H42)*100</f>
        <v>0</v>
      </c>
      <c r="N42" s="47">
        <v>0</v>
      </c>
      <c r="O42" s="37">
        <v>0</v>
      </c>
      <c r="P42" s="48">
        <f>(R42)/J42</f>
        <v>0</v>
      </c>
      <c r="Q42" s="49">
        <f>I42/G42-1</f>
        <v>0</v>
      </c>
      <c r="R42" s="50">
        <v>0</v>
      </c>
    </row>
    <row r="43" spans="1:18" ht="12" customHeight="1" x14ac:dyDescent="0.25">
      <c r="A43" s="35" t="s">
        <v>62</v>
      </c>
      <c r="B43" s="36" t="s">
        <v>63</v>
      </c>
      <c r="C43" s="37">
        <v>576000000</v>
      </c>
      <c r="D43" s="38">
        <f>C43*J43</f>
        <v>1733040.9829591827</v>
      </c>
      <c r="E43" s="39">
        <f>C43*K43</f>
        <v>1462857.142857143</v>
      </c>
      <c r="F43" s="40" t="s">
        <v>58</v>
      </c>
      <c r="G43" s="41">
        <v>7.0000000000000007E-2</v>
      </c>
      <c r="H43" s="42">
        <v>0.08</v>
      </c>
      <c r="I43" s="43">
        <v>0.08</v>
      </c>
      <c r="J43" s="44">
        <f>I43/$J$5</f>
        <v>3.0087517065263587E-3</v>
      </c>
      <c r="K43" s="45">
        <f>I43/$K$4</f>
        <v>2.5396825396825397E-3</v>
      </c>
      <c r="L43" s="46">
        <f>I43-H43</f>
        <v>0</v>
      </c>
      <c r="M43" s="46">
        <f>((I43-H43)/H43)*100</f>
        <v>0</v>
      </c>
      <c r="N43" s="47">
        <v>0</v>
      </c>
      <c r="O43" s="37">
        <v>0</v>
      </c>
      <c r="P43" s="48">
        <f>(R43)/J43</f>
        <v>0</v>
      </c>
      <c r="Q43" s="49">
        <f>I43/G43-1</f>
        <v>0.14285714285714279</v>
      </c>
      <c r="R43" s="50"/>
    </row>
    <row r="44" spans="1:18" ht="12" customHeight="1" x14ac:dyDescent="0.25">
      <c r="A44" s="35" t="s">
        <v>64</v>
      </c>
      <c r="B44" s="36" t="s">
        <v>65</v>
      </c>
      <c r="C44" s="37">
        <v>1818218786</v>
      </c>
      <c r="D44" s="38">
        <f>C44*J44</f>
        <v>64963005.393187433</v>
      </c>
      <c r="E44" s="39">
        <f>C44*K44</f>
        <v>54835169.73650793</v>
      </c>
      <c r="F44" s="40" t="s">
        <v>52</v>
      </c>
      <c r="G44" s="41">
        <v>0.9998999999999999</v>
      </c>
      <c r="H44" s="42">
        <v>0.93733299999999997</v>
      </c>
      <c r="I44" s="43">
        <v>0.95</v>
      </c>
      <c r="J44" s="44">
        <f>I44/$J$5</f>
        <v>3.5728926515000509E-2</v>
      </c>
      <c r="K44" s="45">
        <f>I44/$K$4</f>
        <v>3.0158730158730156E-2</v>
      </c>
      <c r="L44" s="46">
        <f>I44-H44</f>
        <v>1.2666999999999984E-2</v>
      </c>
      <c r="M44" s="46">
        <f>((I44-H44)/H44)*100</f>
        <v>1.3513873938077485</v>
      </c>
      <c r="N44" s="47">
        <v>2000</v>
      </c>
      <c r="O44" s="37">
        <v>1900</v>
      </c>
      <c r="P44" s="48">
        <f>(R44)/J44</f>
        <v>0</v>
      </c>
      <c r="Q44" s="49">
        <f>I44/G44-1</f>
        <v>-4.9904990499049839E-2</v>
      </c>
      <c r="R44" s="50">
        <v>0</v>
      </c>
    </row>
    <row r="45" spans="1:18" ht="12" customHeight="1" x14ac:dyDescent="0.25">
      <c r="A45" s="35" t="s">
        <v>113</v>
      </c>
      <c r="B45" s="36" t="s">
        <v>114</v>
      </c>
      <c r="C45" s="37">
        <v>102712520</v>
      </c>
      <c r="D45" s="38">
        <f>C45*J45</f>
        <v>7146468.3648562767</v>
      </c>
      <c r="E45" s="39">
        <f>C45*K45</f>
        <v>6032322.6031746035</v>
      </c>
      <c r="F45" s="40" t="s">
        <v>52</v>
      </c>
      <c r="G45" s="41">
        <v>1.4503460000000001</v>
      </c>
      <c r="H45" s="42">
        <v>1.65</v>
      </c>
      <c r="I45" s="43">
        <v>1.85</v>
      </c>
      <c r="J45" s="44">
        <f>I45/$J$5</f>
        <v>6.957738321342205E-2</v>
      </c>
      <c r="K45" s="45">
        <f>I45/$K$4</f>
        <v>5.873015873015873E-2</v>
      </c>
      <c r="L45" s="46">
        <f>I45-H45</f>
        <v>0.20000000000000018</v>
      </c>
      <c r="M45" s="46">
        <f>((I45-H45)/H45)*100</f>
        <v>12.121212121212132</v>
      </c>
      <c r="N45" s="47">
        <v>100</v>
      </c>
      <c r="O45" s="37">
        <v>185</v>
      </c>
      <c r="P45" s="48">
        <v>0</v>
      </c>
      <c r="Q45" s="49">
        <f>I45/G45-1</f>
        <v>0.27555769450875855</v>
      </c>
      <c r="R45" s="50"/>
    </row>
    <row r="46" spans="1:18" ht="12" customHeight="1" x14ac:dyDescent="0.25">
      <c r="A46" s="35"/>
      <c r="B46" s="36" t="s">
        <v>117</v>
      </c>
      <c r="C46" s="37"/>
      <c r="D46" s="38"/>
      <c r="E46" s="39"/>
      <c r="F46" s="40"/>
      <c r="G46" s="41"/>
      <c r="H46" s="42"/>
      <c r="I46" s="43"/>
      <c r="J46" s="44"/>
      <c r="K46" s="45"/>
      <c r="L46" s="46"/>
      <c r="M46" s="46"/>
      <c r="N46" s="47"/>
      <c r="O46" s="37"/>
      <c r="P46" s="48"/>
      <c r="Q46" s="49"/>
      <c r="R46" s="50"/>
    </row>
    <row r="47" spans="1:18" ht="14.25" customHeight="1" thickBot="1" x14ac:dyDescent="0.4">
      <c r="A47" s="57"/>
      <c r="B47" s="58" t="s">
        <v>117</v>
      </c>
      <c r="C47" s="59"/>
      <c r="D47" s="60"/>
      <c r="E47" s="60"/>
      <c r="F47" s="61"/>
      <c r="G47" s="61"/>
      <c r="H47" s="46"/>
      <c r="I47" s="46"/>
      <c r="J47" s="46"/>
      <c r="K47" s="46"/>
      <c r="L47" s="46"/>
      <c r="M47" s="46"/>
      <c r="N47" s="61">
        <f>SUM(N9:N46)</f>
        <v>293300</v>
      </c>
      <c r="O47" s="61">
        <f>SUM(O9:O46)</f>
        <v>2910235.65</v>
      </c>
      <c r="P47" s="62"/>
      <c r="Q47" s="63"/>
    </row>
    <row r="48" spans="1:18" ht="13.5" customHeight="1" x14ac:dyDescent="0.35">
      <c r="A48" s="64"/>
      <c r="B48" s="65" t="s">
        <v>117</v>
      </c>
      <c r="C48" s="66"/>
      <c r="D48" s="66"/>
      <c r="E48" s="66"/>
      <c r="F48" s="67"/>
      <c r="G48" s="67"/>
      <c r="H48" s="68"/>
      <c r="I48" s="68"/>
      <c r="J48" s="68"/>
      <c r="K48" s="68"/>
      <c r="L48" s="68"/>
      <c r="M48" s="68"/>
      <c r="N48" s="67"/>
      <c r="O48" s="67"/>
      <c r="P48" s="67"/>
      <c r="Q48" s="69"/>
    </row>
    <row r="49" spans="1:20" ht="12.75" customHeight="1" x14ac:dyDescent="0.3">
      <c r="A49" s="137" t="s">
        <v>118</v>
      </c>
      <c r="B49" s="138"/>
      <c r="C49" s="139"/>
      <c r="D49" s="139"/>
      <c r="E49" s="139"/>
      <c r="F49" s="139"/>
      <c r="G49" s="139"/>
      <c r="H49" s="139"/>
      <c r="I49" s="139"/>
      <c r="J49" s="139"/>
      <c r="K49" s="139"/>
      <c r="L49" s="139"/>
      <c r="M49" s="139"/>
      <c r="N49" s="139"/>
      <c r="O49" s="139"/>
      <c r="P49" s="139"/>
      <c r="Q49" s="140"/>
    </row>
    <row r="50" spans="1:20" ht="11.4" customHeight="1" x14ac:dyDescent="0.25">
      <c r="A50" s="35" t="s">
        <v>131</v>
      </c>
      <c r="B50" s="36" t="s">
        <v>132</v>
      </c>
      <c r="C50" s="40">
        <v>554920308</v>
      </c>
      <c r="D50" s="38">
        <f>C50*J50</f>
        <v>77799827.18159999</v>
      </c>
      <c r="E50" s="39">
        <v>0</v>
      </c>
      <c r="F50" s="40" t="s">
        <v>55</v>
      </c>
      <c r="G50" s="70">
        <v>0.1</v>
      </c>
      <c r="H50" s="42">
        <v>0.13159999999999999</v>
      </c>
      <c r="I50" s="42">
        <v>0.14019999999999999</v>
      </c>
      <c r="J50" s="44">
        <f>I50</f>
        <v>0.14019999999999999</v>
      </c>
      <c r="K50" s="39">
        <v>0</v>
      </c>
      <c r="L50" s="46">
        <f>I50-H50</f>
        <v>8.5999999999999965E-3</v>
      </c>
      <c r="M50" s="46">
        <f>((I50-H50)/H50)*100</f>
        <v>6.5349544072948307</v>
      </c>
      <c r="N50" s="47">
        <v>4504</v>
      </c>
      <c r="O50" s="37">
        <v>631.46</v>
      </c>
      <c r="P50" s="71">
        <f>(R50)/J50</f>
        <v>0</v>
      </c>
      <c r="Q50" s="49">
        <f>J50/G50-1</f>
        <v>0.40199999999999991</v>
      </c>
      <c r="T50" s="52"/>
    </row>
    <row r="51" spans="1:20" ht="12" customHeight="1" x14ac:dyDescent="0.25">
      <c r="A51" s="35" t="s">
        <v>145</v>
      </c>
      <c r="B51" s="36" t="s">
        <v>146</v>
      </c>
      <c r="C51" s="40">
        <v>1057685</v>
      </c>
      <c r="D51" s="38">
        <f>C51*J51</f>
        <v>42307400</v>
      </c>
      <c r="E51" s="39">
        <v>0</v>
      </c>
      <c r="F51" s="40" t="s">
        <v>34</v>
      </c>
      <c r="G51" s="70">
        <v>39.9</v>
      </c>
      <c r="H51" s="42">
        <v>39.957000000000001</v>
      </c>
      <c r="I51" s="42">
        <v>40</v>
      </c>
      <c r="J51" s="44">
        <f>I51</f>
        <v>40</v>
      </c>
      <c r="K51" s="39">
        <v>0</v>
      </c>
      <c r="L51" s="46">
        <f>I51-H51</f>
        <v>4.2999999999999261E-2</v>
      </c>
      <c r="M51" s="46">
        <f>((I51-H51)/H51)*100</f>
        <v>0.10761568686337628</v>
      </c>
      <c r="N51" s="47">
        <v>22</v>
      </c>
      <c r="O51" s="37">
        <v>880</v>
      </c>
      <c r="P51" s="74">
        <f>(R51)/J51</f>
        <v>1.4000000000000002E-2</v>
      </c>
      <c r="Q51" s="49">
        <f>J51/G51-1</f>
        <v>2.5062656641603454E-3</v>
      </c>
      <c r="R51" s="52">
        <v>0.56000000000000005</v>
      </c>
      <c r="T51" s="52"/>
    </row>
    <row r="52" spans="1:20" ht="12" customHeight="1" x14ac:dyDescent="0.25">
      <c r="A52" s="35" t="s">
        <v>141</v>
      </c>
      <c r="B52" s="36" t="s">
        <v>142</v>
      </c>
      <c r="C52" s="40">
        <v>2992163203</v>
      </c>
      <c r="D52" s="38">
        <f>C52*J52</f>
        <v>783348326.5453999</v>
      </c>
      <c r="E52" s="39"/>
      <c r="F52" s="40" t="s">
        <v>58</v>
      </c>
      <c r="G52" s="70">
        <v>0.33</v>
      </c>
      <c r="H52" s="42">
        <v>0.22889999999999999</v>
      </c>
      <c r="I52" s="42">
        <v>0.26179999999999998</v>
      </c>
      <c r="J52" s="44">
        <f>I52</f>
        <v>0.26179999999999998</v>
      </c>
      <c r="K52" s="39">
        <v>0</v>
      </c>
      <c r="L52" s="46">
        <f>I52-H52</f>
        <v>3.2899999999999985E-2</v>
      </c>
      <c r="M52" s="46">
        <f>((I52-H52)/H52)*100</f>
        <v>14.373088685015285</v>
      </c>
      <c r="N52" s="47">
        <v>979616</v>
      </c>
      <c r="O52" s="37">
        <v>256507.86</v>
      </c>
      <c r="P52" s="71">
        <v>0</v>
      </c>
      <c r="Q52" s="49">
        <f>J52/G52-1</f>
        <v>-0.20666666666666678</v>
      </c>
      <c r="R52" s="52"/>
      <c r="T52" s="52"/>
    </row>
    <row r="53" spans="1:20" ht="12" customHeight="1" x14ac:dyDescent="0.25">
      <c r="A53" s="35" t="s">
        <v>139</v>
      </c>
      <c r="B53" s="36" t="s">
        <v>140</v>
      </c>
      <c r="C53" s="40">
        <v>609740943</v>
      </c>
      <c r="D53" s="38">
        <f>C53*J53</f>
        <v>12194818.859999999</v>
      </c>
      <c r="E53" s="39">
        <v>0</v>
      </c>
      <c r="F53" s="40" t="s">
        <v>37</v>
      </c>
      <c r="G53" s="70">
        <v>2.3E-2</v>
      </c>
      <c r="H53" s="42">
        <v>2.01E-2</v>
      </c>
      <c r="I53" s="42">
        <v>0.02</v>
      </c>
      <c r="J53" s="44">
        <f>I53</f>
        <v>0.02</v>
      </c>
      <c r="K53" s="39">
        <v>0</v>
      </c>
      <c r="L53" s="46">
        <f>I53-H53</f>
        <v>-9.9999999999999395E-5</v>
      </c>
      <c r="M53" s="46">
        <f>((I53-H53)/H53)*100</f>
        <v>-0.49751243781094223</v>
      </c>
      <c r="N53" s="47">
        <v>3663</v>
      </c>
      <c r="O53" s="37">
        <v>73.260000000000005</v>
      </c>
      <c r="P53" s="71">
        <f>(R53)/J53</f>
        <v>0</v>
      </c>
      <c r="Q53" s="49">
        <f>J53/G53-1</f>
        <v>-0.13043478260869557</v>
      </c>
      <c r="T53" s="52"/>
    </row>
    <row r="54" spans="1:20" ht="12" customHeight="1" x14ac:dyDescent="0.25">
      <c r="A54" s="35" t="s">
        <v>135</v>
      </c>
      <c r="B54" s="36" t="s">
        <v>136</v>
      </c>
      <c r="C54" s="40">
        <v>2162695929</v>
      </c>
      <c r="D54" s="38">
        <f>C54*J54</f>
        <v>324620658.9429</v>
      </c>
      <c r="E54" s="39">
        <v>0</v>
      </c>
      <c r="F54" s="40" t="s">
        <v>52</v>
      </c>
      <c r="G54" s="70">
        <v>9.0200000000000002E-2</v>
      </c>
      <c r="H54" s="42">
        <v>0.14979999999999999</v>
      </c>
      <c r="I54" s="42">
        <v>0.15010000000000001</v>
      </c>
      <c r="J54" s="44">
        <f>I54</f>
        <v>0.15010000000000001</v>
      </c>
      <c r="K54" s="39">
        <v>0</v>
      </c>
      <c r="L54" s="46">
        <f>I54-H54</f>
        <v>3.0000000000002247E-4</v>
      </c>
      <c r="M54" s="72">
        <f>((I54-H54)/H54)*100</f>
        <v>0.20026702269694427</v>
      </c>
      <c r="N54" s="47">
        <v>11283</v>
      </c>
      <c r="O54" s="37">
        <v>1693.2</v>
      </c>
      <c r="P54" s="71">
        <f>(R54)/J54</f>
        <v>0</v>
      </c>
      <c r="Q54" s="49">
        <f>J54/G54-1</f>
        <v>0.66407982261640797</v>
      </c>
      <c r="R54" s="52"/>
      <c r="T54" s="52"/>
    </row>
    <row r="55" spans="1:20" ht="12" customHeight="1" x14ac:dyDescent="0.25">
      <c r="A55" s="35" t="s">
        <v>129</v>
      </c>
      <c r="B55" s="36" t="s">
        <v>130</v>
      </c>
      <c r="C55" s="40">
        <v>575926450</v>
      </c>
      <c r="D55" s="38">
        <f>C55*J55</f>
        <v>811077219.53500009</v>
      </c>
      <c r="E55" s="39">
        <v>0</v>
      </c>
      <c r="F55" s="40" t="s">
        <v>37</v>
      </c>
      <c r="G55" s="70">
        <v>0.95750000000000002</v>
      </c>
      <c r="H55" s="42">
        <v>1.4032</v>
      </c>
      <c r="I55" s="42">
        <v>1.4083000000000001</v>
      </c>
      <c r="J55" s="44">
        <f>I55</f>
        <v>1.4083000000000001</v>
      </c>
      <c r="K55" s="39">
        <v>0</v>
      </c>
      <c r="L55" s="46">
        <f>I55-H55</f>
        <v>5.1000000000001044E-3</v>
      </c>
      <c r="M55" s="46">
        <f>((I55-H55)/H55)*100</f>
        <v>0.36345496009122752</v>
      </c>
      <c r="N55" s="47">
        <v>198019</v>
      </c>
      <c r="O55" s="37">
        <v>278870.65000000002</v>
      </c>
      <c r="P55" s="74">
        <f>(R55)/J55</f>
        <v>3.3373570972094015E-2</v>
      </c>
      <c r="Q55" s="49">
        <f>J55/G55-1</f>
        <v>0.47080939947780687</v>
      </c>
      <c r="R55" s="52">
        <v>4.7E-2</v>
      </c>
      <c r="T55" s="52"/>
    </row>
    <row r="56" spans="1:20" ht="12" customHeight="1" x14ac:dyDescent="0.25">
      <c r="A56" s="35" t="s">
        <v>150</v>
      </c>
      <c r="B56" s="36" t="s">
        <v>151</v>
      </c>
      <c r="C56" s="40">
        <v>164208222</v>
      </c>
      <c r="D56" s="38">
        <f>C56*J56</f>
        <v>24631233.300000001</v>
      </c>
      <c r="E56" s="39">
        <v>0</v>
      </c>
      <c r="F56" s="40" t="s">
        <v>37</v>
      </c>
      <c r="G56" s="70">
        <v>0.1595</v>
      </c>
      <c r="H56" s="42">
        <v>0.15</v>
      </c>
      <c r="I56" s="42">
        <v>0.15</v>
      </c>
      <c r="J56" s="44">
        <f>I56</f>
        <v>0.15</v>
      </c>
      <c r="K56" s="39">
        <v>0</v>
      </c>
      <c r="L56" s="46">
        <f>I56-H56</f>
        <v>0</v>
      </c>
      <c r="M56" s="46">
        <f>((I56-H56)/H56)*100</f>
        <v>0</v>
      </c>
      <c r="N56" s="47">
        <v>617</v>
      </c>
      <c r="O56" s="37">
        <v>92.55</v>
      </c>
      <c r="P56" s="71">
        <f>(R56)/J56</f>
        <v>0</v>
      </c>
      <c r="Q56" s="49">
        <f>J56/G56-1</f>
        <v>-5.9561128526645857E-2</v>
      </c>
      <c r="T56" s="52"/>
    </row>
    <row r="57" spans="1:20" ht="12" customHeight="1" x14ac:dyDescent="0.25">
      <c r="A57" s="35" t="s">
        <v>121</v>
      </c>
      <c r="B57" s="36" t="s">
        <v>122</v>
      </c>
      <c r="C57" s="40">
        <v>953802800</v>
      </c>
      <c r="D57" s="38">
        <f>C57*J57</f>
        <v>18789915.16</v>
      </c>
      <c r="E57" s="39">
        <v>0</v>
      </c>
      <c r="F57" s="40" t="s">
        <v>55</v>
      </c>
      <c r="G57" s="70">
        <v>1.6799999999999999E-2</v>
      </c>
      <c r="H57" s="42">
        <v>1.9900000000000001E-2</v>
      </c>
      <c r="I57" s="42">
        <v>1.9699999999999999E-2</v>
      </c>
      <c r="J57" s="44">
        <f>I57</f>
        <v>1.9699999999999999E-2</v>
      </c>
      <c r="K57" s="39">
        <v>0</v>
      </c>
      <c r="L57" s="46">
        <f>I57-H57</f>
        <v>-2.0000000000000226E-4</v>
      </c>
      <c r="M57" s="72">
        <f>((I57-H57)/H57)*100</f>
        <v>-1.0050251256281519</v>
      </c>
      <c r="N57" s="47">
        <v>16220</v>
      </c>
      <c r="O57" s="37">
        <v>319.63</v>
      </c>
      <c r="P57" s="71">
        <f>(R57)/J57</f>
        <v>0</v>
      </c>
      <c r="Q57" s="49">
        <f>J57/G57-1</f>
        <v>0.17261904761904767</v>
      </c>
      <c r="T57" s="52"/>
    </row>
    <row r="58" spans="1:20" ht="12" customHeight="1" x14ac:dyDescent="0.25">
      <c r="A58" s="35" t="s">
        <v>147</v>
      </c>
      <c r="B58" s="36" t="s">
        <v>148</v>
      </c>
      <c r="C58" s="40">
        <v>161273</v>
      </c>
      <c r="D58" s="38">
        <f>C58*J58</f>
        <v>2607252.2090999996</v>
      </c>
      <c r="E58" s="39">
        <v>0</v>
      </c>
      <c r="F58" s="40" t="s">
        <v>149</v>
      </c>
      <c r="G58" s="70">
        <v>19.5</v>
      </c>
      <c r="H58" s="42">
        <v>14.8704</v>
      </c>
      <c r="I58" s="42">
        <v>16.166699999999999</v>
      </c>
      <c r="J58" s="44">
        <f>I58</f>
        <v>16.166699999999999</v>
      </c>
      <c r="K58" s="39">
        <v>0</v>
      </c>
      <c r="L58" s="46">
        <f>I58-H58</f>
        <v>1.2962999999999987</v>
      </c>
      <c r="M58" s="46">
        <f>((I58-H58)/H58)*100</f>
        <v>8.7173176242737149</v>
      </c>
      <c r="N58" s="47">
        <v>3</v>
      </c>
      <c r="O58" s="37">
        <v>48.5</v>
      </c>
      <c r="P58" s="71">
        <f>(R58)/J58</f>
        <v>0</v>
      </c>
      <c r="Q58" s="49">
        <f>J58/G58-1</f>
        <v>-0.17093846153846159</v>
      </c>
      <c r="T58" s="52"/>
    </row>
    <row r="59" spans="1:20" ht="12" customHeight="1" x14ac:dyDescent="0.25">
      <c r="A59" s="35" t="s">
        <v>123</v>
      </c>
      <c r="B59" s="36" t="s">
        <v>124</v>
      </c>
      <c r="C59" s="40">
        <v>65185544</v>
      </c>
      <c r="D59" s="38">
        <f>C59*J59</f>
        <v>52330954.723200001</v>
      </c>
      <c r="E59" s="39">
        <v>0</v>
      </c>
      <c r="F59" s="40" t="s">
        <v>52</v>
      </c>
      <c r="G59" s="70">
        <v>0.78169999999999995</v>
      </c>
      <c r="H59" s="73">
        <v>0.78169999999999995</v>
      </c>
      <c r="I59" s="42">
        <v>0.80279999999999996</v>
      </c>
      <c r="J59" s="44">
        <f>I59</f>
        <v>0.80279999999999996</v>
      </c>
      <c r="K59" s="39">
        <v>0</v>
      </c>
      <c r="L59" s="46">
        <f>I59-H59</f>
        <v>2.1100000000000008E-2</v>
      </c>
      <c r="M59" s="46">
        <f>((I59-H59)/H59)*100</f>
        <v>2.6992452347447884</v>
      </c>
      <c r="N59" s="47">
        <v>564238</v>
      </c>
      <c r="O59" s="37">
        <v>4529.7907000000005</v>
      </c>
      <c r="P59" s="71">
        <f>(R59)/J59</f>
        <v>0</v>
      </c>
      <c r="Q59" s="49">
        <f>J59/G59-1</f>
        <v>2.6992452347447848E-2</v>
      </c>
      <c r="R59" s="52"/>
      <c r="T59" s="52"/>
    </row>
    <row r="60" spans="1:20" ht="12" customHeight="1" x14ac:dyDescent="0.25">
      <c r="A60" s="35" t="s">
        <v>125</v>
      </c>
      <c r="B60" s="36" t="s">
        <v>126</v>
      </c>
      <c r="C60" s="40">
        <v>805090451</v>
      </c>
      <c r="D60" s="38">
        <f>C60*J60</f>
        <v>1071333863.1457</v>
      </c>
      <c r="E60" s="39">
        <v>0</v>
      </c>
      <c r="F60" s="40" t="s">
        <v>55</v>
      </c>
      <c r="G60" s="70">
        <v>0.59499999999999997</v>
      </c>
      <c r="H60" s="42">
        <v>1.37</v>
      </c>
      <c r="I60" s="42">
        <v>1.3307</v>
      </c>
      <c r="J60" s="44">
        <f>I60</f>
        <v>1.3307</v>
      </c>
      <c r="K60" s="39">
        <v>0</v>
      </c>
      <c r="L60" s="46">
        <f>I60-H60</f>
        <v>-3.9300000000000113E-2</v>
      </c>
      <c r="M60" s="46">
        <f>((I60-H60)/H60)*100</f>
        <v>-2.8686131386861393</v>
      </c>
      <c r="N60" s="47">
        <v>4565</v>
      </c>
      <c r="O60" s="37">
        <v>6074.59</v>
      </c>
      <c r="P60" s="71">
        <f>(R60)/J60</f>
        <v>0</v>
      </c>
      <c r="Q60" s="49">
        <f>J60/G60-1</f>
        <v>1.236470588235294</v>
      </c>
      <c r="T60" s="52"/>
    </row>
    <row r="61" spans="1:20" ht="12" customHeight="1" x14ac:dyDescent="0.25">
      <c r="A61" s="35" t="s">
        <v>119</v>
      </c>
      <c r="B61" s="36" t="s">
        <v>120</v>
      </c>
      <c r="C61" s="40">
        <v>260714518</v>
      </c>
      <c r="D61" s="38">
        <f>C61*J61</f>
        <v>108535453.8434</v>
      </c>
      <c r="E61" s="39">
        <v>0</v>
      </c>
      <c r="F61" s="40" t="s">
        <v>37</v>
      </c>
      <c r="G61" s="70">
        <v>0.22600000000000001</v>
      </c>
      <c r="H61" s="42">
        <v>0.41699999999999998</v>
      </c>
      <c r="I61" s="42">
        <v>0.4163</v>
      </c>
      <c r="J61" s="44">
        <f>I61</f>
        <v>0.4163</v>
      </c>
      <c r="K61" s="39">
        <v>0</v>
      </c>
      <c r="L61" s="46">
        <f>I61-H61</f>
        <v>-6.9999999999997842E-4</v>
      </c>
      <c r="M61" s="46">
        <f>((I61-H61)/H61)*100</f>
        <v>-0.16786570743404758</v>
      </c>
      <c r="N61" s="47">
        <v>975</v>
      </c>
      <c r="O61" s="37">
        <v>405.89</v>
      </c>
      <c r="P61" s="71">
        <f>(R61)/J61</f>
        <v>0</v>
      </c>
      <c r="Q61" s="49">
        <f>J61/G61-1</f>
        <v>0.84203539823008855</v>
      </c>
      <c r="R61" s="52"/>
      <c r="T61" s="52"/>
    </row>
    <row r="62" spans="1:20" ht="12" customHeight="1" x14ac:dyDescent="0.25">
      <c r="A62" s="35" t="s">
        <v>127</v>
      </c>
      <c r="B62" s="36" t="s">
        <v>128</v>
      </c>
      <c r="C62" s="40">
        <v>562184788</v>
      </c>
      <c r="D62" s="38">
        <f>C62*J62</f>
        <v>421357498.60600001</v>
      </c>
      <c r="E62" s="39">
        <v>0</v>
      </c>
      <c r="F62" s="40" t="s">
        <v>37</v>
      </c>
      <c r="G62" s="70">
        <v>0.49440000000000001</v>
      </c>
      <c r="H62" s="42">
        <v>0.72989999999999999</v>
      </c>
      <c r="I62" s="42">
        <v>0.74950000000000006</v>
      </c>
      <c r="J62" s="44">
        <f>I62</f>
        <v>0.74950000000000006</v>
      </c>
      <c r="K62" s="39">
        <v>0</v>
      </c>
      <c r="L62" s="46">
        <f>I62-H62</f>
        <v>1.9600000000000062E-2</v>
      </c>
      <c r="M62" s="46">
        <f>((I62-H62)/H62)*100</f>
        <v>2.6852993560761833</v>
      </c>
      <c r="N62" s="47">
        <v>20344</v>
      </c>
      <c r="O62" s="37">
        <v>15248.76</v>
      </c>
      <c r="P62" s="71">
        <f>(R62)/J62</f>
        <v>0</v>
      </c>
      <c r="Q62" s="49">
        <f>J62/G62-1</f>
        <v>0.51597896440129465</v>
      </c>
      <c r="R62" s="52"/>
      <c r="T62" s="52"/>
    </row>
    <row r="63" spans="1:20" ht="12" customHeight="1" x14ac:dyDescent="0.25">
      <c r="A63" s="35" t="s">
        <v>143</v>
      </c>
      <c r="B63" s="36" t="s">
        <v>144</v>
      </c>
      <c r="C63" s="40">
        <v>364526035</v>
      </c>
      <c r="D63" s="38">
        <f>C63*J63</f>
        <v>80195727.700000003</v>
      </c>
      <c r="E63" s="39">
        <v>0</v>
      </c>
      <c r="F63" s="40" t="s">
        <v>37</v>
      </c>
      <c r="G63" s="70">
        <v>0.25950000000000001</v>
      </c>
      <c r="H63" s="42">
        <v>0.22</v>
      </c>
      <c r="I63" s="42">
        <v>0.22</v>
      </c>
      <c r="J63" s="44">
        <f>I63</f>
        <v>0.22</v>
      </c>
      <c r="K63" s="39">
        <v>0</v>
      </c>
      <c r="L63" s="46">
        <f>I63-H63</f>
        <v>0</v>
      </c>
      <c r="M63" s="46">
        <f>((I63-H63)/H63)*100</f>
        <v>0</v>
      </c>
      <c r="N63" s="47">
        <v>2567</v>
      </c>
      <c r="O63" s="37">
        <v>564.74</v>
      </c>
      <c r="P63" s="71">
        <f>(R63)/J63</f>
        <v>0</v>
      </c>
      <c r="Q63" s="49">
        <f>J63/G63-1</f>
        <v>-0.1522157996146436</v>
      </c>
      <c r="R63" s="52"/>
      <c r="T63" s="52"/>
    </row>
    <row r="64" spans="1:20" x14ac:dyDescent="0.25">
      <c r="A64" s="35" t="s">
        <v>133</v>
      </c>
      <c r="B64" s="36" t="s">
        <v>134</v>
      </c>
      <c r="C64" s="40">
        <v>30000000</v>
      </c>
      <c r="D64" s="38">
        <f>C64*J64</f>
        <v>300000000</v>
      </c>
      <c r="E64" s="39">
        <v>0</v>
      </c>
      <c r="F64" s="40" t="s">
        <v>49</v>
      </c>
      <c r="G64" s="70">
        <v>10</v>
      </c>
      <c r="H64" s="42">
        <v>10</v>
      </c>
      <c r="I64" s="42">
        <v>10</v>
      </c>
      <c r="J64" s="44">
        <f>I64</f>
        <v>10</v>
      </c>
      <c r="K64" s="39">
        <v>0</v>
      </c>
      <c r="L64" s="46">
        <f>I64-H64</f>
        <v>0</v>
      </c>
      <c r="M64" s="46">
        <f>((I64-H64)/H64)*100</f>
        <v>0</v>
      </c>
      <c r="N64" s="47">
        <v>0</v>
      </c>
      <c r="O64" s="37">
        <v>0</v>
      </c>
      <c r="P64" s="71">
        <f>(R64)/J64</f>
        <v>0</v>
      </c>
      <c r="Q64" s="49">
        <f>J64/G64-1</f>
        <v>0</v>
      </c>
      <c r="T64" s="52"/>
    </row>
    <row r="65" spans="1:20" x14ac:dyDescent="0.25">
      <c r="A65" s="35" t="s">
        <v>137</v>
      </c>
      <c r="B65" s="36" t="s">
        <v>138</v>
      </c>
      <c r="C65" s="40">
        <v>344580486</v>
      </c>
      <c r="D65" s="38">
        <f>C65*J65</f>
        <v>37180234.439399995</v>
      </c>
      <c r="E65" s="39">
        <v>0</v>
      </c>
      <c r="F65" s="40" t="s">
        <v>81</v>
      </c>
      <c r="G65" s="70">
        <v>4.2999999999999997E-2</v>
      </c>
      <c r="H65" s="42">
        <v>0.1077</v>
      </c>
      <c r="I65" s="42">
        <v>0.1079</v>
      </c>
      <c r="J65" s="44">
        <f>I65</f>
        <v>0.1079</v>
      </c>
      <c r="K65" s="39">
        <v>0</v>
      </c>
      <c r="L65" s="46">
        <f>I65-H65</f>
        <v>1.9999999999999185E-4</v>
      </c>
      <c r="M65" s="46">
        <f>((I65-H65)/H65)*100</f>
        <v>0.1857010213556099</v>
      </c>
      <c r="N65" s="47">
        <v>7115</v>
      </c>
      <c r="O65" s="37">
        <v>767.76</v>
      </c>
      <c r="P65" s="71">
        <f>(R65)/J65</f>
        <v>0</v>
      </c>
      <c r="Q65" s="49">
        <f>J65/G65-1</f>
        <v>1.5093023255813955</v>
      </c>
      <c r="T65" s="52"/>
    </row>
    <row r="66" spans="1:20" ht="13.2" x14ac:dyDescent="0.35">
      <c r="A66" s="75"/>
      <c r="B66" s="36" t="s">
        <v>117</v>
      </c>
      <c r="C66" s="40"/>
      <c r="D66" s="76"/>
      <c r="E66" s="76"/>
      <c r="F66" s="40"/>
      <c r="G66" s="40"/>
      <c r="H66" s="42"/>
      <c r="I66" s="42"/>
      <c r="J66" s="42"/>
      <c r="K66" s="42"/>
      <c r="L66" s="46"/>
      <c r="M66" s="77"/>
      <c r="N66" s="61">
        <f>SUM(N50:N65)</f>
        <v>1813751</v>
      </c>
      <c r="O66" s="62">
        <f>SUM(O50:O65)</f>
        <v>566708.64070000011</v>
      </c>
      <c r="P66" s="78"/>
      <c r="Q66" s="63"/>
    </row>
    <row r="67" spans="1:20" ht="12.6" hidden="1" x14ac:dyDescent="0.3">
      <c r="A67" s="131" t="s">
        <v>152</v>
      </c>
      <c r="B67" s="132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4"/>
    </row>
    <row r="68" spans="1:20" ht="12.6" hidden="1" thickBot="1" x14ac:dyDescent="0.3">
      <c r="A68" s="79" t="s">
        <v>153</v>
      </c>
      <c r="B68" s="80" t="s">
        <v>154</v>
      </c>
      <c r="C68" s="81">
        <v>20000</v>
      </c>
      <c r="D68" s="82">
        <f>C68*J68</f>
        <v>0</v>
      </c>
      <c r="E68" s="82"/>
      <c r="F68" s="81" t="s">
        <v>155</v>
      </c>
      <c r="G68" s="81"/>
      <c r="H68" s="83">
        <v>100</v>
      </c>
      <c r="I68" s="83"/>
      <c r="J68" s="83"/>
      <c r="K68" s="83"/>
      <c r="L68" s="84">
        <f>I68-H68</f>
        <v>-100</v>
      </c>
      <c r="M68" s="85">
        <f>((I68-H68)/H68)*100</f>
        <v>-100</v>
      </c>
      <c r="N68" s="86" t="s">
        <v>59</v>
      </c>
      <c r="O68" s="86" t="s">
        <v>59</v>
      </c>
      <c r="P68" s="86"/>
      <c r="Q68" s="87">
        <v>100</v>
      </c>
    </row>
    <row r="69" spans="1:20" ht="12.6" thickBot="1" x14ac:dyDescent="0.3">
      <c r="A69" s="35"/>
      <c r="B69" s="36" t="s">
        <v>117</v>
      </c>
      <c r="C69" s="40"/>
      <c r="D69" s="37"/>
      <c r="E69" s="37"/>
      <c r="F69" s="40"/>
      <c r="G69" s="40"/>
      <c r="H69" s="42"/>
      <c r="I69" s="42"/>
      <c r="J69" s="42"/>
      <c r="K69" s="42"/>
      <c r="L69" s="46"/>
      <c r="M69" s="77"/>
      <c r="N69" s="88"/>
      <c r="O69" s="88"/>
      <c r="P69" s="88"/>
      <c r="Q69" s="63"/>
    </row>
    <row r="70" spans="1:20" ht="12.6" x14ac:dyDescent="0.3">
      <c r="A70" s="131" t="s">
        <v>156</v>
      </c>
      <c r="B70" s="132"/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4"/>
    </row>
    <row r="71" spans="1:20" x14ac:dyDescent="0.25">
      <c r="A71" s="35" t="s">
        <v>157</v>
      </c>
      <c r="B71" s="89" t="s">
        <v>158</v>
      </c>
      <c r="C71" s="90">
        <v>139300587</v>
      </c>
      <c r="D71" s="38">
        <f>C71*J71</f>
        <v>48713415.273900002</v>
      </c>
      <c r="E71" s="39">
        <f>C71*K71</f>
        <v>48713415.273900002</v>
      </c>
      <c r="F71" s="90" t="s">
        <v>159</v>
      </c>
      <c r="G71" s="90">
        <v>0.24</v>
      </c>
      <c r="H71" s="91">
        <v>0.35980000000000001</v>
      </c>
      <c r="I71" s="91">
        <v>0.34970000000000001</v>
      </c>
      <c r="J71" s="92">
        <f>I71</f>
        <v>0.34970000000000001</v>
      </c>
      <c r="K71" s="92">
        <f>J71</f>
        <v>0.34970000000000001</v>
      </c>
      <c r="L71" s="46">
        <f>I71-H71</f>
        <v>-1.0099999999999998E-2</v>
      </c>
      <c r="M71" s="46">
        <f>((I71-H71)/H71)*100</f>
        <v>-2.8071150639244018</v>
      </c>
      <c r="N71" s="93">
        <v>848</v>
      </c>
      <c r="O71" s="94">
        <v>296.56</v>
      </c>
      <c r="P71" s="71">
        <f>(R71)/J71</f>
        <v>0</v>
      </c>
      <c r="Q71" s="49">
        <f>J71/G71-1</f>
        <v>0.45708333333333351</v>
      </c>
      <c r="T71" s="52"/>
    </row>
    <row r="72" spans="1:20" x14ac:dyDescent="0.25">
      <c r="A72" s="35" t="s">
        <v>160</v>
      </c>
      <c r="B72" s="89" t="s">
        <v>161</v>
      </c>
      <c r="C72" s="90">
        <v>471351750</v>
      </c>
      <c r="D72" s="38">
        <f>C72*J72</f>
        <v>70231410.75</v>
      </c>
      <c r="E72" s="39">
        <f>C72*K72</f>
        <v>70231410.75</v>
      </c>
      <c r="F72" s="90" t="s">
        <v>159</v>
      </c>
      <c r="G72" s="90">
        <v>0.1</v>
      </c>
      <c r="H72" s="91">
        <v>0.1484</v>
      </c>
      <c r="I72" s="91">
        <v>0.14899999999999999</v>
      </c>
      <c r="J72" s="92">
        <f>I72</f>
        <v>0.14899999999999999</v>
      </c>
      <c r="K72" s="92">
        <f>J72</f>
        <v>0.14899999999999999</v>
      </c>
      <c r="L72" s="46">
        <f>I72-H72</f>
        <v>5.9999999999998943E-4</v>
      </c>
      <c r="M72" s="46">
        <f>((I72-H72)/H72)*100</f>
        <v>0.40431266846360475</v>
      </c>
      <c r="N72" s="47">
        <v>1982</v>
      </c>
      <c r="O72" s="94">
        <v>295.31</v>
      </c>
      <c r="P72" s="95">
        <f>(R72)/J72</f>
        <v>2.54496644295302E-2</v>
      </c>
      <c r="Q72" s="49">
        <f>J72/G72-1</f>
        <v>0.48999999999999977</v>
      </c>
      <c r="R72" s="5">
        <v>3.7919999999999998E-3</v>
      </c>
      <c r="T72" s="52"/>
    </row>
    <row r="73" spans="1:20" ht="13.8" thickBot="1" x14ac:dyDescent="0.4">
      <c r="A73" s="35"/>
      <c r="B73" s="36" t="s">
        <v>117</v>
      </c>
      <c r="C73" s="40"/>
      <c r="D73" s="37"/>
      <c r="E73" s="37"/>
      <c r="F73" s="40"/>
      <c r="G73" s="40"/>
      <c r="H73" s="42"/>
      <c r="I73" s="42"/>
      <c r="J73" s="42"/>
      <c r="K73" s="42"/>
      <c r="L73" s="46"/>
      <c r="M73" s="77"/>
      <c r="N73" s="61">
        <f>SUM(N71:N72)</f>
        <v>2830</v>
      </c>
      <c r="O73" s="62">
        <f>SUM(O71:O72)</f>
        <v>591.87</v>
      </c>
      <c r="P73" s="88"/>
      <c r="Q73" s="63"/>
    </row>
    <row r="74" spans="1:20" ht="12.6" x14ac:dyDescent="0.3">
      <c r="A74" s="131" t="s">
        <v>162</v>
      </c>
      <c r="B74" s="132"/>
      <c r="C74" s="133"/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4"/>
    </row>
    <row r="75" spans="1:20" x14ac:dyDescent="0.25">
      <c r="A75" s="35" t="s">
        <v>163</v>
      </c>
      <c r="B75" s="89" t="s">
        <v>164</v>
      </c>
      <c r="C75" s="90">
        <v>20819695</v>
      </c>
      <c r="D75" s="38">
        <f>C75*J75</f>
        <v>2529592.9424999999</v>
      </c>
      <c r="E75" s="39">
        <f>C75*K75</f>
        <v>2529592.9424999999</v>
      </c>
      <c r="F75" s="90" t="s">
        <v>149</v>
      </c>
      <c r="G75" s="90">
        <v>0.1394</v>
      </c>
      <c r="H75" s="91">
        <v>0.122</v>
      </c>
      <c r="I75" s="91">
        <v>0.1215</v>
      </c>
      <c r="J75" s="92">
        <f>I75</f>
        <v>0.1215</v>
      </c>
      <c r="K75" s="92">
        <f>J75</f>
        <v>0.1215</v>
      </c>
      <c r="L75" s="46">
        <f>I75-H75</f>
        <v>-5.0000000000000044E-4</v>
      </c>
      <c r="M75" s="46">
        <f>((I75-H75)/H75)*100</f>
        <v>-0.40983606557377084</v>
      </c>
      <c r="N75" s="93">
        <v>29485</v>
      </c>
      <c r="O75" s="94">
        <v>3581.51</v>
      </c>
      <c r="P75" s="71">
        <f>(R75)/J75</f>
        <v>0</v>
      </c>
      <c r="Q75" s="49">
        <f>J75/G75-1</f>
        <v>-0.1284074605451937</v>
      </c>
    </row>
    <row r="76" spans="1:20" ht="13.2" x14ac:dyDescent="0.35">
      <c r="A76" s="35"/>
      <c r="B76" s="36" t="s">
        <v>117</v>
      </c>
      <c r="C76" s="40"/>
      <c r="D76" s="37"/>
      <c r="E76" s="37"/>
      <c r="F76" s="40"/>
      <c r="G76" s="40"/>
      <c r="H76" s="42"/>
      <c r="I76" s="42"/>
      <c r="J76" s="42"/>
      <c r="K76" s="42"/>
      <c r="L76" s="46"/>
      <c r="M76" s="77"/>
      <c r="N76" s="61"/>
      <c r="O76" s="62"/>
      <c r="P76" s="88"/>
      <c r="Q76" s="63"/>
    </row>
    <row r="77" spans="1:20" ht="12.6" x14ac:dyDescent="0.3">
      <c r="A77" s="137" t="s">
        <v>165</v>
      </c>
      <c r="B77" s="138"/>
      <c r="C77" s="139"/>
      <c r="D77" s="139"/>
      <c r="E77" s="139"/>
      <c r="F77" s="139"/>
      <c r="G77" s="139"/>
      <c r="H77" s="139"/>
      <c r="I77" s="139"/>
      <c r="J77" s="139"/>
      <c r="K77" s="139"/>
      <c r="L77" s="139"/>
      <c r="M77" s="139"/>
      <c r="N77" s="139"/>
      <c r="O77" s="139"/>
      <c r="P77" s="139"/>
      <c r="Q77" s="140"/>
    </row>
    <row r="78" spans="1:20" x14ac:dyDescent="0.25">
      <c r="A78" s="35" t="s">
        <v>166</v>
      </c>
      <c r="B78" s="36" t="s">
        <v>167</v>
      </c>
      <c r="C78" s="40">
        <v>31703227</v>
      </c>
      <c r="D78" s="38">
        <f>C78*J78</f>
        <v>107310.53063097285</v>
      </c>
      <c r="E78" s="39">
        <f>C78*K78</f>
        <v>90580.648571428566</v>
      </c>
      <c r="F78" s="40" t="s">
        <v>149</v>
      </c>
      <c r="G78" s="70">
        <v>0.105</v>
      </c>
      <c r="H78" s="42">
        <v>8.0500000000000002E-2</v>
      </c>
      <c r="I78" s="42">
        <v>0.09</v>
      </c>
      <c r="J78" s="44">
        <f>I78/$J$5</f>
        <v>3.3848456698421536E-3</v>
      </c>
      <c r="K78" s="45">
        <f>I78/$K$4</f>
        <v>2.8571428571428571E-3</v>
      </c>
      <c r="L78" s="46">
        <f>I78-H78</f>
        <v>9.4999999999999946E-3</v>
      </c>
      <c r="M78" s="96">
        <f>((I78-H78)/H78)*100</f>
        <v>11.801242236024837</v>
      </c>
      <c r="N78" s="37">
        <v>1000</v>
      </c>
      <c r="O78" s="37">
        <v>90</v>
      </c>
      <c r="P78" s="40">
        <v>0</v>
      </c>
      <c r="Q78" s="49">
        <f>I78/G78-1</f>
        <v>-0.1428571428571429</v>
      </c>
    </row>
    <row r="79" spans="1:20" x14ac:dyDescent="0.25">
      <c r="A79" s="35" t="s">
        <v>168</v>
      </c>
      <c r="B79" s="36" t="s">
        <v>169</v>
      </c>
      <c r="C79" s="40">
        <v>136162052</v>
      </c>
      <c r="D79" s="38">
        <f>C79*J79</f>
        <v>409677.80631913082</v>
      </c>
      <c r="E79" s="39">
        <f>C79*K79</f>
        <v>345808.38603174605</v>
      </c>
      <c r="F79" s="40" t="s">
        <v>149</v>
      </c>
      <c r="G79" s="70">
        <v>4.2500000000000003E-2</v>
      </c>
      <c r="H79" s="42">
        <v>0.08</v>
      </c>
      <c r="I79" s="42">
        <v>0.08</v>
      </c>
      <c r="J79" s="44">
        <f>I79/$J$5</f>
        <v>3.0087517065263587E-3</v>
      </c>
      <c r="K79" s="45">
        <f>I79/$K$4</f>
        <v>2.5396825396825397E-3</v>
      </c>
      <c r="L79" s="46">
        <f>I79-H79</f>
        <v>0</v>
      </c>
      <c r="M79" s="96">
        <f>((I79-H79)/H79)*100</f>
        <v>0</v>
      </c>
      <c r="N79" s="37">
        <v>0</v>
      </c>
      <c r="O79" s="37">
        <v>0</v>
      </c>
      <c r="P79" s="40">
        <v>0</v>
      </c>
      <c r="Q79" s="49">
        <f>I79/G79-1</f>
        <v>0.88235294117647056</v>
      </c>
    </row>
    <row r="80" spans="1:20" x14ac:dyDescent="0.25">
      <c r="A80" s="35" t="s">
        <v>170</v>
      </c>
      <c r="B80" s="36" t="s">
        <v>171</v>
      </c>
      <c r="C80" s="40">
        <v>6677853</v>
      </c>
      <c r="D80" s="38">
        <f>C80*J80</f>
        <v>32649.50261573352</v>
      </c>
      <c r="E80" s="39">
        <f>C80*K80</f>
        <v>27559.393333333337</v>
      </c>
      <c r="F80" s="40" t="s">
        <v>149</v>
      </c>
      <c r="G80" s="70">
        <v>6.0499999999999998E-2</v>
      </c>
      <c r="H80" s="42">
        <v>0.13</v>
      </c>
      <c r="I80" s="42">
        <v>0.13</v>
      </c>
      <c r="J80" s="44">
        <f>I80/$J$5</f>
        <v>4.8892215231053334E-3</v>
      </c>
      <c r="K80" s="45">
        <f>I80/$K$4</f>
        <v>4.1269841269841274E-3</v>
      </c>
      <c r="L80" s="46">
        <f>I80-H80</f>
        <v>0</v>
      </c>
      <c r="M80" s="96">
        <f>((I80-H80)/H80)*100</f>
        <v>0</v>
      </c>
      <c r="N80" s="37">
        <v>0</v>
      </c>
      <c r="O80" s="37">
        <v>0</v>
      </c>
      <c r="P80" s="40">
        <v>0</v>
      </c>
      <c r="Q80" s="49">
        <f>I80/G80-1</f>
        <v>1.1487603305785123</v>
      </c>
    </row>
    <row r="81" spans="1:243" x14ac:dyDescent="0.25">
      <c r="A81" s="35" t="s">
        <v>172</v>
      </c>
      <c r="B81" s="36" t="s">
        <v>173</v>
      </c>
      <c r="C81" s="37">
        <v>494417400</v>
      </c>
      <c r="D81" s="38">
        <f>C81*J81</f>
        <v>29565636.520228218</v>
      </c>
      <c r="E81" s="39">
        <f>C81*K81</f>
        <v>24956306.857142858</v>
      </c>
      <c r="F81" s="40" t="s">
        <v>149</v>
      </c>
      <c r="G81" s="70">
        <v>1.85</v>
      </c>
      <c r="H81" s="42">
        <v>1.59</v>
      </c>
      <c r="I81" s="42">
        <v>1.59</v>
      </c>
      <c r="J81" s="44">
        <f>I81/$J$5</f>
        <v>5.9798940167211385E-2</v>
      </c>
      <c r="K81" s="45">
        <f>I81/$K$4</f>
        <v>5.047619047619048E-2</v>
      </c>
      <c r="L81" s="46">
        <f>I81-H81</f>
        <v>0</v>
      </c>
      <c r="M81" s="96">
        <f>((I81-H81)/H81)*100</f>
        <v>0</v>
      </c>
      <c r="N81" s="37">
        <v>0</v>
      </c>
      <c r="O81" s="37">
        <v>0</v>
      </c>
      <c r="P81" s="40">
        <v>0</v>
      </c>
      <c r="Q81" s="49">
        <f>I81/G81-1</f>
        <v>-0.14054054054054055</v>
      </c>
    </row>
    <row r="82" spans="1:243" ht="15" thickBot="1" x14ac:dyDescent="0.4">
      <c r="A82" s="35"/>
      <c r="B82" s="36" t="s">
        <v>117</v>
      </c>
      <c r="C82" s="37"/>
      <c r="D82" s="37"/>
      <c r="E82" s="37"/>
      <c r="F82" s="40"/>
      <c r="G82" s="40"/>
      <c r="H82" s="42"/>
      <c r="I82" s="42"/>
      <c r="J82" s="42"/>
      <c r="K82" s="42"/>
      <c r="L82" s="46"/>
      <c r="M82" s="46"/>
      <c r="N82" s="61">
        <f>SUM(N78:N81)</f>
        <v>1000</v>
      </c>
      <c r="O82" s="62">
        <f>SUM(O78:O81)</f>
        <v>90</v>
      </c>
      <c r="P82" s="78"/>
      <c r="Q82" s="63"/>
      <c r="V82" s="97"/>
      <c r="W82" s="97"/>
      <c r="DU82" s="98"/>
      <c r="DV82" s="98"/>
      <c r="DW82" s="99"/>
      <c r="DX82" s="100"/>
      <c r="DY82" s="100"/>
      <c r="DZ82" s="101"/>
      <c r="EA82" s="101"/>
      <c r="EB82" s="102"/>
      <c r="EC82" s="102"/>
      <c r="ED82" s="103"/>
      <c r="EE82" s="103"/>
      <c r="EF82" s="101"/>
      <c r="EG82" s="104"/>
      <c r="EH82" s="105"/>
      <c r="EI82" s="99"/>
      <c r="EJ82" s="98"/>
      <c r="EK82" s="98"/>
      <c r="EL82" s="99"/>
      <c r="EM82" s="100"/>
      <c r="EN82" s="100"/>
      <c r="EO82" s="101"/>
      <c r="EP82" s="101"/>
      <c r="EQ82" s="102"/>
      <c r="ER82" s="102"/>
      <c r="ES82" s="103"/>
      <c r="ET82" s="103"/>
      <c r="EU82" s="101"/>
      <c r="EV82" s="104"/>
      <c r="EW82" s="105"/>
      <c r="EX82" s="99"/>
      <c r="EY82" s="98"/>
      <c r="EZ82" s="98"/>
      <c r="FA82" s="99"/>
      <c r="FB82" s="100"/>
      <c r="FC82" s="100"/>
      <c r="FD82" s="101"/>
      <c r="FE82" s="101"/>
      <c r="FF82" s="102"/>
      <c r="FG82" s="102"/>
      <c r="FH82" s="103"/>
      <c r="FI82" s="103"/>
      <c r="FJ82" s="101"/>
      <c r="FK82" s="104"/>
      <c r="FL82" s="105"/>
      <c r="FM82" s="99"/>
      <c r="FN82" s="98"/>
      <c r="FO82" s="98"/>
      <c r="FP82" s="99"/>
      <c r="FQ82" s="100"/>
      <c r="FR82" s="100"/>
      <c r="FS82" s="101"/>
      <c r="FT82" s="101"/>
      <c r="FU82" s="102"/>
      <c r="FV82" s="102"/>
      <c r="FW82" s="103"/>
      <c r="FX82" s="103"/>
      <c r="FY82" s="101"/>
      <c r="FZ82" s="104"/>
      <c r="GA82" s="105"/>
      <c r="GB82" s="99"/>
      <c r="GC82" s="98"/>
      <c r="GD82" s="98"/>
      <c r="GE82" s="99"/>
      <c r="GF82" s="100"/>
      <c r="GG82" s="100"/>
      <c r="GH82" s="101"/>
      <c r="GI82" s="101"/>
      <c r="GJ82" s="102"/>
      <c r="GK82" s="102"/>
      <c r="GL82" s="103"/>
      <c r="GM82" s="103"/>
      <c r="GN82" s="101"/>
      <c r="GO82" s="104"/>
      <c r="GP82" s="105"/>
      <c r="GQ82" s="99"/>
      <c r="GR82" s="98"/>
      <c r="GS82" s="98"/>
      <c r="GT82" s="99"/>
      <c r="GU82" s="100"/>
      <c r="GV82" s="100"/>
      <c r="GW82" s="101"/>
      <c r="GX82" s="101"/>
      <c r="GY82" s="102"/>
      <c r="GZ82" s="102"/>
      <c r="HA82" s="103"/>
      <c r="HB82" s="103"/>
      <c r="HC82" s="101"/>
      <c r="HD82" s="104"/>
      <c r="HE82" s="105"/>
      <c r="HF82" s="99"/>
      <c r="HG82" s="98"/>
      <c r="HH82" s="98"/>
      <c r="HI82" s="99"/>
      <c r="HJ82" s="100"/>
      <c r="HK82" s="100"/>
      <c r="HL82" s="101"/>
      <c r="HM82" s="101"/>
      <c r="HN82" s="102"/>
      <c r="HO82" s="102"/>
      <c r="HP82" s="103"/>
      <c r="HQ82" s="103"/>
      <c r="HR82" s="101"/>
      <c r="HS82" s="104"/>
      <c r="HT82" s="105"/>
      <c r="HU82" s="99"/>
      <c r="HV82" s="98"/>
      <c r="HW82" s="98"/>
      <c r="HX82" s="99"/>
      <c r="HY82" s="100"/>
      <c r="HZ82" s="100"/>
      <c r="IA82" s="101"/>
      <c r="IB82" s="101"/>
      <c r="IC82" s="102"/>
      <c r="ID82" s="102"/>
      <c r="IE82" s="103"/>
      <c r="IF82" s="103"/>
      <c r="IG82" s="101"/>
      <c r="IH82" s="104"/>
      <c r="II82" s="105"/>
    </row>
    <row r="83" spans="1:243" ht="13.2" thickTop="1" x14ac:dyDescent="0.3">
      <c r="A83" s="131" t="s">
        <v>174</v>
      </c>
      <c r="B83" s="132"/>
      <c r="C83" s="133"/>
      <c r="D83" s="133"/>
      <c r="E83" s="133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4"/>
    </row>
    <row r="84" spans="1:243" x14ac:dyDescent="0.25">
      <c r="A84" s="35" t="s">
        <v>175</v>
      </c>
      <c r="B84" s="36" t="s">
        <v>176</v>
      </c>
      <c r="C84" s="40">
        <v>368326244</v>
      </c>
      <c r="D84" s="38">
        <f>C84*J84</f>
        <v>27462636.145262532</v>
      </c>
      <c r="E84" s="39">
        <f>C84*K84</f>
        <v>23181167.578730155</v>
      </c>
      <c r="F84" s="40" t="s">
        <v>177</v>
      </c>
      <c r="G84" s="40">
        <v>1.3</v>
      </c>
      <c r="H84" s="42">
        <v>1.9824999999999999</v>
      </c>
      <c r="I84" s="42">
        <v>1.9824999999999999</v>
      </c>
      <c r="J84" s="44">
        <f>I84/$J$5</f>
        <v>7.4560628227356318E-2</v>
      </c>
      <c r="K84" s="45">
        <f>I84/$K$4</f>
        <v>6.2936507936507929E-2</v>
      </c>
      <c r="L84" s="46">
        <f>I84-H84</f>
        <v>0</v>
      </c>
      <c r="M84" s="46">
        <f>((I84-H84)/H84*100)</f>
        <v>0</v>
      </c>
      <c r="N84" s="106">
        <v>0</v>
      </c>
      <c r="O84" s="107">
        <v>0</v>
      </c>
      <c r="P84" s="48">
        <f>(R84)/J84</f>
        <v>0</v>
      </c>
      <c r="Q84" s="49">
        <f>I84/G84-1</f>
        <v>0.52499999999999991</v>
      </c>
      <c r="R84" s="52"/>
    </row>
    <row r="85" spans="1:243" s="108" customFormat="1" ht="12.6" thickBot="1" x14ac:dyDescent="0.3">
      <c r="A85" s="35" t="s">
        <v>178</v>
      </c>
      <c r="B85" s="36" t="s">
        <v>179</v>
      </c>
      <c r="C85" s="40">
        <v>1841105000</v>
      </c>
      <c r="D85" s="38">
        <f>C85*J85</f>
        <v>75861632.952600881</v>
      </c>
      <c r="E85" s="39">
        <f>C85*K85</f>
        <v>64034683.960000008</v>
      </c>
      <c r="F85" s="40" t="s">
        <v>177</v>
      </c>
      <c r="G85" s="40">
        <v>1.44347</v>
      </c>
      <c r="H85" s="42">
        <v>1.080009</v>
      </c>
      <c r="I85" s="42">
        <f>109.5588/100</f>
        <v>1.095588</v>
      </c>
      <c r="J85" s="44">
        <f>I85/$J$5</f>
        <v>4.1204403308122507E-2</v>
      </c>
      <c r="K85" s="45">
        <f>I85/$K$4</f>
        <v>3.4780571428571432E-2</v>
      </c>
      <c r="L85" s="46">
        <f>I85-H85</f>
        <v>1.557900000000001E-2</v>
      </c>
      <c r="M85" s="46">
        <f>((I85-H85)/H85*100)</f>
        <v>1.4424879792668404</v>
      </c>
      <c r="N85" s="107">
        <v>9428069</v>
      </c>
      <c r="O85" s="107">
        <v>10329282.217499999</v>
      </c>
      <c r="P85" s="51">
        <f>(R85)/J85</f>
        <v>5.2809889849103855E-2</v>
      </c>
      <c r="Q85" s="49">
        <f>I85/G85-1</f>
        <v>-0.24100396960103088</v>
      </c>
      <c r="R85" s="52">
        <v>2.176E-3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spans="1:243" ht="12.6" thickBot="1" x14ac:dyDescent="0.3">
      <c r="A86" s="79"/>
      <c r="B86" s="80"/>
      <c r="C86" s="81"/>
      <c r="D86" s="109"/>
      <c r="E86" s="82"/>
      <c r="F86" s="81"/>
      <c r="G86" s="81"/>
      <c r="H86" s="83"/>
      <c r="I86" s="83"/>
      <c r="J86" s="83"/>
      <c r="K86" s="83"/>
      <c r="L86" s="84"/>
      <c r="M86" s="84"/>
      <c r="N86" s="84"/>
      <c r="O86" s="84"/>
      <c r="P86" s="84"/>
      <c r="Q86" s="87"/>
    </row>
    <row r="87" spans="1:243" ht="12.6" thickBot="1" x14ac:dyDescent="0.3">
      <c r="A87" s="110"/>
      <c r="B87" s="111"/>
      <c r="C87" s="111"/>
      <c r="D87" s="111"/>
      <c r="E87" s="111"/>
      <c r="F87" s="112"/>
      <c r="G87" s="112"/>
      <c r="H87" s="59"/>
      <c r="M87" s="113"/>
      <c r="N87" s="113"/>
      <c r="O87" s="59"/>
      <c r="P87" s="59"/>
      <c r="Q87" s="114"/>
    </row>
    <row r="88" spans="1:243" ht="15" customHeight="1" thickBot="1" x14ac:dyDescent="0.3">
      <c r="A88" s="141" t="s">
        <v>180</v>
      </c>
      <c r="B88" s="142"/>
      <c r="C88" s="142"/>
      <c r="D88" s="143"/>
      <c r="E88" s="141" t="s">
        <v>181</v>
      </c>
      <c r="F88" s="142"/>
      <c r="G88" s="142"/>
      <c r="H88" s="143"/>
      <c r="I88" s="52"/>
      <c r="J88" s="144" t="s">
        <v>182</v>
      </c>
      <c r="K88" s="145"/>
      <c r="L88" s="146"/>
      <c r="M88" s="144" t="s">
        <v>183</v>
      </c>
      <c r="N88" s="145"/>
      <c r="O88" s="146"/>
      <c r="Q88" s="16"/>
    </row>
    <row r="89" spans="1:243" ht="15" customHeight="1" x14ac:dyDescent="0.25">
      <c r="A89" s="35" t="s">
        <v>89</v>
      </c>
      <c r="B89" s="115">
        <v>4.9000000000000004</v>
      </c>
      <c r="D89" s="115">
        <v>14.156900039092923</v>
      </c>
      <c r="E89" s="35" t="s">
        <v>87</v>
      </c>
      <c r="F89" s="116">
        <v>34</v>
      </c>
      <c r="H89" s="117">
        <v>-15</v>
      </c>
      <c r="J89" s="35" t="s">
        <v>141</v>
      </c>
      <c r="K89" s="48">
        <v>0.26179999999999998</v>
      </c>
      <c r="L89" s="118">
        <v>14.373088685015285</v>
      </c>
      <c r="M89" s="59" t="s">
        <v>125</v>
      </c>
      <c r="N89" s="116">
        <v>1.3307</v>
      </c>
      <c r="O89" s="117">
        <v>-2.8686131386861393</v>
      </c>
      <c r="Q89" s="16"/>
    </row>
    <row r="90" spans="1:243" ht="15" customHeight="1" x14ac:dyDescent="0.25">
      <c r="A90" s="35" t="s">
        <v>73</v>
      </c>
      <c r="B90" s="115">
        <v>5.7999999999999996E-2</v>
      </c>
      <c r="D90" s="115">
        <v>13.76787430611404</v>
      </c>
      <c r="E90" s="35" t="s">
        <v>109</v>
      </c>
      <c r="F90" s="116">
        <v>1.3400049999999999</v>
      </c>
      <c r="H90" s="117">
        <v>-3.1995324699341818</v>
      </c>
      <c r="J90" s="35" t="s">
        <v>147</v>
      </c>
      <c r="K90" s="48">
        <v>16.166699999999999</v>
      </c>
      <c r="L90" s="118">
        <v>8.7173176242737149</v>
      </c>
      <c r="M90" s="59" t="s">
        <v>121</v>
      </c>
      <c r="N90" s="116">
        <v>1.9699999999999999E-2</v>
      </c>
      <c r="O90" s="117">
        <v>-1.0050251256281519</v>
      </c>
      <c r="Q90" s="16"/>
    </row>
    <row r="91" spans="1:243" ht="15" customHeight="1" x14ac:dyDescent="0.25">
      <c r="A91" s="35" t="s">
        <v>113</v>
      </c>
      <c r="B91" s="115">
        <v>1.85</v>
      </c>
      <c r="C91" s="115"/>
      <c r="D91" s="115">
        <v>12.121212121212132</v>
      </c>
      <c r="E91" s="35" t="s">
        <v>111</v>
      </c>
      <c r="F91" s="116">
        <v>4.5994999999999999</v>
      </c>
      <c r="H91" s="117">
        <v>-0.87284482758620174</v>
      </c>
      <c r="J91" s="35" t="s">
        <v>131</v>
      </c>
      <c r="K91" s="48">
        <v>0.14019999999999999</v>
      </c>
      <c r="L91" s="118">
        <v>6.5349544072948307</v>
      </c>
      <c r="M91" s="35" t="s">
        <v>139</v>
      </c>
      <c r="N91" s="116">
        <v>0.02</v>
      </c>
      <c r="O91" s="117">
        <v>-0.49751243781094223</v>
      </c>
      <c r="Q91" s="16"/>
    </row>
    <row r="92" spans="1:243" ht="15" customHeight="1" x14ac:dyDescent="0.25">
      <c r="A92" s="35" t="s">
        <v>115</v>
      </c>
      <c r="B92" s="115">
        <v>0.28025</v>
      </c>
      <c r="C92" s="115"/>
      <c r="D92" s="115">
        <v>12.068620786179862</v>
      </c>
      <c r="E92" s="35" t="s">
        <v>101</v>
      </c>
      <c r="F92" s="116">
        <v>2.5</v>
      </c>
      <c r="H92" s="117">
        <v>-0.14646516489613381</v>
      </c>
      <c r="J92" s="35" t="s">
        <v>123</v>
      </c>
      <c r="K92" s="48">
        <v>0.80279999999999996</v>
      </c>
      <c r="L92" s="118">
        <v>2.6992452347447884</v>
      </c>
      <c r="M92" s="35" t="s">
        <v>119</v>
      </c>
      <c r="N92" s="116">
        <v>0.4163</v>
      </c>
      <c r="O92" s="117">
        <v>-0.16786570743404758</v>
      </c>
      <c r="Q92" s="16"/>
    </row>
    <row r="93" spans="1:243" ht="15" customHeight="1" x14ac:dyDescent="0.25">
      <c r="A93" s="35" t="s">
        <v>53</v>
      </c>
      <c r="B93" s="115">
        <v>1.6495240000000002</v>
      </c>
      <c r="C93" s="115"/>
      <c r="D93" s="115">
        <v>6.4209032258064624</v>
      </c>
      <c r="E93" s="35" t="s">
        <v>69</v>
      </c>
      <c r="F93" s="116">
        <v>189.8895</v>
      </c>
      <c r="G93" s="116"/>
      <c r="H93" s="117">
        <v>-2.6331033755762633E-4</v>
      </c>
      <c r="J93" s="35" t="s">
        <v>127</v>
      </c>
      <c r="K93" s="48">
        <v>0.74950000000000006</v>
      </c>
      <c r="L93" s="118">
        <v>2.6852993560761833</v>
      </c>
      <c r="M93" s="35"/>
      <c r="N93" s="116"/>
      <c r="O93" s="117"/>
      <c r="Q93" s="16"/>
    </row>
    <row r="94" spans="1:243" ht="15.75" customHeight="1" thickBot="1" x14ac:dyDescent="0.3">
      <c r="A94" s="119"/>
      <c r="B94" s="120"/>
      <c r="C94" s="120"/>
      <c r="D94" s="120"/>
      <c r="E94" s="119"/>
      <c r="F94" s="120"/>
      <c r="G94" s="120"/>
      <c r="H94" s="121"/>
      <c r="J94" s="119"/>
      <c r="K94" s="120"/>
      <c r="L94" s="121"/>
      <c r="M94" s="120"/>
      <c r="N94" s="120"/>
      <c r="O94" s="121"/>
      <c r="Q94" s="16"/>
    </row>
    <row r="95" spans="1:243" x14ac:dyDescent="0.25">
      <c r="A95" s="122"/>
      <c r="B95" s="123"/>
      <c r="C95" s="123"/>
      <c r="D95" s="123"/>
      <c r="E95" s="113"/>
      <c r="F95" s="113"/>
      <c r="G95" s="113"/>
      <c r="H95" s="113"/>
      <c r="I95" s="113"/>
      <c r="J95" s="113"/>
      <c r="K95" s="113"/>
      <c r="L95" s="113"/>
      <c r="M95" s="123"/>
      <c r="Q95" s="16"/>
    </row>
    <row r="96" spans="1:243" x14ac:dyDescent="0.25">
      <c r="A96" s="12" t="s">
        <v>184</v>
      </c>
      <c r="B96" s="124"/>
      <c r="C96" s="124"/>
      <c r="D96" s="124"/>
      <c r="E96" s="124"/>
      <c r="F96" s="13"/>
      <c r="G96" s="13"/>
      <c r="H96" s="13"/>
      <c r="I96" s="13"/>
      <c r="J96" s="13"/>
      <c r="K96" s="13"/>
      <c r="L96" s="13"/>
      <c r="M96" s="13"/>
      <c r="Q96" s="16"/>
    </row>
    <row r="97" spans="1:17" x14ac:dyDescent="0.25">
      <c r="A97" s="122"/>
      <c r="B97" s="123"/>
      <c r="C97" s="123"/>
      <c r="D97" s="123"/>
      <c r="E97" s="123"/>
      <c r="F97" s="113"/>
      <c r="G97" s="113"/>
      <c r="H97" s="123"/>
      <c r="I97" s="113"/>
      <c r="J97" s="113"/>
      <c r="K97" s="113"/>
      <c r="L97" s="113"/>
      <c r="M97" s="123"/>
      <c r="Q97" s="16"/>
    </row>
    <row r="98" spans="1:17" ht="12.6" thickBot="1" x14ac:dyDescent="0.3">
      <c r="A98" s="125"/>
      <c r="B98" s="126"/>
      <c r="C98" s="126"/>
      <c r="D98" s="126"/>
      <c r="E98" s="126"/>
      <c r="F98" s="127"/>
      <c r="G98" s="127"/>
      <c r="H98" s="127"/>
      <c r="I98" s="128"/>
      <c r="J98" s="128"/>
      <c r="K98" s="128"/>
      <c r="L98" s="128"/>
      <c r="M98" s="128"/>
      <c r="N98" s="128"/>
      <c r="O98" s="128"/>
      <c r="P98" s="128"/>
      <c r="Q98" s="129"/>
    </row>
    <row r="99" spans="1:17" x14ac:dyDescent="0.25">
      <c r="I99" s="32"/>
      <c r="J99" s="32"/>
      <c r="K99" s="32"/>
      <c r="L99" s="32"/>
      <c r="M99" s="32"/>
      <c r="N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32"/>
      <c r="J101" s="32"/>
      <c r="K101" s="32"/>
      <c r="O101" s="32"/>
      <c r="P101" s="32"/>
    </row>
    <row r="102" spans="1:17" x14ac:dyDescent="0.25">
      <c r="I102" s="130"/>
      <c r="J102" s="130"/>
      <c r="K102" s="130"/>
      <c r="O102" s="130"/>
      <c r="P102" s="130"/>
    </row>
    <row r="104" spans="1:17" x14ac:dyDescent="0.25">
      <c r="I104" s="32"/>
      <c r="J104" s="32"/>
      <c r="K104" s="32"/>
      <c r="O104" s="32"/>
      <c r="P104" s="32"/>
    </row>
    <row r="105" spans="1:17" x14ac:dyDescent="0.25">
      <c r="I105" s="130"/>
      <c r="J105" s="130"/>
      <c r="K105" s="130"/>
      <c r="O105" s="130"/>
      <c r="P105" s="130"/>
    </row>
    <row r="106" spans="1:17" x14ac:dyDescent="0.25">
      <c r="I106" s="32"/>
      <c r="J106" s="32"/>
      <c r="K106" s="32"/>
      <c r="O106" s="32"/>
      <c r="P106" s="32"/>
    </row>
    <row r="107" spans="1:17" x14ac:dyDescent="0.25">
      <c r="I107" s="130"/>
      <c r="J107" s="130"/>
      <c r="K107" s="130"/>
      <c r="O107" s="130"/>
      <c r="P107" s="130"/>
    </row>
  </sheetData>
  <sheetProtection algorithmName="SHA-512" hashValue="cZFLu9aFBsFh1+Rx2XCeUka9L62FcLhW6FV6eLazy6gTgJFapXWY2T8DwFoMJKuExjv6hAXXXTh+t6E6RDv1xg==" saltValue="cP1Ze+Kc0IDMLsgO+uMQVQ==" spinCount="100000" sheet="1" objects="1" scenarios="1"/>
  <sortState xmlns:xlrd2="http://schemas.microsoft.com/office/spreadsheetml/2017/richdata2" ref="A50:II65">
    <sortCondition ref="A50:A65"/>
  </sortState>
  <mergeCells count="12">
    <mergeCell ref="A77:Q77"/>
    <mergeCell ref="A83:Q83"/>
    <mergeCell ref="A88:D88"/>
    <mergeCell ref="E88:H88"/>
    <mergeCell ref="J88:L88"/>
    <mergeCell ref="M88:O88"/>
    <mergeCell ref="A74:Q74"/>
    <mergeCell ref="L5:M5"/>
    <mergeCell ref="A6:Q6"/>
    <mergeCell ref="A49:Q49"/>
    <mergeCell ref="A67:Q67"/>
    <mergeCell ref="A70:Q70"/>
  </mergeCells>
  <conditionalFormatting sqref="A9:A11">
    <cfRule type="duplicateValues" dxfId="41" priority="45" stopIfTrue="1"/>
  </conditionalFormatting>
  <conditionalFormatting sqref="A29:A34">
    <cfRule type="duplicateValues" dxfId="40" priority="46" stopIfTrue="1"/>
  </conditionalFormatting>
  <conditionalFormatting sqref="A92:A93">
    <cfRule type="duplicateValues" dxfId="39" priority="47" stopIfTrue="1"/>
  </conditionalFormatting>
  <conditionalFormatting sqref="E93">
    <cfRule type="duplicateValues" dxfId="38" priority="48" stopIfTrue="1"/>
  </conditionalFormatting>
  <conditionalFormatting sqref="L9:M26 L28:M46 L50:M65">
    <cfRule type="cellIs" dxfId="37" priority="42" stopIfTrue="1" operator="greaterThan">
      <formula>0</formula>
    </cfRule>
    <cfRule type="cellIs" priority="44" stopIfTrue="1" operator="greaterThan">
      <formula>0</formula>
    </cfRule>
    <cfRule type="cellIs" dxfId="36" priority="43" stopIfTrue="1" operator="greaterThan">
      <formula>0</formula>
    </cfRule>
    <cfRule type="cellIs" dxfId="35" priority="41" stopIfTrue="1" operator="lessThan">
      <formula>0</formula>
    </cfRule>
  </conditionalFormatting>
  <conditionalFormatting sqref="L9:M46 L50:M65">
    <cfRule type="cellIs" dxfId="34" priority="23" stopIfTrue="1" operator="greaterThan">
      <formula>0</formula>
    </cfRule>
    <cfRule type="cellIs" dxfId="33" priority="19" stopIfTrue="1" operator="lessThan">
      <formula>0</formula>
    </cfRule>
  </conditionalFormatting>
  <conditionalFormatting sqref="L27:M27">
    <cfRule type="cellIs" dxfId="32" priority="20" stopIfTrue="1" operator="greaterThan">
      <formula>0</formula>
    </cfRule>
    <cfRule type="cellIs" dxfId="31" priority="21" stopIfTrue="1" operator="lessThan">
      <formula>0</formula>
    </cfRule>
    <cfRule type="cellIs" dxfId="30" priority="22" stopIfTrue="1" operator="greaterThan">
      <formula>0</formula>
    </cfRule>
    <cfRule type="cellIs" priority="24" stopIfTrue="1" operator="greaterThan">
      <formula>0</formula>
    </cfRule>
  </conditionalFormatting>
  <conditionalFormatting sqref="L71:M72">
    <cfRule type="cellIs" dxfId="29" priority="13" stopIfTrue="1" operator="greaterThan">
      <formula>0</formula>
    </cfRule>
    <cfRule type="cellIs" dxfId="28" priority="9" stopIfTrue="1" operator="lessThan">
      <formula>0</formula>
    </cfRule>
    <cfRule type="cellIs" dxfId="27" priority="10" stopIfTrue="1" operator="greaterThan">
      <formula>0</formula>
    </cfRule>
    <cfRule type="cellIs" dxfId="26" priority="11" stopIfTrue="1" operator="lessThan">
      <formula>0</formula>
    </cfRule>
    <cfRule type="cellIs" dxfId="25" priority="12" stopIfTrue="1" operator="greaterThan">
      <formula>0</formula>
    </cfRule>
    <cfRule type="cellIs" priority="14" stopIfTrue="1" operator="greaterThan">
      <formula>0</formula>
    </cfRule>
  </conditionalFormatting>
  <conditionalFormatting sqref="L75:M75">
    <cfRule type="cellIs" dxfId="24" priority="3" stopIfTrue="1" operator="lessThan">
      <formula>0</formula>
    </cfRule>
    <cfRule type="cellIs" dxfId="23" priority="4" stopIfTrue="1" operator="greaterThan">
      <formula>0</formula>
    </cfRule>
    <cfRule type="cellIs" dxfId="22" priority="5" stopIfTrue="1" operator="greaterThan">
      <formula>0</formula>
    </cfRule>
    <cfRule type="cellIs" priority="6" stopIfTrue="1" operator="greaterThan">
      <formula>0</formula>
    </cfRule>
    <cfRule type="cellIs" dxfId="21" priority="1" stopIfTrue="1" operator="lessThan">
      <formula>0</formula>
    </cfRule>
    <cfRule type="cellIs" dxfId="20" priority="2" stopIfTrue="1" operator="greaterThan">
      <formula>0</formula>
    </cfRule>
  </conditionalFormatting>
  <conditionalFormatting sqref="L78:M81">
    <cfRule type="cellIs" dxfId="19" priority="35" stopIfTrue="1" operator="lessThan">
      <formula>0</formula>
    </cfRule>
    <cfRule type="cellIs" dxfId="18" priority="37" stopIfTrue="1" operator="lessThan">
      <formula>0</formula>
    </cfRule>
    <cfRule type="cellIs" dxfId="17" priority="38" stopIfTrue="1" operator="greaterThan">
      <formula>0</formula>
    </cfRule>
    <cfRule type="cellIs" dxfId="16" priority="39" stopIfTrue="1" operator="greaterThan">
      <formula>0</formula>
    </cfRule>
    <cfRule type="cellIs" priority="40" stopIfTrue="1" operator="greaterThan">
      <formula>0</formula>
    </cfRule>
    <cfRule type="cellIs" dxfId="15" priority="36" stopIfTrue="1" operator="greaterThan">
      <formula>0</formula>
    </cfRule>
  </conditionalFormatting>
  <conditionalFormatting sqref="L84:M85">
    <cfRule type="cellIs" dxfId="14" priority="29" stopIfTrue="1" operator="lessThan">
      <formula>0</formula>
    </cfRule>
    <cfRule type="cellIs" dxfId="13" priority="30" stopIfTrue="1" operator="greaterThan">
      <formula>0</formula>
    </cfRule>
    <cfRule type="cellIs" dxfId="12" priority="32" stopIfTrue="1" operator="greaterThan">
      <formula>0</formula>
    </cfRule>
    <cfRule type="cellIs" dxfId="11" priority="33" stopIfTrue="1" operator="greaterThan">
      <formula>0</formula>
    </cfRule>
    <cfRule type="cellIs" priority="34" stopIfTrue="1" operator="greaterThan">
      <formula>0</formula>
    </cfRule>
    <cfRule type="cellIs" dxfId="10" priority="31" stopIfTrue="1" operator="lessThan">
      <formula>0</formula>
    </cfRule>
  </conditionalFormatting>
  <conditionalFormatting sqref="Q9:Q46 Q50:Q65">
    <cfRule type="cellIs" dxfId="9" priority="18" stopIfTrue="1" operator="lessThan">
      <formula>0</formula>
    </cfRule>
    <cfRule type="cellIs" dxfId="8" priority="17" stopIfTrue="1" operator="greaterThan">
      <formula>0</formula>
    </cfRule>
  </conditionalFormatting>
  <conditionalFormatting sqref="Q71:Q72">
    <cfRule type="cellIs" dxfId="7" priority="16" stopIfTrue="1" operator="lessThan">
      <formula>0</formula>
    </cfRule>
    <cfRule type="cellIs" dxfId="6" priority="15" stopIfTrue="1" operator="greaterThan">
      <formula>0</formula>
    </cfRule>
  </conditionalFormatting>
  <conditionalFormatting sqref="Q75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8:Q81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4:Q85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Takunda E. Sokisi</dc:creator>
  <cp:lastModifiedBy>Nelson Mrewa</cp:lastModifiedBy>
  <dcterms:created xsi:type="dcterms:W3CDTF">2026-08-13T13:50:02Z</dcterms:created>
  <dcterms:modified xsi:type="dcterms:W3CDTF">2026-08-13T13:59:27Z</dcterms:modified>
</cp:coreProperties>
</file>