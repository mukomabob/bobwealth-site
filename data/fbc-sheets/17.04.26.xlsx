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7.04.26/"/>
    </mc:Choice>
  </mc:AlternateContent>
  <xr:revisionPtr revIDLastSave="0" documentId="8_{7A12F128-FFBF-4FE0-A868-6EB506CE0922}" xr6:coauthVersionLast="47" xr6:coauthVersionMax="47" xr10:uidLastSave="{00000000-0000-0000-0000-000000000000}"/>
  <bookViews>
    <workbookView xWindow="-108" yWindow="-108" windowWidth="23256" windowHeight="12456" xr2:uid="{92523595-DDF6-409A-8CFD-167E52682E7E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D82" i="1" s="1"/>
  <c r="E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Q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P47" i="1" s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P41" i="1" s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D38" i="1" s="1"/>
  <c r="E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D35" i="1" s="1"/>
  <c r="E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D29" i="1" s="1"/>
  <c r="E29" i="1"/>
  <c r="Q28" i="1"/>
  <c r="M28" i="1"/>
  <c r="L28" i="1"/>
  <c r="K28" i="1"/>
  <c r="E28" i="1" s="1"/>
  <c r="J28" i="1"/>
  <c r="P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D26" i="1" s="1"/>
  <c r="E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D23" i="1" s="1"/>
  <c r="E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D20" i="1" s="1"/>
  <c r="E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P16" i="1" s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E13" i="1" s="1"/>
  <c r="J13" i="1"/>
  <c r="P13" i="1" s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E10" i="1" s="1"/>
  <c r="J10" i="1"/>
  <c r="P10" i="1" s="1"/>
  <c r="D10" i="1"/>
  <c r="D41" i="1" l="1"/>
  <c r="D44" i="1"/>
  <c r="D47" i="1"/>
  <c r="K73" i="1"/>
  <c r="E73" i="1" s="1"/>
  <c r="Q52" i="1"/>
  <c r="P22" i="1"/>
  <c r="P25" i="1"/>
  <c r="P34" i="1"/>
  <c r="P37" i="1"/>
  <c r="P57" i="1"/>
  <c r="P59" i="1"/>
  <c r="P61" i="1"/>
  <c r="P63" i="1"/>
  <c r="P65" i="1"/>
  <c r="P53" i="1"/>
  <c r="D28" i="1"/>
</calcChain>
</file>

<file path=xl/sharedStrings.xml><?xml version="1.0" encoding="utf-8"?>
<sst xmlns="http://schemas.openxmlformats.org/spreadsheetml/2006/main" count="261" uniqueCount="181">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</sst>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4DF09C03-FFAE-419D-802C-13421A38FB74}"/>
    <cellStyle name="Comma 5 2 2 2 2 2 2 2 2" xfId="4" xr:uid="{A5EBD7C3-90C3-4B94-AFB6-82EE2036D51D}"/>
    <cellStyle name="Comma 6 2 2 2" xfId="5" xr:uid="{720F292F-4A0E-4381-B0AE-6EC5263DB578}"/>
    <cellStyle name="Hyperlink 2" xfId="8" xr:uid="{1FE8D405-F303-4D0B-B294-59732F070028}"/>
    <cellStyle name="Normal" xfId="0" builtinId="0"/>
    <cellStyle name="Normal 2" xfId="2" xr:uid="{738B0571-4558-46EB-AD9F-F2C9D8F1BD90}"/>
    <cellStyle name="Normal 20" xfId="7" xr:uid="{96FF6DF8-527E-4F4D-B528-85120E811C4D}"/>
    <cellStyle name="Percent" xfId="1" builtinId="5"/>
    <cellStyle name="Percent 3" xfId="6" xr:uid="{110C2031-D5EA-4E9D-B622-6D31C5C7A4E1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EDA1EAB-AF28-45BF-A22C-BD54F897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7DEB22D-079C-49EE-837D-59454BD1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0070-1130-42F0-A17B-09E761254685}">
  <dimension ref="A1:II105"/>
  <sheetViews>
    <sheetView tabSelected="1" zoomScale="70" zoomScaleNormal="70" workbookViewId="0">
      <pane ySplit="7" topLeftCell="A10" activePane="bottomLeft" state="frozen"/>
      <selection pane="bottomLeft" activeCell="O33" sqref="O33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25.1784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68373018.706510335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13.8</v>
      </c>
      <c r="I10" s="40">
        <v>13.8</v>
      </c>
      <c r="J10" s="41">
        <f>(I10/$J$5)</f>
        <v>0.54808883805166331</v>
      </c>
      <c r="K10" s="42">
        <f t="shared" ref="K10:K30" si="2">I10/$K$4</f>
        <v>0.46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1939037.7406824899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1.1914974740253551E-3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50100</v>
      </c>
      <c r="O11" s="35">
        <v>1503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4253719.0512035312</v>
      </c>
      <c r="E12" s="37">
        <f t="shared" si="1"/>
        <v>3570061.3252940997</v>
      </c>
      <c r="F12" s="38" t="s">
        <v>39</v>
      </c>
      <c r="G12" s="39">
        <v>7.8E-2</v>
      </c>
      <c r="H12" s="40">
        <v>0.247</v>
      </c>
      <c r="I12" s="40">
        <v>0.24509699999999998</v>
      </c>
      <c r="J12" s="41">
        <f t="shared" si="7"/>
        <v>9.734415213039747E-3</v>
      </c>
      <c r="K12" s="42">
        <f t="shared" si="2"/>
        <v>8.169899999999999E-3</v>
      </c>
      <c r="L12" s="43">
        <f t="shared" si="3"/>
        <v>-1.9030000000000158E-3</v>
      </c>
      <c r="M12" s="43">
        <f t="shared" si="4"/>
        <v>-0.770445344129561</v>
      </c>
      <c r="N12" s="44">
        <v>10300</v>
      </c>
      <c r="O12" s="35">
        <v>2524.5</v>
      </c>
      <c r="P12" s="45">
        <f t="shared" si="5"/>
        <v>0</v>
      </c>
      <c r="Q12" s="46">
        <f t="shared" si="6"/>
        <v>2.1422692307692306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174543767.11109522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8.4592348997553461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4510245.7484987136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0.51633543036888763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311374907.65894574</v>
      </c>
      <c r="E15" s="37">
        <f t="shared" si="1"/>
        <v>261330732.5</v>
      </c>
      <c r="F15" s="38" t="s">
        <v>47</v>
      </c>
      <c r="G15" s="39">
        <v>11.5</v>
      </c>
      <c r="H15" s="40">
        <v>14.75</v>
      </c>
      <c r="I15" s="40">
        <v>15</v>
      </c>
      <c r="J15" s="41">
        <f t="shared" si="7"/>
        <v>0.5957487370126775</v>
      </c>
      <c r="K15" s="42">
        <f t="shared" si="2"/>
        <v>0.5</v>
      </c>
      <c r="L15" s="43">
        <f t="shared" si="3"/>
        <v>0.25</v>
      </c>
      <c r="M15" s="43">
        <f t="shared" si="4"/>
        <v>1.6949152542372881</v>
      </c>
      <c r="N15" s="44">
        <v>11600</v>
      </c>
      <c r="O15" s="35">
        <v>174000</v>
      </c>
      <c r="P15" s="45">
        <f t="shared" si="5"/>
        <v>0</v>
      </c>
      <c r="Q15" s="46">
        <f t="shared" si="6"/>
        <v>0.30434782608695654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26069687.360991962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0.24584564547389828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36973146.311657451</v>
      </c>
      <c r="E17" s="37">
        <f t="shared" si="1"/>
        <v>31030822.236447867</v>
      </c>
      <c r="F17" s="38" t="s">
        <v>34</v>
      </c>
      <c r="G17" s="39">
        <v>1.9</v>
      </c>
      <c r="H17" s="40">
        <v>2.6</v>
      </c>
      <c r="I17" s="40">
        <v>2.6003419999999999</v>
      </c>
      <c r="J17" s="41">
        <f t="shared" si="7"/>
        <v>0.10327669748673465</v>
      </c>
      <c r="K17" s="42">
        <f t="shared" si="2"/>
        <v>8.6678066666666664E-2</v>
      </c>
      <c r="L17" s="43">
        <f t="shared" si="3"/>
        <v>3.4199999999984243E-4</v>
      </c>
      <c r="M17" s="43">
        <f t="shared" si="4"/>
        <v>1.3153846153840092E-2</v>
      </c>
      <c r="N17" s="44">
        <v>58500</v>
      </c>
      <c r="O17" s="35">
        <v>152120</v>
      </c>
      <c r="P17" s="45">
        <f t="shared" si="5"/>
        <v>0</v>
      </c>
      <c r="Q17" s="46">
        <f t="shared" si="6"/>
        <v>0.36860105263157905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1438676524.521018</v>
      </c>
      <c r="E18" s="37">
        <f t="shared" si="1"/>
        <v>1207452433.5</v>
      </c>
      <c r="F18" s="38" t="s">
        <v>34</v>
      </c>
      <c r="G18" s="39">
        <v>20.701700000000002</v>
      </c>
      <c r="H18" s="40">
        <v>27.0046</v>
      </c>
      <c r="I18" s="40">
        <v>27</v>
      </c>
      <c r="J18" s="41">
        <f t="shared" si="7"/>
        <v>1.0723477266228196</v>
      </c>
      <c r="K18" s="42">
        <f t="shared" si="2"/>
        <v>0.9</v>
      </c>
      <c r="L18" s="43">
        <f t="shared" si="3"/>
        <v>-4.5999999999999375E-3</v>
      </c>
      <c r="M18" s="43">
        <f t="shared" si="4"/>
        <v>-1.703413492516067E-2</v>
      </c>
      <c r="N18" s="44">
        <v>174400</v>
      </c>
      <c r="O18" s="35">
        <v>4708802.3499999996</v>
      </c>
      <c r="P18" s="45">
        <f t="shared" si="5"/>
        <v>0</v>
      </c>
      <c r="Q18" s="46">
        <f t="shared" si="6"/>
        <v>0.30424071453069046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264472946.4112879</v>
      </c>
      <c r="E20" s="37">
        <f t="shared" si="1"/>
        <v>221966854.4640657</v>
      </c>
      <c r="F20" s="38" t="s">
        <v>47</v>
      </c>
      <c r="G20" s="39">
        <v>12.45</v>
      </c>
      <c r="H20" s="40">
        <v>9.9099730000000008</v>
      </c>
      <c r="I20" s="40">
        <v>9.9099730000000008</v>
      </c>
      <c r="J20" s="41">
        <f t="shared" si="7"/>
        <v>0.39359025990531571</v>
      </c>
      <c r="K20" s="42">
        <f t="shared" si="2"/>
        <v>0.33033243333333334</v>
      </c>
      <c r="L20" s="43">
        <f t="shared" si="3"/>
        <v>0</v>
      </c>
      <c r="M20" s="43">
        <f t="shared" si="4"/>
        <v>0</v>
      </c>
      <c r="N20" s="44">
        <v>0</v>
      </c>
      <c r="O20" s="35">
        <v>0</v>
      </c>
      <c r="P20" s="45">
        <f t="shared" si="5"/>
        <v>0</v>
      </c>
      <c r="Q20" s="46">
        <f t="shared" si="6"/>
        <v>-0.20401823293172683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2941721.3913513175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2.7007276077908052E-2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81682168.795475483</v>
      </c>
      <c r="E22" s="37">
        <f t="shared" si="1"/>
        <v>68554210.626666665</v>
      </c>
      <c r="F22" s="38" t="s">
        <v>47</v>
      </c>
      <c r="G22" s="39">
        <v>2.85</v>
      </c>
      <c r="H22" s="40">
        <v>3.5</v>
      </c>
      <c r="I22" s="40">
        <v>2.98</v>
      </c>
      <c r="J22" s="41">
        <f t="shared" si="7"/>
        <v>0.11835541575318527</v>
      </c>
      <c r="K22" s="42">
        <f t="shared" si="2"/>
        <v>9.9333333333333329E-2</v>
      </c>
      <c r="L22" s="43">
        <f t="shared" si="3"/>
        <v>-0.52</v>
      </c>
      <c r="M22" s="43">
        <f t="shared" si="4"/>
        <v>-14.857142857142858</v>
      </c>
      <c r="N22" s="44">
        <v>200</v>
      </c>
      <c r="O22" s="35">
        <v>596</v>
      </c>
      <c r="P22" s="45">
        <f t="shared" si="5"/>
        <v>0</v>
      </c>
      <c r="Q22" s="46">
        <f t="shared" si="6"/>
        <v>4.5614035087719218E-2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46638059.541114599</v>
      </c>
      <c r="E23" s="37">
        <f t="shared" si="1"/>
        <v>39142390.611666664</v>
      </c>
      <c r="F23" s="38" t="s">
        <v>66</v>
      </c>
      <c r="G23" s="39">
        <v>0.88420599999999994</v>
      </c>
      <c r="H23" s="40">
        <v>0.99988500000000002</v>
      </c>
      <c r="I23" s="40">
        <v>0.95</v>
      </c>
      <c r="J23" s="41">
        <f t="shared" si="7"/>
        <v>3.7730753344136239E-2</v>
      </c>
      <c r="K23" s="42">
        <f t="shared" si="2"/>
        <v>3.1666666666666662E-2</v>
      </c>
      <c r="L23" s="43">
        <f t="shared" si="3"/>
        <v>-4.9885000000000068E-2</v>
      </c>
      <c r="M23" s="43">
        <f t="shared" si="4"/>
        <v>-4.9890737434805068</v>
      </c>
      <c r="N23" s="44">
        <v>3400</v>
      </c>
      <c r="O23" s="35">
        <v>3230</v>
      </c>
      <c r="P23" s="45">
        <f t="shared" si="5"/>
        <v>0</v>
      </c>
      <c r="Q23" s="46">
        <f t="shared" si="6"/>
        <v>7.4410261862054794E-2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2141802.3627990661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3.9915165379849401E-3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72902182.930184916</v>
      </c>
      <c r="E25" s="37">
        <f t="shared" si="1"/>
        <v>61185344.089645587</v>
      </c>
      <c r="F25" s="38" t="s">
        <v>34</v>
      </c>
      <c r="G25" s="39">
        <v>8.1687659999999997</v>
      </c>
      <c r="H25" s="40">
        <v>10</v>
      </c>
      <c r="I25" s="40">
        <v>9.5096619999999987</v>
      </c>
      <c r="J25" s="41">
        <f t="shared" si="7"/>
        <v>0.37769127506116351</v>
      </c>
      <c r="K25" s="42">
        <f t="shared" si="2"/>
        <v>0.31698873333333327</v>
      </c>
      <c r="L25" s="43">
        <f t="shared" si="3"/>
        <v>-0.49033800000000127</v>
      </c>
      <c r="M25" s="43">
        <f t="shared" si="4"/>
        <v>-4.9033800000000127</v>
      </c>
      <c r="N25" s="44">
        <v>82800</v>
      </c>
      <c r="O25" s="35">
        <v>787400</v>
      </c>
      <c r="P25" s="45">
        <f t="shared" si="5"/>
        <v>0</v>
      </c>
      <c r="Q25" s="46">
        <f t="shared" si="6"/>
        <v>0.16414915055713419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81942705.124833658</v>
      </c>
      <c r="E26" s="37">
        <f t="shared" si="1"/>
        <v>68772873.557170391</v>
      </c>
      <c r="F26" s="38" t="s">
        <v>66</v>
      </c>
      <c r="G26" s="39">
        <v>1.6675</v>
      </c>
      <c r="H26" s="40">
        <v>1.2225679999999999</v>
      </c>
      <c r="I26" s="40">
        <v>1.2225679999999999</v>
      </c>
      <c r="J26" s="41">
        <f t="shared" si="7"/>
        <v>4.8556222794141006E-2</v>
      </c>
      <c r="K26" s="42">
        <f t="shared" si="2"/>
        <v>4.0752266666666662E-2</v>
      </c>
      <c r="L26" s="43">
        <f t="shared" si="3"/>
        <v>0</v>
      </c>
      <c r="M26" s="43">
        <f t="shared" si="4"/>
        <v>0</v>
      </c>
      <c r="N26" s="44">
        <v>0</v>
      </c>
      <c r="O26" s="35">
        <v>0</v>
      </c>
      <c r="P26" s="45">
        <f t="shared" si="5"/>
        <v>0</v>
      </c>
      <c r="Q26" s="46">
        <f t="shared" si="6"/>
        <v>-0.26682578710644689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21867658.23483621</v>
      </c>
      <c r="E27" s="37">
        <f t="shared" si="1"/>
        <v>18353088.203333333</v>
      </c>
      <c r="F27" s="38" t="s">
        <v>44</v>
      </c>
      <c r="G27" s="39">
        <v>1.7994999999999999</v>
      </c>
      <c r="H27" s="40">
        <v>2.0943749999999999</v>
      </c>
      <c r="I27" s="40">
        <v>2.2999999999999998</v>
      </c>
      <c r="J27" s="41">
        <f t="shared" si="7"/>
        <v>9.1348139675277218E-2</v>
      </c>
      <c r="K27" s="42">
        <f t="shared" si="2"/>
        <v>7.6666666666666661E-2</v>
      </c>
      <c r="L27" s="43">
        <f t="shared" si="3"/>
        <v>0.20562499999999995</v>
      </c>
      <c r="M27" s="43">
        <f t="shared" si="4"/>
        <v>9.8179647866308546</v>
      </c>
      <c r="N27" s="44">
        <v>89400</v>
      </c>
      <c r="O27" s="35">
        <v>205620</v>
      </c>
      <c r="P27" s="45">
        <f t="shared" si="5"/>
        <v>0</v>
      </c>
      <c r="Q27" s="46">
        <f t="shared" si="6"/>
        <v>0.2781328146707418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32554982.492930453</v>
      </c>
      <c r="E28" s="37">
        <f t="shared" si="1"/>
        <v>27322745.706666667</v>
      </c>
      <c r="F28" s="38" t="s">
        <v>34</v>
      </c>
      <c r="G28" s="39">
        <v>3.1361369999999997</v>
      </c>
      <c r="H28" s="40">
        <v>3.2327890000000004</v>
      </c>
      <c r="I28" s="40">
        <v>3.2</v>
      </c>
      <c r="J28" s="41">
        <f t="shared" si="7"/>
        <v>0.12709306389603789</v>
      </c>
      <c r="K28" s="42">
        <f t="shared" si="2"/>
        <v>0.10666666666666667</v>
      </c>
      <c r="L28" s="43">
        <f t="shared" si="3"/>
        <v>-3.2789000000000179E-2</v>
      </c>
      <c r="M28" s="43">
        <f t="shared" si="4"/>
        <v>-1.0142635352941429</v>
      </c>
      <c r="N28" s="44">
        <v>100</v>
      </c>
      <c r="O28" s="35">
        <v>320</v>
      </c>
      <c r="P28" s="45">
        <f t="shared" si="5"/>
        <v>0</v>
      </c>
      <c r="Q28" s="46">
        <f t="shared" si="6"/>
        <v>2.0363587432564501E-2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24021592.870436803</v>
      </c>
      <c r="E29" s="37">
        <f t="shared" si="1"/>
        <v>20160842.464300197</v>
      </c>
      <c r="F29" s="38" t="s">
        <v>44</v>
      </c>
      <c r="G29" s="39">
        <v>0.8</v>
      </c>
      <c r="H29" s="40">
        <v>0.76006399999999996</v>
      </c>
      <c r="I29" s="40">
        <v>0.80040599999999995</v>
      </c>
      <c r="J29" s="41">
        <f t="shared" si="7"/>
        <v>3.1789390906491279E-2</v>
      </c>
      <c r="K29" s="42">
        <f t="shared" si="2"/>
        <v>2.6680199999999998E-2</v>
      </c>
      <c r="L29" s="43">
        <f t="shared" si="3"/>
        <v>4.0341999999999989E-2</v>
      </c>
      <c r="M29" s="43">
        <f t="shared" si="4"/>
        <v>5.3077109296059266</v>
      </c>
      <c r="N29" s="44">
        <v>10600</v>
      </c>
      <c r="O29" s="35">
        <v>8484.2999999999993</v>
      </c>
      <c r="P29" s="45">
        <f t="shared" si="5"/>
        <v>0</v>
      </c>
      <c r="Q29" s="46">
        <f t="shared" si="6"/>
        <v>5.0749999999988304E-4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80582637.450354263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0.1993772439869094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0</v>
      </c>
      <c r="O30" s="35">
        <v>0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15481500.214469545</v>
      </c>
      <c r="E33" s="37">
        <f t="shared" si="9"/>
        <v>12993313.5</v>
      </c>
      <c r="F33" s="38" t="s">
        <v>39</v>
      </c>
      <c r="G33" s="39">
        <v>1.4</v>
      </c>
      <c r="H33" s="40">
        <v>1.5</v>
      </c>
      <c r="I33" s="40">
        <v>1.5</v>
      </c>
      <c r="J33" s="41">
        <f t="shared" si="10"/>
        <v>5.9574873701267753E-2</v>
      </c>
      <c r="K33" s="42">
        <f t="shared" si="11"/>
        <v>0.05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3634945.1315413211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2.9787436850633876E-2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164526840.52124041</v>
      </c>
      <c r="E35" s="37">
        <f t="shared" si="9"/>
        <v>138084086.71266666</v>
      </c>
      <c r="F35" s="38" t="s">
        <v>92</v>
      </c>
      <c r="G35" s="39">
        <v>1.44</v>
      </c>
      <c r="H35" s="40">
        <v>1.66</v>
      </c>
      <c r="I35" s="40">
        <v>1.66</v>
      </c>
      <c r="J35" s="41">
        <f t="shared" si="10"/>
        <v>6.5929526896069637E-2</v>
      </c>
      <c r="K35" s="42">
        <f t="shared" si="11"/>
        <v>5.5333333333333332E-2</v>
      </c>
      <c r="L35" s="43">
        <f t="shared" si="12"/>
        <v>0</v>
      </c>
      <c r="M35" s="43">
        <f t="shared" si="13"/>
        <v>0</v>
      </c>
      <c r="N35" s="44">
        <v>1900</v>
      </c>
      <c r="O35" s="35">
        <v>3154</v>
      </c>
      <c r="P35" s="45">
        <f t="shared" si="14"/>
        <v>0</v>
      </c>
      <c r="Q35" s="46">
        <f t="shared" si="15"/>
        <v>0.15277777777777768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34130096.128824711</v>
      </c>
      <c r="E36" s="37">
        <f t="shared" si="9"/>
        <v>28644707.079</v>
      </c>
      <c r="F36" s="38" t="s">
        <v>34</v>
      </c>
      <c r="G36" s="39">
        <v>3.6056249999999999</v>
      </c>
      <c r="H36" s="40">
        <v>3.39</v>
      </c>
      <c r="I36" s="40">
        <v>3.39</v>
      </c>
      <c r="J36" s="41">
        <f t="shared" si="10"/>
        <v>0.13463921456486513</v>
      </c>
      <c r="K36" s="42">
        <f t="shared" si="11"/>
        <v>0.113</v>
      </c>
      <c r="L36" s="43">
        <f t="shared" si="12"/>
        <v>0</v>
      </c>
      <c r="M36" s="43">
        <f t="shared" si="13"/>
        <v>0</v>
      </c>
      <c r="N36" s="44">
        <v>0</v>
      </c>
      <c r="O36" s="35">
        <v>0</v>
      </c>
      <c r="P36" s="45">
        <f t="shared" si="14"/>
        <v>0</v>
      </c>
      <c r="Q36" s="46">
        <f t="shared" si="15"/>
        <v>-5.9802392095683721E-2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6367078.8415467236</v>
      </c>
      <c r="E37" s="37">
        <f t="shared" si="9"/>
        <v>5343761.9301333334</v>
      </c>
      <c r="F37" s="38" t="s">
        <v>34</v>
      </c>
      <c r="G37" s="39">
        <v>2.5099999999999997E-2</v>
      </c>
      <c r="H37" s="40">
        <v>3.0034000000000002E-2</v>
      </c>
      <c r="I37" s="40">
        <v>3.4000000000000002E-2</v>
      </c>
      <c r="J37" s="41">
        <f t="shared" si="10"/>
        <v>1.3503638038954025E-3</v>
      </c>
      <c r="K37" s="42">
        <f t="shared" si="11"/>
        <v>1.1333333333333334E-3</v>
      </c>
      <c r="L37" s="43">
        <f t="shared" si="12"/>
        <v>3.9660000000000008E-3</v>
      </c>
      <c r="M37" s="43">
        <f t="shared" si="13"/>
        <v>13.205034294466273</v>
      </c>
      <c r="N37" s="44">
        <v>2300</v>
      </c>
      <c r="O37" s="35">
        <v>78.2</v>
      </c>
      <c r="P37" s="45">
        <f t="shared" si="14"/>
        <v>0</v>
      </c>
      <c r="Q37" s="46">
        <f t="shared" si="15"/>
        <v>0.35458167330677326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17652530.124034885</v>
      </c>
      <c r="E38" s="37">
        <f t="shared" si="9"/>
        <v>14815415.482499998</v>
      </c>
      <c r="F38" s="38" t="s">
        <v>92</v>
      </c>
      <c r="G38" s="39">
        <v>0.61</v>
      </c>
      <c r="H38" s="40">
        <v>1.5505000000000002</v>
      </c>
      <c r="I38" s="40">
        <v>1.7024999999999999</v>
      </c>
      <c r="J38" s="41">
        <f t="shared" si="10"/>
        <v>6.7617481650938893E-2</v>
      </c>
      <c r="K38" s="42">
        <f t="shared" si="11"/>
        <v>5.6749999999999995E-2</v>
      </c>
      <c r="L38" s="43">
        <f t="shared" si="12"/>
        <v>0.15199999999999969</v>
      </c>
      <c r="M38" s="43">
        <f t="shared" si="13"/>
        <v>9.8032892615285174</v>
      </c>
      <c r="N38" s="44">
        <v>1000</v>
      </c>
      <c r="O38" s="35">
        <v>1702.5</v>
      </c>
      <c r="P38" s="45">
        <f t="shared" si="14"/>
        <v>0</v>
      </c>
      <c r="Q38" s="46">
        <f t="shared" si="15"/>
        <v>1.790983606557377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15722661.890969563</v>
      </c>
      <c r="E39" s="37">
        <f t="shared" si="9"/>
        <v>13195715.671852935</v>
      </c>
      <c r="F39" s="38" t="s">
        <v>56</v>
      </c>
      <c r="G39" s="39">
        <v>0.11650199999999999</v>
      </c>
      <c r="H39" s="40">
        <v>9.987299999999999E-2</v>
      </c>
      <c r="I39" s="40">
        <v>9.4372000000000011E-2</v>
      </c>
      <c r="J39" s="41">
        <f t="shared" si="10"/>
        <v>3.7481333206240276E-3</v>
      </c>
      <c r="K39" s="42">
        <f t="shared" si="11"/>
        <v>3.1457333333333335E-3</v>
      </c>
      <c r="L39" s="43">
        <f t="shared" si="12"/>
        <v>-5.5009999999999781E-3</v>
      </c>
      <c r="M39" s="43">
        <f t="shared" si="13"/>
        <v>-5.5079951538453624</v>
      </c>
      <c r="N39" s="44">
        <v>38500</v>
      </c>
      <c r="O39" s="35">
        <v>3633.34</v>
      </c>
      <c r="P39" s="45">
        <v>0</v>
      </c>
      <c r="Q39" s="46">
        <f t="shared" si="15"/>
        <v>-0.18995382053526966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79278338.913513169</v>
      </c>
      <c r="E40" s="37">
        <f t="shared" si="9"/>
        <v>66536724.283333331</v>
      </c>
      <c r="F40" s="38" t="s">
        <v>34</v>
      </c>
      <c r="G40" s="39">
        <v>2.6005000000000003</v>
      </c>
      <c r="H40" s="40">
        <v>5.5</v>
      </c>
      <c r="I40" s="40">
        <v>5.5</v>
      </c>
      <c r="J40" s="41">
        <f t="shared" si="10"/>
        <v>0.21844120357131511</v>
      </c>
      <c r="K40" s="42">
        <f t="shared" si="11"/>
        <v>0.18333333333333332</v>
      </c>
      <c r="L40" s="43">
        <f t="shared" si="12"/>
        <v>0</v>
      </c>
      <c r="M40" s="43">
        <f t="shared" si="13"/>
        <v>0</v>
      </c>
      <c r="N40" s="44">
        <v>24300</v>
      </c>
      <c r="O40" s="35">
        <v>133650</v>
      </c>
      <c r="P40" s="45">
        <f t="shared" ref="P40:P47" si="16">(R40)/J40</f>
        <v>0</v>
      </c>
      <c r="Q40" s="46">
        <f t="shared" si="15"/>
        <v>1.1149778888675255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15460812.84790932</v>
      </c>
      <c r="E41" s="37">
        <f t="shared" si="9"/>
        <v>12975951.006993333</v>
      </c>
      <c r="F41" s="38" t="s">
        <v>39</v>
      </c>
      <c r="G41" s="39">
        <v>0.1</v>
      </c>
      <c r="H41" s="40">
        <v>9.0200000000000002E-2</v>
      </c>
      <c r="I41" s="40">
        <v>9.0200000000000002E-2</v>
      </c>
      <c r="J41" s="41">
        <f t="shared" si="10"/>
        <v>3.5824357385695676E-3</v>
      </c>
      <c r="K41" s="42">
        <f t="shared" si="11"/>
        <v>3.0066666666666666E-3</v>
      </c>
      <c r="L41" s="43">
        <f t="shared" si="12"/>
        <v>0</v>
      </c>
      <c r="M41" s="43">
        <f t="shared" si="13"/>
        <v>0</v>
      </c>
      <c r="N41" s="44">
        <v>0</v>
      </c>
      <c r="O41" s="35">
        <v>0</v>
      </c>
      <c r="P41" s="45">
        <f t="shared" si="16"/>
        <v>0</v>
      </c>
      <c r="Q41" s="46">
        <f t="shared" si="15"/>
        <v>-9.7999999999999976E-2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10783421.676913545</v>
      </c>
      <c r="E42" s="37">
        <f t="shared" si="9"/>
        <v>9050310.1449999996</v>
      </c>
      <c r="F42" s="38" t="s">
        <v>44</v>
      </c>
      <c r="G42" s="39">
        <v>1.7452379999999998</v>
      </c>
      <c r="H42" s="40">
        <v>3</v>
      </c>
      <c r="I42" s="40">
        <v>2.5499999999999998</v>
      </c>
      <c r="J42" s="41">
        <f t="shared" si="10"/>
        <v>0.10127728529215517</v>
      </c>
      <c r="K42" s="42">
        <f t="shared" si="11"/>
        <v>8.4999999999999992E-2</v>
      </c>
      <c r="L42" s="43">
        <f t="shared" si="12"/>
        <v>-0.45000000000000018</v>
      </c>
      <c r="M42" s="43">
        <f t="shared" si="13"/>
        <v>-15.000000000000005</v>
      </c>
      <c r="N42" s="44">
        <v>3000</v>
      </c>
      <c r="O42" s="35">
        <v>7650</v>
      </c>
      <c r="P42" s="45">
        <f t="shared" si="16"/>
        <v>0</v>
      </c>
      <c r="Q42" s="46">
        <f t="shared" si="15"/>
        <v>0.46111877004740909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2189100.3506179899</v>
      </c>
      <c r="E43" s="37">
        <f t="shared" si="9"/>
        <v>1837268.1422666667</v>
      </c>
      <c r="F43" s="38" t="s">
        <v>39</v>
      </c>
      <c r="G43" s="39">
        <v>0.03</v>
      </c>
      <c r="H43" s="40">
        <v>3.1E-2</v>
      </c>
      <c r="I43" s="40">
        <v>3.1E-2</v>
      </c>
      <c r="J43" s="41">
        <f t="shared" si="10"/>
        <v>1.2312140564928668E-3</v>
      </c>
      <c r="K43" s="42">
        <f t="shared" si="11"/>
        <v>1.0333333333333334E-3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3.3333333333333437E-2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36042303.147141993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0.20573189718171131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331.23939162138976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7.1489848441521305E-7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1648041.1781527023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7.2039999999999993E-2</v>
      </c>
      <c r="I46" s="40">
        <v>7.2039999999999993E-2</v>
      </c>
      <c r="J46" s="41">
        <f t="shared" si="10"/>
        <v>2.8611826009595524E-3</v>
      </c>
      <c r="K46" s="42">
        <f t="shared" si="11"/>
        <v>2.401333333333333E-3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54160077.268611193</v>
      </c>
      <c r="E47" s="37">
        <f t="shared" si="9"/>
        <v>45455469.650000006</v>
      </c>
      <c r="F47" s="38" t="s">
        <v>47</v>
      </c>
      <c r="G47" s="39">
        <v>0.9998999999999999</v>
      </c>
      <c r="H47" s="40">
        <v>0.84545500000000007</v>
      </c>
      <c r="I47" s="40">
        <v>0.75</v>
      </c>
      <c r="J47" s="41">
        <f t="shared" si="10"/>
        <v>2.9787436850633876E-2</v>
      </c>
      <c r="K47" s="42">
        <f t="shared" si="11"/>
        <v>2.5000000000000001E-2</v>
      </c>
      <c r="L47" s="43">
        <f t="shared" si="12"/>
        <v>-9.5455000000000068E-2</v>
      </c>
      <c r="M47" s="43">
        <f t="shared" si="13"/>
        <v>-11.290370273994483</v>
      </c>
      <c r="N47" s="44">
        <v>9600</v>
      </c>
      <c r="O47" s="35">
        <v>7200</v>
      </c>
      <c r="P47" s="45">
        <f t="shared" si="16"/>
        <v>0</v>
      </c>
      <c r="Q47" s="46">
        <f t="shared" si="15"/>
        <v>-0.24992499249924982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3875420.7574746604</v>
      </c>
      <c r="E48" s="37">
        <f t="shared" si="9"/>
        <v>3252563.1333333328</v>
      </c>
      <c r="F48" s="38" t="s">
        <v>47</v>
      </c>
      <c r="G48" s="39">
        <v>1.4503460000000001</v>
      </c>
      <c r="H48" s="40">
        <v>0.95</v>
      </c>
      <c r="I48" s="40">
        <v>0.95</v>
      </c>
      <c r="J48" s="41">
        <f t="shared" si="10"/>
        <v>3.7730753344136239E-2</v>
      </c>
      <c r="K48" s="42">
        <f t="shared" si="11"/>
        <v>3.1666666666666662E-2</v>
      </c>
      <c r="L48" s="43">
        <f t="shared" si="12"/>
        <v>0</v>
      </c>
      <c r="M48" s="43">
        <f t="shared" si="13"/>
        <v>0</v>
      </c>
      <c r="N48" s="44">
        <v>1400</v>
      </c>
      <c r="O48" s="35">
        <v>1330</v>
      </c>
      <c r="P48" s="45">
        <v>0</v>
      </c>
      <c r="Q48" s="46">
        <f t="shared" si="15"/>
        <v>-0.34498388660361057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573400</v>
      </c>
      <c r="O49" s="56">
        <f>SUM(O10:O48)</f>
        <v>6202998.1899999995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76446080.920000002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0</v>
      </c>
      <c r="M52" s="43">
        <f t="shared" ref="M52:M66" si="20">((I52-H52)/H52)*100</f>
        <v>0</v>
      </c>
      <c r="N52" s="44">
        <v>0</v>
      </c>
      <c r="O52" s="35">
        <v>0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77688843.120000005</v>
      </c>
      <c r="E53" s="37">
        <v>0</v>
      </c>
      <c r="F53" s="38" t="s">
        <v>92</v>
      </c>
      <c r="G53" s="64">
        <v>0.1</v>
      </c>
      <c r="H53" s="40">
        <v>0.1376</v>
      </c>
      <c r="I53" s="40">
        <v>0.14000000000000001</v>
      </c>
      <c r="J53" s="41">
        <f t="shared" si="18"/>
        <v>0.14000000000000001</v>
      </c>
      <c r="K53" s="37">
        <v>0</v>
      </c>
      <c r="L53" s="43">
        <f t="shared" si="19"/>
        <v>2.4000000000000132E-3</v>
      </c>
      <c r="M53" s="43">
        <f t="shared" si="20"/>
        <v>1.7441860465116377</v>
      </c>
      <c r="N53" s="44">
        <v>77904</v>
      </c>
      <c r="O53" s="35">
        <v>10907.07</v>
      </c>
      <c r="P53" s="38">
        <f>(R53)/J53</f>
        <v>0</v>
      </c>
      <c r="Q53" s="46">
        <f t="shared" si="21"/>
        <v>0.40000000000000013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52990970.416500002</v>
      </c>
      <c r="E54" s="37">
        <v>0</v>
      </c>
      <c r="F54" s="38" t="s">
        <v>39</v>
      </c>
      <c r="G54" s="64">
        <v>39.9</v>
      </c>
      <c r="H54" s="40">
        <v>50</v>
      </c>
      <c r="I54" s="40">
        <v>50.100900000000003</v>
      </c>
      <c r="J54" s="41">
        <f t="shared" si="18"/>
        <v>50.100900000000003</v>
      </c>
      <c r="K54" s="37">
        <v>0</v>
      </c>
      <c r="L54" s="43">
        <f t="shared" si="19"/>
        <v>0.10090000000000288</v>
      </c>
      <c r="M54" s="43">
        <f t="shared" si="20"/>
        <v>0.20180000000000575</v>
      </c>
      <c r="N54" s="44">
        <v>114</v>
      </c>
      <c r="O54" s="35">
        <v>5711.5</v>
      </c>
      <c r="P54" s="38">
        <f>(R54)/J54</f>
        <v>0</v>
      </c>
      <c r="Q54" s="46">
        <f t="shared" si="21"/>
        <v>0.25566165413533848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887774822.33010006</v>
      </c>
      <c r="E55" s="37"/>
      <c r="F55" s="38" t="s">
        <v>56</v>
      </c>
      <c r="G55" s="64">
        <v>0.33</v>
      </c>
      <c r="H55" s="40">
        <v>0.29360000000000003</v>
      </c>
      <c r="I55" s="40">
        <v>0.29670000000000002</v>
      </c>
      <c r="J55" s="41">
        <f t="shared" si="18"/>
        <v>0.29670000000000002</v>
      </c>
      <c r="K55" s="37">
        <v>0</v>
      </c>
      <c r="L55" s="43">
        <f t="shared" si="19"/>
        <v>3.0999999999999917E-3</v>
      </c>
      <c r="M55" s="43">
        <f t="shared" si="20"/>
        <v>1.0558583106267001</v>
      </c>
      <c r="N55" s="44">
        <v>114910</v>
      </c>
      <c r="O55" s="35">
        <v>34096.76</v>
      </c>
      <c r="P55" s="38">
        <v>0</v>
      </c>
      <c r="Q55" s="46">
        <f t="shared" si="21"/>
        <v>-0.10090909090909095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13658197.123199999</v>
      </c>
      <c r="E56" s="37">
        <v>0</v>
      </c>
      <c r="F56" s="38" t="s">
        <v>34</v>
      </c>
      <c r="G56" s="64">
        <v>2.3E-2</v>
      </c>
      <c r="H56" s="40">
        <v>2.24E-2</v>
      </c>
      <c r="I56" s="40">
        <v>2.24E-2</v>
      </c>
      <c r="J56" s="41">
        <f t="shared" si="18"/>
        <v>2.24E-2</v>
      </c>
      <c r="K56" s="37">
        <v>0</v>
      </c>
      <c r="L56" s="43">
        <f t="shared" si="19"/>
        <v>0</v>
      </c>
      <c r="M56" s="43">
        <f t="shared" si="20"/>
        <v>0</v>
      </c>
      <c r="N56" s="44">
        <v>0</v>
      </c>
      <c r="O56" s="35">
        <v>0</v>
      </c>
      <c r="P56" s="38">
        <f t="shared" ref="P56:P66" si="22">(R56)/J56</f>
        <v>0</v>
      </c>
      <c r="Q56" s="46">
        <f t="shared" si="21"/>
        <v>-2.6086956521739091E-2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230239786.43849999</v>
      </c>
      <c r="E57" s="37">
        <v>0</v>
      </c>
      <c r="F57" s="38" t="s">
        <v>47</v>
      </c>
      <c r="G57" s="64">
        <v>9.0200000000000002E-2</v>
      </c>
      <c r="H57" s="40">
        <v>0.105</v>
      </c>
      <c r="I57" s="40">
        <v>0.1065</v>
      </c>
      <c r="J57" s="41">
        <f t="shared" si="18"/>
        <v>0.1065</v>
      </c>
      <c r="K57" s="37">
        <v>0</v>
      </c>
      <c r="L57" s="43">
        <f t="shared" si="19"/>
        <v>1.5000000000000013E-3</v>
      </c>
      <c r="M57" s="66">
        <f t="shared" si="20"/>
        <v>1.4285714285714299</v>
      </c>
      <c r="N57" s="44">
        <v>42058</v>
      </c>
      <c r="O57" s="35">
        <v>4479.8599999999997</v>
      </c>
      <c r="P57" s="38">
        <f t="shared" si="22"/>
        <v>0</v>
      </c>
      <c r="Q57" s="46">
        <f t="shared" si="21"/>
        <v>0.18070953436807091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746055123.33000004</v>
      </c>
      <c r="E58" s="37">
        <v>0</v>
      </c>
      <c r="F58" s="38" t="s">
        <v>34</v>
      </c>
      <c r="G58" s="64">
        <v>0.95750000000000002</v>
      </c>
      <c r="H58" s="40">
        <v>1.2886</v>
      </c>
      <c r="I58" s="40">
        <v>1.2954000000000001</v>
      </c>
      <c r="J58" s="41">
        <f t="shared" si="18"/>
        <v>1.2954000000000001</v>
      </c>
      <c r="K58" s="37">
        <v>0</v>
      </c>
      <c r="L58" s="43">
        <f t="shared" si="19"/>
        <v>6.8000000000001393E-3</v>
      </c>
      <c r="M58" s="43">
        <f t="shared" si="20"/>
        <v>0.52770448548813742</v>
      </c>
      <c r="N58" s="44">
        <v>7115</v>
      </c>
      <c r="O58" s="35">
        <v>9216.69</v>
      </c>
      <c r="P58" s="38">
        <f t="shared" si="22"/>
        <v>0</v>
      </c>
      <c r="Q58" s="46">
        <f t="shared" si="21"/>
        <v>0.35289817232375986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24647654.122200001</v>
      </c>
      <c r="E59" s="37">
        <v>0</v>
      </c>
      <c r="F59" s="38" t="s">
        <v>34</v>
      </c>
      <c r="G59" s="64">
        <v>0.1595</v>
      </c>
      <c r="H59" s="40">
        <v>0.15049999999999999</v>
      </c>
      <c r="I59" s="40">
        <v>0.15010000000000001</v>
      </c>
      <c r="J59" s="41">
        <f t="shared" si="18"/>
        <v>0.15010000000000001</v>
      </c>
      <c r="K59" s="37">
        <v>0</v>
      </c>
      <c r="L59" s="43">
        <f t="shared" si="19"/>
        <v>-3.999999999999837E-4</v>
      </c>
      <c r="M59" s="43">
        <f t="shared" si="20"/>
        <v>-0.26578073089699916</v>
      </c>
      <c r="N59" s="44">
        <v>362</v>
      </c>
      <c r="O59" s="35">
        <v>54.35</v>
      </c>
      <c r="P59" s="38">
        <f t="shared" si="22"/>
        <v>0</v>
      </c>
      <c r="Q59" s="46">
        <f t="shared" si="21"/>
        <v>-5.8934169278996862E-2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16209454.766400002</v>
      </c>
      <c r="E60" s="37">
        <v>0</v>
      </c>
      <c r="F60" s="38" t="s">
        <v>92</v>
      </c>
      <c r="G60" s="64">
        <v>1.6799999999999999E-2</v>
      </c>
      <c r="H60" s="40">
        <v>0.02</v>
      </c>
      <c r="I60" s="40">
        <v>2.0400000000000001E-2</v>
      </c>
      <c r="J60" s="41">
        <f t="shared" si="18"/>
        <v>2.0400000000000001E-2</v>
      </c>
      <c r="K60" s="37">
        <v>0</v>
      </c>
      <c r="L60" s="43">
        <f t="shared" si="19"/>
        <v>4.0000000000000105E-4</v>
      </c>
      <c r="M60" s="66">
        <f t="shared" si="20"/>
        <v>2.0000000000000053</v>
      </c>
      <c r="N60" s="44">
        <v>15366</v>
      </c>
      <c r="O60" s="35">
        <v>313.66000000000003</v>
      </c>
      <c r="P60" s="38">
        <f t="shared" si="22"/>
        <v>0</v>
      </c>
      <c r="Q60" s="46">
        <f t="shared" si="21"/>
        <v>0.21428571428571441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2515858.7999999998</v>
      </c>
      <c r="E61" s="37">
        <v>0</v>
      </c>
      <c r="F61" s="38" t="s">
        <v>140</v>
      </c>
      <c r="G61" s="64">
        <v>19.5</v>
      </c>
      <c r="H61" s="40">
        <v>15.6</v>
      </c>
      <c r="I61" s="40">
        <v>15.6</v>
      </c>
      <c r="J61" s="41">
        <f t="shared" si="18"/>
        <v>15.6</v>
      </c>
      <c r="K61" s="37">
        <v>0</v>
      </c>
      <c r="L61" s="43">
        <f t="shared" si="19"/>
        <v>0</v>
      </c>
      <c r="M61" s="43">
        <f t="shared" si="20"/>
        <v>0</v>
      </c>
      <c r="N61" s="44">
        <v>1</v>
      </c>
      <c r="O61" s="35">
        <v>15.6</v>
      </c>
      <c r="P61" s="38">
        <f t="shared" si="22"/>
        <v>0</v>
      </c>
      <c r="Q61" s="46">
        <f t="shared" si="21"/>
        <v>-0.20000000000000007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805090451</v>
      </c>
      <c r="E62" s="37">
        <v>0</v>
      </c>
      <c r="F62" s="38" t="s">
        <v>92</v>
      </c>
      <c r="G62" s="64">
        <v>0.59499999999999997</v>
      </c>
      <c r="H62" s="40">
        <v>1.0177</v>
      </c>
      <c r="I62" s="40">
        <v>1</v>
      </c>
      <c r="J62" s="41">
        <f t="shared" si="18"/>
        <v>1</v>
      </c>
      <c r="K62" s="37">
        <v>0</v>
      </c>
      <c r="L62" s="43">
        <f t="shared" si="19"/>
        <v>-1.7700000000000049E-2</v>
      </c>
      <c r="M62" s="43">
        <f t="shared" si="20"/>
        <v>-1.7392158789427188</v>
      </c>
      <c r="N62" s="44">
        <v>1111324</v>
      </c>
      <c r="O62" s="35">
        <v>1111346.17</v>
      </c>
      <c r="P62" s="38">
        <f t="shared" si="22"/>
        <v>0</v>
      </c>
      <c r="Q62" s="46">
        <f t="shared" si="21"/>
        <v>0.68067226890756305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63822914.006399997</v>
      </c>
      <c r="E63" s="37">
        <v>0</v>
      </c>
      <c r="F63" s="38" t="s">
        <v>34</v>
      </c>
      <c r="G63" s="64">
        <v>0.22600000000000001</v>
      </c>
      <c r="H63" s="40">
        <v>0.2311</v>
      </c>
      <c r="I63" s="40">
        <v>0.24479999999999999</v>
      </c>
      <c r="J63" s="41">
        <f t="shared" si="18"/>
        <v>0.24479999999999999</v>
      </c>
      <c r="K63" s="37">
        <v>0</v>
      </c>
      <c r="L63" s="43">
        <f t="shared" si="19"/>
        <v>1.369999999999999E-2</v>
      </c>
      <c r="M63" s="43">
        <f t="shared" si="20"/>
        <v>5.9281696235395893</v>
      </c>
      <c r="N63" s="44">
        <v>577</v>
      </c>
      <c r="O63" s="35">
        <v>141.25</v>
      </c>
      <c r="P63" s="38">
        <f t="shared" si="22"/>
        <v>0</v>
      </c>
      <c r="Q63" s="46">
        <f t="shared" si="21"/>
        <v>8.318584070796442E-2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387120445.01679999</v>
      </c>
      <c r="E64" s="37">
        <v>0</v>
      </c>
      <c r="F64" s="38" t="s">
        <v>34</v>
      </c>
      <c r="G64" s="64">
        <v>0.49440000000000001</v>
      </c>
      <c r="H64" s="40">
        <v>0.68820000000000003</v>
      </c>
      <c r="I64" s="40">
        <v>0.68859999999999999</v>
      </c>
      <c r="J64" s="41">
        <f t="shared" si="18"/>
        <v>0.68859999999999999</v>
      </c>
      <c r="K64" s="37">
        <v>0</v>
      </c>
      <c r="L64" s="43">
        <f t="shared" si="19"/>
        <v>3.9999999999995595E-4</v>
      </c>
      <c r="M64" s="43">
        <f t="shared" si="20"/>
        <v>5.8122638767793652E-2</v>
      </c>
      <c r="N64" s="44">
        <v>10440</v>
      </c>
      <c r="O64" s="35">
        <v>7188.92</v>
      </c>
      <c r="P64" s="38">
        <f t="shared" si="22"/>
        <v>0</v>
      </c>
      <c r="Q64" s="46">
        <f t="shared" si="21"/>
        <v>0.39279935275080913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22742312.076000001</v>
      </c>
      <c r="E66" s="37">
        <v>0</v>
      </c>
      <c r="F66" s="38" t="s">
        <v>44</v>
      </c>
      <c r="G66" s="64">
        <v>4.2999999999999997E-2</v>
      </c>
      <c r="H66" s="40">
        <v>0.06</v>
      </c>
      <c r="I66" s="40">
        <v>6.6000000000000003E-2</v>
      </c>
      <c r="J66" s="41">
        <f t="shared" si="18"/>
        <v>6.6000000000000003E-2</v>
      </c>
      <c r="K66" s="37">
        <v>0</v>
      </c>
      <c r="L66" s="43">
        <f t="shared" si="19"/>
        <v>6.0000000000000053E-3</v>
      </c>
      <c r="M66" s="43">
        <f t="shared" si="20"/>
        <v>10.000000000000009</v>
      </c>
      <c r="N66" s="44">
        <v>3300</v>
      </c>
      <c r="O66" s="35">
        <v>217.8</v>
      </c>
      <c r="P66" s="38">
        <f t="shared" si="22"/>
        <v>0</v>
      </c>
      <c r="Q66" s="46">
        <f t="shared" si="21"/>
        <v>0.53488372093023284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1383471</v>
      </c>
      <c r="O67" s="56">
        <f>SUM(O52:O66)</f>
        <v>1183689.6299999999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422</v>
      </c>
      <c r="O72" s="89">
        <v>151.91999999999999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68393138.924999997</v>
      </c>
      <c r="E73" s="84">
        <f>C73*K73</f>
        <v>68393138.924999997</v>
      </c>
      <c r="F73" s="82" t="s">
        <v>158</v>
      </c>
      <c r="G73" s="82">
        <v>0.1</v>
      </c>
      <c r="H73" s="85">
        <v>0.14380000000000001</v>
      </c>
      <c r="I73" s="85">
        <v>0.14510000000000001</v>
      </c>
      <c r="J73" s="86">
        <f>I73</f>
        <v>0.14510000000000001</v>
      </c>
      <c r="K73" s="86">
        <f>J73</f>
        <v>0.14510000000000001</v>
      </c>
      <c r="L73" s="87">
        <f>I73-H73</f>
        <v>1.2999999999999956E-3</v>
      </c>
      <c r="M73" s="87">
        <f>((I73-H73)/H73)*100</f>
        <v>0.90403337969401643</v>
      </c>
      <c r="N73" s="44">
        <v>2376</v>
      </c>
      <c r="O73" s="89">
        <v>344.84</v>
      </c>
      <c r="P73" s="90">
        <v>0</v>
      </c>
      <c r="Q73" s="91">
        <f>J73/G73-1</f>
        <v>0.45100000000000007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2798</v>
      </c>
      <c r="O74" s="56">
        <f>SUM(O72:O73)</f>
        <v>496.76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198329.16031201347</v>
      </c>
      <c r="E76" s="37">
        <f>C76*K76</f>
        <v>166453.69766666667</v>
      </c>
      <c r="F76" s="38" t="s">
        <v>140</v>
      </c>
      <c r="G76" s="64">
        <v>0.105</v>
      </c>
      <c r="H76" s="40">
        <v>0.11</v>
      </c>
      <c r="I76" s="40">
        <v>0.11</v>
      </c>
      <c r="J76" s="41">
        <f>I76/$J$5</f>
        <v>4.3688240714263018E-3</v>
      </c>
      <c r="K76" s="42">
        <f>I76/$K$4</f>
        <v>3.6666666666666666E-3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4.7619047619047672E-2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281210.35109458904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2.0652622883106158E-3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1570925.5552378229</v>
      </c>
      <c r="E78" s="37">
        <f>C78*K78</f>
        <v>1318446.3999999999</v>
      </c>
      <c r="F78" s="38" t="s">
        <v>140</v>
      </c>
      <c r="G78" s="64">
        <v>6.0499999999999998E-2</v>
      </c>
      <c r="H78" s="40">
        <v>0.08</v>
      </c>
      <c r="I78" s="40">
        <v>0.08</v>
      </c>
      <c r="J78" s="41">
        <f>I78/$J$5</f>
        <v>3.1773265974009471E-3</v>
      </c>
      <c r="K78" s="42">
        <f>I78/$K$4</f>
        <v>2.6666666666666666E-3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2615365.0430527758</v>
      </c>
      <c r="E79" s="37">
        <f>C79*K79</f>
        <v>2195023.5733333332</v>
      </c>
      <c r="F79" s="38" t="s">
        <v>140</v>
      </c>
      <c r="G79" s="64">
        <v>1.85</v>
      </c>
      <c r="H79" s="40">
        <v>1.8</v>
      </c>
      <c r="I79" s="40">
        <v>1.6</v>
      </c>
      <c r="J79" s="41">
        <f>I79/$J$5</f>
        <v>6.3546531948018944E-2</v>
      </c>
      <c r="K79" s="42">
        <f>I79/$K$4</f>
        <v>5.3333333333333337E-2</v>
      </c>
      <c r="L79" s="43">
        <f>I79-H79</f>
        <v>-0.19999999999999996</v>
      </c>
      <c r="M79" s="98">
        <f>((I79-H79)/H79)*100</f>
        <v>-11.111111111111107</v>
      </c>
      <c r="N79" s="35">
        <v>300</v>
      </c>
      <c r="O79" s="35">
        <v>480</v>
      </c>
      <c r="P79" s="38">
        <v>0</v>
      </c>
      <c r="Q79" s="46">
        <f>I79/G79-1</f>
        <v>-0.13513513513513509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300</v>
      </c>
      <c r="O80" s="56">
        <f>SUM(O76:O79)</f>
        <v>480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35145354.796571665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9.5419089378197181E-2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76778518.492040798</v>
      </c>
      <c r="E83" s="37">
        <f>C83*K83</f>
        <v>64438675.000000007</v>
      </c>
      <c r="F83" s="38" t="s">
        <v>173</v>
      </c>
      <c r="G83" s="38">
        <v>1.44347</v>
      </c>
      <c r="H83" s="40">
        <v>1.0268710000000001</v>
      </c>
      <c r="I83" s="40">
        <v>1.05</v>
      </c>
      <c r="J83" s="41">
        <f>I83/$J$5</f>
        <v>4.1702411590887431E-2</v>
      </c>
      <c r="K83" s="42">
        <f>I83/$K$4</f>
        <v>3.5000000000000003E-2</v>
      </c>
      <c r="L83" s="43">
        <f>I83-H83</f>
        <v>2.3128999999999955E-2</v>
      </c>
      <c r="M83" s="43">
        <f>((I83-H83)/H83*100)</f>
        <v>2.2523763939189978</v>
      </c>
      <c r="N83" s="107">
        <v>6297</v>
      </c>
      <c r="O83" s="35">
        <v>6624.66</v>
      </c>
      <c r="P83" s="108">
        <f>(R83)/J83</f>
        <v>5.2179236571428568E-2</v>
      </c>
      <c r="Q83" s="46">
        <f>I83/G83-1</f>
        <v>-0.2725861985354735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6297</v>
      </c>
      <c r="O84" s="56">
        <f>SUM(O82:O83)</f>
        <v>6624.66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95</v>
      </c>
      <c r="B87" s="117">
        <v>3.4000000000000002E-2</v>
      </c>
      <c r="C87" s="117"/>
      <c r="D87" s="117">
        <v>13.205034294466273</v>
      </c>
      <c r="E87" s="33" t="s">
        <v>105</v>
      </c>
      <c r="F87" s="118">
        <v>2.5499999999999998</v>
      </c>
      <c r="G87" s="118"/>
      <c r="H87" s="119">
        <v>-15.000000000000005</v>
      </c>
      <c r="L87" s="33" t="s">
        <v>149</v>
      </c>
      <c r="M87" s="45">
        <v>6.6000000000000003E-2</v>
      </c>
      <c r="N87" s="120">
        <v>10.000000000000009</v>
      </c>
      <c r="O87" s="33" t="s">
        <v>141</v>
      </c>
      <c r="P87" s="118">
        <v>1</v>
      </c>
      <c r="Q87" s="119">
        <v>-1.7392158789427188</v>
      </c>
    </row>
    <row r="88" spans="1:38" x14ac:dyDescent="0.25">
      <c r="A88" s="33" t="s">
        <v>74</v>
      </c>
      <c r="B88" s="117">
        <v>2.2999999999999998</v>
      </c>
      <c r="C88" s="117"/>
      <c r="D88" s="117">
        <v>9.8179647866308546</v>
      </c>
      <c r="E88" s="33" t="s">
        <v>62</v>
      </c>
      <c r="F88" s="118">
        <v>2.98</v>
      </c>
      <c r="G88" s="118"/>
      <c r="H88" s="119">
        <v>-14.857142857142858</v>
      </c>
      <c r="L88" s="33" t="s">
        <v>143</v>
      </c>
      <c r="M88" s="45">
        <v>0.24479999999999999</v>
      </c>
      <c r="N88" s="120">
        <v>5.9281696235395893</v>
      </c>
      <c r="O88" s="33" t="s">
        <v>134</v>
      </c>
      <c r="P88" s="118">
        <v>0.15010000000000001</v>
      </c>
      <c r="Q88" s="119">
        <v>-0.26578073089699916</v>
      </c>
    </row>
    <row r="89" spans="1:38" x14ac:dyDescent="0.25">
      <c r="A89" s="33" t="s">
        <v>97</v>
      </c>
      <c r="B89" s="117">
        <v>1.7024999999999999</v>
      </c>
      <c r="C89" s="117"/>
      <c r="D89" s="117">
        <v>9.8032892615285174</v>
      </c>
      <c r="E89" s="33" t="s">
        <v>115</v>
      </c>
      <c r="F89" s="118">
        <v>0.75</v>
      </c>
      <c r="G89" s="118"/>
      <c r="H89" s="119">
        <v>-11.290370273994483</v>
      </c>
      <c r="L89" s="33" t="s">
        <v>136</v>
      </c>
      <c r="M89" s="45">
        <v>2.0400000000000001E-2</v>
      </c>
      <c r="N89" s="120">
        <v>2.0000000000000053</v>
      </c>
      <c r="O89" s="33"/>
      <c r="P89" s="118"/>
      <c r="Q89" s="119"/>
    </row>
    <row r="90" spans="1:38" x14ac:dyDescent="0.25">
      <c r="A90" s="33" t="s">
        <v>78</v>
      </c>
      <c r="B90" s="117">
        <v>0.80040599999999995</v>
      </c>
      <c r="C90" s="117"/>
      <c r="D90" s="117">
        <v>5.3077109296059266</v>
      </c>
      <c r="E90" s="33" t="s">
        <v>99</v>
      </c>
      <c r="F90" s="118">
        <v>9.4372000000000011E-2</v>
      </c>
      <c r="G90" s="118"/>
      <c r="H90" s="119">
        <v>-5.5079951538453624</v>
      </c>
      <c r="L90" s="33" t="s">
        <v>122</v>
      </c>
      <c r="M90" s="45">
        <v>0.14000000000000001</v>
      </c>
      <c r="N90" s="120">
        <v>1.7441860465116377</v>
      </c>
      <c r="O90" s="33"/>
      <c r="P90" s="118"/>
      <c r="Q90" s="119"/>
    </row>
    <row r="91" spans="1:38" x14ac:dyDescent="0.25">
      <c r="A91" s="33" t="s">
        <v>45</v>
      </c>
      <c r="B91" s="117">
        <v>15</v>
      </c>
      <c r="C91" s="117"/>
      <c r="D91" s="117">
        <v>1.6949152542372881</v>
      </c>
      <c r="E91" s="33" t="s">
        <v>64</v>
      </c>
      <c r="F91" s="118">
        <v>0.95</v>
      </c>
      <c r="G91" s="118"/>
      <c r="H91" s="119">
        <v>-4.9890737434805068</v>
      </c>
      <c r="L91" s="33" t="s">
        <v>130</v>
      </c>
      <c r="M91" s="45">
        <v>0.1065</v>
      </c>
      <c r="N91" s="120">
        <v>1.4285714285714299</v>
      </c>
      <c r="O91" s="33"/>
      <c r="P91" s="118"/>
      <c r="Q91" s="121"/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yNjPEo+WyGYIjcutEuk1MP5thMj/FFd3EzKQ3n6AD4ey0MdUmrXWQnm3HHWNpEOiXVgjmX3yb9iL9JktENFniA==" saltValue="o9HAPOUQwOAWx7sZ3yDQfA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2026-04-17T14:18:56Z</dcterms:created>
  <dcterms:modified xsi:type="dcterms:W3CDTF">2026-04-17T14:21:51Z</dcterms:modified>
</cp:coreProperties>
</file>