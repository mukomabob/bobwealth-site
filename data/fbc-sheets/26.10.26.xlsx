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1" documentId="8_{85D25297-07CB-4E09-A791-68F8CA4914AA}" xr6:coauthVersionLast="47" xr6:coauthVersionMax="47" xr10:uidLastSave="{4D246F0C-A64D-4669-98EA-C680C211D09C}"/>
  <bookViews>
    <workbookView xWindow="-108" yWindow="-108" windowWidth="23256" windowHeight="12456" xr2:uid="{3CC0F214-045A-4A27-8C25-FD8647D72DB0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M59" i="1"/>
  <c r="L59" i="1"/>
  <c r="J59" i="1"/>
  <c r="M58" i="1"/>
  <c r="L58" i="1"/>
  <c r="J58" i="1"/>
  <c r="M57" i="1"/>
  <c r="L57" i="1"/>
  <c r="J57" i="1"/>
  <c r="M56" i="1"/>
  <c r="L56" i="1"/>
  <c r="J56" i="1"/>
  <c r="M55" i="1"/>
  <c r="L55" i="1"/>
  <c r="J55" i="1"/>
  <c r="D55" i="1"/>
  <c r="M54" i="1"/>
  <c r="L54" i="1"/>
  <c r="J54" i="1"/>
  <c r="D54" i="1"/>
  <c r="L53" i="1"/>
  <c r="J53" i="1"/>
  <c r="M52" i="1"/>
  <c r="L52" i="1"/>
  <c r="J52" i="1"/>
  <c r="Q52" i="1" s="1"/>
  <c r="D52" i="1"/>
  <c r="Q51" i="1"/>
  <c r="M51" i="1"/>
  <c r="L51" i="1"/>
  <c r="J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E43" i="1" s="1"/>
  <c r="J43" i="1"/>
  <c r="P43" i="1" s="1"/>
  <c r="D43" i="1"/>
  <c r="Q42" i="1"/>
  <c r="M42" i="1"/>
  <c r="L42" i="1"/>
  <c r="K42" i="1"/>
  <c r="E42" i="1" s="1"/>
  <c r="J42" i="1"/>
  <c r="P42" i="1" s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E40" i="1" s="1"/>
  <c r="J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E11" i="1"/>
  <c r="Q10" i="1"/>
  <c r="M10" i="1"/>
  <c r="L10" i="1"/>
  <c r="K10" i="1"/>
  <c r="E10" i="1" s="1"/>
  <c r="J10" i="1"/>
  <c r="P10" i="1" s="1"/>
  <c r="D10" i="1"/>
  <c r="Q9" i="1"/>
  <c r="M9" i="1"/>
  <c r="L9" i="1"/>
  <c r="K9" i="1"/>
  <c r="J9" i="1"/>
  <c r="P9" i="1" s="1"/>
  <c r="E9" i="1"/>
  <c r="D9" i="1"/>
  <c r="K75" i="1" l="1"/>
  <c r="E75" i="1" s="1"/>
  <c r="Q75" i="1"/>
  <c r="P75" i="1"/>
  <c r="Q72" i="1"/>
  <c r="P72" i="1"/>
  <c r="K72" i="1"/>
  <c r="E72" i="1" s="1"/>
  <c r="P71" i="1"/>
  <c r="K71" i="1"/>
  <c r="E71" i="1" s="1"/>
  <c r="Q71" i="1"/>
  <c r="Q65" i="1"/>
  <c r="P65" i="1"/>
  <c r="Q64" i="1"/>
  <c r="P64" i="1"/>
  <c r="D64" i="1"/>
  <c r="P63" i="1"/>
  <c r="Q63" i="1"/>
  <c r="Q62" i="1"/>
  <c r="P62" i="1"/>
  <c r="Q61" i="1"/>
  <c r="P61" i="1"/>
  <c r="D60" i="1"/>
  <c r="P60" i="1"/>
  <c r="Q60" i="1"/>
  <c r="P59" i="1"/>
  <c r="D59" i="1"/>
  <c r="Q59" i="1"/>
  <c r="Q58" i="1"/>
  <c r="P58" i="1"/>
  <c r="D58" i="1"/>
  <c r="D57" i="1"/>
  <c r="P57" i="1"/>
  <c r="Q57" i="1"/>
  <c r="Q56" i="1"/>
  <c r="D56" i="1"/>
  <c r="P56" i="1"/>
  <c r="P55" i="1"/>
  <c r="Q55" i="1"/>
  <c r="P54" i="1"/>
  <c r="Q54" i="1"/>
  <c r="P53" i="1"/>
  <c r="D53" i="1"/>
  <c r="P51" i="1"/>
  <c r="D51" i="1"/>
  <c r="Q50" i="1"/>
  <c r="P50" i="1"/>
  <c r="D40" i="1"/>
  <c r="P40" i="1"/>
  <c r="D11" i="1"/>
  <c r="P11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<sst xmlns="http://schemas.openxmlformats.org/spreadsheetml/2006/main" count="273" uniqueCount="185">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</sst>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81838EB2-D971-420F-A222-1556C3BC303F}"/>
    <cellStyle name="Comma 5 2 2 2 2 2 2 2 2 2 2 2 2 2" xfId="4" xr:uid="{853D0B08-0F38-4D6A-A4D3-11BBBC97F2A4}"/>
    <cellStyle name="Comma 6 2 2 2 2 2 2 2 2" xfId="6" xr:uid="{CA9538B7-D5F1-4EEC-AA1C-8634196A8F90}"/>
    <cellStyle name="Hyperlink 2" xfId="8" xr:uid="{B9DC7F47-3A55-414F-AAD7-E4607BE89C63}"/>
    <cellStyle name="Normal" xfId="0" builtinId="0"/>
    <cellStyle name="Normal 2" xfId="2" xr:uid="{EB5CDDBA-3C7A-4356-9F9D-1CA110BD4D2B}"/>
    <cellStyle name="Normal 20" xfId="7" xr:uid="{C77BEE81-3B35-48F4-9949-1ECC6C200F0A}"/>
    <cellStyle name="Percent" xfId="1" builtinId="5"/>
    <cellStyle name="Percent 3" xfId="5" xr:uid="{CA745DAD-19C9-4935-982C-1124FB63DD62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AFC9872-582A-4B55-8A87-280A619B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0D939F9-60BD-4A9A-9FB7-0230F87B2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60B5-CDF0-4B75-B2D7-58AAF202779F}">
  <dimension ref="A1:II107"/>
  <sheetViews>
    <sheetView tabSelected="1" zoomScale="70" zoomScaleNormal="70" workbookViewId="0">
      <selection activeCell="J5" sqref="J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26.5806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90090304.24444896</v>
      </c>
      <c r="E9" s="39">
        <f t="shared" ref="E9:E45" si="1">C9*K9</f>
        <v>74832948.15625</v>
      </c>
      <c r="F9" s="40" t="s">
        <v>34</v>
      </c>
      <c r="G9" s="41">
        <v>8.9894999999999996</v>
      </c>
      <c r="H9" s="42">
        <v>18</v>
      </c>
      <c r="I9" s="43">
        <v>19</v>
      </c>
      <c r="J9" s="44">
        <f>(I9/$J$5)</f>
        <v>0.71480703972069859</v>
      </c>
      <c r="K9" s="45">
        <f t="shared" ref="K9:K17" si="2">I9/$K$4</f>
        <v>0.59375</v>
      </c>
      <c r="L9" s="46">
        <f t="shared" ref="L9:L17" si="3">I9-H9</f>
        <v>1</v>
      </c>
      <c r="M9" s="46">
        <f t="shared" ref="M9:M17" si="4">((I9-H9)/H9)*100</f>
        <v>5.5555555555555554</v>
      </c>
      <c r="N9" s="37">
        <v>100</v>
      </c>
      <c r="O9" s="37">
        <v>1900</v>
      </c>
      <c r="P9" s="47">
        <f t="shared" ref="P9:P17" si="5">(R9)/J9</f>
        <v>2.0984684210526315E-2</v>
      </c>
      <c r="Q9" s="48">
        <f t="shared" ref="Q9:Q17" si="6">I9/G9-1</f>
        <v>1.113576950887146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8455531.3289794065</v>
      </c>
      <c r="E10" s="39">
        <f t="shared" si="1"/>
        <v>7023534.2513459381</v>
      </c>
      <c r="F10" s="40" t="s">
        <v>34</v>
      </c>
      <c r="G10" s="41">
        <v>3.1600000000000003E-2</v>
      </c>
      <c r="H10" s="42">
        <v>0.135021</v>
      </c>
      <c r="I10" s="43">
        <v>0.13810600000000001</v>
      </c>
      <c r="J10" s="44">
        <f t="shared" ref="J10:J17" si="7">I10/$J$5</f>
        <v>5.195744264614042E-3</v>
      </c>
      <c r="K10" s="45">
        <f t="shared" si="2"/>
        <v>4.3158125000000002E-3</v>
      </c>
      <c r="L10" s="46">
        <f t="shared" si="3"/>
        <v>3.0850000000000044E-3</v>
      </c>
      <c r="M10" s="46">
        <f t="shared" si="4"/>
        <v>2.2848297672213982</v>
      </c>
      <c r="N10" s="50">
        <v>29700</v>
      </c>
      <c r="O10" s="37">
        <v>4101.75</v>
      </c>
      <c r="P10" s="51">
        <f t="shared" si="5"/>
        <v>0</v>
      </c>
      <c r="Q10" s="48">
        <f t="shared" si="6"/>
        <v>3.3704430379746837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2959147.8228482422</v>
      </c>
      <c r="E11" s="39">
        <f t="shared" si="1"/>
        <v>2457997.6443749997</v>
      </c>
      <c r="F11" s="40" t="s">
        <v>39</v>
      </c>
      <c r="G11" s="41">
        <v>7.8E-2</v>
      </c>
      <c r="H11" s="42">
        <v>0.18</v>
      </c>
      <c r="I11" s="43">
        <v>0.18</v>
      </c>
      <c r="J11" s="44">
        <f t="shared" si="7"/>
        <v>6.7718561657750384E-3</v>
      </c>
      <c r="K11" s="45">
        <f t="shared" si="2"/>
        <v>5.6249999999999998E-3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1.3076923076923075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148258331.70921651</v>
      </c>
      <c r="E12" s="39">
        <f t="shared" si="1"/>
        <v>123149856.61968751</v>
      </c>
      <c r="F12" s="40" t="s">
        <v>34</v>
      </c>
      <c r="G12" s="41">
        <v>97.381</v>
      </c>
      <c r="H12" s="42">
        <v>190</v>
      </c>
      <c r="I12" s="43">
        <v>190.99</v>
      </c>
      <c r="J12" s="44">
        <f t="shared" si="7"/>
        <v>7.1853156061187482</v>
      </c>
      <c r="K12" s="45">
        <f t="shared" si="2"/>
        <v>5.9684375000000003</v>
      </c>
      <c r="L12" s="46">
        <f t="shared" si="3"/>
        <v>0.99000000000000909</v>
      </c>
      <c r="M12" s="46">
        <f t="shared" si="4"/>
        <v>0.5210526315789521</v>
      </c>
      <c r="N12" s="50">
        <v>500</v>
      </c>
      <c r="O12" s="37">
        <v>95495</v>
      </c>
      <c r="P12" s="51">
        <f t="shared" si="5"/>
        <v>0</v>
      </c>
      <c r="Q12" s="48">
        <f t="shared" si="6"/>
        <v>0.96126554461342573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9858815.828085145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1.1286426942958399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589898044.0622108</v>
      </c>
      <c r="E14" s="39">
        <f t="shared" si="1"/>
        <v>489995123.4375</v>
      </c>
      <c r="F14" s="40" t="s">
        <v>47</v>
      </c>
      <c r="G14" s="41">
        <v>11.5</v>
      </c>
      <c r="H14" s="42">
        <v>32.5</v>
      </c>
      <c r="I14" s="43">
        <v>30</v>
      </c>
      <c r="J14" s="44">
        <f t="shared" si="7"/>
        <v>1.1286426942958399</v>
      </c>
      <c r="K14" s="45">
        <f t="shared" si="2"/>
        <v>0.9375</v>
      </c>
      <c r="L14" s="46">
        <f t="shared" si="3"/>
        <v>-2.5</v>
      </c>
      <c r="M14" s="46">
        <f t="shared" si="4"/>
        <v>-7.6923076923076925</v>
      </c>
      <c r="N14" s="50">
        <v>1000</v>
      </c>
      <c r="O14" s="37">
        <v>30000</v>
      </c>
      <c r="P14" s="51">
        <f t="shared" si="5"/>
        <v>0</v>
      </c>
      <c r="Q14" s="48">
        <f t="shared" si="6"/>
        <v>1.6086956521739131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31636010.426777422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0.29833788552553364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80811010.586668476</v>
      </c>
      <c r="E16" s="39">
        <f t="shared" si="1"/>
        <v>67125160.875</v>
      </c>
      <c r="F16" s="40" t="s">
        <v>34</v>
      </c>
      <c r="G16" s="41">
        <v>1.9</v>
      </c>
      <c r="H16" s="42">
        <v>6</v>
      </c>
      <c r="I16" s="43">
        <v>6</v>
      </c>
      <c r="J16" s="44">
        <f t="shared" si="7"/>
        <v>0.22572853885916797</v>
      </c>
      <c r="K16" s="45">
        <f t="shared" si="2"/>
        <v>0.1875</v>
      </c>
      <c r="L16" s="46">
        <f t="shared" si="3"/>
        <v>0</v>
      </c>
      <c r="M16" s="46">
        <f t="shared" si="4"/>
        <v>0</v>
      </c>
      <c r="N16" s="50">
        <v>100</v>
      </c>
      <c r="O16" s="37">
        <v>600</v>
      </c>
      <c r="P16" s="51">
        <f t="shared" si="5"/>
        <v>0.22150500000000001</v>
      </c>
      <c r="Q16" s="48">
        <f t="shared" si="6"/>
        <v>2.1578947368421053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1684837502.9119759</v>
      </c>
      <c r="E17" s="39">
        <f t="shared" si="1"/>
        <v>1399499741.5594394</v>
      </c>
      <c r="F17" s="40" t="s">
        <v>34</v>
      </c>
      <c r="G17" s="41">
        <v>20.701700000000002</v>
      </c>
      <c r="H17" s="42">
        <v>33.524979000000002</v>
      </c>
      <c r="I17" s="43">
        <v>33.228388000000002</v>
      </c>
      <c r="J17" s="44">
        <f t="shared" si="7"/>
        <v>1.2500992453142519</v>
      </c>
      <c r="K17" s="45">
        <f t="shared" si="2"/>
        <v>1.0383871250000001</v>
      </c>
      <c r="L17" s="46">
        <f t="shared" si="3"/>
        <v>-0.29659099999999938</v>
      </c>
      <c r="M17" s="46">
        <f t="shared" si="4"/>
        <v>-0.88468660934880627</v>
      </c>
      <c r="N17" s="50">
        <v>117000</v>
      </c>
      <c r="O17" s="37">
        <v>3887721.37</v>
      </c>
      <c r="P17" s="47">
        <f t="shared" si="5"/>
        <v>0</v>
      </c>
      <c r="Q17" s="48">
        <f t="shared" si="6"/>
        <v>0.60510431510455653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303356550.41646916</v>
      </c>
      <c r="E19" s="39">
        <f t="shared" si="1"/>
        <v>251981222.625</v>
      </c>
      <c r="F19" s="40" t="s">
        <v>47</v>
      </c>
      <c r="G19" s="41">
        <v>12.45</v>
      </c>
      <c r="H19" s="42">
        <v>13.15</v>
      </c>
      <c r="I19" s="43">
        <v>12</v>
      </c>
      <c r="J19" s="44">
        <f t="shared" ref="J19:J45" si="8">I19/$J$5</f>
        <v>0.45145707771833593</v>
      </c>
      <c r="K19" s="45">
        <f t="shared" ref="K19:K45" si="9">I19/$K$4</f>
        <v>0.375</v>
      </c>
      <c r="L19" s="46">
        <f t="shared" ref="L19:L29" si="10">I19-H19</f>
        <v>-1.1500000000000004</v>
      </c>
      <c r="M19" s="46">
        <f>((I19-H19)/H19)*100</f>
        <v>-8.7452471482889766</v>
      </c>
      <c r="N19" s="50">
        <v>600</v>
      </c>
      <c r="O19" s="37">
        <v>7200</v>
      </c>
      <c r="P19" s="51">
        <f>(R19)/J19</f>
        <v>0</v>
      </c>
      <c r="Q19" s="48">
        <f t="shared" ref="Q19:Q29" si="11">I19/G19-1</f>
        <v>-3.6144578313252906E-2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3810999.7754001045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3.4987923523171038E-2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85681741.495677292</v>
      </c>
      <c r="E21" s="39">
        <f t="shared" si="1"/>
        <v>71171003.0625</v>
      </c>
      <c r="F21" s="40" t="s">
        <v>47</v>
      </c>
      <c r="G21" s="41">
        <v>2.85</v>
      </c>
      <c r="H21" s="42">
        <v>3.5</v>
      </c>
      <c r="I21" s="43">
        <v>3.3</v>
      </c>
      <c r="J21" s="44">
        <f t="shared" si="8"/>
        <v>0.12415069637254238</v>
      </c>
      <c r="K21" s="45">
        <f t="shared" si="9"/>
        <v>0.10312499999999999</v>
      </c>
      <c r="L21" s="46">
        <f t="shared" si="10"/>
        <v>-0.20000000000000018</v>
      </c>
      <c r="M21" s="46">
        <f>((I21-H21)/H21)*100</f>
        <v>-5.7142857142857197</v>
      </c>
      <c r="N21" s="50">
        <v>700</v>
      </c>
      <c r="O21" s="37">
        <v>2310</v>
      </c>
      <c r="P21" s="51">
        <f>(R21)/J21</f>
        <v>0</v>
      </c>
      <c r="Q21" s="48">
        <f t="shared" si="11"/>
        <v>0.15789473684210509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2153311.0106446436</v>
      </c>
      <c r="E23" s="39">
        <f t="shared" si="1"/>
        <v>1788634.3327981564</v>
      </c>
      <c r="F23" s="40" t="s">
        <v>44</v>
      </c>
      <c r="G23" s="41">
        <v>0.1</v>
      </c>
      <c r="H23" s="42">
        <v>0.11</v>
      </c>
      <c r="I23" s="43">
        <v>0.10666700000000001</v>
      </c>
      <c r="J23" s="44">
        <f t="shared" si="8"/>
        <v>4.0129643424151457E-3</v>
      </c>
      <c r="K23" s="45">
        <f t="shared" si="9"/>
        <v>3.3333437500000004E-3</v>
      </c>
      <c r="L23" s="46">
        <f t="shared" si="10"/>
        <v>-3.3329999999999887E-3</v>
      </c>
      <c r="M23" s="46">
        <f t="shared" ref="M23:M29" si="12">((I23-H23)/H23)*100</f>
        <v>-3.0299999999999896</v>
      </c>
      <c r="N23" s="50">
        <v>28500</v>
      </c>
      <c r="O23" s="37">
        <v>3040</v>
      </c>
      <c r="P23" s="51">
        <f t="shared" ref="P23:P29" si="13">(R23)/J23</f>
        <v>0</v>
      </c>
      <c r="Q23" s="48">
        <f t="shared" si="11"/>
        <v>6.6670000000000007E-2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74235645.301835164</v>
      </c>
      <c r="E24" s="39">
        <f t="shared" si="1"/>
        <v>61663374.797186248</v>
      </c>
      <c r="F24" s="40" t="s">
        <v>34</v>
      </c>
      <c r="G24" s="41">
        <v>8.1687659999999997</v>
      </c>
      <c r="H24" s="42">
        <v>12</v>
      </c>
      <c r="I24" s="43">
        <v>10.22289</v>
      </c>
      <c r="J24" s="44">
        <f t="shared" si="8"/>
        <v>0.38459967043633325</v>
      </c>
      <c r="K24" s="45">
        <f t="shared" si="9"/>
        <v>0.31946531249999999</v>
      </c>
      <c r="L24" s="46">
        <f t="shared" si="10"/>
        <v>-1.7771100000000004</v>
      </c>
      <c r="M24" s="46">
        <f t="shared" si="12"/>
        <v>-14.809250000000004</v>
      </c>
      <c r="N24" s="50">
        <v>36700</v>
      </c>
      <c r="O24" s="37">
        <v>375180.05</v>
      </c>
      <c r="P24" s="47">
        <f t="shared" si="13"/>
        <v>3.9001593482860523E-2</v>
      </c>
      <c r="Q24" s="48">
        <f t="shared" si="11"/>
        <v>0.25146074694758047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109201616.79871784</v>
      </c>
      <c r="E25" s="39">
        <f t="shared" si="1"/>
        <v>90707640.483750001</v>
      </c>
      <c r="F25" s="40" t="s">
        <v>66</v>
      </c>
      <c r="G25" s="41">
        <v>1.6675</v>
      </c>
      <c r="H25" s="42">
        <v>1.72</v>
      </c>
      <c r="I25" s="43">
        <v>1.72</v>
      </c>
      <c r="J25" s="44">
        <f t="shared" si="8"/>
        <v>6.4708847806294809E-2</v>
      </c>
      <c r="K25" s="45">
        <f t="shared" si="9"/>
        <v>5.3749999999999999E-2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3.1484257871064569E-2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24321183.590713486</v>
      </c>
      <c r="E26" s="39">
        <f t="shared" si="1"/>
        <v>20202239.142228715</v>
      </c>
      <c r="F26" s="40" t="s">
        <v>44</v>
      </c>
      <c r="G26" s="41">
        <v>1.7994999999999999</v>
      </c>
      <c r="H26" s="42">
        <v>2.85</v>
      </c>
      <c r="I26" s="43">
        <v>2.7005169999999996</v>
      </c>
      <c r="J26" s="44">
        <f t="shared" si="8"/>
        <v>0.1015972927623906</v>
      </c>
      <c r="K26" s="45">
        <f t="shared" si="9"/>
        <v>8.4391156249999988E-2</v>
      </c>
      <c r="L26" s="46">
        <f t="shared" si="10"/>
        <v>-0.14948300000000048</v>
      </c>
      <c r="M26" s="46">
        <f t="shared" si="12"/>
        <v>-5.2450175438596656</v>
      </c>
      <c r="N26" s="50">
        <v>14800</v>
      </c>
      <c r="O26" s="37">
        <v>39967.65</v>
      </c>
      <c r="P26" s="51">
        <f t="shared" si="13"/>
        <v>0</v>
      </c>
      <c r="Q26" s="48">
        <f t="shared" si="11"/>
        <v>0.5007040844679076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23965868.688439801</v>
      </c>
      <c r="E27" s="39">
        <f t="shared" si="1"/>
        <v>19907099.039373219</v>
      </c>
      <c r="F27" s="40" t="s">
        <v>34</v>
      </c>
      <c r="G27" s="41">
        <v>3.1361369999999997</v>
      </c>
      <c r="H27" s="42">
        <v>2.486923</v>
      </c>
      <c r="I27" s="43">
        <v>2.486923</v>
      </c>
      <c r="J27" s="44">
        <f t="shared" si="8"/>
        <v>9.3561582507543095E-2</v>
      </c>
      <c r="K27" s="45">
        <f t="shared" si="9"/>
        <v>7.771634375E-2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-0.20701072689107647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32692840.498333368</v>
      </c>
      <c r="E28" s="39">
        <f t="shared" si="1"/>
        <v>27156103.629687499</v>
      </c>
      <c r="F28" s="40" t="s">
        <v>44</v>
      </c>
      <c r="G28" s="41">
        <v>0.8</v>
      </c>
      <c r="H28" s="42">
        <v>1.1499999999999999</v>
      </c>
      <c r="I28" s="43">
        <v>1.1499999999999999</v>
      </c>
      <c r="J28" s="44">
        <f t="shared" si="8"/>
        <v>4.3264636614673856E-2</v>
      </c>
      <c r="K28" s="45">
        <f t="shared" si="9"/>
        <v>3.5937499999999997E-2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0.43749999999999978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121247288.91361566</v>
      </c>
      <c r="E29" s="39">
        <f t="shared" si="1"/>
        <v>100713302.74053913</v>
      </c>
      <c r="F29" s="40" t="s">
        <v>47</v>
      </c>
      <c r="G29" s="41">
        <v>5.15</v>
      </c>
      <c r="H29" s="42">
        <v>7.1757140000000001</v>
      </c>
      <c r="I29" s="43">
        <v>7.1757140000000001</v>
      </c>
      <c r="J29" s="44">
        <f t="shared" si="8"/>
        <v>0.26996057274854596</v>
      </c>
      <c r="K29" s="45">
        <f t="shared" si="9"/>
        <v>0.2242410625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0.39334252427184468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12934360.970406989</v>
      </c>
      <c r="E31" s="39">
        <f t="shared" si="1"/>
        <v>10743846.100312501</v>
      </c>
      <c r="F31" s="40" t="s">
        <v>39</v>
      </c>
      <c r="G31" s="41">
        <v>1.4</v>
      </c>
      <c r="H31" s="42">
        <v>1.3225</v>
      </c>
      <c r="I31" s="43">
        <v>1.3230000000000002</v>
      </c>
      <c r="J31" s="44">
        <f t="shared" si="8"/>
        <v>4.9773142818446539E-2</v>
      </c>
      <c r="K31" s="45">
        <f t="shared" si="9"/>
        <v>4.1343750000000005E-2</v>
      </c>
      <c r="L31" s="46">
        <f t="shared" ref="L31:L45" si="14">I31-H31</f>
        <v>5.0000000000016698E-4</v>
      </c>
      <c r="M31" s="46">
        <f t="shared" ref="M31:M45" si="15">((I31-H31)/H31)*100</f>
        <v>3.7807183364851948E-2</v>
      </c>
      <c r="N31" s="50">
        <v>24800</v>
      </c>
      <c r="O31" s="37">
        <v>32810.400000000001</v>
      </c>
      <c r="P31" s="51">
        <f t="shared" ref="P31:P36" si="16">(R31)/J31</f>
        <v>0</v>
      </c>
      <c r="Q31" s="48">
        <f t="shared" ref="Q31:Q45" si="17">I31/G31-1</f>
        <v>-5.4999999999999827E-2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4361376.2104692888</v>
      </c>
      <c r="E32" s="39">
        <f t="shared" si="1"/>
        <v>3622749.890625</v>
      </c>
      <c r="F32" s="40" t="s">
        <v>39</v>
      </c>
      <c r="G32" s="41">
        <v>0.65</v>
      </c>
      <c r="H32" s="42">
        <v>0.95</v>
      </c>
      <c r="I32" s="43">
        <v>0.95</v>
      </c>
      <c r="J32" s="44">
        <f t="shared" si="8"/>
        <v>3.5740351986034924E-2</v>
      </c>
      <c r="K32" s="45">
        <f t="shared" si="9"/>
        <v>2.9687499999999999E-2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0.46153846153846145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88353475.694958463</v>
      </c>
      <c r="E33" s="39">
        <f t="shared" si="1"/>
        <v>73390262.376794159</v>
      </c>
      <c r="F33" s="40" t="s">
        <v>92</v>
      </c>
      <c r="G33" s="41">
        <v>1.44</v>
      </c>
      <c r="H33" s="42">
        <v>0.94109100000000001</v>
      </c>
      <c r="I33" s="43">
        <v>0.94109100000000001</v>
      </c>
      <c r="J33" s="44">
        <f t="shared" si="8"/>
        <v>3.5405182727252203E-2</v>
      </c>
      <c r="K33" s="45">
        <f t="shared" si="9"/>
        <v>2.940909375E-2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-0.3464645833333333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35314647.376244336</v>
      </c>
      <c r="E34" s="39">
        <f t="shared" si="1"/>
        <v>29333891.126531251</v>
      </c>
      <c r="F34" s="40" t="s">
        <v>34</v>
      </c>
      <c r="G34" s="41">
        <v>3.6056249999999999</v>
      </c>
      <c r="H34" s="42">
        <v>3.7505000000000002</v>
      </c>
      <c r="I34" s="43">
        <v>3.7030000000000003</v>
      </c>
      <c r="J34" s="44">
        <f t="shared" si="8"/>
        <v>0.13931212989924985</v>
      </c>
      <c r="K34" s="45">
        <f t="shared" si="9"/>
        <v>0.11571875000000001</v>
      </c>
      <c r="L34" s="46">
        <f t="shared" si="14"/>
        <v>-4.7499999999999876E-2</v>
      </c>
      <c r="M34" s="46">
        <f t="shared" si="15"/>
        <v>-1.2664978002932907</v>
      </c>
      <c r="N34" s="50">
        <v>4000</v>
      </c>
      <c r="O34" s="37">
        <v>14812</v>
      </c>
      <c r="P34" s="51">
        <f t="shared" si="16"/>
        <v>0</v>
      </c>
      <c r="Q34" s="48">
        <f t="shared" si="17"/>
        <v>2.7006413589877099E-2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10643290.345590392</v>
      </c>
      <c r="E35" s="39">
        <f t="shared" si="1"/>
        <v>8840782.6050000004</v>
      </c>
      <c r="F35" s="40" t="s">
        <v>34</v>
      </c>
      <c r="G35" s="41">
        <v>2.5099999999999997E-2</v>
      </c>
      <c r="H35" s="42">
        <v>0.06</v>
      </c>
      <c r="I35" s="43">
        <v>0.06</v>
      </c>
      <c r="J35" s="44">
        <f t="shared" si="8"/>
        <v>2.2572853885916796E-3</v>
      </c>
      <c r="K35" s="45">
        <f t="shared" si="9"/>
        <v>1.8749999999999999E-3</v>
      </c>
      <c r="L35" s="46">
        <f t="shared" si="14"/>
        <v>0</v>
      </c>
      <c r="M35" s="46">
        <f t="shared" si="15"/>
        <v>0</v>
      </c>
      <c r="N35" s="50">
        <v>39900</v>
      </c>
      <c r="O35" s="37">
        <v>2394</v>
      </c>
      <c r="P35" s="51">
        <f t="shared" si="16"/>
        <v>0</v>
      </c>
      <c r="Q35" s="48">
        <f t="shared" si="17"/>
        <v>1.3904382470119523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69141346.527166426</v>
      </c>
      <c r="E36" s="39">
        <f t="shared" si="1"/>
        <v>57431827.359375</v>
      </c>
      <c r="F36" s="40" t="s">
        <v>92</v>
      </c>
      <c r="G36" s="41">
        <v>0.61</v>
      </c>
      <c r="H36" s="42">
        <v>3.4996409999999996</v>
      </c>
      <c r="I36" s="43">
        <v>3.5</v>
      </c>
      <c r="J36" s="44">
        <f t="shared" si="8"/>
        <v>0.1316749810011813</v>
      </c>
      <c r="K36" s="45">
        <f t="shared" si="9"/>
        <v>0.109375</v>
      </c>
      <c r="L36" s="46">
        <f t="shared" si="14"/>
        <v>3.590000000004423E-4</v>
      </c>
      <c r="M36" s="46">
        <f t="shared" si="15"/>
        <v>1.0258195054876839E-2</v>
      </c>
      <c r="N36" s="50">
        <v>1800</v>
      </c>
      <c r="O36" s="37">
        <v>6300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133191612.36855575</v>
      </c>
      <c r="E37" s="39">
        <f t="shared" si="1"/>
        <v>110634780.36636353</v>
      </c>
      <c r="F37" s="40" t="s">
        <v>56</v>
      </c>
      <c r="G37" s="41">
        <v>0.11650199999999999</v>
      </c>
      <c r="H37" s="42">
        <v>0.84512399999999999</v>
      </c>
      <c r="I37" s="43">
        <v>0.84397699999999998</v>
      </c>
      <c r="J37" s="44">
        <f t="shared" si="8"/>
        <v>3.1751615840124002E-2</v>
      </c>
      <c r="K37" s="45">
        <f t="shared" si="9"/>
        <v>2.6374281249999999E-2</v>
      </c>
      <c r="L37" s="46">
        <f t="shared" si="14"/>
        <v>-1.1470000000000091E-3</v>
      </c>
      <c r="M37" s="46">
        <f t="shared" si="15"/>
        <v>-0.13571972870253468</v>
      </c>
      <c r="N37" s="50">
        <v>8800</v>
      </c>
      <c r="O37" s="37">
        <v>7427</v>
      </c>
      <c r="P37" s="51">
        <v>0</v>
      </c>
      <c r="Q37" s="48">
        <f t="shared" si="17"/>
        <v>6.244313402345024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22812110.076879382</v>
      </c>
      <c r="E38" s="39">
        <f t="shared" si="1"/>
        <v>18948736.659671877</v>
      </c>
      <c r="F38" s="40" t="s">
        <v>39</v>
      </c>
      <c r="G38" s="41">
        <v>0.1</v>
      </c>
      <c r="H38" s="42">
        <v>0.14050100000000001</v>
      </c>
      <c r="I38" s="43">
        <v>0.14050000000000001</v>
      </c>
      <c r="J38" s="44">
        <f t="shared" si="8"/>
        <v>5.2858099516188504E-3</v>
      </c>
      <c r="K38" s="45">
        <f t="shared" si="9"/>
        <v>4.3906250000000004E-3</v>
      </c>
      <c r="L38" s="46">
        <f t="shared" si="14"/>
        <v>-1.0000000000010001E-6</v>
      </c>
      <c r="M38" s="46">
        <f t="shared" si="15"/>
        <v>-7.1173870648678656E-4</v>
      </c>
      <c r="N38" s="50">
        <v>30000</v>
      </c>
      <c r="O38" s="37">
        <v>4215</v>
      </c>
      <c r="P38" s="51">
        <f t="shared" ref="P38:P44" si="18">(R38)/J38</f>
        <v>0</v>
      </c>
      <c r="Q38" s="48">
        <f t="shared" si="17"/>
        <v>0.40500000000000003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9465350.0103169624</v>
      </c>
      <c r="E39" s="39">
        <f t="shared" si="1"/>
        <v>7862333.8276322195</v>
      </c>
      <c r="F39" s="40" t="s">
        <v>44</v>
      </c>
      <c r="G39" s="41">
        <v>1.7452379999999998</v>
      </c>
      <c r="H39" s="42">
        <v>2.4</v>
      </c>
      <c r="I39" s="43">
        <v>2.3629630000000001</v>
      </c>
      <c r="J39" s="44">
        <f t="shared" si="8"/>
        <v>8.8898030894712696E-2</v>
      </c>
      <c r="K39" s="45">
        <f t="shared" si="9"/>
        <v>7.3842593750000005E-2</v>
      </c>
      <c r="L39" s="46">
        <f t="shared" si="14"/>
        <v>-3.7036999999999765E-2</v>
      </c>
      <c r="M39" s="46">
        <f t="shared" si="15"/>
        <v>-1.5432083333333235</v>
      </c>
      <c r="N39" s="50">
        <v>27000</v>
      </c>
      <c r="O39" s="37">
        <v>63800</v>
      </c>
      <c r="P39" s="51">
        <f t="shared" si="18"/>
        <v>0</v>
      </c>
      <c r="Q39" s="48">
        <f t="shared" si="17"/>
        <v>0.35394885969707301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3585354.6022587903</v>
      </c>
      <c r="E40" s="39">
        <f t="shared" si="1"/>
        <v>2978152.3919000002</v>
      </c>
      <c r="F40" s="40" t="s">
        <v>39</v>
      </c>
      <c r="G40" s="41">
        <v>0.03</v>
      </c>
      <c r="H40" s="42">
        <v>5.0999999999999997E-2</v>
      </c>
      <c r="I40" s="43">
        <v>5.3600000000000002E-2</v>
      </c>
      <c r="J40" s="44">
        <f t="shared" si="8"/>
        <v>2.0165082804752339E-3</v>
      </c>
      <c r="K40" s="45">
        <f t="shared" si="9"/>
        <v>1.6750000000000001E-3</v>
      </c>
      <c r="L40" s="46">
        <f t="shared" si="14"/>
        <v>2.6000000000000051E-3</v>
      </c>
      <c r="M40" s="46">
        <f t="shared" si="15"/>
        <v>5.0980392156862848</v>
      </c>
      <c r="N40" s="50">
        <v>100</v>
      </c>
      <c r="O40" s="37">
        <v>5.36</v>
      </c>
      <c r="P40" s="51">
        <f t="shared" si="18"/>
        <v>0</v>
      </c>
      <c r="Q40" s="48">
        <f t="shared" si="17"/>
        <v>0.78666666666666685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49168272.699638076</v>
      </c>
      <c r="E41" s="39">
        <f t="shared" si="1"/>
        <v>40841318.416249998</v>
      </c>
      <c r="F41" s="40" t="s">
        <v>47</v>
      </c>
      <c r="G41" s="41">
        <v>4.5</v>
      </c>
      <c r="H41" s="42">
        <v>7.46</v>
      </c>
      <c r="I41" s="43">
        <v>7.46</v>
      </c>
      <c r="J41" s="44">
        <f t="shared" si="8"/>
        <v>0.28065581664823214</v>
      </c>
      <c r="K41" s="45">
        <f t="shared" si="9"/>
        <v>0.233125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0.65777777777777779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313.76559964786344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6.7718561657750386E-7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1560235.6605945691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2.7087424663100159E-3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54723182.65200936</v>
      </c>
      <c r="E44" s="39">
        <f t="shared" si="1"/>
        <v>45455469.650000006</v>
      </c>
      <c r="F44" s="40" t="s">
        <v>47</v>
      </c>
      <c r="G44" s="41">
        <v>0.9998999999999999</v>
      </c>
      <c r="H44" s="42">
        <v>0.72</v>
      </c>
      <c r="I44" s="43">
        <v>0.8</v>
      </c>
      <c r="J44" s="44">
        <f t="shared" si="8"/>
        <v>3.009713851455573E-2</v>
      </c>
      <c r="K44" s="45">
        <f t="shared" si="9"/>
        <v>2.5000000000000001E-2</v>
      </c>
      <c r="L44" s="46">
        <f t="shared" si="14"/>
        <v>8.0000000000000071E-2</v>
      </c>
      <c r="M44" s="46">
        <f t="shared" si="15"/>
        <v>11.111111111111121</v>
      </c>
      <c r="N44" s="50">
        <v>100</v>
      </c>
      <c r="O44" s="37">
        <v>80</v>
      </c>
      <c r="P44" s="51">
        <f t="shared" si="18"/>
        <v>0</v>
      </c>
      <c r="Q44" s="48">
        <f t="shared" si="17"/>
        <v>-0.19991999199919974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17548238.861703649</v>
      </c>
      <c r="E45" s="39">
        <f t="shared" si="1"/>
        <v>14576334.933981249</v>
      </c>
      <c r="F45" s="40" t="s">
        <v>47</v>
      </c>
      <c r="G45" s="41">
        <v>1.4503460000000001</v>
      </c>
      <c r="H45" s="42">
        <v>4.541245</v>
      </c>
      <c r="I45" s="43">
        <v>4.541245</v>
      </c>
      <c r="J45" s="44">
        <f t="shared" si="8"/>
        <v>0.17084809974191703</v>
      </c>
      <c r="K45" s="45">
        <f t="shared" si="9"/>
        <v>0.14191390625</v>
      </c>
      <c r="L45" s="46">
        <f t="shared" si="14"/>
        <v>0</v>
      </c>
      <c r="M45" s="46">
        <f t="shared" si="15"/>
        <v>0</v>
      </c>
      <c r="N45" s="50">
        <v>0</v>
      </c>
      <c r="O45" s="37">
        <v>0</v>
      </c>
      <c r="P45" s="51">
        <v>0</v>
      </c>
      <c r="Q45" s="48">
        <f t="shared" si="17"/>
        <v>2.1311459472429335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366200</v>
      </c>
      <c r="O47" s="61">
        <f>SUM(O9:O45)</f>
        <v>4579359.580000001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90721159.7148</v>
      </c>
      <c r="E50" s="39">
        <v>0</v>
      </c>
      <c r="F50" s="40" t="s">
        <v>92</v>
      </c>
      <c r="G50" s="70">
        <v>0.1</v>
      </c>
      <c r="H50" s="42">
        <v>0.16189999999999999</v>
      </c>
      <c r="I50" s="42">
        <v>0.16020000000000001</v>
      </c>
      <c r="J50" s="44">
        <f t="shared" ref="J50:J65" si="20">I50</f>
        <v>0.16020000000000001</v>
      </c>
      <c r="K50" s="39">
        <v>0</v>
      </c>
      <c r="L50" s="46">
        <f t="shared" ref="L50:L65" si="21">I50-H50</f>
        <v>-1.6999999999999793E-3</v>
      </c>
      <c r="M50" s="46">
        <f t="shared" ref="M50:M65" si="22">((I50-H50)/H50)*100</f>
        <v>-1.0500308832612597</v>
      </c>
      <c r="N50" s="50">
        <v>2157518</v>
      </c>
      <c r="O50" s="37">
        <v>345536.74</v>
      </c>
      <c r="P50" s="71">
        <f>(R50)/J50</f>
        <v>0</v>
      </c>
      <c r="Q50" s="48">
        <f t="shared" ref="Q50:Q65" si="23">J50/G50-1</f>
        <v>0.60200000000000009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36725810.417600006</v>
      </c>
      <c r="E51" s="39">
        <v>0</v>
      </c>
      <c r="F51" s="40" t="s">
        <v>39</v>
      </c>
      <c r="G51" s="70">
        <v>39.9</v>
      </c>
      <c r="H51" s="42">
        <v>37.9</v>
      </c>
      <c r="I51" s="42">
        <v>33.029600000000002</v>
      </c>
      <c r="J51" s="44">
        <f t="shared" si="20"/>
        <v>33.029600000000002</v>
      </c>
      <c r="K51" s="39">
        <v>0</v>
      </c>
      <c r="L51" s="46">
        <f t="shared" si="21"/>
        <v>-4.8703999999999965</v>
      </c>
      <c r="M51" s="46">
        <f t="shared" si="22"/>
        <v>-12.850659630606851</v>
      </c>
      <c r="N51" s="50">
        <v>1336</v>
      </c>
      <c r="O51" s="37">
        <v>44127.5</v>
      </c>
      <c r="P51" s="72">
        <f>(R51)/J51</f>
        <v>1.6954489306561387E-2</v>
      </c>
      <c r="Q51" s="48">
        <f t="shared" si="23"/>
        <v>-0.17219047619047612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673835153.31560004</v>
      </c>
      <c r="E52" s="39"/>
      <c r="F52" s="40" t="s">
        <v>56</v>
      </c>
      <c r="G52" s="70">
        <v>0.33</v>
      </c>
      <c r="H52" s="42">
        <v>0.22600000000000001</v>
      </c>
      <c r="I52" s="42">
        <v>0.22520000000000001</v>
      </c>
      <c r="J52" s="44">
        <f t="shared" si="20"/>
        <v>0.22520000000000001</v>
      </c>
      <c r="K52" s="39">
        <v>0</v>
      </c>
      <c r="L52" s="46">
        <f t="shared" si="21"/>
        <v>-7.9999999999999516E-4</v>
      </c>
      <c r="M52" s="46">
        <f t="shared" si="22"/>
        <v>-0.35398230088495358</v>
      </c>
      <c r="N52" s="50">
        <v>46111</v>
      </c>
      <c r="O52" s="37">
        <v>10384.879999999999</v>
      </c>
      <c r="P52" s="71">
        <v>0</v>
      </c>
      <c r="Q52" s="48">
        <f t="shared" si="23"/>
        <v>-0.31757575757575762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347112696.6045</v>
      </c>
      <c r="E54" s="39">
        <v>0</v>
      </c>
      <c r="F54" s="40" t="s">
        <v>47</v>
      </c>
      <c r="G54" s="70">
        <v>9.0200000000000002E-2</v>
      </c>
      <c r="H54" s="42">
        <v>0.1595</v>
      </c>
      <c r="I54" s="42">
        <v>0.1605</v>
      </c>
      <c r="J54" s="44">
        <f t="shared" si="20"/>
        <v>0.1605</v>
      </c>
      <c r="K54" s="39">
        <v>0</v>
      </c>
      <c r="L54" s="46">
        <f t="shared" si="21"/>
        <v>1.0000000000000009E-3</v>
      </c>
      <c r="M54" s="74">
        <f t="shared" si="22"/>
        <v>0.62695924764890343</v>
      </c>
      <c r="N54" s="50">
        <v>82556</v>
      </c>
      <c r="O54" s="37">
        <v>13246.41</v>
      </c>
      <c r="P54" s="71">
        <f t="shared" si="24"/>
        <v>0</v>
      </c>
      <c r="Q54" s="48">
        <f t="shared" si="23"/>
        <v>0.77937915742793784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808024809.35000002</v>
      </c>
      <c r="E55" s="39">
        <v>0</v>
      </c>
      <c r="F55" s="40" t="s">
        <v>34</v>
      </c>
      <c r="G55" s="70">
        <v>0.95750000000000002</v>
      </c>
      <c r="H55" s="42">
        <v>1.4011</v>
      </c>
      <c r="I55" s="42">
        <v>1.403</v>
      </c>
      <c r="J55" s="44">
        <f t="shared" si="20"/>
        <v>1.403</v>
      </c>
      <c r="K55" s="39">
        <v>0</v>
      </c>
      <c r="L55" s="46">
        <f t="shared" si="21"/>
        <v>1.9000000000000128E-3</v>
      </c>
      <c r="M55" s="46">
        <f t="shared" si="22"/>
        <v>0.13560773677824658</v>
      </c>
      <c r="N55" s="50">
        <v>216909</v>
      </c>
      <c r="O55" s="37">
        <v>304327.89</v>
      </c>
      <c r="P55" s="72">
        <f t="shared" si="24"/>
        <v>3.3499643620812543E-2</v>
      </c>
      <c r="Q55" s="48">
        <f t="shared" si="23"/>
        <v>0.46527415143603124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21067914.882599998</v>
      </c>
      <c r="E56" s="39">
        <v>0</v>
      </c>
      <c r="F56" s="40" t="s">
        <v>34</v>
      </c>
      <c r="G56" s="70">
        <v>0.1595</v>
      </c>
      <c r="H56" s="42">
        <v>0.11990000000000001</v>
      </c>
      <c r="I56" s="42">
        <v>0.1283</v>
      </c>
      <c r="J56" s="44">
        <f t="shared" si="20"/>
        <v>0.1283</v>
      </c>
      <c r="K56" s="39">
        <v>0</v>
      </c>
      <c r="L56" s="46">
        <f t="shared" si="21"/>
        <v>8.3999999999999908E-3</v>
      </c>
      <c r="M56" s="46">
        <f t="shared" si="22"/>
        <v>7.0058381984987417</v>
      </c>
      <c r="N56" s="50">
        <v>17841</v>
      </c>
      <c r="O56" s="37">
        <v>2288.48</v>
      </c>
      <c r="P56" s="71">
        <f t="shared" si="24"/>
        <v>0</v>
      </c>
      <c r="Q56" s="48">
        <f t="shared" si="23"/>
        <v>-0.19561128526645766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21179411.908999998</v>
      </c>
      <c r="E57" s="39">
        <v>0</v>
      </c>
      <c r="F57" s="40" t="s">
        <v>92</v>
      </c>
      <c r="G57" s="70">
        <v>1.6799999999999999E-2</v>
      </c>
      <c r="H57" s="42">
        <v>2.3E-2</v>
      </c>
      <c r="I57" s="42">
        <v>2.1499999999999998E-2</v>
      </c>
      <c r="J57" s="44">
        <f t="shared" si="20"/>
        <v>2.1499999999999998E-2</v>
      </c>
      <c r="K57" s="39">
        <v>0</v>
      </c>
      <c r="L57" s="46">
        <f t="shared" si="21"/>
        <v>-1.5000000000000013E-3</v>
      </c>
      <c r="M57" s="74">
        <f t="shared" si="22"/>
        <v>-6.5217391304347876</v>
      </c>
      <c r="N57" s="50">
        <v>38631</v>
      </c>
      <c r="O57" s="37">
        <v>830.36</v>
      </c>
      <c r="P57" s="71">
        <f t="shared" si="24"/>
        <v>0</v>
      </c>
      <c r="Q57" s="48">
        <f t="shared" si="23"/>
        <v>0.27976190476190466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2709386.4</v>
      </c>
      <c r="E58" s="39">
        <v>0</v>
      </c>
      <c r="F58" s="40" t="s">
        <v>137</v>
      </c>
      <c r="G58" s="70">
        <v>19.5</v>
      </c>
      <c r="H58" s="42">
        <v>16.166699999999999</v>
      </c>
      <c r="I58" s="42">
        <v>16.8</v>
      </c>
      <c r="J58" s="44">
        <f t="shared" si="20"/>
        <v>16.8</v>
      </c>
      <c r="K58" s="39">
        <v>0</v>
      </c>
      <c r="L58" s="46">
        <f t="shared" si="21"/>
        <v>0.63330000000000197</v>
      </c>
      <c r="M58" s="46">
        <f t="shared" si="22"/>
        <v>3.9173115106979286</v>
      </c>
      <c r="N58" s="50">
        <v>2</v>
      </c>
      <c r="O58" s="37">
        <v>33.6</v>
      </c>
      <c r="P58" s="71">
        <f t="shared" si="24"/>
        <v>0</v>
      </c>
      <c r="Q58" s="48">
        <f t="shared" si="23"/>
        <v>-0.13846153846153841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4023944151.5825996</v>
      </c>
      <c r="E59" s="39">
        <v>0</v>
      </c>
      <c r="F59" s="40" t="s">
        <v>47</v>
      </c>
      <c r="G59" s="70">
        <v>0.78169999999999995</v>
      </c>
      <c r="H59" s="51">
        <v>0.90259999999999996</v>
      </c>
      <c r="I59" s="42">
        <v>0.89459999999999995</v>
      </c>
      <c r="J59" s="44">
        <f t="shared" si="20"/>
        <v>0.89459999999999995</v>
      </c>
      <c r="K59" s="39">
        <v>0</v>
      </c>
      <c r="L59" s="46">
        <f t="shared" si="21"/>
        <v>-8.0000000000000071E-3</v>
      </c>
      <c r="M59" s="46">
        <f t="shared" si="22"/>
        <v>-0.88632838466651975</v>
      </c>
      <c r="N59" s="75">
        <v>2570</v>
      </c>
      <c r="O59" s="76">
        <v>2299.16</v>
      </c>
      <c r="P59" s="71">
        <f t="shared" si="24"/>
        <v>0</v>
      </c>
      <c r="Q59" s="48">
        <f t="shared" si="23"/>
        <v>0.14442880900601263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1255538558.3345001</v>
      </c>
      <c r="E60" s="39">
        <v>0</v>
      </c>
      <c r="F60" s="40" t="s">
        <v>92</v>
      </c>
      <c r="G60" s="70">
        <v>0.59499999999999997</v>
      </c>
      <c r="H60" s="42">
        <v>1.5497000000000001</v>
      </c>
      <c r="I60" s="42">
        <v>1.5595000000000001</v>
      </c>
      <c r="J60" s="44">
        <f t="shared" si="20"/>
        <v>1.5595000000000001</v>
      </c>
      <c r="K60" s="39">
        <v>0</v>
      </c>
      <c r="L60" s="46">
        <f t="shared" si="21"/>
        <v>9.8000000000000309E-3</v>
      </c>
      <c r="M60" s="46">
        <f t="shared" si="22"/>
        <v>0.63238046073433762</v>
      </c>
      <c r="N60" s="50">
        <v>141712</v>
      </c>
      <c r="O60" s="37">
        <v>220996.05</v>
      </c>
      <c r="P60" s="71">
        <f t="shared" si="24"/>
        <v>0</v>
      </c>
      <c r="Q60" s="48">
        <f t="shared" si="23"/>
        <v>1.621008403361345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103347234.93519999</v>
      </c>
      <c r="E61" s="39">
        <v>0</v>
      </c>
      <c r="F61" s="40" t="s">
        <v>34</v>
      </c>
      <c r="G61" s="70">
        <v>0.22600000000000001</v>
      </c>
      <c r="H61" s="42">
        <v>0.3579</v>
      </c>
      <c r="I61" s="42">
        <v>0.39639999999999997</v>
      </c>
      <c r="J61" s="44">
        <f t="shared" si="20"/>
        <v>0.39639999999999997</v>
      </c>
      <c r="K61" s="39">
        <v>0</v>
      </c>
      <c r="L61" s="46">
        <f t="shared" si="21"/>
        <v>3.8499999999999979E-2</v>
      </c>
      <c r="M61" s="46">
        <f t="shared" si="22"/>
        <v>10.757194747136065</v>
      </c>
      <c r="N61" s="50">
        <v>6831</v>
      </c>
      <c r="O61" s="37">
        <v>2708.01</v>
      </c>
      <c r="P61" s="71">
        <f t="shared" si="24"/>
        <v>0</v>
      </c>
      <c r="Q61" s="48">
        <f t="shared" si="23"/>
        <v>0.75398230088495555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412924726.78600001</v>
      </c>
      <c r="E62" s="39">
        <v>0</v>
      </c>
      <c r="F62" s="40" t="s">
        <v>34</v>
      </c>
      <c r="G62" s="70">
        <v>0.49440000000000001</v>
      </c>
      <c r="H62" s="42">
        <v>0.72009999999999996</v>
      </c>
      <c r="I62" s="42">
        <v>0.73450000000000004</v>
      </c>
      <c r="J62" s="44">
        <f t="shared" si="20"/>
        <v>0.73450000000000004</v>
      </c>
      <c r="K62" s="39">
        <v>0</v>
      </c>
      <c r="L62" s="46">
        <f t="shared" si="21"/>
        <v>1.4400000000000079E-2</v>
      </c>
      <c r="M62" s="46">
        <f t="shared" si="22"/>
        <v>1.9997222607971228</v>
      </c>
      <c r="N62" s="50">
        <v>20413</v>
      </c>
      <c r="O62" s="37">
        <v>14993.69</v>
      </c>
      <c r="P62" s="71">
        <f t="shared" si="24"/>
        <v>0</v>
      </c>
      <c r="Q62" s="48">
        <f t="shared" si="23"/>
        <v>0.48563915857605178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89308878.575000003</v>
      </c>
      <c r="E63" s="39">
        <v>0</v>
      </c>
      <c r="F63" s="40" t="s">
        <v>34</v>
      </c>
      <c r="G63" s="70">
        <v>0.25950000000000001</v>
      </c>
      <c r="H63" s="42">
        <v>0.245</v>
      </c>
      <c r="I63" s="42">
        <v>0.245</v>
      </c>
      <c r="J63" s="44">
        <f t="shared" si="20"/>
        <v>0.245</v>
      </c>
      <c r="K63" s="39">
        <v>0</v>
      </c>
      <c r="L63" s="46">
        <f t="shared" si="21"/>
        <v>0</v>
      </c>
      <c r="M63" s="46">
        <f t="shared" si="22"/>
        <v>0</v>
      </c>
      <c r="N63" s="50">
        <v>1451</v>
      </c>
      <c r="O63" s="37">
        <v>355.5</v>
      </c>
      <c r="P63" s="71">
        <f t="shared" si="24"/>
        <v>0</v>
      </c>
      <c r="Q63" s="48">
        <f t="shared" si="23"/>
        <v>-5.5876685934489467E-2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420000000</v>
      </c>
      <c r="E64" s="39">
        <v>0</v>
      </c>
      <c r="F64" s="40" t="s">
        <v>66</v>
      </c>
      <c r="G64" s="70">
        <v>10</v>
      </c>
      <c r="H64" s="42">
        <v>14</v>
      </c>
      <c r="I64" s="42">
        <v>14</v>
      </c>
      <c r="J64" s="44">
        <f t="shared" si="20"/>
        <v>14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0.39999999999999991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37903853.460000001</v>
      </c>
      <c r="E65" s="39">
        <v>0</v>
      </c>
      <c r="F65" s="40" t="s">
        <v>44</v>
      </c>
      <c r="G65" s="70">
        <v>4.2999999999999997E-2</v>
      </c>
      <c r="H65" s="42">
        <v>9.64E-2</v>
      </c>
      <c r="I65" s="42">
        <v>0.11</v>
      </c>
      <c r="J65" s="44">
        <f t="shared" si="20"/>
        <v>0.11</v>
      </c>
      <c r="K65" s="39">
        <v>0</v>
      </c>
      <c r="L65" s="46">
        <f t="shared" si="21"/>
        <v>1.3600000000000001E-2</v>
      </c>
      <c r="M65" s="46">
        <f t="shared" si="22"/>
        <v>14.107883817427386</v>
      </c>
      <c r="N65" s="50">
        <v>400</v>
      </c>
      <c r="O65" s="37">
        <v>44</v>
      </c>
      <c r="P65" s="71">
        <f t="shared" si="24"/>
        <v>0</v>
      </c>
      <c r="Q65" s="48">
        <f t="shared" si="23"/>
        <v>1.558139534883721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2734281</v>
      </c>
      <c r="O66" s="62">
        <f>SUM(O50:O65)</f>
        <v>962172.26999999979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0</v>
      </c>
      <c r="M71" s="46">
        <f>((I71-H71)/H71)*100</f>
        <v>0</v>
      </c>
      <c r="N71" s="95">
        <v>402</v>
      </c>
      <c r="O71" s="96">
        <v>140.69999999999999</v>
      </c>
      <c r="P71" s="71">
        <f>(R71)/J71</f>
        <v>0</v>
      </c>
      <c r="Q71" s="48">
        <f>J71/G71-1</f>
        <v>0.45833333333333326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79544582.425000012</v>
      </c>
      <c r="E72" s="39">
        <f>C72*K72</f>
        <v>79544582.425000012</v>
      </c>
      <c r="F72" s="92" t="s">
        <v>159</v>
      </c>
      <c r="G72" s="92">
        <v>0.1</v>
      </c>
      <c r="H72" s="93">
        <v>0.15110000000000001</v>
      </c>
      <c r="I72" s="93">
        <v>0.14710000000000001</v>
      </c>
      <c r="J72" s="94">
        <f>I72</f>
        <v>0.14710000000000001</v>
      </c>
      <c r="K72" s="94">
        <f>J72</f>
        <v>0.14710000000000001</v>
      </c>
      <c r="L72" s="46">
        <f>I72-H72</f>
        <v>-4.0000000000000036E-3</v>
      </c>
      <c r="M72" s="46">
        <f>((I72-H72)/H72)*100</f>
        <v>-2.6472534745201877</v>
      </c>
      <c r="N72" s="50">
        <v>5280</v>
      </c>
      <c r="O72" s="96">
        <v>776.58</v>
      </c>
      <c r="P72" s="97">
        <f>(R72)/J72</f>
        <v>2.5778382053025149E-2</v>
      </c>
      <c r="Q72" s="48">
        <f>J72/G72-1</f>
        <v>0.47100000000000009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5682</v>
      </c>
      <c r="O73" s="62">
        <f>SUM(O71:O72)</f>
        <v>917.28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7632062.5788000003</v>
      </c>
      <c r="E75" s="39">
        <f>C75*K75</f>
        <v>7632062.5788000003</v>
      </c>
      <c r="F75" s="92" t="s">
        <v>137</v>
      </c>
      <c r="G75" s="92">
        <v>0.1394</v>
      </c>
      <c r="H75" s="93">
        <v>0.11459999999999999</v>
      </c>
      <c r="I75" s="93">
        <v>0.1188</v>
      </c>
      <c r="J75" s="94">
        <f>I75</f>
        <v>0.1188</v>
      </c>
      <c r="K75" s="94">
        <f>J75</f>
        <v>0.1188</v>
      </c>
      <c r="L75" s="46">
        <f>I75-H75</f>
        <v>4.2000000000000093E-3</v>
      </c>
      <c r="M75" s="46">
        <f>((I75-H75)/H75)*100</f>
        <v>3.6649214659685945</v>
      </c>
      <c r="N75" s="95">
        <v>4390</v>
      </c>
      <c r="O75" s="96">
        <v>521.45000000000005</v>
      </c>
      <c r="P75" s="71">
        <f>(R75)/J75</f>
        <v>0</v>
      </c>
      <c r="Q75" s="48">
        <f>J75/G75-1</f>
        <v>-0.14777618364418932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119272.05179717539</v>
      </c>
      <c r="E78" s="39">
        <f>C78*K78</f>
        <v>99072.584375000006</v>
      </c>
      <c r="F78" s="40" t="s">
        <v>137</v>
      </c>
      <c r="G78" s="70">
        <v>0.105</v>
      </c>
      <c r="H78" s="42">
        <v>0.1</v>
      </c>
      <c r="I78" s="42">
        <v>0.1</v>
      </c>
      <c r="J78" s="44">
        <f>I78/$J$5</f>
        <v>3.7621423143194663E-3</v>
      </c>
      <c r="K78" s="45">
        <f>I78/$K$4</f>
        <v>3.1250000000000002E-3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-4.7619047619047561E-2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461034.91569039068</v>
      </c>
      <c r="E79" s="39">
        <f>C79*K79</f>
        <v>382955.77124999999</v>
      </c>
      <c r="F79" s="40" t="s">
        <v>137</v>
      </c>
      <c r="G79" s="70">
        <v>4.2500000000000003E-2</v>
      </c>
      <c r="H79" s="42">
        <v>0.09</v>
      </c>
      <c r="I79" s="42">
        <v>0.09</v>
      </c>
      <c r="J79" s="44">
        <f>I79/$J$5</f>
        <v>3.3859280828875192E-3</v>
      </c>
      <c r="K79" s="45">
        <f>I79/$K$4</f>
        <v>2.8124999999999999E-3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1.117647058823529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1595273.7695913562</v>
      </c>
      <c r="E80" s="39">
        <f>C80*K80</f>
        <v>1325104.18625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4.8907850086153063E-3</v>
      </c>
      <c r="K80" s="45">
        <f>I80/$K$4</f>
        <v>4.0625000000000001E-3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424579.26344777772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6.358020511199898E-2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50</v>
      </c>
      <c r="O81" s="37">
        <v>92.5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50</v>
      </c>
      <c r="O82" s="62">
        <f>SUM(O78:O81)</f>
        <v>92.5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26328219.212508369</v>
      </c>
      <c r="E84" s="39">
        <f>C84*K84</f>
        <v>21869370.737500001</v>
      </c>
      <c r="F84" s="40" t="s">
        <v>177</v>
      </c>
      <c r="G84" s="40">
        <v>1.3</v>
      </c>
      <c r="H84" s="42">
        <v>1.9</v>
      </c>
      <c r="I84" s="42">
        <v>1.9</v>
      </c>
      <c r="J84" s="44">
        <f>I84/$J$5</f>
        <v>7.1480703972069848E-2</v>
      </c>
      <c r="K84" s="45">
        <f>I84/$K$4</f>
        <v>5.9374999999999997E-2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0.46153846153846145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76110518.508047223</v>
      </c>
      <c r="E85" s="39">
        <f>C85*K85</f>
        <v>63220726.507968746</v>
      </c>
      <c r="F85" s="40" t="s">
        <v>177</v>
      </c>
      <c r="G85" s="40">
        <v>1.44347</v>
      </c>
      <c r="H85" s="42">
        <v>1.0935630000000001</v>
      </c>
      <c r="I85" s="42">
        <v>1.0988309999999999</v>
      </c>
      <c r="J85" s="44">
        <f>I85/$J$5</f>
        <v>4.133958601385973E-2</v>
      </c>
      <c r="K85" s="45">
        <f>I85/$K$4</f>
        <v>3.4338468749999997E-2</v>
      </c>
      <c r="L85" s="46">
        <f>I85-H85</f>
        <v>5.2679999999998284E-3</v>
      </c>
      <c r="M85" s="46">
        <f>((I85-H85)/H85*100)</f>
        <v>0.48172807602303919</v>
      </c>
      <c r="N85" s="76">
        <v>4595477</v>
      </c>
      <c r="O85" s="76">
        <v>5049660.5525000002</v>
      </c>
      <c r="P85" s="47">
        <f>(R85)/J85</f>
        <v>5.2637198622900158E-2</v>
      </c>
      <c r="Q85" s="48">
        <f>I85/G85-1</f>
        <v>-0.23875730011707907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113</v>
      </c>
      <c r="B89" s="116">
        <v>0.8</v>
      </c>
      <c r="D89" s="116">
        <v>11.111111111111121</v>
      </c>
      <c r="E89" s="35" t="s">
        <v>70</v>
      </c>
      <c r="F89" s="117">
        <v>10.22289</v>
      </c>
      <c r="H89" s="118">
        <v>-14.809250000000004</v>
      </c>
      <c r="J89" s="35" t="s">
        <v>142</v>
      </c>
      <c r="K89" s="51">
        <v>0.39639999999999997</v>
      </c>
      <c r="L89" s="119">
        <v>10.757194747136065</v>
      </c>
      <c r="M89" s="35" t="s">
        <v>121</v>
      </c>
      <c r="N89" s="117">
        <v>33.029600000000002</v>
      </c>
      <c r="O89" s="118">
        <v>-12.850659630606851</v>
      </c>
      <c r="P89" s="118">
        <v>-1.3931214627775275</v>
      </c>
      <c r="Q89" s="16"/>
    </row>
    <row r="90" spans="1:243" ht="15" customHeight="1" x14ac:dyDescent="0.25">
      <c r="A90" s="35" t="s">
        <v>32</v>
      </c>
      <c r="B90" s="116">
        <v>19</v>
      </c>
      <c r="D90" s="116">
        <v>5.5555555555555554</v>
      </c>
      <c r="E90" s="35" t="s">
        <v>58</v>
      </c>
      <c r="F90" s="117">
        <v>12</v>
      </c>
      <c r="H90" s="118">
        <v>-8.7452471482889766</v>
      </c>
      <c r="J90" s="35" t="s">
        <v>131</v>
      </c>
      <c r="K90" s="51">
        <v>0.1283</v>
      </c>
      <c r="L90" s="119">
        <v>7.0058381984987417</v>
      </c>
      <c r="M90" s="35" t="s">
        <v>133</v>
      </c>
      <c r="N90" s="117">
        <v>2.1499999999999998E-2</v>
      </c>
      <c r="O90" s="118">
        <v>-6.5217391304347876</v>
      </c>
      <c r="P90" s="118">
        <v>-0.80321285140561771</v>
      </c>
      <c r="Q90" s="16"/>
    </row>
    <row r="91" spans="1:243" ht="15" customHeight="1" x14ac:dyDescent="0.25">
      <c r="A91" s="35" t="s">
        <v>105</v>
      </c>
      <c r="B91" s="116">
        <v>5.3600000000000002E-2</v>
      </c>
      <c r="C91" s="116"/>
      <c r="D91" s="116">
        <v>5.0980392156862848</v>
      </c>
      <c r="E91" s="120" t="s">
        <v>45</v>
      </c>
      <c r="F91" s="117">
        <v>30</v>
      </c>
      <c r="G91" s="121"/>
      <c r="H91" s="118">
        <v>-7.6923076923076925</v>
      </c>
      <c r="J91" s="35" t="s">
        <v>135</v>
      </c>
      <c r="K91" s="51">
        <v>16.8</v>
      </c>
      <c r="L91" s="119">
        <v>3.9173115106979286</v>
      </c>
      <c r="M91" s="35" t="s">
        <v>119</v>
      </c>
      <c r="N91" s="117">
        <v>0.16020000000000001</v>
      </c>
      <c r="O91" s="118">
        <v>-1.0500308832612597</v>
      </c>
      <c r="P91" s="118">
        <v>-0.77994428969359408</v>
      </c>
      <c r="Q91" s="16"/>
    </row>
    <row r="92" spans="1:243" ht="15" customHeight="1" x14ac:dyDescent="0.25">
      <c r="A92" s="35" t="s">
        <v>35</v>
      </c>
      <c r="B92" s="116">
        <v>0.13810600000000001</v>
      </c>
      <c r="C92" s="116"/>
      <c r="D92" s="116">
        <v>2.2848297672213982</v>
      </c>
      <c r="E92" s="120" t="s">
        <v>62</v>
      </c>
      <c r="F92" s="117">
        <v>3.3</v>
      </c>
      <c r="G92" s="121"/>
      <c r="H92" s="118">
        <v>-5.7142857142857197</v>
      </c>
      <c r="J92" s="35" t="s">
        <v>144</v>
      </c>
      <c r="K92" s="51">
        <v>0.73450000000000004</v>
      </c>
      <c r="L92" s="119">
        <v>1.9997222607971228</v>
      </c>
      <c r="M92" s="35" t="s">
        <v>138</v>
      </c>
      <c r="N92" s="117">
        <v>0.89459999999999995</v>
      </c>
      <c r="O92" s="118">
        <v>-0.88632838466651975</v>
      </c>
      <c r="P92" s="118">
        <v>-0.56417489421721045</v>
      </c>
      <c r="Q92" s="16"/>
    </row>
    <row r="93" spans="1:243" ht="15" customHeight="1" x14ac:dyDescent="0.25">
      <c r="A93" s="35" t="s">
        <v>40</v>
      </c>
      <c r="B93" s="116">
        <v>190.99</v>
      </c>
      <c r="C93" s="116"/>
      <c r="D93" s="116">
        <v>0.5210526315789521</v>
      </c>
      <c r="E93" s="120" t="s">
        <v>75</v>
      </c>
      <c r="F93" s="117">
        <v>2.7005169999999996</v>
      </c>
      <c r="G93" s="121"/>
      <c r="H93" s="118">
        <v>-5.2450175438596656</v>
      </c>
      <c r="J93" s="120" t="s">
        <v>140</v>
      </c>
      <c r="K93" s="121">
        <v>1.5595000000000001</v>
      </c>
      <c r="L93" s="119">
        <v>0.63238046073433762</v>
      </c>
      <c r="M93" s="35" t="s">
        <v>123</v>
      </c>
      <c r="N93" s="117">
        <v>0.22520000000000001</v>
      </c>
      <c r="O93" s="118">
        <v>-0.35398230088495358</v>
      </c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P2PgMmCJJLPOXpUsJYey+xRv1u68IO2kVX/drLCT/WSJ0A30ItzyxMuinVoo9haNkAL4MV6GRPp+Gs8SfdXfow==" saltValue="Nt/XvMbT7X6/NohoLnGuNA==" spinCount="100000" sheet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2026-10-26T13:27:57Z</dcterms:created>
  <dcterms:modified xsi:type="dcterms:W3CDTF">2026-10-26T13:33:31Z</dcterms:modified>
</cp:coreProperties>
</file>