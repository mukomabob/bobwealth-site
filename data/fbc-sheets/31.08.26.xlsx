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31.08.26/"/>
    </mc:Choice>
  </mc:AlternateContent>
  <xr:revisionPtr revIDLastSave="5" documentId="8_{888BAC84-27E1-4AE4-A2D9-228DB0D335B0}" xr6:coauthVersionLast="47" xr6:coauthVersionMax="47" xr10:uidLastSave="{D97AA9D9-F0A7-450D-9C37-D06126671F68}"/>
  <bookViews>
    <workbookView xWindow="-108" yWindow="-108" windowWidth="23256" windowHeight="12456" xr2:uid="{A244F9E2-D24F-4462-9F66-B089AD92A5D7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P84" i="1"/>
  <c r="M84" i="1"/>
  <c r="L84" i="1"/>
  <c r="K84" i="1"/>
  <c r="E84" i="1" s="1"/>
  <c r="J84" i="1"/>
  <c r="D84" i="1"/>
  <c r="Q83" i="1"/>
  <c r="M83" i="1"/>
  <c r="L83" i="1"/>
  <c r="K83" i="1"/>
  <c r="J83" i="1"/>
  <c r="P83" i="1" s="1"/>
  <c r="E83" i="1"/>
  <c r="D83" i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M74" i="1"/>
  <c r="L74" i="1"/>
  <c r="J74" i="1"/>
  <c r="D74" i="1" s="1"/>
  <c r="O72" i="1"/>
  <c r="N72" i="1"/>
  <c r="M71" i="1"/>
  <c r="L71" i="1"/>
  <c r="J71" i="1"/>
  <c r="Q71" i="1" s="1"/>
  <c r="D71" i="1"/>
  <c r="Q70" i="1"/>
  <c r="M70" i="1"/>
  <c r="L70" i="1"/>
  <c r="J70" i="1"/>
  <c r="P70" i="1" s="1"/>
  <c r="D70" i="1"/>
  <c r="M67" i="1"/>
  <c r="L67" i="1"/>
  <c r="D67" i="1"/>
  <c r="O65" i="1"/>
  <c r="N65" i="1"/>
  <c r="M64" i="1"/>
  <c r="L64" i="1"/>
  <c r="J64" i="1"/>
  <c r="Q64" i="1" s="1"/>
  <c r="D64" i="1"/>
  <c r="M63" i="1"/>
  <c r="L63" i="1"/>
  <c r="J63" i="1"/>
  <c r="Q63" i="1" s="1"/>
  <c r="D63" i="1"/>
  <c r="M62" i="1"/>
  <c r="L62" i="1"/>
  <c r="J62" i="1"/>
  <c r="Q62" i="1" s="1"/>
  <c r="D62" i="1"/>
  <c r="M61" i="1"/>
  <c r="L61" i="1"/>
  <c r="J61" i="1"/>
  <c r="Q61" i="1" s="1"/>
  <c r="D61" i="1"/>
  <c r="M60" i="1"/>
  <c r="L60" i="1"/>
  <c r="J60" i="1"/>
  <c r="Q60" i="1" s="1"/>
  <c r="D60" i="1"/>
  <c r="M59" i="1"/>
  <c r="L59" i="1"/>
  <c r="J59" i="1"/>
  <c r="Q59" i="1" s="1"/>
  <c r="D59" i="1"/>
  <c r="M58" i="1"/>
  <c r="L58" i="1"/>
  <c r="J58" i="1"/>
  <c r="Q58" i="1" s="1"/>
  <c r="D58" i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D55" i="1"/>
  <c r="M54" i="1"/>
  <c r="L54" i="1"/>
  <c r="J54" i="1"/>
  <c r="Q54" i="1" s="1"/>
  <c r="D54" i="1"/>
  <c r="M53" i="1"/>
  <c r="L53" i="1"/>
  <c r="J53" i="1"/>
  <c r="Q53" i="1" s="1"/>
  <c r="D53" i="1"/>
  <c r="M52" i="1"/>
  <c r="L52" i="1"/>
  <c r="J52" i="1"/>
  <c r="Q52" i="1" s="1"/>
  <c r="D52" i="1"/>
  <c r="M51" i="1"/>
  <c r="L51" i="1"/>
  <c r="J51" i="1"/>
  <c r="Q51" i="1" s="1"/>
  <c r="D51" i="1"/>
  <c r="Q50" i="1"/>
  <c r="M50" i="1"/>
  <c r="L50" i="1"/>
  <c r="J50" i="1"/>
  <c r="P50" i="1" s="1"/>
  <c r="D50" i="1"/>
  <c r="M49" i="1"/>
  <c r="L49" i="1"/>
  <c r="J49" i="1"/>
  <c r="Q49" i="1" s="1"/>
  <c r="D49" i="1"/>
  <c r="O46" i="1"/>
  <c r="N46" i="1"/>
  <c r="Q45" i="1"/>
  <c r="M45" i="1"/>
  <c r="L45" i="1"/>
  <c r="K45" i="1"/>
  <c r="J45" i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1" i="1"/>
  <c r="M31" i="1"/>
  <c r="L31" i="1"/>
  <c r="K31" i="1"/>
  <c r="J31" i="1"/>
  <c r="P31" i="1" s="1"/>
  <c r="E31" i="1"/>
  <c r="D31" i="1"/>
  <c r="K30" i="1"/>
  <c r="E30" i="1" s="1"/>
  <c r="J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E27" i="1" s="1"/>
  <c r="J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E21" i="1" s="1"/>
  <c r="J21" i="1"/>
  <c r="D21" i="1" s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4" i="1" l="1"/>
  <c r="E74" i="1" s="1"/>
  <c r="P21" i="1"/>
  <c r="P53" i="1"/>
  <c r="P55" i="1"/>
  <c r="P57" i="1"/>
  <c r="P59" i="1"/>
  <c r="P61" i="1"/>
  <c r="P63" i="1"/>
  <c r="K71" i="1"/>
  <c r="E71" i="1" s="1"/>
  <c r="P49" i="1"/>
  <c r="P74" i="1"/>
  <c r="Q74" i="1"/>
  <c r="P71" i="1"/>
  <c r="K70" i="1"/>
  <c r="E70" i="1" s="1"/>
  <c r="P52" i="1"/>
  <c r="P54" i="1"/>
  <c r="P56" i="1"/>
  <c r="P58" i="1"/>
  <c r="P60" i="1"/>
  <c r="P62" i="1"/>
  <c r="P64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<sst xmlns="http://schemas.openxmlformats.org/spreadsheetml/2006/main" count="269" uniqueCount="185">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</sst>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0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71" fontId="15" fillId="5" borderId="0" xfId="1" applyNumberFormat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2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80B382D2-954F-4567-B9B1-BA7A6EC453FE}"/>
    <cellStyle name="Comma 5 2 2 2 2 2 2 2 2 2 2" xfId="5" xr:uid="{D73A43ED-CA06-40A5-B3CB-353CCFD0FF79}"/>
    <cellStyle name="Comma 6 2 2 2 2 2" xfId="6" xr:uid="{64A18E6B-BC55-4EED-9B49-E5F230701067}"/>
    <cellStyle name="Hyperlink 2" xfId="9" xr:uid="{99A305A2-23F0-413C-9D13-23B5E86F4544}"/>
    <cellStyle name="Normal" xfId="0" builtinId="0"/>
    <cellStyle name="Normal 2" xfId="3" xr:uid="{41C85591-6923-4295-A95A-4999F646437B}"/>
    <cellStyle name="Normal 20" xfId="8" xr:uid="{52FE1145-67EA-4996-88B7-4F5584680C2E}"/>
    <cellStyle name="Percent" xfId="2" builtinId="5"/>
    <cellStyle name="Percent 3" xfId="7" xr:uid="{B036CF21-A361-4A75-9329-257509E421F5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12DA58B-721D-45D2-879E-2CF0C3793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98DB0EAD-E93C-412C-AE8D-82C7730AB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04D7-C189-409A-B67C-0C4B5B8CBE4F}">
  <dimension ref="A1:II106"/>
  <sheetViews>
    <sheetView tabSelected="1" topLeftCell="A54" zoomScale="60" zoomScaleNormal="60" workbookViewId="0">
      <selection activeCell="T87" sqref="T8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26.6663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41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4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81482385.196296439</v>
      </c>
      <c r="E9" s="39">
        <f t="shared" ref="E9:E45" si="1">C9*K9</f>
        <v>68978848.519365072</v>
      </c>
      <c r="F9" s="40" t="s">
        <v>34</v>
      </c>
      <c r="G9" s="41">
        <v>8.9894999999999996</v>
      </c>
      <c r="H9" s="42">
        <v>16.994361000000001</v>
      </c>
      <c r="I9" s="43">
        <v>17.239999999999998</v>
      </c>
      <c r="J9" s="44">
        <f>(I9/$J$5)</f>
        <v>0.64650888949723051</v>
      </c>
      <c r="K9" s="45">
        <f t="shared" ref="K9:K17" si="2">I9/$K$4</f>
        <v>0.54730158730158729</v>
      </c>
      <c r="L9" s="46">
        <f t="shared" ref="L9:L17" si="3">I9-H9</f>
        <v>0.24563899999999705</v>
      </c>
      <c r="M9" s="46">
        <f t="shared" ref="M9:M17" si="4">((I9-H9)/H9)*100</f>
        <v>1.4454147466915468</v>
      </c>
      <c r="N9" s="47">
        <v>5000</v>
      </c>
      <c r="O9" s="37">
        <v>86200</v>
      </c>
      <c r="P9" s="48">
        <f t="shared" ref="P9:P17" si="5">(R9)/J9</f>
        <v>2.320153712296984E-2</v>
      </c>
      <c r="Q9" s="49">
        <f t="shared" ref="Q9:Q17" si="6">I9/G9-1</f>
        <v>0.91779298069970516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3252069.3334418354</v>
      </c>
      <c r="E10" s="39">
        <f t="shared" si="1"/>
        <v>2753036.7132177777</v>
      </c>
      <c r="F10" s="40" t="s">
        <v>34</v>
      </c>
      <c r="G10" s="41">
        <v>3.1600000000000003E-2</v>
      </c>
      <c r="H10" s="42">
        <v>5.3288000000000002E-2</v>
      </c>
      <c r="I10" s="43">
        <v>5.3288000000000002E-2</v>
      </c>
      <c r="J10" s="44">
        <f t="shared" ref="J10:J17" si="7">I10/$J$5</f>
        <v>1.998327477002809E-3</v>
      </c>
      <c r="K10" s="45">
        <f t="shared" si="2"/>
        <v>1.6916825396825397E-3</v>
      </c>
      <c r="L10" s="46">
        <f t="shared" si="3"/>
        <v>0</v>
      </c>
      <c r="M10" s="46">
        <f t="shared" si="4"/>
        <v>0</v>
      </c>
      <c r="N10" s="51">
        <v>0</v>
      </c>
      <c r="O10" s="37">
        <v>0</v>
      </c>
      <c r="P10" s="52">
        <f t="shared" si="5"/>
        <v>0</v>
      </c>
      <c r="Q10" s="49">
        <f t="shared" si="6"/>
        <v>0.6863291139240506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3932850.3076917306</v>
      </c>
      <c r="E11" s="39">
        <f t="shared" si="1"/>
        <v>3329351.3066666666</v>
      </c>
      <c r="F11" s="40" t="s">
        <v>39</v>
      </c>
      <c r="G11" s="41">
        <v>7.8E-2</v>
      </c>
      <c r="H11" s="42">
        <v>0.24</v>
      </c>
      <c r="I11" s="43">
        <v>0.24</v>
      </c>
      <c r="J11" s="44">
        <f t="shared" si="7"/>
        <v>9.0001237517015852E-3</v>
      </c>
      <c r="K11" s="45">
        <f t="shared" si="2"/>
        <v>7.619047619047619E-3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2.0769230769230766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139278154.82462883</v>
      </c>
      <c r="E12" s="39">
        <f t="shared" si="1"/>
        <v>117905811.42857143</v>
      </c>
      <c r="F12" s="40" t="s">
        <v>34</v>
      </c>
      <c r="G12" s="41">
        <v>97.381</v>
      </c>
      <c r="H12" s="42">
        <v>180</v>
      </c>
      <c r="I12" s="43">
        <v>180</v>
      </c>
      <c r="J12" s="44">
        <f t="shared" si="7"/>
        <v>6.7500928137761891</v>
      </c>
      <c r="K12" s="45">
        <f t="shared" si="2"/>
        <v>5.7142857142857144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0.84840985407831093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8189276.3525498472</v>
      </c>
      <c r="E13" s="39">
        <f t="shared" si="1"/>
        <v>6932625.3968253965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0.93751289080224853</v>
      </c>
      <c r="K13" s="45">
        <f t="shared" si="2"/>
        <v>0.79365079365079361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764393103.0651983</v>
      </c>
      <c r="E14" s="39">
        <f t="shared" si="1"/>
        <v>647096374.7386508</v>
      </c>
      <c r="F14" s="40" t="s">
        <v>47</v>
      </c>
      <c r="G14" s="41">
        <v>11.5</v>
      </c>
      <c r="H14" s="42">
        <v>34.5</v>
      </c>
      <c r="I14" s="43">
        <v>38.999499999999998</v>
      </c>
      <c r="J14" s="44">
        <f t="shared" si="7"/>
        <v>1.4625013593936915</v>
      </c>
      <c r="K14" s="45">
        <f t="shared" si="2"/>
        <v>1.2380793650793651</v>
      </c>
      <c r="L14" s="46">
        <f t="shared" si="3"/>
        <v>4.4994999999999976</v>
      </c>
      <c r="M14" s="46">
        <f t="shared" si="4"/>
        <v>13.04202898550724</v>
      </c>
      <c r="N14" s="51">
        <v>1000</v>
      </c>
      <c r="O14" s="37">
        <v>38999.5</v>
      </c>
      <c r="P14" s="52">
        <f t="shared" si="5"/>
        <v>0</v>
      </c>
      <c r="Q14" s="49">
        <f t="shared" si="6"/>
        <v>2.3912608695652171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27438453.684988171</v>
      </c>
      <c r="E15" s="39">
        <f t="shared" si="1"/>
        <v>23228001.19047619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0.25875355786142062</v>
      </c>
      <c r="K15" s="45">
        <f t="shared" si="2"/>
        <v>0.21904761904761905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0.28014842300556597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67126083.858653054</v>
      </c>
      <c r="E16" s="39">
        <f t="shared" si="1"/>
        <v>56825533.015873015</v>
      </c>
      <c r="F16" s="40" t="s">
        <v>34</v>
      </c>
      <c r="G16" s="41">
        <v>1.9</v>
      </c>
      <c r="H16" s="42">
        <v>5</v>
      </c>
      <c r="I16" s="43">
        <v>5</v>
      </c>
      <c r="J16" s="44">
        <f t="shared" si="7"/>
        <v>0.18750257816044971</v>
      </c>
      <c r="K16" s="45">
        <f t="shared" si="2"/>
        <v>0.15873015873015872</v>
      </c>
      <c r="L16" s="46">
        <f t="shared" si="3"/>
        <v>0</v>
      </c>
      <c r="M16" s="46">
        <f t="shared" si="4"/>
        <v>0</v>
      </c>
      <c r="N16" s="51">
        <v>2500</v>
      </c>
      <c r="O16" s="37">
        <v>12500</v>
      </c>
      <c r="P16" s="52">
        <f t="shared" si="5"/>
        <v>0.26666299999999998</v>
      </c>
      <c r="Q16" s="49">
        <f t="shared" si="6"/>
        <v>1.6315789473684212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1610053646.0489309</v>
      </c>
      <c r="E17" s="39">
        <f t="shared" si="1"/>
        <v>1362989636.2423685</v>
      </c>
      <c r="F17" s="40" t="s">
        <v>34</v>
      </c>
      <c r="G17" s="41">
        <v>20.701700000000002</v>
      </c>
      <c r="H17" s="42">
        <v>31.89</v>
      </c>
      <c r="I17" s="43">
        <v>31.855877999999997</v>
      </c>
      <c r="J17" s="44">
        <f t="shared" si="7"/>
        <v>1.19461185091295</v>
      </c>
      <c r="K17" s="45">
        <f t="shared" si="2"/>
        <v>1.0112977142857142</v>
      </c>
      <c r="L17" s="46">
        <f t="shared" si="3"/>
        <v>-3.4122000000003538E-2</v>
      </c>
      <c r="M17" s="46">
        <f t="shared" si="4"/>
        <v>-0.10699905926623875</v>
      </c>
      <c r="N17" s="51">
        <v>22900</v>
      </c>
      <c r="O17" s="37">
        <v>729499.6</v>
      </c>
      <c r="P17" s="48">
        <f t="shared" si="5"/>
        <v>0</v>
      </c>
      <c r="Q17" s="49">
        <f t="shared" si="6"/>
        <v>0.5388049290637964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340153222.39589405</v>
      </c>
      <c r="E19" s="39">
        <f t="shared" si="1"/>
        <v>287956440.45636916</v>
      </c>
      <c r="F19" s="40" t="s">
        <v>47</v>
      </c>
      <c r="G19" s="41">
        <v>12.45</v>
      </c>
      <c r="H19" s="42">
        <v>13.5</v>
      </c>
      <c r="I19" s="43">
        <v>13.498964000000001</v>
      </c>
      <c r="J19" s="44">
        <f t="shared" ref="J19:J45" si="8">I19/$J$5</f>
        <v>0.50621811049901944</v>
      </c>
      <c r="K19" s="45">
        <f t="shared" ref="K19:K45" si="9">I19/$K$4</f>
        <v>0.42853853968253969</v>
      </c>
      <c r="L19" s="46">
        <f t="shared" ref="L19:L29" si="10">I19-H19</f>
        <v>-1.0359999999991487E-3</v>
      </c>
      <c r="M19" s="46">
        <f>((I19-H19)/H19)*100</f>
        <v>-7.6740740740677688E-3</v>
      </c>
      <c r="N19" s="51">
        <v>19300</v>
      </c>
      <c r="O19" s="37">
        <v>260530</v>
      </c>
      <c r="P19" s="52">
        <f>(R19)/J19</f>
        <v>0</v>
      </c>
      <c r="Q19" s="49">
        <f t="shared" ref="Q19:Q29" si="11">I19/G19-1</f>
        <v>8.4254136546184855E-2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3757905.2106966474</v>
      </c>
      <c r="E20" s="39">
        <f t="shared" si="1"/>
        <v>3181251.6736507937</v>
      </c>
      <c r="F20" s="40" t="s">
        <v>47</v>
      </c>
      <c r="G20" s="41">
        <v>0.35</v>
      </c>
      <c r="H20" s="42">
        <v>0.92</v>
      </c>
      <c r="I20" s="43">
        <v>0.92</v>
      </c>
      <c r="J20" s="44">
        <f t="shared" si="8"/>
        <v>3.4500474381522747E-2</v>
      </c>
      <c r="K20" s="45">
        <f t="shared" si="9"/>
        <v>2.9206349206349208E-2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1.628571428571429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86700414.043193087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0.1256267273675013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51">
        <v>1200</v>
      </c>
      <c r="O21" s="37">
        <v>4020</v>
      </c>
      <c r="P21" s="52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1770766.8039435544</v>
      </c>
      <c r="E23" s="39">
        <f t="shared" si="1"/>
        <v>1499041.2325079367</v>
      </c>
      <c r="F23" s="40" t="s">
        <v>44</v>
      </c>
      <c r="G23" s="41">
        <v>0.1</v>
      </c>
      <c r="H23" s="42">
        <v>0.10349999999999999</v>
      </c>
      <c r="I23" s="43">
        <v>8.8000000000000009E-2</v>
      </c>
      <c r="J23" s="44">
        <f t="shared" si="8"/>
        <v>3.3000453756239154E-3</v>
      </c>
      <c r="K23" s="45">
        <f t="shared" si="9"/>
        <v>2.7936507936507939E-3</v>
      </c>
      <c r="L23" s="46">
        <f t="shared" si="10"/>
        <v>-1.5499999999999986E-2</v>
      </c>
      <c r="M23" s="46">
        <f t="shared" ref="M23:M29" si="12">((I23-H23)/H23)*100</f>
        <v>-14.975845410628006</v>
      </c>
      <c r="N23" s="51">
        <v>5900</v>
      </c>
      <c r="O23" s="37">
        <v>519.20000000000005</v>
      </c>
      <c r="P23" s="52">
        <f t="shared" ref="P23:P29" si="13">(R23)/J23</f>
        <v>0</v>
      </c>
      <c r="Q23" s="49">
        <f t="shared" si="11"/>
        <v>-0.12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79622077.453564987</v>
      </c>
      <c r="E24" s="39">
        <f t="shared" si="1"/>
        <v>67404006.476190478</v>
      </c>
      <c r="F24" s="40" t="s">
        <v>34</v>
      </c>
      <c r="G24" s="41">
        <v>8.1687659999999997</v>
      </c>
      <c r="H24" s="42">
        <v>10.517899999999999</v>
      </c>
      <c r="I24" s="43">
        <v>11</v>
      </c>
      <c r="J24" s="44">
        <f t="shared" si="8"/>
        <v>0.41250567195298937</v>
      </c>
      <c r="K24" s="45">
        <f t="shared" si="9"/>
        <v>0.34920634920634919</v>
      </c>
      <c r="L24" s="46">
        <f t="shared" si="10"/>
        <v>0.48210000000000086</v>
      </c>
      <c r="M24" s="46">
        <f t="shared" si="12"/>
        <v>4.5836145998726066</v>
      </c>
      <c r="N24" s="51">
        <v>500</v>
      </c>
      <c r="O24" s="37">
        <v>5500</v>
      </c>
      <c r="P24" s="48">
        <f t="shared" si="13"/>
        <v>3.6363136363636361E-2</v>
      </c>
      <c r="Q24" s="49">
        <f t="shared" si="11"/>
        <v>0.34659261876273595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107728617.43100581</v>
      </c>
      <c r="E25" s="39">
        <f t="shared" si="1"/>
        <v>91197575.587315246</v>
      </c>
      <c r="F25" s="40" t="s">
        <v>66</v>
      </c>
      <c r="G25" s="41">
        <v>1.6675</v>
      </c>
      <c r="H25" s="42">
        <v>1.56413</v>
      </c>
      <c r="I25" s="43">
        <v>1.7022699999999999</v>
      </c>
      <c r="J25" s="44">
        <f t="shared" si="8"/>
        <v>6.3836002745037743E-2</v>
      </c>
      <c r="K25" s="45">
        <f t="shared" si="9"/>
        <v>5.4040317460317462E-2</v>
      </c>
      <c r="L25" s="46">
        <f t="shared" si="10"/>
        <v>0.13813999999999993</v>
      </c>
      <c r="M25" s="46">
        <f t="shared" si="12"/>
        <v>8.8317467218197923</v>
      </c>
      <c r="N25" s="51">
        <v>105200</v>
      </c>
      <c r="O25" s="37">
        <v>179078.85</v>
      </c>
      <c r="P25" s="52">
        <f t="shared" si="13"/>
        <v>0</v>
      </c>
      <c r="Q25" s="49">
        <f t="shared" si="11"/>
        <v>2.0851574212893631E-2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23340661.366593793</v>
      </c>
      <c r="E26" s="39">
        <f t="shared" si="1"/>
        <v>19759018.355555557</v>
      </c>
      <c r="F26" s="40" t="s">
        <v>44</v>
      </c>
      <c r="G26" s="41">
        <v>1.7994999999999999</v>
      </c>
      <c r="H26" s="42">
        <v>2.6</v>
      </c>
      <c r="I26" s="43">
        <v>2.6</v>
      </c>
      <c r="J26" s="44">
        <f t="shared" si="8"/>
        <v>9.7501340643433854E-2</v>
      </c>
      <c r="K26" s="45">
        <f t="shared" si="9"/>
        <v>8.2539682539682538E-2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0.44484579049736062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23276468.927839708</v>
      </c>
      <c r="E27" s="39">
        <f t="shared" si="1"/>
        <v>19704676.297474667</v>
      </c>
      <c r="F27" s="40" t="s">
        <v>34</v>
      </c>
      <c r="G27" s="41">
        <v>3.1361369999999997</v>
      </c>
      <c r="H27" s="42">
        <v>2.5</v>
      </c>
      <c r="I27" s="43">
        <v>2.4231720000000001</v>
      </c>
      <c r="J27" s="44">
        <f t="shared" si="8"/>
        <v>9.0870199465242649E-2</v>
      </c>
      <c r="K27" s="45">
        <f t="shared" si="9"/>
        <v>7.6926095238095238E-2</v>
      </c>
      <c r="L27" s="46">
        <f t="shared" si="10"/>
        <v>-7.6827999999999896E-2</v>
      </c>
      <c r="M27" s="46">
        <f t="shared" si="12"/>
        <v>-3.0731199999999959</v>
      </c>
      <c r="N27" s="51">
        <v>312100</v>
      </c>
      <c r="O27" s="37">
        <v>756272</v>
      </c>
      <c r="P27" s="52">
        <f t="shared" si="13"/>
        <v>0</v>
      </c>
      <c r="Q27" s="49">
        <f t="shared" si="11"/>
        <v>-0.22733860159808061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24440829.328122016</v>
      </c>
      <c r="E28" s="39">
        <f t="shared" si="1"/>
        <v>20690364.670238096</v>
      </c>
      <c r="F28" s="40" t="s">
        <v>44</v>
      </c>
      <c r="G28" s="41">
        <v>0.8</v>
      </c>
      <c r="H28" s="42">
        <v>0.86250000000000004</v>
      </c>
      <c r="I28" s="43">
        <v>0.86250000000000004</v>
      </c>
      <c r="J28" s="44">
        <f t="shared" si="8"/>
        <v>3.2344194732677578E-2</v>
      </c>
      <c r="K28" s="45">
        <f t="shared" si="9"/>
        <v>2.7380952380952381E-2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7.8125E-2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100213423.95082933</v>
      </c>
      <c r="E29" s="39">
        <f t="shared" si="1"/>
        <v>84835594.51111111</v>
      </c>
      <c r="F29" s="40" t="s">
        <v>47</v>
      </c>
      <c r="G29" s="41">
        <v>5.15</v>
      </c>
      <c r="H29" s="42">
        <v>5.95</v>
      </c>
      <c r="I29" s="43">
        <v>5.95</v>
      </c>
      <c r="J29" s="44">
        <f t="shared" si="8"/>
        <v>0.22312806801093515</v>
      </c>
      <c r="K29" s="45">
        <f t="shared" si="9"/>
        <v>0.18888888888888888</v>
      </c>
      <c r="L29" s="46">
        <f t="shared" si="10"/>
        <v>0</v>
      </c>
      <c r="M29" s="46">
        <f t="shared" si="12"/>
        <v>0</v>
      </c>
      <c r="N29" s="51">
        <v>200</v>
      </c>
      <c r="O29" s="37">
        <v>1190</v>
      </c>
      <c r="P29" s="52">
        <f t="shared" si="13"/>
        <v>0</v>
      </c>
      <c r="Q29" s="49">
        <f t="shared" si="11"/>
        <v>0.15533980582524265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13155910.812523674</v>
      </c>
      <c r="E31" s="39">
        <f t="shared" si="1"/>
        <v>11137125.857142856</v>
      </c>
      <c r="F31" s="40" t="s">
        <v>39</v>
      </c>
      <c r="G31" s="41">
        <v>1.4</v>
      </c>
      <c r="H31" s="42">
        <v>1.2</v>
      </c>
      <c r="I31" s="43">
        <v>1.35</v>
      </c>
      <c r="J31" s="44">
        <f t="shared" si="8"/>
        <v>5.0625696103321426E-2</v>
      </c>
      <c r="K31" s="45">
        <f t="shared" si="9"/>
        <v>4.2857142857142858E-2</v>
      </c>
      <c r="L31" s="46">
        <f t="shared" ref="L31:L45" si="14">I31-H31</f>
        <v>0.15000000000000013</v>
      </c>
      <c r="M31" s="46">
        <f t="shared" ref="M31:M45" si="15">((I31-H31)/H31)*100</f>
        <v>12.500000000000011</v>
      </c>
      <c r="N31" s="51">
        <v>200</v>
      </c>
      <c r="O31" s="37">
        <v>270</v>
      </c>
      <c r="P31" s="52">
        <f t="shared" ref="P31:P36" si="16">(R31)/J31</f>
        <v>0</v>
      </c>
      <c r="Q31" s="49">
        <f t="shared" ref="Q31:Q45" si="17">I31/G31-1</f>
        <v>-3.5714285714285587E-2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4484644.6863644375</v>
      </c>
      <c r="E32" s="39">
        <f t="shared" si="1"/>
        <v>3796472.4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3.6750505319448144E-2</v>
      </c>
      <c r="K32" s="45">
        <f t="shared" si="9"/>
        <v>3.111111111111111E-2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145548097.97589627</v>
      </c>
      <c r="E33" s="39">
        <f t="shared" si="1"/>
        <v>123213626.82713149</v>
      </c>
      <c r="F33" s="40" t="s">
        <v>92</v>
      </c>
      <c r="G33" s="41">
        <v>1.44</v>
      </c>
      <c r="H33" s="42">
        <v>1.5552940000000002</v>
      </c>
      <c r="I33" s="43">
        <v>1.5552940000000002</v>
      </c>
      <c r="J33" s="44">
        <f t="shared" si="8"/>
        <v>5.8324326959495701E-2</v>
      </c>
      <c r="K33" s="45">
        <f t="shared" si="9"/>
        <v>4.9374412698412702E-2</v>
      </c>
      <c r="L33" s="46">
        <f t="shared" si="14"/>
        <v>0</v>
      </c>
      <c r="M33" s="46">
        <f t="shared" si="15"/>
        <v>0</v>
      </c>
      <c r="N33" s="51">
        <v>0</v>
      </c>
      <c r="O33" s="37">
        <v>0</v>
      </c>
      <c r="P33" s="52">
        <f t="shared" si="16"/>
        <v>0</v>
      </c>
      <c r="Q33" s="49">
        <f t="shared" si="17"/>
        <v>8.0065277777777943E-2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47150343.155218385</v>
      </c>
      <c r="E34" s="39">
        <f t="shared" si="1"/>
        <v>39915085.577142857</v>
      </c>
      <c r="F34" s="40" t="s">
        <v>34</v>
      </c>
      <c r="G34" s="41">
        <v>3.6056249999999999</v>
      </c>
      <c r="H34" s="42">
        <v>5.4533329999999998</v>
      </c>
      <c r="I34" s="43">
        <v>4.96</v>
      </c>
      <c r="J34" s="44">
        <f t="shared" si="8"/>
        <v>0.18600255753516612</v>
      </c>
      <c r="K34" s="45">
        <f t="shared" si="9"/>
        <v>0.15746031746031747</v>
      </c>
      <c r="L34" s="46">
        <f t="shared" si="14"/>
        <v>-0.4933329999999998</v>
      </c>
      <c r="M34" s="46">
        <f t="shared" si="15"/>
        <v>-9.0464492082181636</v>
      </c>
      <c r="N34" s="51">
        <v>60000</v>
      </c>
      <c r="O34" s="37">
        <v>297600</v>
      </c>
      <c r="P34" s="52">
        <f t="shared" si="16"/>
        <v>0</v>
      </c>
      <c r="Q34" s="49">
        <f t="shared" si="17"/>
        <v>0.37562835846767206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7249541.4172944864</v>
      </c>
      <c r="E35" s="39">
        <f t="shared" si="1"/>
        <v>6137093.5332063483</v>
      </c>
      <c r="F35" s="40" t="s">
        <v>34</v>
      </c>
      <c r="G35" s="41">
        <v>2.5099999999999997E-2</v>
      </c>
      <c r="H35" s="42">
        <v>4.0143000000000005E-2</v>
      </c>
      <c r="I35" s="43">
        <v>4.0999999999999995E-2</v>
      </c>
      <c r="J35" s="44">
        <f t="shared" si="8"/>
        <v>1.5375211409156873E-3</v>
      </c>
      <c r="K35" s="45">
        <f t="shared" si="9"/>
        <v>1.3015873015873015E-3</v>
      </c>
      <c r="L35" s="46">
        <f t="shared" si="14"/>
        <v>8.5699999999998971E-4</v>
      </c>
      <c r="M35" s="46">
        <f t="shared" si="15"/>
        <v>2.1348678474453568</v>
      </c>
      <c r="N35" s="51">
        <v>500</v>
      </c>
      <c r="O35" s="37">
        <v>20.5</v>
      </c>
      <c r="P35" s="52">
        <f t="shared" si="16"/>
        <v>0</v>
      </c>
      <c r="Q35" s="49">
        <f t="shared" si="17"/>
        <v>0.63346613545816721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86818425.808492362</v>
      </c>
      <c r="E36" s="39">
        <f t="shared" si="1"/>
        <v>73496069.464666665</v>
      </c>
      <c r="F36" s="40" t="s">
        <v>92</v>
      </c>
      <c r="G36" s="41">
        <v>0.61</v>
      </c>
      <c r="H36" s="42">
        <v>4.4089999999999998</v>
      </c>
      <c r="I36" s="43">
        <v>4.4089999999999998</v>
      </c>
      <c r="J36" s="44">
        <f t="shared" si="8"/>
        <v>0.16533977342188455</v>
      </c>
      <c r="K36" s="45">
        <f t="shared" si="9"/>
        <v>0.13996825396825396</v>
      </c>
      <c r="L36" s="46">
        <f t="shared" si="14"/>
        <v>0</v>
      </c>
      <c r="M36" s="46">
        <f t="shared" si="15"/>
        <v>0</v>
      </c>
      <c r="N36" s="51">
        <v>500</v>
      </c>
      <c r="O36" s="37">
        <v>2204.5</v>
      </c>
      <c r="P36" s="52">
        <f t="shared" si="16"/>
        <v>0</v>
      </c>
      <c r="Q36" s="49">
        <f t="shared" si="17"/>
        <v>6.2278688524590162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47569662.59772072</v>
      </c>
      <c r="E37" s="39">
        <f t="shared" si="1"/>
        <v>40270060.1184</v>
      </c>
      <c r="F37" s="40" t="s">
        <v>56</v>
      </c>
      <c r="G37" s="41">
        <v>0.11650199999999999</v>
      </c>
      <c r="H37" s="42">
        <v>0.30003099999999999</v>
      </c>
      <c r="I37" s="43">
        <v>0.3024</v>
      </c>
      <c r="J37" s="44">
        <f t="shared" si="8"/>
        <v>1.1340155927143998E-2</v>
      </c>
      <c r="K37" s="45">
        <f t="shared" si="9"/>
        <v>9.6000000000000009E-3</v>
      </c>
      <c r="L37" s="46">
        <f t="shared" si="14"/>
        <v>2.36900000000001E-3</v>
      </c>
      <c r="M37" s="46">
        <f t="shared" si="15"/>
        <v>0.78958507620879514</v>
      </c>
      <c r="N37" s="51">
        <v>500</v>
      </c>
      <c r="O37" s="37">
        <v>151.19999999999999</v>
      </c>
      <c r="P37" s="52">
        <v>0</v>
      </c>
      <c r="Q37" s="49">
        <f t="shared" si="17"/>
        <v>1.5956635937580472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22538436.292389192</v>
      </c>
      <c r="E38" s="39">
        <f t="shared" si="1"/>
        <v>19079895.355674222</v>
      </c>
      <c r="F38" s="40" t="s">
        <v>39</v>
      </c>
      <c r="G38" s="41">
        <v>0.1</v>
      </c>
      <c r="H38" s="42">
        <v>0.12503300000000001</v>
      </c>
      <c r="I38" s="43">
        <v>0.139262</v>
      </c>
      <c r="J38" s="44">
        <f t="shared" si="8"/>
        <v>5.2223968079561089E-3</v>
      </c>
      <c r="K38" s="45">
        <f t="shared" si="9"/>
        <v>4.4210158730158726E-3</v>
      </c>
      <c r="L38" s="46">
        <f t="shared" si="14"/>
        <v>1.4228999999999992E-2</v>
      </c>
      <c r="M38" s="46">
        <f t="shared" si="15"/>
        <v>11.380195628354107</v>
      </c>
      <c r="N38" s="51">
        <v>12200</v>
      </c>
      <c r="O38" s="37">
        <v>1699</v>
      </c>
      <c r="P38" s="52">
        <f t="shared" ref="P38:P44" si="18">(R38)/J38</f>
        <v>0</v>
      </c>
      <c r="Q38" s="49">
        <f t="shared" si="17"/>
        <v>0.39261999999999997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7985677.5780666983</v>
      </c>
      <c r="E39" s="39">
        <f t="shared" si="1"/>
        <v>6760269.0158730159</v>
      </c>
      <c r="F39" s="40" t="s">
        <v>44</v>
      </c>
      <c r="G39" s="41">
        <v>1.7452379999999998</v>
      </c>
      <c r="H39" s="42">
        <v>2.2999999999999998</v>
      </c>
      <c r="I39" s="43">
        <v>2</v>
      </c>
      <c r="J39" s="44">
        <f t="shared" si="8"/>
        <v>7.5001031264179882E-2</v>
      </c>
      <c r="K39" s="45">
        <f t="shared" si="9"/>
        <v>6.3492063492063489E-2</v>
      </c>
      <c r="L39" s="46">
        <f t="shared" si="14"/>
        <v>-0.29999999999999982</v>
      </c>
      <c r="M39" s="46">
        <f t="shared" si="15"/>
        <v>-13.043478260869559</v>
      </c>
      <c r="N39" s="51">
        <v>100</v>
      </c>
      <c r="O39" s="37">
        <v>200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4667317.9241214572</v>
      </c>
      <c r="E40" s="39">
        <f t="shared" si="1"/>
        <v>3951114.2844444443</v>
      </c>
      <c r="F40" s="40" t="s">
        <v>39</v>
      </c>
      <c r="G40" s="41">
        <v>0.03</v>
      </c>
      <c r="H40" s="42">
        <v>7.6999999999999999E-2</v>
      </c>
      <c r="I40" s="43">
        <v>7.0000000000000007E-2</v>
      </c>
      <c r="J40" s="44">
        <f t="shared" si="8"/>
        <v>2.625036094246296E-3</v>
      </c>
      <c r="K40" s="45">
        <f t="shared" si="9"/>
        <v>2.2222222222222222E-3</v>
      </c>
      <c r="L40" s="46">
        <f t="shared" si="14"/>
        <v>-6.9999999999999923E-3</v>
      </c>
      <c r="M40" s="46">
        <f t="shared" si="15"/>
        <v>-9.0909090909090811</v>
      </c>
      <c r="N40" s="51">
        <v>19700</v>
      </c>
      <c r="O40" s="37">
        <v>1379</v>
      </c>
      <c r="P40" s="52">
        <f t="shared" si="18"/>
        <v>0</v>
      </c>
      <c r="Q40" s="49">
        <f t="shared" si="17"/>
        <v>1.3333333333333335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45988175.862418108</v>
      </c>
      <c r="E41" s="39">
        <f t="shared" si="1"/>
        <v>38931253.777777776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0.26250360942462958</v>
      </c>
      <c r="K41" s="45">
        <f t="shared" si="9"/>
        <v>0.22222222222222221</v>
      </c>
      <c r="L41" s="46">
        <f t="shared" si="14"/>
        <v>0</v>
      </c>
      <c r="M41" s="46">
        <f t="shared" si="15"/>
        <v>0</v>
      </c>
      <c r="N41" s="51">
        <v>500</v>
      </c>
      <c r="O41" s="37">
        <v>3500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312.75722158679679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6.7500928137761893E-7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1555221.3842940344</v>
      </c>
      <c r="E43" s="39">
        <f t="shared" si="1"/>
        <v>1316571.4285714286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2.7000371255104763E-3</v>
      </c>
      <c r="K43" s="45">
        <f t="shared" si="9"/>
        <v>2.2857142857142859E-3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52479084.026065186</v>
      </c>
      <c r="E44" s="39">
        <f t="shared" si="1"/>
        <v>44426126.932198793</v>
      </c>
      <c r="F44" s="40" t="s">
        <v>47</v>
      </c>
      <c r="G44" s="41">
        <v>0.9998999999999999</v>
      </c>
      <c r="H44" s="42">
        <v>0.76966699999999999</v>
      </c>
      <c r="I44" s="43">
        <v>0.76966699999999999</v>
      </c>
      <c r="J44" s="44">
        <f t="shared" si="8"/>
        <v>2.8862909365003769E-2</v>
      </c>
      <c r="K44" s="45">
        <f t="shared" si="9"/>
        <v>2.4433873015873016E-2</v>
      </c>
      <c r="L44" s="46">
        <f t="shared" si="14"/>
        <v>0</v>
      </c>
      <c r="M44" s="46">
        <f t="shared" si="15"/>
        <v>0</v>
      </c>
      <c r="N44" s="51">
        <v>0</v>
      </c>
      <c r="O44" s="37">
        <v>0</v>
      </c>
      <c r="P44" s="52">
        <f t="shared" si="18"/>
        <v>0</v>
      </c>
      <c r="Q44" s="49">
        <f t="shared" si="17"/>
        <v>-0.2302560256025602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11170140.139426917</v>
      </c>
      <c r="E45" s="39">
        <f t="shared" si="1"/>
        <v>9456073.2698412687</v>
      </c>
      <c r="F45" s="40" t="s">
        <v>47</v>
      </c>
      <c r="G45" s="41">
        <v>1.4503460000000001</v>
      </c>
      <c r="H45" s="42">
        <v>2.8010989999999998</v>
      </c>
      <c r="I45" s="43">
        <v>2.9</v>
      </c>
      <c r="J45" s="44">
        <f t="shared" si="8"/>
        <v>0.10875149533306083</v>
      </c>
      <c r="K45" s="45">
        <f t="shared" si="9"/>
        <v>9.2063492063492056E-2</v>
      </c>
      <c r="L45" s="46">
        <f t="shared" si="14"/>
        <v>9.8901000000000128E-2</v>
      </c>
      <c r="M45" s="46">
        <f t="shared" si="15"/>
        <v>3.5307927352799786</v>
      </c>
      <c r="N45" s="51">
        <v>100</v>
      </c>
      <c r="O45" s="37">
        <v>290</v>
      </c>
      <c r="P45" s="52">
        <v>0</v>
      </c>
      <c r="Q45" s="49">
        <f t="shared" si="17"/>
        <v>0.99952287247318883</v>
      </c>
      <c r="R45" s="50"/>
    </row>
    <row r="46" spans="1:18" ht="14.25" customHeight="1" thickBot="1" x14ac:dyDescent="0.4">
      <c r="A46" s="58"/>
      <c r="B46" s="59" t="s">
        <v>117</v>
      </c>
      <c r="C46" s="60"/>
      <c r="D46" s="61"/>
      <c r="E46" s="61"/>
      <c r="F46" s="62"/>
      <c r="G46" s="62"/>
      <c r="H46" s="46"/>
      <c r="I46" s="46"/>
      <c r="J46" s="46"/>
      <c r="K46" s="46"/>
      <c r="L46" s="46"/>
      <c r="M46" s="46"/>
      <c r="N46" s="62">
        <f>SUM(N9:N45)</f>
        <v>570100</v>
      </c>
      <c r="O46" s="62">
        <f>SUM(O9:O45)</f>
        <v>2381623.3500000006</v>
      </c>
      <c r="P46" s="63"/>
      <c r="Q46" s="64"/>
    </row>
    <row r="47" spans="1:18" ht="13.5" customHeight="1" x14ac:dyDescent="0.35">
      <c r="A47" s="65"/>
      <c r="B47" s="66" t="s">
        <v>117</v>
      </c>
      <c r="C47" s="67"/>
      <c r="D47" s="67"/>
      <c r="E47" s="67"/>
      <c r="F47" s="68"/>
      <c r="G47" s="68"/>
      <c r="H47" s="69"/>
      <c r="I47" s="69"/>
      <c r="J47" s="69"/>
      <c r="K47" s="69"/>
      <c r="L47" s="69"/>
      <c r="M47" s="69"/>
      <c r="N47" s="68"/>
      <c r="O47" s="68"/>
      <c r="P47" s="68"/>
      <c r="Q47" s="70"/>
    </row>
    <row r="48" spans="1:18" ht="12.75" customHeight="1" x14ac:dyDescent="0.3">
      <c r="A48" s="137" t="s">
        <v>118</v>
      </c>
      <c r="B48" s="138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40"/>
    </row>
    <row r="49" spans="1:20" ht="11.4" customHeight="1" x14ac:dyDescent="0.25">
      <c r="A49" s="35" t="s">
        <v>119</v>
      </c>
      <c r="B49" s="36" t="s">
        <v>120</v>
      </c>
      <c r="C49" s="40">
        <v>554920308</v>
      </c>
      <c r="D49" s="38">
        <f t="shared" ref="D49:D64" si="19">C49*J49</f>
        <v>77522367.02759999</v>
      </c>
      <c r="E49" s="39">
        <v>0</v>
      </c>
      <c r="F49" s="40" t="s">
        <v>92</v>
      </c>
      <c r="G49" s="71">
        <v>0.1</v>
      </c>
      <c r="H49" s="42">
        <v>0.13850000000000001</v>
      </c>
      <c r="I49" s="42">
        <v>0.13969999999999999</v>
      </c>
      <c r="J49" s="44">
        <f t="shared" ref="J49:J64" si="20">I49</f>
        <v>0.13969999999999999</v>
      </c>
      <c r="K49" s="39">
        <v>0</v>
      </c>
      <c r="L49" s="46">
        <f t="shared" ref="L49:L64" si="21">I49-H49</f>
        <v>1.1999999999999789E-3</v>
      </c>
      <c r="M49" s="46">
        <f t="shared" ref="M49:M64" si="22">((I49-H49)/H49)*100</f>
        <v>0.86642599277976817</v>
      </c>
      <c r="N49" s="51">
        <v>10278</v>
      </c>
      <c r="O49" s="37">
        <v>1435.83</v>
      </c>
      <c r="P49" s="72">
        <f>(R49)/J49</f>
        <v>0</v>
      </c>
      <c r="Q49" s="49">
        <f t="shared" ref="Q49:Q64" si="23">J49/G49-1</f>
        <v>0.3969999999999998</v>
      </c>
      <c r="T49" s="53"/>
    </row>
    <row r="50" spans="1:20" ht="12" customHeight="1" x14ac:dyDescent="0.25">
      <c r="A50" s="35" t="s">
        <v>121</v>
      </c>
      <c r="B50" s="36" t="s">
        <v>122</v>
      </c>
      <c r="C50" s="40">
        <v>1057685</v>
      </c>
      <c r="D50" s="38">
        <f t="shared" si="19"/>
        <v>42297986.603500001</v>
      </c>
      <c r="E50" s="39">
        <v>0</v>
      </c>
      <c r="F50" s="40" t="s">
        <v>39</v>
      </c>
      <c r="G50" s="71">
        <v>39.9</v>
      </c>
      <c r="H50" s="42">
        <v>42.0929</v>
      </c>
      <c r="I50" s="42">
        <v>39.991100000000003</v>
      </c>
      <c r="J50" s="44">
        <f t="shared" si="20"/>
        <v>39.991100000000003</v>
      </c>
      <c r="K50" s="39">
        <v>0</v>
      </c>
      <c r="L50" s="46">
        <f t="shared" si="21"/>
        <v>-2.1017999999999972</v>
      </c>
      <c r="M50" s="46">
        <f t="shared" si="22"/>
        <v>-4.993241140429852</v>
      </c>
      <c r="N50" s="51">
        <v>2024</v>
      </c>
      <c r="O50" s="37">
        <v>80942</v>
      </c>
      <c r="P50" s="73">
        <f>(R50)/J50</f>
        <v>1.4003115693241747E-2</v>
      </c>
      <c r="Q50" s="49">
        <f t="shared" si="23"/>
        <v>2.2832080200503313E-3</v>
      </c>
      <c r="R50" s="53">
        <v>0.56000000000000005</v>
      </c>
      <c r="T50" s="53"/>
    </row>
    <row r="51" spans="1:20" ht="12" customHeight="1" x14ac:dyDescent="0.25">
      <c r="A51" s="35" t="s">
        <v>123</v>
      </c>
      <c r="B51" s="36" t="s">
        <v>124</v>
      </c>
      <c r="C51" s="40">
        <v>2992163203</v>
      </c>
      <c r="D51" s="38">
        <f t="shared" si="19"/>
        <v>683709291.88550007</v>
      </c>
      <c r="E51" s="39"/>
      <c r="F51" s="40" t="s">
        <v>56</v>
      </c>
      <c r="G51" s="71">
        <v>0.33</v>
      </c>
      <c r="H51" s="42">
        <v>0.22950000000000001</v>
      </c>
      <c r="I51" s="42">
        <v>0.22850000000000001</v>
      </c>
      <c r="J51" s="44">
        <f t="shared" si="20"/>
        <v>0.22850000000000001</v>
      </c>
      <c r="K51" s="39">
        <v>0</v>
      </c>
      <c r="L51" s="46">
        <f t="shared" si="21"/>
        <v>-1.0000000000000009E-3</v>
      </c>
      <c r="M51" s="46">
        <f t="shared" si="22"/>
        <v>-0.43572984749455379</v>
      </c>
      <c r="N51" s="51">
        <v>28281</v>
      </c>
      <c r="O51" s="37">
        <v>6462.11</v>
      </c>
      <c r="P51" s="72">
        <v>0</v>
      </c>
      <c r="Q51" s="49">
        <f t="shared" si="23"/>
        <v>-0.30757575757575761</v>
      </c>
      <c r="R51" s="53"/>
      <c r="T51" s="53"/>
    </row>
    <row r="52" spans="1:20" ht="12" customHeight="1" x14ac:dyDescent="0.25">
      <c r="A52" s="35" t="s">
        <v>125</v>
      </c>
      <c r="B52" s="36" t="s">
        <v>126</v>
      </c>
      <c r="C52" s="40">
        <v>609740943</v>
      </c>
      <c r="D52" s="38">
        <f t="shared" si="19"/>
        <v>14633782.632000001</v>
      </c>
      <c r="E52" s="39">
        <v>0</v>
      </c>
      <c r="F52" s="40" t="s">
        <v>34</v>
      </c>
      <c r="G52" s="71">
        <v>2.3E-2</v>
      </c>
      <c r="H52" s="42">
        <v>2.4E-2</v>
      </c>
      <c r="I52" s="42">
        <v>2.4E-2</v>
      </c>
      <c r="J52" s="44">
        <f t="shared" si="20"/>
        <v>2.4E-2</v>
      </c>
      <c r="K52" s="39">
        <v>0</v>
      </c>
      <c r="L52" s="46">
        <f t="shared" si="21"/>
        <v>0</v>
      </c>
      <c r="M52" s="46">
        <f t="shared" si="22"/>
        <v>0</v>
      </c>
      <c r="N52" s="51">
        <v>0</v>
      </c>
      <c r="O52" s="37">
        <v>0</v>
      </c>
      <c r="P52" s="72">
        <f t="shared" ref="P52:P64" si="24">(R52)/J52</f>
        <v>0</v>
      </c>
      <c r="Q52" s="49">
        <f t="shared" si="23"/>
        <v>4.3478260869565188E-2</v>
      </c>
      <c r="T52" s="53"/>
    </row>
    <row r="53" spans="1:20" ht="12" customHeight="1" x14ac:dyDescent="0.25">
      <c r="A53" s="35" t="s">
        <v>127</v>
      </c>
      <c r="B53" s="36" t="s">
        <v>128</v>
      </c>
      <c r="C53" s="40">
        <v>2162695929</v>
      </c>
      <c r="D53" s="38">
        <f t="shared" si="19"/>
        <v>324404389.34999996</v>
      </c>
      <c r="E53" s="39">
        <v>0</v>
      </c>
      <c r="F53" s="40" t="s">
        <v>47</v>
      </c>
      <c r="G53" s="71">
        <v>9.0200000000000002E-2</v>
      </c>
      <c r="H53" s="42">
        <v>0.1429</v>
      </c>
      <c r="I53" s="42">
        <v>0.15</v>
      </c>
      <c r="J53" s="44">
        <f t="shared" si="20"/>
        <v>0.15</v>
      </c>
      <c r="K53" s="39">
        <v>0</v>
      </c>
      <c r="L53" s="46">
        <f t="shared" si="21"/>
        <v>7.0999999999999952E-3</v>
      </c>
      <c r="M53" s="74">
        <f t="shared" si="22"/>
        <v>4.9685094471658466</v>
      </c>
      <c r="N53" s="51">
        <v>256181</v>
      </c>
      <c r="O53" s="37">
        <v>38436.82</v>
      </c>
      <c r="P53" s="72">
        <f t="shared" si="24"/>
        <v>0</v>
      </c>
      <c r="Q53" s="49">
        <f t="shared" si="23"/>
        <v>0.662971175166297</v>
      </c>
      <c r="R53" s="53"/>
      <c r="T53" s="53"/>
    </row>
    <row r="54" spans="1:20" ht="12" customHeight="1" x14ac:dyDescent="0.25">
      <c r="A54" s="35" t="s">
        <v>129</v>
      </c>
      <c r="B54" s="36" t="s">
        <v>130</v>
      </c>
      <c r="C54" s="40">
        <v>575926450</v>
      </c>
      <c r="D54" s="38">
        <f t="shared" si="19"/>
        <v>864177638.22500002</v>
      </c>
      <c r="E54" s="39">
        <v>0</v>
      </c>
      <c r="F54" s="40" t="s">
        <v>34</v>
      </c>
      <c r="G54" s="71">
        <v>0.95750000000000002</v>
      </c>
      <c r="H54" s="42">
        <v>1.4975000000000001</v>
      </c>
      <c r="I54" s="42">
        <v>1.5004999999999999</v>
      </c>
      <c r="J54" s="44">
        <f t="shared" si="20"/>
        <v>1.5004999999999999</v>
      </c>
      <c r="K54" s="39">
        <v>0</v>
      </c>
      <c r="L54" s="46">
        <f t="shared" si="21"/>
        <v>2.9999999999998916E-3</v>
      </c>
      <c r="M54" s="46">
        <f t="shared" si="22"/>
        <v>0.20033388981635336</v>
      </c>
      <c r="N54" s="51">
        <v>36967</v>
      </c>
      <c r="O54" s="37">
        <v>55468.55</v>
      </c>
      <c r="P54" s="73">
        <f t="shared" si="24"/>
        <v>3.1322892369210265E-2</v>
      </c>
      <c r="Q54" s="49">
        <f t="shared" si="23"/>
        <v>0.56710182767624007</v>
      </c>
      <c r="R54" s="53">
        <v>4.7E-2</v>
      </c>
      <c r="T54" s="53"/>
    </row>
    <row r="55" spans="1:20" ht="12" customHeight="1" x14ac:dyDescent="0.25">
      <c r="A55" s="35" t="s">
        <v>131</v>
      </c>
      <c r="B55" s="36" t="s">
        <v>132</v>
      </c>
      <c r="C55" s="40">
        <v>164208222</v>
      </c>
      <c r="D55" s="38">
        <f t="shared" si="19"/>
        <v>24434183.433599997</v>
      </c>
      <c r="E55" s="39">
        <v>0</v>
      </c>
      <c r="F55" s="40" t="s">
        <v>34</v>
      </c>
      <c r="G55" s="71">
        <v>0.1595</v>
      </c>
      <c r="H55" s="42">
        <v>0.1477</v>
      </c>
      <c r="I55" s="42">
        <v>0.14879999999999999</v>
      </c>
      <c r="J55" s="44">
        <f t="shared" si="20"/>
        <v>0.14879999999999999</v>
      </c>
      <c r="K55" s="39">
        <v>0</v>
      </c>
      <c r="L55" s="46">
        <f t="shared" si="21"/>
        <v>1.0999999999999899E-3</v>
      </c>
      <c r="M55" s="46">
        <f t="shared" si="22"/>
        <v>0.74475287745429242</v>
      </c>
      <c r="N55" s="51">
        <v>40</v>
      </c>
      <c r="O55" s="37">
        <v>5.95</v>
      </c>
      <c r="P55" s="72">
        <f t="shared" si="24"/>
        <v>0</v>
      </c>
      <c r="Q55" s="49">
        <f t="shared" si="23"/>
        <v>-6.7084639498432685E-2</v>
      </c>
      <c r="T55" s="53"/>
    </row>
    <row r="56" spans="1:20" ht="12" customHeight="1" x14ac:dyDescent="0.25">
      <c r="A56" s="35" t="s">
        <v>133</v>
      </c>
      <c r="B56" s="36" t="s">
        <v>134</v>
      </c>
      <c r="C56" s="40">
        <v>953802800</v>
      </c>
      <c r="D56" s="38">
        <f t="shared" si="19"/>
        <v>19266816.559999999</v>
      </c>
      <c r="E56" s="39">
        <v>0</v>
      </c>
      <c r="F56" s="40" t="s">
        <v>92</v>
      </c>
      <c r="G56" s="71">
        <v>1.6799999999999999E-2</v>
      </c>
      <c r="H56" s="42">
        <v>2.0500000000000001E-2</v>
      </c>
      <c r="I56" s="42">
        <v>2.0199999999999999E-2</v>
      </c>
      <c r="J56" s="44">
        <f t="shared" si="20"/>
        <v>2.0199999999999999E-2</v>
      </c>
      <c r="K56" s="39">
        <v>0</v>
      </c>
      <c r="L56" s="46">
        <f t="shared" si="21"/>
        <v>-3.0000000000000165E-4</v>
      </c>
      <c r="M56" s="74">
        <f t="shared" si="22"/>
        <v>-1.4634146341463494</v>
      </c>
      <c r="N56" s="51">
        <v>49123</v>
      </c>
      <c r="O56" s="37">
        <v>994.48</v>
      </c>
      <c r="P56" s="72">
        <f t="shared" si="24"/>
        <v>0</v>
      </c>
      <c r="Q56" s="49">
        <f t="shared" si="23"/>
        <v>0.20238095238095233</v>
      </c>
      <c r="R56" s="53"/>
      <c r="T56" s="53"/>
    </row>
    <row r="57" spans="1:20" ht="12" customHeight="1" x14ac:dyDescent="0.25">
      <c r="A57" s="35" t="s">
        <v>135</v>
      </c>
      <c r="B57" s="36" t="s">
        <v>136</v>
      </c>
      <c r="C57" s="40">
        <v>161273</v>
      </c>
      <c r="D57" s="38">
        <f t="shared" si="19"/>
        <v>2354295.5085999998</v>
      </c>
      <c r="E57" s="39">
        <v>0</v>
      </c>
      <c r="F57" s="40" t="s">
        <v>137</v>
      </c>
      <c r="G57" s="71">
        <v>19.5</v>
      </c>
      <c r="H57" s="42">
        <v>14.5982</v>
      </c>
      <c r="I57" s="42">
        <v>14.5982</v>
      </c>
      <c r="J57" s="44">
        <f t="shared" si="20"/>
        <v>14.5982</v>
      </c>
      <c r="K57" s="39">
        <v>0</v>
      </c>
      <c r="L57" s="46">
        <f t="shared" si="21"/>
        <v>0</v>
      </c>
      <c r="M57" s="46">
        <f t="shared" si="22"/>
        <v>0</v>
      </c>
      <c r="N57" s="51">
        <v>0</v>
      </c>
      <c r="O57" s="37">
        <v>0</v>
      </c>
      <c r="P57" s="72">
        <f t="shared" si="24"/>
        <v>0</v>
      </c>
      <c r="Q57" s="49">
        <f t="shared" si="23"/>
        <v>-0.251374358974359</v>
      </c>
      <c r="T57" s="53"/>
    </row>
    <row r="58" spans="1:20" ht="12" customHeight="1" x14ac:dyDescent="0.25">
      <c r="A58" s="35" t="s">
        <v>138</v>
      </c>
      <c r="B58" s="36" t="s">
        <v>139</v>
      </c>
      <c r="C58" s="40">
        <v>4498037281</v>
      </c>
      <c r="D58" s="38">
        <f t="shared" si="19"/>
        <v>4019446114.3016</v>
      </c>
      <c r="E58" s="39">
        <v>0</v>
      </c>
      <c r="F58" s="40" t="s">
        <v>47</v>
      </c>
      <c r="G58" s="71">
        <v>0.78169999999999995</v>
      </c>
      <c r="H58" s="75">
        <v>0.94</v>
      </c>
      <c r="I58" s="42">
        <v>0.89359999999999995</v>
      </c>
      <c r="J58" s="44">
        <f t="shared" si="20"/>
        <v>0.89359999999999995</v>
      </c>
      <c r="K58" s="39">
        <v>0</v>
      </c>
      <c r="L58" s="46">
        <f t="shared" si="21"/>
        <v>-4.6399999999999997E-2</v>
      </c>
      <c r="M58" s="46">
        <f t="shared" si="22"/>
        <v>-4.9361702127659575</v>
      </c>
      <c r="N58" s="76">
        <v>362974</v>
      </c>
      <c r="O58" s="77">
        <v>324366.49</v>
      </c>
      <c r="P58" s="72">
        <f t="shared" si="24"/>
        <v>0</v>
      </c>
      <c r="Q58" s="49">
        <f t="shared" si="23"/>
        <v>0.14314954586158368</v>
      </c>
      <c r="R58" s="53"/>
      <c r="T58" s="53"/>
    </row>
    <row r="59" spans="1:20" ht="12" customHeight="1" x14ac:dyDescent="0.25">
      <c r="A59" s="35" t="s">
        <v>140</v>
      </c>
      <c r="B59" s="36" t="s">
        <v>141</v>
      </c>
      <c r="C59" s="40">
        <v>805090451</v>
      </c>
      <c r="D59" s="38">
        <f t="shared" si="19"/>
        <v>1043155697.3607</v>
      </c>
      <c r="E59" s="39">
        <v>0</v>
      </c>
      <c r="F59" s="40" t="s">
        <v>92</v>
      </c>
      <c r="G59" s="71">
        <v>0.59499999999999997</v>
      </c>
      <c r="H59" s="42">
        <v>1.3005</v>
      </c>
      <c r="I59" s="42">
        <v>1.2957000000000001</v>
      </c>
      <c r="J59" s="44">
        <f t="shared" si="20"/>
        <v>1.2957000000000001</v>
      </c>
      <c r="K59" s="39">
        <v>0</v>
      </c>
      <c r="L59" s="46">
        <f t="shared" si="21"/>
        <v>-4.7999999999999154E-3</v>
      </c>
      <c r="M59" s="46">
        <f t="shared" si="22"/>
        <v>-0.36908881199537991</v>
      </c>
      <c r="N59" s="51">
        <v>16238</v>
      </c>
      <c r="O59" s="37">
        <v>21039.22</v>
      </c>
      <c r="P59" s="72">
        <f t="shared" si="24"/>
        <v>0</v>
      </c>
      <c r="Q59" s="49">
        <f t="shared" si="23"/>
        <v>1.1776470588235295</v>
      </c>
      <c r="T59" s="53"/>
    </row>
    <row r="60" spans="1:20" ht="12" customHeight="1" x14ac:dyDescent="0.25">
      <c r="A60" s="35" t="s">
        <v>142</v>
      </c>
      <c r="B60" s="36" t="s">
        <v>143</v>
      </c>
      <c r="C60" s="40">
        <v>260714518</v>
      </c>
      <c r="D60" s="38">
        <f t="shared" si="19"/>
        <v>116044031.96179999</v>
      </c>
      <c r="E60" s="39">
        <v>0</v>
      </c>
      <c r="F60" s="40" t="s">
        <v>34</v>
      </c>
      <c r="G60" s="71">
        <v>0.22600000000000001</v>
      </c>
      <c r="H60" s="42">
        <v>0.42</v>
      </c>
      <c r="I60" s="42">
        <v>0.4451</v>
      </c>
      <c r="J60" s="44">
        <f t="shared" si="20"/>
        <v>0.4451</v>
      </c>
      <c r="K60" s="39">
        <v>0</v>
      </c>
      <c r="L60" s="46">
        <f t="shared" si="21"/>
        <v>2.5100000000000011E-2</v>
      </c>
      <c r="M60" s="46">
        <f t="shared" si="22"/>
        <v>5.9761904761904798</v>
      </c>
      <c r="N60" s="51">
        <v>3625826</v>
      </c>
      <c r="O60" s="37">
        <v>1613977.98</v>
      </c>
      <c r="P60" s="72">
        <f t="shared" si="24"/>
        <v>0</v>
      </c>
      <c r="Q60" s="49">
        <f t="shared" si="23"/>
        <v>0.96946902654867251</v>
      </c>
      <c r="T60" s="53"/>
    </row>
    <row r="61" spans="1:20" ht="12" customHeight="1" x14ac:dyDescent="0.25">
      <c r="A61" s="35" t="s">
        <v>144</v>
      </c>
      <c r="B61" s="36" t="s">
        <v>145</v>
      </c>
      <c r="C61" s="40">
        <v>562184788</v>
      </c>
      <c r="D61" s="38">
        <f t="shared" si="19"/>
        <v>403255148.43240005</v>
      </c>
      <c r="E61" s="39">
        <v>0</v>
      </c>
      <c r="F61" s="40" t="s">
        <v>34</v>
      </c>
      <c r="G61" s="71">
        <v>0.49440000000000001</v>
      </c>
      <c r="H61" s="42">
        <v>0.7177</v>
      </c>
      <c r="I61" s="42">
        <v>0.71730000000000005</v>
      </c>
      <c r="J61" s="44">
        <f t="shared" si="20"/>
        <v>0.71730000000000005</v>
      </c>
      <c r="K61" s="39">
        <v>0</v>
      </c>
      <c r="L61" s="46">
        <f t="shared" si="21"/>
        <v>-3.9999999999995595E-4</v>
      </c>
      <c r="M61" s="46">
        <f t="shared" si="22"/>
        <v>-5.5733593423429838E-2</v>
      </c>
      <c r="N61" s="51">
        <v>5489</v>
      </c>
      <c r="O61" s="37">
        <v>3937.03</v>
      </c>
      <c r="P61" s="72">
        <f t="shared" si="24"/>
        <v>0</v>
      </c>
      <c r="Q61" s="49">
        <f t="shared" si="23"/>
        <v>0.45084951456310685</v>
      </c>
      <c r="R61" s="53"/>
      <c r="T61" s="53"/>
    </row>
    <row r="62" spans="1:20" ht="12" customHeight="1" x14ac:dyDescent="0.25">
      <c r="A62" s="35" t="s">
        <v>146</v>
      </c>
      <c r="B62" s="36" t="s">
        <v>147</v>
      </c>
      <c r="C62" s="40">
        <v>364526035</v>
      </c>
      <c r="D62" s="38">
        <f t="shared" si="19"/>
        <v>76805635.574499995</v>
      </c>
      <c r="E62" s="39">
        <v>0</v>
      </c>
      <c r="F62" s="40" t="s">
        <v>34</v>
      </c>
      <c r="G62" s="71">
        <v>0.25950000000000001</v>
      </c>
      <c r="H62" s="42">
        <v>0.23050000000000001</v>
      </c>
      <c r="I62" s="42">
        <v>0.2107</v>
      </c>
      <c r="J62" s="44">
        <f t="shared" si="20"/>
        <v>0.2107</v>
      </c>
      <c r="K62" s="39">
        <v>0</v>
      </c>
      <c r="L62" s="46">
        <f t="shared" si="21"/>
        <v>-1.9800000000000012E-2</v>
      </c>
      <c r="M62" s="46">
        <f t="shared" si="22"/>
        <v>-8.5900216919739751</v>
      </c>
      <c r="N62" s="51">
        <v>4652</v>
      </c>
      <c r="O62" s="37">
        <v>980.11</v>
      </c>
      <c r="P62" s="72">
        <f t="shared" si="24"/>
        <v>0</v>
      </c>
      <c r="Q62" s="49">
        <f t="shared" si="23"/>
        <v>-0.18805394990366087</v>
      </c>
      <c r="R62" s="53"/>
      <c r="T62" s="53"/>
    </row>
    <row r="63" spans="1:20" x14ac:dyDescent="0.25">
      <c r="A63" s="35" t="s">
        <v>148</v>
      </c>
      <c r="B63" s="36" t="s">
        <v>149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1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51">
        <v>0</v>
      </c>
      <c r="O63" s="37">
        <v>0</v>
      </c>
      <c r="P63" s="72">
        <f t="shared" si="24"/>
        <v>0</v>
      </c>
      <c r="Q63" s="49">
        <f t="shared" si="23"/>
        <v>0</v>
      </c>
      <c r="T63" s="53"/>
    </row>
    <row r="64" spans="1:20" x14ac:dyDescent="0.25">
      <c r="A64" s="35" t="s">
        <v>150</v>
      </c>
      <c r="B64" s="36" t="s">
        <v>151</v>
      </c>
      <c r="C64" s="40">
        <v>344580486</v>
      </c>
      <c r="D64" s="38">
        <f t="shared" si="19"/>
        <v>39282175.403999999</v>
      </c>
      <c r="E64" s="39">
        <v>0</v>
      </c>
      <c r="F64" s="40" t="s">
        <v>44</v>
      </c>
      <c r="G64" s="71">
        <v>4.2999999999999997E-2</v>
      </c>
      <c r="H64" s="42">
        <v>0.114</v>
      </c>
      <c r="I64" s="42">
        <v>0.114</v>
      </c>
      <c r="J64" s="44">
        <f t="shared" si="20"/>
        <v>0.114</v>
      </c>
      <c r="K64" s="39">
        <v>0</v>
      </c>
      <c r="L64" s="46">
        <f t="shared" si="21"/>
        <v>0</v>
      </c>
      <c r="M64" s="46">
        <f t="shared" si="22"/>
        <v>0</v>
      </c>
      <c r="N64" s="51">
        <v>263</v>
      </c>
      <c r="O64" s="37">
        <v>29.98</v>
      </c>
      <c r="P64" s="72">
        <f t="shared" si="24"/>
        <v>0</v>
      </c>
      <c r="Q64" s="49">
        <f t="shared" si="23"/>
        <v>1.6511627906976747</v>
      </c>
      <c r="T64" s="53"/>
    </row>
    <row r="65" spans="1:20" ht="13.2" x14ac:dyDescent="0.35">
      <c r="A65" s="78"/>
      <c r="B65" s="36" t="s">
        <v>117</v>
      </c>
      <c r="C65" s="40"/>
      <c r="D65" s="79"/>
      <c r="E65" s="79"/>
      <c r="F65" s="40"/>
      <c r="G65" s="40"/>
      <c r="H65" s="42"/>
      <c r="I65" s="42"/>
      <c r="J65" s="42"/>
      <c r="K65" s="42"/>
      <c r="L65" s="46"/>
      <c r="M65" s="80"/>
      <c r="N65" s="62">
        <f>SUM(N49:N64)</f>
        <v>4398336</v>
      </c>
      <c r="O65" s="63">
        <f>SUM(O49:O64)</f>
        <v>2148076.5499999993</v>
      </c>
      <c r="P65" s="81"/>
      <c r="Q65" s="64"/>
    </row>
    <row r="66" spans="1:20" ht="12.6" hidden="1" x14ac:dyDescent="0.3">
      <c r="A66" s="141" t="s">
        <v>152</v>
      </c>
      <c r="B66" s="142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4"/>
    </row>
    <row r="67" spans="1:20" ht="12.6" hidden="1" thickBot="1" x14ac:dyDescent="0.3">
      <c r="A67" s="82" t="s">
        <v>153</v>
      </c>
      <c r="B67" s="83" t="s">
        <v>154</v>
      </c>
      <c r="C67" s="84">
        <v>20000</v>
      </c>
      <c r="D67" s="85">
        <f>C67*J67</f>
        <v>0</v>
      </c>
      <c r="E67" s="85"/>
      <c r="F67" s="84" t="s">
        <v>155</v>
      </c>
      <c r="G67" s="84"/>
      <c r="H67" s="86">
        <v>100</v>
      </c>
      <c r="I67" s="86"/>
      <c r="J67" s="86"/>
      <c r="K67" s="86"/>
      <c r="L67" s="87">
        <f>I67-H67</f>
        <v>-100</v>
      </c>
      <c r="M67" s="88">
        <f>((I67-H67)/H67)*100</f>
        <v>-100</v>
      </c>
      <c r="N67" s="89" t="s">
        <v>57</v>
      </c>
      <c r="O67" s="89" t="s">
        <v>57</v>
      </c>
      <c r="P67" s="89"/>
      <c r="Q67" s="90">
        <v>100</v>
      </c>
    </row>
    <row r="68" spans="1:20" ht="12.6" thickBot="1" x14ac:dyDescent="0.3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80"/>
      <c r="N68" s="91"/>
      <c r="O68" s="91"/>
      <c r="P68" s="91"/>
      <c r="Q68" s="64"/>
    </row>
    <row r="69" spans="1:20" ht="12.6" x14ac:dyDescent="0.3">
      <c r="A69" s="141" t="s">
        <v>156</v>
      </c>
      <c r="B69" s="142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4"/>
    </row>
    <row r="70" spans="1:20" x14ac:dyDescent="0.25">
      <c r="A70" s="35" t="s">
        <v>157</v>
      </c>
      <c r="B70" s="92" t="s">
        <v>158</v>
      </c>
      <c r="C70" s="93">
        <v>139300587</v>
      </c>
      <c r="D70" s="38">
        <f>C70*J70</f>
        <v>45551291.949000001</v>
      </c>
      <c r="E70" s="39">
        <f>C70*K70</f>
        <v>45551291.949000001</v>
      </c>
      <c r="F70" s="93" t="s">
        <v>159</v>
      </c>
      <c r="G70" s="93">
        <v>0.24</v>
      </c>
      <c r="H70" s="94">
        <v>0.32700000000000001</v>
      </c>
      <c r="I70" s="94">
        <v>0.32700000000000001</v>
      </c>
      <c r="J70" s="95">
        <f>I70</f>
        <v>0.32700000000000001</v>
      </c>
      <c r="K70" s="95">
        <f>J70</f>
        <v>0.32700000000000001</v>
      </c>
      <c r="L70" s="46">
        <f>I70-H70</f>
        <v>0</v>
      </c>
      <c r="M70" s="46">
        <f>((I70-H70)/H70)*100</f>
        <v>0</v>
      </c>
      <c r="N70" s="96">
        <v>0</v>
      </c>
      <c r="O70" s="97">
        <v>0</v>
      </c>
      <c r="P70" s="72">
        <f>(R70)/J70</f>
        <v>0</v>
      </c>
      <c r="Q70" s="49">
        <f>J70/G70-1</f>
        <v>0.36250000000000004</v>
      </c>
      <c r="T70" s="53"/>
    </row>
    <row r="71" spans="1:20" x14ac:dyDescent="0.25">
      <c r="A71" s="35" t="s">
        <v>160</v>
      </c>
      <c r="B71" s="92" t="s">
        <v>161</v>
      </c>
      <c r="C71" s="93">
        <v>471351750</v>
      </c>
      <c r="D71" s="38">
        <f>C71*J71</f>
        <v>65847839.474999994</v>
      </c>
      <c r="E71" s="39">
        <f>C71*K71</f>
        <v>65847839.474999994</v>
      </c>
      <c r="F71" s="93" t="s">
        <v>159</v>
      </c>
      <c r="G71" s="93">
        <v>0.1</v>
      </c>
      <c r="H71" s="94">
        <v>0.14000000000000001</v>
      </c>
      <c r="I71" s="94">
        <v>0.13969999999999999</v>
      </c>
      <c r="J71" s="95">
        <f>I71</f>
        <v>0.13969999999999999</v>
      </c>
      <c r="K71" s="95">
        <f>J71</f>
        <v>0.13969999999999999</v>
      </c>
      <c r="L71" s="46">
        <f>I71-H71</f>
        <v>-3.0000000000002247E-4</v>
      </c>
      <c r="M71" s="46">
        <f>((I71-H71)/H71)*100</f>
        <v>-0.21428571428573029</v>
      </c>
      <c r="N71" s="51">
        <v>6531</v>
      </c>
      <c r="O71" s="97">
        <v>912.55</v>
      </c>
      <c r="P71" s="98">
        <f>(R71)/J71</f>
        <v>2.7143879742304939E-2</v>
      </c>
      <c r="Q71" s="49">
        <f>J71/G71-1</f>
        <v>0.3969999999999998</v>
      </c>
      <c r="R71" s="5">
        <v>3.7919999999999998E-3</v>
      </c>
      <c r="T71" s="53"/>
    </row>
    <row r="72" spans="1:20" ht="13.8" thickBot="1" x14ac:dyDescent="0.4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80"/>
      <c r="N72" s="62">
        <f>SUM(N70:N71)</f>
        <v>6531</v>
      </c>
      <c r="O72" s="63">
        <f>SUM(O70:O71)</f>
        <v>912.55</v>
      </c>
      <c r="P72" s="91"/>
      <c r="Q72" s="64"/>
    </row>
    <row r="73" spans="1:20" ht="12.6" x14ac:dyDescent="0.3">
      <c r="A73" s="141" t="s">
        <v>162</v>
      </c>
      <c r="B73" s="142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4"/>
    </row>
    <row r="74" spans="1:20" x14ac:dyDescent="0.25">
      <c r="A74" s="35" t="s">
        <v>163</v>
      </c>
      <c r="B74" s="92" t="s">
        <v>164</v>
      </c>
      <c r="C74" s="93">
        <v>20819695</v>
      </c>
      <c r="D74" s="38">
        <f>C74*J74</f>
        <v>2288084.4805000001</v>
      </c>
      <c r="E74" s="39">
        <f>C74*K74</f>
        <v>2288084.4805000001</v>
      </c>
      <c r="F74" s="93" t="s">
        <v>137</v>
      </c>
      <c r="G74" s="93">
        <v>0.1394</v>
      </c>
      <c r="H74" s="94">
        <v>0.11</v>
      </c>
      <c r="I74" s="94">
        <v>0.1099</v>
      </c>
      <c r="J74" s="95">
        <f>I74</f>
        <v>0.1099</v>
      </c>
      <c r="K74" s="95">
        <f>J74</f>
        <v>0.1099</v>
      </c>
      <c r="L74" s="46">
        <f>I74-H74</f>
        <v>-1.0000000000000286E-4</v>
      </c>
      <c r="M74" s="46">
        <f>((I74-H74)/H74)*100</f>
        <v>-9.0909090909093507E-2</v>
      </c>
      <c r="N74" s="96">
        <v>123245</v>
      </c>
      <c r="O74" s="97">
        <v>13544.82</v>
      </c>
      <c r="P74" s="72">
        <f>(R74)/J74</f>
        <v>0</v>
      </c>
      <c r="Q74" s="49">
        <f>J74/G74-1</f>
        <v>-0.21162123385939746</v>
      </c>
    </row>
    <row r="75" spans="1:20" ht="13.2" x14ac:dyDescent="0.35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80"/>
      <c r="N75" s="62"/>
      <c r="O75" s="63"/>
      <c r="P75" s="91"/>
      <c r="Q75" s="64"/>
    </row>
    <row r="76" spans="1:20" ht="12.6" x14ac:dyDescent="0.3">
      <c r="A76" s="137" t="s">
        <v>165</v>
      </c>
      <c r="B76" s="138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40"/>
    </row>
    <row r="77" spans="1:20" x14ac:dyDescent="0.25">
      <c r="A77" s="35" t="s">
        <v>166</v>
      </c>
      <c r="B77" s="36" t="s">
        <v>167</v>
      </c>
      <c r="C77" s="40">
        <v>31703227</v>
      </c>
      <c r="D77" s="38">
        <f>C77*J77</f>
        <v>144081.25912218791</v>
      </c>
      <c r="E77" s="39">
        <f>C77*K77</f>
        <v>121971.87555968254</v>
      </c>
      <c r="F77" s="40" t="s">
        <v>137</v>
      </c>
      <c r="G77" s="71">
        <v>0.105</v>
      </c>
      <c r="H77" s="42">
        <v>0.12</v>
      </c>
      <c r="I77" s="42">
        <v>0.12118999999999999</v>
      </c>
      <c r="J77" s="44">
        <f>I77/$J$5</f>
        <v>4.5446874894529794E-3</v>
      </c>
      <c r="K77" s="45">
        <f>I77/$K$4</f>
        <v>3.8473015873015872E-3</v>
      </c>
      <c r="L77" s="46">
        <f>I77-H77</f>
        <v>1.1899999999999966E-3</v>
      </c>
      <c r="M77" s="99">
        <f>((I77-H77)/H77)*100</f>
        <v>0.99166666666666392</v>
      </c>
      <c r="N77" s="37">
        <v>2150</v>
      </c>
      <c r="O77" s="37">
        <v>260.5</v>
      </c>
      <c r="P77" s="40">
        <v>0</v>
      </c>
      <c r="Q77" s="49">
        <f>I77/G77-1</f>
        <v>0.15419047619047621</v>
      </c>
    </row>
    <row r="78" spans="1:20" x14ac:dyDescent="0.25">
      <c r="A78" s="35" t="s">
        <v>168</v>
      </c>
      <c r="B78" s="36" t="s">
        <v>169</v>
      </c>
      <c r="C78" s="40">
        <v>136162052</v>
      </c>
      <c r="D78" s="38">
        <f>C78*J78</f>
        <v>408491.77276187547</v>
      </c>
      <c r="E78" s="39">
        <f>C78*K78</f>
        <v>345808.38603174605</v>
      </c>
      <c r="F78" s="40" t="s">
        <v>137</v>
      </c>
      <c r="G78" s="71">
        <v>4.2500000000000003E-2</v>
      </c>
      <c r="H78" s="42">
        <v>0.08</v>
      </c>
      <c r="I78" s="42">
        <v>0.08</v>
      </c>
      <c r="J78" s="44">
        <f>I78/$J$5</f>
        <v>3.0000412505671952E-3</v>
      </c>
      <c r="K78" s="45">
        <f>I78/$K$4</f>
        <v>2.5396825396825397E-3</v>
      </c>
      <c r="L78" s="46">
        <f>I78-H78</f>
        <v>0</v>
      </c>
      <c r="M78" s="99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0.88235294117647056</v>
      </c>
    </row>
    <row r="79" spans="1:20" x14ac:dyDescent="0.25">
      <c r="A79" s="35" t="s">
        <v>170</v>
      </c>
      <c r="B79" s="36" t="s">
        <v>171</v>
      </c>
      <c r="C79" s="40">
        <v>6677853</v>
      </c>
      <c r="D79" s="38">
        <f>C79*J79</f>
        <v>30239.320164739765</v>
      </c>
      <c r="E79" s="39">
        <f>C79*K79</f>
        <v>25599.072486000001</v>
      </c>
      <c r="F79" s="40" t="s">
        <v>137</v>
      </c>
      <c r="G79" s="71">
        <v>6.0499999999999998E-2</v>
      </c>
      <c r="H79" s="42">
        <v>0.120753</v>
      </c>
      <c r="I79" s="42">
        <v>0.120753</v>
      </c>
      <c r="J79" s="44">
        <f>I79/$J$5</f>
        <v>4.5282997641217567E-3</v>
      </c>
      <c r="K79" s="45">
        <f>I79/$K$4</f>
        <v>3.8334285714285714E-3</v>
      </c>
      <c r="L79" s="46">
        <f>I79-H79</f>
        <v>0</v>
      </c>
      <c r="M79" s="99">
        <f>((I79-H79)/H79)*100</f>
        <v>0</v>
      </c>
      <c r="N79" s="37">
        <v>25</v>
      </c>
      <c r="O79" s="37">
        <v>3.25</v>
      </c>
      <c r="P79" s="40">
        <v>0</v>
      </c>
      <c r="Q79" s="49">
        <f>I79/G79-1</f>
        <v>0.99591735537190096</v>
      </c>
    </row>
    <row r="80" spans="1:20" x14ac:dyDescent="0.25">
      <c r="A80" s="35" t="s">
        <v>172</v>
      </c>
      <c r="B80" s="36" t="s">
        <v>173</v>
      </c>
      <c r="C80" s="37">
        <v>494417400</v>
      </c>
      <c r="D80" s="38">
        <f>C80*J80</f>
        <v>31519542.643711351</v>
      </c>
      <c r="E80" s="39">
        <f>C80*K80</f>
        <v>26682843.809523806</v>
      </c>
      <c r="F80" s="40" t="s">
        <v>137</v>
      </c>
      <c r="G80" s="71">
        <v>1.85</v>
      </c>
      <c r="H80" s="42">
        <v>1.7</v>
      </c>
      <c r="I80" s="42">
        <v>1.7</v>
      </c>
      <c r="J80" s="44">
        <f>I80/$J$5</f>
        <v>6.3750876574552903E-2</v>
      </c>
      <c r="K80" s="45">
        <f>I80/$K$4</f>
        <v>5.3968253968253964E-2</v>
      </c>
      <c r="L80" s="46">
        <f>I80-H80</f>
        <v>0</v>
      </c>
      <c r="M80" s="99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-8.1081081081081141E-2</v>
      </c>
    </row>
    <row r="81" spans="1:243" ht="15" thickBot="1" x14ac:dyDescent="0.4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2">
        <f>SUM(N77:N80)</f>
        <v>2175</v>
      </c>
      <c r="O81" s="63">
        <f>SUM(O77:O80)</f>
        <v>263.75</v>
      </c>
      <c r="P81" s="81"/>
      <c r="Q81" s="64"/>
      <c r="V81" s="100"/>
      <c r="W81" s="100"/>
      <c r="DU81" s="101"/>
      <c r="DV81" s="101"/>
      <c r="DW81" s="102"/>
      <c r="DX81" s="103"/>
      <c r="DY81" s="103"/>
      <c r="DZ81" s="104"/>
      <c r="EA81" s="104"/>
      <c r="EB81" s="105"/>
      <c r="EC81" s="105"/>
      <c r="ED81" s="106"/>
      <c r="EE81" s="106"/>
      <c r="EF81" s="104"/>
      <c r="EG81" s="107"/>
      <c r="EH81" s="108"/>
      <c r="EI81" s="102"/>
      <c r="EJ81" s="101"/>
      <c r="EK81" s="101"/>
      <c r="EL81" s="102"/>
      <c r="EM81" s="103"/>
      <c r="EN81" s="103"/>
      <c r="EO81" s="104"/>
      <c r="EP81" s="104"/>
      <c r="EQ81" s="105"/>
      <c r="ER81" s="105"/>
      <c r="ES81" s="106"/>
      <c r="ET81" s="106"/>
      <c r="EU81" s="104"/>
      <c r="EV81" s="107"/>
      <c r="EW81" s="108"/>
      <c r="EX81" s="102"/>
      <c r="EY81" s="101"/>
      <c r="EZ81" s="101"/>
      <c r="FA81" s="102"/>
      <c r="FB81" s="103"/>
      <c r="FC81" s="103"/>
      <c r="FD81" s="104"/>
      <c r="FE81" s="104"/>
      <c r="FF81" s="105"/>
      <c r="FG81" s="105"/>
      <c r="FH81" s="106"/>
      <c r="FI81" s="106"/>
      <c r="FJ81" s="104"/>
      <c r="FK81" s="107"/>
      <c r="FL81" s="108"/>
      <c r="FM81" s="102"/>
      <c r="FN81" s="101"/>
      <c r="FO81" s="101"/>
      <c r="FP81" s="102"/>
      <c r="FQ81" s="103"/>
      <c r="FR81" s="103"/>
      <c r="FS81" s="104"/>
      <c r="FT81" s="104"/>
      <c r="FU81" s="105"/>
      <c r="FV81" s="105"/>
      <c r="FW81" s="106"/>
      <c r="FX81" s="106"/>
      <c r="FY81" s="104"/>
      <c r="FZ81" s="107"/>
      <c r="GA81" s="108"/>
      <c r="GB81" s="102"/>
      <c r="GC81" s="101"/>
      <c r="GD81" s="101"/>
      <c r="GE81" s="102"/>
      <c r="GF81" s="103"/>
      <c r="GG81" s="103"/>
      <c r="GH81" s="104"/>
      <c r="GI81" s="104"/>
      <c r="GJ81" s="105"/>
      <c r="GK81" s="105"/>
      <c r="GL81" s="106"/>
      <c r="GM81" s="106"/>
      <c r="GN81" s="104"/>
      <c r="GO81" s="107"/>
      <c r="GP81" s="108"/>
      <c r="GQ81" s="102"/>
      <c r="GR81" s="101"/>
      <c r="GS81" s="101"/>
      <c r="GT81" s="102"/>
      <c r="GU81" s="103"/>
      <c r="GV81" s="103"/>
      <c r="GW81" s="104"/>
      <c r="GX81" s="104"/>
      <c r="GY81" s="105"/>
      <c r="GZ81" s="105"/>
      <c r="HA81" s="106"/>
      <c r="HB81" s="106"/>
      <c r="HC81" s="104"/>
      <c r="HD81" s="107"/>
      <c r="HE81" s="108"/>
      <c r="HF81" s="102"/>
      <c r="HG81" s="101"/>
      <c r="HH81" s="101"/>
      <c r="HI81" s="102"/>
      <c r="HJ81" s="103"/>
      <c r="HK81" s="103"/>
      <c r="HL81" s="104"/>
      <c r="HM81" s="104"/>
      <c r="HN81" s="105"/>
      <c r="HO81" s="105"/>
      <c r="HP81" s="106"/>
      <c r="HQ81" s="106"/>
      <c r="HR81" s="104"/>
      <c r="HS81" s="107"/>
      <c r="HT81" s="108"/>
      <c r="HU81" s="102"/>
      <c r="HV81" s="101"/>
      <c r="HW81" s="101"/>
      <c r="HX81" s="102"/>
      <c r="HY81" s="103"/>
      <c r="HZ81" s="103"/>
      <c r="IA81" s="104"/>
      <c r="IB81" s="104"/>
      <c r="IC81" s="105"/>
      <c r="ID81" s="105"/>
      <c r="IE81" s="106"/>
      <c r="IF81" s="106"/>
      <c r="IG81" s="104"/>
      <c r="IH81" s="107"/>
      <c r="II81" s="108"/>
    </row>
    <row r="82" spans="1:243" ht="13.2" thickTop="1" x14ac:dyDescent="0.3">
      <c r="A82" s="141" t="s">
        <v>174</v>
      </c>
      <c r="B82" s="142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4"/>
    </row>
    <row r="83" spans="1:243" x14ac:dyDescent="0.25">
      <c r="A83" s="35" t="s">
        <v>175</v>
      </c>
      <c r="B83" s="36" t="s">
        <v>176</v>
      </c>
      <c r="C83" s="40">
        <v>368326244</v>
      </c>
      <c r="D83" s="38">
        <f>C83*J83</f>
        <v>29454994.331047051</v>
      </c>
      <c r="E83" s="39">
        <f>C83*K83</f>
        <v>24935102.07396825</v>
      </c>
      <c r="F83" s="40" t="s">
        <v>177</v>
      </c>
      <c r="G83" s="40">
        <v>1.3</v>
      </c>
      <c r="H83" s="42">
        <v>2.1324999999999998</v>
      </c>
      <c r="I83" s="42">
        <v>2.1324999999999998</v>
      </c>
      <c r="J83" s="44">
        <f>I83/$J$5</f>
        <v>7.9969849585431796E-2</v>
      </c>
      <c r="K83" s="45">
        <f>I83/$K$4</f>
        <v>6.7698412698412688E-2</v>
      </c>
      <c r="L83" s="46">
        <f>I83-H83</f>
        <v>0</v>
      </c>
      <c r="M83" s="46">
        <f>((I83-H83)/H83*100)</f>
        <v>0</v>
      </c>
      <c r="N83" s="109">
        <v>100</v>
      </c>
      <c r="O83" s="110">
        <v>213.25</v>
      </c>
      <c r="P83" s="52">
        <f>(R83)/J83</f>
        <v>0</v>
      </c>
      <c r="Q83" s="49">
        <f>I83/G83-1</f>
        <v>0.64038461538461511</v>
      </c>
      <c r="R83" s="53"/>
    </row>
    <row r="84" spans="1:243" s="111" customFormat="1" ht="12.6" thickBot="1" x14ac:dyDescent="0.3">
      <c r="A84" s="35" t="s">
        <v>178</v>
      </c>
      <c r="B84" s="36" t="s">
        <v>179</v>
      </c>
      <c r="C84" s="40">
        <v>1841105000</v>
      </c>
      <c r="D84" s="38">
        <f>C84*J84</f>
        <v>74673483.902903676</v>
      </c>
      <c r="E84" s="39">
        <f>C84*K84</f>
        <v>63214778.533333339</v>
      </c>
      <c r="F84" s="40" t="s">
        <v>177</v>
      </c>
      <c r="G84" s="40">
        <v>1.44347</v>
      </c>
      <c r="H84" s="42">
        <v>1.083933</v>
      </c>
      <c r="I84" s="42">
        <v>1.0815600000000001</v>
      </c>
      <c r="J84" s="44">
        <f>I84/$J$5</f>
        <v>4.0559057687043203E-2</v>
      </c>
      <c r="K84" s="45">
        <f>I84/$K$4</f>
        <v>3.4335238095238099E-2</v>
      </c>
      <c r="L84" s="46">
        <f>I84-H84</f>
        <v>-2.3729999999999585E-3</v>
      </c>
      <c r="M84" s="46">
        <f>((I84-H84)/H84*100)</f>
        <v>-0.2189249704548121</v>
      </c>
      <c r="N84" s="110">
        <v>24004</v>
      </c>
      <c r="O84" s="110">
        <v>25970.736499999999</v>
      </c>
      <c r="P84" s="48">
        <f>(R84)/J84</f>
        <v>5.3650161618403039E-2</v>
      </c>
      <c r="Q84" s="49">
        <f>I84/G84-1</f>
        <v>-0.25072221798859684</v>
      </c>
      <c r="R84" s="53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82"/>
      <c r="B85" s="83"/>
      <c r="C85" s="84"/>
      <c r="D85" s="112"/>
      <c r="E85" s="85"/>
      <c r="F85" s="84"/>
      <c r="G85" s="84"/>
      <c r="H85" s="86"/>
      <c r="I85" s="86"/>
      <c r="J85" s="86"/>
      <c r="K85" s="86"/>
      <c r="L85" s="87"/>
      <c r="M85" s="87"/>
      <c r="N85" s="87"/>
      <c r="O85" s="87"/>
      <c r="P85" s="87"/>
      <c r="Q85" s="90"/>
    </row>
    <row r="86" spans="1:243" ht="12.6" thickBot="1" x14ac:dyDescent="0.3">
      <c r="A86" s="113"/>
      <c r="B86" s="114"/>
      <c r="C86" s="114"/>
      <c r="D86" s="114"/>
      <c r="E86" s="114"/>
      <c r="F86" s="115"/>
      <c r="G86" s="115"/>
      <c r="H86" s="60"/>
      <c r="M86" s="116"/>
      <c r="N86" s="116"/>
      <c r="O86" s="60"/>
      <c r="P86" s="60"/>
      <c r="Q86" s="117"/>
    </row>
    <row r="87" spans="1:243" ht="15" customHeight="1" thickBot="1" x14ac:dyDescent="0.3">
      <c r="A87" s="145" t="s">
        <v>180</v>
      </c>
      <c r="B87" s="146"/>
      <c r="C87" s="146"/>
      <c r="D87" s="147"/>
      <c r="E87" s="145" t="s">
        <v>181</v>
      </c>
      <c r="F87" s="146"/>
      <c r="G87" s="146"/>
      <c r="H87" s="147"/>
      <c r="I87" s="53"/>
      <c r="J87" s="118" t="s">
        <v>182</v>
      </c>
      <c r="K87" s="119"/>
      <c r="L87" s="120"/>
      <c r="M87" s="118" t="s">
        <v>183</v>
      </c>
      <c r="N87" s="119"/>
      <c r="O87" s="120"/>
    </row>
    <row r="88" spans="1:243" ht="15" customHeight="1" x14ac:dyDescent="0.25">
      <c r="A88" s="35" t="s">
        <v>45</v>
      </c>
      <c r="B88" s="121">
        <v>38.999499999999998</v>
      </c>
      <c r="D88" s="121">
        <v>13.04202898550724</v>
      </c>
      <c r="E88" s="35" t="s">
        <v>68</v>
      </c>
      <c r="F88" s="122">
        <v>8.8000000000000009E-2</v>
      </c>
      <c r="H88" s="123">
        <v>-14.975845410628006</v>
      </c>
      <c r="J88" s="35" t="s">
        <v>142</v>
      </c>
      <c r="K88" s="52">
        <v>0.4451</v>
      </c>
      <c r="L88" s="124">
        <v>5.9761904761904798</v>
      </c>
      <c r="M88" s="60" t="s">
        <v>146</v>
      </c>
      <c r="N88" s="122">
        <v>0.2107</v>
      </c>
      <c r="O88" s="123">
        <v>-8.5900216919739751</v>
      </c>
    </row>
    <row r="89" spans="1:243" ht="15" customHeight="1" x14ac:dyDescent="0.25">
      <c r="A89" s="35" t="s">
        <v>86</v>
      </c>
      <c r="B89" s="121">
        <v>1.35</v>
      </c>
      <c r="D89" s="121">
        <v>12.500000000000011</v>
      </c>
      <c r="E89" s="35" t="s">
        <v>103</v>
      </c>
      <c r="F89" s="122">
        <v>2</v>
      </c>
      <c r="H89" s="123">
        <v>-13.043478260869559</v>
      </c>
      <c r="J89" s="35" t="s">
        <v>127</v>
      </c>
      <c r="K89" s="52">
        <v>0.15</v>
      </c>
      <c r="L89" s="124">
        <v>4.9685094471658466</v>
      </c>
      <c r="M89" s="35" t="s">
        <v>121</v>
      </c>
      <c r="N89" s="122">
        <v>39.991100000000003</v>
      </c>
      <c r="O89" s="123">
        <v>-4.993241140429852</v>
      </c>
    </row>
    <row r="90" spans="1:243" ht="15" customHeight="1" x14ac:dyDescent="0.25">
      <c r="A90" s="35" t="s">
        <v>101</v>
      </c>
      <c r="B90" s="121">
        <v>0.139262</v>
      </c>
      <c r="C90" s="121"/>
      <c r="D90" s="121">
        <v>11.380195628354107</v>
      </c>
      <c r="E90" s="35" t="s">
        <v>105</v>
      </c>
      <c r="F90" s="122">
        <v>7.0000000000000007E-2</v>
      </c>
      <c r="H90" s="123">
        <v>-9.0909090909090811</v>
      </c>
      <c r="J90" s="35" t="s">
        <v>131</v>
      </c>
      <c r="K90" s="52">
        <v>0.14879999999999999</v>
      </c>
      <c r="L90" s="124">
        <v>0.74475287745429242</v>
      </c>
      <c r="M90" s="35" t="s">
        <v>138</v>
      </c>
      <c r="N90" s="122">
        <v>0.89359999999999995</v>
      </c>
      <c r="O90" s="123">
        <v>-4.9361702127659575</v>
      </c>
    </row>
    <row r="91" spans="1:243" ht="15" customHeight="1" x14ac:dyDescent="0.25">
      <c r="A91" s="35" t="s">
        <v>73</v>
      </c>
      <c r="B91" s="121">
        <v>1.7022699999999999</v>
      </c>
      <c r="C91" s="121"/>
      <c r="D91" s="121">
        <v>8.8317467218197923</v>
      </c>
      <c r="E91" s="35" t="s">
        <v>93</v>
      </c>
      <c r="F91" s="122">
        <v>4.96</v>
      </c>
      <c r="H91" s="123">
        <v>-9.0464492082181636</v>
      </c>
      <c r="J91" s="35" t="s">
        <v>129</v>
      </c>
      <c r="K91" s="52">
        <v>1.5004999999999999</v>
      </c>
      <c r="L91" s="124">
        <v>0.20033388981635336</v>
      </c>
      <c r="M91" s="35" t="s">
        <v>133</v>
      </c>
      <c r="N91" s="122">
        <v>2.0199999999999999E-2</v>
      </c>
      <c r="O91" s="123">
        <v>-1.4634146341463494</v>
      </c>
    </row>
    <row r="92" spans="1:243" ht="15" customHeight="1" x14ac:dyDescent="0.25">
      <c r="A92" s="35" t="s">
        <v>70</v>
      </c>
      <c r="B92" s="121">
        <v>11</v>
      </c>
      <c r="C92" s="121"/>
      <c r="D92" s="121">
        <v>4.5836145998726066</v>
      </c>
      <c r="E92" s="35" t="s">
        <v>77</v>
      </c>
      <c r="F92" s="122">
        <v>2.4231720000000001</v>
      </c>
      <c r="G92" s="122"/>
      <c r="H92" s="123">
        <v>-3.0731199999999959</v>
      </c>
      <c r="J92" s="35"/>
      <c r="K92" s="52"/>
      <c r="L92" s="124"/>
      <c r="M92" s="35" t="s">
        <v>123</v>
      </c>
      <c r="N92" s="122">
        <v>0.22850000000000001</v>
      </c>
      <c r="O92" s="123">
        <v>-0.43572984749455379</v>
      </c>
    </row>
    <row r="93" spans="1:243" ht="15.75" customHeight="1" thickBot="1" x14ac:dyDescent="0.3">
      <c r="A93" s="125"/>
      <c r="B93" s="126"/>
      <c r="C93" s="126"/>
      <c r="D93" s="126"/>
      <c r="E93" s="125"/>
      <c r="F93" s="126"/>
      <c r="G93" s="126"/>
      <c r="H93" s="127"/>
      <c r="J93" s="125"/>
      <c r="K93" s="126"/>
      <c r="L93" s="127"/>
      <c r="M93" s="126"/>
      <c r="N93" s="126"/>
      <c r="O93" s="127"/>
    </row>
    <row r="94" spans="1:243" x14ac:dyDescent="0.25">
      <c r="A94" s="128"/>
      <c r="B94" s="129"/>
      <c r="C94" s="129"/>
      <c r="D94" s="129"/>
      <c r="E94" s="116"/>
      <c r="F94" s="116"/>
      <c r="G94" s="116"/>
      <c r="H94" s="116"/>
      <c r="I94" s="116"/>
      <c r="J94" s="116"/>
      <c r="K94" s="116"/>
      <c r="L94" s="116"/>
      <c r="M94" s="129"/>
      <c r="Q94" s="16"/>
    </row>
    <row r="95" spans="1:243" x14ac:dyDescent="0.25">
      <c r="A95" s="12" t="s">
        <v>184</v>
      </c>
      <c r="B95" s="130"/>
      <c r="C95" s="130"/>
      <c r="D95" s="130"/>
      <c r="E95" s="13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8"/>
      <c r="B96" s="129"/>
      <c r="C96" s="129"/>
      <c r="D96" s="129"/>
      <c r="E96" s="129"/>
      <c r="F96" s="116"/>
      <c r="G96" s="116"/>
      <c r="H96" s="129"/>
      <c r="I96" s="116"/>
      <c r="J96" s="116"/>
      <c r="K96" s="116"/>
      <c r="L96" s="116"/>
      <c r="M96" s="129"/>
      <c r="Q96" s="16"/>
    </row>
    <row r="97" spans="1:17" ht="12.6" thickBot="1" x14ac:dyDescent="0.3">
      <c r="A97" s="131"/>
      <c r="B97" s="132"/>
      <c r="C97" s="132"/>
      <c r="D97" s="132"/>
      <c r="E97" s="132"/>
      <c r="F97" s="133"/>
      <c r="G97" s="133"/>
      <c r="H97" s="133"/>
      <c r="I97" s="134"/>
      <c r="J97" s="134"/>
      <c r="K97" s="134"/>
      <c r="L97" s="134"/>
      <c r="M97" s="134"/>
      <c r="N97" s="134"/>
      <c r="O97" s="134"/>
      <c r="P97" s="134"/>
      <c r="Q97" s="13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36"/>
      <c r="J101" s="136"/>
      <c r="K101" s="136"/>
      <c r="O101" s="136"/>
      <c r="P101" s="13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36"/>
      <c r="J104" s="136"/>
      <c r="K104" s="136"/>
      <c r="O104" s="136"/>
      <c r="P104" s="13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36"/>
      <c r="J106" s="136"/>
      <c r="K106" s="136"/>
      <c r="O106" s="136"/>
      <c r="P106" s="136"/>
    </row>
  </sheetData>
  <sheetProtection algorithmName="SHA-512" hashValue="2VJKnh0GhcMB+ziwQYfeCYA8wE4z4lRccJiqvslLrVNoDfOuutQaS5z2IXJ+NqmJfqX1HuJf6fix4IP0vkKN/g==" saltValue="JgBpGDupmQvEGiXzkZL5WQ==" spinCount="100000" sheet="1" objects="1" scenarios="1"/>
  <mergeCells count="10">
    <mergeCell ref="A76:Q76"/>
    <mergeCell ref="A82:Q82"/>
    <mergeCell ref="A87:D87"/>
    <mergeCell ref="E87:H87"/>
    <mergeCell ref="L5:M5"/>
    <mergeCell ref="A6:Q6"/>
    <mergeCell ref="A48:Q48"/>
    <mergeCell ref="A66:Q66"/>
    <mergeCell ref="A69:Q69"/>
    <mergeCell ref="A73:Q73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5 L49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5 L49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5 Q49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2026-08-31T13:54:47Z</dcterms:created>
  <dcterms:modified xsi:type="dcterms:W3CDTF">2026-08-31T14:20:02Z</dcterms:modified>
</cp:coreProperties>
</file>