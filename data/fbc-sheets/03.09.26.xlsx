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03.09.26/"/>
    </mc:Choice>
  </mc:AlternateContent>
  <xr:revisionPtr revIDLastSave="0" documentId="8_{5CCBB1A2-25D4-4B60-BEE2-C31B33BF2969}" xr6:coauthVersionLast="47" xr6:coauthVersionMax="47" xr10:uidLastSave="{00000000-0000-0000-0000-000000000000}"/>
  <bookViews>
    <workbookView xWindow="-108" yWindow="-108" windowWidth="23256" windowHeight="12456" xr2:uid="{4AE93095-710A-4FC6-95E3-2C4487DBA2D1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P84" i="1"/>
  <c r="M84" i="1"/>
  <c r="L84" i="1"/>
  <c r="K84" i="1"/>
  <c r="J84" i="1"/>
  <c r="D84" i="1" s="1"/>
  <c r="E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5" i="1"/>
  <c r="P75" i="1"/>
  <c r="M75" i="1"/>
  <c r="L75" i="1"/>
  <c r="K75" i="1"/>
  <c r="E75" i="1" s="1"/>
  <c r="J75" i="1"/>
  <c r="D75" i="1"/>
  <c r="O73" i="1"/>
  <c r="N73" i="1"/>
  <c r="P72" i="1"/>
  <c r="M72" i="1"/>
  <c r="L72" i="1"/>
  <c r="J72" i="1"/>
  <c r="K72" i="1" s="1"/>
  <c r="E72" i="1" s="1"/>
  <c r="M71" i="1"/>
  <c r="L71" i="1"/>
  <c r="J71" i="1"/>
  <c r="P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Q52" i="1"/>
  <c r="M52" i="1"/>
  <c r="L52" i="1"/>
  <c r="J52" i="1"/>
  <c r="D52" i="1" s="1"/>
  <c r="M51" i="1"/>
  <c r="L51" i="1"/>
  <c r="J51" i="1"/>
  <c r="Q51" i="1" s="1"/>
  <c r="D51" i="1"/>
  <c r="Q50" i="1"/>
  <c r="P50" i="1"/>
  <c r="M50" i="1"/>
  <c r="L50" i="1"/>
  <c r="J50" i="1"/>
  <c r="D50" i="1" s="1"/>
  <c r="O47" i="1"/>
  <c r="N47" i="1"/>
  <c r="Q45" i="1"/>
  <c r="M45" i="1"/>
  <c r="L45" i="1"/>
  <c r="K45" i="1"/>
  <c r="J45" i="1"/>
  <c r="D45" i="1" s="1"/>
  <c r="E45" i="1"/>
  <c r="Q44" i="1"/>
  <c r="P44" i="1"/>
  <c r="M44" i="1"/>
  <c r="L44" i="1"/>
  <c r="K44" i="1"/>
  <c r="J44" i="1"/>
  <c r="E44" i="1"/>
  <c r="D44" i="1"/>
  <c r="Q43" i="1"/>
  <c r="P43" i="1"/>
  <c r="M43" i="1"/>
  <c r="L43" i="1"/>
  <c r="K43" i="1"/>
  <c r="E43" i="1" s="1"/>
  <c r="J43" i="1"/>
  <c r="D43" i="1" s="1"/>
  <c r="Q42" i="1"/>
  <c r="M42" i="1"/>
  <c r="L42" i="1"/>
  <c r="K42" i="1"/>
  <c r="J42" i="1"/>
  <c r="D42" i="1" s="1"/>
  <c r="E42" i="1"/>
  <c r="Q41" i="1"/>
  <c r="P41" i="1"/>
  <c r="M41" i="1"/>
  <c r="L41" i="1"/>
  <c r="K41" i="1"/>
  <c r="J41" i="1"/>
  <c r="E41" i="1"/>
  <c r="D41" i="1"/>
  <c r="Q40" i="1"/>
  <c r="P40" i="1"/>
  <c r="M40" i="1"/>
  <c r="L40" i="1"/>
  <c r="K40" i="1"/>
  <c r="E40" i="1" s="1"/>
  <c r="J40" i="1"/>
  <c r="D40" i="1" s="1"/>
  <c r="Q39" i="1"/>
  <c r="M39" i="1"/>
  <c r="L39" i="1"/>
  <c r="K39" i="1"/>
  <c r="J39" i="1"/>
  <c r="D39" i="1" s="1"/>
  <c r="E39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D37" i="1" s="1"/>
  <c r="E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P34" i="1"/>
  <c r="M34" i="1"/>
  <c r="L34" i="1"/>
  <c r="K34" i="1"/>
  <c r="J34" i="1"/>
  <c r="D34" i="1" s="1"/>
  <c r="E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J32" i="1"/>
  <c r="E32" i="1"/>
  <c r="D32" i="1"/>
  <c r="Q31" i="1"/>
  <c r="M31" i="1"/>
  <c r="L31" i="1"/>
  <c r="K31" i="1"/>
  <c r="J31" i="1"/>
  <c r="D31" i="1" s="1"/>
  <c r="E31" i="1"/>
  <c r="K30" i="1"/>
  <c r="J30" i="1"/>
  <c r="E30" i="1"/>
  <c r="D30" i="1"/>
  <c r="Q29" i="1"/>
  <c r="M29" i="1"/>
  <c r="L29" i="1"/>
  <c r="K29" i="1"/>
  <c r="J29" i="1"/>
  <c r="D29" i="1" s="1"/>
  <c r="E29" i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J27" i="1"/>
  <c r="E27" i="1"/>
  <c r="D27" i="1"/>
  <c r="Q26" i="1"/>
  <c r="P26" i="1"/>
  <c r="M26" i="1"/>
  <c r="L26" i="1"/>
  <c r="K26" i="1"/>
  <c r="J26" i="1"/>
  <c r="D26" i="1" s="1"/>
  <c r="E26" i="1"/>
  <c r="Q25" i="1"/>
  <c r="M25" i="1"/>
  <c r="L25" i="1"/>
  <c r="K25" i="1"/>
  <c r="J25" i="1"/>
  <c r="P25" i="1" s="1"/>
  <c r="E25" i="1"/>
  <c r="D25" i="1"/>
  <c r="R24" i="1"/>
  <c r="Q24" i="1"/>
  <c r="P24" i="1"/>
  <c r="M24" i="1"/>
  <c r="L24" i="1"/>
  <c r="K24" i="1"/>
  <c r="J24" i="1"/>
  <c r="E24" i="1"/>
  <c r="D24" i="1"/>
  <c r="Q23" i="1"/>
  <c r="P23" i="1"/>
  <c r="M23" i="1"/>
  <c r="L23" i="1"/>
  <c r="K23" i="1"/>
  <c r="E23" i="1" s="1"/>
  <c r="J23" i="1"/>
  <c r="D23" i="1" s="1"/>
  <c r="Q22" i="1"/>
  <c r="L22" i="1"/>
  <c r="K22" i="1"/>
  <c r="J22" i="1"/>
  <c r="E22" i="1"/>
  <c r="D22" i="1"/>
  <c r="Q21" i="1"/>
  <c r="P21" i="1"/>
  <c r="M21" i="1"/>
  <c r="L21" i="1"/>
  <c r="K21" i="1"/>
  <c r="J21" i="1"/>
  <c r="E21" i="1"/>
  <c r="D21" i="1"/>
  <c r="Q20" i="1"/>
  <c r="M20" i="1"/>
  <c r="L20" i="1"/>
  <c r="K20" i="1"/>
  <c r="E20" i="1" s="1"/>
  <c r="J20" i="1"/>
  <c r="P20" i="1" s="1"/>
  <c r="D20" i="1"/>
  <c r="Q19" i="1"/>
  <c r="M19" i="1"/>
  <c r="L19" i="1"/>
  <c r="K19" i="1"/>
  <c r="J19" i="1"/>
  <c r="P19" i="1" s="1"/>
  <c r="E19" i="1"/>
  <c r="D19" i="1"/>
  <c r="E18" i="1"/>
  <c r="D18" i="1"/>
  <c r="Q17" i="1"/>
  <c r="P17" i="1"/>
  <c r="M17" i="1"/>
  <c r="L17" i="1"/>
  <c r="K17" i="1"/>
  <c r="J17" i="1"/>
  <c r="E17" i="1"/>
  <c r="D17" i="1"/>
  <c r="Q16" i="1"/>
  <c r="P16" i="1"/>
  <c r="M16" i="1"/>
  <c r="L16" i="1"/>
  <c r="K16" i="1"/>
  <c r="E16" i="1" s="1"/>
  <c r="J16" i="1"/>
  <c r="D16" i="1" s="1"/>
  <c r="Q15" i="1"/>
  <c r="M15" i="1"/>
  <c r="L15" i="1"/>
  <c r="K15" i="1"/>
  <c r="J15" i="1"/>
  <c r="D15" i="1" s="1"/>
  <c r="E15" i="1"/>
  <c r="Q14" i="1"/>
  <c r="P14" i="1"/>
  <c r="M14" i="1"/>
  <c r="L14" i="1"/>
  <c r="K14" i="1"/>
  <c r="J14" i="1"/>
  <c r="E14" i="1"/>
  <c r="D14" i="1"/>
  <c r="Q13" i="1"/>
  <c r="P13" i="1"/>
  <c r="M13" i="1"/>
  <c r="L13" i="1"/>
  <c r="K13" i="1"/>
  <c r="E13" i="1" s="1"/>
  <c r="J13" i="1"/>
  <c r="D13" i="1" s="1"/>
  <c r="Q12" i="1"/>
  <c r="M12" i="1"/>
  <c r="L12" i="1"/>
  <c r="K12" i="1"/>
  <c r="J12" i="1"/>
  <c r="D12" i="1" s="1"/>
  <c r="E12" i="1"/>
  <c r="Q11" i="1"/>
  <c r="P11" i="1"/>
  <c r="M11" i="1"/>
  <c r="L11" i="1"/>
  <c r="K11" i="1"/>
  <c r="J11" i="1"/>
  <c r="E11" i="1"/>
  <c r="D11" i="1"/>
  <c r="Q10" i="1"/>
  <c r="P10" i="1"/>
  <c r="M10" i="1"/>
  <c r="L10" i="1"/>
  <c r="K10" i="1"/>
  <c r="E10" i="1" s="1"/>
  <c r="J10" i="1"/>
  <c r="D10" i="1" s="1"/>
  <c r="Q9" i="1"/>
  <c r="M9" i="1"/>
  <c r="L9" i="1"/>
  <c r="K9" i="1"/>
  <c r="J9" i="1"/>
  <c r="D9" i="1" s="1"/>
  <c r="E9" i="1"/>
  <c r="P42" i="1" l="1"/>
  <c r="P63" i="1"/>
  <c r="Q71" i="1"/>
  <c r="P29" i="1"/>
  <c r="P31" i="1"/>
  <c r="K71" i="1"/>
  <c r="E71" i="1" s="1"/>
  <c r="Q72" i="1"/>
  <c r="P9" i="1"/>
  <c r="P12" i="1"/>
  <c r="P15" i="1"/>
  <c r="P39" i="1"/>
  <c r="P53" i="1"/>
  <c r="P55" i="1"/>
  <c r="P57" i="1"/>
  <c r="P59" i="1"/>
  <c r="P61" i="1"/>
  <c r="P65" i="1"/>
  <c r="P51" i="1"/>
  <c r="D72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<sst xmlns="http://schemas.openxmlformats.org/spreadsheetml/2006/main" count="271" uniqueCount="185">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</sst>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" xfId="3" xr:uid="{5E4F04F0-7994-4F11-9219-9E19E2A889B1}"/>
    <cellStyle name="Comma 5 2 2 2 2 2 2 2 2 2 2 2" xfId="4" xr:uid="{A864B246-261A-4A6A-A938-0C007DA6DFA9}"/>
    <cellStyle name="Comma 6 2 2 2 2 2 2" xfId="5" xr:uid="{AE2DC639-BED2-498F-998C-8BDF2468D1A8}"/>
    <cellStyle name="Hyperlink 2" xfId="8" xr:uid="{FB7051B7-2785-4C54-8A80-13D465A3DF13}"/>
    <cellStyle name="Normal" xfId="0" builtinId="0"/>
    <cellStyle name="Normal 2" xfId="2" xr:uid="{5EC58A5F-EF16-45E3-821A-7DA5712F027B}"/>
    <cellStyle name="Normal 20" xfId="7" xr:uid="{DB417CB5-926F-464B-A414-6984F59E9E22}"/>
    <cellStyle name="Percent" xfId="1" builtinId="5"/>
    <cellStyle name="Percent 3" xfId="6" xr:uid="{B1FEAE56-EE60-4A4C-8224-31C0C35B2067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2EECCC69-8F44-4212-B62F-3FF8D1D17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32ECEC98-9A36-4577-9148-9EDAC9E48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EBA6-74D6-44CD-B669-CE5AD0B1AFCC}">
  <dimension ref="A1:II107"/>
  <sheetViews>
    <sheetView tabSelected="1" zoomScale="60" zoomScaleNormal="60" workbookViewId="0">
      <selection activeCell="V96" sqref="V96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26.6539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81567578.206191212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0.64718483974202645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25100</v>
      </c>
      <c r="O9" s="37">
        <v>432975</v>
      </c>
      <c r="P9" s="48">
        <f t="shared" ref="P9:P17" si="5">(R9)/J9</f>
        <v>2.3177304347826087E-2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3044097.1932780943</v>
      </c>
      <c r="E10" s="39">
        <f t="shared" si="1"/>
        <v>2535533.1931223436</v>
      </c>
      <c r="F10" s="40" t="s">
        <v>34</v>
      </c>
      <c r="G10" s="41">
        <v>3.1600000000000003E-2</v>
      </c>
      <c r="H10" s="42">
        <v>4.9183999999999999E-2</v>
      </c>
      <c r="I10" s="43">
        <v>4.9856999999999999E-2</v>
      </c>
      <c r="J10" s="44">
        <f t="shared" ref="J10:J17" si="7">I10/$J$5</f>
        <v>1.8705330176822152E-3</v>
      </c>
      <c r="K10" s="45">
        <f t="shared" si="2"/>
        <v>1.55803125E-3</v>
      </c>
      <c r="L10" s="46">
        <f t="shared" si="3"/>
        <v>6.7299999999999999E-4</v>
      </c>
      <c r="M10" s="46">
        <f t="shared" si="4"/>
        <v>1.368331164606376</v>
      </c>
      <c r="N10" s="51">
        <v>14700</v>
      </c>
      <c r="O10" s="37">
        <v>732.9</v>
      </c>
      <c r="P10" s="52">
        <f t="shared" si="5"/>
        <v>0</v>
      </c>
      <c r="Q10" s="49">
        <f t="shared" si="6"/>
        <v>0.5777531645569618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3565803.7128712875</v>
      </c>
      <c r="E11" s="39">
        <f t="shared" si="1"/>
        <v>2970080.4869531249</v>
      </c>
      <c r="F11" s="40" t="s">
        <v>39</v>
      </c>
      <c r="G11" s="41">
        <v>7.8E-2</v>
      </c>
      <c r="H11" s="42">
        <v>0.24</v>
      </c>
      <c r="I11" s="43">
        <v>0.2175</v>
      </c>
      <c r="J11" s="44">
        <f t="shared" si="7"/>
        <v>8.1601566750081605E-3</v>
      </c>
      <c r="K11" s="45">
        <f t="shared" si="2"/>
        <v>6.796875E-3</v>
      </c>
      <c r="L11" s="46">
        <f t="shared" si="3"/>
        <v>-2.2499999999999992E-2</v>
      </c>
      <c r="M11" s="46">
        <f t="shared" si="4"/>
        <v>-9.3749999999999964</v>
      </c>
      <c r="N11" s="51">
        <v>800</v>
      </c>
      <c r="O11" s="37">
        <v>174</v>
      </c>
      <c r="P11" s="52">
        <f t="shared" si="5"/>
        <v>0</v>
      </c>
      <c r="Q11" s="49">
        <f t="shared" si="6"/>
        <v>1.7884615384615383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131601675.17699099</v>
      </c>
      <c r="E12" s="39">
        <f t="shared" si="1"/>
        <v>109615559.0625</v>
      </c>
      <c r="F12" s="40" t="s">
        <v>34</v>
      </c>
      <c r="G12" s="41">
        <v>97.381</v>
      </c>
      <c r="H12" s="42">
        <v>179.99950000000001</v>
      </c>
      <c r="I12" s="43">
        <v>170</v>
      </c>
      <c r="J12" s="44">
        <f t="shared" si="7"/>
        <v>6.3780534931098263</v>
      </c>
      <c r="K12" s="45">
        <f t="shared" si="2"/>
        <v>5.3125</v>
      </c>
      <c r="L12" s="46">
        <f t="shared" si="3"/>
        <v>-9.9995000000000118</v>
      </c>
      <c r="M12" s="46">
        <f t="shared" si="4"/>
        <v>-5.5552932091478091</v>
      </c>
      <c r="N12" s="51">
        <v>3700</v>
      </c>
      <c r="O12" s="37">
        <v>629000</v>
      </c>
      <c r="P12" s="52">
        <f t="shared" si="5"/>
        <v>0</v>
      </c>
      <c r="Q12" s="49">
        <f t="shared" si="6"/>
        <v>0.74572041774062692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8193086.1900134692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0.9379490431043862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1600</v>
      </c>
      <c r="O13" s="37">
        <v>40000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808290928.80591583</v>
      </c>
      <c r="E14" s="39">
        <f t="shared" si="1"/>
        <v>673253299.60312498</v>
      </c>
      <c r="F14" s="40" t="s">
        <v>47</v>
      </c>
      <c r="G14" s="41">
        <v>11.5</v>
      </c>
      <c r="H14" s="42">
        <v>48</v>
      </c>
      <c r="I14" s="43">
        <v>41.22</v>
      </c>
      <c r="J14" s="44">
        <f t="shared" si="7"/>
        <v>1.5464903822705121</v>
      </c>
      <c r="K14" s="45">
        <f t="shared" si="2"/>
        <v>1.288125</v>
      </c>
      <c r="L14" s="46">
        <f t="shared" si="3"/>
        <v>-6.7800000000000011</v>
      </c>
      <c r="M14" s="46">
        <f t="shared" si="4"/>
        <v>-14.125000000000002</v>
      </c>
      <c r="N14" s="51">
        <v>400</v>
      </c>
      <c r="O14" s="37">
        <v>16488</v>
      </c>
      <c r="P14" s="52">
        <f t="shared" si="5"/>
        <v>0</v>
      </c>
      <c r="Q14" s="49">
        <f t="shared" si="6"/>
        <v>2.5843478260869563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27451218.677191708</v>
      </c>
      <c r="E15" s="39">
        <f t="shared" si="1"/>
        <v>22865063.671875</v>
      </c>
      <c r="F15" s="40" t="s">
        <v>34</v>
      </c>
      <c r="G15" s="41">
        <v>5.39</v>
      </c>
      <c r="H15" s="42">
        <v>6.9</v>
      </c>
      <c r="I15" s="43">
        <v>6.9</v>
      </c>
      <c r="J15" s="44">
        <f t="shared" si="7"/>
        <v>0.25887393589681063</v>
      </c>
      <c r="K15" s="45">
        <f t="shared" si="2"/>
        <v>0.21562500000000001</v>
      </c>
      <c r="L15" s="46">
        <f t="shared" si="3"/>
        <v>0</v>
      </c>
      <c r="M15" s="46">
        <f t="shared" si="4"/>
        <v>0</v>
      </c>
      <c r="N15" s="51">
        <v>500</v>
      </c>
      <c r="O15" s="37">
        <v>3450</v>
      </c>
      <c r="P15" s="52">
        <f t="shared" si="5"/>
        <v>0</v>
      </c>
      <c r="Q15" s="49">
        <f t="shared" si="6"/>
        <v>0.28014842300556597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77326850.240628719</v>
      </c>
      <c r="E16" s="39">
        <f t="shared" si="1"/>
        <v>64408191.675896689</v>
      </c>
      <c r="F16" s="40" t="s">
        <v>34</v>
      </c>
      <c r="G16" s="41">
        <v>1.9</v>
      </c>
      <c r="H16" s="42">
        <v>5.74</v>
      </c>
      <c r="I16" s="43">
        <v>5.7571430000000001</v>
      </c>
      <c r="J16" s="44">
        <f t="shared" si="7"/>
        <v>0.21599627071460462</v>
      </c>
      <c r="K16" s="45">
        <f t="shared" si="2"/>
        <v>0.17991071875</v>
      </c>
      <c r="L16" s="46">
        <f t="shared" si="3"/>
        <v>1.7142999999999908E-2</v>
      </c>
      <c r="M16" s="46">
        <f t="shared" si="4"/>
        <v>0.29865853658536423</v>
      </c>
      <c r="N16" s="51">
        <v>700</v>
      </c>
      <c r="O16" s="37">
        <v>4030</v>
      </c>
      <c r="P16" s="52">
        <f t="shared" si="5"/>
        <v>0.23148547812691123</v>
      </c>
      <c r="Q16" s="49">
        <f t="shared" si="6"/>
        <v>2.0300752631578951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1463678935.6217477</v>
      </c>
      <c r="E17" s="39">
        <f t="shared" si="1"/>
        <v>1219148499.4427657</v>
      </c>
      <c r="F17" s="40" t="s">
        <v>34</v>
      </c>
      <c r="G17" s="41">
        <v>20.701700000000002</v>
      </c>
      <c r="H17" s="42">
        <v>29.8171</v>
      </c>
      <c r="I17" s="43">
        <v>28.946300000000001</v>
      </c>
      <c r="J17" s="44">
        <f t="shared" si="7"/>
        <v>1.0860061754564998</v>
      </c>
      <c r="K17" s="45">
        <f t="shared" si="2"/>
        <v>0.90457187500000003</v>
      </c>
      <c r="L17" s="46">
        <f t="shared" si="3"/>
        <v>-0.87079999999999913</v>
      </c>
      <c r="M17" s="46">
        <f t="shared" si="4"/>
        <v>-2.9204718098004139</v>
      </c>
      <c r="N17" s="51">
        <v>49700</v>
      </c>
      <c r="O17" s="37">
        <v>1438629.55</v>
      </c>
      <c r="P17" s="48">
        <f t="shared" si="5"/>
        <v>0</v>
      </c>
      <c r="Q17" s="49">
        <f t="shared" si="6"/>
        <v>0.3982571479636936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338098922.14581728</v>
      </c>
      <c r="E19" s="39">
        <f t="shared" si="1"/>
        <v>281614214.40569997</v>
      </c>
      <c r="F19" s="40" t="s">
        <v>47</v>
      </c>
      <c r="G19" s="41">
        <v>12.45</v>
      </c>
      <c r="H19" s="42">
        <v>13.411199999999999</v>
      </c>
      <c r="I19" s="43">
        <v>13.411199999999999</v>
      </c>
      <c r="J19" s="44">
        <f t="shared" ref="J19:J45" si="8">I19/$J$5</f>
        <v>0.50316088827526173</v>
      </c>
      <c r="K19" s="45">
        <f t="shared" ref="K19:K45" si="9">I19/$K$4</f>
        <v>0.41909999999999997</v>
      </c>
      <c r="L19" s="46">
        <f t="shared" ref="L19:L29" si="10">I19-H19</f>
        <v>0</v>
      </c>
      <c r="M19" s="46">
        <f>((I19-H19)/H19)*100</f>
        <v>0</v>
      </c>
      <c r="N19" s="51">
        <v>0</v>
      </c>
      <c r="O19" s="37">
        <v>0</v>
      </c>
      <c r="P19" s="52">
        <f>(R19)/J19</f>
        <v>0</v>
      </c>
      <c r="Q19" s="49">
        <f t="shared" ref="Q19:Q29" si="11">I19/G19-1</f>
        <v>7.7204819277108427E-2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3759653.4736004863</v>
      </c>
      <c r="E20" s="39">
        <f t="shared" si="1"/>
        <v>3131544.61625</v>
      </c>
      <c r="F20" s="40" t="s">
        <v>47</v>
      </c>
      <c r="G20" s="41">
        <v>0.35</v>
      </c>
      <c r="H20" s="42">
        <v>0.92</v>
      </c>
      <c r="I20" s="43">
        <v>0.92</v>
      </c>
      <c r="J20" s="44">
        <f t="shared" si="8"/>
        <v>3.4516524786241412E-2</v>
      </c>
      <c r="K20" s="45">
        <f t="shared" si="9"/>
        <v>2.8750000000000001E-2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1.628571428571429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77325209.040096939</v>
      </c>
      <c r="E21" s="39">
        <f t="shared" si="1"/>
        <v>64406824.6635575</v>
      </c>
      <c r="F21" s="40" t="s">
        <v>47</v>
      </c>
      <c r="G21" s="41">
        <v>2.85</v>
      </c>
      <c r="H21" s="42">
        <v>3.35</v>
      </c>
      <c r="I21" s="43">
        <v>2.986364</v>
      </c>
      <c r="J21" s="44">
        <f t="shared" si="8"/>
        <v>0.11204229024645548</v>
      </c>
      <c r="K21" s="45">
        <f t="shared" si="9"/>
        <v>9.3323875000000001E-2</v>
      </c>
      <c r="L21" s="46">
        <f t="shared" si="10"/>
        <v>-0.36363600000000007</v>
      </c>
      <c r="M21" s="46">
        <f>((I21-H21)/H21)*100</f>
        <v>-10.854805970149256</v>
      </c>
      <c r="N21" s="51">
        <v>1100</v>
      </c>
      <c r="O21" s="37">
        <v>3285</v>
      </c>
      <c r="P21" s="52">
        <f>(R21)/J21</f>
        <v>0</v>
      </c>
      <c r="Q21" s="49">
        <f t="shared" si="11"/>
        <v>4.7847017543859671E-2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1731327.1820634126</v>
      </c>
      <c r="E23" s="39">
        <f t="shared" si="1"/>
        <v>1442081.9243124998</v>
      </c>
      <c r="F23" s="40" t="s">
        <v>44</v>
      </c>
      <c r="G23" s="41">
        <v>0.1</v>
      </c>
      <c r="H23" s="42">
        <v>8.5999999999999993E-2</v>
      </c>
      <c r="I23" s="43">
        <v>8.5999999999999993E-2</v>
      </c>
      <c r="J23" s="44">
        <f t="shared" si="8"/>
        <v>3.2265447082790882E-3</v>
      </c>
      <c r="K23" s="45">
        <f t="shared" si="9"/>
        <v>2.6874999999999998E-3</v>
      </c>
      <c r="L23" s="46">
        <f t="shared" si="10"/>
        <v>0</v>
      </c>
      <c r="M23" s="46">
        <f t="shared" ref="M23:M29" si="12">((I23-H23)/H23)*100</f>
        <v>0</v>
      </c>
      <c r="N23" s="51">
        <v>0</v>
      </c>
      <c r="O23" s="37">
        <v>0</v>
      </c>
      <c r="P23" s="52">
        <f t="shared" ref="P23:P29" si="13">(R23)/J23</f>
        <v>0</v>
      </c>
      <c r="Q23" s="49">
        <f t="shared" si="11"/>
        <v>-0.14000000000000012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77365660.986992523</v>
      </c>
      <c r="E24" s="39">
        <f t="shared" si="1"/>
        <v>64440518.480662495</v>
      </c>
      <c r="F24" s="40" t="s">
        <v>34</v>
      </c>
      <c r="G24" s="41">
        <v>8.1687659999999997</v>
      </c>
      <c r="H24" s="42">
        <v>10.683299999999999</v>
      </c>
      <c r="I24" s="43">
        <v>10.683299999999999</v>
      </c>
      <c r="J24" s="44">
        <f t="shared" si="8"/>
        <v>0.40081564048788354</v>
      </c>
      <c r="K24" s="45">
        <f t="shared" si="9"/>
        <v>0.33385312499999997</v>
      </c>
      <c r="L24" s="46">
        <f t="shared" si="10"/>
        <v>0</v>
      </c>
      <c r="M24" s="46">
        <f t="shared" si="12"/>
        <v>0</v>
      </c>
      <c r="N24" s="51">
        <v>0</v>
      </c>
      <c r="O24" s="37">
        <v>0</v>
      </c>
      <c r="P24" s="48">
        <f t="shared" si="13"/>
        <v>3.7423689309483026E-2</v>
      </c>
      <c r="Q24" s="49">
        <f t="shared" si="11"/>
        <v>0.30782299309344885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107635010.83518736</v>
      </c>
      <c r="E25" s="39">
        <f t="shared" si="1"/>
        <v>89652900.478124991</v>
      </c>
      <c r="F25" s="40" t="s">
        <v>66</v>
      </c>
      <c r="G25" s="41">
        <v>1.6675</v>
      </c>
      <c r="H25" s="42">
        <v>1.7</v>
      </c>
      <c r="I25" s="43">
        <v>1.7</v>
      </c>
      <c r="J25" s="44">
        <f t="shared" si="8"/>
        <v>6.3780534931098268E-2</v>
      </c>
      <c r="K25" s="45">
        <f t="shared" si="9"/>
        <v>5.3124999999999999E-2</v>
      </c>
      <c r="L25" s="46">
        <f t="shared" si="10"/>
        <v>0</v>
      </c>
      <c r="M25" s="46">
        <f t="shared" si="12"/>
        <v>0</v>
      </c>
      <c r="N25" s="51">
        <v>0</v>
      </c>
      <c r="O25" s="37">
        <v>0</v>
      </c>
      <c r="P25" s="52">
        <f t="shared" si="13"/>
        <v>0</v>
      </c>
      <c r="Q25" s="49">
        <f t="shared" si="11"/>
        <v>1.9490254872563728E-2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20874651.19324553</v>
      </c>
      <c r="E26" s="39">
        <f t="shared" si="1"/>
        <v>17387214.544988971</v>
      </c>
      <c r="F26" s="40" t="s">
        <v>44</v>
      </c>
      <c r="G26" s="41">
        <v>1.7994999999999999</v>
      </c>
      <c r="H26" s="42">
        <v>2.5911110000000002</v>
      </c>
      <c r="I26" s="43">
        <v>2.3242210000000001</v>
      </c>
      <c r="J26" s="44">
        <f t="shared" si="8"/>
        <v>8.7200034516524791E-2</v>
      </c>
      <c r="K26" s="45">
        <f t="shared" si="9"/>
        <v>7.2631906250000003E-2</v>
      </c>
      <c r="L26" s="46">
        <f t="shared" si="10"/>
        <v>-0.26689000000000007</v>
      </c>
      <c r="M26" s="46">
        <f t="shared" si="12"/>
        <v>-10.300214849923451</v>
      </c>
      <c r="N26" s="51">
        <v>537000</v>
      </c>
      <c r="O26" s="37">
        <v>1248106.5</v>
      </c>
      <c r="P26" s="52">
        <f t="shared" si="13"/>
        <v>0</v>
      </c>
      <c r="Q26" s="49">
        <f t="shared" si="11"/>
        <v>0.29159266462906386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23997581.910602987</v>
      </c>
      <c r="E27" s="39">
        <f t="shared" si="1"/>
        <v>19988410.890219405</v>
      </c>
      <c r="F27" s="40" t="s">
        <v>34</v>
      </c>
      <c r="G27" s="41">
        <v>3.1361369999999997</v>
      </c>
      <c r="H27" s="42">
        <v>2.42</v>
      </c>
      <c r="I27" s="43">
        <v>2.4970810000000001</v>
      </c>
      <c r="J27" s="44">
        <f t="shared" si="8"/>
        <v>9.3685389380165754E-2</v>
      </c>
      <c r="K27" s="45">
        <f t="shared" si="9"/>
        <v>7.8033781250000003E-2</v>
      </c>
      <c r="L27" s="46">
        <f t="shared" si="10"/>
        <v>7.7081000000000177E-2</v>
      </c>
      <c r="M27" s="46">
        <f t="shared" si="12"/>
        <v>3.1851652892562061</v>
      </c>
      <c r="N27" s="51">
        <v>16100</v>
      </c>
      <c r="O27" s="37">
        <v>40203</v>
      </c>
      <c r="P27" s="52">
        <f t="shared" si="13"/>
        <v>0</v>
      </c>
      <c r="Q27" s="49">
        <f t="shared" si="11"/>
        <v>-0.20377171022822016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24948331.346632201</v>
      </c>
      <c r="E28" s="39">
        <f t="shared" si="1"/>
        <v>20780322.7775</v>
      </c>
      <c r="F28" s="40" t="s">
        <v>44</v>
      </c>
      <c r="G28" s="41">
        <v>0.8</v>
      </c>
      <c r="H28" s="42">
        <v>0.87267700000000004</v>
      </c>
      <c r="I28" s="43">
        <v>0.88</v>
      </c>
      <c r="J28" s="44">
        <f t="shared" si="8"/>
        <v>3.3015806317274396E-2</v>
      </c>
      <c r="K28" s="45">
        <f t="shared" si="9"/>
        <v>2.75E-2</v>
      </c>
      <c r="L28" s="46">
        <f t="shared" si="10"/>
        <v>7.3229999999999684E-3</v>
      </c>
      <c r="M28" s="46">
        <f t="shared" si="12"/>
        <v>0.83914208808069524</v>
      </c>
      <c r="N28" s="51">
        <v>3100</v>
      </c>
      <c r="O28" s="37">
        <v>2728</v>
      </c>
      <c r="P28" s="52">
        <f t="shared" si="13"/>
        <v>0</v>
      </c>
      <c r="Q28" s="49">
        <f t="shared" si="11"/>
        <v>9.9999999999999867E-2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114751413.43593244</v>
      </c>
      <c r="E29" s="39">
        <f t="shared" si="1"/>
        <v>95580396.830624998</v>
      </c>
      <c r="F29" s="40" t="s">
        <v>47</v>
      </c>
      <c r="G29" s="41">
        <v>5.15</v>
      </c>
      <c r="H29" s="42">
        <v>5.9524159999999995</v>
      </c>
      <c r="I29" s="43">
        <v>6.81</v>
      </c>
      <c r="J29" s="44">
        <f t="shared" si="8"/>
        <v>0.25549731934163478</v>
      </c>
      <c r="K29" s="45">
        <f t="shared" si="9"/>
        <v>0.21281249999999999</v>
      </c>
      <c r="L29" s="46">
        <f t="shared" si="10"/>
        <v>0.85758400000000012</v>
      </c>
      <c r="M29" s="46">
        <f t="shared" si="12"/>
        <v>14.407326369662337</v>
      </c>
      <c r="N29" s="51">
        <v>100</v>
      </c>
      <c r="O29" s="37">
        <v>681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15046960.860433558</v>
      </c>
      <c r="E31" s="39">
        <f t="shared" si="1"/>
        <v>12533130.939934688</v>
      </c>
      <c r="F31" s="40" t="s">
        <v>39</v>
      </c>
      <c r="G31" s="41">
        <v>1.4</v>
      </c>
      <c r="H31" s="42">
        <v>1.5433330000000001</v>
      </c>
      <c r="I31" s="43">
        <v>1.5433330000000001</v>
      </c>
      <c r="J31" s="44">
        <f t="shared" si="8"/>
        <v>5.7902708421656873E-2</v>
      </c>
      <c r="K31" s="45">
        <f t="shared" si="9"/>
        <v>4.8229156250000002E-2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0.10238071428571449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4486731.0449877875</v>
      </c>
      <c r="E32" s="39">
        <f t="shared" si="1"/>
        <v>3737152.5187499998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3.6767602489691936E-2</v>
      </c>
      <c r="K32" s="45">
        <f t="shared" si="9"/>
        <v>3.0624999999999999E-2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154482745.3374553</v>
      </c>
      <c r="E33" s="39">
        <f t="shared" si="1"/>
        <v>128673988.93593749</v>
      </c>
      <c r="F33" s="40" t="s">
        <v>92</v>
      </c>
      <c r="G33" s="41">
        <v>1.44</v>
      </c>
      <c r="H33" s="42">
        <v>1.65</v>
      </c>
      <c r="I33" s="43">
        <v>1.65</v>
      </c>
      <c r="J33" s="44">
        <f t="shared" si="8"/>
        <v>6.1904636844889484E-2</v>
      </c>
      <c r="K33" s="45">
        <f t="shared" si="9"/>
        <v>5.1562499999999997E-2</v>
      </c>
      <c r="L33" s="46">
        <f t="shared" si="14"/>
        <v>0</v>
      </c>
      <c r="M33" s="46">
        <f t="shared" si="15"/>
        <v>0</v>
      </c>
      <c r="N33" s="51">
        <v>0</v>
      </c>
      <c r="O33" s="37">
        <v>0</v>
      </c>
      <c r="P33" s="52">
        <f t="shared" si="16"/>
        <v>0</v>
      </c>
      <c r="Q33" s="49">
        <f t="shared" si="17"/>
        <v>0.14583333333333326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39965181.818406202</v>
      </c>
      <c r="E34" s="39">
        <f t="shared" si="1"/>
        <v>33288373.739675533</v>
      </c>
      <c r="F34" s="40" t="s">
        <v>34</v>
      </c>
      <c r="G34" s="41">
        <v>3.6056249999999999</v>
      </c>
      <c r="H34" s="42">
        <v>4.9013290000000005</v>
      </c>
      <c r="I34" s="43">
        <v>4.2021990000000002</v>
      </c>
      <c r="J34" s="44">
        <f t="shared" si="8"/>
        <v>0.15765794123936835</v>
      </c>
      <c r="K34" s="45">
        <f t="shared" si="9"/>
        <v>0.13131871875000001</v>
      </c>
      <c r="L34" s="46">
        <f t="shared" si="14"/>
        <v>-0.69913000000000025</v>
      </c>
      <c r="M34" s="46">
        <f t="shared" si="15"/>
        <v>-14.264090413028796</v>
      </c>
      <c r="N34" s="51">
        <v>232300</v>
      </c>
      <c r="O34" s="37">
        <v>976170.75</v>
      </c>
      <c r="P34" s="52">
        <f t="shared" si="16"/>
        <v>0</v>
      </c>
      <c r="Q34" s="49">
        <f t="shared" si="17"/>
        <v>0.16545647425897037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7964761.0495028486</v>
      </c>
      <c r="E35" s="39">
        <f t="shared" si="1"/>
        <v>6634123.2667919993</v>
      </c>
      <c r="F35" s="40" t="s">
        <v>34</v>
      </c>
      <c r="G35" s="41">
        <v>2.5099999999999997E-2</v>
      </c>
      <c r="H35" s="42">
        <v>4.4999999999999998E-2</v>
      </c>
      <c r="I35" s="43">
        <v>4.5023999999999995E-2</v>
      </c>
      <c r="J35" s="44">
        <f t="shared" si="8"/>
        <v>1.6892087086692752E-3</v>
      </c>
      <c r="K35" s="45">
        <f t="shared" si="9"/>
        <v>1.4069999999999998E-3</v>
      </c>
      <c r="L35" s="46">
        <f t="shared" si="14"/>
        <v>2.3999999999996247E-5</v>
      </c>
      <c r="M35" s="46">
        <f t="shared" si="15"/>
        <v>5.3333333333324996E-2</v>
      </c>
      <c r="N35" s="51">
        <v>978500</v>
      </c>
      <c r="O35" s="37">
        <v>44055.5</v>
      </c>
      <c r="P35" s="52">
        <f t="shared" si="16"/>
        <v>0</v>
      </c>
      <c r="Q35" s="49">
        <f t="shared" si="17"/>
        <v>0.79378486055776887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81756426.674895614</v>
      </c>
      <c r="E36" s="39">
        <f t="shared" si="1"/>
        <v>68097738.154687509</v>
      </c>
      <c r="F36" s="40" t="s">
        <v>92</v>
      </c>
      <c r="G36" s="41">
        <v>0.61</v>
      </c>
      <c r="H36" s="42">
        <v>4.1533329999999999</v>
      </c>
      <c r="I36" s="43">
        <v>4.1500000000000004</v>
      </c>
      <c r="J36" s="44">
        <f t="shared" si="8"/>
        <v>0.15569954115532814</v>
      </c>
      <c r="K36" s="45">
        <f t="shared" si="9"/>
        <v>0.12968750000000001</v>
      </c>
      <c r="L36" s="46">
        <f t="shared" si="14"/>
        <v>-3.3329999999995863E-3</v>
      </c>
      <c r="M36" s="46">
        <f t="shared" si="15"/>
        <v>-8.0248802588176446E-2</v>
      </c>
      <c r="N36" s="51">
        <v>600</v>
      </c>
      <c r="O36" s="37">
        <v>2490</v>
      </c>
      <c r="P36" s="52">
        <f t="shared" si="16"/>
        <v>0</v>
      </c>
      <c r="Q36" s="49">
        <f t="shared" si="17"/>
        <v>5.8032786885245908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48940699.364035249</v>
      </c>
      <c r="E37" s="39">
        <f t="shared" si="1"/>
        <v>40764390.836845592</v>
      </c>
      <c r="F37" s="40" t="s">
        <v>56</v>
      </c>
      <c r="G37" s="41">
        <v>0.11650199999999999</v>
      </c>
      <c r="H37" s="42">
        <v>0.29481600000000002</v>
      </c>
      <c r="I37" s="43">
        <v>0.310971</v>
      </c>
      <c r="J37" s="44">
        <f t="shared" si="8"/>
        <v>1.1666998075328564E-2</v>
      </c>
      <c r="K37" s="45">
        <f t="shared" si="9"/>
        <v>9.7178437499999999E-3</v>
      </c>
      <c r="L37" s="46">
        <f t="shared" si="14"/>
        <v>1.6154999999999975E-2</v>
      </c>
      <c r="M37" s="46">
        <f t="shared" si="15"/>
        <v>5.4796890263757643</v>
      </c>
      <c r="N37" s="51">
        <v>87600</v>
      </c>
      <c r="O37" s="37">
        <v>27241.1</v>
      </c>
      <c r="P37" s="52">
        <v>0</v>
      </c>
      <c r="Q37" s="49">
        <f t="shared" si="17"/>
        <v>1.6692331462120822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22506499.362607352</v>
      </c>
      <c r="E38" s="39">
        <f t="shared" si="1"/>
        <v>18746436.980031252</v>
      </c>
      <c r="F38" s="40" t="s">
        <v>39</v>
      </c>
      <c r="G38" s="41">
        <v>0.1</v>
      </c>
      <c r="H38" s="42">
        <v>0.14000000000000001</v>
      </c>
      <c r="I38" s="43">
        <v>0.13900000000000001</v>
      </c>
      <c r="J38" s="44">
        <f t="shared" si="8"/>
        <v>5.2149966796603883E-3</v>
      </c>
      <c r="K38" s="45">
        <f t="shared" si="9"/>
        <v>4.3437500000000004E-3</v>
      </c>
      <c r="L38" s="46">
        <f t="shared" si="14"/>
        <v>-1.0000000000000009E-3</v>
      </c>
      <c r="M38" s="46">
        <f t="shared" si="15"/>
        <v>-0.71428571428571486</v>
      </c>
      <c r="N38" s="51">
        <v>100</v>
      </c>
      <c r="O38" s="37">
        <v>13.9</v>
      </c>
      <c r="P38" s="52">
        <f t="shared" ref="P38:P44" si="18">(R38)/J38</f>
        <v>0</v>
      </c>
      <c r="Q38" s="49">
        <f t="shared" si="17"/>
        <v>0.39000000000000012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7989392.6967535708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7.5035923448350902E-2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4709513.4601990702</v>
      </c>
      <c r="E40" s="39">
        <f t="shared" si="1"/>
        <v>3922715.6505249999</v>
      </c>
      <c r="F40" s="40" t="s">
        <v>39</v>
      </c>
      <c r="G40" s="41">
        <v>0.03</v>
      </c>
      <c r="H40" s="42">
        <v>7.0388000000000006E-2</v>
      </c>
      <c r="I40" s="43">
        <v>7.0599999999999996E-2</v>
      </c>
      <c r="J40" s="44">
        <f t="shared" si="8"/>
        <v>2.6487680977267864E-3</v>
      </c>
      <c r="K40" s="45">
        <f t="shared" si="9"/>
        <v>2.2062499999999999E-3</v>
      </c>
      <c r="L40" s="46">
        <f t="shared" si="14"/>
        <v>2.1199999999998997E-4</v>
      </c>
      <c r="M40" s="46">
        <f t="shared" si="15"/>
        <v>0.3011877024492669</v>
      </c>
      <c r="N40" s="51">
        <v>44500</v>
      </c>
      <c r="O40" s="37">
        <v>3141.7</v>
      </c>
      <c r="P40" s="52">
        <f t="shared" si="18"/>
        <v>0</v>
      </c>
      <c r="Q40" s="49">
        <f t="shared" si="17"/>
        <v>1.3533333333333335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46009570.606928065</v>
      </c>
      <c r="E41" s="39">
        <f t="shared" si="1"/>
        <v>38322952.9375</v>
      </c>
      <c r="F41" s="40" t="s">
        <v>47</v>
      </c>
      <c r="G41" s="41">
        <v>4.5</v>
      </c>
      <c r="H41" s="42">
        <v>6.81</v>
      </c>
      <c r="I41" s="43">
        <v>7</v>
      </c>
      <c r="J41" s="44">
        <f t="shared" si="8"/>
        <v>0.26262573206922812</v>
      </c>
      <c r="K41" s="45">
        <f t="shared" si="9"/>
        <v>0.21875</v>
      </c>
      <c r="L41" s="46">
        <f t="shared" si="14"/>
        <v>0.19000000000000039</v>
      </c>
      <c r="M41" s="46">
        <f t="shared" si="15"/>
        <v>2.7900146842878182</v>
      </c>
      <c r="N41" s="51">
        <v>4000</v>
      </c>
      <c r="O41" s="37">
        <v>28000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312.90272335380564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6.753233110351581E-7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1555944.9086250043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2.7012932441406326E-3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47607032.071252912</v>
      </c>
      <c r="E44" s="39">
        <f t="shared" si="1"/>
        <v>39653533.503873996</v>
      </c>
      <c r="F44" s="40" t="s">
        <v>47</v>
      </c>
      <c r="G44" s="41">
        <v>0.9998999999999999</v>
      </c>
      <c r="H44" s="42">
        <v>0.69788799999999995</v>
      </c>
      <c r="I44" s="43">
        <v>0.69788799999999995</v>
      </c>
      <c r="J44" s="44">
        <f t="shared" si="8"/>
        <v>2.6183335271761355E-2</v>
      </c>
      <c r="K44" s="45">
        <f t="shared" si="9"/>
        <v>2.1808999999999999E-2</v>
      </c>
      <c r="L44" s="46">
        <f t="shared" si="14"/>
        <v>0</v>
      </c>
      <c r="M44" s="46">
        <f t="shared" si="15"/>
        <v>0</v>
      </c>
      <c r="N44" s="51">
        <v>0</v>
      </c>
      <c r="O44" s="37">
        <v>0</v>
      </c>
      <c r="P44" s="52">
        <f t="shared" si="18"/>
        <v>0</v>
      </c>
      <c r="Q44" s="49">
        <f t="shared" si="17"/>
        <v>-0.30204220422042205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14643544.697023699</v>
      </c>
      <c r="E45" s="39">
        <f t="shared" si="1"/>
        <v>12197111.75</v>
      </c>
      <c r="F45" s="40" t="s">
        <v>47</v>
      </c>
      <c r="G45" s="41">
        <v>1.4503460000000001</v>
      </c>
      <c r="H45" s="42">
        <v>3.335</v>
      </c>
      <c r="I45" s="43">
        <v>3.8</v>
      </c>
      <c r="J45" s="44">
        <f t="shared" si="8"/>
        <v>0.1425682545518667</v>
      </c>
      <c r="K45" s="45">
        <f t="shared" si="9"/>
        <v>0.11874999999999999</v>
      </c>
      <c r="L45" s="46">
        <f t="shared" si="14"/>
        <v>0.46499999999999986</v>
      </c>
      <c r="M45" s="46">
        <f t="shared" si="15"/>
        <v>13.943028485757116</v>
      </c>
      <c r="N45" s="51">
        <v>100</v>
      </c>
      <c r="O45" s="37">
        <v>380</v>
      </c>
      <c r="P45" s="52">
        <v>0</v>
      </c>
      <c r="Q45" s="49">
        <f t="shared" si="17"/>
        <v>1.6200644535855577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2002300</v>
      </c>
      <c r="O47" s="62">
        <f>SUM(O9:O45)</f>
        <v>4941975.9000000004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5" si="19">C50*J50</f>
        <v>77744335.150800005</v>
      </c>
      <c r="E50" s="39">
        <v>0</v>
      </c>
      <c r="F50" s="40" t="s">
        <v>92</v>
      </c>
      <c r="G50" s="71">
        <v>0.1</v>
      </c>
      <c r="H50" s="42">
        <v>0.14000000000000001</v>
      </c>
      <c r="I50" s="42">
        <v>0.1401</v>
      </c>
      <c r="J50" s="44">
        <f t="shared" ref="J50:J65" si="20">I50</f>
        <v>0.1401</v>
      </c>
      <c r="K50" s="39">
        <v>0</v>
      </c>
      <c r="L50" s="46">
        <f t="shared" ref="L50:L65" si="21">I50-H50</f>
        <v>9.9999999999988987E-5</v>
      </c>
      <c r="M50" s="46">
        <f t="shared" ref="M50:M65" si="22">((I50-H50)/H50)*100</f>
        <v>7.1428571428563556E-2</v>
      </c>
      <c r="N50" s="51">
        <v>4735</v>
      </c>
      <c r="O50" s="37">
        <v>663.33</v>
      </c>
      <c r="P50" s="72">
        <f>(R50)/J50</f>
        <v>0</v>
      </c>
      <c r="Q50" s="49">
        <f t="shared" ref="Q50:Q65" si="23">J50/G50-1</f>
        <v>0.40100000000000002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38051698.633999996</v>
      </c>
      <c r="E51" s="39">
        <v>0</v>
      </c>
      <c r="F51" s="40" t="s">
        <v>39</v>
      </c>
      <c r="G51" s="71">
        <v>39.9</v>
      </c>
      <c r="H51" s="42">
        <v>40</v>
      </c>
      <c r="I51" s="42">
        <v>35.976399999999998</v>
      </c>
      <c r="J51" s="44">
        <f t="shared" si="20"/>
        <v>35.976399999999998</v>
      </c>
      <c r="K51" s="39">
        <v>0</v>
      </c>
      <c r="L51" s="46">
        <f t="shared" si="21"/>
        <v>-4.0236000000000018</v>
      </c>
      <c r="M51" s="46">
        <f t="shared" si="22"/>
        <v>-10.059000000000005</v>
      </c>
      <c r="N51" s="51">
        <v>730</v>
      </c>
      <c r="O51" s="37">
        <v>26262.75</v>
      </c>
      <c r="P51" s="73">
        <f>(R51)/J51</f>
        <v>1.5565759775853061E-2</v>
      </c>
      <c r="Q51" s="49">
        <f t="shared" si="23"/>
        <v>-9.8335839598997499E-2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669047692.19079995</v>
      </c>
      <c r="E52" s="39"/>
      <c r="F52" s="40" t="s">
        <v>56</v>
      </c>
      <c r="G52" s="71">
        <v>0.33</v>
      </c>
      <c r="H52" s="42">
        <v>0.22489999999999999</v>
      </c>
      <c r="I52" s="42">
        <v>0.22359999999999999</v>
      </c>
      <c r="J52" s="44">
        <f t="shared" si="20"/>
        <v>0.22359999999999999</v>
      </c>
      <c r="K52" s="39">
        <v>0</v>
      </c>
      <c r="L52" s="46">
        <f t="shared" si="21"/>
        <v>-1.2999999999999956E-3</v>
      </c>
      <c r="M52" s="46">
        <f t="shared" si="22"/>
        <v>-0.5780346820809229</v>
      </c>
      <c r="N52" s="51">
        <v>352343</v>
      </c>
      <c r="O52" s="37">
        <v>78780.91</v>
      </c>
      <c r="P52" s="72">
        <v>0</v>
      </c>
      <c r="Q52" s="49">
        <f t="shared" si="23"/>
        <v>-0.3224242424242425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15304497.669300001</v>
      </c>
      <c r="E53" s="39">
        <v>0</v>
      </c>
      <c r="F53" s="40" t="s">
        <v>34</v>
      </c>
      <c r="G53" s="71">
        <v>2.3E-2</v>
      </c>
      <c r="H53" s="42">
        <v>2.63E-2</v>
      </c>
      <c r="I53" s="42">
        <v>2.5100000000000001E-2</v>
      </c>
      <c r="J53" s="44">
        <f t="shared" si="20"/>
        <v>2.5100000000000001E-2</v>
      </c>
      <c r="K53" s="39">
        <v>0</v>
      </c>
      <c r="L53" s="46">
        <f t="shared" si="21"/>
        <v>-1.1999999999999997E-3</v>
      </c>
      <c r="M53" s="46">
        <f t="shared" si="22"/>
        <v>-4.5627376425855504</v>
      </c>
      <c r="N53" s="51">
        <v>3988</v>
      </c>
      <c r="O53" s="37">
        <v>99.91</v>
      </c>
      <c r="P53" s="72">
        <f t="shared" ref="P53:P65" si="24">(R53)/J53</f>
        <v>0</v>
      </c>
      <c r="Q53" s="49">
        <f t="shared" si="23"/>
        <v>9.1304347826087096E-2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329378589.9867</v>
      </c>
      <c r="E54" s="39">
        <v>0</v>
      </c>
      <c r="F54" s="40" t="s">
        <v>47</v>
      </c>
      <c r="G54" s="71">
        <v>9.0200000000000002E-2</v>
      </c>
      <c r="H54" s="42">
        <v>0.15040000000000001</v>
      </c>
      <c r="I54" s="42">
        <v>0.15229999999999999</v>
      </c>
      <c r="J54" s="44">
        <f t="shared" si="20"/>
        <v>0.15229999999999999</v>
      </c>
      <c r="K54" s="39">
        <v>0</v>
      </c>
      <c r="L54" s="46">
        <f t="shared" si="21"/>
        <v>1.899999999999985E-3</v>
      </c>
      <c r="M54" s="74">
        <f t="shared" si="22"/>
        <v>1.2632978723404156</v>
      </c>
      <c r="N54" s="51">
        <v>4816</v>
      </c>
      <c r="O54" s="37">
        <v>733.38</v>
      </c>
      <c r="P54" s="72">
        <f t="shared" si="24"/>
        <v>0</v>
      </c>
      <c r="Q54" s="49">
        <f t="shared" si="23"/>
        <v>0.68847006651884679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866884492.54000008</v>
      </c>
      <c r="E55" s="39">
        <v>0</v>
      </c>
      <c r="F55" s="40" t="s">
        <v>34</v>
      </c>
      <c r="G55" s="71">
        <v>0.95750000000000002</v>
      </c>
      <c r="H55" s="42">
        <v>1.5115000000000001</v>
      </c>
      <c r="I55" s="42">
        <v>1.5052000000000001</v>
      </c>
      <c r="J55" s="44">
        <f t="shared" si="20"/>
        <v>1.5052000000000001</v>
      </c>
      <c r="K55" s="39">
        <v>0</v>
      </c>
      <c r="L55" s="46">
        <f t="shared" si="21"/>
        <v>-6.2999999999999723E-3</v>
      </c>
      <c r="M55" s="46">
        <f t="shared" si="22"/>
        <v>-0.41680449884220788</v>
      </c>
      <c r="N55" s="51">
        <v>2722</v>
      </c>
      <c r="O55" s="37">
        <v>4097.21</v>
      </c>
      <c r="P55" s="73">
        <f t="shared" si="24"/>
        <v>3.1225086367260162E-2</v>
      </c>
      <c r="Q55" s="49">
        <f t="shared" si="23"/>
        <v>0.57201044386422972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22118847.503399998</v>
      </c>
      <c r="E56" s="39">
        <v>0</v>
      </c>
      <c r="F56" s="40" t="s">
        <v>34</v>
      </c>
      <c r="G56" s="71">
        <v>0.1595</v>
      </c>
      <c r="H56" s="42">
        <v>0.13469999999999999</v>
      </c>
      <c r="I56" s="42">
        <v>0.13469999999999999</v>
      </c>
      <c r="J56" s="44">
        <f t="shared" si="20"/>
        <v>0.13469999999999999</v>
      </c>
      <c r="K56" s="39">
        <v>0</v>
      </c>
      <c r="L56" s="46">
        <f t="shared" si="21"/>
        <v>0</v>
      </c>
      <c r="M56" s="46">
        <f t="shared" si="22"/>
        <v>0</v>
      </c>
      <c r="N56" s="51">
        <v>0</v>
      </c>
      <c r="O56" s="37">
        <v>0</v>
      </c>
      <c r="P56" s="72">
        <f t="shared" si="24"/>
        <v>0</v>
      </c>
      <c r="Q56" s="49">
        <f t="shared" si="23"/>
        <v>-0.15548589341692798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22795886.920000002</v>
      </c>
      <c r="E57" s="39">
        <v>0</v>
      </c>
      <c r="F57" s="40" t="s">
        <v>92</v>
      </c>
      <c r="G57" s="71">
        <v>1.6799999999999999E-2</v>
      </c>
      <c r="H57" s="42">
        <v>2.1999999999999999E-2</v>
      </c>
      <c r="I57" s="42">
        <v>2.3900000000000001E-2</v>
      </c>
      <c r="J57" s="44">
        <f t="shared" si="20"/>
        <v>2.3900000000000001E-2</v>
      </c>
      <c r="K57" s="39">
        <v>0</v>
      </c>
      <c r="L57" s="46">
        <f t="shared" si="21"/>
        <v>1.9000000000000024E-3</v>
      </c>
      <c r="M57" s="74">
        <f t="shared" si="22"/>
        <v>8.6363636363636473</v>
      </c>
      <c r="N57" s="51">
        <v>56436</v>
      </c>
      <c r="O57" s="37">
        <v>1348.03</v>
      </c>
      <c r="P57" s="72">
        <f t="shared" si="24"/>
        <v>0</v>
      </c>
      <c r="Q57" s="49">
        <f t="shared" si="23"/>
        <v>0.42261904761904767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1">
        <v>19.5</v>
      </c>
      <c r="H58" s="42">
        <v>14.5982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-0.251374358974359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4014948077.0205998</v>
      </c>
      <c r="E59" s="39">
        <v>0</v>
      </c>
      <c r="F59" s="40" t="s">
        <v>47</v>
      </c>
      <c r="G59" s="71">
        <v>0.78169999999999995</v>
      </c>
      <c r="H59" s="52">
        <v>0.90669999999999995</v>
      </c>
      <c r="I59" s="42">
        <v>0.89259999999999995</v>
      </c>
      <c r="J59" s="44">
        <f t="shared" si="20"/>
        <v>0.89259999999999995</v>
      </c>
      <c r="K59" s="39">
        <v>0</v>
      </c>
      <c r="L59" s="46">
        <f t="shared" si="21"/>
        <v>-1.4100000000000001E-2</v>
      </c>
      <c r="M59" s="46">
        <f t="shared" si="22"/>
        <v>-1.5550898864012355</v>
      </c>
      <c r="N59" s="75">
        <v>179039</v>
      </c>
      <c r="O59" s="76">
        <v>159811.19</v>
      </c>
      <c r="P59" s="72">
        <f t="shared" si="24"/>
        <v>0</v>
      </c>
      <c r="Q59" s="49">
        <f t="shared" si="23"/>
        <v>0.14187028271715496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1146931856.4946001</v>
      </c>
      <c r="E60" s="39">
        <v>0</v>
      </c>
      <c r="F60" s="40" t="s">
        <v>92</v>
      </c>
      <c r="G60" s="71">
        <v>0.59499999999999997</v>
      </c>
      <c r="H60" s="42">
        <v>1.3042</v>
      </c>
      <c r="I60" s="42">
        <v>1.4246000000000001</v>
      </c>
      <c r="J60" s="44">
        <f t="shared" si="20"/>
        <v>1.4246000000000001</v>
      </c>
      <c r="K60" s="39">
        <v>0</v>
      </c>
      <c r="L60" s="46">
        <f t="shared" si="21"/>
        <v>0.12040000000000006</v>
      </c>
      <c r="M60" s="46">
        <f t="shared" si="22"/>
        <v>9.231712927465118</v>
      </c>
      <c r="N60" s="51">
        <v>830602</v>
      </c>
      <c r="O60" s="37">
        <v>1183290.21</v>
      </c>
      <c r="P60" s="72">
        <f t="shared" si="24"/>
        <v>0</v>
      </c>
      <c r="Q60" s="49">
        <f t="shared" si="23"/>
        <v>1.3942857142857146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109500097.56</v>
      </c>
      <c r="E61" s="39">
        <v>0</v>
      </c>
      <c r="F61" s="40" t="s">
        <v>34</v>
      </c>
      <c r="G61" s="71">
        <v>0.22600000000000001</v>
      </c>
      <c r="H61" s="42">
        <v>0.42049999999999998</v>
      </c>
      <c r="I61" s="42">
        <v>0.42</v>
      </c>
      <c r="J61" s="44">
        <f t="shared" si="20"/>
        <v>0.42</v>
      </c>
      <c r="K61" s="39">
        <v>0</v>
      </c>
      <c r="L61" s="46">
        <f t="shared" si="21"/>
        <v>-5.0000000000000044E-4</v>
      </c>
      <c r="M61" s="46">
        <f t="shared" si="22"/>
        <v>-0.1189060642092748</v>
      </c>
      <c r="N61" s="51">
        <v>4252</v>
      </c>
      <c r="O61" s="37">
        <v>1785.83</v>
      </c>
      <c r="P61" s="72">
        <f t="shared" si="24"/>
        <v>0</v>
      </c>
      <c r="Q61" s="49">
        <f t="shared" si="23"/>
        <v>0.85840707964601748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414667499.62880003</v>
      </c>
      <c r="E62" s="39">
        <v>0</v>
      </c>
      <c r="F62" s="40" t="s">
        <v>34</v>
      </c>
      <c r="G62" s="71">
        <v>0.49440000000000001</v>
      </c>
      <c r="H62" s="42">
        <v>0.74560000000000004</v>
      </c>
      <c r="I62" s="42">
        <v>0.73760000000000003</v>
      </c>
      <c r="J62" s="44">
        <f t="shared" si="20"/>
        <v>0.73760000000000003</v>
      </c>
      <c r="K62" s="39">
        <v>0</v>
      </c>
      <c r="L62" s="46">
        <f t="shared" si="21"/>
        <v>-8.0000000000000071E-3</v>
      </c>
      <c r="M62" s="46">
        <f t="shared" si="22"/>
        <v>-1.0729613733905587</v>
      </c>
      <c r="N62" s="51">
        <v>11733</v>
      </c>
      <c r="O62" s="37">
        <v>8654.1200000000008</v>
      </c>
      <c r="P62" s="72">
        <f t="shared" si="24"/>
        <v>0</v>
      </c>
      <c r="Q62" s="49">
        <f t="shared" si="23"/>
        <v>0.49190938511326876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87158174.968500003</v>
      </c>
      <c r="E63" s="39">
        <v>0</v>
      </c>
      <c r="F63" s="40" t="s">
        <v>34</v>
      </c>
      <c r="G63" s="71">
        <v>0.25950000000000001</v>
      </c>
      <c r="H63" s="42">
        <v>0.21229999999999999</v>
      </c>
      <c r="I63" s="42">
        <v>0.23910000000000001</v>
      </c>
      <c r="J63" s="44">
        <f t="shared" si="20"/>
        <v>0.23910000000000001</v>
      </c>
      <c r="K63" s="39">
        <v>0</v>
      </c>
      <c r="L63" s="46">
        <f t="shared" si="21"/>
        <v>2.6800000000000018E-2</v>
      </c>
      <c r="M63" s="46">
        <f t="shared" si="22"/>
        <v>12.623645784267556</v>
      </c>
      <c r="N63" s="51">
        <v>4654</v>
      </c>
      <c r="O63" s="37">
        <v>1112.82</v>
      </c>
      <c r="P63" s="72">
        <f t="shared" si="24"/>
        <v>0</v>
      </c>
      <c r="Q63" s="49">
        <f t="shared" si="23"/>
        <v>-7.8612716763005741E-2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91000</v>
      </c>
      <c r="O64" s="37">
        <v>910000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38937594.917999998</v>
      </c>
      <c r="E65" s="39">
        <v>0</v>
      </c>
      <c r="F65" s="40" t="s">
        <v>44</v>
      </c>
      <c r="G65" s="71">
        <v>4.2999999999999997E-2</v>
      </c>
      <c r="H65" s="42">
        <v>0.11310000000000001</v>
      </c>
      <c r="I65" s="42">
        <v>0.113</v>
      </c>
      <c r="J65" s="44">
        <f t="shared" si="20"/>
        <v>0.113</v>
      </c>
      <c r="K65" s="39">
        <v>0</v>
      </c>
      <c r="L65" s="46">
        <f t="shared" si="21"/>
        <v>-1.0000000000000286E-4</v>
      </c>
      <c r="M65" s="46">
        <f t="shared" si="22"/>
        <v>-8.8417329796642671E-2</v>
      </c>
      <c r="N65" s="51">
        <v>50</v>
      </c>
      <c r="O65" s="37">
        <v>5.65</v>
      </c>
      <c r="P65" s="72">
        <f t="shared" si="24"/>
        <v>0</v>
      </c>
      <c r="Q65" s="49">
        <f t="shared" si="23"/>
        <v>1.6279069767441863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1547100</v>
      </c>
      <c r="O66" s="63">
        <f>SUM(O50:O65)</f>
        <v>2376645.3400000003</v>
      </c>
      <c r="P66" s="80"/>
      <c r="Q66" s="64"/>
    </row>
    <row r="67" spans="1:20" ht="12.6" hidden="1" x14ac:dyDescent="0.3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45969193.710000001</v>
      </c>
      <c r="E71" s="39">
        <f>C71*K71</f>
        <v>45969193.710000001</v>
      </c>
      <c r="F71" s="92" t="s">
        <v>159</v>
      </c>
      <c r="G71" s="92">
        <v>0.24</v>
      </c>
      <c r="H71" s="93">
        <v>0.28289999999999998</v>
      </c>
      <c r="I71" s="93">
        <v>0.33</v>
      </c>
      <c r="J71" s="94">
        <f>I71</f>
        <v>0.33</v>
      </c>
      <c r="K71" s="94">
        <f>J71</f>
        <v>0.33</v>
      </c>
      <c r="L71" s="46">
        <f>I71-H71</f>
        <v>4.7100000000000031E-2</v>
      </c>
      <c r="M71" s="46">
        <f>((I71-H71)/H71)*100</f>
        <v>16.6489925768823</v>
      </c>
      <c r="N71" s="95">
        <v>98</v>
      </c>
      <c r="O71" s="96">
        <v>32.340000000000003</v>
      </c>
      <c r="P71" s="72">
        <f>(R71)/J71</f>
        <v>0</v>
      </c>
      <c r="Q71" s="49">
        <f>J71/G71-1</f>
        <v>0.37500000000000022</v>
      </c>
      <c r="T71" s="53"/>
    </row>
    <row r="72" spans="1:20" x14ac:dyDescent="0.25">
      <c r="A72" s="35" t="s">
        <v>160</v>
      </c>
      <c r="B72" s="91" t="s">
        <v>161</v>
      </c>
      <c r="C72" s="92">
        <v>471351750</v>
      </c>
      <c r="D72" s="38">
        <f>C72*J72</f>
        <v>69807194.174999997</v>
      </c>
      <c r="E72" s="39">
        <f>C72*K72</f>
        <v>69807194.174999997</v>
      </c>
      <c r="F72" s="92" t="s">
        <v>159</v>
      </c>
      <c r="G72" s="92">
        <v>0.1</v>
      </c>
      <c r="H72" s="93">
        <v>0.13900000000000001</v>
      </c>
      <c r="I72" s="93">
        <v>0.14810000000000001</v>
      </c>
      <c r="J72" s="94">
        <f>I72</f>
        <v>0.14810000000000001</v>
      </c>
      <c r="K72" s="94">
        <f>J72</f>
        <v>0.14810000000000001</v>
      </c>
      <c r="L72" s="46">
        <f>I72-H72</f>
        <v>9.099999999999997E-3</v>
      </c>
      <c r="M72" s="46">
        <f>((I72-H72)/H72)*100</f>
        <v>6.546762589928055</v>
      </c>
      <c r="N72" s="51">
        <v>283793</v>
      </c>
      <c r="O72" s="96">
        <v>42042.91</v>
      </c>
      <c r="P72" s="97">
        <f>(R72)/J72</f>
        <v>2.5604321404456447E-2</v>
      </c>
      <c r="Q72" s="49">
        <f>J72/G72-1</f>
        <v>0.48100000000000009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283891</v>
      </c>
      <c r="O73" s="63">
        <f>SUM(O71:O72)</f>
        <v>42075.25</v>
      </c>
      <c r="P73" s="90"/>
      <c r="Q73" s="64"/>
    </row>
    <row r="74" spans="1:20" ht="12.6" x14ac:dyDescent="0.3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5">
      <c r="A75" s="35" t="s">
        <v>163</v>
      </c>
      <c r="B75" s="91" t="s">
        <v>164</v>
      </c>
      <c r="C75" s="92">
        <v>20819695</v>
      </c>
      <c r="D75" s="38">
        <f>C75*J75</f>
        <v>2267264.7854999998</v>
      </c>
      <c r="E75" s="39">
        <f>C75*K75</f>
        <v>2267264.7854999998</v>
      </c>
      <c r="F75" s="92" t="s">
        <v>137</v>
      </c>
      <c r="G75" s="92">
        <v>0.1394</v>
      </c>
      <c r="H75" s="93">
        <v>0.10539999999999999</v>
      </c>
      <c r="I75" s="93">
        <v>0.1089</v>
      </c>
      <c r="J75" s="94">
        <f>I75</f>
        <v>0.1089</v>
      </c>
      <c r="K75" s="94">
        <f>J75</f>
        <v>0.1089</v>
      </c>
      <c r="L75" s="46">
        <f>I75-H75</f>
        <v>3.5000000000000031E-3</v>
      </c>
      <c r="M75" s="46">
        <f>((I75-H75)/H75)*100</f>
        <v>3.3206831119544624</v>
      </c>
      <c r="N75" s="95">
        <v>735</v>
      </c>
      <c r="O75" s="96">
        <v>80.02</v>
      </c>
      <c r="P75" s="72">
        <f>(R75)/J75</f>
        <v>0</v>
      </c>
      <c r="Q75" s="49">
        <f>J75/G75-1</f>
        <v>-0.21879483500717356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160574.46171104419</v>
      </c>
      <c r="E78" s="39">
        <f>C78*K78</f>
        <v>133747.98890625002</v>
      </c>
      <c r="F78" s="40" t="s">
        <v>137</v>
      </c>
      <c r="G78" s="71">
        <v>0.105</v>
      </c>
      <c r="H78" s="42">
        <v>0.13500000000000001</v>
      </c>
      <c r="I78" s="42">
        <v>0.13500000000000001</v>
      </c>
      <c r="J78" s="44">
        <f>I78/$J$5</f>
        <v>5.0649248327636863E-3</v>
      </c>
      <c r="K78" s="45">
        <f>I78/$K$4</f>
        <v>4.2187500000000003E-3</v>
      </c>
      <c r="L78" s="46">
        <f>I78-H78</f>
        <v>0</v>
      </c>
      <c r="M78" s="98">
        <f>((I78-H78)/H78)*100</f>
        <v>0</v>
      </c>
      <c r="N78" s="37">
        <v>1000</v>
      </c>
      <c r="O78" s="37">
        <v>135</v>
      </c>
      <c r="P78" s="40">
        <v>0</v>
      </c>
      <c r="Q78" s="49">
        <f>I78/G78-1</f>
        <v>0.28571428571428581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434224.42569380096</v>
      </c>
      <c r="E79" s="39">
        <f>C79*K79</f>
        <v>361680.450625</v>
      </c>
      <c r="F79" s="40" t="s">
        <v>137</v>
      </c>
      <c r="G79" s="71">
        <v>4.2500000000000003E-2</v>
      </c>
      <c r="H79" s="42">
        <v>8.5000000000000006E-2</v>
      </c>
      <c r="I79" s="42">
        <v>8.5000000000000006E-2</v>
      </c>
      <c r="J79" s="44">
        <f>I79/$J$5</f>
        <v>3.1890267465549136E-3</v>
      </c>
      <c r="K79" s="45">
        <f>I79/$K$4</f>
        <v>2.6562500000000002E-3</v>
      </c>
      <c r="L79" s="46">
        <f>I79-H79</f>
        <v>0</v>
      </c>
      <c r="M79" s="98">
        <f>((I79-H79)/H79)*100</f>
        <v>0</v>
      </c>
      <c r="N79" s="37">
        <v>99000</v>
      </c>
      <c r="O79" s="37">
        <v>8415</v>
      </c>
      <c r="P79" s="40">
        <v>0</v>
      </c>
      <c r="Q79" s="49">
        <f>I79/G79-1</f>
        <v>1</v>
      </c>
    </row>
    <row r="80" spans="1:20" x14ac:dyDescent="0.25">
      <c r="A80" s="35" t="s">
        <v>170</v>
      </c>
      <c r="B80" s="36" t="s">
        <v>171</v>
      </c>
      <c r="C80" s="40">
        <v>6677853</v>
      </c>
      <c r="D80" s="38">
        <f>C80*J80</f>
        <v>30064.731990440421</v>
      </c>
      <c r="E80" s="39">
        <f>C80*K80</f>
        <v>25041.94875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4.5021554069010535E-3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200</v>
      </c>
      <c r="O80" s="37">
        <v>24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494417400</v>
      </c>
      <c r="D81" s="38">
        <f>C81*J81</f>
        <v>31534206.251242783</v>
      </c>
      <c r="E81" s="39">
        <f>C81*K81</f>
        <v>26265924.375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6.3780534931098268E-2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100200</v>
      </c>
      <c r="O82" s="63">
        <f>SUM(O78:O81)</f>
        <v>8574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29468697.463785786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8.0007053376804138E-2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200</v>
      </c>
      <c r="O84" s="109">
        <v>426.5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75943414.03734538</v>
      </c>
      <c r="E85" s="39">
        <f>C85*K85</f>
        <v>63255880.106562503</v>
      </c>
      <c r="F85" s="40" t="s">
        <v>177</v>
      </c>
      <c r="G85" s="40">
        <v>1.44347</v>
      </c>
      <c r="H85" s="42">
        <v>1.0801179999999999</v>
      </c>
      <c r="I85" s="42">
        <v>1.099442</v>
      </c>
      <c r="J85" s="44">
        <f>I85/$J$5</f>
        <v>4.1248822873950902E-2</v>
      </c>
      <c r="K85" s="45">
        <f>I85/$K$4</f>
        <v>3.4357562500000001E-2</v>
      </c>
      <c r="L85" s="46">
        <f>I85-H85</f>
        <v>1.9324000000000119E-2</v>
      </c>
      <c r="M85" s="46">
        <f>((I85-H85)/H85*100)</f>
        <v>1.7890637874750832</v>
      </c>
      <c r="N85" s="109">
        <v>4477800</v>
      </c>
      <c r="O85" s="109">
        <v>4923080.45</v>
      </c>
      <c r="P85" s="48">
        <f>(R85)/J85</f>
        <v>5.2753020532233623E-2</v>
      </c>
      <c r="Q85" s="49">
        <f>I85/G85-1</f>
        <v>-0.23833401456213155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81</v>
      </c>
      <c r="B89" s="117">
        <v>6.81</v>
      </c>
      <c r="D89" s="117">
        <v>14.407326369662337</v>
      </c>
      <c r="E89" s="35" t="s">
        <v>93</v>
      </c>
      <c r="F89" s="118">
        <v>4.2021990000000002</v>
      </c>
      <c r="H89" s="119">
        <v>-14.264090413028796</v>
      </c>
      <c r="J89" s="35" t="s">
        <v>146</v>
      </c>
      <c r="K89" s="52">
        <v>0.23910000000000001</v>
      </c>
      <c r="L89" s="120">
        <v>12.623645784267556</v>
      </c>
      <c r="M89" s="60" t="s">
        <v>121</v>
      </c>
      <c r="N89" s="118">
        <v>35.976399999999998</v>
      </c>
      <c r="O89" s="119">
        <v>-10.059000000000005</v>
      </c>
      <c r="Q89" s="16"/>
    </row>
    <row r="90" spans="1:243" ht="15" customHeight="1" x14ac:dyDescent="0.25">
      <c r="A90" s="35" t="s">
        <v>115</v>
      </c>
      <c r="B90" s="117">
        <v>3.8</v>
      </c>
      <c r="D90" s="117">
        <v>13.943028485757116</v>
      </c>
      <c r="E90" s="35" t="s">
        <v>45</v>
      </c>
      <c r="F90" s="118">
        <v>41.22</v>
      </c>
      <c r="H90" s="119">
        <v>-14.125000000000002</v>
      </c>
      <c r="J90" s="35" t="s">
        <v>140</v>
      </c>
      <c r="K90" s="52">
        <v>1.4246000000000001</v>
      </c>
      <c r="L90" s="120">
        <v>9.231712927465118</v>
      </c>
      <c r="M90" s="35" t="s">
        <v>125</v>
      </c>
      <c r="N90" s="118">
        <v>2.5100000000000001E-2</v>
      </c>
      <c r="O90" s="119">
        <v>-4.5627376425855504</v>
      </c>
      <c r="Q90" s="16"/>
    </row>
    <row r="91" spans="1:243" ht="15" customHeight="1" x14ac:dyDescent="0.25">
      <c r="A91" s="35" t="s">
        <v>99</v>
      </c>
      <c r="B91" s="117">
        <v>0.310971</v>
      </c>
      <c r="C91" s="117"/>
      <c r="D91" s="117">
        <v>5.4796890263757643</v>
      </c>
      <c r="E91" s="35" t="s">
        <v>62</v>
      </c>
      <c r="F91" s="118">
        <v>2.986364</v>
      </c>
      <c r="H91" s="119">
        <v>-10.854805970149256</v>
      </c>
      <c r="J91" s="35" t="s">
        <v>133</v>
      </c>
      <c r="K91" s="52">
        <v>2.3900000000000001E-2</v>
      </c>
      <c r="L91" s="120">
        <v>8.6363636363636473</v>
      </c>
      <c r="M91" s="35" t="s">
        <v>138</v>
      </c>
      <c r="N91" s="118">
        <v>0.89259999999999995</v>
      </c>
      <c r="O91" s="119">
        <v>-1.5550898864012355</v>
      </c>
      <c r="Q91" s="16"/>
    </row>
    <row r="92" spans="1:243" ht="15" customHeight="1" x14ac:dyDescent="0.25">
      <c r="A92" s="35" t="s">
        <v>77</v>
      </c>
      <c r="B92" s="117">
        <v>2.4970810000000001</v>
      </c>
      <c r="C92" s="117"/>
      <c r="D92" s="117">
        <v>3.1851652892562061</v>
      </c>
      <c r="E92" s="35" t="s">
        <v>75</v>
      </c>
      <c r="F92" s="118">
        <v>2.3242210000000001</v>
      </c>
      <c r="H92" s="119">
        <v>-10.300214849923451</v>
      </c>
      <c r="J92" s="35" t="s">
        <v>127</v>
      </c>
      <c r="K92" s="52">
        <v>0.15229999999999999</v>
      </c>
      <c r="L92" s="120">
        <v>1.2632978723404156</v>
      </c>
      <c r="M92" s="35" t="s">
        <v>144</v>
      </c>
      <c r="N92" s="118">
        <v>0.73760000000000003</v>
      </c>
      <c r="O92" s="119">
        <v>-1.0729613733905587</v>
      </c>
      <c r="Q92" s="16"/>
    </row>
    <row r="93" spans="1:243" ht="15" customHeight="1" x14ac:dyDescent="0.25">
      <c r="A93" s="35" t="s">
        <v>107</v>
      </c>
      <c r="B93" s="117">
        <v>7</v>
      </c>
      <c r="C93" s="117"/>
      <c r="D93" s="117">
        <v>2.7900146842878182</v>
      </c>
      <c r="E93" s="35" t="s">
        <v>37</v>
      </c>
      <c r="F93" s="118">
        <v>0.2175</v>
      </c>
      <c r="G93" s="118"/>
      <c r="H93" s="119">
        <v>-9.3749999999999964</v>
      </c>
      <c r="J93" s="35" t="s">
        <v>119</v>
      </c>
      <c r="K93" s="52">
        <v>0.1401</v>
      </c>
      <c r="L93" s="120">
        <v>7.1428571428563556E-2</v>
      </c>
      <c r="M93" s="35" t="s">
        <v>123</v>
      </c>
      <c r="N93" s="118">
        <v>0.22359999999999999</v>
      </c>
      <c r="O93" s="119">
        <v>-0.5780346820809229</v>
      </c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5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uBE6EC9sS1obU+NubEvpZTFPw9Lux5sEtzqjUsfdV5TkShvD2JCmtIO8qiOCXdf+SIg6IOWCeZ1+yz73g6J2WQ==" saltValue="+BPW0/JjCuLK9aa+Z2A99w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2026-09-03T12:59:50Z</dcterms:created>
  <dcterms:modified xsi:type="dcterms:W3CDTF">2026-09-03T13:03:12Z</dcterms:modified>
</cp:coreProperties>
</file>