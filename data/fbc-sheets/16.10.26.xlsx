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Oct/"/>
    </mc:Choice>
  </mc:AlternateContent>
  <xr:revisionPtr revIDLastSave="1" documentId="8_{1EF381BD-6B81-4D63-A1E3-1C94DF34290D}" xr6:coauthVersionLast="47" xr6:coauthVersionMax="47" xr10:uidLastSave="{2F63C520-F5B9-4694-88DD-5C6D88BBA3DE}"/>
  <bookViews>
    <workbookView xWindow="-108" yWindow="-108" windowWidth="23256" windowHeight="12456" xr2:uid="{8AB06F38-BAE7-45E2-B444-3EF7BEF52CC1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D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M54" i="1"/>
  <c r="L54" i="1"/>
  <c r="J54" i="1"/>
  <c r="D54" i="1"/>
  <c r="L53" i="1"/>
  <c r="J53" i="1"/>
  <c r="P53" i="1" s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E29" i="1" s="1"/>
  <c r="J29" i="1"/>
  <c r="P29" i="1" s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P17" i="1"/>
  <c r="M17" i="1"/>
  <c r="L17" i="1"/>
  <c r="K17" i="1"/>
  <c r="E17" i="1" s="1"/>
  <c r="J17" i="1"/>
  <c r="D17" i="1"/>
  <c r="Q16" i="1"/>
  <c r="M16" i="1"/>
  <c r="L16" i="1"/>
  <c r="K16" i="1"/>
  <c r="E16" i="1" s="1"/>
  <c r="J16" i="1"/>
  <c r="P16" i="1" s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Q75" i="1" l="1"/>
  <c r="P75" i="1"/>
  <c r="K75" i="1"/>
  <c r="E75" i="1" s="1"/>
  <c r="Q72" i="1"/>
  <c r="P72" i="1"/>
  <c r="K72" i="1"/>
  <c r="E72" i="1" s="1"/>
  <c r="Q71" i="1"/>
  <c r="P71" i="1"/>
  <c r="K71" i="1"/>
  <c r="E71" i="1" s="1"/>
  <c r="D71" i="1"/>
  <c r="Q65" i="1"/>
  <c r="P65" i="1"/>
  <c r="Q64" i="1"/>
  <c r="P64" i="1"/>
  <c r="Q63" i="1"/>
  <c r="P63" i="1"/>
  <c r="Q62" i="1"/>
  <c r="P62" i="1"/>
  <c r="Q61" i="1"/>
  <c r="P61" i="1"/>
  <c r="P60" i="1"/>
  <c r="Q60" i="1"/>
  <c r="Q59" i="1"/>
  <c r="P59" i="1"/>
  <c r="Q58" i="1"/>
  <c r="P58" i="1"/>
  <c r="Q57" i="1"/>
  <c r="P57" i="1"/>
  <c r="P56" i="1"/>
  <c r="Q56" i="1"/>
  <c r="Q55" i="1"/>
  <c r="P55" i="1"/>
  <c r="D55" i="1"/>
  <c r="Q54" i="1"/>
  <c r="P54" i="1"/>
  <c r="Q51" i="1"/>
  <c r="P51" i="1"/>
  <c r="Q50" i="1"/>
  <c r="P50" i="1"/>
</calcChain>
</file>

<file path=xl/sharedStrings.xml><?xml version="1.0" encoding="utf-8"?>
<sst xmlns="http://schemas.openxmlformats.org/spreadsheetml/2006/main" count="273" uniqueCount="185">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</sst>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6" applyNumberFormat="1" applyFont="1" applyFill="1" applyBorder="1"/>
    <xf numFmtId="164" fontId="15" fillId="5" borderId="0" xfId="6" applyFont="1" applyFill="1" applyBorder="1"/>
    <xf numFmtId="164" fontId="4" fillId="3" borderId="0" xfId="2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5" borderId="0" xfId="4" applyNumberFormat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6" applyNumberFormat="1" applyFont="1" applyFill="1" applyBorder="1"/>
    <xf numFmtId="166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6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0" fontId="23" fillId="2" borderId="16" xfId="7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6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164" fontId="15" fillId="5" borderId="5" xfId="3" applyFont="1" applyFill="1" applyBorder="1" applyAlignment="1"/>
    <xf numFmtId="164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9117CAA4-025D-4B93-A48B-EF5A09C33615}"/>
    <cellStyle name="Comma 5 2 2 2 2 2 2 2 2 2 2 2 2 2" xfId="4" xr:uid="{A8C1B8E9-C7B5-4BCB-A1AC-68F05833F178}"/>
    <cellStyle name="Comma 6 2 2 2 2 2 2 2 2" xfId="6" xr:uid="{85A10F15-CA61-40CB-B37D-2B88615027E0}"/>
    <cellStyle name="Hyperlink 2" xfId="8" xr:uid="{E29A44CE-DEE4-433F-B632-0DBFC3F2C49F}"/>
    <cellStyle name="Normal" xfId="0" builtinId="0"/>
    <cellStyle name="Normal 2" xfId="2" xr:uid="{5D87B9CA-8184-4F20-BE43-22831A00D26A}"/>
    <cellStyle name="Normal 20" xfId="7" xr:uid="{612AD2A2-C5F9-4A42-B798-CEEBCD196074}"/>
    <cellStyle name="Percent" xfId="1" builtinId="5"/>
    <cellStyle name="Percent 3" xfId="5" xr:uid="{280F6A8E-731B-4668-B6B1-1803CFAD1682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673BFE03-510B-4FAB-9358-A5E75A407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78E4D602-5755-4A3D-85FB-CFCB9F93F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2E42-ACB5-4532-BA1F-EA896EB9BBB3}">
  <dimension ref="A1:II107"/>
  <sheetViews>
    <sheetView tabSelected="1" zoomScale="70" zoomScaleNormal="70" workbookViewId="0">
      <selection activeCell="A61" sqref="A61:XFD61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26.607199999999999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3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85263383.670585409</v>
      </c>
      <c r="E9" s="39">
        <f t="shared" ref="E9:E45" si="1">C9*K9</f>
        <v>70894371.9375</v>
      </c>
      <c r="F9" s="40" t="s">
        <v>34</v>
      </c>
      <c r="G9" s="41">
        <v>8.9894999999999996</v>
      </c>
      <c r="H9" s="42">
        <v>18</v>
      </c>
      <c r="I9" s="43">
        <v>18</v>
      </c>
      <c r="J9" s="44">
        <f>(I9/$J$5)</f>
        <v>0.67650861420968766</v>
      </c>
      <c r="K9" s="45">
        <f t="shared" ref="K9:K17" si="2">I9/$K$4</f>
        <v>0.5625</v>
      </c>
      <c r="L9" s="46">
        <f t="shared" ref="L9:L17" si="3">I9-H9</f>
        <v>0</v>
      </c>
      <c r="M9" s="46">
        <f t="shared" ref="M9:M17" si="4">((I9-H9)/H9)*100</f>
        <v>0</v>
      </c>
      <c r="N9" s="37">
        <v>0</v>
      </c>
      <c r="O9" s="37">
        <v>0</v>
      </c>
      <c r="P9" s="47">
        <f t="shared" ref="P9:P17" si="5">(R9)/J9</f>
        <v>2.2172666666666663E-2</v>
      </c>
      <c r="Q9" s="48">
        <f t="shared" ref="Q9:Q17" si="6">I9/G9-1</f>
        <v>1.002336058735191</v>
      </c>
      <c r="R9" s="49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8160464.8472932158</v>
      </c>
      <c r="E10" s="39">
        <f t="shared" si="1"/>
        <v>6785222.5089031253</v>
      </c>
      <c r="F10" s="40" t="s">
        <v>34</v>
      </c>
      <c r="G10" s="41">
        <v>3.1600000000000003E-2</v>
      </c>
      <c r="H10" s="42">
        <v>0.13406700000000002</v>
      </c>
      <c r="I10" s="43">
        <v>0.13342000000000001</v>
      </c>
      <c r="J10" s="44">
        <f t="shared" ref="J10:J17" si="7">I10/$J$5</f>
        <v>5.0144321837698076E-3</v>
      </c>
      <c r="K10" s="45">
        <f t="shared" si="2"/>
        <v>4.1693750000000003E-3</v>
      </c>
      <c r="L10" s="46">
        <f t="shared" si="3"/>
        <v>-6.4700000000000868E-4</v>
      </c>
      <c r="M10" s="46">
        <f t="shared" si="4"/>
        <v>-0.48259452363371191</v>
      </c>
      <c r="N10" s="50">
        <v>32300</v>
      </c>
      <c r="O10" s="37">
        <v>4309.45</v>
      </c>
      <c r="P10" s="51">
        <f t="shared" si="5"/>
        <v>0</v>
      </c>
      <c r="Q10" s="48">
        <f t="shared" si="6"/>
        <v>3.2221518987341771</v>
      </c>
      <c r="R10" s="49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2939766.2009155415</v>
      </c>
      <c r="E11" s="39">
        <f t="shared" si="1"/>
        <v>2444342.1019062498</v>
      </c>
      <c r="F11" s="40" t="s">
        <v>39</v>
      </c>
      <c r="G11" s="41">
        <v>7.8E-2</v>
      </c>
      <c r="H11" s="42">
        <v>0.21050000000000002</v>
      </c>
      <c r="I11" s="43">
        <v>0.17899999999999999</v>
      </c>
      <c r="J11" s="44">
        <f t="shared" si="7"/>
        <v>6.7275023301963379E-3</v>
      </c>
      <c r="K11" s="45">
        <f t="shared" si="2"/>
        <v>5.5937499999999998E-3</v>
      </c>
      <c r="L11" s="46">
        <f t="shared" si="3"/>
        <v>-3.1500000000000028E-2</v>
      </c>
      <c r="M11" s="46">
        <f t="shared" si="4"/>
        <v>-14.964370546318301</v>
      </c>
      <c r="N11" s="50">
        <v>500</v>
      </c>
      <c r="O11" s="37">
        <v>89.5</v>
      </c>
      <c r="P11" s="51">
        <f t="shared" si="5"/>
        <v>0</v>
      </c>
      <c r="Q11" s="48">
        <f t="shared" si="6"/>
        <v>1.2948717948717947</v>
      </c>
      <c r="R11" s="49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147342382.13716587</v>
      </c>
      <c r="E12" s="39">
        <f t="shared" si="1"/>
        <v>122511507.1875</v>
      </c>
      <c r="F12" s="40" t="s">
        <v>34</v>
      </c>
      <c r="G12" s="41">
        <v>97.381</v>
      </c>
      <c r="H12" s="42">
        <v>190</v>
      </c>
      <c r="I12" s="43">
        <v>190</v>
      </c>
      <c r="J12" s="44">
        <f t="shared" si="7"/>
        <v>7.1409242611022581</v>
      </c>
      <c r="K12" s="45">
        <f t="shared" si="2"/>
        <v>5.9375</v>
      </c>
      <c r="L12" s="46">
        <f t="shared" si="3"/>
        <v>0</v>
      </c>
      <c r="M12" s="46">
        <f t="shared" si="4"/>
        <v>0</v>
      </c>
      <c r="N12" s="50">
        <v>0</v>
      </c>
      <c r="O12" s="37">
        <v>0</v>
      </c>
      <c r="P12" s="51">
        <f t="shared" si="5"/>
        <v>0</v>
      </c>
      <c r="Q12" s="48">
        <f t="shared" si="6"/>
        <v>0.95109929041599495</v>
      </c>
      <c r="R12" s="49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9848959.6800865941</v>
      </c>
      <c r="E13" s="39">
        <f t="shared" si="1"/>
        <v>8189163.75</v>
      </c>
      <c r="F13" s="40" t="s">
        <v>44</v>
      </c>
      <c r="G13" s="41">
        <v>13.6</v>
      </c>
      <c r="H13" s="42">
        <v>30</v>
      </c>
      <c r="I13" s="43">
        <v>30</v>
      </c>
      <c r="J13" s="44">
        <f t="shared" si="7"/>
        <v>1.1275143570161461</v>
      </c>
      <c r="K13" s="45">
        <f t="shared" si="2"/>
        <v>0.9375</v>
      </c>
      <c r="L13" s="46">
        <f t="shared" si="3"/>
        <v>0</v>
      </c>
      <c r="M13" s="46">
        <f t="shared" si="4"/>
        <v>0</v>
      </c>
      <c r="N13" s="50">
        <v>0</v>
      </c>
      <c r="O13" s="37">
        <v>0</v>
      </c>
      <c r="P13" s="51">
        <f t="shared" si="5"/>
        <v>0</v>
      </c>
      <c r="Q13" s="48">
        <f t="shared" si="6"/>
        <v>1.2058823529411766</v>
      </c>
      <c r="R13" s="49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667489874.19570637</v>
      </c>
      <c r="E14" s="39">
        <f t="shared" si="1"/>
        <v>555001143.1468749</v>
      </c>
      <c r="F14" s="40" t="s">
        <v>47</v>
      </c>
      <c r="G14" s="41">
        <v>11.5</v>
      </c>
      <c r="H14" s="42">
        <v>33.979999999999997</v>
      </c>
      <c r="I14" s="43">
        <v>33.979999999999997</v>
      </c>
      <c r="J14" s="44">
        <f t="shared" si="7"/>
        <v>1.2770979283802879</v>
      </c>
      <c r="K14" s="45">
        <f t="shared" si="2"/>
        <v>1.0618749999999999</v>
      </c>
      <c r="L14" s="46">
        <f t="shared" si="3"/>
        <v>0</v>
      </c>
      <c r="M14" s="46">
        <f t="shared" si="4"/>
        <v>0</v>
      </c>
      <c r="N14" s="50">
        <v>0</v>
      </c>
      <c r="O14" s="37">
        <v>0</v>
      </c>
      <c r="P14" s="51">
        <f t="shared" si="5"/>
        <v>0</v>
      </c>
      <c r="Q14" s="48">
        <f t="shared" si="6"/>
        <v>1.9547826086956519</v>
      </c>
      <c r="R14" s="49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31604382.977164075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0.29803962837126791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81537523.658257917</v>
      </c>
      <c r="E16" s="39">
        <f t="shared" si="1"/>
        <v>67796412.483750001</v>
      </c>
      <c r="F16" s="40" t="s">
        <v>34</v>
      </c>
      <c r="G16" s="41">
        <v>1.9</v>
      </c>
      <c r="H16" s="42">
        <v>6.0227310000000003</v>
      </c>
      <c r="I16" s="43">
        <v>6.06</v>
      </c>
      <c r="J16" s="44">
        <f t="shared" si="7"/>
        <v>0.22775790011726149</v>
      </c>
      <c r="K16" s="45">
        <f t="shared" si="2"/>
        <v>0.18937499999999999</v>
      </c>
      <c r="L16" s="46">
        <f t="shared" si="3"/>
        <v>3.726899999999933E-2</v>
      </c>
      <c r="M16" s="46">
        <f t="shared" si="4"/>
        <v>0.61880565477686666</v>
      </c>
      <c r="N16" s="50">
        <v>200</v>
      </c>
      <c r="O16" s="37">
        <v>1212</v>
      </c>
      <c r="P16" s="51">
        <f t="shared" si="5"/>
        <v>0.21953135313531355</v>
      </c>
      <c r="Q16" s="48">
        <f t="shared" si="6"/>
        <v>2.1894736842105265</v>
      </c>
      <c r="R16" s="49">
        <v>0.05</v>
      </c>
      <c r="S16" s="52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1647194404.2555211</v>
      </c>
      <c r="E17" s="39">
        <f t="shared" si="1"/>
        <v>1369600967.2783592</v>
      </c>
      <c r="F17" s="40" t="s">
        <v>34</v>
      </c>
      <c r="G17" s="41">
        <v>20.701700000000002</v>
      </c>
      <c r="H17" s="42">
        <v>32.5289</v>
      </c>
      <c r="I17" s="43">
        <v>32.518499999999996</v>
      </c>
      <c r="J17" s="44">
        <f t="shared" si="7"/>
        <v>1.2221691872876514</v>
      </c>
      <c r="K17" s="45">
        <f t="shared" si="2"/>
        <v>1.0162031249999999</v>
      </c>
      <c r="L17" s="46">
        <f t="shared" si="3"/>
        <v>-1.0400000000004184E-2</v>
      </c>
      <c r="M17" s="46">
        <f t="shared" si="4"/>
        <v>-3.1971569896320454E-2</v>
      </c>
      <c r="N17" s="50">
        <v>68800</v>
      </c>
      <c r="O17" s="37">
        <v>2237274.2999999998</v>
      </c>
      <c r="P17" s="47">
        <f t="shared" si="5"/>
        <v>0</v>
      </c>
      <c r="Q17" s="48">
        <f t="shared" si="6"/>
        <v>0.57081302501726872</v>
      </c>
      <c r="R17" s="49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339497957.83298129</v>
      </c>
      <c r="E19" s="39">
        <f t="shared" si="1"/>
        <v>282284064.48917812</v>
      </c>
      <c r="F19" s="40" t="s">
        <v>47</v>
      </c>
      <c r="G19" s="41">
        <v>12.45</v>
      </c>
      <c r="H19" s="42">
        <v>13.443099999999999</v>
      </c>
      <c r="I19" s="43">
        <v>13.443099999999999</v>
      </c>
      <c r="J19" s="44">
        <f t="shared" ref="J19:J45" si="8">I19/$J$5</f>
        <v>0.50524294176012507</v>
      </c>
      <c r="K19" s="45">
        <f t="shared" ref="K19:K45" si="9">I19/$K$4</f>
        <v>0.42009687499999998</v>
      </c>
      <c r="L19" s="46">
        <f t="shared" ref="L19:L29" si="10">I19-H19</f>
        <v>0</v>
      </c>
      <c r="M19" s="46">
        <f>((I19-H19)/H19)*100</f>
        <v>0</v>
      </c>
      <c r="N19" s="50">
        <v>0</v>
      </c>
      <c r="O19" s="37">
        <v>0</v>
      </c>
      <c r="P19" s="51">
        <f>(R19)/J19</f>
        <v>0</v>
      </c>
      <c r="Q19" s="48">
        <f t="shared" ref="Q19:Q29" si="11">I19/G19-1</f>
        <v>7.9767068273092434E-2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3807189.806894375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3.4952945067500532E-2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91198735.641480505</v>
      </c>
      <c r="E21" s="39">
        <f t="shared" si="1"/>
        <v>75829468.717500001</v>
      </c>
      <c r="F21" s="40" t="s">
        <v>47</v>
      </c>
      <c r="G21" s="41">
        <v>2.85</v>
      </c>
      <c r="H21" s="42">
        <v>3.5</v>
      </c>
      <c r="I21" s="43">
        <v>3.516</v>
      </c>
      <c r="J21" s="44">
        <f t="shared" si="8"/>
        <v>0.13214468264229232</v>
      </c>
      <c r="K21" s="45">
        <f t="shared" si="9"/>
        <v>0.109875</v>
      </c>
      <c r="L21" s="46">
        <f t="shared" si="10"/>
        <v>1.6000000000000014E-2</v>
      </c>
      <c r="M21" s="46">
        <f>((I21-H21)/H21)*100</f>
        <v>0.45714285714285752</v>
      </c>
      <c r="N21" s="50">
        <v>500</v>
      </c>
      <c r="O21" s="37">
        <v>1758</v>
      </c>
      <c r="P21" s="51">
        <f>(R21)/J21</f>
        <v>0</v>
      </c>
      <c r="Q21" s="48">
        <f t="shared" si="11"/>
        <v>0.23368421052631572</v>
      </c>
      <c r="R21" s="49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2045523.2960351708</v>
      </c>
      <c r="E23" s="39">
        <f t="shared" si="1"/>
        <v>1700801.4825708435</v>
      </c>
      <c r="F23" s="40" t="s">
        <v>44</v>
      </c>
      <c r="G23" s="41">
        <v>0.1</v>
      </c>
      <c r="H23" s="42">
        <v>0.1115</v>
      </c>
      <c r="I23" s="43">
        <v>0.10142899999999999</v>
      </c>
      <c r="J23" s="44">
        <f t="shared" si="8"/>
        <v>3.8120884572596888E-3</v>
      </c>
      <c r="K23" s="45">
        <f t="shared" si="9"/>
        <v>3.1696562499999997E-3</v>
      </c>
      <c r="L23" s="46">
        <f t="shared" si="10"/>
        <v>-1.007100000000001E-2</v>
      </c>
      <c r="M23" s="46">
        <f t="shared" ref="M23:M29" si="12">((I23-H23)/H23)*100</f>
        <v>-9.0322869955157046</v>
      </c>
      <c r="N23" s="50">
        <v>700</v>
      </c>
      <c r="O23" s="37">
        <v>71</v>
      </c>
      <c r="P23" s="51">
        <f t="shared" ref="P23:P29" si="13">(R23)/J23</f>
        <v>0</v>
      </c>
      <c r="Q23" s="48">
        <f t="shared" si="11"/>
        <v>1.4289999999999914E-2</v>
      </c>
      <c r="R23" s="49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72544485.703117952</v>
      </c>
      <c r="E24" s="39">
        <f t="shared" si="1"/>
        <v>60318926.25</v>
      </c>
      <c r="F24" s="40" t="s">
        <v>34</v>
      </c>
      <c r="G24" s="41">
        <v>8.1687659999999997</v>
      </c>
      <c r="H24" s="42">
        <v>10</v>
      </c>
      <c r="I24" s="43">
        <v>10</v>
      </c>
      <c r="J24" s="44">
        <f t="shared" si="8"/>
        <v>0.375838119005382</v>
      </c>
      <c r="K24" s="45">
        <f t="shared" si="9"/>
        <v>0.3125</v>
      </c>
      <c r="L24" s="46">
        <f t="shared" si="10"/>
        <v>0</v>
      </c>
      <c r="M24" s="46">
        <f t="shared" si="12"/>
        <v>0</v>
      </c>
      <c r="N24" s="50">
        <v>0</v>
      </c>
      <c r="O24" s="37">
        <v>0</v>
      </c>
      <c r="P24" s="47">
        <f t="shared" si="13"/>
        <v>3.9910799999999996E-2</v>
      </c>
      <c r="Q24" s="48">
        <f t="shared" si="11"/>
        <v>0.22417510796612361</v>
      </c>
      <c r="R24" s="49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95650289.340200588</v>
      </c>
      <c r="E25" s="39">
        <f t="shared" si="1"/>
        <v>79530824.329143286</v>
      </c>
      <c r="F25" s="40" t="s">
        <v>66</v>
      </c>
      <c r="G25" s="41">
        <v>1.6675</v>
      </c>
      <c r="H25" s="42">
        <v>1.65</v>
      </c>
      <c r="I25" s="43">
        <v>1.508065</v>
      </c>
      <c r="J25" s="44">
        <f t="shared" si="8"/>
        <v>5.6678831293785141E-2</v>
      </c>
      <c r="K25" s="45">
        <f t="shared" si="9"/>
        <v>4.712703125E-2</v>
      </c>
      <c r="L25" s="46">
        <f t="shared" si="10"/>
        <v>-0.14193499999999992</v>
      </c>
      <c r="M25" s="46">
        <f t="shared" si="12"/>
        <v>-8.6021212121212081</v>
      </c>
      <c r="N25" s="50">
        <v>3100</v>
      </c>
      <c r="O25" s="37">
        <v>4675</v>
      </c>
      <c r="P25" s="51">
        <f t="shared" si="13"/>
        <v>0</v>
      </c>
      <c r="Q25" s="48">
        <f t="shared" si="11"/>
        <v>-9.5613193403298324E-2</v>
      </c>
      <c r="R25" s="49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23662419.24779759</v>
      </c>
      <c r="E26" s="39">
        <f t="shared" si="1"/>
        <v>19674710.044062499</v>
      </c>
      <c r="F26" s="40" t="s">
        <v>44</v>
      </c>
      <c r="G26" s="41">
        <v>1.7994999999999999</v>
      </c>
      <c r="H26" s="42">
        <v>2.63</v>
      </c>
      <c r="I26" s="43">
        <v>2.63</v>
      </c>
      <c r="J26" s="44">
        <f t="shared" si="8"/>
        <v>9.8845425298415474E-2</v>
      </c>
      <c r="K26" s="45">
        <f t="shared" si="9"/>
        <v>8.2187499999999997E-2</v>
      </c>
      <c r="L26" s="46">
        <f t="shared" si="10"/>
        <v>0</v>
      </c>
      <c r="M26" s="46">
        <f t="shared" si="12"/>
        <v>0</v>
      </c>
      <c r="N26" s="50">
        <v>0</v>
      </c>
      <c r="O26" s="37">
        <v>0</v>
      </c>
      <c r="P26" s="51">
        <f t="shared" si="13"/>
        <v>0</v>
      </c>
      <c r="Q26" s="48">
        <f t="shared" si="11"/>
        <v>0.46151708808002234</v>
      </c>
      <c r="R26" s="49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24072616.73045266</v>
      </c>
      <c r="E27" s="39">
        <f t="shared" si="1"/>
        <v>20015778.995953128</v>
      </c>
      <c r="F27" s="40" t="s">
        <v>34</v>
      </c>
      <c r="G27" s="41">
        <v>3.1361369999999997</v>
      </c>
      <c r="H27" s="42">
        <v>2.5005000000000002</v>
      </c>
      <c r="I27" s="43">
        <v>2.5005000000000002</v>
      </c>
      <c r="J27" s="44">
        <f t="shared" si="8"/>
        <v>9.3978321657295777E-2</v>
      </c>
      <c r="K27" s="45">
        <f t="shared" si="9"/>
        <v>7.8140625000000005E-2</v>
      </c>
      <c r="L27" s="46">
        <f t="shared" si="10"/>
        <v>0</v>
      </c>
      <c r="M27" s="46">
        <f t="shared" si="12"/>
        <v>0</v>
      </c>
      <c r="N27" s="50">
        <v>0</v>
      </c>
      <c r="O27" s="37">
        <v>0</v>
      </c>
      <c r="P27" s="51">
        <f t="shared" si="13"/>
        <v>0</v>
      </c>
      <c r="Q27" s="48">
        <f t="shared" si="11"/>
        <v>-0.20268151550777269</v>
      </c>
      <c r="R27" s="49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28542136.771437805</v>
      </c>
      <c r="E28" s="39">
        <f t="shared" si="1"/>
        <v>23732073.172031246</v>
      </c>
      <c r="F28" s="40" t="s">
        <v>44</v>
      </c>
      <c r="G28" s="41">
        <v>0.8</v>
      </c>
      <c r="H28" s="42">
        <v>1.0049999999999999</v>
      </c>
      <c r="I28" s="43">
        <v>1.0049999999999999</v>
      </c>
      <c r="J28" s="44">
        <f t="shared" si="8"/>
        <v>3.777173096004089E-2</v>
      </c>
      <c r="K28" s="45">
        <f t="shared" si="9"/>
        <v>3.1406249999999997E-2</v>
      </c>
      <c r="L28" s="46">
        <f t="shared" si="10"/>
        <v>0</v>
      </c>
      <c r="M28" s="46">
        <f t="shared" si="12"/>
        <v>0</v>
      </c>
      <c r="N28" s="50">
        <v>1200</v>
      </c>
      <c r="O28" s="37">
        <v>1206</v>
      </c>
      <c r="P28" s="51">
        <f t="shared" si="13"/>
        <v>0</v>
      </c>
      <c r="Q28" s="48">
        <f t="shared" si="11"/>
        <v>0.25624999999999987</v>
      </c>
      <c r="R28" s="49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124912022.80585706</v>
      </c>
      <c r="E29" s="39">
        <f t="shared" si="1"/>
        <v>103861224.16250001</v>
      </c>
      <c r="F29" s="40" t="s">
        <v>47</v>
      </c>
      <c r="G29" s="41">
        <v>5.15</v>
      </c>
      <c r="H29" s="42">
        <v>7.3933330000000002</v>
      </c>
      <c r="I29" s="43">
        <v>7.4</v>
      </c>
      <c r="J29" s="44">
        <f t="shared" si="8"/>
        <v>0.27812020806398269</v>
      </c>
      <c r="K29" s="45">
        <f t="shared" si="9"/>
        <v>0.23125000000000001</v>
      </c>
      <c r="L29" s="46">
        <f t="shared" si="10"/>
        <v>6.6670000000002005E-3</v>
      </c>
      <c r="M29" s="46">
        <f t="shared" si="12"/>
        <v>9.0175838150401186E-2</v>
      </c>
      <c r="N29" s="50">
        <v>4100</v>
      </c>
      <c r="O29" s="37">
        <v>30340</v>
      </c>
      <c r="P29" s="51">
        <f t="shared" si="13"/>
        <v>0</v>
      </c>
      <c r="Q29" s="48">
        <f t="shared" si="11"/>
        <v>0.43689320388349517</v>
      </c>
      <c r="R29" s="49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11231779.762620645</v>
      </c>
      <c r="E31" s="39">
        <f t="shared" si="1"/>
        <v>9338944.078125</v>
      </c>
      <c r="F31" s="40" t="s">
        <v>39</v>
      </c>
      <c r="G31" s="41">
        <v>1.4</v>
      </c>
      <c r="H31" s="42">
        <v>1.35</v>
      </c>
      <c r="I31" s="43">
        <v>1.1499999999999999</v>
      </c>
      <c r="J31" s="44">
        <f t="shared" si="8"/>
        <v>4.3221383685618932E-2</v>
      </c>
      <c r="K31" s="45">
        <f t="shared" si="9"/>
        <v>3.5937499999999997E-2</v>
      </c>
      <c r="L31" s="46">
        <f t="shared" ref="L31:L45" si="14">I31-H31</f>
        <v>-0.20000000000000018</v>
      </c>
      <c r="M31" s="46">
        <f t="shared" ref="M31:M45" si="15">((I31-H31)/H31)*100</f>
        <v>-14.814814814814827</v>
      </c>
      <c r="N31" s="50">
        <v>100</v>
      </c>
      <c r="O31" s="37">
        <v>115</v>
      </c>
      <c r="P31" s="51">
        <f t="shared" ref="P31:P36" si="16">(R31)/J31</f>
        <v>0</v>
      </c>
      <c r="Q31" s="48">
        <f t="shared" ref="Q31:Q45" si="17">I31/G31-1</f>
        <v>-0.1785714285714286</v>
      </c>
      <c r="R31" s="49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4357016.0144622503</v>
      </c>
      <c r="E32" s="39">
        <f t="shared" si="1"/>
        <v>3622749.890625</v>
      </c>
      <c r="F32" s="40" t="s">
        <v>39</v>
      </c>
      <c r="G32" s="41">
        <v>0.65</v>
      </c>
      <c r="H32" s="42">
        <v>0.9</v>
      </c>
      <c r="I32" s="43">
        <v>0.95</v>
      </c>
      <c r="J32" s="44">
        <f t="shared" si="8"/>
        <v>3.5704621305511289E-2</v>
      </c>
      <c r="K32" s="45">
        <f t="shared" si="9"/>
        <v>2.9687499999999999E-2</v>
      </c>
      <c r="L32" s="46">
        <f t="shared" si="14"/>
        <v>4.9999999999999933E-2</v>
      </c>
      <c r="M32" s="46">
        <f t="shared" si="15"/>
        <v>5.5555555555555483</v>
      </c>
      <c r="N32" s="50">
        <v>100</v>
      </c>
      <c r="O32" s="37">
        <v>95</v>
      </c>
      <c r="P32" s="51">
        <f t="shared" si="16"/>
        <v>0</v>
      </c>
      <c r="Q32" s="48">
        <f t="shared" si="17"/>
        <v>0.46153846153846145</v>
      </c>
      <c r="R32" s="49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88162820.981538832</v>
      </c>
      <c r="E33" s="39">
        <f t="shared" si="1"/>
        <v>73305181.575625002</v>
      </c>
      <c r="F33" s="40" t="s">
        <v>92</v>
      </c>
      <c r="G33" s="41">
        <v>1.44</v>
      </c>
      <c r="H33" s="42">
        <v>1.1025</v>
      </c>
      <c r="I33" s="43">
        <v>0.94</v>
      </c>
      <c r="J33" s="44">
        <f t="shared" si="8"/>
        <v>3.532878318650591E-2</v>
      </c>
      <c r="K33" s="45">
        <f t="shared" si="9"/>
        <v>2.9374999999999998E-2</v>
      </c>
      <c r="L33" s="46">
        <f t="shared" si="14"/>
        <v>-0.16250000000000009</v>
      </c>
      <c r="M33" s="46">
        <f t="shared" si="15"/>
        <v>-14.739229024943318</v>
      </c>
      <c r="N33" s="50">
        <v>300</v>
      </c>
      <c r="O33" s="37">
        <v>282</v>
      </c>
      <c r="P33" s="51">
        <f t="shared" si="16"/>
        <v>0</v>
      </c>
      <c r="Q33" s="48">
        <f t="shared" si="17"/>
        <v>-0.34722222222222221</v>
      </c>
      <c r="R33" s="49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35437570.56400764</v>
      </c>
      <c r="E34" s="39">
        <f t="shared" si="1"/>
        <v>29465453.98470825</v>
      </c>
      <c r="F34" s="40" t="s">
        <v>34</v>
      </c>
      <c r="G34" s="41">
        <v>3.6056249999999999</v>
      </c>
      <c r="H34" s="42">
        <v>4</v>
      </c>
      <c r="I34" s="43">
        <v>3.719608</v>
      </c>
      <c r="J34" s="44">
        <f t="shared" si="8"/>
        <v>0.13979704741573709</v>
      </c>
      <c r="K34" s="45">
        <f t="shared" si="9"/>
        <v>0.11623775</v>
      </c>
      <c r="L34" s="46">
        <f t="shared" si="14"/>
        <v>-0.28039199999999997</v>
      </c>
      <c r="M34" s="46">
        <f t="shared" si="15"/>
        <v>-7.0097999999999994</v>
      </c>
      <c r="N34" s="50">
        <v>5100</v>
      </c>
      <c r="O34" s="37">
        <v>18970</v>
      </c>
      <c r="P34" s="51">
        <f t="shared" si="16"/>
        <v>0</v>
      </c>
      <c r="Q34" s="48">
        <f t="shared" si="17"/>
        <v>3.1612549835326798E-2</v>
      </c>
      <c r="R34" s="49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10632649.935355844</v>
      </c>
      <c r="E35" s="39">
        <f t="shared" si="1"/>
        <v>8840782.6050000004</v>
      </c>
      <c r="F35" s="40" t="s">
        <v>34</v>
      </c>
      <c r="G35" s="41">
        <v>2.5099999999999997E-2</v>
      </c>
      <c r="H35" s="42">
        <v>6.0061999999999997E-2</v>
      </c>
      <c r="I35" s="43">
        <v>0.06</v>
      </c>
      <c r="J35" s="44">
        <f t="shared" si="8"/>
        <v>2.2550287140322921E-3</v>
      </c>
      <c r="K35" s="45">
        <f t="shared" si="9"/>
        <v>1.8749999999999999E-3</v>
      </c>
      <c r="L35" s="46">
        <f t="shared" si="14"/>
        <v>-6.1999999999999555E-5</v>
      </c>
      <c r="M35" s="46">
        <f t="shared" si="15"/>
        <v>-0.10322666577869462</v>
      </c>
      <c r="N35" s="50">
        <v>200</v>
      </c>
      <c r="O35" s="37">
        <v>12</v>
      </c>
      <c r="P35" s="51">
        <f t="shared" si="16"/>
        <v>0</v>
      </c>
      <c r="Q35" s="48">
        <f t="shared" si="17"/>
        <v>1.3904382470119523</v>
      </c>
      <c r="R35" s="49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69072223.890525863</v>
      </c>
      <c r="E36" s="39">
        <f t="shared" si="1"/>
        <v>57431827.359375</v>
      </c>
      <c r="F36" s="40" t="s">
        <v>92</v>
      </c>
      <c r="G36" s="41">
        <v>0.61</v>
      </c>
      <c r="H36" s="42">
        <v>3.5769229999999999</v>
      </c>
      <c r="I36" s="43">
        <v>3.5</v>
      </c>
      <c r="J36" s="44">
        <f t="shared" si="8"/>
        <v>0.13154334165188369</v>
      </c>
      <c r="K36" s="45">
        <f t="shared" si="9"/>
        <v>0.109375</v>
      </c>
      <c r="L36" s="46">
        <f t="shared" si="14"/>
        <v>-7.6922999999999853E-2</v>
      </c>
      <c r="M36" s="46">
        <f t="shared" si="15"/>
        <v>-2.1505355301190394</v>
      </c>
      <c r="N36" s="50">
        <v>122000</v>
      </c>
      <c r="O36" s="37">
        <v>427000</v>
      </c>
      <c r="P36" s="51">
        <f t="shared" si="16"/>
        <v>0</v>
      </c>
      <c r="Q36" s="48">
        <f t="shared" si="17"/>
        <v>4.7377049180327866</v>
      </c>
      <c r="R36" s="49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137469527.90895411</v>
      </c>
      <c r="E37" s="39">
        <f t="shared" si="1"/>
        <v>114302475.71809761</v>
      </c>
      <c r="F37" s="40" t="s">
        <v>56</v>
      </c>
      <c r="G37" s="41">
        <v>0.11650199999999999</v>
      </c>
      <c r="H37" s="42">
        <v>0.82605999999999991</v>
      </c>
      <c r="I37" s="43">
        <v>0.87195599999999995</v>
      </c>
      <c r="J37" s="44">
        <f t="shared" si="8"/>
        <v>3.2771430289545683E-2</v>
      </c>
      <c r="K37" s="45">
        <f t="shared" si="9"/>
        <v>2.7248624999999999E-2</v>
      </c>
      <c r="L37" s="46">
        <f t="shared" si="14"/>
        <v>4.5896000000000048E-2</v>
      </c>
      <c r="M37" s="46">
        <f t="shared" si="15"/>
        <v>5.5560128804203153</v>
      </c>
      <c r="N37" s="50">
        <v>18200</v>
      </c>
      <c r="O37" s="37">
        <v>15869.6</v>
      </c>
      <c r="P37" s="51">
        <v>0</v>
      </c>
      <c r="Q37" s="48">
        <f t="shared" si="17"/>
        <v>6.4844723695730542</v>
      </c>
      <c r="R37" s="49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20229603.010793358</v>
      </c>
      <c r="E38" s="39">
        <f t="shared" si="1"/>
        <v>16820409.163399406</v>
      </c>
      <c r="F38" s="40" t="s">
        <v>39</v>
      </c>
      <c r="G38" s="41">
        <v>0.1</v>
      </c>
      <c r="H38" s="42">
        <v>0.13</v>
      </c>
      <c r="I38" s="43">
        <v>0.124719</v>
      </c>
      <c r="J38" s="44">
        <f t="shared" si="8"/>
        <v>4.6874154364232243E-3</v>
      </c>
      <c r="K38" s="45">
        <f t="shared" si="9"/>
        <v>3.8974687499999999E-3</v>
      </c>
      <c r="L38" s="46">
        <f t="shared" si="14"/>
        <v>-5.2810000000000079E-3</v>
      </c>
      <c r="M38" s="46">
        <f t="shared" si="15"/>
        <v>-4.0623076923076979</v>
      </c>
      <c r="N38" s="50">
        <v>32000</v>
      </c>
      <c r="O38" s="37">
        <v>3991</v>
      </c>
      <c r="P38" s="51">
        <f t="shared" ref="P38:P44" si="18">(R38)/J38</f>
        <v>0</v>
      </c>
      <c r="Q38" s="48">
        <f t="shared" si="17"/>
        <v>0.2471899999999998</v>
      </c>
      <c r="R38" s="49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9003842.3152379822</v>
      </c>
      <c r="E39" s="39">
        <f t="shared" si="1"/>
        <v>7486469.7890625</v>
      </c>
      <c r="F39" s="40" t="s">
        <v>44</v>
      </c>
      <c r="G39" s="41">
        <v>1.7452379999999998</v>
      </c>
      <c r="H39" s="42">
        <v>2</v>
      </c>
      <c r="I39" s="43">
        <v>2.25</v>
      </c>
      <c r="J39" s="44">
        <f t="shared" si="8"/>
        <v>8.4563576776210958E-2</v>
      </c>
      <c r="K39" s="45">
        <f t="shared" si="9"/>
        <v>7.03125E-2</v>
      </c>
      <c r="L39" s="46">
        <f t="shared" si="14"/>
        <v>0.25</v>
      </c>
      <c r="M39" s="46">
        <f t="shared" si="15"/>
        <v>12.5</v>
      </c>
      <c r="N39" s="50">
        <v>8200</v>
      </c>
      <c r="O39" s="37">
        <v>18450</v>
      </c>
      <c r="P39" s="51">
        <f t="shared" si="18"/>
        <v>0</v>
      </c>
      <c r="Q39" s="48">
        <f t="shared" si="17"/>
        <v>0.28922244415947862</v>
      </c>
      <c r="R39" s="49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3467233.7597796088</v>
      </c>
      <c r="E40" s="39">
        <f t="shared" si="1"/>
        <v>2882918.19041275</v>
      </c>
      <c r="F40" s="40" t="s">
        <v>39</v>
      </c>
      <c r="G40" s="41">
        <v>0.03</v>
      </c>
      <c r="H40" s="42">
        <v>5.2327000000000005E-2</v>
      </c>
      <c r="I40" s="43">
        <v>5.1886000000000002E-2</v>
      </c>
      <c r="J40" s="44">
        <f t="shared" si="8"/>
        <v>1.9500736642713251E-3</v>
      </c>
      <c r="K40" s="45">
        <f t="shared" si="9"/>
        <v>1.6214375E-3</v>
      </c>
      <c r="L40" s="46">
        <f t="shared" si="14"/>
        <v>-4.4100000000000389E-4</v>
      </c>
      <c r="M40" s="46">
        <f t="shared" si="15"/>
        <v>-0.84277715137501452</v>
      </c>
      <c r="N40" s="50">
        <v>1400</v>
      </c>
      <c r="O40" s="37">
        <v>72.64</v>
      </c>
      <c r="P40" s="51">
        <f t="shared" si="18"/>
        <v>0</v>
      </c>
      <c r="Q40" s="48">
        <f t="shared" si="17"/>
        <v>0.72953333333333337</v>
      </c>
      <c r="R40" s="49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46090371.039962642</v>
      </c>
      <c r="E41" s="39">
        <f t="shared" si="1"/>
        <v>38322991.260452941</v>
      </c>
      <c r="F41" s="40" t="s">
        <v>47</v>
      </c>
      <c r="G41" s="41">
        <v>4.5</v>
      </c>
      <c r="H41" s="42">
        <v>7</v>
      </c>
      <c r="I41" s="43">
        <v>7.0000070000000001</v>
      </c>
      <c r="J41" s="44">
        <f t="shared" si="8"/>
        <v>0.26308694639045072</v>
      </c>
      <c r="K41" s="45">
        <f t="shared" si="9"/>
        <v>0.21875021875</v>
      </c>
      <c r="L41" s="46">
        <f t="shared" si="14"/>
        <v>7.0000000000902673E-6</v>
      </c>
      <c r="M41" s="46">
        <f t="shared" si="15"/>
        <v>1.0000000000128954E-4</v>
      </c>
      <c r="N41" s="50">
        <v>2406000</v>
      </c>
      <c r="O41" s="37">
        <v>16842016</v>
      </c>
      <c r="P41" s="51">
        <f t="shared" si="18"/>
        <v>0</v>
      </c>
      <c r="Q41" s="48">
        <f t="shared" si="17"/>
        <v>0.55555711111111106</v>
      </c>
      <c r="R41" s="49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313.45191895426808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6.7650861420968768E-7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1558675.8471391206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2.7060344568387508E-3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1000</v>
      </c>
      <c r="O43" s="37">
        <v>72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49372465.83199285</v>
      </c>
      <c r="E44" s="39">
        <f t="shared" si="1"/>
        <v>41051971.02765625</v>
      </c>
      <c r="F44" s="40" t="s">
        <v>47</v>
      </c>
      <c r="G44" s="41">
        <v>0.9998999999999999</v>
      </c>
      <c r="H44" s="42">
        <v>0.7013330000000001</v>
      </c>
      <c r="I44" s="43">
        <v>0.72250000000000003</v>
      </c>
      <c r="J44" s="44">
        <f t="shared" si="8"/>
        <v>2.7154304098138852E-2</v>
      </c>
      <c r="K44" s="45">
        <f t="shared" si="9"/>
        <v>2.2578125000000001E-2</v>
      </c>
      <c r="L44" s="46">
        <f t="shared" si="14"/>
        <v>2.1166999999999936E-2</v>
      </c>
      <c r="M44" s="46">
        <f t="shared" si="15"/>
        <v>3.0181097994818344</v>
      </c>
      <c r="N44" s="50">
        <v>200</v>
      </c>
      <c r="O44" s="37">
        <v>144.5</v>
      </c>
      <c r="P44" s="51">
        <f t="shared" si="18"/>
        <v>0</v>
      </c>
      <c r="Q44" s="48">
        <f t="shared" si="17"/>
        <v>-0.27742774277427729</v>
      </c>
      <c r="R44" s="49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15431661.305962298</v>
      </c>
      <c r="E45" s="39">
        <f t="shared" si="1"/>
        <v>12831040.584375</v>
      </c>
      <c r="F45" s="40" t="s">
        <v>47</v>
      </c>
      <c r="G45" s="41">
        <v>1.4503460000000001</v>
      </c>
      <c r="H45" s="42">
        <v>4.4400000000000004</v>
      </c>
      <c r="I45" s="43">
        <v>3.9975000000000001</v>
      </c>
      <c r="J45" s="44">
        <f t="shared" si="8"/>
        <v>0.15024128807240147</v>
      </c>
      <c r="K45" s="45">
        <f t="shared" si="9"/>
        <v>0.124921875</v>
      </c>
      <c r="L45" s="46">
        <f t="shared" si="14"/>
        <v>-0.44250000000000034</v>
      </c>
      <c r="M45" s="46">
        <f t="shared" si="15"/>
        <v>-9.9662162162162229</v>
      </c>
      <c r="N45" s="50">
        <v>400</v>
      </c>
      <c r="O45" s="37">
        <v>1599</v>
      </c>
      <c r="P45" s="51">
        <v>0</v>
      </c>
      <c r="Q45" s="48">
        <f t="shared" si="17"/>
        <v>1.7562388561074389</v>
      </c>
      <c r="R45" s="49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2706600</v>
      </c>
      <c r="O47" s="61">
        <f>SUM(O9:O45)</f>
        <v>19609623.990000002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103632785.442</v>
      </c>
      <c r="E50" s="39">
        <v>0</v>
      </c>
      <c r="F50" s="40" t="s">
        <v>92</v>
      </c>
      <c r="G50" s="70">
        <v>0.1</v>
      </c>
      <c r="H50" s="42">
        <v>0.18429999999999999</v>
      </c>
      <c r="I50" s="42">
        <v>0.183</v>
      </c>
      <c r="J50" s="44">
        <f t="shared" ref="J50:J65" si="20">I50</f>
        <v>0.183</v>
      </c>
      <c r="K50" s="39">
        <v>0</v>
      </c>
      <c r="L50" s="46">
        <f t="shared" ref="L50:L65" si="21">I50-H50</f>
        <v>-1.2999999999999956E-3</v>
      </c>
      <c r="M50" s="46">
        <f t="shared" ref="M50:M65" si="22">((I50-H50)/H50)*100</f>
        <v>-0.70537167661421352</v>
      </c>
      <c r="N50" s="50">
        <v>2507</v>
      </c>
      <c r="O50" s="37">
        <v>458.65</v>
      </c>
      <c r="P50" s="71">
        <f>(R50)/J50</f>
        <v>0</v>
      </c>
      <c r="Q50" s="48">
        <f t="shared" ref="Q50:Q65" si="23">J50/G50-1</f>
        <v>0.82999999999999985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39476888.242799997</v>
      </c>
      <c r="E51" s="39">
        <v>0</v>
      </c>
      <c r="F51" s="40" t="s">
        <v>39</v>
      </c>
      <c r="G51" s="70">
        <v>39.9</v>
      </c>
      <c r="H51" s="42">
        <v>37.85</v>
      </c>
      <c r="I51" s="42">
        <v>35.503799999999998</v>
      </c>
      <c r="J51" s="44">
        <f t="shared" si="20"/>
        <v>35.503799999999998</v>
      </c>
      <c r="K51" s="39">
        <v>0</v>
      </c>
      <c r="L51" s="46">
        <f t="shared" si="21"/>
        <v>-2.3462000000000032</v>
      </c>
      <c r="M51" s="46">
        <f t="shared" si="22"/>
        <v>-6.1986789960369961</v>
      </c>
      <c r="N51" s="50">
        <v>1253</v>
      </c>
      <c r="O51" s="37">
        <v>44486.2</v>
      </c>
      <c r="P51" s="72">
        <f>(R51)/J51</f>
        <v>1.5772959514192848E-2</v>
      </c>
      <c r="Q51" s="48">
        <f t="shared" si="23"/>
        <v>-0.1101804511278196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688496753.01030004</v>
      </c>
      <c r="E52" s="39"/>
      <c r="F52" s="40" t="s">
        <v>56</v>
      </c>
      <c r="G52" s="70">
        <v>0.33</v>
      </c>
      <c r="H52" s="42">
        <v>0.2266</v>
      </c>
      <c r="I52" s="42">
        <v>0.2301</v>
      </c>
      <c r="J52" s="44">
        <f t="shared" si="20"/>
        <v>0.2301</v>
      </c>
      <c r="K52" s="39">
        <v>0</v>
      </c>
      <c r="L52" s="46">
        <f t="shared" si="21"/>
        <v>3.5000000000000031E-3</v>
      </c>
      <c r="M52" s="46">
        <f t="shared" si="22"/>
        <v>1.5445719329214489</v>
      </c>
      <c r="N52" s="50">
        <v>64264</v>
      </c>
      <c r="O52" s="37">
        <v>14784.03</v>
      </c>
      <c r="P52" s="71">
        <v>0</v>
      </c>
      <c r="Q52" s="48">
        <f t="shared" si="23"/>
        <v>-0.30272727272727273</v>
      </c>
      <c r="R52" s="52"/>
      <c r="T52" s="52"/>
    </row>
    <row r="53" spans="1:20" ht="7.5" hidden="1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346031348.63999999</v>
      </c>
      <c r="E54" s="39">
        <v>0</v>
      </c>
      <c r="F54" s="40" t="s">
        <v>47</v>
      </c>
      <c r="G54" s="70">
        <v>9.0200000000000002E-2</v>
      </c>
      <c r="H54" s="42">
        <v>0.16</v>
      </c>
      <c r="I54" s="42">
        <v>0.16</v>
      </c>
      <c r="J54" s="44">
        <f t="shared" si="20"/>
        <v>0.16</v>
      </c>
      <c r="K54" s="39">
        <v>0</v>
      </c>
      <c r="L54" s="46">
        <f t="shared" si="21"/>
        <v>0</v>
      </c>
      <c r="M54" s="74">
        <f t="shared" si="22"/>
        <v>0</v>
      </c>
      <c r="N54" s="50">
        <v>19070</v>
      </c>
      <c r="O54" s="37">
        <v>3050.66</v>
      </c>
      <c r="P54" s="71">
        <f t="shared" si="24"/>
        <v>0</v>
      </c>
      <c r="Q54" s="48">
        <f t="shared" si="23"/>
        <v>0.77383592017738367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806297030</v>
      </c>
      <c r="E55" s="39">
        <v>0</v>
      </c>
      <c r="F55" s="40" t="s">
        <v>34</v>
      </c>
      <c r="G55" s="70">
        <v>0.95750000000000002</v>
      </c>
      <c r="H55" s="42">
        <v>1.4007000000000001</v>
      </c>
      <c r="I55" s="42">
        <v>1.4</v>
      </c>
      <c r="J55" s="44">
        <f t="shared" si="20"/>
        <v>1.4</v>
      </c>
      <c r="K55" s="39">
        <v>0</v>
      </c>
      <c r="L55" s="46">
        <f t="shared" si="21"/>
        <v>-7.0000000000014495E-4</v>
      </c>
      <c r="M55" s="46">
        <f t="shared" si="22"/>
        <v>-4.9975012493763467E-2</v>
      </c>
      <c r="N55" s="50">
        <v>528546</v>
      </c>
      <c r="O55" s="37">
        <v>739978.54</v>
      </c>
      <c r="P55" s="72">
        <f t="shared" si="24"/>
        <v>3.3571428571428572E-2</v>
      </c>
      <c r="Q55" s="48">
        <f t="shared" si="23"/>
        <v>0.46214099216710181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20230452.950400002</v>
      </c>
      <c r="E56" s="39">
        <v>0</v>
      </c>
      <c r="F56" s="40" t="s">
        <v>34</v>
      </c>
      <c r="G56" s="70">
        <v>0.1595</v>
      </c>
      <c r="H56" s="42">
        <v>0.14860000000000001</v>
      </c>
      <c r="I56" s="42">
        <v>0.1232</v>
      </c>
      <c r="J56" s="44">
        <f t="shared" si="20"/>
        <v>0.1232</v>
      </c>
      <c r="K56" s="39">
        <v>0</v>
      </c>
      <c r="L56" s="46">
        <f t="shared" si="21"/>
        <v>-2.5400000000000006E-2</v>
      </c>
      <c r="M56" s="46">
        <f t="shared" si="22"/>
        <v>-17.092866756393004</v>
      </c>
      <c r="N56" s="50">
        <v>11331</v>
      </c>
      <c r="O56" s="37">
        <v>1396.43</v>
      </c>
      <c r="P56" s="71">
        <f t="shared" si="24"/>
        <v>0</v>
      </c>
      <c r="Q56" s="48">
        <f t="shared" si="23"/>
        <v>-0.22758620689655173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22065991.942400001</v>
      </c>
      <c r="E57" s="39">
        <v>0</v>
      </c>
      <c r="F57" s="40" t="s">
        <v>92</v>
      </c>
      <c r="G57" s="70">
        <v>1.6799999999999999E-2</v>
      </c>
      <c r="H57" s="42">
        <v>2.23E-2</v>
      </c>
      <c r="I57" s="42">
        <v>2.24E-2</v>
      </c>
      <c r="J57" s="44">
        <f t="shared" si="20"/>
        <v>2.24E-2</v>
      </c>
      <c r="K57" s="39">
        <v>0</v>
      </c>
      <c r="L57" s="46">
        <f t="shared" si="21"/>
        <v>9.9999999999999395E-5</v>
      </c>
      <c r="M57" s="74">
        <f t="shared" si="22"/>
        <v>0.4484304932735399</v>
      </c>
      <c r="N57" s="50">
        <v>13400</v>
      </c>
      <c r="O57" s="37">
        <v>300.24</v>
      </c>
      <c r="P57" s="71">
        <f t="shared" si="24"/>
        <v>0</v>
      </c>
      <c r="Q57" s="48">
        <f t="shared" si="23"/>
        <v>0.33333333333333348</v>
      </c>
      <c r="R57" s="52"/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2687888.7090999996</v>
      </c>
      <c r="E58" s="39">
        <v>0</v>
      </c>
      <c r="F58" s="40" t="s">
        <v>137</v>
      </c>
      <c r="G58" s="70">
        <v>19.5</v>
      </c>
      <c r="H58" s="42">
        <v>17</v>
      </c>
      <c r="I58" s="42">
        <v>16.666699999999999</v>
      </c>
      <c r="J58" s="44">
        <f t="shared" si="20"/>
        <v>16.666699999999999</v>
      </c>
      <c r="K58" s="39">
        <v>0</v>
      </c>
      <c r="L58" s="46">
        <f t="shared" si="21"/>
        <v>-0.33330000000000126</v>
      </c>
      <c r="M58" s="46">
        <f t="shared" si="22"/>
        <v>-1.9605882352941251</v>
      </c>
      <c r="N58" s="50">
        <v>3</v>
      </c>
      <c r="O58" s="37">
        <v>50</v>
      </c>
      <c r="P58" s="71">
        <f t="shared" si="24"/>
        <v>0</v>
      </c>
      <c r="Q58" s="48">
        <f t="shared" si="23"/>
        <v>-0.14529743589743593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3935782620.875</v>
      </c>
      <c r="E59" s="39">
        <v>0</v>
      </c>
      <c r="F59" s="40" t="s">
        <v>47</v>
      </c>
      <c r="G59" s="70">
        <v>0.78169999999999995</v>
      </c>
      <c r="H59" s="51">
        <v>0.87480000000000002</v>
      </c>
      <c r="I59" s="42">
        <v>0.875</v>
      </c>
      <c r="J59" s="44">
        <f t="shared" si="20"/>
        <v>0.875</v>
      </c>
      <c r="K59" s="39">
        <v>0</v>
      </c>
      <c r="L59" s="46">
        <f t="shared" si="21"/>
        <v>1.9999999999997797E-4</v>
      </c>
      <c r="M59" s="46">
        <f t="shared" si="22"/>
        <v>2.2862368541378367E-2</v>
      </c>
      <c r="N59" s="75">
        <v>580</v>
      </c>
      <c r="O59" s="76">
        <v>507.5</v>
      </c>
      <c r="P59" s="71">
        <f t="shared" si="24"/>
        <v>0</v>
      </c>
      <c r="Q59" s="48">
        <f t="shared" si="23"/>
        <v>0.11935525137520786</v>
      </c>
      <c r="R59" s="52"/>
      <c r="S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1179457510.7150002</v>
      </c>
      <c r="E60" s="39">
        <v>0</v>
      </c>
      <c r="F60" s="40" t="s">
        <v>92</v>
      </c>
      <c r="G60" s="70">
        <v>0.59499999999999997</v>
      </c>
      <c r="H60" s="42">
        <v>1.4696</v>
      </c>
      <c r="I60" s="42">
        <v>1.4650000000000001</v>
      </c>
      <c r="J60" s="44">
        <f t="shared" si="20"/>
        <v>1.4650000000000001</v>
      </c>
      <c r="K60" s="39">
        <v>0</v>
      </c>
      <c r="L60" s="46">
        <f t="shared" si="21"/>
        <v>-4.5999999999999375E-3</v>
      </c>
      <c r="M60" s="46">
        <f t="shared" si="22"/>
        <v>-0.31301034295045849</v>
      </c>
      <c r="N60" s="50">
        <v>4385</v>
      </c>
      <c r="O60" s="37">
        <v>6424.07</v>
      </c>
      <c r="P60" s="71">
        <f t="shared" si="24"/>
        <v>0</v>
      </c>
      <c r="Q60" s="48">
        <f t="shared" si="23"/>
        <v>1.46218487394958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105824022.85619999</v>
      </c>
      <c r="E61" s="39">
        <v>0</v>
      </c>
      <c r="F61" s="40" t="s">
        <v>34</v>
      </c>
      <c r="G61" s="70">
        <v>0.22600000000000001</v>
      </c>
      <c r="H61" s="42">
        <v>0.38700000000000001</v>
      </c>
      <c r="I61" s="42">
        <v>0.40589999999999998</v>
      </c>
      <c r="J61" s="44">
        <f t="shared" si="20"/>
        <v>0.40589999999999998</v>
      </c>
      <c r="K61" s="39">
        <v>0</v>
      </c>
      <c r="L61" s="46">
        <f t="shared" si="21"/>
        <v>1.8899999999999972E-2</v>
      </c>
      <c r="M61" s="46">
        <f t="shared" si="22"/>
        <v>4.8837209302325508</v>
      </c>
      <c r="N61" s="50">
        <v>204</v>
      </c>
      <c r="O61" s="37">
        <v>82.81</v>
      </c>
      <c r="P61" s="71">
        <f t="shared" si="24"/>
        <v>0</v>
      </c>
      <c r="Q61" s="48">
        <f t="shared" si="23"/>
        <v>0.79601769911504405</v>
      </c>
      <c r="T61" s="52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383691117.81</v>
      </c>
      <c r="E62" s="39">
        <v>0</v>
      </c>
      <c r="F62" s="40" t="s">
        <v>34</v>
      </c>
      <c r="G62" s="70">
        <v>0.49440000000000001</v>
      </c>
      <c r="H62" s="42">
        <v>0.66090000000000004</v>
      </c>
      <c r="I62" s="42">
        <v>0.6825</v>
      </c>
      <c r="J62" s="44">
        <f t="shared" si="20"/>
        <v>0.6825</v>
      </c>
      <c r="K62" s="39">
        <v>0</v>
      </c>
      <c r="L62" s="46">
        <f t="shared" si="21"/>
        <v>2.1599999999999953E-2</v>
      </c>
      <c r="M62" s="46">
        <f t="shared" si="22"/>
        <v>3.2682705401724848</v>
      </c>
      <c r="N62" s="50">
        <v>4401</v>
      </c>
      <c r="O62" s="37">
        <v>3003.69</v>
      </c>
      <c r="P62" s="71">
        <f t="shared" si="24"/>
        <v>0</v>
      </c>
      <c r="Q62" s="48">
        <f t="shared" si="23"/>
        <v>0.38046116504854366</v>
      </c>
      <c r="R62" s="52"/>
      <c r="T62" s="52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76550467.349999994</v>
      </c>
      <c r="E63" s="39">
        <v>0</v>
      </c>
      <c r="F63" s="40" t="s">
        <v>34</v>
      </c>
      <c r="G63" s="70">
        <v>0.25950000000000001</v>
      </c>
      <c r="H63" s="42">
        <v>0.2155</v>
      </c>
      <c r="I63" s="42">
        <v>0.21</v>
      </c>
      <c r="J63" s="44">
        <f t="shared" si="20"/>
        <v>0.21</v>
      </c>
      <c r="K63" s="39">
        <v>0</v>
      </c>
      <c r="L63" s="46">
        <f t="shared" si="21"/>
        <v>-5.5000000000000049E-3</v>
      </c>
      <c r="M63" s="46">
        <f t="shared" si="22"/>
        <v>-2.5522041763341092</v>
      </c>
      <c r="N63" s="50">
        <v>1100977</v>
      </c>
      <c r="O63" s="37">
        <v>231206.99</v>
      </c>
      <c r="P63" s="71">
        <f t="shared" si="24"/>
        <v>0</v>
      </c>
      <c r="Q63" s="48">
        <f t="shared" si="23"/>
        <v>-0.19075144508670527</v>
      </c>
      <c r="R63" s="52"/>
      <c r="T63" s="52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420000000</v>
      </c>
      <c r="E64" s="39">
        <v>0</v>
      </c>
      <c r="F64" s="40" t="s">
        <v>66</v>
      </c>
      <c r="G64" s="70">
        <v>10</v>
      </c>
      <c r="H64" s="42">
        <v>13.5</v>
      </c>
      <c r="I64" s="42">
        <v>14</v>
      </c>
      <c r="J64" s="44">
        <f t="shared" si="20"/>
        <v>14</v>
      </c>
      <c r="K64" s="39">
        <v>0</v>
      </c>
      <c r="L64" s="46">
        <f t="shared" si="21"/>
        <v>0.5</v>
      </c>
      <c r="M64" s="46">
        <f t="shared" si="22"/>
        <v>3.7037037037037033</v>
      </c>
      <c r="N64" s="50">
        <v>235564</v>
      </c>
      <c r="O64" s="37">
        <v>669130.69999999995</v>
      </c>
      <c r="P64" s="71">
        <f t="shared" si="24"/>
        <v>0</v>
      </c>
      <c r="Q64" s="48">
        <f t="shared" si="23"/>
        <v>0.39999999999999991</v>
      </c>
      <c r="T64" s="52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41349658.32</v>
      </c>
      <c r="E65" s="39">
        <v>0</v>
      </c>
      <c r="F65" s="40" t="s">
        <v>44</v>
      </c>
      <c r="G65" s="70">
        <v>4.2999999999999997E-2</v>
      </c>
      <c r="H65" s="42">
        <v>0.1</v>
      </c>
      <c r="I65" s="42">
        <v>0.12</v>
      </c>
      <c r="J65" s="44">
        <f t="shared" si="20"/>
        <v>0.12</v>
      </c>
      <c r="K65" s="39">
        <v>0</v>
      </c>
      <c r="L65" s="46">
        <f t="shared" si="21"/>
        <v>1.999999999999999E-2</v>
      </c>
      <c r="M65" s="46">
        <f t="shared" si="22"/>
        <v>19.999999999999989</v>
      </c>
      <c r="N65" s="50">
        <v>100</v>
      </c>
      <c r="O65" s="37">
        <v>12</v>
      </c>
      <c r="P65" s="71">
        <f t="shared" si="24"/>
        <v>0</v>
      </c>
      <c r="Q65" s="48">
        <f t="shared" si="23"/>
        <v>1.7906976744186047</v>
      </c>
      <c r="T65" s="52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1986585</v>
      </c>
      <c r="O66" s="62">
        <f>SUM(O50:O65)</f>
        <v>1714872.51</v>
      </c>
      <c r="P66" s="80"/>
      <c r="Q66" s="63"/>
    </row>
    <row r="67" spans="1:20" ht="12.6" hidden="1" x14ac:dyDescent="0.3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6" x14ac:dyDescent="0.3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48755205.449999996</v>
      </c>
      <c r="E71" s="39">
        <f>C71*K71</f>
        <v>48755205.449999996</v>
      </c>
      <c r="F71" s="92" t="s">
        <v>159</v>
      </c>
      <c r="G71" s="92">
        <v>0.24</v>
      </c>
      <c r="H71" s="93">
        <v>0.35</v>
      </c>
      <c r="I71" s="93">
        <v>0.35</v>
      </c>
      <c r="J71" s="94">
        <f>I71</f>
        <v>0.35</v>
      </c>
      <c r="K71" s="94">
        <f>J71</f>
        <v>0.35</v>
      </c>
      <c r="L71" s="46">
        <f>I71-H71</f>
        <v>0</v>
      </c>
      <c r="M71" s="46">
        <f>((I71-H71)/H71)*100</f>
        <v>0</v>
      </c>
      <c r="N71" s="95">
        <v>131</v>
      </c>
      <c r="O71" s="96">
        <v>45.85</v>
      </c>
      <c r="P71" s="71">
        <f>(R71)/J71</f>
        <v>0</v>
      </c>
      <c r="Q71" s="48">
        <f>J71/G71-1</f>
        <v>0.45833333333333326</v>
      </c>
      <c r="T71" s="52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86466204.824999988</v>
      </c>
      <c r="E72" s="39">
        <f>C72*K72</f>
        <v>86466204.824999988</v>
      </c>
      <c r="F72" s="92" t="s">
        <v>159</v>
      </c>
      <c r="G72" s="92">
        <v>0.1</v>
      </c>
      <c r="H72" s="93">
        <v>0.1593</v>
      </c>
      <c r="I72" s="93">
        <v>0.15989999999999999</v>
      </c>
      <c r="J72" s="94">
        <f>I72</f>
        <v>0.15989999999999999</v>
      </c>
      <c r="K72" s="94">
        <f>J72</f>
        <v>0.15989999999999999</v>
      </c>
      <c r="L72" s="46">
        <f>I72-H72</f>
        <v>5.9999999999998943E-4</v>
      </c>
      <c r="M72" s="46">
        <f>((I72-H72)/H72)*100</f>
        <v>0.3766478342749463</v>
      </c>
      <c r="N72" s="50">
        <v>10888</v>
      </c>
      <c r="O72" s="96">
        <v>1741.45</v>
      </c>
      <c r="P72" s="97">
        <f>(R72)/J72</f>
        <v>2.3714821763602251E-2</v>
      </c>
      <c r="Q72" s="48">
        <f>J72/G72-1</f>
        <v>0.59899999999999975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11019</v>
      </c>
      <c r="O73" s="62">
        <f>SUM(O71:O72)</f>
        <v>1787.3</v>
      </c>
      <c r="P73" s="90"/>
      <c r="Q73" s="63"/>
    </row>
    <row r="74" spans="1:20" ht="12.6" x14ac:dyDescent="0.3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7265877.7581000002</v>
      </c>
      <c r="E75" s="39">
        <f>C75*K75</f>
        <v>7265877.7581000002</v>
      </c>
      <c r="F75" s="92" t="s">
        <v>137</v>
      </c>
      <c r="G75" s="92">
        <v>0.1394</v>
      </c>
      <c r="H75" s="93">
        <v>0.1145</v>
      </c>
      <c r="I75" s="93">
        <v>0.11310000000000001</v>
      </c>
      <c r="J75" s="94">
        <f>I75</f>
        <v>0.11310000000000001</v>
      </c>
      <c r="K75" s="94">
        <f>J75</f>
        <v>0.11310000000000001</v>
      </c>
      <c r="L75" s="46">
        <f>I75-H75</f>
        <v>-1.3999999999999985E-3</v>
      </c>
      <c r="M75" s="46">
        <f>((I75-H75)/H75)*100</f>
        <v>-1.2227074235807847</v>
      </c>
      <c r="N75" s="95">
        <v>146</v>
      </c>
      <c r="O75" s="96">
        <v>16.510000000000002</v>
      </c>
      <c r="P75" s="71">
        <f>(R75)/J75</f>
        <v>0</v>
      </c>
      <c r="Q75" s="48">
        <f>J75/G75-1</f>
        <v>-0.18866571018651357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6" x14ac:dyDescent="0.3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131068.09322288705</v>
      </c>
      <c r="E78" s="39">
        <f>C78*K78</f>
        <v>108979.84281250001</v>
      </c>
      <c r="F78" s="40" t="s">
        <v>137</v>
      </c>
      <c r="G78" s="70">
        <v>0.105</v>
      </c>
      <c r="H78" s="42">
        <v>0.11</v>
      </c>
      <c r="I78" s="42">
        <v>0.11</v>
      </c>
      <c r="J78" s="44">
        <f>I78/$J$5</f>
        <v>4.1342193090592025E-3</v>
      </c>
      <c r="K78" s="45">
        <f>I78/$K$4</f>
        <v>3.4375E-3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4.7619047619047672E-2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445221.5386812592</v>
      </c>
      <c r="E79" s="39">
        <f>C79*K79</f>
        <v>370190.57887499995</v>
      </c>
      <c r="F79" s="40" t="s">
        <v>137</v>
      </c>
      <c r="G79" s="70">
        <v>4.2500000000000003E-2</v>
      </c>
      <c r="H79" s="42">
        <v>8.6999999999999994E-2</v>
      </c>
      <c r="I79" s="42">
        <v>8.6999999999999994E-2</v>
      </c>
      <c r="J79" s="44">
        <f>I79/$J$5</f>
        <v>3.2697916353468235E-3</v>
      </c>
      <c r="K79" s="45">
        <f>I79/$K$4</f>
        <v>2.7187499999999998E-3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1.0470588235294116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1471088.2407769326</v>
      </c>
      <c r="E80" s="39">
        <f>C80*K80</f>
        <v>1223173.095</v>
      </c>
      <c r="F80" s="40" t="s">
        <v>137</v>
      </c>
      <c r="G80" s="70">
        <v>6.0499999999999998E-2</v>
      </c>
      <c r="H80" s="42">
        <v>0.12</v>
      </c>
      <c r="I80" s="42">
        <v>0.12</v>
      </c>
      <c r="J80" s="44">
        <f>I80/$J$5</f>
        <v>4.5100574280645843E-3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0.98347107438016534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424154.79907694162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6.3516642111909563E-2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8">
        <f>I81/G81-1</f>
        <v>-8.6486486486486602E-2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0</v>
      </c>
      <c r="O82" s="62">
        <f>SUM(O78:O81)</f>
        <v>0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26301898.117802698</v>
      </c>
      <c r="E84" s="39">
        <f>C84*K84</f>
        <v>21869370.737500001</v>
      </c>
      <c r="F84" s="40" t="s">
        <v>177</v>
      </c>
      <c r="G84" s="40">
        <v>1.3</v>
      </c>
      <c r="H84" s="42">
        <v>1.9</v>
      </c>
      <c r="I84" s="42">
        <v>1.9</v>
      </c>
      <c r="J84" s="44">
        <f>I84/$J$5</f>
        <v>7.1409242611022578E-2</v>
      </c>
      <c r="K84" s="45">
        <f>I84/$K$4</f>
        <v>5.9374999999999997E-2</v>
      </c>
      <c r="L84" s="46">
        <f>I84-H84</f>
        <v>0</v>
      </c>
      <c r="M84" s="46">
        <f>((I84-H84)/H84*100)</f>
        <v>0</v>
      </c>
      <c r="N84" s="108">
        <v>0</v>
      </c>
      <c r="O84" s="76">
        <v>0</v>
      </c>
      <c r="P84" s="51">
        <f>(R84)/J84</f>
        <v>0</v>
      </c>
      <c r="Q84" s="48">
        <f>I84/G84-1</f>
        <v>0.46153846153846145</v>
      </c>
      <c r="R84" s="52"/>
    </row>
    <row r="85" spans="1:243" s="109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74638750.428643391</v>
      </c>
      <c r="E85" s="39">
        <f>C85*K85</f>
        <v>62060255.012656257</v>
      </c>
      <c r="F85" s="40" t="s">
        <v>177</v>
      </c>
      <c r="G85" s="40">
        <v>1.44347</v>
      </c>
      <c r="H85" s="42">
        <v>1.081836</v>
      </c>
      <c r="I85" s="42">
        <v>1.0786610000000001</v>
      </c>
      <c r="J85" s="44">
        <f>I85/$J$5</f>
        <v>4.0540192128446444E-2</v>
      </c>
      <c r="K85" s="45">
        <f>I85/$K$4</f>
        <v>3.3708156250000003E-2</v>
      </c>
      <c r="L85" s="46">
        <f>I85-H85</f>
        <v>-3.1749999999999279E-3</v>
      </c>
      <c r="M85" s="46">
        <f>((I85-H85)/H85*100)</f>
        <v>-0.29348256112755794</v>
      </c>
      <c r="N85" s="76">
        <v>1904808</v>
      </c>
      <c r="O85" s="76">
        <v>2054647.155</v>
      </c>
      <c r="P85" s="47">
        <f>(R85)/J85</f>
        <v>5.3675127959572085E-2</v>
      </c>
      <c r="Q85" s="48">
        <f>I85/G85-1</f>
        <v>-0.25273057285568801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3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  <c r="P88" s="115"/>
      <c r="Q88" s="16"/>
    </row>
    <row r="89" spans="1:243" ht="15" customHeight="1" x14ac:dyDescent="0.25">
      <c r="A89" s="35" t="s">
        <v>103</v>
      </c>
      <c r="B89" s="116">
        <v>2.25</v>
      </c>
      <c r="D89" s="116">
        <v>12.5</v>
      </c>
      <c r="E89" s="35" t="s">
        <v>37</v>
      </c>
      <c r="F89" s="117">
        <v>0.17899999999999999</v>
      </c>
      <c r="H89" s="118">
        <v>-14.964370546318301</v>
      </c>
      <c r="J89" s="35" t="s">
        <v>142</v>
      </c>
      <c r="K89" s="51">
        <v>0.40589999999999998</v>
      </c>
      <c r="L89" s="119">
        <v>4.8837209302325508</v>
      </c>
      <c r="M89" s="35" t="s">
        <v>131</v>
      </c>
      <c r="N89" s="117">
        <v>0.1232</v>
      </c>
      <c r="O89" s="118">
        <v>-17.092866756393004</v>
      </c>
      <c r="P89" s="118">
        <v>-1.3931214627775275</v>
      </c>
      <c r="Q89" s="16"/>
    </row>
    <row r="90" spans="1:243" ht="15" customHeight="1" x14ac:dyDescent="0.25">
      <c r="A90" s="35" t="s">
        <v>99</v>
      </c>
      <c r="B90" s="116">
        <v>0.87195599999999995</v>
      </c>
      <c r="D90" s="116">
        <v>5.5560128804203153</v>
      </c>
      <c r="E90" s="35" t="s">
        <v>86</v>
      </c>
      <c r="F90" s="117">
        <v>1.1499999999999999</v>
      </c>
      <c r="H90" s="118">
        <v>-14.814814814814827</v>
      </c>
      <c r="J90" s="35" t="s">
        <v>148</v>
      </c>
      <c r="K90" s="51">
        <v>14</v>
      </c>
      <c r="L90" s="119">
        <v>3.7037037037037033</v>
      </c>
      <c r="M90" s="35" t="s">
        <v>121</v>
      </c>
      <c r="N90" s="117">
        <v>35.503799999999998</v>
      </c>
      <c r="O90" s="118">
        <v>-6.1986789960369961</v>
      </c>
      <c r="P90" s="118">
        <v>-0.80321285140561771</v>
      </c>
      <c r="Q90" s="16"/>
    </row>
    <row r="91" spans="1:243" ht="15" customHeight="1" x14ac:dyDescent="0.25">
      <c r="A91" s="35" t="s">
        <v>88</v>
      </c>
      <c r="B91" s="116">
        <v>0.95</v>
      </c>
      <c r="C91" s="116"/>
      <c r="D91" s="116">
        <v>5.5555555555555483</v>
      </c>
      <c r="E91" s="120" t="s">
        <v>90</v>
      </c>
      <c r="F91" s="117">
        <v>0.94</v>
      </c>
      <c r="G91" s="121"/>
      <c r="H91" s="118">
        <v>-14.739229024943318</v>
      </c>
      <c r="J91" s="35" t="s">
        <v>144</v>
      </c>
      <c r="K91" s="51">
        <v>0.6825</v>
      </c>
      <c r="L91" s="119">
        <v>3.2682705401724848</v>
      </c>
      <c r="M91" s="35" t="s">
        <v>146</v>
      </c>
      <c r="N91" s="117">
        <v>0.21</v>
      </c>
      <c r="O91" s="118">
        <v>-2.5522041763341092</v>
      </c>
      <c r="P91" s="118">
        <v>-0.77994428969359408</v>
      </c>
      <c r="Q91" s="16"/>
    </row>
    <row r="92" spans="1:243" ht="15" customHeight="1" x14ac:dyDescent="0.25">
      <c r="A92" s="35" t="s">
        <v>113</v>
      </c>
      <c r="B92" s="116">
        <v>0.72250000000000003</v>
      </c>
      <c r="C92" s="116"/>
      <c r="D92" s="116">
        <v>3.0181097994818344</v>
      </c>
      <c r="E92" s="120" t="s">
        <v>115</v>
      </c>
      <c r="F92" s="117">
        <v>3.9975000000000001</v>
      </c>
      <c r="G92" s="121"/>
      <c r="H92" s="118">
        <v>-9.9662162162162229</v>
      </c>
      <c r="J92" s="35" t="s">
        <v>123</v>
      </c>
      <c r="K92" s="51">
        <v>0.2301</v>
      </c>
      <c r="L92" s="119">
        <v>1.5445719329214489</v>
      </c>
      <c r="M92" s="35" t="s">
        <v>135</v>
      </c>
      <c r="N92" s="117">
        <v>16.666699999999999</v>
      </c>
      <c r="O92" s="118">
        <v>-1.9605882352941251</v>
      </c>
      <c r="P92" s="118">
        <v>-0.56417489421721045</v>
      </c>
      <c r="Q92" s="16"/>
    </row>
    <row r="93" spans="1:243" ht="15" customHeight="1" x14ac:dyDescent="0.25">
      <c r="A93" s="35" t="s">
        <v>50</v>
      </c>
      <c r="B93" s="116">
        <v>6.06</v>
      </c>
      <c r="C93" s="116"/>
      <c r="D93" s="116">
        <v>0.61880565477686666</v>
      </c>
      <c r="E93" s="120" t="s">
        <v>68</v>
      </c>
      <c r="F93" s="117">
        <v>0.10142899999999999</v>
      </c>
      <c r="G93" s="121"/>
      <c r="H93" s="118">
        <v>-9.0322869955157046</v>
      </c>
      <c r="J93" s="120" t="s">
        <v>133</v>
      </c>
      <c r="K93" s="121">
        <v>2.24E-2</v>
      </c>
      <c r="L93" s="119">
        <v>0.4484304932735399</v>
      </c>
      <c r="M93" s="35" t="s">
        <v>119</v>
      </c>
      <c r="N93" s="117">
        <v>0.183</v>
      </c>
      <c r="O93" s="118">
        <v>-0.70537167661421352</v>
      </c>
      <c r="P93" s="118">
        <v>-0.53029298687524906</v>
      </c>
      <c r="Q93" s="16"/>
    </row>
    <row r="94" spans="1:243" ht="15.75" customHeight="1" thickBot="1" x14ac:dyDescent="0.3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5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5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6" thickBot="1" x14ac:dyDescent="0.3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3"/>
      <c r="J102" s="133"/>
      <c r="K102" s="133"/>
      <c r="O102" s="133"/>
      <c r="P102" s="133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3"/>
      <c r="J105" s="133"/>
      <c r="K105" s="133"/>
      <c r="O105" s="133"/>
      <c r="P105" s="133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3"/>
      <c r="J107" s="133"/>
      <c r="K107" s="133"/>
      <c r="O107" s="133"/>
      <c r="P107" s="133"/>
    </row>
  </sheetData>
  <sheetProtection algorithmName="SHA-512" hashValue="rZkPswECf3js6c30woYy9CmttSHQgkSUcaFhHNqXPEMkqkmlsBkEZ/JWZe4UXJNIESZGb8gPX2A4NlsBAdHeng==" saltValue="MoWhaOOjPoi01ZroS4JrUA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Nelson Mrewa</cp:lastModifiedBy>
  <dcterms:created xsi:type="dcterms:W3CDTF">2026-10-16T13:35:17Z</dcterms:created>
  <dcterms:modified xsi:type="dcterms:W3CDTF">2026-10-16T13:58:22Z</dcterms:modified>
</cp:coreProperties>
</file>