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utetser\AppData\Local\Microsoft\Windows\INetCache\Content.Outlook\NCN49ZJG\"/>
    </mc:Choice>
  </mc:AlternateContent>
  <xr:revisionPtr revIDLastSave="0" documentId="13_ncr:1_{4A328BD9-0D14-486D-AED2-66EFC956A59A}" xr6:coauthVersionLast="47" xr6:coauthVersionMax="47" xr10:uidLastSave="{00000000-0000-0000-0000-000000000000}"/>
  <bookViews>
    <workbookView xWindow="-120" yWindow="-120" windowWidth="29040" windowHeight="15720" xr2:uid="{8AD4E461-D7AD-47C4-9B28-CB7030CFF4DD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75" i="1"/>
  <c r="Q75" i="1"/>
  <c r="K72" i="1"/>
  <c r="E72" i="1" s="1"/>
  <c r="P72" i="1"/>
  <c r="Q72" i="1"/>
  <c r="Q71" i="1"/>
  <c r="K71" i="1"/>
  <c r="E71" i="1" s="1"/>
  <c r="P71" i="1"/>
  <c r="P65" i="1"/>
  <c r="Q65" i="1"/>
  <c r="P64" i="1"/>
  <c r="Q64" i="1"/>
  <c r="P63" i="1"/>
  <c r="Q63" i="1"/>
  <c r="P62" i="1"/>
  <c r="Q62" i="1"/>
  <c r="P61" i="1"/>
  <c r="Q61" i="1"/>
  <c r="P60" i="1"/>
  <c r="Q60" i="1"/>
  <c r="P59" i="1"/>
  <c r="Q59" i="1"/>
  <c r="P58" i="1"/>
  <c r="Q58" i="1"/>
  <c r="Q57" i="1"/>
  <c r="P57" i="1"/>
  <c r="P56" i="1"/>
  <c r="Q56" i="1"/>
  <c r="P55" i="1"/>
  <c r="Q55" i="1"/>
  <c r="Q54" i="1"/>
  <c r="P54" i="1"/>
  <c r="Q51" i="1"/>
  <c r="P51" i="1"/>
  <c r="Q50" i="1"/>
  <c r="P50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<sst xmlns="http://schemas.openxmlformats.org/spreadsheetml/2006/main" count="273" uniqueCount="185">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</sst>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6" applyNumberFormat="1" applyFont="1" applyFill="1" applyBorder="1"/>
    <xf numFmtId="43" fontId="15" fillId="5" borderId="0" xfId="6" applyFont="1" applyFill="1" applyBorder="1"/>
    <xf numFmtId="43" fontId="4" fillId="3" borderId="0" xfId="2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5" fontId="15" fillId="5" borderId="0" xfId="4" applyNumberFormat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6" applyNumberFormat="1" applyFont="1" applyFill="1" applyBorder="1"/>
    <xf numFmtId="165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6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0" fontId="23" fillId="2" borderId="16" xfId="7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43" fontId="15" fillId="5" borderId="5" xfId="3" applyFont="1" applyFill="1" applyBorder="1" applyAlignment="1"/>
    <xf numFmtId="43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9E5B293C-115E-4C86-90E4-E7CA61F478FE}"/>
    <cellStyle name="Comma 5 2 2 2 2 2 2 2 2 2 2 2 2 2" xfId="4" xr:uid="{D6D6EFC3-D42B-4C82-B40A-F2CDC3E4C89E}"/>
    <cellStyle name="Comma 6 2 2 2 2 2 2 2 2" xfId="6" xr:uid="{B797DAA2-5A7F-4817-BD3C-32B0A4A4328E}"/>
    <cellStyle name="Hyperlink 2" xfId="8" xr:uid="{793B1319-1AD9-43CC-8C83-28F43879EE1E}"/>
    <cellStyle name="Normal" xfId="0" builtinId="0"/>
    <cellStyle name="Normal 2" xfId="2" xr:uid="{36C26407-B055-40C2-8334-A3B0802C5960}"/>
    <cellStyle name="Normal 20" xfId="7" xr:uid="{55A40808-FAF8-4B67-B002-82D9E00CA3E1}"/>
    <cellStyle name="Percent" xfId="1" builtinId="5"/>
    <cellStyle name="Percent 3" xfId="5" xr:uid="{EEE8D4D4-C396-470F-9A24-CD1EEE8AE6C4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64A0A80-5ECA-4454-AB56-CB216CD5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65D12C9-0998-48E5-A933-61E3E1585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BB29-9531-490B-B18D-0639CAF90523}">
  <dimension ref="A1:II107"/>
  <sheetViews>
    <sheetView tabSelected="1" topLeftCell="A19" zoomScale="70" zoomScaleNormal="70" workbookViewId="0">
      <selection activeCell="S75" sqref="S75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26.577500000000001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85358664.358950242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0.67726460351801332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2.2147916666666666E-2</v>
      </c>
      <c r="Q9" s="48">
        <f t="shared" ref="Q9:Q17" si="6">I9/G9-1</f>
        <v>1.002336058735191</v>
      </c>
      <c r="R9" s="49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8267616.6167809237</v>
      </c>
      <c r="E10" s="39">
        <f t="shared" si="1"/>
        <v>6866643.1447654692</v>
      </c>
      <c r="F10" s="40" t="s">
        <v>34</v>
      </c>
      <c r="G10" s="41">
        <v>3.1600000000000003E-2</v>
      </c>
      <c r="H10" s="42">
        <v>0.136045</v>
      </c>
      <c r="I10" s="43">
        <v>0.135021</v>
      </c>
      <c r="J10" s="44">
        <f t="shared" ref="J10:J17" si="7">I10/$J$5</f>
        <v>5.0802746684225379E-3</v>
      </c>
      <c r="K10" s="45">
        <f t="shared" si="2"/>
        <v>4.2194062500000001E-3</v>
      </c>
      <c r="L10" s="46">
        <f t="shared" si="3"/>
        <v>-1.0239999999999971E-3</v>
      </c>
      <c r="M10" s="46">
        <f t="shared" si="4"/>
        <v>-0.75269212392957996</v>
      </c>
      <c r="N10" s="50">
        <v>71500</v>
      </c>
      <c r="O10" s="37">
        <v>9654</v>
      </c>
      <c r="P10" s="51">
        <f t="shared" si="5"/>
        <v>0</v>
      </c>
      <c r="Q10" s="48">
        <f t="shared" si="6"/>
        <v>3.2728164556962023</v>
      </c>
      <c r="R10" s="49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2959492.9778948356</v>
      </c>
      <c r="E11" s="39">
        <f t="shared" si="1"/>
        <v>2457997.6443749997</v>
      </c>
      <c r="F11" s="40" t="s">
        <v>39</v>
      </c>
      <c r="G11" s="41">
        <v>7.8E-2</v>
      </c>
      <c r="H11" s="42">
        <v>0.18</v>
      </c>
      <c r="I11" s="43">
        <v>0.18</v>
      </c>
      <c r="J11" s="44">
        <f t="shared" si="7"/>
        <v>6.7726460351801333E-3</v>
      </c>
      <c r="K11" s="45">
        <f t="shared" si="2"/>
        <v>5.6249999999999998E-3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1.3076923076923075</v>
      </c>
      <c r="R11" s="49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147507035.27419809</v>
      </c>
      <c r="E12" s="39">
        <f t="shared" si="1"/>
        <v>122511507.1875</v>
      </c>
      <c r="F12" s="40" t="s">
        <v>34</v>
      </c>
      <c r="G12" s="41">
        <v>97.381</v>
      </c>
      <c r="H12" s="42">
        <v>190</v>
      </c>
      <c r="I12" s="43">
        <v>190</v>
      </c>
      <c r="J12" s="44">
        <f t="shared" si="7"/>
        <v>7.1489041482456965</v>
      </c>
      <c r="K12" s="45">
        <f t="shared" si="2"/>
        <v>5.9375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9859965.7605117112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1.1287743391966889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639130753.92719412</v>
      </c>
      <c r="E14" s="39">
        <f t="shared" si="1"/>
        <v>530828050.390625</v>
      </c>
      <c r="F14" s="40" t="s">
        <v>47</v>
      </c>
      <c r="G14" s="41">
        <v>11.5</v>
      </c>
      <c r="H14" s="42">
        <v>32.466799999999999</v>
      </c>
      <c r="I14" s="43">
        <v>32.5</v>
      </c>
      <c r="J14" s="44">
        <f t="shared" si="7"/>
        <v>1.2228388674630797</v>
      </c>
      <c r="K14" s="45">
        <f t="shared" si="2"/>
        <v>1.015625</v>
      </c>
      <c r="L14" s="46">
        <f t="shared" si="3"/>
        <v>3.3200000000000784E-2</v>
      </c>
      <c r="M14" s="46">
        <f t="shared" si="4"/>
        <v>0.10225830694740716</v>
      </c>
      <c r="N14" s="50">
        <v>200</v>
      </c>
      <c r="O14" s="37">
        <v>6500</v>
      </c>
      <c r="P14" s="51">
        <f t="shared" si="5"/>
        <v>0</v>
      </c>
      <c r="Q14" s="48">
        <f t="shared" si="6"/>
        <v>1.8260869565217392</v>
      </c>
      <c r="R14" s="49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31639700.451509733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0.2983726836609914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80820436.384159535</v>
      </c>
      <c r="E16" s="39">
        <f t="shared" si="1"/>
        <v>67125160.875</v>
      </c>
      <c r="F16" s="40" t="s">
        <v>34</v>
      </c>
      <c r="G16" s="41">
        <v>1.9</v>
      </c>
      <c r="H16" s="42">
        <v>5.5</v>
      </c>
      <c r="I16" s="43">
        <v>6</v>
      </c>
      <c r="J16" s="44">
        <f t="shared" si="7"/>
        <v>0.22575486783933779</v>
      </c>
      <c r="K16" s="45">
        <f t="shared" si="2"/>
        <v>0.1875</v>
      </c>
      <c r="L16" s="46">
        <f t="shared" si="3"/>
        <v>0.5</v>
      </c>
      <c r="M16" s="46">
        <f t="shared" si="4"/>
        <v>9.0909090909090917</v>
      </c>
      <c r="N16" s="50">
        <v>200</v>
      </c>
      <c r="O16" s="37">
        <v>1200</v>
      </c>
      <c r="P16" s="51">
        <f t="shared" si="5"/>
        <v>0.22147916666666667</v>
      </c>
      <c r="Q16" s="48">
        <f t="shared" si="6"/>
        <v>2.1578947368421053</v>
      </c>
      <c r="R16" s="49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1700074352.5294743</v>
      </c>
      <c r="E17" s="39">
        <f t="shared" si="1"/>
        <v>1411991440.7610033</v>
      </c>
      <c r="F17" s="40" t="s">
        <v>34</v>
      </c>
      <c r="G17" s="41">
        <v>20.701700000000002</v>
      </c>
      <c r="H17" s="42">
        <v>33.531700000000001</v>
      </c>
      <c r="I17" s="43">
        <v>33.524979000000002</v>
      </c>
      <c r="J17" s="44">
        <f t="shared" si="7"/>
        <v>1.2614045339102624</v>
      </c>
      <c r="K17" s="45">
        <f t="shared" si="2"/>
        <v>1.0476555937500001</v>
      </c>
      <c r="L17" s="46">
        <f t="shared" si="3"/>
        <v>-6.7209999999988668E-3</v>
      </c>
      <c r="M17" s="46">
        <f t="shared" si="4"/>
        <v>-2.0043719823327977E-2</v>
      </c>
      <c r="N17" s="50">
        <v>273900</v>
      </c>
      <c r="O17" s="37">
        <v>9182491.75</v>
      </c>
      <c r="P17" s="47">
        <f t="shared" si="5"/>
        <v>0</v>
      </c>
      <c r="Q17" s="48">
        <f t="shared" si="6"/>
        <v>0.61943120613282954</v>
      </c>
      <c r="R17" s="49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332466994.2639451</v>
      </c>
      <c r="E19" s="39">
        <f t="shared" si="1"/>
        <v>276129423.12656254</v>
      </c>
      <c r="F19" s="40" t="s">
        <v>47</v>
      </c>
      <c r="G19" s="41">
        <v>12.45</v>
      </c>
      <c r="H19" s="42">
        <v>13.15</v>
      </c>
      <c r="I19" s="43">
        <v>13.15</v>
      </c>
      <c r="J19" s="44">
        <f t="shared" ref="J19:J45" si="8">I19/$J$5</f>
        <v>0.49477941868121533</v>
      </c>
      <c r="K19" s="45">
        <f t="shared" ref="K19:K45" si="9">I19/$K$4</f>
        <v>0.41093750000000001</v>
      </c>
      <c r="L19" s="46">
        <f t="shared" ref="L19:L29" si="10">I19-H19</f>
        <v>0</v>
      </c>
      <c r="M19" s="46">
        <f>((I19-H19)/H19)*100</f>
        <v>0</v>
      </c>
      <c r="N19" s="50">
        <v>0</v>
      </c>
      <c r="O19" s="37">
        <v>0</v>
      </c>
      <c r="P19" s="51">
        <f>(R19)/J19</f>
        <v>0</v>
      </c>
      <c r="Q19" s="48">
        <f t="shared" ref="Q19:Q29" si="11">I19/G19-1</f>
        <v>5.6224899598393607E-2</v>
      </c>
      <c r="R19" s="49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3811444.2904712637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3.4992004515097361E-2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90885173.925312757</v>
      </c>
      <c r="E21" s="39">
        <f t="shared" si="1"/>
        <v>75484397.1875</v>
      </c>
      <c r="F21" s="40" t="s">
        <v>47</v>
      </c>
      <c r="G21" s="41">
        <v>2.85</v>
      </c>
      <c r="H21" s="42">
        <v>3.4453990000000001</v>
      </c>
      <c r="I21" s="43">
        <v>3.5</v>
      </c>
      <c r="J21" s="44">
        <f t="shared" si="8"/>
        <v>0.13169033957294704</v>
      </c>
      <c r="K21" s="45">
        <f t="shared" si="9"/>
        <v>0.109375</v>
      </c>
      <c r="L21" s="46">
        <f t="shared" si="10"/>
        <v>5.46009999999999E-2</v>
      </c>
      <c r="M21" s="46">
        <f>((I21-H21)/H21)*100</f>
        <v>1.5847511420302816</v>
      </c>
      <c r="N21" s="50">
        <v>100</v>
      </c>
      <c r="O21" s="37">
        <v>350</v>
      </c>
      <c r="P21" s="51">
        <f>(R21)/J21</f>
        <v>0</v>
      </c>
      <c r="Q21" s="48">
        <f t="shared" si="11"/>
        <v>0.22807017543859653</v>
      </c>
      <c r="R21" s="49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2220854.050606716</v>
      </c>
      <c r="E23" s="39">
        <f t="shared" si="1"/>
        <v>1844523.3915625</v>
      </c>
      <c r="F23" s="40" t="s">
        <v>44</v>
      </c>
      <c r="G23" s="41">
        <v>0.1</v>
      </c>
      <c r="H23" s="42">
        <v>0.11</v>
      </c>
      <c r="I23" s="43">
        <v>0.11</v>
      </c>
      <c r="J23" s="44">
        <f t="shared" si="8"/>
        <v>4.1388392437211926E-3</v>
      </c>
      <c r="K23" s="45">
        <f t="shared" si="9"/>
        <v>3.4375E-3</v>
      </c>
      <c r="L23" s="46">
        <f t="shared" si="10"/>
        <v>0</v>
      </c>
      <c r="M23" s="46">
        <f t="shared" ref="M23:M29" si="12">((I23-H23)/H23)*100</f>
        <v>0</v>
      </c>
      <c r="N23" s="50">
        <v>8200</v>
      </c>
      <c r="O23" s="37">
        <v>902</v>
      </c>
      <c r="P23" s="51">
        <f t="shared" ref="P23:P29" si="13">(R23)/J23</f>
        <v>0</v>
      </c>
      <c r="Q23" s="48">
        <f t="shared" si="11"/>
        <v>9.9999999999999867E-2</v>
      </c>
      <c r="R23" s="49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87150663.832188889</v>
      </c>
      <c r="E24" s="39">
        <f t="shared" si="1"/>
        <v>72382711.5</v>
      </c>
      <c r="F24" s="40" t="s">
        <v>34</v>
      </c>
      <c r="G24" s="41">
        <v>8.1687659999999997</v>
      </c>
      <c r="H24" s="42">
        <v>10.9</v>
      </c>
      <c r="I24" s="43">
        <v>12</v>
      </c>
      <c r="J24" s="44">
        <f t="shared" si="8"/>
        <v>0.45150973567867558</v>
      </c>
      <c r="K24" s="45">
        <f t="shared" si="9"/>
        <v>0.375</v>
      </c>
      <c r="L24" s="46">
        <f t="shared" si="10"/>
        <v>1.0999999999999996</v>
      </c>
      <c r="M24" s="46">
        <f t="shared" si="12"/>
        <v>10.091743119266052</v>
      </c>
      <c r="N24" s="50">
        <v>200</v>
      </c>
      <c r="O24" s="37">
        <v>2400</v>
      </c>
      <c r="P24" s="47">
        <f t="shared" si="13"/>
        <v>3.3221874999999998E-2</v>
      </c>
      <c r="Q24" s="48">
        <f t="shared" si="11"/>
        <v>0.46901012955934851</v>
      </c>
      <c r="R24" s="49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109214354.07694477</v>
      </c>
      <c r="E25" s="39">
        <f t="shared" si="1"/>
        <v>90707640.483750001</v>
      </c>
      <c r="F25" s="40" t="s">
        <v>66</v>
      </c>
      <c r="G25" s="41">
        <v>1.6675</v>
      </c>
      <c r="H25" s="42">
        <v>1.72</v>
      </c>
      <c r="I25" s="43">
        <v>1.72</v>
      </c>
      <c r="J25" s="44">
        <f t="shared" si="8"/>
        <v>6.4716395447276823E-2</v>
      </c>
      <c r="K25" s="45">
        <f t="shared" si="9"/>
        <v>5.3749999999999999E-2</v>
      </c>
      <c r="L25" s="46">
        <f t="shared" si="10"/>
        <v>0</v>
      </c>
      <c r="M25" s="46">
        <f t="shared" si="12"/>
        <v>0</v>
      </c>
      <c r="N25" s="50">
        <v>1000</v>
      </c>
      <c r="O25" s="37">
        <v>1720</v>
      </c>
      <c r="P25" s="51">
        <f t="shared" si="13"/>
        <v>0</v>
      </c>
      <c r="Q25" s="48">
        <f t="shared" si="11"/>
        <v>3.1484257871064569E-2</v>
      </c>
      <c r="R25" s="49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25670439.467594769</v>
      </c>
      <c r="E26" s="39">
        <f t="shared" si="1"/>
        <v>21320503.279687501</v>
      </c>
      <c r="F26" s="40" t="s">
        <v>44</v>
      </c>
      <c r="G26" s="41">
        <v>1.7994999999999999</v>
      </c>
      <c r="H26" s="42">
        <v>2.85</v>
      </c>
      <c r="I26" s="43">
        <v>2.85</v>
      </c>
      <c r="J26" s="44">
        <f t="shared" si="8"/>
        <v>0.10723356222368545</v>
      </c>
      <c r="K26" s="45">
        <f t="shared" si="9"/>
        <v>8.9062500000000003E-2</v>
      </c>
      <c r="L26" s="46">
        <f t="shared" si="10"/>
        <v>0</v>
      </c>
      <c r="M26" s="46">
        <f t="shared" si="12"/>
        <v>0</v>
      </c>
      <c r="N26" s="50">
        <v>800</v>
      </c>
      <c r="O26" s="37">
        <v>2280</v>
      </c>
      <c r="P26" s="51">
        <f t="shared" si="13"/>
        <v>0</v>
      </c>
      <c r="Q26" s="48">
        <f t="shared" si="11"/>
        <v>0.58377327035287596</v>
      </c>
      <c r="R26" s="49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23968664.067724314</v>
      </c>
      <c r="E27" s="39">
        <f t="shared" si="1"/>
        <v>19907099.039373219</v>
      </c>
      <c r="F27" s="40" t="s">
        <v>34</v>
      </c>
      <c r="G27" s="41">
        <v>3.1361369999999997</v>
      </c>
      <c r="H27" s="42">
        <v>2.6891039999999999</v>
      </c>
      <c r="I27" s="43">
        <v>2.486923</v>
      </c>
      <c r="J27" s="44">
        <f t="shared" si="8"/>
        <v>9.3572495531934904E-2</v>
      </c>
      <c r="K27" s="45">
        <f t="shared" si="9"/>
        <v>7.771634375E-2</v>
      </c>
      <c r="L27" s="46">
        <f t="shared" si="10"/>
        <v>-0.20218099999999994</v>
      </c>
      <c r="M27" s="46">
        <f t="shared" si="12"/>
        <v>-7.5185266170441887</v>
      </c>
      <c r="N27" s="50">
        <v>11700</v>
      </c>
      <c r="O27" s="37">
        <v>29097</v>
      </c>
      <c r="P27" s="51">
        <f t="shared" si="13"/>
        <v>0</v>
      </c>
      <c r="Q27" s="48">
        <f t="shared" si="11"/>
        <v>-0.20701072689107647</v>
      </c>
      <c r="R27" s="49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32696653.791741129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4.3269683002539736E-2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100</v>
      </c>
      <c r="O28" s="37">
        <v>115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121261431.19921935</v>
      </c>
      <c r="E29" s="39">
        <f t="shared" si="1"/>
        <v>100713302.74053913</v>
      </c>
      <c r="F29" s="40" t="s">
        <v>47</v>
      </c>
      <c r="G29" s="41">
        <v>5.15</v>
      </c>
      <c r="H29" s="42">
        <v>7.1757140000000001</v>
      </c>
      <c r="I29" s="43">
        <v>7.1757140000000001</v>
      </c>
      <c r="J29" s="44">
        <f t="shared" si="8"/>
        <v>0.26999206095381434</v>
      </c>
      <c r="K29" s="45">
        <f t="shared" si="9"/>
        <v>0.2242410625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0.39334252427184468</v>
      </c>
      <c r="R29" s="49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12930980.794845264</v>
      </c>
      <c r="E31" s="39">
        <f t="shared" si="1"/>
        <v>10739785.68984375</v>
      </c>
      <c r="F31" s="40" t="s">
        <v>39</v>
      </c>
      <c r="G31" s="41">
        <v>1.4</v>
      </c>
      <c r="H31" s="42">
        <v>1.3225</v>
      </c>
      <c r="I31" s="43">
        <v>1.3225</v>
      </c>
      <c r="J31" s="44">
        <f t="shared" si="8"/>
        <v>4.9760135452920705E-2</v>
      </c>
      <c r="K31" s="45">
        <f t="shared" si="9"/>
        <v>4.1328125E-2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-5.5357142857142771E-2</v>
      </c>
      <c r="R31" s="49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4361884.921456119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3.5744520741228483E-2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88363781.245693266</v>
      </c>
      <c r="E33" s="39">
        <f t="shared" si="1"/>
        <v>73390262.376794159</v>
      </c>
      <c r="F33" s="40" t="s">
        <v>92</v>
      </c>
      <c r="G33" s="41">
        <v>1.44</v>
      </c>
      <c r="H33" s="42">
        <v>0.94109100000000001</v>
      </c>
      <c r="I33" s="43">
        <v>0.94109100000000001</v>
      </c>
      <c r="J33" s="44">
        <f t="shared" si="8"/>
        <v>3.5409312388298371E-2</v>
      </c>
      <c r="K33" s="45">
        <f t="shared" si="9"/>
        <v>2.940909375E-2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-0.3464645833333333</v>
      </c>
      <c r="R33" s="49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35771815.736675762</v>
      </c>
      <c r="E34" s="39">
        <f t="shared" si="1"/>
        <v>29710169.773171876</v>
      </c>
      <c r="F34" s="40" t="s">
        <v>34</v>
      </c>
      <c r="G34" s="41">
        <v>3.6056249999999999</v>
      </c>
      <c r="H34" s="42">
        <v>3.7505000000000002</v>
      </c>
      <c r="I34" s="43">
        <v>3.7505000000000002</v>
      </c>
      <c r="J34" s="44">
        <f t="shared" si="8"/>
        <v>0.14111560530523939</v>
      </c>
      <c r="K34" s="45">
        <f t="shared" si="9"/>
        <v>0.11720312500000001</v>
      </c>
      <c r="L34" s="46">
        <f t="shared" si="14"/>
        <v>0</v>
      </c>
      <c r="M34" s="46">
        <f t="shared" si="15"/>
        <v>0</v>
      </c>
      <c r="N34" s="50">
        <v>0</v>
      </c>
      <c r="O34" s="37">
        <v>0</v>
      </c>
      <c r="P34" s="51">
        <f t="shared" si="16"/>
        <v>0</v>
      </c>
      <c r="Q34" s="48">
        <f t="shared" si="17"/>
        <v>4.0180273877621797E-2</v>
      </c>
      <c r="R34" s="49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10644531.779136486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0.06</v>
      </c>
      <c r="I35" s="43">
        <v>0.06</v>
      </c>
      <c r="J35" s="44">
        <f t="shared" si="8"/>
        <v>2.2575486783933778E-3</v>
      </c>
      <c r="K35" s="45">
        <f t="shared" si="9"/>
        <v>1.8749999999999999E-3</v>
      </c>
      <c r="L35" s="46">
        <f t="shared" si="14"/>
        <v>0</v>
      </c>
      <c r="M35" s="46">
        <f t="shared" si="15"/>
        <v>0</v>
      </c>
      <c r="N35" s="50">
        <v>3200</v>
      </c>
      <c r="O35" s="37">
        <v>192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69142318.420976862</v>
      </c>
      <c r="E36" s="39">
        <f t="shared" si="1"/>
        <v>57425936.494797274</v>
      </c>
      <c r="F36" s="40" t="s">
        <v>92</v>
      </c>
      <c r="G36" s="41">
        <v>0.61</v>
      </c>
      <c r="H36" s="42">
        <v>3.508394</v>
      </c>
      <c r="I36" s="43">
        <v>3.4996409999999996</v>
      </c>
      <c r="J36" s="44">
        <f t="shared" si="8"/>
        <v>0.13167683190668797</v>
      </c>
      <c r="K36" s="45">
        <f t="shared" si="9"/>
        <v>0.10936378124999999</v>
      </c>
      <c r="L36" s="46">
        <f t="shared" si="14"/>
        <v>-8.7530000000004549E-3</v>
      </c>
      <c r="M36" s="46">
        <f t="shared" si="15"/>
        <v>-0.24948737228488177</v>
      </c>
      <c r="N36" s="50">
        <v>16700</v>
      </c>
      <c r="O36" s="37">
        <v>58444</v>
      </c>
      <c r="P36" s="51">
        <f t="shared" si="16"/>
        <v>0</v>
      </c>
      <c r="Q36" s="48">
        <f t="shared" si="17"/>
        <v>4.7371163934426219</v>
      </c>
      <c r="R36" s="49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133388181.9188485</v>
      </c>
      <c r="E37" s="39">
        <f t="shared" si="1"/>
        <v>110785137.65463112</v>
      </c>
      <c r="F37" s="40" t="s">
        <v>56</v>
      </c>
      <c r="G37" s="41">
        <v>0.11650199999999999</v>
      </c>
      <c r="H37" s="42">
        <v>0.86114999999999997</v>
      </c>
      <c r="I37" s="43">
        <v>0.84512399999999999</v>
      </c>
      <c r="J37" s="44">
        <f t="shared" si="8"/>
        <v>3.1798476154642083E-2</v>
      </c>
      <c r="K37" s="45">
        <f t="shared" si="9"/>
        <v>2.6410125E-2</v>
      </c>
      <c r="L37" s="46">
        <f t="shared" si="14"/>
        <v>-1.6025999999999985E-2</v>
      </c>
      <c r="M37" s="46">
        <f t="shared" si="15"/>
        <v>-1.8609998258143161</v>
      </c>
      <c r="N37" s="50">
        <v>12100</v>
      </c>
      <c r="O37" s="37">
        <v>10226</v>
      </c>
      <c r="P37" s="51">
        <v>0</v>
      </c>
      <c r="Q37" s="48">
        <f t="shared" si="17"/>
        <v>6.254158726888809</v>
      </c>
      <c r="R37" s="49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22814933.264452979</v>
      </c>
      <c r="E38" s="39">
        <f t="shared" si="1"/>
        <v>18948871.526124969</v>
      </c>
      <c r="F38" s="40" t="s">
        <v>39</v>
      </c>
      <c r="G38" s="41">
        <v>0.1</v>
      </c>
      <c r="H38" s="42">
        <v>0.14050100000000001</v>
      </c>
      <c r="I38" s="43">
        <v>0.14050100000000001</v>
      </c>
      <c r="J38" s="44">
        <f t="shared" si="8"/>
        <v>5.2864641143824664E-3</v>
      </c>
      <c r="K38" s="45">
        <f t="shared" si="9"/>
        <v>4.3906562500000005E-3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0.40501000000000009</v>
      </c>
      <c r="R38" s="49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9614830.920891732</v>
      </c>
      <c r="E39" s="39">
        <f t="shared" si="1"/>
        <v>7985567.7749999994</v>
      </c>
      <c r="F39" s="40" t="s">
        <v>44</v>
      </c>
      <c r="G39" s="41">
        <v>1.7452379999999998</v>
      </c>
      <c r="H39" s="42">
        <v>2.1345000000000001</v>
      </c>
      <c r="I39" s="43">
        <v>2.4</v>
      </c>
      <c r="J39" s="44">
        <f t="shared" si="8"/>
        <v>9.0301947135735111E-2</v>
      </c>
      <c r="K39" s="45">
        <f t="shared" si="9"/>
        <v>7.4999999999999997E-2</v>
      </c>
      <c r="L39" s="46">
        <f t="shared" si="14"/>
        <v>0.26549999999999985</v>
      </c>
      <c r="M39" s="46">
        <f t="shared" si="15"/>
        <v>12.438510189739977</v>
      </c>
      <c r="N39" s="50">
        <v>100</v>
      </c>
      <c r="O39" s="37">
        <v>240</v>
      </c>
      <c r="P39" s="51">
        <f t="shared" si="18"/>
        <v>0</v>
      </c>
      <c r="Q39" s="48">
        <f t="shared" si="17"/>
        <v>0.37517060710344374</v>
      </c>
      <c r="R39" s="49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3411836.0578684974</v>
      </c>
      <c r="E40" s="39">
        <f t="shared" si="1"/>
        <v>2833689.7758749998</v>
      </c>
      <c r="F40" s="40" t="s">
        <v>39</v>
      </c>
      <c r="G40" s="41">
        <v>0.03</v>
      </c>
      <c r="H40" s="42">
        <v>5.0126999999999998E-2</v>
      </c>
      <c r="I40" s="43">
        <v>5.0999999999999997E-2</v>
      </c>
      <c r="J40" s="44">
        <f t="shared" si="8"/>
        <v>1.9189163766343709E-3</v>
      </c>
      <c r="K40" s="45">
        <f t="shared" si="9"/>
        <v>1.5937499999999999E-3</v>
      </c>
      <c r="L40" s="46">
        <f t="shared" si="14"/>
        <v>8.7299999999999878E-4</v>
      </c>
      <c r="M40" s="46">
        <f t="shared" si="15"/>
        <v>1.7415763959542738</v>
      </c>
      <c r="N40" s="50">
        <v>500</v>
      </c>
      <c r="O40" s="37">
        <v>25.5</v>
      </c>
      <c r="P40" s="51">
        <f t="shared" si="18"/>
        <v>0</v>
      </c>
      <c r="Q40" s="48">
        <f t="shared" si="17"/>
        <v>0.7</v>
      </c>
      <c r="R40" s="49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49174007.687705763</v>
      </c>
      <c r="E41" s="39">
        <f t="shared" si="1"/>
        <v>40841318.416249998</v>
      </c>
      <c r="F41" s="40" t="s">
        <v>47</v>
      </c>
      <c r="G41" s="41">
        <v>4.5</v>
      </c>
      <c r="H41" s="42">
        <v>7.06</v>
      </c>
      <c r="I41" s="43">
        <v>7.46</v>
      </c>
      <c r="J41" s="44">
        <f t="shared" si="8"/>
        <v>0.28068855234690998</v>
      </c>
      <c r="K41" s="45">
        <f t="shared" si="9"/>
        <v>0.233125</v>
      </c>
      <c r="L41" s="46">
        <f t="shared" si="14"/>
        <v>0.40000000000000036</v>
      </c>
      <c r="M41" s="46">
        <f t="shared" si="15"/>
        <v>5.6657223796034053</v>
      </c>
      <c r="N41" s="50">
        <v>1100</v>
      </c>
      <c r="O41" s="37">
        <v>8206</v>
      </c>
      <c r="P41" s="51">
        <f t="shared" si="18"/>
        <v>0</v>
      </c>
      <c r="Q41" s="48">
        <f t="shared" si="17"/>
        <v>0.65777777777777779</v>
      </c>
      <c r="R41" s="49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313.80219727212869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6.7726460351801336E-7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1560417.646505503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2.7090584140720539E-3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49256609.008371741</v>
      </c>
      <c r="E44" s="39">
        <f t="shared" si="1"/>
        <v>40909922.684999995</v>
      </c>
      <c r="F44" s="40" t="s">
        <v>47</v>
      </c>
      <c r="G44" s="41">
        <v>0.9998999999999999</v>
      </c>
      <c r="H44" s="42">
        <v>0.72</v>
      </c>
      <c r="I44" s="43">
        <v>0.72</v>
      </c>
      <c r="J44" s="44">
        <f t="shared" si="8"/>
        <v>2.7090584140720533E-2</v>
      </c>
      <c r="K44" s="45">
        <f t="shared" si="9"/>
        <v>2.2499999999999999E-2</v>
      </c>
      <c r="L44" s="46">
        <f t="shared" si="14"/>
        <v>0</v>
      </c>
      <c r="M44" s="46">
        <f t="shared" si="15"/>
        <v>0</v>
      </c>
      <c r="N44" s="50">
        <v>0</v>
      </c>
      <c r="O44" s="37">
        <v>0</v>
      </c>
      <c r="P44" s="51">
        <f t="shared" si="18"/>
        <v>0</v>
      </c>
      <c r="Q44" s="48">
        <f t="shared" si="17"/>
        <v>-0.27992799279927993</v>
      </c>
      <c r="R44" s="49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17550285.688548584</v>
      </c>
      <c r="E45" s="39">
        <f t="shared" si="1"/>
        <v>14576334.933981249</v>
      </c>
      <c r="F45" s="40" t="s">
        <v>47</v>
      </c>
      <c r="G45" s="41">
        <v>1.4503460000000001</v>
      </c>
      <c r="H45" s="42">
        <v>4.3757580000000003</v>
      </c>
      <c r="I45" s="43">
        <v>4.541245</v>
      </c>
      <c r="J45" s="44">
        <f t="shared" si="8"/>
        <v>0.17086802746684224</v>
      </c>
      <c r="K45" s="45">
        <f t="shared" si="9"/>
        <v>0.14191390625</v>
      </c>
      <c r="L45" s="46">
        <f t="shared" si="14"/>
        <v>0.16548699999999972</v>
      </c>
      <c r="M45" s="46">
        <f t="shared" si="15"/>
        <v>3.7819047579870668</v>
      </c>
      <c r="N45" s="50">
        <v>25700</v>
      </c>
      <c r="O45" s="37">
        <v>116710</v>
      </c>
      <c r="P45" s="51">
        <v>0</v>
      </c>
      <c r="Q45" s="48">
        <f t="shared" si="17"/>
        <v>2.1311459472429335</v>
      </c>
      <c r="R45" s="49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427300</v>
      </c>
      <c r="O47" s="61">
        <f>SUM(O9:O45)</f>
        <v>9430753.25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91683868.650599986</v>
      </c>
      <c r="E50" s="39">
        <v>0</v>
      </c>
      <c r="F50" s="40" t="s">
        <v>92</v>
      </c>
      <c r="G50" s="70">
        <v>0.1</v>
      </c>
      <c r="H50" s="42">
        <v>0.1623</v>
      </c>
      <c r="I50" s="42">
        <v>0.16189999999999999</v>
      </c>
      <c r="J50" s="44">
        <f t="shared" ref="J50:J65" si="20">I50</f>
        <v>0.16189999999999999</v>
      </c>
      <c r="K50" s="39">
        <v>0</v>
      </c>
      <c r="L50" s="46">
        <f t="shared" ref="L50:L65" si="21">I50-H50</f>
        <v>-4.0000000000001146E-4</v>
      </c>
      <c r="M50" s="46">
        <f t="shared" ref="M50:M65" si="22">((I50-H50)/H50)*100</f>
        <v>-0.24645717806531822</v>
      </c>
      <c r="N50" s="50">
        <v>31457</v>
      </c>
      <c r="O50" s="37">
        <v>5092.8900000000003</v>
      </c>
      <c r="P50" s="71">
        <f>(R50)/J50</f>
        <v>0</v>
      </c>
      <c r="Q50" s="48">
        <f t="shared" ref="Q50:Q65" si="23">J50/G50-1</f>
        <v>0.61899999999999977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42141237.399999999</v>
      </c>
      <c r="E51" s="39">
        <v>0</v>
      </c>
      <c r="F51" s="40" t="s">
        <v>39</v>
      </c>
      <c r="G51" s="70">
        <v>39.9</v>
      </c>
      <c r="H51" s="42">
        <v>37.0931</v>
      </c>
      <c r="I51" s="42">
        <v>37.9</v>
      </c>
      <c r="J51" s="44">
        <f t="shared" si="20"/>
        <v>37.9</v>
      </c>
      <c r="K51" s="39">
        <v>0</v>
      </c>
      <c r="L51" s="46">
        <f t="shared" si="21"/>
        <v>0.80689999999999884</v>
      </c>
      <c r="M51" s="46">
        <f t="shared" si="22"/>
        <v>2.1753371920923268</v>
      </c>
      <c r="N51" s="50">
        <v>13162</v>
      </c>
      <c r="O51" s="37">
        <v>498839.8</v>
      </c>
      <c r="P51" s="72">
        <f>(R51)/J51</f>
        <v>1.4775725593667547E-2</v>
      </c>
      <c r="Q51" s="48">
        <f t="shared" si="23"/>
        <v>-5.0125313283208017E-2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676228883.87800002</v>
      </c>
      <c r="E52" s="39"/>
      <c r="F52" s="40" t="s">
        <v>56</v>
      </c>
      <c r="G52" s="70">
        <v>0.33</v>
      </c>
      <c r="H52" s="42">
        <v>0.2228</v>
      </c>
      <c r="I52" s="42">
        <v>0.22600000000000001</v>
      </c>
      <c r="J52" s="44">
        <f t="shared" si="20"/>
        <v>0.22600000000000001</v>
      </c>
      <c r="K52" s="39">
        <v>0</v>
      </c>
      <c r="L52" s="46">
        <f t="shared" si="21"/>
        <v>3.2000000000000084E-3</v>
      </c>
      <c r="M52" s="46">
        <f t="shared" si="22"/>
        <v>1.4362657091561977</v>
      </c>
      <c r="N52" s="50">
        <v>2335173</v>
      </c>
      <c r="O52" s="37">
        <v>527767.81999999995</v>
      </c>
      <c r="P52" s="71">
        <v>0</v>
      </c>
      <c r="Q52" s="48">
        <f t="shared" si="23"/>
        <v>-0.31515151515151518</v>
      </c>
      <c r="R52" s="52"/>
      <c r="T52" s="52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344950000.67550004</v>
      </c>
      <c r="E54" s="39">
        <v>0</v>
      </c>
      <c r="F54" s="40" t="s">
        <v>47</v>
      </c>
      <c r="G54" s="70">
        <v>9.0200000000000002E-2</v>
      </c>
      <c r="H54" s="42">
        <v>0.16139999999999999</v>
      </c>
      <c r="I54" s="42">
        <v>0.1595</v>
      </c>
      <c r="J54" s="44">
        <f t="shared" si="20"/>
        <v>0.1595</v>
      </c>
      <c r="K54" s="39">
        <v>0</v>
      </c>
      <c r="L54" s="46">
        <f t="shared" si="21"/>
        <v>-1.899999999999985E-3</v>
      </c>
      <c r="M54" s="74">
        <f t="shared" si="22"/>
        <v>-1.1771995043370418</v>
      </c>
      <c r="N54" s="50">
        <v>670661</v>
      </c>
      <c r="O54" s="37">
        <v>106989.37</v>
      </c>
      <c r="P54" s="71">
        <f t="shared" si="24"/>
        <v>0</v>
      </c>
      <c r="Q54" s="48">
        <f t="shared" si="23"/>
        <v>0.76829268292682928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806930549.09500003</v>
      </c>
      <c r="E55" s="39">
        <v>0</v>
      </c>
      <c r="F55" s="40" t="s">
        <v>34</v>
      </c>
      <c r="G55" s="70">
        <v>0.95750000000000002</v>
      </c>
      <c r="H55" s="42">
        <v>1.4011</v>
      </c>
      <c r="I55" s="42">
        <v>1.4011</v>
      </c>
      <c r="J55" s="44">
        <f t="shared" si="20"/>
        <v>1.4011</v>
      </c>
      <c r="K55" s="39">
        <v>0</v>
      </c>
      <c r="L55" s="46">
        <f t="shared" si="21"/>
        <v>0</v>
      </c>
      <c r="M55" s="46">
        <f t="shared" si="22"/>
        <v>0</v>
      </c>
      <c r="N55" s="50">
        <v>251904</v>
      </c>
      <c r="O55" s="37">
        <v>352944.67</v>
      </c>
      <c r="P55" s="72">
        <f t="shared" si="24"/>
        <v>3.3545071729355509E-2</v>
      </c>
      <c r="Q55" s="48">
        <f t="shared" si="23"/>
        <v>0.46328981723237606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19688565.8178</v>
      </c>
      <c r="E56" s="39">
        <v>0</v>
      </c>
      <c r="F56" s="40" t="s">
        <v>34</v>
      </c>
      <c r="G56" s="70">
        <v>0.1595</v>
      </c>
      <c r="H56" s="42">
        <v>0.14499999999999999</v>
      </c>
      <c r="I56" s="42">
        <v>0.11990000000000001</v>
      </c>
      <c r="J56" s="44">
        <f t="shared" si="20"/>
        <v>0.11990000000000001</v>
      </c>
      <c r="K56" s="39">
        <v>0</v>
      </c>
      <c r="L56" s="46">
        <f t="shared" si="21"/>
        <v>-2.5099999999999983E-2</v>
      </c>
      <c r="M56" s="46">
        <f t="shared" si="22"/>
        <v>-17.310344827586196</v>
      </c>
      <c r="N56" s="50">
        <v>4757</v>
      </c>
      <c r="O56" s="37">
        <v>570.13</v>
      </c>
      <c r="P56" s="71">
        <f t="shared" si="24"/>
        <v>0</v>
      </c>
      <c r="Q56" s="48">
        <f t="shared" si="23"/>
        <v>-0.24827586206896546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22657045.298</v>
      </c>
      <c r="E57" s="39">
        <v>0</v>
      </c>
      <c r="F57" s="40" t="s">
        <v>92</v>
      </c>
      <c r="G57" s="70">
        <v>1.6799999999999999E-2</v>
      </c>
      <c r="H57" s="42">
        <v>2.29E-2</v>
      </c>
      <c r="I57" s="42">
        <v>2.3E-2</v>
      </c>
      <c r="J57" s="44">
        <f t="shared" si="20"/>
        <v>2.3E-2</v>
      </c>
      <c r="K57" s="39">
        <v>0</v>
      </c>
      <c r="L57" s="46">
        <f t="shared" si="21"/>
        <v>9.9999999999999395E-5</v>
      </c>
      <c r="M57" s="74">
        <f t="shared" si="22"/>
        <v>0.43668122270742094</v>
      </c>
      <c r="N57" s="50">
        <v>8747</v>
      </c>
      <c r="O57" s="37">
        <v>201.17</v>
      </c>
      <c r="P57" s="71">
        <f t="shared" si="24"/>
        <v>0</v>
      </c>
      <c r="Q57" s="48">
        <f t="shared" si="23"/>
        <v>0.36904761904761907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2607252.2090999996</v>
      </c>
      <c r="E58" s="39">
        <v>0</v>
      </c>
      <c r="F58" s="40" t="s">
        <v>137</v>
      </c>
      <c r="G58" s="70">
        <v>19.5</v>
      </c>
      <c r="H58" s="42">
        <v>16.166699999999999</v>
      </c>
      <c r="I58" s="42">
        <v>16.166699999999999</v>
      </c>
      <c r="J58" s="44">
        <f t="shared" si="20"/>
        <v>16.166699999999999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-0.17093846153846159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4059928449.8305998</v>
      </c>
      <c r="E59" s="39">
        <v>0</v>
      </c>
      <c r="F59" s="40" t="s">
        <v>47</v>
      </c>
      <c r="G59" s="70">
        <v>0.78169999999999995</v>
      </c>
      <c r="H59" s="51">
        <v>0.88819999999999999</v>
      </c>
      <c r="I59" s="42">
        <v>0.90259999999999996</v>
      </c>
      <c r="J59" s="44">
        <f t="shared" si="20"/>
        <v>0.90259999999999996</v>
      </c>
      <c r="K59" s="39">
        <v>0</v>
      </c>
      <c r="L59" s="46">
        <f t="shared" si="21"/>
        <v>1.4399999999999968E-2</v>
      </c>
      <c r="M59" s="46">
        <f t="shared" si="22"/>
        <v>1.6212564737671658</v>
      </c>
      <c r="N59" s="75">
        <v>972669</v>
      </c>
      <c r="O59" s="76">
        <v>877949.31</v>
      </c>
      <c r="P59" s="71">
        <f t="shared" si="24"/>
        <v>0</v>
      </c>
      <c r="Q59" s="48">
        <f t="shared" si="23"/>
        <v>0.15466291416144307</v>
      </c>
      <c r="R59" s="52"/>
      <c r="S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1247648671.9147</v>
      </c>
      <c r="E60" s="39">
        <v>0</v>
      </c>
      <c r="F60" s="40" t="s">
        <v>92</v>
      </c>
      <c r="G60" s="70">
        <v>0.59499999999999997</v>
      </c>
      <c r="H60" s="42">
        <v>1.4918</v>
      </c>
      <c r="I60" s="42">
        <v>1.5497000000000001</v>
      </c>
      <c r="J60" s="44">
        <f t="shared" si="20"/>
        <v>1.5497000000000001</v>
      </c>
      <c r="K60" s="39">
        <v>0</v>
      </c>
      <c r="L60" s="46">
        <f t="shared" si="21"/>
        <v>5.7900000000000063E-2</v>
      </c>
      <c r="M60" s="46">
        <f t="shared" si="22"/>
        <v>3.8812173213567545</v>
      </c>
      <c r="N60" s="50">
        <v>230169</v>
      </c>
      <c r="O60" s="37">
        <v>356699.73</v>
      </c>
      <c r="P60" s="71">
        <f t="shared" si="24"/>
        <v>0</v>
      </c>
      <c r="Q60" s="48">
        <f t="shared" si="23"/>
        <v>1.6045378151260508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93309725.992200002</v>
      </c>
      <c r="E61" s="39">
        <v>0</v>
      </c>
      <c r="F61" s="40" t="s">
        <v>34</v>
      </c>
      <c r="G61" s="70">
        <v>0.22600000000000001</v>
      </c>
      <c r="H61" s="42">
        <v>0.36109999999999998</v>
      </c>
      <c r="I61" s="42">
        <v>0.3579</v>
      </c>
      <c r="J61" s="44">
        <f t="shared" si="20"/>
        <v>0.3579</v>
      </c>
      <c r="K61" s="39">
        <v>0</v>
      </c>
      <c r="L61" s="46">
        <f t="shared" si="21"/>
        <v>-3.1999999999999806E-3</v>
      </c>
      <c r="M61" s="46">
        <f t="shared" si="22"/>
        <v>-0.88618111326501836</v>
      </c>
      <c r="N61" s="50">
        <v>13951</v>
      </c>
      <c r="O61" s="37">
        <v>4993.33</v>
      </c>
      <c r="P61" s="71">
        <f t="shared" si="24"/>
        <v>0</v>
      </c>
      <c r="Q61" s="48">
        <f t="shared" si="23"/>
        <v>0.58362831858407072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404829265.83879995</v>
      </c>
      <c r="E62" s="39">
        <v>0</v>
      </c>
      <c r="F62" s="40" t="s">
        <v>34</v>
      </c>
      <c r="G62" s="70">
        <v>0.49440000000000001</v>
      </c>
      <c r="H62" s="42">
        <v>0.69169999999999998</v>
      </c>
      <c r="I62" s="42">
        <v>0.72009999999999996</v>
      </c>
      <c r="J62" s="44">
        <f t="shared" si="20"/>
        <v>0.72009999999999996</v>
      </c>
      <c r="K62" s="39">
        <v>0</v>
      </c>
      <c r="L62" s="46">
        <f t="shared" si="21"/>
        <v>2.8399999999999981E-2</v>
      </c>
      <c r="M62" s="46">
        <f t="shared" si="22"/>
        <v>4.1058262252421542</v>
      </c>
      <c r="N62" s="50">
        <v>100987</v>
      </c>
      <c r="O62" s="37">
        <v>72716.800000000003</v>
      </c>
      <c r="P62" s="71">
        <f t="shared" si="24"/>
        <v>0</v>
      </c>
      <c r="Q62" s="48">
        <f t="shared" si="23"/>
        <v>0.45651294498381878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89308878.575000003</v>
      </c>
      <c r="E63" s="39">
        <v>0</v>
      </c>
      <c r="F63" s="40" t="s">
        <v>34</v>
      </c>
      <c r="G63" s="70">
        <v>0.25950000000000001</v>
      </c>
      <c r="H63" s="42">
        <v>0.25319999999999998</v>
      </c>
      <c r="I63" s="42">
        <v>0.245</v>
      </c>
      <c r="J63" s="44">
        <f t="shared" si="20"/>
        <v>0.245</v>
      </c>
      <c r="K63" s="39">
        <v>0</v>
      </c>
      <c r="L63" s="46">
        <f t="shared" si="21"/>
        <v>-8.1999999999999851E-3</v>
      </c>
      <c r="M63" s="46">
        <f t="shared" si="22"/>
        <v>-3.2385466034755077</v>
      </c>
      <c r="N63" s="50">
        <v>1214</v>
      </c>
      <c r="O63" s="37">
        <v>297.43</v>
      </c>
      <c r="P63" s="71">
        <f t="shared" si="24"/>
        <v>0</v>
      </c>
      <c r="Q63" s="48">
        <f t="shared" si="23"/>
        <v>-5.5876685934489467E-2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420000000</v>
      </c>
      <c r="E64" s="39">
        <v>0</v>
      </c>
      <c r="F64" s="40" t="s">
        <v>66</v>
      </c>
      <c r="G64" s="70">
        <v>10</v>
      </c>
      <c r="H64" s="42">
        <v>14</v>
      </c>
      <c r="I64" s="42">
        <v>14</v>
      </c>
      <c r="J64" s="44">
        <f t="shared" si="20"/>
        <v>14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0.39999999999999991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33217558.850400001</v>
      </c>
      <c r="E65" s="39">
        <v>0</v>
      </c>
      <c r="F65" s="40" t="s">
        <v>44</v>
      </c>
      <c r="G65" s="70">
        <v>4.2999999999999997E-2</v>
      </c>
      <c r="H65" s="42">
        <v>0.1195</v>
      </c>
      <c r="I65" s="42">
        <v>9.64E-2</v>
      </c>
      <c r="J65" s="44">
        <f t="shared" si="20"/>
        <v>9.64E-2</v>
      </c>
      <c r="K65" s="39">
        <v>0</v>
      </c>
      <c r="L65" s="46">
        <f t="shared" si="21"/>
        <v>-2.3099999999999996E-2</v>
      </c>
      <c r="M65" s="46">
        <f t="shared" si="22"/>
        <v>-19.33054393305439</v>
      </c>
      <c r="N65" s="50">
        <v>73203</v>
      </c>
      <c r="O65" s="37">
        <v>7058.74</v>
      </c>
      <c r="P65" s="71">
        <f t="shared" si="24"/>
        <v>0</v>
      </c>
      <c r="Q65" s="48">
        <f t="shared" si="23"/>
        <v>1.2418604651162792</v>
      </c>
      <c r="T65" s="52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4708054</v>
      </c>
      <c r="O66" s="62">
        <f>SUM(O50:O65)</f>
        <v>2812121.19</v>
      </c>
      <c r="P66" s="80"/>
      <c r="Q66" s="63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18</v>
      </c>
      <c r="O71" s="96">
        <v>6.3</v>
      </c>
      <c r="P71" s="71">
        <f>(R71)/J71</f>
        <v>0</v>
      </c>
      <c r="Q71" s="48">
        <f>J71/G71-1</f>
        <v>0.45833333333333326</v>
      </c>
      <c r="T71" s="52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81707589.425000012</v>
      </c>
      <c r="E72" s="39">
        <f>C72*K72</f>
        <v>81707589.425000012</v>
      </c>
      <c r="F72" s="92" t="s">
        <v>159</v>
      </c>
      <c r="G72" s="92">
        <v>0.1</v>
      </c>
      <c r="H72" s="93">
        <v>0.151</v>
      </c>
      <c r="I72" s="93">
        <v>0.15110000000000001</v>
      </c>
      <c r="J72" s="94">
        <f>I72</f>
        <v>0.15110000000000001</v>
      </c>
      <c r="K72" s="94">
        <f>J72</f>
        <v>0.15110000000000001</v>
      </c>
      <c r="L72" s="46">
        <f>I72-H72</f>
        <v>1.0000000000001674E-4</v>
      </c>
      <c r="M72" s="46">
        <f>((I72-H72)/H72)*100</f>
        <v>6.6225165562925001E-2</v>
      </c>
      <c r="N72" s="50">
        <v>71145</v>
      </c>
      <c r="O72" s="96">
        <v>10749.49</v>
      </c>
      <c r="P72" s="97">
        <f>(R72)/J72</f>
        <v>2.5095962938451354E-2</v>
      </c>
      <c r="Q72" s="48">
        <f>J72/G72-1</f>
        <v>0.51100000000000012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71163</v>
      </c>
      <c r="O73" s="62">
        <f>SUM(O71:O72)</f>
        <v>10755.789999999999</v>
      </c>
      <c r="P73" s="90"/>
      <c r="Q73" s="63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7362242.1845999993</v>
      </c>
      <c r="E75" s="39">
        <f>C75*K75</f>
        <v>7362242.1845999993</v>
      </c>
      <c r="F75" s="92" t="s">
        <v>137</v>
      </c>
      <c r="G75" s="92">
        <v>0.1394</v>
      </c>
      <c r="H75" s="93">
        <v>0.11899999999999999</v>
      </c>
      <c r="I75" s="93">
        <v>0.11459999999999999</v>
      </c>
      <c r="J75" s="94">
        <f>I75</f>
        <v>0.11459999999999999</v>
      </c>
      <c r="K75" s="94">
        <f>J75</f>
        <v>0.11459999999999999</v>
      </c>
      <c r="L75" s="46">
        <f>I75-H75</f>
        <v>-4.4000000000000011E-3</v>
      </c>
      <c r="M75" s="46">
        <f>((I75-H75)/H75)*100</f>
        <v>-3.6974789915966402</v>
      </c>
      <c r="N75" s="95">
        <v>1125</v>
      </c>
      <c r="O75" s="96">
        <v>128.91999999999999</v>
      </c>
      <c r="P75" s="71">
        <f>(R75)/J75</f>
        <v>0</v>
      </c>
      <c r="Q75" s="48">
        <f>J75/G75-1</f>
        <v>-0.17790530846484942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119285.9636910921</v>
      </c>
      <c r="E78" s="39">
        <f>C78*K78</f>
        <v>99072.584375000006</v>
      </c>
      <c r="F78" s="40" t="s">
        <v>137</v>
      </c>
      <c r="G78" s="70">
        <v>0.105</v>
      </c>
      <c r="H78" s="42">
        <v>9.35E-2</v>
      </c>
      <c r="I78" s="42">
        <v>0.1</v>
      </c>
      <c r="J78" s="44">
        <f>I78/$J$5</f>
        <v>3.7625811306556301E-3</v>
      </c>
      <c r="K78" s="45">
        <f>I78/$K$4</f>
        <v>3.1250000000000002E-3</v>
      </c>
      <c r="L78" s="46">
        <f>I78-H78</f>
        <v>6.5000000000000058E-3</v>
      </c>
      <c r="M78" s="98">
        <f>((I78-H78)/H78)*100</f>
        <v>6.9518716577540163</v>
      </c>
      <c r="N78" s="37">
        <v>103100</v>
      </c>
      <c r="O78" s="37">
        <v>10310</v>
      </c>
      <c r="P78" s="40">
        <v>0</v>
      </c>
      <c r="Q78" s="48">
        <f>I78/G78-1</f>
        <v>-4.7619047619047561E-2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461088.69080989558</v>
      </c>
      <c r="E79" s="39">
        <f>C79*K79</f>
        <v>382955.77124999999</v>
      </c>
      <c r="F79" s="40" t="s">
        <v>137</v>
      </c>
      <c r="G79" s="70">
        <v>4.2500000000000003E-2</v>
      </c>
      <c r="H79" s="42">
        <v>0.09</v>
      </c>
      <c r="I79" s="42">
        <v>0.09</v>
      </c>
      <c r="J79" s="44">
        <f>I79/$J$5</f>
        <v>3.3863230175900667E-3</v>
      </c>
      <c r="K79" s="45">
        <f>I79/$K$4</f>
        <v>2.8124999999999999E-3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1.117647058823529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1595459.8423478506</v>
      </c>
      <c r="E80" s="39">
        <f>C80*K80</f>
        <v>1325104.18625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4.8913554698523185E-3</v>
      </c>
      <c r="K80" s="45">
        <f>I80/$K$4</f>
        <v>4.0625000000000001E-3</v>
      </c>
      <c r="L80" s="46">
        <f>I80-H80</f>
        <v>0</v>
      </c>
      <c r="M80" s="98">
        <f>((I80-H80)/H80)*100</f>
        <v>0</v>
      </c>
      <c r="N80" s="37">
        <v>100</v>
      </c>
      <c r="O80" s="37">
        <v>13</v>
      </c>
      <c r="P80" s="40">
        <v>0</v>
      </c>
      <c r="Q80" s="48">
        <f>I80/G80-1</f>
        <v>1.1487603305785123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424628.78637945629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6.3587621108080139E-2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100</v>
      </c>
      <c r="O81" s="37">
        <v>169</v>
      </c>
      <c r="P81" s="40">
        <v>0</v>
      </c>
      <c r="Q81" s="48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103300</v>
      </c>
      <c r="O82" s="62">
        <f>SUM(O78:O81)</f>
        <v>10492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26331290.136393566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7.1489041482456966E-2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75754465.510864452</v>
      </c>
      <c r="E85" s="39">
        <f>C85*K85</f>
        <v>62917634.59734375</v>
      </c>
      <c r="F85" s="40" t="s">
        <v>177</v>
      </c>
      <c r="G85" s="40">
        <v>1.44347</v>
      </c>
      <c r="H85" s="42">
        <v>1.0496049999999999</v>
      </c>
      <c r="I85" s="42">
        <v>1.0935630000000001</v>
      </c>
      <c r="J85" s="44">
        <f>I85/$J$5</f>
        <v>4.1146195089831625E-2</v>
      </c>
      <c r="K85" s="45">
        <f>I85/$K$4</f>
        <v>3.4173843750000002E-2</v>
      </c>
      <c r="L85" s="46">
        <f>I85-H85</f>
        <v>4.3958000000000164E-2</v>
      </c>
      <c r="M85" s="46">
        <f>((I85-H85)/H85*100)</f>
        <v>4.188051695637899</v>
      </c>
      <c r="N85" s="76">
        <v>804284</v>
      </c>
      <c r="O85" s="76">
        <v>879519.33750000002</v>
      </c>
      <c r="P85" s="47">
        <f>(R85)/J85</f>
        <v>5.288459832675392E-2</v>
      </c>
      <c r="Q85" s="48">
        <f>I85/G85-1</f>
        <v>-0.24240683907528382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">
      <c r="A89" s="35" t="s">
        <v>103</v>
      </c>
      <c r="B89" s="116">
        <v>2.4</v>
      </c>
      <c r="D89" s="116">
        <v>12.438510189739977</v>
      </c>
      <c r="E89" s="35" t="s">
        <v>77</v>
      </c>
      <c r="F89" s="117">
        <v>2.486923</v>
      </c>
      <c r="H89" s="118">
        <v>-7.5185266170441887</v>
      </c>
      <c r="J89" s="35" t="s">
        <v>144</v>
      </c>
      <c r="K89" s="51">
        <v>0.72009999999999996</v>
      </c>
      <c r="L89" s="119">
        <v>4.1058262252421542</v>
      </c>
      <c r="M89" s="35" t="s">
        <v>131</v>
      </c>
      <c r="N89" s="117">
        <v>0.11990000000000001</v>
      </c>
      <c r="O89" s="118">
        <v>-17.310344827586196</v>
      </c>
      <c r="P89" s="118">
        <v>-1.3931214627775275</v>
      </c>
      <c r="Q89" s="16"/>
    </row>
    <row r="90" spans="1:243" ht="15" customHeight="1" x14ac:dyDescent="0.2">
      <c r="A90" s="35" t="s">
        <v>70</v>
      </c>
      <c r="B90" s="116">
        <v>12</v>
      </c>
      <c r="D90" s="116">
        <v>10.091743119266052</v>
      </c>
      <c r="E90" s="35" t="s">
        <v>99</v>
      </c>
      <c r="F90" s="117">
        <v>0.84512399999999999</v>
      </c>
      <c r="H90" s="118">
        <v>-1.8609998258143161</v>
      </c>
      <c r="J90" s="35" t="s">
        <v>140</v>
      </c>
      <c r="K90" s="51">
        <v>1.5497000000000001</v>
      </c>
      <c r="L90" s="119">
        <v>3.8812173213567545</v>
      </c>
      <c r="M90" s="35" t="s">
        <v>146</v>
      </c>
      <c r="N90" s="117">
        <v>0.245</v>
      </c>
      <c r="O90" s="118">
        <v>-3.2385466034755077</v>
      </c>
      <c r="P90" s="118">
        <v>-0.80321285140561771</v>
      </c>
      <c r="Q90" s="16"/>
    </row>
    <row r="91" spans="1:243" ht="15" customHeight="1" x14ac:dyDescent="0.2">
      <c r="A91" s="35" t="s">
        <v>50</v>
      </c>
      <c r="B91" s="116">
        <v>6</v>
      </c>
      <c r="C91" s="116"/>
      <c r="D91" s="116">
        <v>9.0909090909090917</v>
      </c>
      <c r="E91" s="120" t="s">
        <v>35</v>
      </c>
      <c r="F91" s="117">
        <v>0.135021</v>
      </c>
      <c r="G91" s="121"/>
      <c r="H91" s="118">
        <v>-0.75269212392957996</v>
      </c>
      <c r="J91" s="35" t="s">
        <v>121</v>
      </c>
      <c r="K91" s="51">
        <v>37.9</v>
      </c>
      <c r="L91" s="119">
        <v>2.1753371920923268</v>
      </c>
      <c r="M91" s="35" t="s">
        <v>127</v>
      </c>
      <c r="N91" s="117">
        <v>0.1595</v>
      </c>
      <c r="O91" s="118">
        <v>-1.1771995043370418</v>
      </c>
      <c r="P91" s="118">
        <v>-0.77994428969359408</v>
      </c>
      <c r="Q91" s="16"/>
    </row>
    <row r="92" spans="1:243" ht="15" customHeight="1" x14ac:dyDescent="0.2">
      <c r="A92" s="35" t="s">
        <v>107</v>
      </c>
      <c r="B92" s="116">
        <v>7.46</v>
      </c>
      <c r="C92" s="116"/>
      <c r="D92" s="116">
        <v>5.6657223796034053</v>
      </c>
      <c r="E92" s="120" t="s">
        <v>97</v>
      </c>
      <c r="F92" s="117">
        <v>3.4996409999999996</v>
      </c>
      <c r="G92" s="121"/>
      <c r="H92" s="118">
        <v>-0.24948737228488177</v>
      </c>
      <c r="J92" s="35" t="s">
        <v>138</v>
      </c>
      <c r="K92" s="51">
        <v>0.90259999999999996</v>
      </c>
      <c r="L92" s="119">
        <v>1.6212564737671658</v>
      </c>
      <c r="M92" s="35" t="s">
        <v>142</v>
      </c>
      <c r="N92" s="117">
        <v>0.3579</v>
      </c>
      <c r="O92" s="118">
        <v>-0.88618111326501836</v>
      </c>
      <c r="P92" s="118">
        <v>-0.56417489421721045</v>
      </c>
      <c r="Q92" s="16"/>
    </row>
    <row r="93" spans="1:243" ht="15" customHeight="1" x14ac:dyDescent="0.2">
      <c r="A93" s="35" t="s">
        <v>115</v>
      </c>
      <c r="B93" s="116">
        <v>4.541245</v>
      </c>
      <c r="C93" s="116"/>
      <c r="D93" s="116">
        <v>3.7819047579870668</v>
      </c>
      <c r="E93" s="120" t="s">
        <v>52</v>
      </c>
      <c r="F93" s="117">
        <v>33.524979000000002</v>
      </c>
      <c r="G93" s="121"/>
      <c r="H93" s="118">
        <v>-2.0043719823327977E-2</v>
      </c>
      <c r="J93" s="120" t="s">
        <v>123</v>
      </c>
      <c r="K93" s="121">
        <v>0.22600000000000001</v>
      </c>
      <c r="L93" s="119">
        <v>1.4362657091561977</v>
      </c>
      <c r="M93" s="35" t="s">
        <v>119</v>
      </c>
      <c r="N93" s="117">
        <v>0.16189999999999999</v>
      </c>
      <c r="O93" s="118">
        <v>-0.24645717806531822</v>
      </c>
      <c r="P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jmi7vCt1cvHvkYV7kEQ6hEjn5I6d6Ao9N6NR1hFb0HihcWHvHPCXd0sgEAxbpKqtsabFg+TE8QK9Ee+fWROpfA==" saltValue="LwD66tpI0BL3fgjWSwrXCQ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2026-10-23T13:22:58Z</dcterms:created>
  <dcterms:modified xsi:type="dcterms:W3CDTF">2026-10-23T13:24:17Z</dcterms:modified>
</cp:coreProperties>
</file>