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ly/22.07.26/"/>
    </mc:Choice>
  </mc:AlternateContent>
  <xr:revisionPtr revIDLastSave="0" documentId="8_{F59DBF0E-7825-43D1-9841-64BDAFF0AE3E}" xr6:coauthVersionLast="47" xr6:coauthVersionMax="47" xr10:uidLastSave="{00000000-0000-0000-0000-000000000000}"/>
  <bookViews>
    <workbookView xWindow="-108" yWindow="-108" windowWidth="23256" windowHeight="12456" xr2:uid="{4D9CF66D-164F-4232-A36E-71E44B693481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E84" i="1" s="1"/>
  <c r="J84" i="1"/>
  <c r="P84" i="1" s="1"/>
  <c r="D84" i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Q77" i="1"/>
  <c r="M77" i="1"/>
  <c r="L77" i="1"/>
  <c r="K77" i="1"/>
  <c r="E77" i="1" s="1"/>
  <c r="J77" i="1"/>
  <c r="D77" i="1" s="1"/>
  <c r="M74" i="1"/>
  <c r="L74" i="1"/>
  <c r="J74" i="1"/>
  <c r="D74" i="1" s="1"/>
  <c r="O72" i="1"/>
  <c r="N72" i="1"/>
  <c r="M71" i="1"/>
  <c r="L71" i="1"/>
  <c r="J71" i="1"/>
  <c r="K71" i="1" s="1"/>
  <c r="E71" i="1" s="1"/>
  <c r="M70" i="1"/>
  <c r="L70" i="1"/>
  <c r="J70" i="1"/>
  <c r="P70" i="1" s="1"/>
  <c r="M67" i="1"/>
  <c r="L67" i="1"/>
  <c r="D67" i="1"/>
  <c r="O65" i="1"/>
  <c r="N65" i="1"/>
  <c r="M64" i="1"/>
  <c r="L64" i="1"/>
  <c r="J64" i="1"/>
  <c r="Q64" i="1" s="1"/>
  <c r="D64" i="1"/>
  <c r="M63" i="1"/>
  <c r="L63" i="1"/>
  <c r="J63" i="1"/>
  <c r="D63" i="1" s="1"/>
  <c r="M62" i="1"/>
  <c r="L62" i="1"/>
  <c r="J62" i="1"/>
  <c r="P62" i="1" s="1"/>
  <c r="M61" i="1"/>
  <c r="L61" i="1"/>
  <c r="J61" i="1"/>
  <c r="D61" i="1" s="1"/>
  <c r="M60" i="1"/>
  <c r="L60" i="1"/>
  <c r="J60" i="1"/>
  <c r="P60" i="1" s="1"/>
  <c r="M59" i="1"/>
  <c r="L59" i="1"/>
  <c r="J59" i="1"/>
  <c r="P59" i="1" s="1"/>
  <c r="D59" i="1"/>
  <c r="M58" i="1"/>
  <c r="L58" i="1"/>
  <c r="J58" i="1"/>
  <c r="P58" i="1" s="1"/>
  <c r="M57" i="1"/>
  <c r="L57" i="1"/>
  <c r="J57" i="1"/>
  <c r="P57" i="1" s="1"/>
  <c r="M56" i="1"/>
  <c r="L56" i="1"/>
  <c r="J56" i="1"/>
  <c r="P56" i="1" s="1"/>
  <c r="M55" i="1"/>
  <c r="L55" i="1"/>
  <c r="J55" i="1"/>
  <c r="Q55" i="1" s="1"/>
  <c r="M54" i="1"/>
  <c r="L54" i="1"/>
  <c r="J54" i="1"/>
  <c r="P54" i="1" s="1"/>
  <c r="M53" i="1"/>
  <c r="L53" i="1"/>
  <c r="J53" i="1"/>
  <c r="P53" i="1" s="1"/>
  <c r="M52" i="1"/>
  <c r="L52" i="1"/>
  <c r="J52" i="1"/>
  <c r="Q52" i="1" s="1"/>
  <c r="M51" i="1"/>
  <c r="L51" i="1"/>
  <c r="J51" i="1"/>
  <c r="D51" i="1" s="1"/>
  <c r="M50" i="1"/>
  <c r="L50" i="1"/>
  <c r="J50" i="1"/>
  <c r="P50" i="1" s="1"/>
  <c r="O47" i="1"/>
  <c r="N47" i="1"/>
  <c r="Q46" i="1"/>
  <c r="M46" i="1"/>
  <c r="L46" i="1"/>
  <c r="K46" i="1"/>
  <c r="E46" i="1" s="1"/>
  <c r="J46" i="1"/>
  <c r="D46" i="1" s="1"/>
  <c r="Q45" i="1"/>
  <c r="M45" i="1"/>
  <c r="L45" i="1"/>
  <c r="K45" i="1"/>
  <c r="E45" i="1" s="1"/>
  <c r="J45" i="1"/>
  <c r="P45" i="1" s="1"/>
  <c r="D45" i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D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D37" i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P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D33" i="1" s="1"/>
  <c r="Q32" i="1"/>
  <c r="M32" i="1"/>
  <c r="L32" i="1"/>
  <c r="K32" i="1"/>
  <c r="J32" i="1"/>
  <c r="P32" i="1" s="1"/>
  <c r="E32" i="1"/>
  <c r="K31" i="1"/>
  <c r="E31" i="1" s="1"/>
  <c r="J31" i="1"/>
  <c r="D31" i="1" s="1"/>
  <c r="Q29" i="1"/>
  <c r="M29" i="1"/>
  <c r="L29" i="1"/>
  <c r="K29" i="1"/>
  <c r="E29" i="1" s="1"/>
  <c r="J29" i="1"/>
  <c r="P29" i="1" s="1"/>
  <c r="D29" i="1"/>
  <c r="Q28" i="1"/>
  <c r="P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Q25" i="1"/>
  <c r="M25" i="1"/>
  <c r="L25" i="1"/>
  <c r="K25" i="1"/>
  <c r="E25" i="1" s="1"/>
  <c r="J25" i="1"/>
  <c r="P25" i="1" s="1"/>
  <c r="R24" i="1"/>
  <c r="Q24" i="1"/>
  <c r="P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P20" i="1" s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J16" i="1"/>
  <c r="P16" i="1" s="1"/>
  <c r="E16" i="1"/>
  <c r="Q15" i="1"/>
  <c r="M15" i="1"/>
  <c r="L15" i="1"/>
  <c r="K15" i="1"/>
  <c r="E15" i="1" s="1"/>
  <c r="J15" i="1"/>
  <c r="P15" i="1" s="1"/>
  <c r="D15" i="1"/>
  <c r="Q14" i="1"/>
  <c r="M14" i="1"/>
  <c r="L14" i="1"/>
  <c r="K14" i="1"/>
  <c r="J14" i="1"/>
  <c r="D14" i="1" s="1"/>
  <c r="E14" i="1"/>
  <c r="Q13" i="1"/>
  <c r="M13" i="1"/>
  <c r="L13" i="1"/>
  <c r="K13" i="1"/>
  <c r="J13" i="1"/>
  <c r="P13" i="1" s="1"/>
  <c r="E13" i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D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D23" i="1" l="1"/>
  <c r="D43" i="1"/>
  <c r="D57" i="1"/>
  <c r="D50" i="1"/>
  <c r="P63" i="1"/>
  <c r="Q63" i="1"/>
  <c r="Q57" i="1"/>
  <c r="D58" i="1"/>
  <c r="P51" i="1"/>
  <c r="Q51" i="1"/>
  <c r="D52" i="1"/>
  <c r="D12" i="1"/>
  <c r="D25" i="1"/>
  <c r="P83" i="1"/>
  <c r="D20" i="1"/>
  <c r="Q53" i="1"/>
  <c r="Q59" i="1"/>
  <c r="Q71" i="1"/>
  <c r="D40" i="1"/>
  <c r="D54" i="1"/>
  <c r="D70" i="1"/>
  <c r="D9" i="1"/>
  <c r="P61" i="1"/>
  <c r="D16" i="1"/>
  <c r="P17" i="1"/>
  <c r="P34" i="1"/>
  <c r="Q61" i="1"/>
  <c r="P74" i="1"/>
  <c r="D42" i="1"/>
  <c r="D55" i="1"/>
  <c r="D62" i="1"/>
  <c r="Q74" i="1"/>
  <c r="K74" i="1"/>
  <c r="E74" i="1" s="1"/>
  <c r="D35" i="1"/>
  <c r="D13" i="1"/>
  <c r="P14" i="1"/>
  <c r="D26" i="1"/>
  <c r="D44" i="1"/>
  <c r="D53" i="1"/>
  <c r="D60" i="1"/>
  <c r="P71" i="1"/>
  <c r="P55" i="1"/>
  <c r="D10" i="1"/>
  <c r="P11" i="1"/>
  <c r="D41" i="1"/>
  <c r="D32" i="1"/>
  <c r="D56" i="1"/>
  <c r="K70" i="1"/>
  <c r="E70" i="1" s="1"/>
  <c r="P64" i="1"/>
  <c r="Q50" i="1"/>
  <c r="Q70" i="1"/>
  <c r="Q54" i="1"/>
  <c r="Q56" i="1"/>
  <c r="Q58" i="1"/>
  <c r="Q60" i="1"/>
  <c r="Q62" i="1"/>
  <c r="D71" i="1"/>
  <c r="P21" i="1"/>
  <c r="P27" i="1"/>
  <c r="P33" i="1"/>
  <c r="P36" i="1"/>
</calcChain>
</file>

<file path=xl/sharedStrings.xml><?xml version="1.0" encoding="utf-8"?>
<sst xmlns="http://schemas.openxmlformats.org/spreadsheetml/2006/main" count="266" uniqueCount="183">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</sst>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166" fontId="15" fillId="5" borderId="11" xfId="5" applyNumberFormat="1" applyFont="1" applyFill="1" applyBorder="1" applyAlignment="1"/>
    <xf numFmtId="164" fontId="15" fillId="5" borderId="11" xfId="5" applyFont="1" applyFill="1" applyBorder="1" applyAlignment="1"/>
    <xf numFmtId="168" fontId="15" fillId="5" borderId="11" xfId="4" applyNumberFormat="1" applyFont="1" applyFill="1" applyBorder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4" fontId="15" fillId="5" borderId="11" xfId="4" applyFont="1" applyFill="1" applyBorder="1"/>
    <xf numFmtId="167" fontId="15" fillId="5" borderId="12" xfId="4" applyNumberFormat="1" applyFont="1" applyFill="1" applyBorder="1"/>
    <xf numFmtId="164" fontId="15" fillId="5" borderId="13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164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0" fontId="5" fillId="3" borderId="0" xfId="3" applyFont="1" applyFill="1" applyBorder="1" applyAlignment="1"/>
    <xf numFmtId="0" fontId="9" fillId="3" borderId="0" xfId="3" applyFont="1" applyFill="1" applyBorder="1" applyAlignment="1"/>
    <xf numFmtId="4" fontId="10" fillId="3" borderId="0" xfId="3" applyNumberFormat="1" applyFont="1" applyFill="1" applyBorder="1" applyAlignment="1"/>
    <xf numFmtId="0" fontId="11" fillId="4" borderId="0" xfId="3" applyFont="1" applyFill="1" applyBorder="1" applyAlignment="1">
      <alignment horizontal="center"/>
    </xf>
    <xf numFmtId="0" fontId="11" fillId="4" borderId="0" xfId="3" quotePrefix="1" applyFont="1" applyFill="1" applyBorder="1" applyAlignment="1">
      <alignment horizontal="left"/>
    </xf>
    <xf numFmtId="0" fontId="11" fillId="4" borderId="0" xfId="3" applyFont="1" applyFill="1" applyBorder="1" applyAlignment="1">
      <alignment horizontal="right" wrapText="1"/>
    </xf>
    <xf numFmtId="0" fontId="11" fillId="4" borderId="0" xfId="3" applyFont="1" applyFill="1" applyBorder="1" applyAlignment="1">
      <alignment horizontal="right"/>
    </xf>
    <xf numFmtId="0" fontId="11" fillId="4" borderId="0" xfId="3" applyFont="1" applyFill="1" applyBorder="1" applyAlignment="1">
      <alignment horizontal="left"/>
    </xf>
    <xf numFmtId="49" fontId="12" fillId="2" borderId="0" xfId="3" applyNumberFormat="1" applyFont="1" applyFill="1" applyBorder="1" applyAlignment="1">
      <alignment horizontal="center"/>
    </xf>
    <xf numFmtId="165" fontId="12" fillId="2" borderId="0" xfId="3" applyNumberFormat="1" applyFont="1" applyFill="1" applyBorder="1" applyAlignment="1">
      <alignment horizontal="center"/>
    </xf>
    <xf numFmtId="0" fontId="21" fillId="3" borderId="0" xfId="3" applyFont="1" applyFill="1" applyBorder="1" applyAlignment="1"/>
    <xf numFmtId="0" fontId="4" fillId="3" borderId="0" xfId="3" applyFont="1" applyFill="1" applyBorder="1" applyAlignment="1"/>
    <xf numFmtId="164" fontId="4" fillId="3" borderId="0" xfId="3" applyNumberFormat="1" applyFont="1" applyFill="1" applyBorder="1" applyAlignment="1"/>
    <xf numFmtId="0" fontId="27" fillId="3" borderId="0" xfId="3" applyFont="1" applyFill="1" applyBorder="1" applyAlignment="1"/>
    <xf numFmtId="164" fontId="9" fillId="3" borderId="0" xfId="3" applyNumberFormat="1" applyFont="1" applyFill="1" applyBorder="1" applyAlignment="1"/>
  </cellXfs>
  <cellStyles count="10">
    <cellStyle name="Comma" xfId="1" builtinId="3"/>
    <cellStyle name="Comma 2 2 2 2 2 2 2 2 2 2" xfId="4" xr:uid="{F72FAC2F-E747-4C81-B353-D8CF2E4B5059}"/>
    <cellStyle name="Comma 5 2 2 2 2 2 2 2 2" xfId="5" xr:uid="{FBFFC000-5B1D-4F46-A46F-04B3FBC786B6}"/>
    <cellStyle name="Comma 6 2 2 2" xfId="6" xr:uid="{6ED8D769-E1DE-441F-A53F-7C5C40B36860}"/>
    <cellStyle name="Hyperlink 2" xfId="9" xr:uid="{2F94BDD1-88A3-477F-933A-A35330C4CED5}"/>
    <cellStyle name="Normal" xfId="0" builtinId="0"/>
    <cellStyle name="Normal 2" xfId="3" xr:uid="{4DA92D4E-E989-4489-AF49-044F1F8EF687}"/>
    <cellStyle name="Normal 20" xfId="8" xr:uid="{63A676F5-EC18-4CF6-9ECE-1E50EA1869EA}"/>
    <cellStyle name="Percent" xfId="2" builtinId="5"/>
    <cellStyle name="Percent 3" xfId="7" xr:uid="{0DFB61FD-F432-4CE5-9ED2-520C96CCCD73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765F993-AA52-4E68-AD6D-3B1EDD56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39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7</xdr:col>
      <xdr:colOff>10886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FB4EFF4-BEB3-4634-BAE5-25E0AEC5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3321"/>
          <a:ext cx="6197238" cy="623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E65E-EC90-483B-B773-4272F0AA88FA}">
  <dimension ref="A1:II106"/>
  <sheetViews>
    <sheetView tabSelected="1" zoomScale="70" zoomScaleNormal="70" workbookViewId="0">
      <selection activeCell="T21" sqref="T2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7.77734375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135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6"/>
      <c r="C3" s="136"/>
      <c r="D3" s="136"/>
      <c r="E3" s="136"/>
      <c r="F3" s="135"/>
      <c r="G3" s="135"/>
      <c r="H3" s="13" t="s">
        <v>3</v>
      </c>
      <c r="I3" s="135"/>
      <c r="J3" s="135"/>
      <c r="K3" s="135"/>
      <c r="L3" s="13" t="s">
        <v>4</v>
      </c>
      <c r="M3" s="14" t="s">
        <v>5</v>
      </c>
      <c r="N3" s="12" t="s">
        <v>6</v>
      </c>
      <c r="O3" s="135"/>
      <c r="P3" s="135"/>
      <c r="Q3" s="15"/>
      <c r="R3" s="9"/>
    </row>
    <row r="4" spans="1:18" x14ac:dyDescent="0.25">
      <c r="A4" s="12"/>
      <c r="B4" s="136"/>
      <c r="C4" s="136"/>
      <c r="D4" s="136"/>
      <c r="E4" s="136"/>
      <c r="F4" s="135"/>
      <c r="G4" s="135"/>
      <c r="H4" s="13" t="s">
        <v>7</v>
      </c>
      <c r="I4" s="135"/>
      <c r="J4" s="135"/>
      <c r="K4" s="137">
        <v>31.5</v>
      </c>
      <c r="L4" s="13" t="s">
        <v>8</v>
      </c>
      <c r="M4" s="14" t="s">
        <v>9</v>
      </c>
      <c r="N4" s="12" t="s">
        <v>10</v>
      </c>
      <c r="O4" s="135"/>
      <c r="P4" s="135"/>
      <c r="Q4" s="15"/>
      <c r="R4" s="9"/>
    </row>
    <row r="5" spans="1:18" ht="12.6" thickBot="1" x14ac:dyDescent="0.3">
      <c r="A5" s="16"/>
      <c r="B5" s="17"/>
      <c r="C5" s="17"/>
      <c r="D5" s="17"/>
      <c r="E5" s="17"/>
      <c r="F5" s="18"/>
      <c r="G5" s="18"/>
      <c r="H5" s="19" t="s">
        <v>11</v>
      </c>
      <c r="I5" s="18"/>
      <c r="J5" s="20">
        <v>26.6967</v>
      </c>
      <c r="K5" s="20"/>
      <c r="L5" s="133" t="s">
        <v>12</v>
      </c>
      <c r="M5" s="134"/>
      <c r="N5" s="21" t="s">
        <v>13</v>
      </c>
      <c r="O5" s="22"/>
      <c r="P5" s="22"/>
      <c r="Q5" s="23"/>
    </row>
    <row r="6" spans="1:18" ht="6.6" customHeight="1" x14ac:dyDescent="0.3">
      <c r="A6" s="123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6"/>
    </row>
    <row r="7" spans="1:18" s="27" customFormat="1" ht="23.4" customHeight="1" x14ac:dyDescent="0.25">
      <c r="A7" s="24" t="s">
        <v>14</v>
      </c>
      <c r="B7" s="138" t="s">
        <v>15</v>
      </c>
      <c r="C7" s="138" t="s">
        <v>16</v>
      </c>
      <c r="D7" s="138" t="s">
        <v>17</v>
      </c>
      <c r="E7" s="138" t="s">
        <v>18</v>
      </c>
      <c r="F7" s="139" t="s">
        <v>19</v>
      </c>
      <c r="G7" s="140" t="s">
        <v>20</v>
      </c>
      <c r="H7" s="140" t="s">
        <v>21</v>
      </c>
      <c r="I7" s="140" t="s">
        <v>22</v>
      </c>
      <c r="J7" s="140" t="s">
        <v>23</v>
      </c>
      <c r="K7" s="140" t="s">
        <v>24</v>
      </c>
      <c r="L7" s="141" t="s">
        <v>25</v>
      </c>
      <c r="M7" s="141" t="s">
        <v>26</v>
      </c>
      <c r="N7" s="140" t="s">
        <v>27</v>
      </c>
      <c r="O7" s="140" t="s">
        <v>28</v>
      </c>
      <c r="P7" s="141" t="s">
        <v>29</v>
      </c>
      <c r="Q7" s="26" t="s">
        <v>30</v>
      </c>
      <c r="R7" s="25" t="s">
        <v>31</v>
      </c>
    </row>
    <row r="8" spans="1:18" s="27" customFormat="1" hidden="1" x14ac:dyDescent="0.25">
      <c r="A8" s="28"/>
      <c r="B8" s="138"/>
      <c r="C8" s="138"/>
      <c r="D8" s="138"/>
      <c r="E8" s="138"/>
      <c r="F8" s="142"/>
      <c r="G8" s="140"/>
      <c r="H8" s="140"/>
      <c r="I8" s="140"/>
      <c r="J8" s="140"/>
      <c r="K8" s="140"/>
      <c r="L8" s="141"/>
      <c r="M8" s="141"/>
      <c r="N8" s="140"/>
      <c r="O8" s="140"/>
      <c r="P8" s="141"/>
      <c r="Q8" s="26"/>
      <c r="R8" s="25"/>
    </row>
    <row r="9" spans="1:18" ht="12.75" customHeight="1" x14ac:dyDescent="0.25">
      <c r="A9" s="29" t="s">
        <v>32</v>
      </c>
      <c r="B9" s="30" t="s">
        <v>33</v>
      </c>
      <c r="C9" s="31">
        <v>126034439</v>
      </c>
      <c r="D9" s="32">
        <f>C9*J9</f>
        <v>74591396.54713878</v>
      </c>
      <c r="E9" s="33">
        <f>C9*K9</f>
        <v>63217274.165079363</v>
      </c>
      <c r="F9" s="34" t="s">
        <v>34</v>
      </c>
      <c r="G9" s="35">
        <v>8.9894999999999996</v>
      </c>
      <c r="H9" s="36">
        <v>15.8</v>
      </c>
      <c r="I9" s="37">
        <v>15.8</v>
      </c>
      <c r="J9" s="38">
        <f>(I9/$J$5)</f>
        <v>0.59183344757966339</v>
      </c>
      <c r="K9" s="39">
        <f>I9/$K$4</f>
        <v>0.50158730158730158</v>
      </c>
      <c r="L9" s="40">
        <f>I9-H9</f>
        <v>0</v>
      </c>
      <c r="M9" s="40">
        <f>((I9-H9)/H9)*100</f>
        <v>0</v>
      </c>
      <c r="N9" s="41">
        <v>0</v>
      </c>
      <c r="O9" s="31">
        <v>0</v>
      </c>
      <c r="P9" s="42">
        <f>(R9)/J9</f>
        <v>2.534496835443038E-2</v>
      </c>
      <c r="Q9" s="43">
        <f>I9/G9-1</f>
        <v>0.75760609600089013</v>
      </c>
      <c r="R9" s="44">
        <v>1.4999999999999999E-2</v>
      </c>
    </row>
    <row r="10" spans="1:18" x14ac:dyDescent="0.25">
      <c r="A10" s="29" t="s">
        <v>35</v>
      </c>
      <c r="B10" s="30" t="s">
        <v>36</v>
      </c>
      <c r="C10" s="31">
        <v>1627395595</v>
      </c>
      <c r="D10" s="32">
        <f>C10*J10</f>
        <v>4724785.3771162722</v>
      </c>
      <c r="E10" s="33">
        <f>C10*K10</f>
        <v>4004323.1040399997</v>
      </c>
      <c r="F10" s="34" t="s">
        <v>34</v>
      </c>
      <c r="G10" s="35">
        <v>3.1600000000000003E-2</v>
      </c>
      <c r="H10" s="36">
        <v>7.7507999999999994E-2</v>
      </c>
      <c r="I10" s="37">
        <v>7.7507999999999994E-2</v>
      </c>
      <c r="J10" s="38">
        <f>I10/$J$5</f>
        <v>2.9032801806964902E-3</v>
      </c>
      <c r="K10" s="39">
        <f>I10/$K$4</f>
        <v>2.4605714285714283E-3</v>
      </c>
      <c r="L10" s="40">
        <f>I10-H10</f>
        <v>0</v>
      </c>
      <c r="M10" s="40">
        <f>((I10-H10)/H10)*100</f>
        <v>0</v>
      </c>
      <c r="N10" s="41">
        <v>24100</v>
      </c>
      <c r="O10" s="31">
        <v>1867.95</v>
      </c>
      <c r="P10" s="45">
        <f>(R10)/J10</f>
        <v>0</v>
      </c>
      <c r="Q10" s="43">
        <f>I10/G10-1</f>
        <v>1.4527848101265817</v>
      </c>
      <c r="R10" s="44"/>
    </row>
    <row r="11" spans="1:18" x14ac:dyDescent="0.25">
      <c r="A11" s="29" t="s">
        <v>37</v>
      </c>
      <c r="B11" s="30" t="s">
        <v>38</v>
      </c>
      <c r="C11" s="31">
        <v>436977359</v>
      </c>
      <c r="D11" s="32">
        <f>C11*J11</f>
        <v>3601007.5769664412</v>
      </c>
      <c r="E11" s="33">
        <f>C11*K11</f>
        <v>3051905.3644444444</v>
      </c>
      <c r="F11" s="34" t="s">
        <v>39</v>
      </c>
      <c r="G11" s="35">
        <v>7.8E-2</v>
      </c>
      <c r="H11" s="36">
        <v>0.22</v>
      </c>
      <c r="I11" s="37">
        <v>0.22</v>
      </c>
      <c r="J11" s="38">
        <f>I11/$J$5</f>
        <v>8.2407188903497429E-3</v>
      </c>
      <c r="K11" s="39">
        <f>I11/$K$4</f>
        <v>6.9841269841269841E-3</v>
      </c>
      <c r="L11" s="40">
        <f>I11-H11</f>
        <v>0</v>
      </c>
      <c r="M11" s="40">
        <f>((I11-H11)/H11)*100</f>
        <v>0</v>
      </c>
      <c r="N11" s="41">
        <v>0</v>
      </c>
      <c r="O11" s="31">
        <v>0</v>
      </c>
      <c r="P11" s="45">
        <f>(R11)/J11</f>
        <v>0</v>
      </c>
      <c r="Q11" s="43">
        <f>I11/G11-1</f>
        <v>1.8205128205128207</v>
      </c>
      <c r="R11" s="44"/>
    </row>
    <row r="12" spans="1:18" x14ac:dyDescent="0.25">
      <c r="A12" s="29" t="s">
        <v>40</v>
      </c>
      <c r="B12" s="30" t="s">
        <v>41</v>
      </c>
      <c r="C12" s="31">
        <v>20633517</v>
      </c>
      <c r="D12" s="32">
        <f>C12*J12</f>
        <v>146770359.06246841</v>
      </c>
      <c r="E12" s="33">
        <f>C12*K12</f>
        <v>124389976.02485715</v>
      </c>
      <c r="F12" s="34" t="s">
        <v>34</v>
      </c>
      <c r="G12" s="35">
        <v>97.381</v>
      </c>
      <c r="H12" s="36">
        <v>189.89950000000002</v>
      </c>
      <c r="I12" s="37">
        <v>189.899</v>
      </c>
      <c r="J12" s="38">
        <f>I12/$J$5</f>
        <v>7.1132012570842091</v>
      </c>
      <c r="K12" s="39">
        <f>I12/$K$4</f>
        <v>6.0285396825396829</v>
      </c>
      <c r="L12" s="40">
        <f>I12-H12</f>
        <v>-5.0000000001659828E-4</v>
      </c>
      <c r="M12" s="40">
        <f>((I12-H12)/H12)*100</f>
        <v>-2.6329716508816412E-4</v>
      </c>
      <c r="N12" s="41">
        <v>0</v>
      </c>
      <c r="O12" s="31">
        <v>0</v>
      </c>
      <c r="P12" s="45">
        <f>(R12)/J12</f>
        <v>0</v>
      </c>
      <c r="Q12" s="43">
        <f>I12/G12-1</f>
        <v>0.95006212710898441</v>
      </c>
      <c r="R12" s="44"/>
    </row>
    <row r="13" spans="1:18" x14ac:dyDescent="0.25">
      <c r="A13" s="29" t="s">
        <v>42</v>
      </c>
      <c r="B13" s="30" t="s">
        <v>43</v>
      </c>
      <c r="C13" s="31">
        <v>8735108</v>
      </c>
      <c r="D13" s="32">
        <f>C13*J13</f>
        <v>6216762.8208729913</v>
      </c>
      <c r="E13" s="33">
        <f>C13*K13</f>
        <v>5268795.3015873013</v>
      </c>
      <c r="F13" s="34" t="s">
        <v>44</v>
      </c>
      <c r="G13" s="35">
        <v>13.6</v>
      </c>
      <c r="H13" s="36">
        <v>19</v>
      </c>
      <c r="I13" s="37">
        <v>19</v>
      </c>
      <c r="J13" s="38">
        <f>I13/$J$5</f>
        <v>0.71169844962111417</v>
      </c>
      <c r="K13" s="39">
        <f>I13/$K$4</f>
        <v>0.60317460317460314</v>
      </c>
      <c r="L13" s="40">
        <f>I13-H13</f>
        <v>0</v>
      </c>
      <c r="M13" s="40">
        <f>((I13-H13)/H13)*100</f>
        <v>0</v>
      </c>
      <c r="N13" s="41">
        <v>12100</v>
      </c>
      <c r="O13" s="31">
        <v>229900</v>
      </c>
      <c r="P13" s="45">
        <f>(R13)/J13</f>
        <v>0</v>
      </c>
      <c r="Q13" s="43">
        <f>I13/G13-1</f>
        <v>0.39705882352941191</v>
      </c>
      <c r="R13" s="44"/>
    </row>
    <row r="14" spans="1:18" x14ac:dyDescent="0.25">
      <c r="A14" s="29" t="s">
        <v>45</v>
      </c>
      <c r="B14" s="30" t="s">
        <v>46</v>
      </c>
      <c r="C14" s="31">
        <v>522661465</v>
      </c>
      <c r="D14" s="32">
        <f>C14*J14</f>
        <v>730902865.11489594</v>
      </c>
      <c r="E14" s="33">
        <f>C14*K14</f>
        <v>619450619.65437603</v>
      </c>
      <c r="F14" s="34" t="s">
        <v>47</v>
      </c>
      <c r="G14" s="35">
        <v>11.5</v>
      </c>
      <c r="H14" s="36">
        <v>36.268749999999997</v>
      </c>
      <c r="I14" s="37">
        <v>37.333332999999996</v>
      </c>
      <c r="J14" s="38">
        <f>I14/$J$5</f>
        <v>1.3984250113309884</v>
      </c>
      <c r="K14" s="39">
        <f>I14/$K$4</f>
        <v>1.1851851746031745</v>
      </c>
      <c r="L14" s="40">
        <f>I14-H14</f>
        <v>1.0645829999999989</v>
      </c>
      <c r="M14" s="40">
        <f>((I14-H14)/H14)*100</f>
        <v>2.9352624504566576</v>
      </c>
      <c r="N14" s="41">
        <v>0</v>
      </c>
      <c r="O14" s="31">
        <v>0</v>
      </c>
      <c r="P14" s="45">
        <f>(R14)/J14</f>
        <v>0</v>
      </c>
      <c r="Q14" s="43">
        <f>I14/G14-1</f>
        <v>2.2463767826086953</v>
      </c>
      <c r="R14" s="44"/>
    </row>
    <row r="15" spans="1:18" x14ac:dyDescent="0.25">
      <c r="A15" s="29" t="s">
        <v>48</v>
      </c>
      <c r="B15" s="30" t="s">
        <v>49</v>
      </c>
      <c r="C15" s="31">
        <v>106040875</v>
      </c>
      <c r="D15" s="32">
        <f>C15*J15</f>
        <v>23832355.684410434</v>
      </c>
      <c r="E15" s="33">
        <f>C15*K15</f>
        <v>20198261.904761903</v>
      </c>
      <c r="F15" s="34" t="s">
        <v>34</v>
      </c>
      <c r="G15" s="35">
        <v>5.39</v>
      </c>
      <c r="H15" s="36">
        <v>6</v>
      </c>
      <c r="I15" s="37">
        <v>6</v>
      </c>
      <c r="J15" s="38">
        <f>I15/$J$5</f>
        <v>0.22474687882772029</v>
      </c>
      <c r="K15" s="39">
        <f>I15/$K$4</f>
        <v>0.19047619047619047</v>
      </c>
      <c r="L15" s="40">
        <f>I15-H15</f>
        <v>0</v>
      </c>
      <c r="M15" s="40">
        <f>((I15-H15)/H15)*100</f>
        <v>0</v>
      </c>
      <c r="N15" s="41">
        <v>0</v>
      </c>
      <c r="O15" s="31">
        <v>0</v>
      </c>
      <c r="P15" s="45">
        <f>(R15)/J15</f>
        <v>0</v>
      </c>
      <c r="Q15" s="43">
        <f>I15/G15-1</f>
        <v>0.1131725417439704</v>
      </c>
      <c r="R15" s="44"/>
    </row>
    <row r="16" spans="1:18" x14ac:dyDescent="0.25">
      <c r="A16" s="29" t="s">
        <v>50</v>
      </c>
      <c r="B16" s="30" t="s">
        <v>51</v>
      </c>
      <c r="C16" s="31">
        <v>358000858</v>
      </c>
      <c r="D16" s="32">
        <f>C16*J16</f>
        <v>80474648.213614121</v>
      </c>
      <c r="E16" s="33">
        <f>C16*K16</f>
        <v>68203413.998869583</v>
      </c>
      <c r="F16" s="34" t="s">
        <v>34</v>
      </c>
      <c r="G16" s="35">
        <v>1.9</v>
      </c>
      <c r="H16" s="36">
        <v>5.9703359999999996</v>
      </c>
      <c r="I16" s="37">
        <v>6.0011239999999999</v>
      </c>
      <c r="J16" s="38">
        <f>I16/$J$5</f>
        <v>0.22478898140968734</v>
      </c>
      <c r="K16" s="39">
        <f>I16/$K$4</f>
        <v>0.19051187301587302</v>
      </c>
      <c r="L16" s="40">
        <f>I16-H16</f>
        <v>3.078800000000026E-2</v>
      </c>
      <c r="M16" s="40">
        <f>((I16-H16)/H16)*100</f>
        <v>0.51568286943984831</v>
      </c>
      <c r="N16" s="41">
        <v>0</v>
      </c>
      <c r="O16" s="31">
        <v>0</v>
      </c>
      <c r="P16" s="45">
        <f>(R16)/J16</f>
        <v>0</v>
      </c>
      <c r="Q16" s="43">
        <f>I16/G16-1</f>
        <v>2.1584863157894736</v>
      </c>
      <c r="R16" s="44"/>
    </row>
    <row r="17" spans="1:19" x14ac:dyDescent="0.25">
      <c r="A17" s="29" t="s">
        <v>52</v>
      </c>
      <c r="B17" s="30" t="s">
        <v>53</v>
      </c>
      <c r="C17" s="31">
        <v>1347762995</v>
      </c>
      <c r="D17" s="32">
        <f>C17*J17</f>
        <v>1601665525.6137571</v>
      </c>
      <c r="E17" s="33">
        <f>C17*K17</f>
        <v>1357434413.8937395</v>
      </c>
      <c r="F17" s="34" t="s">
        <v>34</v>
      </c>
      <c r="G17" s="35">
        <v>20.701700000000002</v>
      </c>
      <c r="H17" s="36">
        <v>31.498721</v>
      </c>
      <c r="I17" s="37">
        <v>31.726040999999999</v>
      </c>
      <c r="J17" s="38">
        <f>I17/$J$5</f>
        <v>1.1883881153850475</v>
      </c>
      <c r="K17" s="39">
        <f>I17/$K$4</f>
        <v>1.0071759047619047</v>
      </c>
      <c r="L17" s="40">
        <f>I17-H17</f>
        <v>0.22731999999999886</v>
      </c>
      <c r="M17" s="40">
        <f>((I17-H17)/H17)*100</f>
        <v>0.72168009615374185</v>
      </c>
      <c r="N17" s="41">
        <v>56800</v>
      </c>
      <c r="O17" s="31">
        <v>1789127.35</v>
      </c>
      <c r="P17" s="42">
        <f>(R17)/J17</f>
        <v>4.2073796727426539E-2</v>
      </c>
      <c r="Q17" s="43">
        <f>I17/G17-1</f>
        <v>0.5325331252988883</v>
      </c>
      <c r="R17" s="44">
        <v>0.05</v>
      </c>
      <c r="S17" s="46"/>
    </row>
    <row r="18" spans="1:19" hidden="1" x14ac:dyDescent="0.25">
      <c r="A18" s="29" t="s">
        <v>54</v>
      </c>
      <c r="B18" s="30" t="s">
        <v>55</v>
      </c>
      <c r="C18" s="31">
        <v>671949927</v>
      </c>
      <c r="D18" s="32">
        <f>C18*J18</f>
        <v>0</v>
      </c>
      <c r="E18" s="33">
        <f>C18*K18</f>
        <v>0</v>
      </c>
      <c r="F18" s="34" t="s">
        <v>56</v>
      </c>
      <c r="G18" s="35">
        <v>6.1399460000000001</v>
      </c>
      <c r="H18" s="36"/>
      <c r="I18" s="37"/>
      <c r="J18" s="38"/>
      <c r="K18" s="39"/>
      <c r="L18" s="40"/>
      <c r="M18" s="40"/>
      <c r="N18" s="41" t="s">
        <v>57</v>
      </c>
      <c r="O18" s="31" t="s">
        <v>57</v>
      </c>
      <c r="P18" s="45"/>
      <c r="Q18" s="43"/>
      <c r="R18" s="44"/>
    </row>
    <row r="19" spans="1:19" x14ac:dyDescent="0.25">
      <c r="A19" s="29" t="s">
        <v>58</v>
      </c>
      <c r="B19" s="30" t="s">
        <v>59</v>
      </c>
      <c r="C19" s="31">
        <v>671949927</v>
      </c>
      <c r="D19" s="32">
        <f>C19*J19</f>
        <v>273886892.93788117</v>
      </c>
      <c r="E19" s="33">
        <f>C19*K19</f>
        <v>232123054.43475342</v>
      </c>
      <c r="F19" s="34" t="s">
        <v>47</v>
      </c>
      <c r="G19" s="35">
        <v>12.45</v>
      </c>
      <c r="H19" s="36">
        <v>10.998672999999998</v>
      </c>
      <c r="I19" s="37">
        <v>10.881578999999999</v>
      </c>
      <c r="J19" s="38">
        <f>I19/$J$5</f>
        <v>0.40760015282787754</v>
      </c>
      <c r="K19" s="39">
        <f>I19/$K$4</f>
        <v>0.34544695238095235</v>
      </c>
      <c r="L19" s="40">
        <f>I19-H19</f>
        <v>-0.11709399999999981</v>
      </c>
      <c r="M19" s="40">
        <f>((I19-H19)/H19)*100</f>
        <v>-1.0646193408968503</v>
      </c>
      <c r="N19" s="41">
        <v>50500</v>
      </c>
      <c r="O19" s="31">
        <v>555433</v>
      </c>
      <c r="P19" s="45">
        <f>(R19)/J19</f>
        <v>0</v>
      </c>
      <c r="Q19" s="43">
        <f>I19/G19-1</f>
        <v>-0.12597759036144585</v>
      </c>
      <c r="R19" s="44"/>
    </row>
    <row r="20" spans="1:19" x14ac:dyDescent="0.25">
      <c r="A20" s="29" t="s">
        <v>60</v>
      </c>
      <c r="B20" s="30" t="s">
        <v>61</v>
      </c>
      <c r="C20" s="31">
        <v>108923291</v>
      </c>
      <c r="D20" s="32">
        <f>C20*J20</f>
        <v>2856019.7964542429</v>
      </c>
      <c r="E20" s="33">
        <f>C20*K20</f>
        <v>2420517.5777777773</v>
      </c>
      <c r="F20" s="34" t="s">
        <v>47</v>
      </c>
      <c r="G20" s="35">
        <v>0.35</v>
      </c>
      <c r="H20" s="36">
        <v>0.7</v>
      </c>
      <c r="I20" s="37">
        <v>0.7</v>
      </c>
      <c r="J20" s="38">
        <f>I20/$J$5</f>
        <v>2.6220469196567363E-2</v>
      </c>
      <c r="K20" s="39">
        <f>I20/$K$4</f>
        <v>2.222222222222222E-2</v>
      </c>
      <c r="L20" s="40">
        <f>I20-H20</f>
        <v>0</v>
      </c>
      <c r="M20" s="40">
        <f>((I20-H20)/H20)*100</f>
        <v>0</v>
      </c>
      <c r="N20" s="41">
        <v>0</v>
      </c>
      <c r="O20" s="31">
        <v>0</v>
      </c>
      <c r="P20" s="45">
        <f>(R20)/J20</f>
        <v>0</v>
      </c>
      <c r="Q20" s="43">
        <f>I20/G20-1</f>
        <v>1</v>
      </c>
      <c r="R20" s="44"/>
    </row>
    <row r="21" spans="1:19" x14ac:dyDescent="0.25">
      <c r="A21" s="29" t="s">
        <v>62</v>
      </c>
      <c r="B21" s="30" t="s">
        <v>63</v>
      </c>
      <c r="C21" s="31">
        <v>690143060</v>
      </c>
      <c r="D21" s="32">
        <f>C21*J21</f>
        <v>84016561.78478989</v>
      </c>
      <c r="E21" s="33">
        <f>C21*K21</f>
        <v>71205236.349206343</v>
      </c>
      <c r="F21" s="34" t="s">
        <v>47</v>
      </c>
      <c r="G21" s="35">
        <v>2.85</v>
      </c>
      <c r="H21" s="36">
        <v>3.25</v>
      </c>
      <c r="I21" s="37">
        <v>3.25</v>
      </c>
      <c r="J21" s="38">
        <f>I21/$J$5</f>
        <v>0.12173789269834849</v>
      </c>
      <c r="K21" s="39">
        <f>I21/$K$4</f>
        <v>0.10317460317460317</v>
      </c>
      <c r="L21" s="40">
        <f>I21-H21</f>
        <v>0</v>
      </c>
      <c r="M21" s="40">
        <f>((I21-H21)/H21)*100</f>
        <v>0</v>
      </c>
      <c r="N21" s="41">
        <v>2000</v>
      </c>
      <c r="O21" s="31">
        <v>6500</v>
      </c>
      <c r="P21" s="45">
        <f>(R21)/J21</f>
        <v>0</v>
      </c>
      <c r="Q21" s="43">
        <f>I21/G21-1</f>
        <v>0.14035087719298245</v>
      </c>
      <c r="R21" s="44"/>
    </row>
    <row r="22" spans="1:19" hidden="1" x14ac:dyDescent="0.25">
      <c r="A22" s="29" t="s">
        <v>64</v>
      </c>
      <c r="B22" s="30" t="s">
        <v>65</v>
      </c>
      <c r="C22" s="31">
        <v>193020564</v>
      </c>
      <c r="D22" s="32">
        <f>C22*J22</f>
        <v>0</v>
      </c>
      <c r="E22" s="33">
        <f>C22*K22</f>
        <v>0</v>
      </c>
      <c r="F22" s="34" t="s">
        <v>66</v>
      </c>
      <c r="G22" s="35">
        <v>0.88420599999999994</v>
      </c>
      <c r="H22" s="36">
        <v>0.99</v>
      </c>
      <c r="I22" s="37"/>
      <c r="J22" s="38">
        <f>I22/$J$5</f>
        <v>0</v>
      </c>
      <c r="K22" s="39">
        <f>I22/$K$4</f>
        <v>0</v>
      </c>
      <c r="L22" s="40">
        <f>I22-H22</f>
        <v>-0.99</v>
      </c>
      <c r="M22" s="40">
        <f>((I22-H22)/H22)*100</f>
        <v>-100</v>
      </c>
      <c r="N22" s="47" t="s">
        <v>57</v>
      </c>
      <c r="O22" s="47" t="s">
        <v>57</v>
      </c>
      <c r="P22" s="47" t="s">
        <v>67</v>
      </c>
      <c r="Q22" s="43">
        <f>I22/G22-1</f>
        <v>-1</v>
      </c>
      <c r="R22" s="44"/>
    </row>
    <row r="23" spans="1:19" x14ac:dyDescent="0.25">
      <c r="A23" s="29" t="s">
        <v>68</v>
      </c>
      <c r="B23" s="30" t="s">
        <v>69</v>
      </c>
      <c r="C23" s="31">
        <v>536588623</v>
      </c>
      <c r="D23" s="32">
        <f>C23*J23</f>
        <v>2482280.3919772855</v>
      </c>
      <c r="E23" s="33">
        <f>C23*K23</f>
        <v>2103768.0933492063</v>
      </c>
      <c r="F23" s="34" t="s">
        <v>44</v>
      </c>
      <c r="G23" s="35">
        <v>0.1</v>
      </c>
      <c r="H23" s="36">
        <v>0.1235</v>
      </c>
      <c r="I23" s="37">
        <v>0.1235</v>
      </c>
      <c r="J23" s="38">
        <f>I23/$J$5</f>
        <v>4.6260399225372421E-3</v>
      </c>
      <c r="K23" s="39">
        <f>I23/$K$4</f>
        <v>3.9206349206349208E-3</v>
      </c>
      <c r="L23" s="40">
        <f>I23-H23</f>
        <v>0</v>
      </c>
      <c r="M23" s="40">
        <f>((I23-H23)/H23)*100</f>
        <v>0</v>
      </c>
      <c r="N23" s="41">
        <v>0</v>
      </c>
      <c r="O23" s="31">
        <v>0</v>
      </c>
      <c r="P23" s="45">
        <f>(R23)/J23</f>
        <v>0</v>
      </c>
      <c r="Q23" s="43">
        <f>I23/G23-1</f>
        <v>0.23499999999999988</v>
      </c>
      <c r="R23" s="44"/>
    </row>
    <row r="24" spans="1:19" x14ac:dyDescent="0.25">
      <c r="A24" s="29" t="s">
        <v>70</v>
      </c>
      <c r="B24" s="30" t="s">
        <v>71</v>
      </c>
      <c r="C24" s="31">
        <v>193020564</v>
      </c>
      <c r="D24" s="32">
        <f>C24*J24</f>
        <v>86761538.617132455</v>
      </c>
      <c r="E24" s="33">
        <f>C24*K24</f>
        <v>73531643.428571418</v>
      </c>
      <c r="F24" s="34" t="s">
        <v>34</v>
      </c>
      <c r="G24" s="35">
        <v>8.1687659999999997</v>
      </c>
      <c r="H24" s="36">
        <v>12</v>
      </c>
      <c r="I24" s="37">
        <v>12</v>
      </c>
      <c r="J24" s="38">
        <f>I24/$J$5</f>
        <v>0.44949375765544058</v>
      </c>
      <c r="K24" s="39">
        <f>I24/$K$4</f>
        <v>0.38095238095238093</v>
      </c>
      <c r="L24" s="40">
        <f>I24-H24</f>
        <v>0</v>
      </c>
      <c r="M24" s="40">
        <f>((I24-H24)/H24)*100</f>
        <v>0</v>
      </c>
      <c r="N24" s="41">
        <v>400</v>
      </c>
      <c r="O24" s="31">
        <v>4800</v>
      </c>
      <c r="P24" s="42">
        <f>(R24)/J24</f>
        <v>3.3370874999999994E-2</v>
      </c>
      <c r="Q24" s="43">
        <f>I24/G24-1</f>
        <v>0.46901012955934851</v>
      </c>
      <c r="R24" s="44">
        <f>(1.5/100)</f>
        <v>1.4999999999999999E-2</v>
      </c>
      <c r="S24" s="5" t="s">
        <v>72</v>
      </c>
    </row>
    <row r="25" spans="1:19" x14ac:dyDescent="0.25">
      <c r="A25" s="29" t="s">
        <v>73</v>
      </c>
      <c r="B25" s="30" t="s">
        <v>74</v>
      </c>
      <c r="C25" s="31">
        <v>1687584009</v>
      </c>
      <c r="D25" s="32">
        <f>C25*J25</f>
        <v>120105092.28106843</v>
      </c>
      <c r="E25" s="33">
        <f>C25*K25</f>
        <v>101790781.49523808</v>
      </c>
      <c r="F25" s="34" t="s">
        <v>66</v>
      </c>
      <c r="G25" s="35">
        <v>1.6675</v>
      </c>
      <c r="H25" s="36">
        <v>1.9824999999999999</v>
      </c>
      <c r="I25" s="37">
        <v>1.9</v>
      </c>
      <c r="J25" s="38">
        <f>I25/$J$5</f>
        <v>7.1169844962111414E-2</v>
      </c>
      <c r="K25" s="39">
        <f>I25/$K$4</f>
        <v>6.0317460317460311E-2</v>
      </c>
      <c r="L25" s="40">
        <f>I25-H25</f>
        <v>-8.2500000000000018E-2</v>
      </c>
      <c r="M25" s="40">
        <f>((I25-H25)/H25)*100</f>
        <v>-4.1614123581336706</v>
      </c>
      <c r="N25" s="41">
        <v>1000</v>
      </c>
      <c r="O25" s="31">
        <v>1982.5</v>
      </c>
      <c r="P25" s="45">
        <f>(R25)/J25</f>
        <v>0</v>
      </c>
      <c r="Q25" s="43">
        <f>I25/G25-1</f>
        <v>0.13943028485757125</v>
      </c>
      <c r="R25" s="44"/>
    </row>
    <row r="26" spans="1:19" x14ac:dyDescent="0.25">
      <c r="A26" s="29" t="s">
        <v>75</v>
      </c>
      <c r="B26" s="30" t="s">
        <v>76</v>
      </c>
      <c r="C26" s="31">
        <v>239388107</v>
      </c>
      <c r="D26" s="32">
        <f>C26*J26</f>
        <v>24659126.193499573</v>
      </c>
      <c r="E26" s="33">
        <f>C26*K26</f>
        <v>20898961.72222222</v>
      </c>
      <c r="F26" s="34" t="s">
        <v>44</v>
      </c>
      <c r="G26" s="35">
        <v>1.7994999999999999</v>
      </c>
      <c r="H26" s="36">
        <v>2.75</v>
      </c>
      <c r="I26" s="37">
        <v>2.75</v>
      </c>
      <c r="J26" s="38">
        <f>I26/$J$5</f>
        <v>0.1030089861293718</v>
      </c>
      <c r="K26" s="39">
        <f>I26/$K$4</f>
        <v>8.7301587301587297E-2</v>
      </c>
      <c r="L26" s="40">
        <f>I26-H26</f>
        <v>0</v>
      </c>
      <c r="M26" s="40">
        <f>((I26-H26)/H26)*100</f>
        <v>0</v>
      </c>
      <c r="N26" s="41">
        <v>500</v>
      </c>
      <c r="O26" s="31">
        <v>1375</v>
      </c>
      <c r="P26" s="45">
        <f>(R26)/J26</f>
        <v>0</v>
      </c>
      <c r="Q26" s="43">
        <f>I26/G26-1</f>
        <v>0.52820227841066969</v>
      </c>
      <c r="R26" s="44"/>
    </row>
    <row r="27" spans="1:19" x14ac:dyDescent="0.25">
      <c r="A27" s="29" t="s">
        <v>77</v>
      </c>
      <c r="B27" s="30" t="s">
        <v>78</v>
      </c>
      <c r="C27" s="31">
        <v>256150741</v>
      </c>
      <c r="D27" s="32">
        <f>C27*J27</f>
        <v>24944682.168650061</v>
      </c>
      <c r="E27" s="33">
        <f>C27*K27</f>
        <v>21140974.490533333</v>
      </c>
      <c r="F27" s="34" t="s">
        <v>34</v>
      </c>
      <c r="G27" s="35">
        <v>3.1361369999999997</v>
      </c>
      <c r="H27" s="36">
        <v>2.6</v>
      </c>
      <c r="I27" s="37">
        <v>2.5998000000000001</v>
      </c>
      <c r="J27" s="38">
        <f>I27/$J$5</f>
        <v>9.7382822596051202E-2</v>
      </c>
      <c r="K27" s="39">
        <f>I27/$K$4</f>
        <v>8.2533333333333334E-2</v>
      </c>
      <c r="L27" s="40">
        <f>I27-H27</f>
        <v>-1.9999999999997797E-4</v>
      </c>
      <c r="M27" s="40">
        <f>((I27-H27)/H27)*100</f>
        <v>-7.6923076923068445E-3</v>
      </c>
      <c r="N27" s="41">
        <v>14400</v>
      </c>
      <c r="O27" s="31">
        <v>37440</v>
      </c>
      <c r="P27" s="45">
        <f>(R27)/J27</f>
        <v>0</v>
      </c>
      <c r="Q27" s="43">
        <f>I27/G27-1</f>
        <v>-0.17101835793525588</v>
      </c>
      <c r="R27" s="44"/>
    </row>
    <row r="28" spans="1:19" x14ac:dyDescent="0.25">
      <c r="A28" s="29" t="s">
        <v>79</v>
      </c>
      <c r="B28" s="30" t="s">
        <v>80</v>
      </c>
      <c r="C28" s="31">
        <v>755648101</v>
      </c>
      <c r="D28" s="32">
        <f>C28*J28</f>
        <v>25474432.828776591</v>
      </c>
      <c r="E28" s="33">
        <f>C28*K28</f>
        <v>21589945.742857143</v>
      </c>
      <c r="F28" s="34" t="s">
        <v>44</v>
      </c>
      <c r="G28" s="35">
        <v>0.8</v>
      </c>
      <c r="H28" s="36">
        <v>0.84035399999999993</v>
      </c>
      <c r="I28" s="37">
        <v>0.9</v>
      </c>
      <c r="J28" s="38">
        <f>I28/$J$5</f>
        <v>3.3712031824158044E-2</v>
      </c>
      <c r="K28" s="39">
        <f>I28/$K$4</f>
        <v>2.8571428571428571E-2</v>
      </c>
      <c r="L28" s="40">
        <f>I28-H28</f>
        <v>5.9646000000000088E-2</v>
      </c>
      <c r="M28" s="40">
        <f>((I28-H28)/H28)*100</f>
        <v>7.0977231024068539</v>
      </c>
      <c r="N28" s="41">
        <v>59300</v>
      </c>
      <c r="O28" s="31">
        <v>49833</v>
      </c>
      <c r="P28" s="45">
        <f>(R28)/J28</f>
        <v>0</v>
      </c>
      <c r="Q28" s="43">
        <f>I28/G28-1</f>
        <v>0.125</v>
      </c>
      <c r="R28" s="44"/>
    </row>
    <row r="29" spans="1:19" x14ac:dyDescent="0.25">
      <c r="A29" s="29" t="s">
        <v>81</v>
      </c>
      <c r="B29" s="30" t="s">
        <v>82</v>
      </c>
      <c r="C29" s="31">
        <v>449129618</v>
      </c>
      <c r="D29" s="32">
        <f>C29*J29</f>
        <v>94211114.512280539</v>
      </c>
      <c r="E29" s="33">
        <f>C29*K29</f>
        <v>79845265.422222212</v>
      </c>
      <c r="F29" s="34" t="s">
        <v>47</v>
      </c>
      <c r="G29" s="35">
        <v>5.15</v>
      </c>
      <c r="H29" s="36">
        <v>5.6</v>
      </c>
      <c r="I29" s="37">
        <v>5.6</v>
      </c>
      <c r="J29" s="38">
        <f>I29/$J$5</f>
        <v>0.2097637535725389</v>
      </c>
      <c r="K29" s="39">
        <f>I29/$K$4</f>
        <v>0.17777777777777776</v>
      </c>
      <c r="L29" s="40">
        <f>I29-H29</f>
        <v>0</v>
      </c>
      <c r="M29" s="40">
        <f>((I29-H29)/H29)*100</f>
        <v>0</v>
      </c>
      <c r="N29" s="41">
        <v>31400</v>
      </c>
      <c r="O29" s="31">
        <v>175840</v>
      </c>
      <c r="P29" s="45">
        <f>(R29)/J29</f>
        <v>0</v>
      </c>
      <c r="Q29" s="43">
        <f>I29/G29-1</f>
        <v>8.737864077669899E-2</v>
      </c>
      <c r="R29" s="44"/>
    </row>
    <row r="30" spans="1:19" hidden="1" x14ac:dyDescent="0.25">
      <c r="A30" s="29"/>
      <c r="B30" s="30" t="s">
        <v>83</v>
      </c>
      <c r="C30" s="31"/>
      <c r="D30" s="32"/>
      <c r="E30" s="33"/>
      <c r="F30" s="34"/>
      <c r="G30" s="35"/>
      <c r="H30" s="36"/>
      <c r="I30" s="37"/>
      <c r="J30" s="38"/>
      <c r="K30" s="39"/>
      <c r="L30" s="40"/>
      <c r="M30" s="40"/>
      <c r="N30" s="41"/>
      <c r="O30" s="31"/>
      <c r="P30" s="45"/>
      <c r="Q30" s="43"/>
      <c r="R30" s="44"/>
    </row>
    <row r="31" spans="1:19" hidden="1" x14ac:dyDescent="0.25">
      <c r="A31" s="29" t="s">
        <v>84</v>
      </c>
      <c r="B31" s="30" t="s">
        <v>85</v>
      </c>
      <c r="C31" s="31">
        <v>3171161098</v>
      </c>
      <c r="D31" s="32">
        <f>C31*J31</f>
        <v>0</v>
      </c>
      <c r="E31" s="33">
        <f>C31*K31</f>
        <v>0</v>
      </c>
      <c r="F31" s="34" t="s">
        <v>34</v>
      </c>
      <c r="G31" s="35">
        <v>0.13000100000000001</v>
      </c>
      <c r="H31" s="45">
        <v>0</v>
      </c>
      <c r="I31" s="48"/>
      <c r="J31" s="49">
        <f>I31/$J$5</f>
        <v>0</v>
      </c>
      <c r="K31" s="50">
        <f>I31/$K$4</f>
        <v>0</v>
      </c>
      <c r="L31" s="40">
        <v>0</v>
      </c>
      <c r="M31" s="40">
        <v>0</v>
      </c>
      <c r="N31" s="47" t="s">
        <v>57</v>
      </c>
      <c r="O31" s="47" t="s">
        <v>57</v>
      </c>
      <c r="P31" s="47" t="s">
        <v>86</v>
      </c>
      <c r="Q31" s="43">
        <v>0</v>
      </c>
      <c r="R31" s="44"/>
    </row>
    <row r="32" spans="1:19" x14ac:dyDescent="0.25">
      <c r="A32" s="29" t="s">
        <v>87</v>
      </c>
      <c r="B32" s="30" t="s">
        <v>88</v>
      </c>
      <c r="C32" s="31">
        <v>259866270</v>
      </c>
      <c r="D32" s="32">
        <f>C32*J32</f>
        <v>13917286.353608873</v>
      </c>
      <c r="E32" s="33">
        <f>C32*K32</f>
        <v>11795099.00306</v>
      </c>
      <c r="F32" s="34" t="s">
        <v>39</v>
      </c>
      <c r="G32" s="35">
        <v>1.4</v>
      </c>
      <c r="H32" s="36">
        <v>1.25</v>
      </c>
      <c r="I32" s="37">
        <v>1.4297569999999999</v>
      </c>
      <c r="J32" s="38">
        <f>I32/$J$5</f>
        <v>5.3555570538680812E-2</v>
      </c>
      <c r="K32" s="39">
        <f>I32/$K$4</f>
        <v>4.5389111111111109E-2</v>
      </c>
      <c r="L32" s="40">
        <f>I32-H32</f>
        <v>0.17975699999999994</v>
      </c>
      <c r="M32" s="40">
        <f>((I32-H32)/H32)*100</f>
        <v>14.380559999999996</v>
      </c>
      <c r="N32" s="41">
        <v>5000</v>
      </c>
      <c r="O32" s="31">
        <v>6250</v>
      </c>
      <c r="P32" s="45">
        <f>(R32)/J32</f>
        <v>0</v>
      </c>
      <c r="Q32" s="43">
        <f>I32/G32-1</f>
        <v>2.1255000000000024E-2</v>
      </c>
      <c r="R32" s="44"/>
    </row>
    <row r="33" spans="1:18" x14ac:dyDescent="0.25">
      <c r="A33" s="29" t="s">
        <v>89</v>
      </c>
      <c r="B33" s="30" t="s">
        <v>90</v>
      </c>
      <c r="C33" s="31">
        <v>122029470</v>
      </c>
      <c r="D33" s="32">
        <f>C33*J33</f>
        <v>3885313.5218959646</v>
      </c>
      <c r="E33" s="33">
        <f>C33*K33</f>
        <v>3292858.7142857141</v>
      </c>
      <c r="F33" s="34" t="s">
        <v>39</v>
      </c>
      <c r="G33" s="35">
        <v>0.65</v>
      </c>
      <c r="H33" s="36">
        <v>0.85</v>
      </c>
      <c r="I33" s="37">
        <v>0.85</v>
      </c>
      <c r="J33" s="38">
        <f>I33/$J$5</f>
        <v>3.1839141167260374E-2</v>
      </c>
      <c r="K33" s="39">
        <f>I33/$K$4</f>
        <v>2.6984126984126982E-2</v>
      </c>
      <c r="L33" s="40">
        <f>I33-H33</f>
        <v>0</v>
      </c>
      <c r="M33" s="40">
        <f>((I33-H33)/H33)*100</f>
        <v>0</v>
      </c>
      <c r="N33" s="41">
        <v>0</v>
      </c>
      <c r="O33" s="31">
        <v>0</v>
      </c>
      <c r="P33" s="45">
        <f>(R33)/J33</f>
        <v>0</v>
      </c>
      <c r="Q33" s="43">
        <f>I33/G33-1</f>
        <v>0.30769230769230771</v>
      </c>
      <c r="R33" s="44"/>
    </row>
    <row r="34" spans="1:18" x14ac:dyDescent="0.25">
      <c r="A34" s="29" t="s">
        <v>91</v>
      </c>
      <c r="B34" s="30" t="s">
        <v>92</v>
      </c>
      <c r="C34" s="31">
        <v>2495495543</v>
      </c>
      <c r="D34" s="32">
        <f>C34*J34</f>
        <v>116844757.17036188</v>
      </c>
      <c r="E34" s="33">
        <f>C34*K34</f>
        <v>99027600.912698403</v>
      </c>
      <c r="F34" s="34" t="s">
        <v>93</v>
      </c>
      <c r="G34" s="35">
        <v>1.44</v>
      </c>
      <c r="H34" s="36">
        <v>1.25</v>
      </c>
      <c r="I34" s="37">
        <v>1.25</v>
      </c>
      <c r="J34" s="38">
        <f>I34/$J$5</f>
        <v>4.6822266422441722E-2</v>
      </c>
      <c r="K34" s="39">
        <f>I34/$K$4</f>
        <v>3.968253968253968E-2</v>
      </c>
      <c r="L34" s="40">
        <f>I34-H34</f>
        <v>0</v>
      </c>
      <c r="M34" s="40">
        <f>((I34-H34)/H34)*100</f>
        <v>0</v>
      </c>
      <c r="N34" s="41">
        <v>0</v>
      </c>
      <c r="O34" s="31">
        <v>0</v>
      </c>
      <c r="P34" s="45">
        <f>(R34)/J34</f>
        <v>0</v>
      </c>
      <c r="Q34" s="43">
        <f>I34/G34-1</f>
        <v>-0.13194444444444442</v>
      </c>
      <c r="R34" s="44"/>
    </row>
    <row r="35" spans="1:18" x14ac:dyDescent="0.25">
      <c r="A35" s="29" t="s">
        <v>94</v>
      </c>
      <c r="B35" s="30" t="s">
        <v>95</v>
      </c>
      <c r="C35" s="31">
        <v>253492983</v>
      </c>
      <c r="D35" s="32">
        <f>C35*J35</f>
        <v>45034436.0596295</v>
      </c>
      <c r="E35" s="33">
        <f>C35*K35</f>
        <v>38167327.909622565</v>
      </c>
      <c r="F35" s="34" t="s">
        <v>34</v>
      </c>
      <c r="G35" s="35">
        <v>3.6056249999999999</v>
      </c>
      <c r="H35" s="36">
        <v>4.53</v>
      </c>
      <c r="I35" s="37">
        <v>4.7428169999999996</v>
      </c>
      <c r="J35" s="38">
        <f>I35/$J$5</f>
        <v>0.17765555293350863</v>
      </c>
      <c r="K35" s="39">
        <f>I35/$K$4</f>
        <v>0.15056561904761903</v>
      </c>
      <c r="L35" s="40">
        <f>I35-H35</f>
        <v>0.21281699999999937</v>
      </c>
      <c r="M35" s="40">
        <f>((I35-H35)/H35)*100</f>
        <v>4.6979470198675353</v>
      </c>
      <c r="N35" s="41">
        <v>0</v>
      </c>
      <c r="O35" s="31">
        <v>0</v>
      </c>
      <c r="P35" s="45">
        <f>(R35)/J35</f>
        <v>0</v>
      </c>
      <c r="Q35" s="43">
        <f>I35/G35-1</f>
        <v>0.31539386375455014</v>
      </c>
      <c r="R35" s="44"/>
    </row>
    <row r="36" spans="1:18" x14ac:dyDescent="0.25">
      <c r="A36" s="29" t="s">
        <v>96</v>
      </c>
      <c r="B36" s="30" t="s">
        <v>97</v>
      </c>
      <c r="C36" s="31">
        <v>4715084056</v>
      </c>
      <c r="D36" s="32">
        <f>C36*J36</f>
        <v>8124369.9249720005</v>
      </c>
      <c r="E36" s="33">
        <f>C36*K36</f>
        <v>6885519.5738412691</v>
      </c>
      <c r="F36" s="34" t="s">
        <v>34</v>
      </c>
      <c r="G36" s="35">
        <v>2.5099999999999997E-2</v>
      </c>
      <c r="H36" s="36">
        <v>4.5826000000000006E-2</v>
      </c>
      <c r="I36" s="37">
        <v>4.5999999999999999E-2</v>
      </c>
      <c r="J36" s="38">
        <f>I36/$J$5</f>
        <v>1.7230594043458555E-3</v>
      </c>
      <c r="K36" s="39">
        <f>I36/$K$4</f>
        <v>1.4603174603174602E-3</v>
      </c>
      <c r="L36" s="40">
        <f>I36-H36</f>
        <v>1.739999999999936E-4</v>
      </c>
      <c r="M36" s="40">
        <f>((I36-H36)/H36)*100</f>
        <v>0.37969711517477761</v>
      </c>
      <c r="N36" s="41">
        <v>9700</v>
      </c>
      <c r="O36" s="31">
        <v>444.51</v>
      </c>
      <c r="P36" s="45">
        <f>(R36)/J36</f>
        <v>0</v>
      </c>
      <c r="Q36" s="43">
        <f>I36/G36-1</f>
        <v>0.8326693227091635</v>
      </c>
      <c r="R36" s="44"/>
    </row>
    <row r="37" spans="1:18" x14ac:dyDescent="0.25">
      <c r="A37" s="29" t="s">
        <v>98</v>
      </c>
      <c r="B37" s="30" t="s">
        <v>99</v>
      </c>
      <c r="C37" s="31">
        <v>525090993</v>
      </c>
      <c r="D37" s="32">
        <f>C37*J37</f>
        <v>72774413.096000627</v>
      </c>
      <c r="E37" s="33">
        <f>C37*K37</f>
        <v>61677354.733333334</v>
      </c>
      <c r="F37" s="34" t="s">
        <v>93</v>
      </c>
      <c r="G37" s="35">
        <v>0.61</v>
      </c>
      <c r="H37" s="36">
        <v>3.6622609999999995</v>
      </c>
      <c r="I37" s="37">
        <v>3.7</v>
      </c>
      <c r="J37" s="38">
        <f>I37/$J$5</f>
        <v>0.1385939086104275</v>
      </c>
      <c r="K37" s="39">
        <f>I37/$K$4</f>
        <v>0.11746031746031746</v>
      </c>
      <c r="L37" s="40">
        <f>I37-H37</f>
        <v>3.7739000000000633E-2</v>
      </c>
      <c r="M37" s="40">
        <f>((I37-H37)/H37)*100</f>
        <v>1.0304836274640348</v>
      </c>
      <c r="N37" s="41">
        <v>57500</v>
      </c>
      <c r="O37" s="31">
        <v>210580</v>
      </c>
      <c r="P37" s="45">
        <f>(R37)/J37</f>
        <v>0</v>
      </c>
      <c r="Q37" s="43">
        <f>I37/G37-1</f>
        <v>5.0655737704918034</v>
      </c>
      <c r="R37" s="44"/>
    </row>
    <row r="38" spans="1:18" x14ac:dyDescent="0.25">
      <c r="A38" s="29" t="s">
        <v>100</v>
      </c>
      <c r="B38" s="30" t="s">
        <v>101</v>
      </c>
      <c r="C38" s="31">
        <v>4194797929</v>
      </c>
      <c r="D38" s="32">
        <f>C38*J38</f>
        <v>47136501.557303034</v>
      </c>
      <c r="E38" s="33">
        <f>C38*K38</f>
        <v>39948858.448407993</v>
      </c>
      <c r="F38" s="34" t="s">
        <v>56</v>
      </c>
      <c r="G38" s="35">
        <v>0.11650199999999999</v>
      </c>
      <c r="H38" s="36">
        <v>0.30692199999999997</v>
      </c>
      <c r="I38" s="37">
        <v>0.29998799999999998</v>
      </c>
      <c r="J38" s="38">
        <f>I38/$J$5</f>
        <v>1.1236894447628357E-2</v>
      </c>
      <c r="K38" s="39">
        <f>I38/$K$4</f>
        <v>9.5234285714285698E-3</v>
      </c>
      <c r="L38" s="40">
        <f>I38-H38</f>
        <v>-6.9339999999999957E-3</v>
      </c>
      <c r="M38" s="40">
        <f>((I38-H38)/H38)*100</f>
        <v>-2.2592059220257905</v>
      </c>
      <c r="N38" s="41">
        <v>37200</v>
      </c>
      <c r="O38" s="31">
        <v>11417.5</v>
      </c>
      <c r="P38" s="45">
        <v>0</v>
      </c>
      <c r="Q38" s="43">
        <f>I38/G38-1</f>
        <v>1.5749600865221196</v>
      </c>
      <c r="R38" s="44"/>
    </row>
    <row r="39" spans="1:18" x14ac:dyDescent="0.25">
      <c r="A39" s="29" t="s">
        <v>102</v>
      </c>
      <c r="B39" s="30" t="s">
        <v>103</v>
      </c>
      <c r="C39" s="31">
        <v>4315726499</v>
      </c>
      <c r="D39" s="32">
        <f>C39*J39</f>
        <v>19398921.210486691</v>
      </c>
      <c r="E39" s="33">
        <f>C39*K39</f>
        <v>16440862.853333334</v>
      </c>
      <c r="F39" s="34" t="s">
        <v>39</v>
      </c>
      <c r="G39" s="35">
        <v>0.1</v>
      </c>
      <c r="H39" s="36">
        <v>0.12</v>
      </c>
      <c r="I39" s="37">
        <v>0.12</v>
      </c>
      <c r="J39" s="38">
        <f>I39/$J$5</f>
        <v>4.4949375765544058E-3</v>
      </c>
      <c r="K39" s="39">
        <f>I39/$K$4</f>
        <v>3.8095238095238095E-3</v>
      </c>
      <c r="L39" s="40">
        <f>I39-H39</f>
        <v>0</v>
      </c>
      <c r="M39" s="40">
        <f>((I39-H39)/H39)*100</f>
        <v>0</v>
      </c>
      <c r="N39" s="41">
        <v>0</v>
      </c>
      <c r="O39" s="31">
        <v>0</v>
      </c>
      <c r="P39" s="45">
        <f>(R39)/J39</f>
        <v>0</v>
      </c>
      <c r="Q39" s="43">
        <f>I39/G39-1</f>
        <v>0.19999999999999996</v>
      </c>
      <c r="R39" s="44"/>
    </row>
    <row r="40" spans="1:18" x14ac:dyDescent="0.25">
      <c r="A40" s="29" t="s">
        <v>104</v>
      </c>
      <c r="B40" s="30" t="s">
        <v>105</v>
      </c>
      <c r="C40" s="31">
        <v>106474237</v>
      </c>
      <c r="D40" s="32">
        <f>C40*J40</f>
        <v>7976895.2338860612</v>
      </c>
      <c r="E40" s="33">
        <f>C40*K40</f>
        <v>6760532.6663646363</v>
      </c>
      <c r="F40" s="34" t="s">
        <v>44</v>
      </c>
      <c r="G40" s="35">
        <v>1.7452379999999998</v>
      </c>
      <c r="H40" s="36">
        <v>2.0000780000000002</v>
      </c>
      <c r="I40" s="37">
        <v>2.0000780000000002</v>
      </c>
      <c r="J40" s="38">
        <f>I40/$J$5</f>
        <v>7.4918547985331527E-2</v>
      </c>
      <c r="K40" s="39">
        <f>I40/$K$4</f>
        <v>6.3494539682539694E-2</v>
      </c>
      <c r="L40" s="40">
        <f>I40-H40</f>
        <v>0</v>
      </c>
      <c r="M40" s="40">
        <f>((I40-H40)/H40)*100</f>
        <v>0</v>
      </c>
      <c r="N40" s="41">
        <v>0</v>
      </c>
      <c r="O40" s="31">
        <v>0</v>
      </c>
      <c r="P40" s="45">
        <f>(R40)/J40</f>
        <v>0</v>
      </c>
      <c r="Q40" s="43">
        <f>I40/G40-1</f>
        <v>0.14602019896426754</v>
      </c>
      <c r="R40" s="44">
        <v>0</v>
      </c>
    </row>
    <row r="41" spans="1:18" x14ac:dyDescent="0.25">
      <c r="A41" s="29" t="s">
        <v>106</v>
      </c>
      <c r="B41" s="30" t="s">
        <v>107</v>
      </c>
      <c r="C41" s="31">
        <v>1778001428</v>
      </c>
      <c r="D41" s="32">
        <f>C41*J41</f>
        <v>4062602.7601913344</v>
      </c>
      <c r="E41" s="33">
        <f>C41*K41</f>
        <v>3443113.8764444441</v>
      </c>
      <c r="F41" s="34" t="s">
        <v>39</v>
      </c>
      <c r="G41" s="35">
        <v>0.03</v>
      </c>
      <c r="H41" s="36">
        <v>6.0999999999999999E-2</v>
      </c>
      <c r="I41" s="37">
        <v>6.0999999999999999E-2</v>
      </c>
      <c r="J41" s="38">
        <f>I41/$J$5</f>
        <v>2.284926601415156E-3</v>
      </c>
      <c r="K41" s="39">
        <f>I41/$K$4</f>
        <v>1.9365079365079364E-3</v>
      </c>
      <c r="L41" s="40">
        <f>I41-H41</f>
        <v>0</v>
      </c>
      <c r="M41" s="40">
        <f>((I41-H41)/H41)*100</f>
        <v>0</v>
      </c>
      <c r="N41" s="41">
        <v>16000</v>
      </c>
      <c r="O41" s="31">
        <v>976</v>
      </c>
      <c r="P41" s="45">
        <f>(R41)/J41</f>
        <v>0</v>
      </c>
      <c r="Q41" s="43">
        <f>I41/G41-1</f>
        <v>1.0333333333333332</v>
      </c>
      <c r="R41" s="44">
        <v>0</v>
      </c>
    </row>
    <row r="42" spans="1:18" x14ac:dyDescent="0.25">
      <c r="A42" s="29" t="s">
        <v>108</v>
      </c>
      <c r="B42" s="30" t="s">
        <v>109</v>
      </c>
      <c r="C42" s="31">
        <v>175190642</v>
      </c>
      <c r="D42" s="32">
        <f>C42*J42</f>
        <v>39373549.989324525</v>
      </c>
      <c r="E42" s="33">
        <f>C42*K42</f>
        <v>33369646.095238093</v>
      </c>
      <c r="F42" s="34" t="s">
        <v>47</v>
      </c>
      <c r="G42" s="35">
        <v>4.5</v>
      </c>
      <c r="H42" s="36">
        <v>6</v>
      </c>
      <c r="I42" s="37">
        <v>6</v>
      </c>
      <c r="J42" s="38">
        <f>I42/$J$5</f>
        <v>0.22474687882772029</v>
      </c>
      <c r="K42" s="39">
        <f>I42/$K$4</f>
        <v>0.19047619047619047</v>
      </c>
      <c r="L42" s="40">
        <f>I42-H42</f>
        <v>0</v>
      </c>
      <c r="M42" s="40">
        <f>((I42-H42)/H42)*100</f>
        <v>0</v>
      </c>
      <c r="N42" s="41">
        <v>0</v>
      </c>
      <c r="O42" s="31">
        <v>0</v>
      </c>
      <c r="P42" s="45">
        <f>(R42)/J42</f>
        <v>0</v>
      </c>
      <c r="Q42" s="43">
        <f>I42/G42-1</f>
        <v>0.33333333333333326</v>
      </c>
      <c r="R42" s="44">
        <v>0</v>
      </c>
    </row>
    <row r="43" spans="1:18" x14ac:dyDescent="0.25">
      <c r="A43" s="29" t="s">
        <v>110</v>
      </c>
      <c r="B43" s="30" t="s">
        <v>111</v>
      </c>
      <c r="C43" s="31">
        <v>463337661</v>
      </c>
      <c r="D43" s="32">
        <f>C43*J43</f>
        <v>312.40107945925905</v>
      </c>
      <c r="E43" s="33">
        <f>C43*K43</f>
        <v>264.76437771428573</v>
      </c>
      <c r="F43" s="34" t="s">
        <v>44</v>
      </c>
      <c r="G43" s="35">
        <v>1.8E-5</v>
      </c>
      <c r="H43" s="36">
        <v>1.8E-5</v>
      </c>
      <c r="I43" s="37">
        <v>1.8E-5</v>
      </c>
      <c r="J43" s="38">
        <f>I43/$J$5</f>
        <v>6.7424063648316089E-7</v>
      </c>
      <c r="K43" s="39">
        <f>I43/$K$4</f>
        <v>5.7142857142857149E-7</v>
      </c>
      <c r="L43" s="40">
        <f>I43-H43</f>
        <v>0</v>
      </c>
      <c r="M43" s="40">
        <f>((I43-H43)/H43)*100</f>
        <v>0</v>
      </c>
      <c r="N43" s="41">
        <v>0</v>
      </c>
      <c r="O43" s="31">
        <v>0</v>
      </c>
      <c r="P43" s="45">
        <f>(R43)/J43</f>
        <v>0</v>
      </c>
      <c r="Q43" s="43">
        <f>I43/G43-1</f>
        <v>0</v>
      </c>
      <c r="R43" s="44">
        <v>0</v>
      </c>
    </row>
    <row r="44" spans="1:18" x14ac:dyDescent="0.25">
      <c r="A44" s="29" t="s">
        <v>112</v>
      </c>
      <c r="B44" s="30" t="s">
        <v>113</v>
      </c>
      <c r="C44" s="31">
        <v>576000000</v>
      </c>
      <c r="D44" s="32">
        <f>C44*J44</f>
        <v>1518929.305869265</v>
      </c>
      <c r="E44" s="33">
        <f>C44*K44</f>
        <v>1287314.2857142859</v>
      </c>
      <c r="F44" s="34" t="s">
        <v>56</v>
      </c>
      <c r="G44" s="35">
        <v>7.0000000000000007E-2</v>
      </c>
      <c r="H44" s="36">
        <v>7.0400000000000004E-2</v>
      </c>
      <c r="I44" s="37">
        <v>7.0400000000000004E-2</v>
      </c>
      <c r="J44" s="38">
        <f>I44/$J$5</f>
        <v>2.6370300449119182E-3</v>
      </c>
      <c r="K44" s="39">
        <f>I44/$K$4</f>
        <v>2.2349206349206352E-3</v>
      </c>
      <c r="L44" s="40">
        <f>I44-H44</f>
        <v>0</v>
      </c>
      <c r="M44" s="40">
        <f>((I44-H44)/H44)*100</f>
        <v>0</v>
      </c>
      <c r="N44" s="41">
        <v>0</v>
      </c>
      <c r="O44" s="31">
        <v>0</v>
      </c>
      <c r="P44" s="45">
        <f>(R44)/J44</f>
        <v>0</v>
      </c>
      <c r="Q44" s="43">
        <f>I44/G44-1</f>
        <v>5.7142857142857828E-3</v>
      </c>
      <c r="R44" s="44"/>
    </row>
    <row r="45" spans="1:18" x14ac:dyDescent="0.25">
      <c r="A45" s="29" t="s">
        <v>114</v>
      </c>
      <c r="B45" s="30" t="s">
        <v>115</v>
      </c>
      <c r="C45" s="31">
        <v>1818218786</v>
      </c>
      <c r="D45" s="32">
        <f>C45*J45</f>
        <v>71511824.506399661</v>
      </c>
      <c r="E45" s="33">
        <f>C45*K45</f>
        <v>60607292.866666667</v>
      </c>
      <c r="F45" s="34" t="s">
        <v>47</v>
      </c>
      <c r="G45" s="35">
        <v>0.9998999999999999</v>
      </c>
      <c r="H45" s="36">
        <v>0.92</v>
      </c>
      <c r="I45" s="37">
        <v>1.05</v>
      </c>
      <c r="J45" s="38">
        <f>I45/$J$5</f>
        <v>3.9330703794851048E-2</v>
      </c>
      <c r="K45" s="39">
        <f>I45/$K$4</f>
        <v>3.3333333333333333E-2</v>
      </c>
      <c r="L45" s="40">
        <f>I45-H45</f>
        <v>0.13</v>
      </c>
      <c r="M45" s="40">
        <f>((I45-H45)/H45)*100</f>
        <v>14.130434782608695</v>
      </c>
      <c r="N45" s="41">
        <v>3500</v>
      </c>
      <c r="O45" s="31">
        <v>3220</v>
      </c>
      <c r="P45" s="45">
        <f>(R45)/J45</f>
        <v>0</v>
      </c>
      <c r="Q45" s="43">
        <f>I45/G45-1</f>
        <v>5.0105010501050318E-2</v>
      </c>
      <c r="R45" s="44">
        <v>0</v>
      </c>
    </row>
    <row r="46" spans="1:18" x14ac:dyDescent="0.25">
      <c r="A46" s="29" t="s">
        <v>116</v>
      </c>
      <c r="B46" s="30" t="s">
        <v>117</v>
      </c>
      <c r="C46" s="31">
        <v>102712520</v>
      </c>
      <c r="D46" s="32">
        <f>C46*J46</f>
        <v>5809553.4354433324</v>
      </c>
      <c r="E46" s="33">
        <f>C46*K46</f>
        <v>4923679.5301587302</v>
      </c>
      <c r="F46" s="34" t="s">
        <v>47</v>
      </c>
      <c r="G46" s="35">
        <v>1.4503460000000001</v>
      </c>
      <c r="H46" s="36">
        <v>1.51</v>
      </c>
      <c r="I46" s="37">
        <v>1.51</v>
      </c>
      <c r="J46" s="38">
        <f>I46/$J$5</f>
        <v>5.6561297838309606E-2</v>
      </c>
      <c r="K46" s="39">
        <f>I46/$K$4</f>
        <v>4.7936507936507937E-2</v>
      </c>
      <c r="L46" s="40">
        <f>I46-H46</f>
        <v>0</v>
      </c>
      <c r="M46" s="40">
        <f>((I46-H46)/H46)*100</f>
        <v>0</v>
      </c>
      <c r="N46" s="41">
        <v>500</v>
      </c>
      <c r="O46" s="31">
        <v>755</v>
      </c>
      <c r="P46" s="45">
        <v>0</v>
      </c>
      <c r="Q46" s="43">
        <f>I46/G46-1</f>
        <v>4.1130874977419074E-2</v>
      </c>
      <c r="R46" s="44"/>
    </row>
    <row r="47" spans="1:18" ht="13.8" thickBot="1" x14ac:dyDescent="0.4">
      <c r="A47" s="51"/>
      <c r="B47" s="52" t="s">
        <v>83</v>
      </c>
      <c r="C47" s="53"/>
      <c r="D47" s="54"/>
      <c r="E47" s="54"/>
      <c r="F47" s="55"/>
      <c r="G47" s="55"/>
      <c r="H47" s="40"/>
      <c r="I47" s="40"/>
      <c r="J47" s="40"/>
      <c r="K47" s="40"/>
      <c r="L47" s="40"/>
      <c r="M47" s="40"/>
      <c r="N47" s="55">
        <f>SUM(N9:N46)</f>
        <v>381900</v>
      </c>
      <c r="O47" s="55">
        <f>SUM(O9:O46)</f>
        <v>3087741.8099999996</v>
      </c>
      <c r="P47" s="56"/>
      <c r="Q47" s="57"/>
    </row>
    <row r="48" spans="1:18" ht="13.2" x14ac:dyDescent="0.35">
      <c r="A48" s="58"/>
      <c r="B48" s="59" t="s">
        <v>83</v>
      </c>
      <c r="C48" s="60"/>
      <c r="D48" s="60"/>
      <c r="E48" s="60"/>
      <c r="F48" s="61"/>
      <c r="G48" s="61"/>
      <c r="H48" s="62"/>
      <c r="I48" s="62"/>
      <c r="J48" s="62"/>
      <c r="K48" s="62"/>
      <c r="L48" s="62"/>
      <c r="M48" s="62"/>
      <c r="N48" s="61"/>
      <c r="O48" s="61"/>
      <c r="P48" s="61"/>
      <c r="Q48" s="63"/>
    </row>
    <row r="49" spans="1:20" ht="12.6" x14ac:dyDescent="0.3">
      <c r="A49" s="121" t="s">
        <v>118</v>
      </c>
      <c r="B49" s="143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22"/>
    </row>
    <row r="50" spans="1:20" ht="11.4" customHeight="1" x14ac:dyDescent="0.25">
      <c r="A50" s="29" t="s">
        <v>119</v>
      </c>
      <c r="B50" s="30" t="s">
        <v>120</v>
      </c>
      <c r="C50" s="34">
        <v>554920308</v>
      </c>
      <c r="D50" s="32">
        <f>C50*J50</f>
        <v>72195132.070799991</v>
      </c>
      <c r="E50" s="33">
        <v>0</v>
      </c>
      <c r="F50" s="34" t="s">
        <v>93</v>
      </c>
      <c r="G50" s="64">
        <v>0.1</v>
      </c>
      <c r="H50" s="36">
        <v>0.13070000000000001</v>
      </c>
      <c r="I50" s="36">
        <v>0.13009999999999999</v>
      </c>
      <c r="J50" s="38">
        <f>I50</f>
        <v>0.13009999999999999</v>
      </c>
      <c r="K50" s="33">
        <v>0</v>
      </c>
      <c r="L50" s="40">
        <f>I50-H50</f>
        <v>-6.0000000000001719E-4</v>
      </c>
      <c r="M50" s="40">
        <f>((I50-H50)/H50)*100</f>
        <v>-0.45906656465188767</v>
      </c>
      <c r="N50" s="41">
        <v>28950</v>
      </c>
      <c r="O50" s="31">
        <v>3782.43</v>
      </c>
      <c r="P50" s="65">
        <f>(R50)/J50</f>
        <v>0</v>
      </c>
      <c r="Q50" s="43">
        <f>J50/G50-1</f>
        <v>0.30099999999999993</v>
      </c>
      <c r="T50" s="46"/>
    </row>
    <row r="51" spans="1:20" x14ac:dyDescent="0.25">
      <c r="A51" s="29" t="s">
        <v>121</v>
      </c>
      <c r="B51" s="30" t="s">
        <v>122</v>
      </c>
      <c r="C51" s="34">
        <v>1057685</v>
      </c>
      <c r="D51" s="32">
        <f>C51*J51</f>
        <v>53941935</v>
      </c>
      <c r="E51" s="33">
        <v>0</v>
      </c>
      <c r="F51" s="34" t="s">
        <v>39</v>
      </c>
      <c r="G51" s="64">
        <v>39.9</v>
      </c>
      <c r="H51" s="36">
        <v>47</v>
      </c>
      <c r="I51" s="36">
        <v>51</v>
      </c>
      <c r="J51" s="38">
        <f>I51</f>
        <v>51</v>
      </c>
      <c r="K51" s="33">
        <v>0</v>
      </c>
      <c r="L51" s="40">
        <f>I51-H51</f>
        <v>4</v>
      </c>
      <c r="M51" s="40">
        <f>((I51-H51)/H51)*100</f>
        <v>8.5106382978723403</v>
      </c>
      <c r="N51" s="41">
        <v>9</v>
      </c>
      <c r="O51" s="31">
        <v>423</v>
      </c>
      <c r="P51" s="66">
        <f>(R51)/J51</f>
        <v>1.0980392156862745E-2</v>
      </c>
      <c r="Q51" s="43">
        <f>J51/G51-1</f>
        <v>0.27819548872180455</v>
      </c>
      <c r="R51" s="46">
        <v>0.56000000000000005</v>
      </c>
      <c r="T51" s="46"/>
    </row>
    <row r="52" spans="1:20" x14ac:dyDescent="0.25">
      <c r="A52" s="29" t="s">
        <v>123</v>
      </c>
      <c r="B52" s="30" t="s">
        <v>124</v>
      </c>
      <c r="C52" s="34">
        <v>2992163203</v>
      </c>
      <c r="D52" s="32">
        <f>C52*J52</f>
        <v>712434058.63429999</v>
      </c>
      <c r="E52" s="33"/>
      <c r="F52" s="34" t="s">
        <v>56</v>
      </c>
      <c r="G52" s="64">
        <v>0.33</v>
      </c>
      <c r="H52" s="36">
        <v>0.23200000000000001</v>
      </c>
      <c r="I52" s="36">
        <v>0.23810000000000001</v>
      </c>
      <c r="J52" s="38">
        <f>I52</f>
        <v>0.23810000000000001</v>
      </c>
      <c r="K52" s="33">
        <v>0</v>
      </c>
      <c r="L52" s="40">
        <f>I52-H52</f>
        <v>6.0999999999999943E-3</v>
      </c>
      <c r="M52" s="40">
        <f>((I52-H52)/H52)*100</f>
        <v>2.6293103448275836</v>
      </c>
      <c r="N52" s="41">
        <v>63046</v>
      </c>
      <c r="O52" s="31">
        <v>14628.07</v>
      </c>
      <c r="P52" s="65">
        <v>0</v>
      </c>
      <c r="Q52" s="43">
        <f>J52/G52-1</f>
        <v>-0.27848484848484845</v>
      </c>
      <c r="R52" s="46"/>
      <c r="T52" s="46"/>
    </row>
    <row r="53" spans="1:20" x14ac:dyDescent="0.25">
      <c r="A53" s="29" t="s">
        <v>125</v>
      </c>
      <c r="B53" s="30" t="s">
        <v>126</v>
      </c>
      <c r="C53" s="34">
        <v>609740943</v>
      </c>
      <c r="D53" s="32">
        <f>C53*J53</f>
        <v>16341057.272400001</v>
      </c>
      <c r="E53" s="33">
        <v>0</v>
      </c>
      <c r="F53" s="34" t="s">
        <v>34</v>
      </c>
      <c r="G53" s="64">
        <v>2.3E-2</v>
      </c>
      <c r="H53" s="36">
        <v>2.6499999999999999E-2</v>
      </c>
      <c r="I53" s="36">
        <v>2.6800000000000001E-2</v>
      </c>
      <c r="J53" s="38">
        <f>I53</f>
        <v>2.6800000000000001E-2</v>
      </c>
      <c r="K53" s="33">
        <v>0</v>
      </c>
      <c r="L53" s="40">
        <f>I53-H53</f>
        <v>3.0000000000000165E-4</v>
      </c>
      <c r="M53" s="40">
        <f>((I53-H53)/H53)*100</f>
        <v>1.1320754716981196</v>
      </c>
      <c r="N53" s="41">
        <v>0</v>
      </c>
      <c r="O53" s="31">
        <v>0</v>
      </c>
      <c r="P53" s="65">
        <f>(R53)/J53</f>
        <v>0</v>
      </c>
      <c r="Q53" s="43">
        <f>J53/G53-1</f>
        <v>0.16521739130434798</v>
      </c>
      <c r="T53" s="46"/>
    </row>
    <row r="54" spans="1:20" x14ac:dyDescent="0.25">
      <c r="A54" s="29" t="s">
        <v>127</v>
      </c>
      <c r="B54" s="30" t="s">
        <v>128</v>
      </c>
      <c r="C54" s="34">
        <v>2162695929</v>
      </c>
      <c r="D54" s="32">
        <f>C54*J54</f>
        <v>299749655.75940001</v>
      </c>
      <c r="E54" s="33">
        <v>0</v>
      </c>
      <c r="F54" s="34" t="s">
        <v>47</v>
      </c>
      <c r="G54" s="64">
        <v>9.0200000000000002E-2</v>
      </c>
      <c r="H54" s="36">
        <v>0.13550000000000001</v>
      </c>
      <c r="I54" s="36">
        <v>0.1386</v>
      </c>
      <c r="J54" s="38">
        <f>I54</f>
        <v>0.1386</v>
      </c>
      <c r="K54" s="33">
        <v>0</v>
      </c>
      <c r="L54" s="40">
        <f>I54-H54</f>
        <v>3.0999999999999917E-3</v>
      </c>
      <c r="M54" s="67">
        <f>((I54-H54)/H54)*100</f>
        <v>2.2878228782287757</v>
      </c>
      <c r="N54" s="41">
        <v>383078</v>
      </c>
      <c r="O54" s="31">
        <v>51910.23</v>
      </c>
      <c r="P54" s="65">
        <f>(R54)/J54</f>
        <v>0</v>
      </c>
      <c r="Q54" s="43">
        <f>J54/G54-1</f>
        <v>0.53658536585365857</v>
      </c>
      <c r="R54" s="46"/>
      <c r="T54" s="46"/>
    </row>
    <row r="55" spans="1:20" x14ac:dyDescent="0.25">
      <c r="A55" s="29" t="s">
        <v>129</v>
      </c>
      <c r="B55" s="30" t="s">
        <v>130</v>
      </c>
      <c r="C55" s="34">
        <v>575926450</v>
      </c>
      <c r="D55" s="32">
        <f>C55*J55</f>
        <v>823747601.43499994</v>
      </c>
      <c r="E55" s="33">
        <v>0</v>
      </c>
      <c r="F55" s="34" t="s">
        <v>34</v>
      </c>
      <c r="G55" s="64">
        <v>0.95750000000000002</v>
      </c>
      <c r="H55" s="36">
        <v>1.3694</v>
      </c>
      <c r="I55" s="36">
        <v>1.4302999999999999</v>
      </c>
      <c r="J55" s="38">
        <f>I55</f>
        <v>1.4302999999999999</v>
      </c>
      <c r="K55" s="33">
        <v>0</v>
      </c>
      <c r="L55" s="40">
        <f>I55-H55</f>
        <v>6.0899999999999954E-2</v>
      </c>
      <c r="M55" s="40">
        <f>((I55-H55)/H55)*100</f>
        <v>4.4472031546662736</v>
      </c>
      <c r="N55" s="41">
        <v>88741</v>
      </c>
      <c r="O55" s="31">
        <v>121524.91</v>
      </c>
      <c r="P55" s="66">
        <f>(R55)/J55</f>
        <v>3.2860239110676086E-2</v>
      </c>
      <c r="Q55" s="43">
        <f>J55/G55-1</f>
        <v>0.49378590078328966</v>
      </c>
      <c r="R55" s="46">
        <v>4.7E-2</v>
      </c>
      <c r="T55" s="46"/>
    </row>
    <row r="56" spans="1:20" x14ac:dyDescent="0.25">
      <c r="A56" s="29" t="s">
        <v>131</v>
      </c>
      <c r="B56" s="30" t="s">
        <v>132</v>
      </c>
      <c r="C56" s="34">
        <v>164208222</v>
      </c>
      <c r="D56" s="32">
        <f>C56*J56</f>
        <v>21347068.859999999</v>
      </c>
      <c r="E56" s="33">
        <v>0</v>
      </c>
      <c r="F56" s="34" t="s">
        <v>34</v>
      </c>
      <c r="G56" s="64">
        <v>0.1595</v>
      </c>
      <c r="H56" s="36">
        <v>0.13200000000000001</v>
      </c>
      <c r="I56" s="36">
        <v>0.13</v>
      </c>
      <c r="J56" s="38">
        <f>I56</f>
        <v>0.13</v>
      </c>
      <c r="K56" s="33">
        <v>0</v>
      </c>
      <c r="L56" s="40">
        <f>I56-H56</f>
        <v>-2.0000000000000018E-3</v>
      </c>
      <c r="M56" s="40">
        <f>((I56-H56)/H56)*100</f>
        <v>-1.5151515151515165</v>
      </c>
      <c r="N56" s="41">
        <v>0</v>
      </c>
      <c r="O56" s="31">
        <v>0</v>
      </c>
      <c r="P56" s="65">
        <f>(R56)/J56</f>
        <v>0</v>
      </c>
      <c r="Q56" s="43">
        <f>J56/G56-1</f>
        <v>-0.1849529780564263</v>
      </c>
      <c r="T56" s="46"/>
    </row>
    <row r="57" spans="1:20" x14ac:dyDescent="0.25">
      <c r="A57" s="29" t="s">
        <v>133</v>
      </c>
      <c r="B57" s="30" t="s">
        <v>134</v>
      </c>
      <c r="C57" s="34">
        <v>953802800</v>
      </c>
      <c r="D57" s="32">
        <f>C57*J57</f>
        <v>20029858.800000001</v>
      </c>
      <c r="E57" s="33">
        <v>0</v>
      </c>
      <c r="F57" s="34" t="s">
        <v>93</v>
      </c>
      <c r="G57" s="64">
        <v>1.6799999999999999E-2</v>
      </c>
      <c r="H57" s="36">
        <v>1.9900000000000001E-2</v>
      </c>
      <c r="I57" s="36">
        <v>2.1000000000000001E-2</v>
      </c>
      <c r="J57" s="38">
        <f>I57</f>
        <v>2.1000000000000001E-2</v>
      </c>
      <c r="K57" s="33">
        <v>0</v>
      </c>
      <c r="L57" s="40">
        <f>I57-H57</f>
        <v>1.1000000000000003E-3</v>
      </c>
      <c r="M57" s="67">
        <f>((I57-H57)/H57)*100</f>
        <v>5.5276381909547752</v>
      </c>
      <c r="N57" s="41">
        <v>10253</v>
      </c>
      <c r="O57" s="31">
        <v>204.16</v>
      </c>
      <c r="P57" s="65">
        <f>(R57)/J57</f>
        <v>0</v>
      </c>
      <c r="Q57" s="43">
        <f>J57/G57-1</f>
        <v>0.25000000000000022</v>
      </c>
      <c r="T57" s="46"/>
    </row>
    <row r="58" spans="1:20" x14ac:dyDescent="0.25">
      <c r="A58" s="29" t="s">
        <v>135</v>
      </c>
      <c r="B58" s="30" t="s">
        <v>136</v>
      </c>
      <c r="C58" s="34">
        <v>161273</v>
      </c>
      <c r="D58" s="32">
        <f>C58*J58</f>
        <v>2870869.0549000003</v>
      </c>
      <c r="E58" s="33">
        <v>0</v>
      </c>
      <c r="F58" s="34" t="s">
        <v>137</v>
      </c>
      <c r="G58" s="64">
        <v>19.5</v>
      </c>
      <c r="H58" s="36">
        <v>17.801300000000001</v>
      </c>
      <c r="I58" s="36">
        <v>17.801300000000001</v>
      </c>
      <c r="J58" s="38">
        <f>I58</f>
        <v>17.801300000000001</v>
      </c>
      <c r="K58" s="33">
        <v>0</v>
      </c>
      <c r="L58" s="40">
        <f>I58-H58</f>
        <v>0</v>
      </c>
      <c r="M58" s="40">
        <f>((I58-H58)/H58)*100</f>
        <v>0</v>
      </c>
      <c r="N58" s="41">
        <v>0</v>
      </c>
      <c r="O58" s="31">
        <v>0</v>
      </c>
      <c r="P58" s="65">
        <f>(R58)/J58</f>
        <v>0</v>
      </c>
      <c r="Q58" s="43">
        <f>J58/G58-1</f>
        <v>-8.7112820512820432E-2</v>
      </c>
      <c r="T58" s="46"/>
    </row>
    <row r="59" spans="1:20" x14ac:dyDescent="0.25">
      <c r="A59" s="29" t="s">
        <v>138</v>
      </c>
      <c r="B59" s="30" t="s">
        <v>139</v>
      </c>
      <c r="C59" s="34">
        <v>805090451</v>
      </c>
      <c r="D59" s="32">
        <f>C59*J59</f>
        <v>976252680.88259995</v>
      </c>
      <c r="E59" s="33">
        <v>0</v>
      </c>
      <c r="F59" s="34" t="s">
        <v>93</v>
      </c>
      <c r="G59" s="64">
        <v>0.59499999999999997</v>
      </c>
      <c r="H59" s="36">
        <v>1.1354</v>
      </c>
      <c r="I59" s="36">
        <v>1.2125999999999999</v>
      </c>
      <c r="J59" s="38">
        <f>I59</f>
        <v>1.2125999999999999</v>
      </c>
      <c r="K59" s="33">
        <v>0</v>
      </c>
      <c r="L59" s="40">
        <f>I59-H59</f>
        <v>7.7199999999999935E-2</v>
      </c>
      <c r="M59" s="40">
        <f>((I59-H59)/H59)*100</f>
        <v>6.7993658622511832</v>
      </c>
      <c r="N59" s="41">
        <v>467486</v>
      </c>
      <c r="O59" s="31">
        <v>530792.23</v>
      </c>
      <c r="P59" s="65">
        <f>(R59)/J59</f>
        <v>0</v>
      </c>
      <c r="Q59" s="43">
        <f>J59/G59-1</f>
        <v>1.0379831932773107</v>
      </c>
      <c r="R59" s="46"/>
      <c r="T59" s="46"/>
    </row>
    <row r="60" spans="1:20" x14ac:dyDescent="0.25">
      <c r="A60" s="29" t="s">
        <v>140</v>
      </c>
      <c r="B60" s="30" t="s">
        <v>141</v>
      </c>
      <c r="C60" s="34">
        <v>260714518</v>
      </c>
      <c r="D60" s="32">
        <f>C60*J60</f>
        <v>95030441.811000004</v>
      </c>
      <c r="E60" s="33">
        <v>0</v>
      </c>
      <c r="F60" s="34" t="s">
        <v>34</v>
      </c>
      <c r="G60" s="64">
        <v>0.22600000000000001</v>
      </c>
      <c r="H60" s="36">
        <v>0.36449999999999999</v>
      </c>
      <c r="I60" s="36">
        <v>0.36449999999999999</v>
      </c>
      <c r="J60" s="38">
        <f>I60</f>
        <v>0.36449999999999999</v>
      </c>
      <c r="K60" s="33">
        <v>0</v>
      </c>
      <c r="L60" s="40">
        <f>I60-H60</f>
        <v>0</v>
      </c>
      <c r="M60" s="40">
        <f>((I60-H60)/H60)*100</f>
        <v>0</v>
      </c>
      <c r="N60" s="41">
        <v>0</v>
      </c>
      <c r="O60" s="31">
        <v>0</v>
      </c>
      <c r="P60" s="65">
        <f>(R60)/J60</f>
        <v>0</v>
      </c>
      <c r="Q60" s="43">
        <f>J60/G60-1</f>
        <v>0.61283185840707954</v>
      </c>
      <c r="T60" s="46"/>
    </row>
    <row r="61" spans="1:20" x14ac:dyDescent="0.25">
      <c r="A61" s="29" t="s">
        <v>142</v>
      </c>
      <c r="B61" s="30" t="s">
        <v>143</v>
      </c>
      <c r="C61" s="34">
        <v>562184788</v>
      </c>
      <c r="D61" s="32">
        <f>C61*J61</f>
        <v>388750780.90200001</v>
      </c>
      <c r="E61" s="33">
        <v>0</v>
      </c>
      <c r="F61" s="34" t="s">
        <v>34</v>
      </c>
      <c r="G61" s="64">
        <v>0.49440000000000001</v>
      </c>
      <c r="H61" s="36">
        <v>0.69550000000000001</v>
      </c>
      <c r="I61" s="36">
        <v>0.6915</v>
      </c>
      <c r="J61" s="38">
        <f>I61</f>
        <v>0.6915</v>
      </c>
      <c r="K61" s="33">
        <v>0</v>
      </c>
      <c r="L61" s="40">
        <f>I61-H61</f>
        <v>-4.0000000000000036E-3</v>
      </c>
      <c r="M61" s="40">
        <f>((I61-H61)/H61)*100</f>
        <v>-0.5751258087706691</v>
      </c>
      <c r="N61" s="41">
        <v>11821</v>
      </c>
      <c r="O61" s="31">
        <v>8221.67</v>
      </c>
      <c r="P61" s="65">
        <f>(R61)/J61</f>
        <v>0</v>
      </c>
      <c r="Q61" s="43">
        <f>J61/G61-1</f>
        <v>0.39866504854368934</v>
      </c>
      <c r="R61" s="46"/>
      <c r="T61" s="46"/>
    </row>
    <row r="62" spans="1:20" x14ac:dyDescent="0.25">
      <c r="A62" s="29" t="s">
        <v>144</v>
      </c>
      <c r="B62" s="30" t="s">
        <v>145</v>
      </c>
      <c r="C62" s="34">
        <v>364526035</v>
      </c>
      <c r="D62" s="32">
        <f>C62*J62</f>
        <v>99552060.158500001</v>
      </c>
      <c r="E62" s="33">
        <v>0</v>
      </c>
      <c r="F62" s="34" t="s">
        <v>34</v>
      </c>
      <c r="G62" s="64">
        <v>0.25950000000000001</v>
      </c>
      <c r="H62" s="36">
        <v>0.25</v>
      </c>
      <c r="I62" s="36">
        <v>0.27310000000000001</v>
      </c>
      <c r="J62" s="38">
        <f>I62</f>
        <v>0.27310000000000001</v>
      </c>
      <c r="K62" s="33">
        <v>0</v>
      </c>
      <c r="L62" s="40">
        <f>I62-H62</f>
        <v>2.3100000000000009E-2</v>
      </c>
      <c r="M62" s="40">
        <f>((I62-H62)/H62)*100</f>
        <v>9.2400000000000038</v>
      </c>
      <c r="N62" s="41">
        <v>1000</v>
      </c>
      <c r="O62" s="31">
        <v>250</v>
      </c>
      <c r="P62" s="65">
        <f>(R62)/J62</f>
        <v>0</v>
      </c>
      <c r="Q62" s="43">
        <f>J62/G62-1</f>
        <v>5.2408477842003753E-2</v>
      </c>
      <c r="R62" s="46"/>
      <c r="T62" s="46"/>
    </row>
    <row r="63" spans="1:20" x14ac:dyDescent="0.25">
      <c r="A63" s="29" t="s">
        <v>146</v>
      </c>
      <c r="B63" s="30" t="s">
        <v>147</v>
      </c>
      <c r="C63" s="34">
        <v>30000000</v>
      </c>
      <c r="D63" s="32">
        <f>C63*J63</f>
        <v>300000000</v>
      </c>
      <c r="E63" s="33">
        <v>0</v>
      </c>
      <c r="F63" s="34" t="s">
        <v>66</v>
      </c>
      <c r="G63" s="64">
        <v>10</v>
      </c>
      <c r="H63" s="36">
        <v>10</v>
      </c>
      <c r="I63" s="36">
        <v>10</v>
      </c>
      <c r="J63" s="38">
        <f>I63</f>
        <v>10</v>
      </c>
      <c r="K63" s="33">
        <v>0</v>
      </c>
      <c r="L63" s="40">
        <f>I63-H63</f>
        <v>0</v>
      </c>
      <c r="M63" s="40">
        <f>((I63-H63)/H63)*100</f>
        <v>0</v>
      </c>
      <c r="N63" s="41">
        <v>0</v>
      </c>
      <c r="O63" s="31">
        <v>0</v>
      </c>
      <c r="P63" s="65">
        <f>(R63)/J63</f>
        <v>0</v>
      </c>
      <c r="Q63" s="43">
        <f>J63/G63-1</f>
        <v>0</v>
      </c>
      <c r="T63" s="46"/>
    </row>
    <row r="64" spans="1:20" x14ac:dyDescent="0.25">
      <c r="A64" s="29" t="s">
        <v>148</v>
      </c>
      <c r="B64" s="30" t="s">
        <v>149</v>
      </c>
      <c r="C64" s="34">
        <v>344580486</v>
      </c>
      <c r="D64" s="32">
        <f>C64*J64</f>
        <v>43968470.013599999</v>
      </c>
      <c r="E64" s="33">
        <v>0</v>
      </c>
      <c r="F64" s="34" t="s">
        <v>44</v>
      </c>
      <c r="G64" s="64">
        <v>4.2999999999999997E-2</v>
      </c>
      <c r="H64" s="36">
        <v>0.12759999999999999</v>
      </c>
      <c r="I64" s="36">
        <v>0.12759999999999999</v>
      </c>
      <c r="J64" s="38">
        <f>I64</f>
        <v>0.12759999999999999</v>
      </c>
      <c r="K64" s="33">
        <v>0</v>
      </c>
      <c r="L64" s="40">
        <f>I64-H64</f>
        <v>0</v>
      </c>
      <c r="M64" s="40">
        <f>((I64-H64)/H64)*100</f>
        <v>0</v>
      </c>
      <c r="N64" s="41">
        <v>171</v>
      </c>
      <c r="O64" s="31">
        <v>21.83</v>
      </c>
      <c r="P64" s="65">
        <f>(R64)/J64</f>
        <v>0</v>
      </c>
      <c r="Q64" s="43">
        <f>J64/G64-1</f>
        <v>1.9674418604651165</v>
      </c>
      <c r="T64" s="46"/>
    </row>
    <row r="65" spans="1:20" ht="13.2" x14ac:dyDescent="0.35">
      <c r="A65" s="68"/>
      <c r="B65" s="30" t="s">
        <v>83</v>
      </c>
      <c r="C65" s="34"/>
      <c r="D65" s="69"/>
      <c r="E65" s="69"/>
      <c r="F65" s="34"/>
      <c r="G65" s="34"/>
      <c r="H65" s="36"/>
      <c r="I65" s="36"/>
      <c r="J65" s="36"/>
      <c r="K65" s="36"/>
      <c r="L65" s="40"/>
      <c r="M65" s="70"/>
      <c r="N65" s="55">
        <f>SUM(N50:N64)</f>
        <v>1054555</v>
      </c>
      <c r="O65" s="56">
        <f>SUM(O50:O64)</f>
        <v>731758.53</v>
      </c>
      <c r="P65" s="71"/>
      <c r="Q65" s="57"/>
    </row>
    <row r="66" spans="1:20" ht="12.6" hidden="1" x14ac:dyDescent="0.3">
      <c r="A66" s="123" t="s">
        <v>150</v>
      </c>
      <c r="B66" s="124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6"/>
    </row>
    <row r="67" spans="1:20" ht="12.6" hidden="1" thickBot="1" x14ac:dyDescent="0.3">
      <c r="A67" s="72" t="s">
        <v>151</v>
      </c>
      <c r="B67" s="73" t="s">
        <v>152</v>
      </c>
      <c r="C67" s="74">
        <v>20000</v>
      </c>
      <c r="D67" s="75">
        <f>C67*J67</f>
        <v>0</v>
      </c>
      <c r="E67" s="75"/>
      <c r="F67" s="74" t="s">
        <v>153</v>
      </c>
      <c r="G67" s="74"/>
      <c r="H67" s="76">
        <v>100</v>
      </c>
      <c r="I67" s="76"/>
      <c r="J67" s="76"/>
      <c r="K67" s="76"/>
      <c r="L67" s="77">
        <f>I67-H67</f>
        <v>-100</v>
      </c>
      <c r="M67" s="78">
        <f>((I67-H67)/H67)*100</f>
        <v>-100</v>
      </c>
      <c r="N67" s="79" t="s">
        <v>57</v>
      </c>
      <c r="O67" s="79" t="s">
        <v>57</v>
      </c>
      <c r="P67" s="79"/>
      <c r="Q67" s="80">
        <v>100</v>
      </c>
    </row>
    <row r="68" spans="1:20" ht="12.6" thickBot="1" x14ac:dyDescent="0.3">
      <c r="A68" s="29"/>
      <c r="B68" s="30" t="s">
        <v>83</v>
      </c>
      <c r="C68" s="34"/>
      <c r="D68" s="31"/>
      <c r="E68" s="31"/>
      <c r="F68" s="34"/>
      <c r="G68" s="34"/>
      <c r="H68" s="36"/>
      <c r="I68" s="36"/>
      <c r="J68" s="36"/>
      <c r="K68" s="36"/>
      <c r="L68" s="40"/>
      <c r="M68" s="70"/>
      <c r="N68" s="81"/>
      <c r="O68" s="81"/>
      <c r="P68" s="81"/>
      <c r="Q68" s="57"/>
    </row>
    <row r="69" spans="1:20" ht="12.6" x14ac:dyDescent="0.3">
      <c r="A69" s="123" t="s">
        <v>154</v>
      </c>
      <c r="B69" s="124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6"/>
    </row>
    <row r="70" spans="1:20" x14ac:dyDescent="0.25">
      <c r="A70" s="29" t="s">
        <v>155</v>
      </c>
      <c r="B70" s="82" t="s">
        <v>156</v>
      </c>
      <c r="C70" s="83">
        <v>139300587</v>
      </c>
      <c r="D70" s="32">
        <f>C70*J70</f>
        <v>50217861.613499999</v>
      </c>
      <c r="E70" s="33">
        <f>C70*K70</f>
        <v>50217861.613499999</v>
      </c>
      <c r="F70" s="83" t="s">
        <v>157</v>
      </c>
      <c r="G70" s="83">
        <v>0.24</v>
      </c>
      <c r="H70" s="84">
        <v>0.36</v>
      </c>
      <c r="I70" s="84">
        <v>0.36049999999999999</v>
      </c>
      <c r="J70" s="85">
        <f>I70</f>
        <v>0.36049999999999999</v>
      </c>
      <c r="K70" s="85">
        <f>J70</f>
        <v>0.36049999999999999</v>
      </c>
      <c r="L70" s="40">
        <f>I70-H70</f>
        <v>5.0000000000000044E-4</v>
      </c>
      <c r="M70" s="40">
        <f>((I70-H70)/H70)*100</f>
        <v>0.13888888888888903</v>
      </c>
      <c r="N70" s="86">
        <v>678</v>
      </c>
      <c r="O70" s="87">
        <v>244.08</v>
      </c>
      <c r="P70" s="65">
        <f>(R70)/J70</f>
        <v>0</v>
      </c>
      <c r="Q70" s="43">
        <f>J70/G70-1</f>
        <v>0.50208333333333344</v>
      </c>
      <c r="T70" s="46"/>
    </row>
    <row r="71" spans="1:20" x14ac:dyDescent="0.25">
      <c r="A71" s="29" t="s">
        <v>158</v>
      </c>
      <c r="B71" s="82" t="s">
        <v>159</v>
      </c>
      <c r="C71" s="83">
        <v>471351750</v>
      </c>
      <c r="D71" s="32">
        <f>C71*J71</f>
        <v>70561356.974999994</v>
      </c>
      <c r="E71" s="33">
        <f>C71*K71</f>
        <v>70561356.974999994</v>
      </c>
      <c r="F71" s="83" t="s">
        <v>157</v>
      </c>
      <c r="G71" s="83">
        <v>0.1</v>
      </c>
      <c r="H71" s="84">
        <v>0.14940000000000001</v>
      </c>
      <c r="I71" s="84">
        <v>0.1497</v>
      </c>
      <c r="J71" s="85">
        <f>I71</f>
        <v>0.1497</v>
      </c>
      <c r="K71" s="85">
        <f>J71</f>
        <v>0.1497</v>
      </c>
      <c r="L71" s="40">
        <f>I71-H71</f>
        <v>2.9999999999999472E-4</v>
      </c>
      <c r="M71" s="40">
        <f>((I71-H71)/H71)*100</f>
        <v>0.2008032128514021</v>
      </c>
      <c r="N71" s="41">
        <v>10946</v>
      </c>
      <c r="O71" s="87">
        <v>1635.1</v>
      </c>
      <c r="P71" s="88">
        <f>(R71)/J71</f>
        <v>2.533066132264529E-2</v>
      </c>
      <c r="Q71" s="43">
        <f>J71/G71-1</f>
        <v>0.49699999999999989</v>
      </c>
      <c r="R71" s="5">
        <v>3.7919999999999998E-3</v>
      </c>
      <c r="T71" s="46"/>
    </row>
    <row r="72" spans="1:20" ht="13.8" thickBot="1" x14ac:dyDescent="0.4">
      <c r="A72" s="29"/>
      <c r="B72" s="30" t="s">
        <v>83</v>
      </c>
      <c r="C72" s="34"/>
      <c r="D72" s="31"/>
      <c r="E72" s="31"/>
      <c r="F72" s="34"/>
      <c r="G72" s="34"/>
      <c r="H72" s="36"/>
      <c r="I72" s="36"/>
      <c r="J72" s="36"/>
      <c r="K72" s="36"/>
      <c r="L72" s="40"/>
      <c r="M72" s="70"/>
      <c r="N72" s="55">
        <f>SUM(N70:N71)</f>
        <v>11624</v>
      </c>
      <c r="O72" s="56">
        <f>SUM(O70:O71)</f>
        <v>1879.1799999999998</v>
      </c>
      <c r="P72" s="81"/>
      <c r="Q72" s="57"/>
    </row>
    <row r="73" spans="1:20" ht="12.6" x14ac:dyDescent="0.3">
      <c r="A73" s="123" t="s">
        <v>160</v>
      </c>
      <c r="B73" s="124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6"/>
    </row>
    <row r="74" spans="1:20" x14ac:dyDescent="0.25">
      <c r="A74" s="29" t="s">
        <v>161</v>
      </c>
      <c r="B74" s="82" t="s">
        <v>162</v>
      </c>
      <c r="C74" s="83">
        <v>20819695</v>
      </c>
      <c r="D74" s="32">
        <f>C74*J74</f>
        <v>2875199.8794999998</v>
      </c>
      <c r="E74" s="33">
        <f>C74*K74</f>
        <v>2875199.8794999998</v>
      </c>
      <c r="F74" s="83" t="s">
        <v>137</v>
      </c>
      <c r="G74" s="83">
        <v>0.1394</v>
      </c>
      <c r="H74" s="84">
        <v>0.1363</v>
      </c>
      <c r="I74" s="84">
        <v>0.1381</v>
      </c>
      <c r="J74" s="85">
        <f>I74</f>
        <v>0.1381</v>
      </c>
      <c r="K74" s="85">
        <f>J74</f>
        <v>0.1381</v>
      </c>
      <c r="L74" s="40">
        <f>I74-H74</f>
        <v>1.799999999999996E-3</v>
      </c>
      <c r="M74" s="40">
        <f>((I74-H74)/H74)*100</f>
        <v>1.3206162876008776</v>
      </c>
      <c r="N74" s="86">
        <v>42640</v>
      </c>
      <c r="O74" s="87">
        <v>5811.09</v>
      </c>
      <c r="P74" s="65">
        <f>(R74)/J74</f>
        <v>0</v>
      </c>
      <c r="Q74" s="43">
        <f>J74/G74-1</f>
        <v>-9.3256814921089948E-3</v>
      </c>
    </row>
    <row r="75" spans="1:20" ht="13.2" x14ac:dyDescent="0.35">
      <c r="A75" s="29"/>
      <c r="B75" s="30" t="s">
        <v>83</v>
      </c>
      <c r="C75" s="34"/>
      <c r="D75" s="31"/>
      <c r="E75" s="31"/>
      <c r="F75" s="34"/>
      <c r="G75" s="34"/>
      <c r="H75" s="36"/>
      <c r="I75" s="36"/>
      <c r="J75" s="36"/>
      <c r="K75" s="36"/>
      <c r="L75" s="40"/>
      <c r="M75" s="70"/>
      <c r="N75" s="55"/>
      <c r="O75" s="56"/>
      <c r="P75" s="81"/>
      <c r="Q75" s="57"/>
    </row>
    <row r="76" spans="1:20" ht="12.6" x14ac:dyDescent="0.3">
      <c r="A76" s="121" t="s">
        <v>163</v>
      </c>
      <c r="B76" s="143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2"/>
    </row>
    <row r="77" spans="1:20" x14ac:dyDescent="0.25">
      <c r="A77" s="29" t="s">
        <v>164</v>
      </c>
      <c r="B77" s="30" t="s">
        <v>165</v>
      </c>
      <c r="C77" s="34">
        <v>31703227</v>
      </c>
      <c r="D77" s="32">
        <f>C77*J77</f>
        <v>106878.01975525064</v>
      </c>
      <c r="E77" s="33">
        <f>C77*K77</f>
        <v>90580.648571428566</v>
      </c>
      <c r="F77" s="34" t="s">
        <v>137</v>
      </c>
      <c r="G77" s="64">
        <v>0.105</v>
      </c>
      <c r="H77" s="36">
        <v>0.09</v>
      </c>
      <c r="I77" s="36">
        <v>0.09</v>
      </c>
      <c r="J77" s="38">
        <f>I77/$J$5</f>
        <v>3.3712031824158039E-3</v>
      </c>
      <c r="K77" s="39">
        <f>I77/$K$4</f>
        <v>2.8571428571428571E-3</v>
      </c>
      <c r="L77" s="40">
        <f>I77-H77</f>
        <v>0</v>
      </c>
      <c r="M77" s="89">
        <f>((I77-H77)/H77)*100</f>
        <v>0</v>
      </c>
      <c r="N77" s="31">
        <v>0</v>
      </c>
      <c r="O77" s="31">
        <v>0</v>
      </c>
      <c r="P77" s="34">
        <v>0</v>
      </c>
      <c r="Q77" s="43">
        <f>I77/G77-1</f>
        <v>-0.1428571428571429</v>
      </c>
    </row>
    <row r="78" spans="1:20" x14ac:dyDescent="0.25">
      <c r="A78" s="29" t="s">
        <v>166</v>
      </c>
      <c r="B78" s="30" t="s">
        <v>167</v>
      </c>
      <c r="C78" s="34">
        <v>136162052</v>
      </c>
      <c r="D78" s="32">
        <f>C78*J78</f>
        <v>459029.94302666618</v>
      </c>
      <c r="E78" s="33">
        <f>C78*K78</f>
        <v>389034.43428571429</v>
      </c>
      <c r="F78" s="34" t="s">
        <v>137</v>
      </c>
      <c r="G78" s="64">
        <v>4.2500000000000003E-2</v>
      </c>
      <c r="H78" s="36">
        <v>0.09</v>
      </c>
      <c r="I78" s="36">
        <v>0.09</v>
      </c>
      <c r="J78" s="38">
        <f>I78/$J$5</f>
        <v>3.3712031824158039E-3</v>
      </c>
      <c r="K78" s="39">
        <f>I78/$K$4</f>
        <v>2.8571428571428571E-3</v>
      </c>
      <c r="L78" s="40">
        <f>I78-H78</f>
        <v>0</v>
      </c>
      <c r="M78" s="89">
        <f>((I78-H78)/H78)*100</f>
        <v>0</v>
      </c>
      <c r="N78" s="31">
        <v>3000</v>
      </c>
      <c r="O78" s="31">
        <v>270</v>
      </c>
      <c r="P78" s="34">
        <v>0</v>
      </c>
      <c r="Q78" s="43">
        <f>I78/G78-1</f>
        <v>1.117647058823529</v>
      </c>
    </row>
    <row r="79" spans="1:20" x14ac:dyDescent="0.25">
      <c r="A79" s="29" t="s">
        <v>168</v>
      </c>
      <c r="B79" s="30" t="s">
        <v>169</v>
      </c>
      <c r="C79" s="34">
        <v>6677853</v>
      </c>
      <c r="D79" s="32">
        <f>C79*J79</f>
        <v>32517.910078773781</v>
      </c>
      <c r="E79" s="33">
        <f>C79*K79</f>
        <v>27559.393333333337</v>
      </c>
      <c r="F79" s="34" t="s">
        <v>137</v>
      </c>
      <c r="G79" s="64">
        <v>6.0499999999999998E-2</v>
      </c>
      <c r="H79" s="36">
        <v>0.13</v>
      </c>
      <c r="I79" s="36">
        <v>0.13</v>
      </c>
      <c r="J79" s="38">
        <f>I79/$J$5</f>
        <v>4.8695157079339394E-3</v>
      </c>
      <c r="K79" s="39">
        <f>I79/$K$4</f>
        <v>4.1269841269841274E-3</v>
      </c>
      <c r="L79" s="40">
        <f>I79-H79</f>
        <v>0</v>
      </c>
      <c r="M79" s="89">
        <f>((I79-H79)/H79)*100</f>
        <v>0</v>
      </c>
      <c r="N79" s="31">
        <v>0</v>
      </c>
      <c r="O79" s="31">
        <v>0</v>
      </c>
      <c r="P79" s="34">
        <v>0</v>
      </c>
      <c r="Q79" s="43">
        <f>I79/G79-1</f>
        <v>1.1487603305785123</v>
      </c>
    </row>
    <row r="80" spans="1:20" x14ac:dyDescent="0.25">
      <c r="A80" s="29" t="s">
        <v>170</v>
      </c>
      <c r="B80" s="30" t="s">
        <v>171</v>
      </c>
      <c r="C80" s="31">
        <v>494417400</v>
      </c>
      <c r="D80" s="32">
        <f>C80*J80</f>
        <v>28705681.601096768</v>
      </c>
      <c r="E80" s="33">
        <f>C80*K80</f>
        <v>24328475.238095239</v>
      </c>
      <c r="F80" s="34" t="s">
        <v>137</v>
      </c>
      <c r="G80" s="64">
        <v>1.85</v>
      </c>
      <c r="H80" s="36">
        <v>1.55</v>
      </c>
      <c r="I80" s="36">
        <v>1.55</v>
      </c>
      <c r="J80" s="38">
        <f>I80/$J$5</f>
        <v>5.8059610363827743E-2</v>
      </c>
      <c r="K80" s="39">
        <f>I80/$K$4</f>
        <v>4.9206349206349205E-2</v>
      </c>
      <c r="L80" s="40">
        <f>I80-H80</f>
        <v>0</v>
      </c>
      <c r="M80" s="89">
        <f>((I80-H80)/H80)*100</f>
        <v>0</v>
      </c>
      <c r="N80" s="31">
        <v>0</v>
      </c>
      <c r="O80" s="31">
        <v>0</v>
      </c>
      <c r="P80" s="34">
        <v>0</v>
      </c>
      <c r="Q80" s="43">
        <f>I80/G80-1</f>
        <v>-0.16216216216216217</v>
      </c>
    </row>
    <row r="81" spans="1:243" ht="13.8" thickBot="1" x14ac:dyDescent="0.4">
      <c r="A81" s="29"/>
      <c r="B81" s="30" t="s">
        <v>83</v>
      </c>
      <c r="C81" s="31"/>
      <c r="D81" s="31"/>
      <c r="E81" s="31"/>
      <c r="F81" s="34"/>
      <c r="G81" s="34"/>
      <c r="H81" s="36"/>
      <c r="I81" s="36"/>
      <c r="J81" s="36"/>
      <c r="K81" s="36"/>
      <c r="L81" s="40"/>
      <c r="M81" s="40"/>
      <c r="N81" s="55">
        <f>SUM(N77:N80)</f>
        <v>3000</v>
      </c>
      <c r="O81" s="56">
        <f>SUM(O77:O80)</f>
        <v>270</v>
      </c>
      <c r="P81" s="71"/>
      <c r="Q81" s="57"/>
      <c r="DU81" s="90"/>
      <c r="DV81" s="90"/>
      <c r="DW81" s="91"/>
      <c r="DX81" s="92"/>
      <c r="DY81" s="92"/>
      <c r="DZ81" s="93"/>
      <c r="EA81" s="93"/>
      <c r="EB81" s="94"/>
      <c r="EC81" s="94"/>
      <c r="ED81" s="95"/>
      <c r="EE81" s="95"/>
      <c r="EF81" s="93"/>
      <c r="EG81" s="96"/>
      <c r="EH81" s="97"/>
      <c r="EI81" s="91"/>
      <c r="EJ81" s="90"/>
      <c r="EK81" s="90"/>
      <c r="EL81" s="91"/>
      <c r="EM81" s="92"/>
      <c r="EN81" s="92"/>
      <c r="EO81" s="93"/>
      <c r="EP81" s="93"/>
      <c r="EQ81" s="94"/>
      <c r="ER81" s="94"/>
      <c r="ES81" s="95"/>
      <c r="ET81" s="95"/>
      <c r="EU81" s="93"/>
      <c r="EV81" s="96"/>
      <c r="EW81" s="97"/>
      <c r="EX81" s="91"/>
      <c r="EY81" s="90"/>
      <c r="EZ81" s="90"/>
      <c r="FA81" s="91"/>
      <c r="FB81" s="92"/>
      <c r="FC81" s="92"/>
      <c r="FD81" s="93"/>
      <c r="FE81" s="93"/>
      <c r="FF81" s="94"/>
      <c r="FG81" s="94"/>
      <c r="FH81" s="95"/>
      <c r="FI81" s="95"/>
      <c r="FJ81" s="93"/>
      <c r="FK81" s="96"/>
      <c r="FL81" s="97"/>
      <c r="FM81" s="91"/>
      <c r="FN81" s="90"/>
      <c r="FO81" s="90"/>
      <c r="FP81" s="91"/>
      <c r="FQ81" s="92"/>
      <c r="FR81" s="92"/>
      <c r="FS81" s="93"/>
      <c r="FT81" s="93"/>
      <c r="FU81" s="94"/>
      <c r="FV81" s="94"/>
      <c r="FW81" s="95"/>
      <c r="FX81" s="95"/>
      <c r="FY81" s="93"/>
      <c r="FZ81" s="96"/>
      <c r="GA81" s="97"/>
      <c r="GB81" s="91"/>
      <c r="GC81" s="90"/>
      <c r="GD81" s="90"/>
      <c r="GE81" s="91"/>
      <c r="GF81" s="92"/>
      <c r="GG81" s="92"/>
      <c r="GH81" s="93"/>
      <c r="GI81" s="93"/>
      <c r="GJ81" s="94"/>
      <c r="GK81" s="94"/>
      <c r="GL81" s="95"/>
      <c r="GM81" s="95"/>
      <c r="GN81" s="93"/>
      <c r="GO81" s="96"/>
      <c r="GP81" s="97"/>
      <c r="GQ81" s="91"/>
      <c r="GR81" s="90"/>
      <c r="GS81" s="90"/>
      <c r="GT81" s="91"/>
      <c r="GU81" s="92"/>
      <c r="GV81" s="92"/>
      <c r="GW81" s="93"/>
      <c r="GX81" s="93"/>
      <c r="GY81" s="94"/>
      <c r="GZ81" s="94"/>
      <c r="HA81" s="95"/>
      <c r="HB81" s="95"/>
      <c r="HC81" s="93"/>
      <c r="HD81" s="96"/>
      <c r="HE81" s="97"/>
      <c r="HF81" s="91"/>
      <c r="HG81" s="90"/>
      <c r="HH81" s="90"/>
      <c r="HI81" s="91"/>
      <c r="HJ81" s="92"/>
      <c r="HK81" s="92"/>
      <c r="HL81" s="93"/>
      <c r="HM81" s="93"/>
      <c r="HN81" s="94"/>
      <c r="HO81" s="94"/>
      <c r="HP81" s="95"/>
      <c r="HQ81" s="95"/>
      <c r="HR81" s="93"/>
      <c r="HS81" s="96"/>
      <c r="HT81" s="97"/>
      <c r="HU81" s="91"/>
      <c r="HV81" s="90"/>
      <c r="HW81" s="90"/>
      <c r="HX81" s="91"/>
      <c r="HY81" s="92"/>
      <c r="HZ81" s="92"/>
      <c r="IA81" s="93"/>
      <c r="IB81" s="93"/>
      <c r="IC81" s="94"/>
      <c r="ID81" s="94"/>
      <c r="IE81" s="95"/>
      <c r="IF81" s="95"/>
      <c r="IG81" s="93"/>
      <c r="IH81" s="96"/>
      <c r="II81" s="97"/>
    </row>
    <row r="82" spans="1:243" ht="13.2" thickTop="1" x14ac:dyDescent="0.3">
      <c r="A82" s="123" t="s">
        <v>172</v>
      </c>
      <c r="B82" s="124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6"/>
    </row>
    <row r="83" spans="1:243" x14ac:dyDescent="0.25">
      <c r="A83" s="29" t="s">
        <v>173</v>
      </c>
      <c r="B83" s="30" t="s">
        <v>174</v>
      </c>
      <c r="C83" s="34">
        <v>368326244</v>
      </c>
      <c r="D83" s="32">
        <f>C83*J83</f>
        <v>27351949.06973521</v>
      </c>
      <c r="E83" s="33">
        <f>C83*K83</f>
        <v>23181167.578730155</v>
      </c>
      <c r="F83" s="34" t="s">
        <v>175</v>
      </c>
      <c r="G83" s="34">
        <v>1.3</v>
      </c>
      <c r="H83" s="36">
        <v>1.9824999999999999</v>
      </c>
      <c r="I83" s="36">
        <v>1.9824999999999999</v>
      </c>
      <c r="J83" s="38">
        <f>I83/$J$5</f>
        <v>7.4260114545992573E-2</v>
      </c>
      <c r="K83" s="39">
        <f>I83/$K$4</f>
        <v>6.2936507936507929E-2</v>
      </c>
      <c r="L83" s="40">
        <f>I83-H83</f>
        <v>0</v>
      </c>
      <c r="M83" s="40">
        <f>((I83-H83)/H83*100)</f>
        <v>0</v>
      </c>
      <c r="N83" s="98">
        <v>900</v>
      </c>
      <c r="O83" s="99">
        <v>1784.25</v>
      </c>
      <c r="P83" s="45">
        <f>(R83)/J83</f>
        <v>0</v>
      </c>
      <c r="Q83" s="43">
        <f>I83/G83-1</f>
        <v>0.52499999999999991</v>
      </c>
      <c r="R83" s="46"/>
    </row>
    <row r="84" spans="1:243" s="100" customFormat="1" ht="12.6" thickBot="1" x14ac:dyDescent="0.3">
      <c r="A84" s="29" t="s">
        <v>176</v>
      </c>
      <c r="B84" s="30" t="s">
        <v>177</v>
      </c>
      <c r="C84" s="34">
        <v>1841105000</v>
      </c>
      <c r="D84" s="32">
        <f>C84*J84</f>
        <v>81936472.314743027</v>
      </c>
      <c r="E84" s="33">
        <f>C84*K84</f>
        <v>69442330.807777777</v>
      </c>
      <c r="F84" s="34" t="s">
        <v>175</v>
      </c>
      <c r="G84" s="34">
        <v>1.44347</v>
      </c>
      <c r="H84" s="36">
        <v>1.0508</v>
      </c>
      <c r="I84" s="36">
        <v>1.1881090000000001</v>
      </c>
      <c r="J84" s="38">
        <f>I84/$J$5</f>
        <v>4.4503964909520653E-2</v>
      </c>
      <c r="K84" s="39">
        <f>I84/$K$4</f>
        <v>3.7717746031746033E-2</v>
      </c>
      <c r="L84" s="40">
        <f>I84-H84</f>
        <v>0.13730900000000013</v>
      </c>
      <c r="M84" s="40">
        <f>((I84-H84)/H84*100)</f>
        <v>13.067091739626962</v>
      </c>
      <c r="N84" s="98">
        <v>983490</v>
      </c>
      <c r="O84" s="99">
        <v>1033465.7879999999</v>
      </c>
      <c r="P84" s="42">
        <f>(R84)/J84</f>
        <v>4.8894519947243899E-2</v>
      </c>
      <c r="Q84" s="43">
        <f>I84/G84-1</f>
        <v>-0.17690772929122178</v>
      </c>
      <c r="R84" s="46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2"/>
      <c r="B85" s="73"/>
      <c r="C85" s="74"/>
      <c r="D85" s="101"/>
      <c r="E85" s="75"/>
      <c r="F85" s="74"/>
      <c r="G85" s="74"/>
      <c r="H85" s="76"/>
      <c r="I85" s="76"/>
      <c r="J85" s="76"/>
      <c r="K85" s="76"/>
      <c r="L85" s="77"/>
      <c r="M85" s="77"/>
      <c r="N85" s="77"/>
      <c r="O85" s="77"/>
      <c r="P85" s="77"/>
      <c r="Q85" s="80"/>
    </row>
    <row r="86" spans="1:243" ht="12.6" thickBot="1" x14ac:dyDescent="0.3">
      <c r="A86" s="102"/>
      <c r="B86" s="145"/>
      <c r="C86" s="145"/>
      <c r="D86" s="145"/>
      <c r="E86" s="145"/>
      <c r="F86" s="103"/>
      <c r="G86" s="103"/>
      <c r="H86" s="53"/>
      <c r="I86" s="146"/>
      <c r="J86" s="146"/>
      <c r="K86" s="146"/>
      <c r="L86" s="146"/>
      <c r="M86" s="104"/>
      <c r="N86" s="104"/>
      <c r="O86" s="53"/>
      <c r="P86" s="53"/>
      <c r="Q86" s="105"/>
    </row>
    <row r="87" spans="1:243" ht="15" customHeight="1" thickBot="1" x14ac:dyDescent="0.3">
      <c r="A87" s="127" t="s">
        <v>178</v>
      </c>
      <c r="B87" s="128"/>
      <c r="C87" s="128"/>
      <c r="D87" s="129"/>
      <c r="E87" s="127" t="s">
        <v>179</v>
      </c>
      <c r="F87" s="128"/>
      <c r="G87" s="128"/>
      <c r="H87" s="129"/>
      <c r="I87" s="147"/>
      <c r="J87" s="130" t="s">
        <v>180</v>
      </c>
      <c r="K87" s="131"/>
      <c r="L87" s="132"/>
      <c r="M87" s="130" t="s">
        <v>181</v>
      </c>
      <c r="N87" s="131"/>
      <c r="O87" s="132"/>
      <c r="P87" s="146"/>
      <c r="Q87" s="15"/>
    </row>
    <row r="88" spans="1:243" x14ac:dyDescent="0.25">
      <c r="A88" s="29" t="s">
        <v>87</v>
      </c>
      <c r="B88" s="106">
        <v>1.4297569999999999</v>
      </c>
      <c r="C88" s="146"/>
      <c r="D88" s="106">
        <v>14.380559999999996</v>
      </c>
      <c r="E88" s="29" t="s">
        <v>73</v>
      </c>
      <c r="F88" s="107">
        <v>1.9</v>
      </c>
      <c r="G88" s="146"/>
      <c r="H88" s="108">
        <v>-4.1614123581336706</v>
      </c>
      <c r="I88" s="146"/>
      <c r="J88" s="29" t="s">
        <v>144</v>
      </c>
      <c r="K88" s="45">
        <v>0.27310000000000001</v>
      </c>
      <c r="L88" s="109">
        <v>9.2400000000000038</v>
      </c>
      <c r="M88" s="53" t="s">
        <v>131</v>
      </c>
      <c r="N88" s="107">
        <v>0.13</v>
      </c>
      <c r="O88" s="110">
        <v>-1.5151515151515165</v>
      </c>
      <c r="P88" s="146"/>
      <c r="Q88" s="15"/>
    </row>
    <row r="89" spans="1:243" x14ac:dyDescent="0.25">
      <c r="A89" s="29" t="s">
        <v>114</v>
      </c>
      <c r="B89" s="106">
        <v>1.05</v>
      </c>
      <c r="C89" s="146"/>
      <c r="D89" s="106">
        <v>14.130434782608695</v>
      </c>
      <c r="E89" s="29" t="s">
        <v>100</v>
      </c>
      <c r="F89" s="107">
        <v>0.29998799999999998</v>
      </c>
      <c r="G89" s="146"/>
      <c r="H89" s="108">
        <v>-2.2592059220257905</v>
      </c>
      <c r="I89" s="146"/>
      <c r="J89" s="29" t="s">
        <v>121</v>
      </c>
      <c r="K89" s="45">
        <v>51</v>
      </c>
      <c r="L89" s="109">
        <v>8.5106382978723403</v>
      </c>
      <c r="M89" s="53" t="s">
        <v>142</v>
      </c>
      <c r="N89" s="107">
        <v>0.6915</v>
      </c>
      <c r="O89" s="110">
        <v>-0.5751258087706691</v>
      </c>
      <c r="P89" s="146"/>
      <c r="Q89" s="15"/>
    </row>
    <row r="90" spans="1:243" x14ac:dyDescent="0.25">
      <c r="A90" s="29" t="s">
        <v>79</v>
      </c>
      <c r="B90" s="106">
        <v>0.9</v>
      </c>
      <c r="C90" s="106"/>
      <c r="D90" s="106">
        <v>7.0977231024068539</v>
      </c>
      <c r="E90" s="29" t="s">
        <v>58</v>
      </c>
      <c r="F90" s="107">
        <v>10.881578999999999</v>
      </c>
      <c r="G90" s="146"/>
      <c r="H90" s="108">
        <v>-1.0646193408968503</v>
      </c>
      <c r="I90" s="146"/>
      <c r="J90" s="29" t="s">
        <v>138</v>
      </c>
      <c r="K90" s="45">
        <v>1.2125999999999999</v>
      </c>
      <c r="L90" s="109">
        <v>6.7993658622511832</v>
      </c>
      <c r="M90" s="29" t="s">
        <v>119</v>
      </c>
      <c r="N90" s="107">
        <v>0.13009999999999999</v>
      </c>
      <c r="O90" s="110">
        <v>-0.45906656465188767</v>
      </c>
      <c r="P90" s="146"/>
      <c r="Q90" s="15"/>
    </row>
    <row r="91" spans="1:243" x14ac:dyDescent="0.25">
      <c r="A91" s="29" t="s">
        <v>94</v>
      </c>
      <c r="B91" s="106">
        <v>4.7428169999999996</v>
      </c>
      <c r="C91" s="106"/>
      <c r="D91" s="106">
        <v>4.6979470198675353</v>
      </c>
      <c r="E91" s="29" t="s">
        <v>77</v>
      </c>
      <c r="F91" s="107">
        <v>2.5998000000000001</v>
      </c>
      <c r="G91" s="146"/>
      <c r="H91" s="108">
        <v>-7.6923076923068445E-3</v>
      </c>
      <c r="I91" s="146"/>
      <c r="J91" s="29" t="s">
        <v>133</v>
      </c>
      <c r="K91" s="45">
        <v>2.1000000000000001E-2</v>
      </c>
      <c r="L91" s="109">
        <v>5.5276381909547752</v>
      </c>
      <c r="M91" s="29"/>
      <c r="N91" s="107"/>
      <c r="O91" s="110"/>
      <c r="P91" s="146"/>
      <c r="Q91" s="15"/>
    </row>
    <row r="92" spans="1:243" x14ac:dyDescent="0.25">
      <c r="A92" s="29" t="s">
        <v>45</v>
      </c>
      <c r="B92" s="106">
        <v>37.333332999999996</v>
      </c>
      <c r="C92" s="106"/>
      <c r="D92" s="106">
        <v>2.9352624504566576</v>
      </c>
      <c r="E92" s="29" t="s">
        <v>40</v>
      </c>
      <c r="F92" s="107">
        <v>189.899</v>
      </c>
      <c r="G92" s="107"/>
      <c r="H92" s="108">
        <v>-2.6329716508816412E-4</v>
      </c>
      <c r="I92" s="146"/>
      <c r="J92" s="29" t="s">
        <v>129</v>
      </c>
      <c r="K92" s="45">
        <v>1.4302999999999999</v>
      </c>
      <c r="L92" s="109">
        <v>4.4472031546662736</v>
      </c>
      <c r="M92" s="29"/>
      <c r="N92" s="107"/>
      <c r="O92" s="110"/>
      <c r="P92" s="146"/>
      <c r="Q92" s="15"/>
    </row>
    <row r="93" spans="1:243" ht="12.6" thickBot="1" x14ac:dyDescent="0.3">
      <c r="A93" s="111"/>
      <c r="B93" s="112"/>
      <c r="C93" s="112"/>
      <c r="D93" s="112"/>
      <c r="E93" s="111"/>
      <c r="F93" s="112"/>
      <c r="G93" s="112"/>
      <c r="H93" s="113"/>
      <c r="I93" s="146"/>
      <c r="J93" s="111"/>
      <c r="K93" s="112"/>
      <c r="L93" s="113"/>
      <c r="M93" s="112"/>
      <c r="N93" s="112"/>
      <c r="O93" s="113"/>
      <c r="P93" s="146"/>
      <c r="Q93" s="15"/>
    </row>
    <row r="94" spans="1:243" x14ac:dyDescent="0.25">
      <c r="A94" s="114"/>
      <c r="B94" s="148"/>
      <c r="C94" s="148"/>
      <c r="D94" s="148"/>
      <c r="E94" s="104"/>
      <c r="F94" s="104"/>
      <c r="G94" s="104"/>
      <c r="H94" s="104"/>
      <c r="I94" s="104"/>
      <c r="J94" s="104"/>
      <c r="K94" s="104"/>
      <c r="L94" s="104"/>
      <c r="M94" s="148"/>
      <c r="N94" s="146"/>
      <c r="O94" s="146"/>
      <c r="P94" s="146"/>
      <c r="Q94" s="15"/>
    </row>
    <row r="95" spans="1:243" x14ac:dyDescent="0.25">
      <c r="A95" s="12" t="s">
        <v>182</v>
      </c>
      <c r="B95" s="149"/>
      <c r="C95" s="149"/>
      <c r="D95" s="149"/>
      <c r="E95" s="149"/>
      <c r="F95" s="136"/>
      <c r="G95" s="136"/>
      <c r="H95" s="136"/>
      <c r="I95" s="136"/>
      <c r="J95" s="136"/>
      <c r="K95" s="136"/>
      <c r="L95" s="136"/>
      <c r="M95" s="136"/>
      <c r="N95" s="146"/>
      <c r="O95" s="146"/>
      <c r="P95" s="146"/>
      <c r="Q95" s="15"/>
    </row>
    <row r="96" spans="1:243" x14ac:dyDescent="0.25">
      <c r="A96" s="114"/>
      <c r="B96" s="148"/>
      <c r="C96" s="148"/>
      <c r="D96" s="148"/>
      <c r="E96" s="148"/>
      <c r="F96" s="104"/>
      <c r="G96" s="104"/>
      <c r="H96" s="148"/>
      <c r="I96" s="104"/>
      <c r="J96" s="104"/>
      <c r="K96" s="104"/>
      <c r="L96" s="104"/>
      <c r="M96" s="148"/>
      <c r="N96" s="146"/>
      <c r="O96" s="146"/>
      <c r="P96" s="146"/>
      <c r="Q96" s="15"/>
    </row>
    <row r="97" spans="1:17" ht="12.6" thickBot="1" x14ac:dyDescent="0.3">
      <c r="A97" s="115"/>
      <c r="B97" s="116"/>
      <c r="C97" s="116"/>
      <c r="D97" s="116"/>
      <c r="E97" s="116"/>
      <c r="F97" s="117"/>
      <c r="G97" s="117"/>
      <c r="H97" s="117"/>
      <c r="I97" s="118"/>
      <c r="J97" s="118"/>
      <c r="K97" s="118"/>
      <c r="L97" s="118"/>
      <c r="M97" s="118"/>
      <c r="N97" s="118"/>
      <c r="O97" s="118"/>
      <c r="P97" s="118"/>
      <c r="Q97" s="119"/>
    </row>
    <row r="98" spans="1:17" x14ac:dyDescent="0.25">
      <c r="I98" s="27"/>
      <c r="J98" s="27"/>
      <c r="K98" s="27"/>
      <c r="L98" s="27"/>
      <c r="M98" s="27"/>
      <c r="N98" s="27"/>
      <c r="O98" s="27"/>
      <c r="P98" s="27"/>
    </row>
    <row r="99" spans="1:17" x14ac:dyDescent="0.25">
      <c r="I99" s="27"/>
      <c r="J99" s="27"/>
      <c r="K99" s="27"/>
      <c r="O99" s="27"/>
      <c r="P99" s="27"/>
    </row>
    <row r="100" spans="1:17" x14ac:dyDescent="0.25">
      <c r="I100" s="27"/>
      <c r="J100" s="27"/>
      <c r="K100" s="27"/>
      <c r="O100" s="27"/>
      <c r="P100" s="27"/>
    </row>
    <row r="101" spans="1:17" x14ac:dyDescent="0.25">
      <c r="I101" s="120"/>
      <c r="J101" s="120"/>
      <c r="K101" s="120"/>
      <c r="O101" s="120"/>
      <c r="P101" s="120"/>
    </row>
    <row r="103" spans="1:17" x14ac:dyDescent="0.25">
      <c r="I103" s="27"/>
      <c r="J103" s="27"/>
      <c r="K103" s="27"/>
      <c r="O103" s="27"/>
      <c r="P103" s="27"/>
    </row>
    <row r="104" spans="1:17" x14ac:dyDescent="0.25">
      <c r="I104" s="120"/>
      <c r="J104" s="120"/>
      <c r="K104" s="120"/>
      <c r="O104" s="120"/>
      <c r="P104" s="120"/>
    </row>
    <row r="105" spans="1:17" x14ac:dyDescent="0.25">
      <c r="I105" s="27"/>
      <c r="J105" s="27"/>
      <c r="K105" s="27"/>
      <c r="O105" s="27"/>
      <c r="P105" s="27"/>
    </row>
    <row r="106" spans="1:17" x14ac:dyDescent="0.25">
      <c r="I106" s="120"/>
      <c r="J106" s="120"/>
      <c r="K106" s="120"/>
      <c r="O106" s="120"/>
      <c r="P106" s="120"/>
    </row>
  </sheetData>
  <sheetProtection algorithmName="SHA-512" hashValue="TlSdkajKWtbBwQFwdINIa7AgX66yBqd3N844+y5bBBhTCmZOxl/uZlJg+j9tpJB05o0Am5MVewmPocXdSupmAw==" saltValue="R5T1Tr1+ce/B7w4NLAnBcw==" spinCount="100000" sheet="1"/>
  <sortState xmlns:xlrd2="http://schemas.microsoft.com/office/spreadsheetml/2017/richdata2" ref="A9:II46">
    <sortCondition ref="A9:A46"/>
  </sortState>
  <mergeCells count="12">
    <mergeCell ref="A73:Q73"/>
    <mergeCell ref="J87:L87"/>
    <mergeCell ref="M87:O87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6 L50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6 Q50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2026-07-22T12:16:42Z</dcterms:created>
  <dcterms:modified xsi:type="dcterms:W3CDTF">2026-07-22T12:24:40Z</dcterms:modified>
</cp:coreProperties>
</file>