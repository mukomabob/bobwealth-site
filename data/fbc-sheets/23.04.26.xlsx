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April/23.04.26/"/>
    </mc:Choice>
  </mc:AlternateContent>
  <xr:revisionPtr revIDLastSave="0" documentId="8_{0E662512-C8A4-4A05-9F41-91178E58C4FA}" xr6:coauthVersionLast="47" xr6:coauthVersionMax="47" xr10:uidLastSave="{00000000-0000-0000-0000-000000000000}"/>
  <bookViews>
    <workbookView xWindow="-108" yWindow="-108" windowWidth="23256" windowHeight="12456" xr2:uid="{21E5EAC3-D4C2-4BA3-8F02-79F765F111CA}"/>
  </bookViews>
  <sheets>
    <sheet name="Price Sheet" sheetId="1" r:id="rId1"/>
  </sheets>
  <definedNames>
    <definedName name="_xlnm._FilterDatabase" localSheetId="0" hidden="1">'Price Sheet'!$10:$48</definedName>
    <definedName name="_xlnm.Print_Area" localSheetId="0">'Price Sheet'!$A$1:$Q$96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4" i="1" l="1"/>
  <c r="N84" i="1"/>
  <c r="Q83" i="1"/>
  <c r="M83" i="1"/>
  <c r="L83" i="1"/>
  <c r="K83" i="1"/>
  <c r="J83" i="1"/>
  <c r="P83" i="1" s="1"/>
  <c r="E83" i="1"/>
  <c r="D83" i="1"/>
  <c r="Q82" i="1"/>
  <c r="P82" i="1"/>
  <c r="M82" i="1"/>
  <c r="L82" i="1"/>
  <c r="K82" i="1"/>
  <c r="J82" i="1"/>
  <c r="D82" i="1" s="1"/>
  <c r="E82" i="1"/>
  <c r="O80" i="1"/>
  <c r="N80" i="1"/>
  <c r="Q79" i="1"/>
  <c r="M79" i="1"/>
  <c r="L79" i="1"/>
  <c r="K79" i="1"/>
  <c r="E79" i="1" s="1"/>
  <c r="J79" i="1"/>
  <c r="D79" i="1" s="1"/>
  <c r="Q78" i="1"/>
  <c r="M78" i="1"/>
  <c r="L78" i="1"/>
  <c r="K78" i="1"/>
  <c r="J78" i="1"/>
  <c r="E78" i="1"/>
  <c r="D78" i="1"/>
  <c r="Q77" i="1"/>
  <c r="M77" i="1"/>
  <c r="L77" i="1"/>
  <c r="K77" i="1"/>
  <c r="E77" i="1" s="1"/>
  <c r="J77" i="1"/>
  <c r="D77" i="1" s="1"/>
  <c r="Q76" i="1"/>
  <c r="M76" i="1"/>
  <c r="L76" i="1"/>
  <c r="K76" i="1"/>
  <c r="J76" i="1"/>
  <c r="E76" i="1"/>
  <c r="D76" i="1"/>
  <c r="O74" i="1"/>
  <c r="N74" i="1"/>
  <c r="M73" i="1"/>
  <c r="L73" i="1"/>
  <c r="J73" i="1"/>
  <c r="Q73" i="1" s="1"/>
  <c r="D73" i="1"/>
  <c r="M72" i="1"/>
  <c r="L72" i="1"/>
  <c r="J72" i="1"/>
  <c r="K72" i="1" s="1"/>
  <c r="E72" i="1" s="1"/>
  <c r="M69" i="1"/>
  <c r="L69" i="1"/>
  <c r="D69" i="1"/>
  <c r="O67" i="1"/>
  <c r="N67" i="1"/>
  <c r="M66" i="1"/>
  <c r="L66" i="1"/>
  <c r="J66" i="1"/>
  <c r="D66" i="1" s="1"/>
  <c r="M65" i="1"/>
  <c r="L65" i="1"/>
  <c r="J65" i="1"/>
  <c r="Q65" i="1" s="1"/>
  <c r="D65" i="1"/>
  <c r="M64" i="1"/>
  <c r="L64" i="1"/>
  <c r="J64" i="1"/>
  <c r="D64" i="1" s="1"/>
  <c r="M63" i="1"/>
  <c r="L63" i="1"/>
  <c r="J63" i="1"/>
  <c r="Q63" i="1" s="1"/>
  <c r="D63" i="1"/>
  <c r="M62" i="1"/>
  <c r="L62" i="1"/>
  <c r="J62" i="1"/>
  <c r="D62" i="1" s="1"/>
  <c r="M61" i="1"/>
  <c r="L61" i="1"/>
  <c r="J61" i="1"/>
  <c r="Q61" i="1" s="1"/>
  <c r="D61" i="1"/>
  <c r="M60" i="1"/>
  <c r="L60" i="1"/>
  <c r="J60" i="1"/>
  <c r="D60" i="1" s="1"/>
  <c r="M59" i="1"/>
  <c r="L59" i="1"/>
  <c r="J59" i="1"/>
  <c r="Q59" i="1" s="1"/>
  <c r="D59" i="1"/>
  <c r="M58" i="1"/>
  <c r="L58" i="1"/>
  <c r="J58" i="1"/>
  <c r="D58" i="1" s="1"/>
  <c r="M57" i="1"/>
  <c r="L57" i="1"/>
  <c r="J57" i="1"/>
  <c r="Q57" i="1" s="1"/>
  <c r="D57" i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D53" i="1"/>
  <c r="M52" i="1"/>
  <c r="L52" i="1"/>
  <c r="J52" i="1"/>
  <c r="D52" i="1" s="1"/>
  <c r="E52" i="1"/>
  <c r="O49" i="1"/>
  <c r="N49" i="1"/>
  <c r="Q48" i="1"/>
  <c r="M48" i="1"/>
  <c r="L48" i="1"/>
  <c r="K48" i="1"/>
  <c r="J48" i="1"/>
  <c r="E48" i="1"/>
  <c r="D48" i="1"/>
  <c r="Q47" i="1"/>
  <c r="P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D46" i="1" s="1"/>
  <c r="Q45" i="1"/>
  <c r="M45" i="1"/>
  <c r="L45" i="1"/>
  <c r="K45" i="1"/>
  <c r="J45" i="1"/>
  <c r="P45" i="1" s="1"/>
  <c r="E45" i="1"/>
  <c r="D45" i="1"/>
  <c r="Q44" i="1"/>
  <c r="P44" i="1"/>
  <c r="M44" i="1"/>
  <c r="L44" i="1"/>
  <c r="K44" i="1"/>
  <c r="E44" i="1" s="1"/>
  <c r="J44" i="1"/>
  <c r="D44" i="1"/>
  <c r="Q43" i="1"/>
  <c r="M43" i="1"/>
  <c r="L43" i="1"/>
  <c r="K43" i="1"/>
  <c r="J43" i="1"/>
  <c r="D43" i="1" s="1"/>
  <c r="E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E41" i="1" s="1"/>
  <c r="J41" i="1"/>
  <c r="D41" i="1"/>
  <c r="Q40" i="1"/>
  <c r="M40" i="1"/>
  <c r="L40" i="1"/>
  <c r="K40" i="1"/>
  <c r="J40" i="1"/>
  <c r="D40" i="1" s="1"/>
  <c r="E40" i="1"/>
  <c r="Q39" i="1"/>
  <c r="M39" i="1"/>
  <c r="L39" i="1"/>
  <c r="K39" i="1"/>
  <c r="J39" i="1"/>
  <c r="E39" i="1"/>
  <c r="D39" i="1"/>
  <c r="Q38" i="1"/>
  <c r="P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K32" i="1"/>
  <c r="J32" i="1"/>
  <c r="E32" i="1"/>
  <c r="D32" i="1"/>
  <c r="Q30" i="1"/>
  <c r="M30" i="1"/>
  <c r="L30" i="1"/>
  <c r="K30" i="1"/>
  <c r="J30" i="1"/>
  <c r="P30" i="1" s="1"/>
  <c r="E30" i="1"/>
  <c r="D30" i="1"/>
  <c r="Q29" i="1"/>
  <c r="P29" i="1"/>
  <c r="M29" i="1"/>
  <c r="L29" i="1"/>
  <c r="K29" i="1"/>
  <c r="E29" i="1" s="1"/>
  <c r="J29" i="1"/>
  <c r="D29" i="1" s="1"/>
  <c r="Q28" i="1"/>
  <c r="M28" i="1"/>
  <c r="L28" i="1"/>
  <c r="K28" i="1"/>
  <c r="J28" i="1"/>
  <c r="P28" i="1" s="1"/>
  <c r="E28" i="1"/>
  <c r="D28" i="1"/>
  <c r="Q27" i="1"/>
  <c r="M27" i="1"/>
  <c r="L27" i="1"/>
  <c r="K27" i="1"/>
  <c r="J27" i="1"/>
  <c r="P27" i="1" s="1"/>
  <c r="E27" i="1"/>
  <c r="D27" i="1"/>
  <c r="Q26" i="1"/>
  <c r="P26" i="1"/>
  <c r="M26" i="1"/>
  <c r="L26" i="1"/>
  <c r="K26" i="1"/>
  <c r="E26" i="1" s="1"/>
  <c r="J26" i="1"/>
  <c r="D26" i="1" s="1"/>
  <c r="Q25" i="1"/>
  <c r="M25" i="1"/>
  <c r="L25" i="1"/>
  <c r="K25" i="1"/>
  <c r="J25" i="1"/>
  <c r="P25" i="1" s="1"/>
  <c r="E25" i="1"/>
  <c r="D25" i="1"/>
  <c r="Q24" i="1"/>
  <c r="M24" i="1"/>
  <c r="L24" i="1"/>
  <c r="K24" i="1"/>
  <c r="J24" i="1"/>
  <c r="P24" i="1" s="1"/>
  <c r="E24" i="1"/>
  <c r="D24" i="1"/>
  <c r="Q23" i="1"/>
  <c r="P23" i="1"/>
  <c r="M23" i="1"/>
  <c r="L23" i="1"/>
  <c r="K23" i="1"/>
  <c r="E23" i="1" s="1"/>
  <c r="J23" i="1"/>
  <c r="D23" i="1" s="1"/>
  <c r="Q22" i="1"/>
  <c r="M22" i="1"/>
  <c r="L22" i="1"/>
  <c r="K22" i="1"/>
  <c r="J22" i="1"/>
  <c r="P22" i="1" s="1"/>
  <c r="E22" i="1"/>
  <c r="D22" i="1"/>
  <c r="Q21" i="1"/>
  <c r="M21" i="1"/>
  <c r="L21" i="1"/>
  <c r="K21" i="1"/>
  <c r="J21" i="1"/>
  <c r="P21" i="1" s="1"/>
  <c r="E21" i="1"/>
  <c r="D21" i="1"/>
  <c r="Q20" i="1"/>
  <c r="P20" i="1"/>
  <c r="M20" i="1"/>
  <c r="L20" i="1"/>
  <c r="K20" i="1"/>
  <c r="J20" i="1"/>
  <c r="D20" i="1" s="1"/>
  <c r="E20" i="1"/>
  <c r="E19" i="1"/>
  <c r="D19" i="1"/>
  <c r="Q18" i="1"/>
  <c r="M18" i="1"/>
  <c r="L18" i="1"/>
  <c r="K18" i="1"/>
  <c r="E18" i="1" s="1"/>
  <c r="J18" i="1"/>
  <c r="D18" i="1" s="1"/>
  <c r="Q17" i="1"/>
  <c r="M17" i="1"/>
  <c r="L17" i="1"/>
  <c r="K17" i="1"/>
  <c r="J17" i="1"/>
  <c r="P17" i="1" s="1"/>
  <c r="E17" i="1"/>
  <c r="D17" i="1"/>
  <c r="Q16" i="1"/>
  <c r="P16" i="1"/>
  <c r="M16" i="1"/>
  <c r="L16" i="1"/>
  <c r="K16" i="1"/>
  <c r="J16" i="1"/>
  <c r="E16" i="1"/>
  <c r="D16" i="1"/>
  <c r="Q15" i="1"/>
  <c r="M15" i="1"/>
  <c r="L15" i="1"/>
  <c r="K15" i="1"/>
  <c r="E15" i="1" s="1"/>
  <c r="J15" i="1"/>
  <c r="D15" i="1" s="1"/>
  <c r="Q14" i="1"/>
  <c r="M14" i="1"/>
  <c r="L14" i="1"/>
  <c r="K14" i="1"/>
  <c r="J14" i="1"/>
  <c r="P14" i="1" s="1"/>
  <c r="E14" i="1"/>
  <c r="D14" i="1"/>
  <c r="Q13" i="1"/>
  <c r="P13" i="1"/>
  <c r="M13" i="1"/>
  <c r="L13" i="1"/>
  <c r="K13" i="1"/>
  <c r="J13" i="1"/>
  <c r="E13" i="1"/>
  <c r="D13" i="1"/>
  <c r="Q12" i="1"/>
  <c r="M12" i="1"/>
  <c r="L12" i="1"/>
  <c r="K12" i="1"/>
  <c r="E12" i="1" s="1"/>
  <c r="J12" i="1"/>
  <c r="D12" i="1" s="1"/>
  <c r="Q11" i="1"/>
  <c r="M11" i="1"/>
  <c r="L11" i="1"/>
  <c r="K11" i="1"/>
  <c r="J11" i="1"/>
  <c r="P11" i="1" s="1"/>
  <c r="E11" i="1"/>
  <c r="D11" i="1"/>
  <c r="Q10" i="1"/>
  <c r="P10" i="1"/>
  <c r="M10" i="1"/>
  <c r="L10" i="1"/>
  <c r="K10" i="1"/>
  <c r="J10" i="1"/>
  <c r="E10" i="1"/>
  <c r="D10" i="1"/>
  <c r="P43" i="1" l="1"/>
  <c r="K73" i="1"/>
  <c r="E73" i="1" s="1"/>
  <c r="P60" i="1"/>
  <c r="Q56" i="1"/>
  <c r="Q62" i="1"/>
  <c r="P40" i="1"/>
  <c r="P46" i="1"/>
  <c r="Q54" i="1"/>
  <c r="P57" i="1"/>
  <c r="P59" i="1"/>
  <c r="P61" i="1"/>
  <c r="P63" i="1"/>
  <c r="P65" i="1"/>
  <c r="P58" i="1"/>
  <c r="P64" i="1"/>
  <c r="P15" i="1"/>
  <c r="Q58" i="1"/>
  <c r="Q66" i="1"/>
  <c r="Q52" i="1"/>
  <c r="P56" i="1"/>
  <c r="P62" i="1"/>
  <c r="P66" i="1"/>
  <c r="P12" i="1"/>
  <c r="P18" i="1"/>
  <c r="P54" i="1"/>
  <c r="Q60" i="1"/>
  <c r="Q64" i="1"/>
  <c r="Q72" i="1"/>
  <c r="P53" i="1"/>
  <c r="D72" i="1"/>
</calcChain>
</file>

<file path=xl/sharedStrings.xml><?xml version="1.0" encoding="utf-8"?>
<sst xmlns="http://schemas.openxmlformats.org/spreadsheetml/2006/main" count="263" uniqueCount="181">
  <si>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</si>
  <si>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</si>
  <si>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</si>
  <si>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</si>
  <si>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</si>
  <si>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</si>
  <si>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</si>
  <si>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</si>
  <si>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</si>
  <si>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</si>
  <si>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</si>
  <si>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</si>
  <si>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</si>
  <si>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</si>
  <si>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</si>
  <si>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</si>
  <si>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</si>
  <si>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</si>
  <si>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</si>
  <si>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</si>
  <si>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</si>
  <si>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</si>
  <si>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</si>
  <si>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</si>
  <si>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</si>
  <si>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</si>
  <si>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</si>
  <si>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</si>
  <si>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</si>
  <si>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</si>
  <si>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</si>
  <si>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</si>
  <si>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</si>
  <si>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</si>
  <si>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</si>
  <si>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</si>
  <si>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</si>
  <si>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</si>
  <si>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</si>
  <si>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</si>
  <si>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</si>
  <si>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</si>
  <si>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</si>
  <si>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</si>
  <si>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</si>
  <si>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</si>
  <si>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</si>
  <si>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</si>
  <si>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</si>
  <si>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</si>
  <si>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</si>
  <si>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</si>
  <si>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</si>
  <si>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</si>
  <si>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</si>
  <si>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</si>
  <si>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</si>
  <si>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</si>
  <si>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</si>
  <si>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</si>
  <si>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</si>
  <si>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</si>
  <si>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</si>
  <si>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</si>
  <si>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</si>
  <si>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</si>
  <si>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</si>
  <si>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</si>
  <si>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</si>
  <si>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</si>
  <si>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</si>
  <si>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</si>
  <si>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</si>
  <si>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</si>
  <si>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</si>
  <si>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</si>
  <si>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</si>
  <si>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</si>
  <si>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</si>
  <si>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</si>
  <si>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</si>
  <si>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</si>
  <si>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</si>
  <si>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</si>
  <si>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</si>
  <si>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</si>
  <si>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</si>
  <si>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</si>
  <si>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</si>
  <si>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</si>
  <si>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</si>
  <si>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</si>
  <si>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</si>
  <si>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</si>
  <si>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</si>
  <si>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</si>
  <si>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</si>
  <si>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</si>
  <si>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</si>
  <si>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</si>
  <si>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</si>
  <si>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</si>
  <si>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</si>
  <si>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</si>
  <si>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</si>
  <si>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</si>
  <si>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</si>
  <si>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</si>
  <si>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</si>
  <si>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</si>
  <si>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</si>
  <si>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</si>
  <si>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</si>
  <si>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</si>
  <si>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</si>
  <si>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</si>
  <si>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</si>
  <si>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</si>
  <si>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</si>
  <si>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</si>
  <si>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>African Sun</t>
  </si>
  <si>
    <t>ZWVX09010070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</si>
  <si>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</si>
  <si>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</si>
  <si>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</si>
  <si>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</si>
  <si>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</si>
  <si>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</si>
  <si>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</si>
  <si>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</si>
  <si>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</si>
  <si>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</si>
  <si>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</si>
  <si>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</si>
  <si>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</si>
  <si>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</si>
  <si>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</si>
  <si>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</si>
  <si>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</si>
  <si>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</si>
  <si>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</si>
  <si>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</si>
  <si>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</si>
  <si>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</si>
  <si>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</si>
  <si>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</si>
  <si>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</si>
  <si>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</si>
  <si>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</si>
  <si>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</si>
  <si>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</si>
  <si>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</si>
  <si>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</si>
  <si>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</si>
  <si>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</si>
  <si>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</si>
  <si>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</si>
  <si>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</si>
  <si>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</si>
  <si>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</si>
  <si>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</si>
  <si>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</si>
  <si>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</si>
  <si>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</si>
  <si>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</si>
  <si>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</si>
  <si>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</si>
  <si>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</si>
  <si>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</si>
  <si>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</si>
  <si>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</si>
  <si>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</si>
  <si>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</si>
  <si>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</si>
  <si>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</si>
  <si>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</si>
  <si>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>ZSE Top Gainers</t>
  </si>
  <si>
    <t>ZSE Top Losers</t>
  </si>
  <si>
    <t>VFEX Top Gainers</t>
  </si>
  <si>
    <t>VFEX Top Losers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</si>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</sst>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rgb="FFFF0000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Alignment="1"/>
    <xf numFmtId="166" fontId="15" fillId="5" borderId="0" xfId="4" applyNumberFormat="1" applyFont="1" applyFill="1" applyAlignment="1"/>
    <xf numFmtId="164" fontId="15" fillId="6" borderId="0" xfId="4" applyFont="1" applyFill="1" applyAlignment="1"/>
    <xf numFmtId="164" fontId="15" fillId="7" borderId="0" xfId="4" applyFont="1" applyFill="1" applyAlignment="1"/>
    <xf numFmtId="164" fontId="15" fillId="5" borderId="0" xfId="4" applyFont="1" applyFill="1" applyAlignment="1"/>
    <xf numFmtId="167" fontId="15" fillId="5" borderId="0" xfId="4" applyNumberFormat="1" applyFont="1" applyFill="1" applyAlignment="1"/>
    <xf numFmtId="168" fontId="15" fillId="5" borderId="0" xfId="3" applyNumberFormat="1" applyFont="1" applyFill="1"/>
    <xf numFmtId="168" fontId="15" fillId="6" borderId="0" xfId="3" applyNumberFormat="1" applyFont="1" applyFill="1"/>
    <xf numFmtId="168" fontId="15" fillId="7" borderId="0" xfId="3" applyNumberFormat="1" applyFont="1" applyFill="1"/>
    <xf numFmtId="167" fontId="15" fillId="5" borderId="0" xfId="3" applyNumberFormat="1" applyFont="1" applyFill="1"/>
    <xf numFmtId="166" fontId="15" fillId="5" borderId="0" xfId="5" applyNumberFormat="1" applyFont="1" applyFill="1"/>
    <xf numFmtId="164" fontId="15" fillId="5" borderId="0" xfId="5" applyFont="1" applyFill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6" borderId="0" xfId="5" applyFont="1" applyFill="1"/>
    <xf numFmtId="164" fontId="15" fillId="7" borderId="0" xfId="5" applyFont="1" applyFill="1"/>
    <xf numFmtId="166" fontId="15" fillId="5" borderId="0" xfId="5" applyNumberFormat="1" applyFont="1" applyFill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/>
    <xf numFmtId="164" fontId="15" fillId="5" borderId="0" xfId="3" applyFont="1" applyFill="1"/>
    <xf numFmtId="164" fontId="17" fillId="5" borderId="0" xfId="3" applyFont="1" applyFill="1"/>
    <xf numFmtId="166" fontId="18" fillId="5" borderId="0" xfId="3" applyNumberFormat="1" applyFont="1" applyFill="1"/>
    <xf numFmtId="164" fontId="18" fillId="5" borderId="0" xfId="3" applyFont="1" applyFill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Alignment="1"/>
    <xf numFmtId="164" fontId="4" fillId="3" borderId="0" xfId="2" applyNumberFormat="1" applyFont="1" applyFill="1" applyAlignment="1"/>
    <xf numFmtId="164" fontId="15" fillId="5" borderId="0" xfId="4" applyFont="1" applyFill="1" applyAlignment="1">
      <alignment horizontal="right"/>
    </xf>
    <xf numFmtId="9" fontId="15" fillId="5" borderId="0" xfId="1" applyFont="1" applyFill="1" applyAlignment="1">
      <alignment horizontal="right"/>
    </xf>
    <xf numFmtId="167" fontId="15" fillId="8" borderId="0" xfId="3" applyNumberFormat="1" applyFont="1" applyFill="1"/>
    <xf numFmtId="166" fontId="17" fillId="5" borderId="0" xfId="4" applyNumberFormat="1" applyFont="1" applyFill="1" applyAlignment="1"/>
    <xf numFmtId="167" fontId="15" fillId="5" borderId="0" xfId="3" applyNumberFormat="1" applyFont="1" applyFill="1" applyAlignment="1">
      <alignment horizontal="center"/>
    </xf>
    <xf numFmtId="164" fontId="19" fillId="5" borderId="0" xfId="3" applyFont="1" applyFill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/>
    <xf numFmtId="164" fontId="15" fillId="5" borderId="0" xfId="3" applyFont="1" applyFill="1" applyAlignment="1">
      <alignment horizontal="left"/>
    </xf>
    <xf numFmtId="49" fontId="6" fillId="5" borderId="0" xfId="4" applyNumberFormat="1" applyFont="1" applyFill="1" applyAlignment="1"/>
    <xf numFmtId="164" fontId="6" fillId="5" borderId="0" xfId="4" applyFont="1" applyFill="1" applyAlignment="1"/>
    <xf numFmtId="168" fontId="6" fillId="5" borderId="0" xfId="3" applyNumberFormat="1" applyFont="1" applyFill="1"/>
    <xf numFmtId="168" fontId="6" fillId="6" borderId="0" xfId="3" applyNumberFormat="1" applyFont="1" applyFill="1"/>
    <xf numFmtId="164" fontId="6" fillId="5" borderId="0" xfId="5" applyFont="1" applyFill="1"/>
    <xf numFmtId="166" fontId="6" fillId="5" borderId="0" xfId="3" applyNumberFormat="1" applyFont="1" applyFill="1"/>
    <xf numFmtId="166" fontId="20" fillId="5" borderId="0" xfId="3" applyNumberFormat="1" applyFont="1" applyFill="1"/>
    <xf numFmtId="10" fontId="15" fillId="5" borderId="0" xfId="6" applyNumberFormat="1" applyFont="1" applyFill="1" applyAlignment="1"/>
    <xf numFmtId="171" fontId="15" fillId="5" borderId="0" xfId="3" applyNumberFormat="1" applyFont="1" applyFill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9" fontId="15" fillId="5" borderId="0" xfId="1" applyFont="1" applyFill="1"/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Alignment="1">
      <alignment horizontal="right"/>
    </xf>
    <xf numFmtId="164" fontId="15" fillId="5" borderId="6" xfId="3" applyFont="1" applyFill="1" applyBorder="1"/>
    <xf numFmtId="164" fontId="25" fillId="5" borderId="0" xfId="3" applyFont="1" applyFill="1" applyAlignment="1">
      <alignment horizontal="left"/>
    </xf>
    <xf numFmtId="164" fontId="20" fillId="5" borderId="0" xfId="3" applyFont="1" applyFill="1" applyAlignment="1">
      <alignment horizontal="left"/>
    </xf>
    <xf numFmtId="171" fontId="20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0" fillId="5" borderId="6" xfId="3" applyFont="1" applyFill="1" applyBorder="1" applyAlignment="1">
      <alignment horizontal="left"/>
    </xf>
    <xf numFmtId="0" fontId="26" fillId="2" borderId="9" xfId="7" applyFont="1" applyFill="1" applyBorder="1" applyAlignment="1">
      <alignment horizontal="center"/>
    </xf>
    <xf numFmtId="0" fontId="26" fillId="2" borderId="8" xfId="7" applyFont="1" applyFill="1" applyBorder="1" applyAlignment="1">
      <alignment horizontal="center"/>
    </xf>
    <xf numFmtId="0" fontId="26" fillId="2" borderId="10" xfId="7" applyFont="1" applyFill="1" applyBorder="1" applyAlignment="1">
      <alignment horizontal="center"/>
    </xf>
    <xf numFmtId="0" fontId="27" fillId="3" borderId="5" xfId="2" applyFont="1" applyFill="1" applyBorder="1" applyAlignment="1"/>
    <xf numFmtId="0" fontId="27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29" fillId="3" borderId="0" xfId="8" applyFont="1" applyFill="1" applyAlignment="1" applyProtection="1"/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</cellXfs>
  <cellStyles count="9">
    <cellStyle name="Comma 2 2 2 2 2 2 2 2 2 2" xfId="3" xr:uid="{D4860EF5-247E-4D09-AFE1-2B25F53041CE}"/>
    <cellStyle name="Comma 5 2 2 2 2 2 2 2 2" xfId="4" xr:uid="{0393DC37-D836-4B7D-B33E-EB0FE332CA04}"/>
    <cellStyle name="Comma 6 2 2 2" xfId="5" xr:uid="{BBA5968A-D6EF-4C1D-95AC-124CC834337D}"/>
    <cellStyle name="Hyperlink 2" xfId="8" xr:uid="{86EAB2FC-252B-44A8-9EDC-86FAE2A2FB94}"/>
    <cellStyle name="Normal" xfId="0" builtinId="0"/>
    <cellStyle name="Normal 2" xfId="2" xr:uid="{F74FD953-1913-4670-93BB-BD813BD9BE61}"/>
    <cellStyle name="Normal 20" xfId="7" xr:uid="{DD881310-C037-4959-A79C-4F42897E8C78}"/>
    <cellStyle name="Percent" xfId="1" builtinId="5"/>
    <cellStyle name="Percent 3" xfId="6" xr:uid="{FB93EA00-AF5F-4B4F-962B-99EE7AC3BE68}"/>
  </cellStyles>
  <dxfs count="3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D4879BF1-4553-4433-ABC9-0CCCA0DFF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0116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1171190</xdr:colOff>
      <xdr:row>4</xdr:row>
      <xdr:rowOff>159895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869E2D42-D341-42D5-9E44-BAAFAE6C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543291" cy="61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29A6A-D8AA-4157-9A8F-3476977524D8}">
  <dimension ref="A1:II105"/>
  <sheetViews>
    <sheetView tabSelected="1" zoomScale="70" zoomScaleNormal="70" workbookViewId="0">
      <selection activeCell="T56" sqref="T56"/>
    </sheetView>
  </sheetViews>
  <sheetFormatPr defaultRowHeight="12" x14ac:dyDescent="0.25"/>
  <cols>
    <col min="1" max="1" width="19.44140625" style="5" customWidth="1"/>
    <col min="2" max="2" width="15.33203125" style="5" bestFit="1" customWidth="1"/>
    <col min="3" max="3" width="0" style="5" hidden="1" customWidth="1"/>
    <col min="4" max="4" width="23" style="5" bestFit="1" customWidth="1"/>
    <col min="5" max="5" width="20.6640625" style="5" customWidth="1"/>
    <col min="6" max="6" width="17.33203125" style="5" customWidth="1"/>
    <col min="7" max="7" width="0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0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25.260999999999999</v>
      </c>
      <c r="K5" s="22"/>
      <c r="L5" s="137" t="s">
        <v>12</v>
      </c>
      <c r="M5" s="138"/>
      <c r="N5" s="23" t="s">
        <v>13</v>
      </c>
      <c r="O5" s="24"/>
      <c r="P5" s="24"/>
      <c r="Q5" s="25"/>
    </row>
    <row r="6" spans="1:18" ht="12.6" x14ac:dyDescent="0.3">
      <c r="A6" s="127"/>
      <c r="B6" s="129"/>
      <c r="C6" s="129"/>
      <c r="D6" s="129"/>
      <c r="E6" s="129"/>
      <c r="F6" s="129"/>
      <c r="G6" s="129"/>
      <c r="H6" s="129"/>
      <c r="I6" s="129"/>
      <c r="J6" s="129"/>
      <c r="K6" s="129"/>
      <c r="L6" s="129"/>
      <c r="M6" s="129"/>
      <c r="N6" s="129"/>
      <c r="O6" s="129"/>
      <c r="P6" s="129"/>
      <c r="Q6" s="130"/>
    </row>
    <row r="7" spans="1:18" s="32" customFormat="1" ht="34.799999999999997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s="32" customFormat="1" hidden="1" x14ac:dyDescent="0.25">
      <c r="A9" s="33"/>
      <c r="B9" s="27"/>
      <c r="C9" s="27"/>
      <c r="D9" s="27"/>
      <c r="E9" s="27"/>
      <c r="F9" s="34"/>
      <c r="G9" s="29"/>
      <c r="H9" s="29"/>
      <c r="I9" s="29"/>
      <c r="J9" s="29"/>
      <c r="K9" s="29"/>
      <c r="L9" s="30"/>
      <c r="M9" s="30"/>
      <c r="N9" s="29"/>
      <c r="O9" s="29"/>
      <c r="P9" s="30"/>
      <c r="Q9" s="31"/>
      <c r="R9" s="30"/>
    </row>
    <row r="10" spans="1:18" x14ac:dyDescent="0.25">
      <c r="A10" s="35" t="s">
        <v>32</v>
      </c>
      <c r="B10" s="36" t="s">
        <v>33</v>
      </c>
      <c r="C10" s="37">
        <v>124748059</v>
      </c>
      <c r="D10" s="38">
        <f t="shared" ref="D10:D30" si="0">C10*J10</f>
        <v>68149448.327461302</v>
      </c>
      <c r="E10" s="39">
        <f t="shared" ref="E10:E30" si="1">C10*K10</f>
        <v>57384107.140000001</v>
      </c>
      <c r="F10" s="40" t="s">
        <v>34</v>
      </c>
      <c r="G10" s="41">
        <v>8.9894999999999996</v>
      </c>
      <c r="H10" s="42">
        <v>13.8</v>
      </c>
      <c r="I10" s="42">
        <v>13.8</v>
      </c>
      <c r="J10" s="43">
        <f>(I10/$J$5)</f>
        <v>0.54629666283995093</v>
      </c>
      <c r="K10" s="44">
        <f t="shared" ref="K10:K18" si="2">I10/$K$4</f>
        <v>0.46</v>
      </c>
      <c r="L10" s="45">
        <f t="shared" ref="L10:L18" si="3">I10-H10</f>
        <v>0</v>
      </c>
      <c r="M10" s="45">
        <f t="shared" ref="M10:M18" si="4">((I10-H10)/H10)*100</f>
        <v>0</v>
      </c>
      <c r="N10" s="46">
        <v>400</v>
      </c>
      <c r="O10" s="37">
        <v>5520</v>
      </c>
      <c r="P10" s="47">
        <f t="shared" ref="P10:P18" si="5">(R10)/J10</f>
        <v>0</v>
      </c>
      <c r="Q10" s="48">
        <f t="shared" ref="Q10:Q18" si="6">I10/G10-1</f>
        <v>0.53512431169697994</v>
      </c>
      <c r="R10" s="49"/>
    </row>
    <row r="11" spans="1:18" x14ac:dyDescent="0.25">
      <c r="A11" s="35" t="s">
        <v>35</v>
      </c>
      <c r="B11" s="36" t="s">
        <v>36</v>
      </c>
      <c r="C11" s="37">
        <v>1627395595</v>
      </c>
      <c r="D11" s="38">
        <f t="shared" si="0"/>
        <v>2182723.9679424809</v>
      </c>
      <c r="E11" s="39">
        <f t="shared" si="1"/>
        <v>1837926.3384731666</v>
      </c>
      <c r="F11" s="40" t="s">
        <v>34</v>
      </c>
      <c r="G11" s="41">
        <v>3.1600000000000003E-2</v>
      </c>
      <c r="H11" s="42">
        <v>3.0240999999999997E-2</v>
      </c>
      <c r="I11" s="42">
        <v>3.3881000000000001E-2</v>
      </c>
      <c r="J11" s="43">
        <f t="shared" ref="J11:J18" si="7">I11/$J$5</f>
        <v>1.3412374807014768E-3</v>
      </c>
      <c r="K11" s="44">
        <f t="shared" si="2"/>
        <v>1.1293666666666667E-3</v>
      </c>
      <c r="L11" s="45">
        <f t="shared" si="3"/>
        <v>3.6400000000000043E-3</v>
      </c>
      <c r="M11" s="45">
        <f t="shared" si="4"/>
        <v>12.036639000033084</v>
      </c>
      <c r="N11" s="46">
        <v>224200</v>
      </c>
      <c r="O11" s="37">
        <v>7596.1</v>
      </c>
      <c r="P11" s="47">
        <f t="shared" si="5"/>
        <v>0</v>
      </c>
      <c r="Q11" s="48">
        <f t="shared" si="6"/>
        <v>7.2183544303797476E-2</v>
      </c>
      <c r="R11" s="49"/>
    </row>
    <row r="12" spans="1:18" x14ac:dyDescent="0.25">
      <c r="A12" s="35" t="s">
        <v>37</v>
      </c>
      <c r="B12" s="36" t="s">
        <v>38</v>
      </c>
      <c r="C12" s="37">
        <v>436977359</v>
      </c>
      <c r="D12" s="38">
        <f t="shared" si="0"/>
        <v>4272729.0159930326</v>
      </c>
      <c r="E12" s="39">
        <f t="shared" si="1"/>
        <v>3597780.255766667</v>
      </c>
      <c r="F12" s="40" t="s">
        <v>39</v>
      </c>
      <c r="G12" s="41">
        <v>7.8E-2</v>
      </c>
      <c r="H12" s="42">
        <v>0.247</v>
      </c>
      <c r="I12" s="42">
        <v>0.247</v>
      </c>
      <c r="J12" s="43">
        <f t="shared" si="7"/>
        <v>9.777918530541151E-3</v>
      </c>
      <c r="K12" s="44">
        <f t="shared" si="2"/>
        <v>8.2333333333333338E-3</v>
      </c>
      <c r="L12" s="45">
        <f t="shared" si="3"/>
        <v>0</v>
      </c>
      <c r="M12" s="45">
        <f t="shared" si="4"/>
        <v>0</v>
      </c>
      <c r="N12" s="46">
        <v>0</v>
      </c>
      <c r="O12" s="37">
        <v>0</v>
      </c>
      <c r="P12" s="47">
        <f t="shared" si="5"/>
        <v>0</v>
      </c>
      <c r="Q12" s="48">
        <f t="shared" si="6"/>
        <v>2.1666666666666665</v>
      </c>
      <c r="R12" s="49"/>
    </row>
    <row r="13" spans="1:18" x14ac:dyDescent="0.25">
      <c r="A13" s="35" t="s">
        <v>40</v>
      </c>
      <c r="B13" s="36" t="s">
        <v>41</v>
      </c>
      <c r="C13" s="37">
        <v>20633517</v>
      </c>
      <c r="D13" s="38">
        <f t="shared" si="0"/>
        <v>156583080.99045959</v>
      </c>
      <c r="E13" s="39">
        <f t="shared" si="1"/>
        <v>131848173.63</v>
      </c>
      <c r="F13" s="40" t="s">
        <v>34</v>
      </c>
      <c r="G13" s="41">
        <v>97.381</v>
      </c>
      <c r="H13" s="42">
        <v>191.7</v>
      </c>
      <c r="I13" s="42">
        <v>191.7</v>
      </c>
      <c r="J13" s="43">
        <f t="shared" si="7"/>
        <v>7.5887732077114922</v>
      </c>
      <c r="K13" s="44">
        <f t="shared" si="2"/>
        <v>6.39</v>
      </c>
      <c r="L13" s="45">
        <f t="shared" si="3"/>
        <v>0</v>
      </c>
      <c r="M13" s="45">
        <f t="shared" si="4"/>
        <v>0</v>
      </c>
      <c r="N13" s="46">
        <v>200</v>
      </c>
      <c r="O13" s="37">
        <v>38340</v>
      </c>
      <c r="P13" s="47">
        <f t="shared" si="5"/>
        <v>0</v>
      </c>
      <c r="Q13" s="48">
        <f t="shared" si="6"/>
        <v>0.9685564945934011</v>
      </c>
      <c r="R13" s="49"/>
    </row>
    <row r="14" spans="1:18" x14ac:dyDescent="0.25">
      <c r="A14" s="35" t="s">
        <v>42</v>
      </c>
      <c r="B14" s="36" t="s">
        <v>43</v>
      </c>
      <c r="C14" s="37">
        <v>8735108</v>
      </c>
      <c r="D14" s="38">
        <f t="shared" si="0"/>
        <v>4495497.864455088</v>
      </c>
      <c r="E14" s="39">
        <f t="shared" si="1"/>
        <v>3785359.0517999995</v>
      </c>
      <c r="F14" s="40" t="s">
        <v>44</v>
      </c>
      <c r="G14" s="41">
        <v>13.6</v>
      </c>
      <c r="H14" s="42">
        <v>13.000499999999999</v>
      </c>
      <c r="I14" s="42">
        <v>13.000499999999999</v>
      </c>
      <c r="J14" s="43">
        <f t="shared" si="7"/>
        <v>0.51464708443846241</v>
      </c>
      <c r="K14" s="44">
        <f t="shared" si="2"/>
        <v>0.43334999999999996</v>
      </c>
      <c r="L14" s="45">
        <f t="shared" si="3"/>
        <v>0</v>
      </c>
      <c r="M14" s="45">
        <f t="shared" si="4"/>
        <v>0</v>
      </c>
      <c r="N14" s="46">
        <v>0</v>
      </c>
      <c r="O14" s="37">
        <v>0</v>
      </c>
      <c r="P14" s="47">
        <f t="shared" si="5"/>
        <v>0</v>
      </c>
      <c r="Q14" s="48">
        <f t="shared" si="6"/>
        <v>-4.4080882352941275E-2</v>
      </c>
      <c r="R14" s="49"/>
    </row>
    <row r="15" spans="1:18" x14ac:dyDescent="0.25">
      <c r="A15" s="35" t="s">
        <v>45</v>
      </c>
      <c r="B15" s="36" t="s">
        <v>46</v>
      </c>
      <c r="C15" s="37">
        <v>522661465</v>
      </c>
      <c r="D15" s="38">
        <f t="shared" si="0"/>
        <v>328467105.62980479</v>
      </c>
      <c r="E15" s="39">
        <f t="shared" si="1"/>
        <v>276580251.84381664</v>
      </c>
      <c r="F15" s="40" t="s">
        <v>47</v>
      </c>
      <c r="G15" s="41">
        <v>11.5</v>
      </c>
      <c r="H15" s="42">
        <v>15.495899999999999</v>
      </c>
      <c r="I15" s="42">
        <v>15.875299999999999</v>
      </c>
      <c r="J15" s="43">
        <f t="shared" si="7"/>
        <v>0.6284509718538458</v>
      </c>
      <c r="K15" s="44">
        <f t="shared" si="2"/>
        <v>0.52917666666666663</v>
      </c>
      <c r="L15" s="45">
        <f t="shared" si="3"/>
        <v>0.3794000000000004</v>
      </c>
      <c r="M15" s="45">
        <f t="shared" si="4"/>
        <v>2.4483895740163555</v>
      </c>
      <c r="N15" s="46">
        <v>1600</v>
      </c>
      <c r="O15" s="37">
        <v>25400.5</v>
      </c>
      <c r="P15" s="47">
        <f t="shared" si="5"/>
        <v>0</v>
      </c>
      <c r="Q15" s="48">
        <f t="shared" si="6"/>
        <v>0.38046086956521741</v>
      </c>
      <c r="R15" s="49"/>
    </row>
    <row r="16" spans="1:18" x14ac:dyDescent="0.25">
      <c r="A16" s="35" t="s">
        <v>48</v>
      </c>
      <c r="B16" s="36" t="s">
        <v>49</v>
      </c>
      <c r="C16" s="37">
        <v>106040875</v>
      </c>
      <c r="D16" s="38">
        <f t="shared" si="0"/>
        <v>25984443.064407587</v>
      </c>
      <c r="E16" s="39">
        <f t="shared" si="1"/>
        <v>21879767.208333336</v>
      </c>
      <c r="F16" s="40" t="s">
        <v>34</v>
      </c>
      <c r="G16" s="41">
        <v>5.39</v>
      </c>
      <c r="H16" s="42">
        <v>6.19</v>
      </c>
      <c r="I16" s="42">
        <v>6.19</v>
      </c>
      <c r="J16" s="43">
        <f t="shared" si="7"/>
        <v>0.24504176398400698</v>
      </c>
      <c r="K16" s="44">
        <f t="shared" si="2"/>
        <v>0.20633333333333334</v>
      </c>
      <c r="L16" s="45">
        <f t="shared" si="3"/>
        <v>0</v>
      </c>
      <c r="M16" s="45">
        <f t="shared" si="4"/>
        <v>0</v>
      </c>
      <c r="N16" s="46">
        <v>0</v>
      </c>
      <c r="O16" s="37">
        <v>0</v>
      </c>
      <c r="P16" s="47">
        <f t="shared" si="5"/>
        <v>0</v>
      </c>
      <c r="Q16" s="48">
        <f t="shared" si="6"/>
        <v>0.14842300556586285</v>
      </c>
      <c r="R16" s="49"/>
    </row>
    <row r="17" spans="1:19" x14ac:dyDescent="0.25">
      <c r="A17" s="35" t="s">
        <v>50</v>
      </c>
      <c r="B17" s="36" t="s">
        <v>51</v>
      </c>
      <c r="C17" s="37">
        <v>358000858</v>
      </c>
      <c r="D17" s="38">
        <f t="shared" si="0"/>
        <v>36745901.930050433</v>
      </c>
      <c r="E17" s="39">
        <f t="shared" si="1"/>
        <v>30941274.288500134</v>
      </c>
      <c r="F17" s="40" t="s">
        <v>34</v>
      </c>
      <c r="G17" s="41">
        <v>1.9</v>
      </c>
      <c r="H17" s="42">
        <v>2.589995</v>
      </c>
      <c r="I17" s="42">
        <v>2.592838</v>
      </c>
      <c r="J17" s="43">
        <f t="shared" si="7"/>
        <v>0.10264193816555164</v>
      </c>
      <c r="K17" s="44">
        <f t="shared" si="2"/>
        <v>8.6427933333333332E-2</v>
      </c>
      <c r="L17" s="45">
        <f t="shared" si="3"/>
        <v>2.8429999999999289E-3</v>
      </c>
      <c r="M17" s="45">
        <f t="shared" si="4"/>
        <v>0.10976855167673795</v>
      </c>
      <c r="N17" s="46">
        <v>14800</v>
      </c>
      <c r="O17" s="37">
        <v>38374</v>
      </c>
      <c r="P17" s="47">
        <f t="shared" si="5"/>
        <v>0</v>
      </c>
      <c r="Q17" s="48">
        <f t="shared" si="6"/>
        <v>0.36465157894736855</v>
      </c>
      <c r="R17" s="49"/>
    </row>
    <row r="18" spans="1:19" x14ac:dyDescent="0.25">
      <c r="A18" s="35" t="s">
        <v>52</v>
      </c>
      <c r="B18" s="36" t="s">
        <v>53</v>
      </c>
      <c r="C18" s="37">
        <v>1341613815</v>
      </c>
      <c r="D18" s="38">
        <f t="shared" si="0"/>
        <v>1425835785.1447687</v>
      </c>
      <c r="E18" s="39">
        <f t="shared" si="1"/>
        <v>1200601258.9514</v>
      </c>
      <c r="F18" s="40" t="s">
        <v>34</v>
      </c>
      <c r="G18" s="41">
        <v>20.701700000000002</v>
      </c>
      <c r="H18" s="42">
        <v>26.992199999999997</v>
      </c>
      <c r="I18" s="42">
        <v>26.846799999999998</v>
      </c>
      <c r="J18" s="43">
        <f t="shared" si="7"/>
        <v>1.0627766121689561</v>
      </c>
      <c r="K18" s="44">
        <f t="shared" si="2"/>
        <v>0.89489333333333332</v>
      </c>
      <c r="L18" s="45">
        <f t="shared" si="3"/>
        <v>-0.14539999999999864</v>
      </c>
      <c r="M18" s="45">
        <f t="shared" si="4"/>
        <v>-0.53867413549098875</v>
      </c>
      <c r="N18" s="46">
        <v>453400</v>
      </c>
      <c r="O18" s="37">
        <v>12172344.199999999</v>
      </c>
      <c r="P18" s="47">
        <f t="shared" si="5"/>
        <v>0</v>
      </c>
      <c r="Q18" s="48">
        <f t="shared" si="6"/>
        <v>0.29684035610602</v>
      </c>
      <c r="R18" s="49"/>
    </row>
    <row r="19" spans="1:19" hidden="1" x14ac:dyDescent="0.25">
      <c r="A19" s="35" t="s">
        <v>54</v>
      </c>
      <c r="B19" s="36" t="s">
        <v>55</v>
      </c>
      <c r="C19" s="37">
        <v>2992163203</v>
      </c>
      <c r="D19" s="38">
        <f t="shared" si="0"/>
        <v>0</v>
      </c>
      <c r="E19" s="39">
        <f t="shared" si="1"/>
        <v>0</v>
      </c>
      <c r="F19" s="40" t="s">
        <v>56</v>
      </c>
      <c r="G19" s="41">
        <v>6.1399460000000001</v>
      </c>
      <c r="H19" s="42"/>
      <c r="I19" s="42"/>
      <c r="J19" s="43"/>
      <c r="K19" s="44"/>
      <c r="L19" s="45"/>
      <c r="M19" s="45"/>
      <c r="N19" s="46" t="s">
        <v>57</v>
      </c>
      <c r="O19" s="37" t="s">
        <v>57</v>
      </c>
      <c r="P19" s="47"/>
      <c r="Q19" s="48"/>
      <c r="R19" s="49"/>
    </row>
    <row r="20" spans="1:19" x14ac:dyDescent="0.25">
      <c r="A20" s="35" t="s">
        <v>58</v>
      </c>
      <c r="B20" s="36" t="s">
        <v>59</v>
      </c>
      <c r="C20" s="37">
        <v>671949927</v>
      </c>
      <c r="D20" s="38">
        <f t="shared" si="0"/>
        <v>263342871.51340011</v>
      </c>
      <c r="E20" s="39">
        <f t="shared" si="1"/>
        <v>221743475.91</v>
      </c>
      <c r="F20" s="40" t="s">
        <v>47</v>
      </c>
      <c r="G20" s="41">
        <v>12.45</v>
      </c>
      <c r="H20" s="42">
        <v>9.9</v>
      </c>
      <c r="I20" s="42">
        <v>9.9</v>
      </c>
      <c r="J20" s="43">
        <f t="shared" ref="J20:J30" si="8">I20/$J$5</f>
        <v>0.39190847551561697</v>
      </c>
      <c r="K20" s="44">
        <f t="shared" ref="K20:K30" si="9">I20/$K$4</f>
        <v>0.33</v>
      </c>
      <c r="L20" s="45">
        <f t="shared" ref="L20:L30" si="10">I20-H20</f>
        <v>0</v>
      </c>
      <c r="M20" s="45">
        <f t="shared" ref="M20:M30" si="11">((I20-H20)/H20)*100</f>
        <v>0</v>
      </c>
      <c r="N20" s="46">
        <v>0</v>
      </c>
      <c r="O20" s="37">
        <v>0</v>
      </c>
      <c r="P20" s="47">
        <f t="shared" ref="P20:P30" si="12">(R20)/J20</f>
        <v>0</v>
      </c>
      <c r="Q20" s="48">
        <f t="shared" ref="Q20:Q30" si="13">I20/G20-1</f>
        <v>-0.20481927710843362</v>
      </c>
      <c r="R20" s="49"/>
    </row>
    <row r="21" spans="1:19" x14ac:dyDescent="0.25">
      <c r="A21" s="35" t="s">
        <v>60</v>
      </c>
      <c r="B21" s="36" t="s">
        <v>61</v>
      </c>
      <c r="C21" s="37">
        <v>108923291</v>
      </c>
      <c r="D21" s="38">
        <f t="shared" si="0"/>
        <v>2494442.9691421562</v>
      </c>
      <c r="E21" s="39">
        <f t="shared" si="1"/>
        <v>2100404.1281166668</v>
      </c>
      <c r="F21" s="40" t="s">
        <v>47</v>
      </c>
      <c r="G21" s="41">
        <v>0.35</v>
      </c>
      <c r="H21" s="42">
        <v>0.57850000000000001</v>
      </c>
      <c r="I21" s="42">
        <v>0.57850000000000001</v>
      </c>
      <c r="J21" s="43">
        <f t="shared" si="8"/>
        <v>2.2900914453109537E-2</v>
      </c>
      <c r="K21" s="44">
        <f t="shared" si="9"/>
        <v>1.9283333333333333E-2</v>
      </c>
      <c r="L21" s="45">
        <f t="shared" si="10"/>
        <v>0</v>
      </c>
      <c r="M21" s="45">
        <f t="shared" si="11"/>
        <v>0</v>
      </c>
      <c r="N21" s="46">
        <v>0</v>
      </c>
      <c r="O21" s="37">
        <v>0</v>
      </c>
      <c r="P21" s="47">
        <f t="shared" si="12"/>
        <v>0</v>
      </c>
      <c r="Q21" s="48">
        <f t="shared" si="13"/>
        <v>0.65285714285714302</v>
      </c>
      <c r="R21" s="49"/>
    </row>
    <row r="22" spans="1:19" x14ac:dyDescent="0.25">
      <c r="A22" s="35" t="s">
        <v>62</v>
      </c>
      <c r="B22" s="36" t="s">
        <v>63</v>
      </c>
      <c r="C22" s="37">
        <v>690143060</v>
      </c>
      <c r="D22" s="38">
        <f t="shared" si="0"/>
        <v>78956234.646292716</v>
      </c>
      <c r="E22" s="39">
        <f t="shared" si="1"/>
        <v>66483781.446666673</v>
      </c>
      <c r="F22" s="40" t="s">
        <v>47</v>
      </c>
      <c r="G22" s="41">
        <v>2.85</v>
      </c>
      <c r="H22" s="42">
        <v>2.89</v>
      </c>
      <c r="I22" s="42">
        <v>2.89</v>
      </c>
      <c r="J22" s="43">
        <f t="shared" si="8"/>
        <v>0.11440560547880133</v>
      </c>
      <c r="K22" s="44">
        <f t="shared" si="9"/>
        <v>9.633333333333334E-2</v>
      </c>
      <c r="L22" s="45">
        <f t="shared" si="10"/>
        <v>0</v>
      </c>
      <c r="M22" s="45">
        <f t="shared" si="11"/>
        <v>0</v>
      </c>
      <c r="N22" s="46">
        <v>0</v>
      </c>
      <c r="O22" s="37">
        <v>0</v>
      </c>
      <c r="P22" s="47">
        <f t="shared" si="12"/>
        <v>0</v>
      </c>
      <c r="Q22" s="48">
        <f t="shared" si="13"/>
        <v>1.4035087719298289E-2</v>
      </c>
      <c r="R22" s="49"/>
    </row>
    <row r="23" spans="1:19" x14ac:dyDescent="0.25">
      <c r="A23" s="35" t="s">
        <v>64</v>
      </c>
      <c r="B23" s="36" t="s">
        <v>65</v>
      </c>
      <c r="C23" s="37">
        <v>1236075493</v>
      </c>
      <c r="D23" s="38">
        <f t="shared" si="0"/>
        <v>47953524.529511899</v>
      </c>
      <c r="E23" s="39">
        <f t="shared" si="1"/>
        <v>40378466.104666665</v>
      </c>
      <c r="F23" s="40" t="s">
        <v>66</v>
      </c>
      <c r="G23" s="41">
        <v>0.88420599999999994</v>
      </c>
      <c r="H23" s="42">
        <v>0.98</v>
      </c>
      <c r="I23" s="42">
        <v>0.98</v>
      </c>
      <c r="J23" s="43">
        <f t="shared" si="8"/>
        <v>3.8794980404576226E-2</v>
      </c>
      <c r="K23" s="44">
        <f t="shared" si="9"/>
        <v>3.2666666666666663E-2</v>
      </c>
      <c r="L23" s="45">
        <f t="shared" si="10"/>
        <v>0</v>
      </c>
      <c r="M23" s="45">
        <f t="shared" si="11"/>
        <v>0</v>
      </c>
      <c r="N23" s="46">
        <v>0</v>
      </c>
      <c r="O23" s="37">
        <v>0</v>
      </c>
      <c r="P23" s="47">
        <f t="shared" si="12"/>
        <v>0</v>
      </c>
      <c r="Q23" s="48">
        <f t="shared" si="13"/>
        <v>0.10833900697348819</v>
      </c>
      <c r="R23" s="49"/>
    </row>
    <row r="24" spans="1:19" x14ac:dyDescent="0.25">
      <c r="A24" s="35" t="s">
        <v>67</v>
      </c>
      <c r="B24" s="36" t="s">
        <v>68</v>
      </c>
      <c r="C24" s="37">
        <v>536588623</v>
      </c>
      <c r="D24" s="38">
        <f t="shared" si="0"/>
        <v>2124178.0729187289</v>
      </c>
      <c r="E24" s="39">
        <f t="shared" si="1"/>
        <v>1788628.7433333334</v>
      </c>
      <c r="F24" s="40" t="s">
        <v>44</v>
      </c>
      <c r="G24" s="41">
        <v>0.1</v>
      </c>
      <c r="H24" s="42">
        <v>0.10050000000000001</v>
      </c>
      <c r="I24" s="42">
        <v>0.1</v>
      </c>
      <c r="J24" s="43">
        <f t="shared" si="8"/>
        <v>3.9586714698547172E-3</v>
      </c>
      <c r="K24" s="44">
        <f t="shared" si="9"/>
        <v>3.3333333333333335E-3</v>
      </c>
      <c r="L24" s="45">
        <f t="shared" si="10"/>
        <v>-5.0000000000000044E-4</v>
      </c>
      <c r="M24" s="45">
        <f t="shared" si="11"/>
        <v>-0.49751243781094567</v>
      </c>
      <c r="N24" s="46">
        <v>3400</v>
      </c>
      <c r="O24" s="37">
        <v>340</v>
      </c>
      <c r="P24" s="47">
        <f t="shared" si="12"/>
        <v>0</v>
      </c>
      <c r="Q24" s="48">
        <f t="shared" si="13"/>
        <v>0</v>
      </c>
      <c r="R24" s="49"/>
    </row>
    <row r="25" spans="1:19" x14ac:dyDescent="0.25">
      <c r="A25" s="35" t="s">
        <v>69</v>
      </c>
      <c r="B25" s="36" t="s">
        <v>70</v>
      </c>
      <c r="C25" s="37">
        <v>193020564</v>
      </c>
      <c r="D25" s="38">
        <f t="shared" si="0"/>
        <v>72589974.981196314</v>
      </c>
      <c r="E25" s="39">
        <f t="shared" si="1"/>
        <v>61123178.599999994</v>
      </c>
      <c r="F25" s="40" t="s">
        <v>34</v>
      </c>
      <c r="G25" s="41">
        <v>8.1687659999999997</v>
      </c>
      <c r="H25" s="42">
        <v>9.5</v>
      </c>
      <c r="I25" s="42">
        <v>9.5</v>
      </c>
      <c r="J25" s="43">
        <f t="shared" si="8"/>
        <v>0.37607378963619809</v>
      </c>
      <c r="K25" s="44">
        <f t="shared" si="9"/>
        <v>0.31666666666666665</v>
      </c>
      <c r="L25" s="45">
        <f t="shared" si="10"/>
        <v>0</v>
      </c>
      <c r="M25" s="45">
        <f t="shared" si="11"/>
        <v>0</v>
      </c>
      <c r="N25" s="46">
        <v>100</v>
      </c>
      <c r="O25" s="37">
        <v>950</v>
      </c>
      <c r="P25" s="47">
        <f t="shared" si="12"/>
        <v>0</v>
      </c>
      <c r="Q25" s="48">
        <f t="shared" si="13"/>
        <v>0.16296635256781755</v>
      </c>
      <c r="R25" s="49"/>
      <c r="S25" s="5" t="s">
        <v>71</v>
      </c>
    </row>
    <row r="26" spans="1:19" x14ac:dyDescent="0.25">
      <c r="A26" s="35" t="s">
        <v>72</v>
      </c>
      <c r="B26" s="36" t="s">
        <v>73</v>
      </c>
      <c r="C26" s="37">
        <v>1687584009</v>
      </c>
      <c r="D26" s="38">
        <f t="shared" si="0"/>
        <v>80133685.079589099</v>
      </c>
      <c r="E26" s="39">
        <f t="shared" si="1"/>
        <v>67475233.959849998</v>
      </c>
      <c r="F26" s="40" t="s">
        <v>66</v>
      </c>
      <c r="G26" s="41">
        <v>1.6675</v>
      </c>
      <c r="H26" s="42">
        <v>1.1995</v>
      </c>
      <c r="I26" s="42">
        <v>1.1995</v>
      </c>
      <c r="J26" s="43">
        <f t="shared" si="8"/>
        <v>4.748426428090733E-2</v>
      </c>
      <c r="K26" s="44">
        <f t="shared" si="9"/>
        <v>3.9983333333333336E-2</v>
      </c>
      <c r="L26" s="45">
        <f t="shared" si="10"/>
        <v>0</v>
      </c>
      <c r="M26" s="45">
        <f t="shared" si="11"/>
        <v>0</v>
      </c>
      <c r="N26" s="46">
        <v>0</v>
      </c>
      <c r="O26" s="37">
        <v>0</v>
      </c>
      <c r="P26" s="47">
        <f t="shared" si="12"/>
        <v>0</v>
      </c>
      <c r="Q26" s="48">
        <f t="shared" si="13"/>
        <v>-0.28065967016491755</v>
      </c>
      <c r="R26" s="49"/>
    </row>
    <row r="27" spans="1:19" x14ac:dyDescent="0.25">
      <c r="A27" s="35" t="s">
        <v>74</v>
      </c>
      <c r="B27" s="36" t="s">
        <v>75</v>
      </c>
      <c r="C27" s="37">
        <v>239388107</v>
      </c>
      <c r="D27" s="38">
        <f t="shared" si="0"/>
        <v>24088502.895010967</v>
      </c>
      <c r="E27" s="39">
        <f t="shared" si="1"/>
        <v>20283322.387695733</v>
      </c>
      <c r="F27" s="40" t="s">
        <v>44</v>
      </c>
      <c r="G27" s="41">
        <v>1.7994999999999999</v>
      </c>
      <c r="H27" s="42">
        <v>2.2999999999999998</v>
      </c>
      <c r="I27" s="42">
        <v>2.5418959999999999</v>
      </c>
      <c r="J27" s="43">
        <f t="shared" si="8"/>
        <v>0.10062531174537825</v>
      </c>
      <c r="K27" s="44">
        <f t="shared" si="9"/>
        <v>8.4729866666666667E-2</v>
      </c>
      <c r="L27" s="45">
        <f t="shared" si="10"/>
        <v>0.24189600000000011</v>
      </c>
      <c r="M27" s="45">
        <f t="shared" si="11"/>
        <v>10.517217391304353</v>
      </c>
      <c r="N27" s="46">
        <v>123400</v>
      </c>
      <c r="O27" s="37">
        <v>313670</v>
      </c>
      <c r="P27" s="47">
        <f t="shared" si="12"/>
        <v>0</v>
      </c>
      <c r="Q27" s="48">
        <f t="shared" si="13"/>
        <v>0.41255682133926097</v>
      </c>
      <c r="R27" s="49"/>
    </row>
    <row r="28" spans="1:19" x14ac:dyDescent="0.25">
      <c r="A28" s="35" t="s">
        <v>76</v>
      </c>
      <c r="B28" s="36" t="s">
        <v>77</v>
      </c>
      <c r="C28" s="37">
        <v>256150741</v>
      </c>
      <c r="D28" s="38">
        <f t="shared" si="0"/>
        <v>31789066.456556156</v>
      </c>
      <c r="E28" s="39">
        <f t="shared" si="1"/>
        <v>26767453.591968838</v>
      </c>
      <c r="F28" s="40" t="s">
        <v>34</v>
      </c>
      <c r="G28" s="41">
        <v>3.1361369999999997</v>
      </c>
      <c r="H28" s="42">
        <v>3.1349650000000002</v>
      </c>
      <c r="I28" s="42">
        <v>3.1349650000000002</v>
      </c>
      <c r="J28" s="43">
        <f t="shared" si="8"/>
        <v>0.12410296504493093</v>
      </c>
      <c r="K28" s="44">
        <f t="shared" si="9"/>
        <v>0.10449883333333335</v>
      </c>
      <c r="L28" s="45">
        <f t="shared" si="10"/>
        <v>0</v>
      </c>
      <c r="M28" s="45">
        <f t="shared" si="11"/>
        <v>0</v>
      </c>
      <c r="N28" s="46">
        <v>0</v>
      </c>
      <c r="O28" s="37">
        <v>0</v>
      </c>
      <c r="P28" s="47">
        <f t="shared" si="12"/>
        <v>0</v>
      </c>
      <c r="Q28" s="48">
        <f t="shared" si="13"/>
        <v>-3.7370816389703521E-4</v>
      </c>
      <c r="R28" s="49"/>
    </row>
    <row r="29" spans="1:19" x14ac:dyDescent="0.25">
      <c r="A29" s="35" t="s">
        <v>78</v>
      </c>
      <c r="B29" s="36" t="s">
        <v>79</v>
      </c>
      <c r="C29" s="37">
        <v>755648101</v>
      </c>
      <c r="D29" s="38">
        <f t="shared" si="0"/>
        <v>25426581.918768059</v>
      </c>
      <c r="E29" s="39">
        <f t="shared" si="1"/>
        <v>21410029.528333332</v>
      </c>
      <c r="F29" s="40" t="s">
        <v>44</v>
      </c>
      <c r="G29" s="41">
        <v>0.8</v>
      </c>
      <c r="H29" s="42">
        <v>0.81196799999999991</v>
      </c>
      <c r="I29" s="42">
        <v>0.85</v>
      </c>
      <c r="J29" s="43">
        <f t="shared" si="8"/>
        <v>3.3648707493765091E-2</v>
      </c>
      <c r="K29" s="44">
        <f t="shared" si="9"/>
        <v>2.8333333333333332E-2</v>
      </c>
      <c r="L29" s="45">
        <f t="shared" si="10"/>
        <v>3.8032000000000066E-2</v>
      </c>
      <c r="M29" s="45">
        <f t="shared" si="11"/>
        <v>4.6839284306770796</v>
      </c>
      <c r="N29" s="46">
        <v>27400</v>
      </c>
      <c r="O29" s="37">
        <v>23290</v>
      </c>
      <c r="P29" s="47">
        <f t="shared" si="12"/>
        <v>0</v>
      </c>
      <c r="Q29" s="48">
        <f t="shared" si="13"/>
        <v>6.25E-2</v>
      </c>
      <c r="R29" s="49"/>
    </row>
    <row r="30" spans="1:19" x14ac:dyDescent="0.25">
      <c r="A30" s="35" t="s">
        <v>80</v>
      </c>
      <c r="B30" s="36" t="s">
        <v>81</v>
      </c>
      <c r="C30" s="37">
        <v>404171689</v>
      </c>
      <c r="D30" s="38">
        <f t="shared" si="0"/>
        <v>80319143.295198128</v>
      </c>
      <c r="E30" s="39">
        <f t="shared" si="1"/>
        <v>67631395.959333315</v>
      </c>
      <c r="F30" s="40" t="s">
        <v>47</v>
      </c>
      <c r="G30" s="41">
        <v>5.15</v>
      </c>
      <c r="H30" s="42">
        <v>5.0199999999999996</v>
      </c>
      <c r="I30" s="42">
        <v>5.0199999999999996</v>
      </c>
      <c r="J30" s="43">
        <f t="shared" si="8"/>
        <v>0.19872530778670677</v>
      </c>
      <c r="K30" s="44">
        <f t="shared" si="9"/>
        <v>0.16733333333333331</v>
      </c>
      <c r="L30" s="45">
        <f t="shared" si="10"/>
        <v>0</v>
      </c>
      <c r="M30" s="45">
        <f t="shared" si="11"/>
        <v>0</v>
      </c>
      <c r="N30" s="46">
        <v>0</v>
      </c>
      <c r="O30" s="37">
        <v>0</v>
      </c>
      <c r="P30" s="47">
        <f t="shared" si="12"/>
        <v>0</v>
      </c>
      <c r="Q30" s="48">
        <f t="shared" si="13"/>
        <v>-2.5242718446602086E-2</v>
      </c>
      <c r="R30" s="49"/>
    </row>
    <row r="31" spans="1:19" hidden="1" x14ac:dyDescent="0.25">
      <c r="A31" s="35"/>
      <c r="B31" s="36" t="s">
        <v>82</v>
      </c>
      <c r="C31" s="37"/>
      <c r="D31" s="38"/>
      <c r="E31" s="39"/>
      <c r="F31" s="40"/>
      <c r="G31" s="41"/>
      <c r="H31" s="42"/>
      <c r="I31" s="42"/>
      <c r="J31" s="43"/>
      <c r="K31" s="44"/>
      <c r="L31" s="45"/>
      <c r="M31" s="45"/>
      <c r="N31" s="46"/>
      <c r="O31" s="37"/>
      <c r="P31" s="47"/>
      <c r="Q31" s="48"/>
      <c r="R31" s="49"/>
    </row>
    <row r="32" spans="1:19" x14ac:dyDescent="0.25">
      <c r="A32" s="35" t="s">
        <v>83</v>
      </c>
      <c r="B32" s="36" t="s">
        <v>84</v>
      </c>
      <c r="C32" s="37">
        <v>3171161098</v>
      </c>
      <c r="D32" s="38">
        <f t="shared" ref="D32:D48" si="14">C32*J32</f>
        <v>0</v>
      </c>
      <c r="E32" s="39">
        <f t="shared" ref="E32:E48" si="15">C32*K32</f>
        <v>0</v>
      </c>
      <c r="F32" s="40" t="s">
        <v>34</v>
      </c>
      <c r="G32" s="41">
        <v>0.13000100000000001</v>
      </c>
      <c r="H32" s="47">
        <v>0</v>
      </c>
      <c r="I32" s="47"/>
      <c r="J32" s="50">
        <f t="shared" ref="J32:J48" si="16">I32/$J$5</f>
        <v>0</v>
      </c>
      <c r="K32" s="51">
        <f t="shared" ref="K32:K48" si="17">I32/$K$4</f>
        <v>0</v>
      </c>
      <c r="L32" s="45">
        <v>0</v>
      </c>
      <c r="M32" s="45">
        <v>0</v>
      </c>
      <c r="N32" s="52" t="s">
        <v>85</v>
      </c>
      <c r="O32" s="52" t="s">
        <v>85</v>
      </c>
      <c r="P32" s="52" t="s">
        <v>85</v>
      </c>
      <c r="Q32" s="48">
        <v>0</v>
      </c>
      <c r="R32" s="49"/>
    </row>
    <row r="33" spans="1:18" x14ac:dyDescent="0.25">
      <c r="A33" s="35" t="s">
        <v>86</v>
      </c>
      <c r="B33" s="36" t="s">
        <v>87</v>
      </c>
      <c r="C33" s="37">
        <v>259866270</v>
      </c>
      <c r="D33" s="38">
        <f t="shared" si="14"/>
        <v>15225132.797593128</v>
      </c>
      <c r="E33" s="39">
        <f t="shared" si="15"/>
        <v>12820069.32</v>
      </c>
      <c r="F33" s="40" t="s">
        <v>39</v>
      </c>
      <c r="G33" s="41">
        <v>1.4</v>
      </c>
      <c r="H33" s="42">
        <v>1.4994999999999998</v>
      </c>
      <c r="I33" s="42">
        <v>1.48</v>
      </c>
      <c r="J33" s="43">
        <f t="shared" si="16"/>
        <v>5.8588337753849806E-2</v>
      </c>
      <c r="K33" s="44">
        <f t="shared" si="17"/>
        <v>4.9333333333333333E-2</v>
      </c>
      <c r="L33" s="45">
        <f t="shared" ref="L33:L48" si="18">I33-H33</f>
        <v>-1.9499999999999851E-2</v>
      </c>
      <c r="M33" s="45">
        <f t="shared" ref="M33:M48" si="19">((I33-H33)/H33)*100</f>
        <v>-1.3004334778259321</v>
      </c>
      <c r="N33" s="46">
        <v>800</v>
      </c>
      <c r="O33" s="37">
        <v>1184</v>
      </c>
      <c r="P33" s="47">
        <f t="shared" ref="P33:P38" si="20">(R33)/J33</f>
        <v>0</v>
      </c>
      <c r="Q33" s="48">
        <f t="shared" ref="Q33:Q48" si="21">I33/G33-1</f>
        <v>5.7142857142857162E-2</v>
      </c>
      <c r="R33" s="49"/>
    </row>
    <row r="34" spans="1:18" x14ac:dyDescent="0.25">
      <c r="A34" s="35" t="s">
        <v>88</v>
      </c>
      <c r="B34" s="36" t="s">
        <v>89</v>
      </c>
      <c r="C34" s="37">
        <v>122029470</v>
      </c>
      <c r="D34" s="38">
        <f t="shared" si="14"/>
        <v>3623059.3602786907</v>
      </c>
      <c r="E34" s="39">
        <f t="shared" si="15"/>
        <v>3050736.75</v>
      </c>
      <c r="F34" s="40" t="s">
        <v>39</v>
      </c>
      <c r="G34" s="41">
        <v>0.65</v>
      </c>
      <c r="H34" s="42">
        <v>0.75</v>
      </c>
      <c r="I34" s="42">
        <v>0.75</v>
      </c>
      <c r="J34" s="43">
        <f t="shared" si="16"/>
        <v>2.9690036023910377E-2</v>
      </c>
      <c r="K34" s="44">
        <f t="shared" si="17"/>
        <v>2.5000000000000001E-2</v>
      </c>
      <c r="L34" s="45">
        <f t="shared" si="18"/>
        <v>0</v>
      </c>
      <c r="M34" s="45">
        <f t="shared" si="19"/>
        <v>0</v>
      </c>
      <c r="N34" s="46">
        <v>0</v>
      </c>
      <c r="O34" s="37">
        <v>0</v>
      </c>
      <c r="P34" s="47">
        <f t="shared" si="20"/>
        <v>0</v>
      </c>
      <c r="Q34" s="48">
        <f t="shared" si="21"/>
        <v>0.15384615384615374</v>
      </c>
      <c r="R34" s="49"/>
    </row>
    <row r="35" spans="1:18" x14ac:dyDescent="0.25">
      <c r="A35" s="35" t="s">
        <v>90</v>
      </c>
      <c r="B35" s="36" t="s">
        <v>91</v>
      </c>
      <c r="C35" s="37">
        <v>2495495543</v>
      </c>
      <c r="D35" s="38">
        <f t="shared" si="14"/>
        <v>171891937.96049246</v>
      </c>
      <c r="E35" s="39">
        <f t="shared" si="15"/>
        <v>144738741.49400002</v>
      </c>
      <c r="F35" s="40" t="s">
        <v>92</v>
      </c>
      <c r="G35" s="41">
        <v>1.44</v>
      </c>
      <c r="H35" s="42">
        <v>1.7387999999999999</v>
      </c>
      <c r="I35" s="42">
        <v>1.74</v>
      </c>
      <c r="J35" s="43">
        <f t="shared" si="16"/>
        <v>6.8880883575472077E-2</v>
      </c>
      <c r="K35" s="44">
        <f t="shared" si="17"/>
        <v>5.8000000000000003E-2</v>
      </c>
      <c r="L35" s="45">
        <f t="shared" si="18"/>
        <v>1.2000000000000899E-3</v>
      </c>
      <c r="M35" s="45">
        <f t="shared" si="19"/>
        <v>6.9013112491378537E-2</v>
      </c>
      <c r="N35" s="46">
        <v>100</v>
      </c>
      <c r="O35" s="37">
        <v>174</v>
      </c>
      <c r="P35" s="47">
        <f t="shared" si="20"/>
        <v>0</v>
      </c>
      <c r="Q35" s="48">
        <f t="shared" si="21"/>
        <v>0.20833333333333348</v>
      </c>
      <c r="R35" s="49"/>
    </row>
    <row r="36" spans="1:18" x14ac:dyDescent="0.25">
      <c r="A36" s="35" t="s">
        <v>93</v>
      </c>
      <c r="B36" s="36" t="s">
        <v>94</v>
      </c>
      <c r="C36" s="37">
        <v>253492983</v>
      </c>
      <c r="D36" s="38">
        <f t="shared" si="14"/>
        <v>36375284.722355165</v>
      </c>
      <c r="E36" s="39">
        <f t="shared" si="15"/>
        <v>30629202.2457138</v>
      </c>
      <c r="F36" s="40" t="s">
        <v>34</v>
      </c>
      <c r="G36" s="41">
        <v>3.6056249999999999</v>
      </c>
      <c r="H36" s="42">
        <v>3.5509949999999999</v>
      </c>
      <c r="I36" s="42">
        <v>3.6248579999999997</v>
      </c>
      <c r="J36" s="43">
        <f t="shared" si="16"/>
        <v>0.14349621946874627</v>
      </c>
      <c r="K36" s="44">
        <f t="shared" si="17"/>
        <v>0.12082859999999999</v>
      </c>
      <c r="L36" s="45">
        <f t="shared" si="18"/>
        <v>7.386299999999979E-2</v>
      </c>
      <c r="M36" s="45">
        <f t="shared" si="19"/>
        <v>2.0800648832228656</v>
      </c>
      <c r="N36" s="46">
        <v>13400</v>
      </c>
      <c r="O36" s="37">
        <v>48573.1</v>
      </c>
      <c r="P36" s="47">
        <f t="shared" si="20"/>
        <v>0</v>
      </c>
      <c r="Q36" s="48">
        <f t="shared" si="21"/>
        <v>5.3341653666145739E-3</v>
      </c>
      <c r="R36" s="49"/>
    </row>
    <row r="37" spans="1:18" x14ac:dyDescent="0.25">
      <c r="A37" s="35" t="s">
        <v>95</v>
      </c>
      <c r="B37" s="36" t="s">
        <v>96</v>
      </c>
      <c r="C37" s="37">
        <v>4715084056</v>
      </c>
      <c r="D37" s="38">
        <f t="shared" si="14"/>
        <v>6532914.0556589216</v>
      </c>
      <c r="E37" s="39">
        <f t="shared" si="15"/>
        <v>5500931.3986666668</v>
      </c>
      <c r="F37" s="40" t="s">
        <v>34</v>
      </c>
      <c r="G37" s="41">
        <v>2.5099999999999997E-2</v>
      </c>
      <c r="H37" s="42">
        <v>3.4203000000000004E-2</v>
      </c>
      <c r="I37" s="42">
        <v>3.5000000000000003E-2</v>
      </c>
      <c r="J37" s="43">
        <f t="shared" si="16"/>
        <v>1.3855350144491511E-3</v>
      </c>
      <c r="K37" s="44">
        <f t="shared" si="17"/>
        <v>1.1666666666666668E-3</v>
      </c>
      <c r="L37" s="45">
        <f t="shared" si="18"/>
        <v>7.969999999999991E-4</v>
      </c>
      <c r="M37" s="45">
        <f t="shared" si="19"/>
        <v>2.3302049527819166</v>
      </c>
      <c r="N37" s="46">
        <v>200</v>
      </c>
      <c r="O37" s="37">
        <v>7</v>
      </c>
      <c r="P37" s="47">
        <f t="shared" si="20"/>
        <v>0</v>
      </c>
      <c r="Q37" s="48">
        <f t="shared" si="21"/>
        <v>0.39442231075697243</v>
      </c>
      <c r="R37" s="49"/>
    </row>
    <row r="38" spans="1:18" x14ac:dyDescent="0.25">
      <c r="A38" s="35" t="s">
        <v>97</v>
      </c>
      <c r="B38" s="36" t="s">
        <v>98</v>
      </c>
      <c r="C38" s="37">
        <v>261064590</v>
      </c>
      <c r="D38" s="38">
        <f t="shared" si="14"/>
        <v>20669285.8722414</v>
      </c>
      <c r="E38" s="39">
        <f t="shared" si="15"/>
        <v>17404227.680623002</v>
      </c>
      <c r="F38" s="40" t="s">
        <v>92</v>
      </c>
      <c r="G38" s="41">
        <v>0.61</v>
      </c>
      <c r="H38" s="42">
        <v>1.9413069999999999</v>
      </c>
      <c r="I38" s="42">
        <v>1.9999910000000001</v>
      </c>
      <c r="J38" s="43">
        <f t="shared" si="16"/>
        <v>7.9173073116662052E-2</v>
      </c>
      <c r="K38" s="44">
        <f t="shared" si="17"/>
        <v>6.6666366666666671E-2</v>
      </c>
      <c r="L38" s="45">
        <f t="shared" si="18"/>
        <v>5.868400000000018E-2</v>
      </c>
      <c r="M38" s="45">
        <f t="shared" si="19"/>
        <v>3.0229118835918372</v>
      </c>
      <c r="N38" s="46">
        <v>81900</v>
      </c>
      <c r="O38" s="37">
        <v>163799.25</v>
      </c>
      <c r="P38" s="47">
        <f t="shared" si="20"/>
        <v>0</v>
      </c>
      <c r="Q38" s="48">
        <f t="shared" si="21"/>
        <v>2.2786737704918036</v>
      </c>
      <c r="R38" s="49"/>
    </row>
    <row r="39" spans="1:18" x14ac:dyDescent="0.25">
      <c r="A39" s="35" t="s">
        <v>99</v>
      </c>
      <c r="B39" s="36" t="s">
        <v>100</v>
      </c>
      <c r="C39" s="37">
        <v>4194797929</v>
      </c>
      <c r="D39" s="38">
        <f t="shared" si="14"/>
        <v>16592376.163562447</v>
      </c>
      <c r="E39" s="39">
        <f t="shared" si="15"/>
        <v>13971333.808925033</v>
      </c>
      <c r="F39" s="40" t="s">
        <v>56</v>
      </c>
      <c r="G39" s="41">
        <v>0.11650199999999999</v>
      </c>
      <c r="H39" s="42">
        <v>9.9281000000000008E-2</v>
      </c>
      <c r="I39" s="42">
        <v>9.9918999999999994E-2</v>
      </c>
      <c r="J39" s="43">
        <f t="shared" si="16"/>
        <v>3.955464945964134E-3</v>
      </c>
      <c r="K39" s="44">
        <f t="shared" si="17"/>
        <v>3.3306333333333331E-3</v>
      </c>
      <c r="L39" s="45">
        <f t="shared" si="18"/>
        <v>6.379999999999858E-4</v>
      </c>
      <c r="M39" s="45">
        <f t="shared" si="19"/>
        <v>0.64262044097056414</v>
      </c>
      <c r="N39" s="46">
        <v>15000</v>
      </c>
      <c r="O39" s="37">
        <v>1498.78</v>
      </c>
      <c r="P39" s="47">
        <v>0</v>
      </c>
      <c r="Q39" s="48">
        <f t="shared" si="21"/>
        <v>-0.14234090401881516</v>
      </c>
      <c r="R39" s="49"/>
    </row>
    <row r="40" spans="1:18" x14ac:dyDescent="0.25">
      <c r="A40" s="35" t="s">
        <v>101</v>
      </c>
      <c r="B40" s="36" t="s">
        <v>102</v>
      </c>
      <c r="C40" s="37">
        <v>362927587</v>
      </c>
      <c r="D40" s="38">
        <f t="shared" si="14"/>
        <v>86202665.056806937</v>
      </c>
      <c r="E40" s="39">
        <f t="shared" si="15"/>
        <v>72585517.400000006</v>
      </c>
      <c r="F40" s="40" t="s">
        <v>34</v>
      </c>
      <c r="G40" s="41">
        <v>2.6005000000000003</v>
      </c>
      <c r="H40" s="42">
        <v>5.96</v>
      </c>
      <c r="I40" s="42">
        <v>6</v>
      </c>
      <c r="J40" s="43">
        <f t="shared" si="16"/>
        <v>0.23752028819128301</v>
      </c>
      <c r="K40" s="44">
        <f t="shared" si="17"/>
        <v>0.2</v>
      </c>
      <c r="L40" s="45">
        <f t="shared" si="18"/>
        <v>4.0000000000000036E-2</v>
      </c>
      <c r="M40" s="45">
        <f t="shared" si="19"/>
        <v>0.67114093959731602</v>
      </c>
      <c r="N40" s="46">
        <v>18000</v>
      </c>
      <c r="O40" s="37">
        <v>108000</v>
      </c>
      <c r="P40" s="47">
        <f t="shared" ref="P40:P47" si="22">(R40)/J40</f>
        <v>0</v>
      </c>
      <c r="Q40" s="48">
        <f t="shared" si="21"/>
        <v>1.3072486060373003</v>
      </c>
      <c r="R40" s="49"/>
    </row>
    <row r="41" spans="1:18" x14ac:dyDescent="0.25">
      <c r="A41" s="35" t="s">
        <v>103</v>
      </c>
      <c r="B41" s="36" t="s">
        <v>104</v>
      </c>
      <c r="C41" s="37">
        <v>4315726499</v>
      </c>
      <c r="D41" s="38">
        <f t="shared" si="14"/>
        <v>15410258.113685127</v>
      </c>
      <c r="E41" s="39">
        <f t="shared" si="15"/>
        <v>12975951.006993333</v>
      </c>
      <c r="F41" s="40" t="s">
        <v>39</v>
      </c>
      <c r="G41" s="41">
        <v>0.1</v>
      </c>
      <c r="H41" s="42">
        <v>9.5274999999999999E-2</v>
      </c>
      <c r="I41" s="42">
        <v>9.0200000000000002E-2</v>
      </c>
      <c r="J41" s="43">
        <f t="shared" si="16"/>
        <v>3.5707216658089546E-3</v>
      </c>
      <c r="K41" s="44">
        <f t="shared" si="17"/>
        <v>3.0066666666666666E-3</v>
      </c>
      <c r="L41" s="45">
        <f t="shared" si="18"/>
        <v>-5.0749999999999962E-3</v>
      </c>
      <c r="M41" s="45">
        <f t="shared" si="19"/>
        <v>-5.3266859092101768</v>
      </c>
      <c r="N41" s="46">
        <v>27900</v>
      </c>
      <c r="O41" s="37">
        <v>2516.58</v>
      </c>
      <c r="P41" s="47">
        <f t="shared" si="22"/>
        <v>0</v>
      </c>
      <c r="Q41" s="48">
        <f t="shared" si="21"/>
        <v>-9.7999999999999976E-2</v>
      </c>
      <c r="R41" s="49"/>
    </row>
    <row r="42" spans="1:18" x14ac:dyDescent="0.25">
      <c r="A42" s="35" t="s">
        <v>105</v>
      </c>
      <c r="B42" s="36" t="s">
        <v>106</v>
      </c>
      <c r="C42" s="37">
        <v>106474237</v>
      </c>
      <c r="D42" s="38">
        <f t="shared" si="14"/>
        <v>9483671.7964451127</v>
      </c>
      <c r="E42" s="39">
        <f t="shared" si="15"/>
        <v>7985567.7749999994</v>
      </c>
      <c r="F42" s="40" t="s">
        <v>44</v>
      </c>
      <c r="G42" s="41">
        <v>1.7452379999999998</v>
      </c>
      <c r="H42" s="42">
        <v>2.2000000000000002</v>
      </c>
      <c r="I42" s="42">
        <v>2.25</v>
      </c>
      <c r="J42" s="43">
        <f t="shared" si="16"/>
        <v>8.907010807173113E-2</v>
      </c>
      <c r="K42" s="44">
        <f t="shared" si="17"/>
        <v>7.4999999999999997E-2</v>
      </c>
      <c r="L42" s="45">
        <f t="shared" si="18"/>
        <v>4.9999999999999822E-2</v>
      </c>
      <c r="M42" s="45">
        <f t="shared" si="19"/>
        <v>2.2727272727272645</v>
      </c>
      <c r="N42" s="46">
        <v>1200</v>
      </c>
      <c r="O42" s="37">
        <v>2700</v>
      </c>
      <c r="P42" s="47">
        <f t="shared" si="22"/>
        <v>0</v>
      </c>
      <c r="Q42" s="48">
        <f t="shared" si="21"/>
        <v>0.28922244415947862</v>
      </c>
      <c r="R42" s="49">
        <v>0</v>
      </c>
    </row>
    <row r="43" spans="1:18" x14ac:dyDescent="0.25">
      <c r="A43" s="35" t="s">
        <v>107</v>
      </c>
      <c r="B43" s="36" t="s">
        <v>108</v>
      </c>
      <c r="C43" s="37">
        <v>1778001428</v>
      </c>
      <c r="D43" s="38">
        <f t="shared" si="14"/>
        <v>2452010.4408865841</v>
      </c>
      <c r="E43" s="39">
        <f t="shared" si="15"/>
        <v>2064674.5249078667</v>
      </c>
      <c r="F43" s="40" t="s">
        <v>39</v>
      </c>
      <c r="G43" s="41">
        <v>0.03</v>
      </c>
      <c r="H43" s="42">
        <v>3.4099999999999998E-2</v>
      </c>
      <c r="I43" s="42">
        <v>3.4837E-2</v>
      </c>
      <c r="J43" s="43">
        <f t="shared" si="16"/>
        <v>1.3790823799532878E-3</v>
      </c>
      <c r="K43" s="44">
        <f t="shared" si="17"/>
        <v>1.1612333333333334E-3</v>
      </c>
      <c r="L43" s="45">
        <f t="shared" si="18"/>
        <v>7.3700000000000154E-4</v>
      </c>
      <c r="M43" s="45">
        <f t="shared" si="19"/>
        <v>2.1612903225806499</v>
      </c>
      <c r="N43" s="46">
        <v>17400</v>
      </c>
      <c r="O43" s="37">
        <v>606.16</v>
      </c>
      <c r="P43" s="47">
        <f t="shared" si="22"/>
        <v>0</v>
      </c>
      <c r="Q43" s="48">
        <f t="shared" si="21"/>
        <v>0.16123333333333334</v>
      </c>
      <c r="R43" s="49">
        <v>0</v>
      </c>
    </row>
    <row r="44" spans="1:18" x14ac:dyDescent="0.25">
      <c r="A44" s="35" t="s">
        <v>109</v>
      </c>
      <c r="B44" s="36" t="s">
        <v>110</v>
      </c>
      <c r="C44" s="37">
        <v>175190642</v>
      </c>
      <c r="D44" s="38">
        <f t="shared" si="14"/>
        <v>35924449.766834252</v>
      </c>
      <c r="E44" s="39">
        <f t="shared" si="15"/>
        <v>30249584.185333334</v>
      </c>
      <c r="F44" s="40" t="s">
        <v>47</v>
      </c>
      <c r="G44" s="41">
        <v>4.5</v>
      </c>
      <c r="H44" s="42">
        <v>5.18</v>
      </c>
      <c r="I44" s="42">
        <v>5.18</v>
      </c>
      <c r="J44" s="43">
        <f t="shared" si="16"/>
        <v>0.20505918213847432</v>
      </c>
      <c r="K44" s="44">
        <f t="shared" si="17"/>
        <v>0.17266666666666666</v>
      </c>
      <c r="L44" s="45">
        <f t="shared" si="18"/>
        <v>0</v>
      </c>
      <c r="M44" s="45">
        <f t="shared" si="19"/>
        <v>0</v>
      </c>
      <c r="N44" s="46">
        <v>0</v>
      </c>
      <c r="O44" s="37">
        <v>0</v>
      </c>
      <c r="P44" s="47">
        <f t="shared" si="22"/>
        <v>0</v>
      </c>
      <c r="Q44" s="48">
        <f t="shared" si="21"/>
        <v>0.15111111111111097</v>
      </c>
      <c r="R44" s="49">
        <v>0</v>
      </c>
    </row>
    <row r="45" spans="1:18" x14ac:dyDescent="0.25">
      <c r="A45" s="35" t="s">
        <v>111</v>
      </c>
      <c r="B45" s="36" t="s">
        <v>112</v>
      </c>
      <c r="C45" s="37">
        <v>463337661</v>
      </c>
      <c r="D45" s="38">
        <f t="shared" si="14"/>
        <v>330.15628431178499</v>
      </c>
      <c r="E45" s="39">
        <f t="shared" si="15"/>
        <v>278.0025966</v>
      </c>
      <c r="F45" s="40" t="s">
        <v>44</v>
      </c>
      <c r="G45" s="41">
        <v>1.8E-5</v>
      </c>
      <c r="H45" s="42">
        <v>1.8E-5</v>
      </c>
      <c r="I45" s="42">
        <v>1.8E-5</v>
      </c>
      <c r="J45" s="43">
        <f t="shared" si="16"/>
        <v>7.1256086457384903E-7</v>
      </c>
      <c r="K45" s="44">
        <f t="shared" si="17"/>
        <v>5.9999999999999997E-7</v>
      </c>
      <c r="L45" s="45">
        <f t="shared" si="18"/>
        <v>0</v>
      </c>
      <c r="M45" s="45">
        <f t="shared" si="19"/>
        <v>0</v>
      </c>
      <c r="N45" s="46">
        <v>0</v>
      </c>
      <c r="O45" s="37">
        <v>0</v>
      </c>
      <c r="P45" s="47">
        <f t="shared" si="22"/>
        <v>0</v>
      </c>
      <c r="Q45" s="48">
        <f t="shared" si="21"/>
        <v>0</v>
      </c>
      <c r="R45" s="49">
        <v>0</v>
      </c>
    </row>
    <row r="46" spans="1:18" x14ac:dyDescent="0.25">
      <c r="A46" s="35" t="s">
        <v>113</v>
      </c>
      <c r="B46" s="36" t="s">
        <v>114</v>
      </c>
      <c r="C46" s="37">
        <v>576000000</v>
      </c>
      <c r="D46" s="38">
        <f t="shared" si="14"/>
        <v>1641740.2319781485</v>
      </c>
      <c r="E46" s="39">
        <f t="shared" si="15"/>
        <v>1382400.0000000002</v>
      </c>
      <c r="F46" s="40" t="s">
        <v>56</v>
      </c>
      <c r="G46" s="41">
        <v>7.0000000000000007E-2</v>
      </c>
      <c r="H46" s="42">
        <v>7.2239999999999999E-2</v>
      </c>
      <c r="I46" s="42">
        <v>7.2000000000000008E-2</v>
      </c>
      <c r="J46" s="43">
        <f t="shared" si="16"/>
        <v>2.8502434582953966E-3</v>
      </c>
      <c r="K46" s="44">
        <f t="shared" si="17"/>
        <v>2.4000000000000002E-3</v>
      </c>
      <c r="L46" s="45">
        <f t="shared" si="18"/>
        <v>-2.3999999999999022E-4</v>
      </c>
      <c r="M46" s="45">
        <f t="shared" si="19"/>
        <v>-0.33222591362124893</v>
      </c>
      <c r="N46" s="46">
        <v>300</v>
      </c>
      <c r="O46" s="37">
        <v>21.6</v>
      </c>
      <c r="P46" s="47">
        <f t="shared" si="22"/>
        <v>0</v>
      </c>
      <c r="Q46" s="48">
        <f t="shared" si="21"/>
        <v>2.8571428571428692E-2</v>
      </c>
      <c r="R46" s="49"/>
    </row>
    <row r="47" spans="1:18" x14ac:dyDescent="0.25">
      <c r="A47" s="35" t="s">
        <v>115</v>
      </c>
      <c r="B47" s="36" t="s">
        <v>116</v>
      </c>
      <c r="C47" s="37">
        <v>1818218786</v>
      </c>
      <c r="D47" s="38">
        <f t="shared" si="14"/>
        <v>53982981.25569059</v>
      </c>
      <c r="E47" s="39">
        <f t="shared" si="15"/>
        <v>45455469.650000006</v>
      </c>
      <c r="F47" s="40" t="s">
        <v>47</v>
      </c>
      <c r="G47" s="41">
        <v>0.9998999999999999</v>
      </c>
      <c r="H47" s="42">
        <v>0.85</v>
      </c>
      <c r="I47" s="42">
        <v>0.75</v>
      </c>
      <c r="J47" s="43">
        <f t="shared" si="16"/>
        <v>2.9690036023910377E-2</v>
      </c>
      <c r="K47" s="44">
        <f t="shared" si="17"/>
        <v>2.5000000000000001E-2</v>
      </c>
      <c r="L47" s="45">
        <f t="shared" si="18"/>
        <v>-9.9999999999999978E-2</v>
      </c>
      <c r="M47" s="45">
        <f t="shared" si="19"/>
        <v>-11.764705882352938</v>
      </c>
      <c r="N47" s="46">
        <v>2100</v>
      </c>
      <c r="O47" s="37">
        <v>1575</v>
      </c>
      <c r="P47" s="47">
        <f t="shared" si="22"/>
        <v>0</v>
      </c>
      <c r="Q47" s="48">
        <f t="shared" si="21"/>
        <v>-0.24992499249924982</v>
      </c>
      <c r="R47" s="49">
        <v>0</v>
      </c>
    </row>
    <row r="48" spans="1:18" x14ac:dyDescent="0.25">
      <c r="A48" s="35" t="s">
        <v>117</v>
      </c>
      <c r="B48" s="36" t="s">
        <v>118</v>
      </c>
      <c r="C48" s="37">
        <v>102712520</v>
      </c>
      <c r="D48" s="38">
        <f t="shared" si="14"/>
        <v>4153182.6369138197</v>
      </c>
      <c r="E48" s="39">
        <f t="shared" si="15"/>
        <v>3497118.2197026666</v>
      </c>
      <c r="F48" s="40" t="s">
        <v>47</v>
      </c>
      <c r="G48" s="41">
        <v>1.4503460000000001</v>
      </c>
      <c r="H48" s="42">
        <v>1.0214289999999999</v>
      </c>
      <c r="I48" s="42">
        <v>1.0214289999999999</v>
      </c>
      <c r="J48" s="43">
        <f t="shared" si="16"/>
        <v>4.0435018407822335E-2</v>
      </c>
      <c r="K48" s="44">
        <f t="shared" si="17"/>
        <v>3.4047633333333334E-2</v>
      </c>
      <c r="L48" s="45">
        <f t="shared" si="18"/>
        <v>0</v>
      </c>
      <c r="M48" s="45">
        <f t="shared" si="19"/>
        <v>0</v>
      </c>
      <c r="N48" s="46">
        <v>0</v>
      </c>
      <c r="O48" s="37">
        <v>0</v>
      </c>
      <c r="P48" s="47">
        <v>0</v>
      </c>
      <c r="Q48" s="48">
        <f t="shared" si="21"/>
        <v>-0.29573425927330454</v>
      </c>
      <c r="R48" s="49"/>
    </row>
    <row r="49" spans="1:20" ht="13.8" thickBot="1" x14ac:dyDescent="0.4">
      <c r="A49" s="53"/>
      <c r="B49" s="54" t="s">
        <v>82</v>
      </c>
      <c r="C49" s="55"/>
      <c r="D49" s="56"/>
      <c r="E49" s="56"/>
      <c r="F49" s="57"/>
      <c r="G49" s="57"/>
      <c r="H49" s="45"/>
      <c r="I49" s="45"/>
      <c r="J49" s="45"/>
      <c r="K49" s="45"/>
      <c r="L49" s="45"/>
      <c r="M49" s="45"/>
      <c r="N49" s="57">
        <f>SUM(N10:N48)</f>
        <v>1027200</v>
      </c>
      <c r="O49" s="58">
        <f>SUM(O10:O48)</f>
        <v>12956480.269999998</v>
      </c>
      <c r="P49" s="58"/>
      <c r="Q49" s="59"/>
    </row>
    <row r="50" spans="1:20" ht="13.2" x14ac:dyDescent="0.35">
      <c r="A50" s="60"/>
      <c r="B50" s="61" t="s">
        <v>82</v>
      </c>
      <c r="C50" s="62"/>
      <c r="D50" s="62"/>
      <c r="E50" s="62"/>
      <c r="F50" s="63"/>
      <c r="G50" s="63"/>
      <c r="H50" s="64"/>
      <c r="I50" s="64"/>
      <c r="J50" s="64"/>
      <c r="K50" s="64"/>
      <c r="L50" s="64"/>
      <c r="M50" s="64"/>
      <c r="N50" s="63"/>
      <c r="O50" s="63"/>
      <c r="P50" s="63"/>
      <c r="Q50" s="65"/>
    </row>
    <row r="51" spans="1:20" ht="12.6" x14ac:dyDescent="0.3">
      <c r="A51" s="139" t="s">
        <v>119</v>
      </c>
      <c r="B51" s="140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2"/>
    </row>
    <row r="52" spans="1:20" hidden="1" x14ac:dyDescent="0.25">
      <c r="A52" s="35" t="s">
        <v>120</v>
      </c>
      <c r="B52" s="36" t="s">
        <v>121</v>
      </c>
      <c r="C52" s="40">
        <v>14786476</v>
      </c>
      <c r="D52" s="38">
        <f t="shared" ref="D52:D66" si="23">C52*J52</f>
        <v>0</v>
      </c>
      <c r="E52" s="39">
        <f>C52*K52</f>
        <v>0</v>
      </c>
      <c r="F52" s="40" t="s">
        <v>92</v>
      </c>
      <c r="G52" s="66">
        <v>4</v>
      </c>
      <c r="H52" s="42">
        <v>5.17</v>
      </c>
      <c r="I52" s="42"/>
      <c r="J52" s="43">
        <f t="shared" ref="J52:J66" si="24">I52</f>
        <v>0</v>
      </c>
      <c r="K52" s="39">
        <v>0</v>
      </c>
      <c r="L52" s="45">
        <f t="shared" ref="L52:L66" si="25">I52-H52</f>
        <v>-5.17</v>
      </c>
      <c r="M52" s="45">
        <f t="shared" ref="M52:M66" si="26">((I52-H52)/H52)*100</f>
        <v>-100</v>
      </c>
      <c r="N52" s="46" t="s">
        <v>57</v>
      </c>
      <c r="O52" s="37" t="s">
        <v>57</v>
      </c>
      <c r="P52" s="47">
        <v>0</v>
      </c>
      <c r="Q52" s="48">
        <f t="shared" ref="Q52:Q66" si="27">J52/G52-1</f>
        <v>-1</v>
      </c>
      <c r="R52" s="67"/>
      <c r="T52" s="67"/>
    </row>
    <row r="53" spans="1:20" x14ac:dyDescent="0.25">
      <c r="A53" s="35" t="s">
        <v>122</v>
      </c>
      <c r="B53" s="36" t="s">
        <v>123</v>
      </c>
      <c r="C53" s="40">
        <v>554920308</v>
      </c>
      <c r="D53" s="38">
        <f t="shared" si="23"/>
        <v>72139640.040000007</v>
      </c>
      <c r="E53" s="39">
        <v>0</v>
      </c>
      <c r="F53" s="40" t="s">
        <v>92</v>
      </c>
      <c r="G53" s="66">
        <v>0.1</v>
      </c>
      <c r="H53" s="42">
        <v>0.13439999999999999</v>
      </c>
      <c r="I53" s="42">
        <v>0.13</v>
      </c>
      <c r="J53" s="43">
        <f t="shared" si="24"/>
        <v>0.13</v>
      </c>
      <c r="K53" s="39">
        <v>0</v>
      </c>
      <c r="L53" s="45">
        <f t="shared" si="25"/>
        <v>-4.3999999999999873E-3</v>
      </c>
      <c r="M53" s="45">
        <f t="shared" si="26"/>
        <v>-3.2738095238095144</v>
      </c>
      <c r="N53" s="46">
        <v>166693</v>
      </c>
      <c r="O53" s="37">
        <v>21671.26</v>
      </c>
      <c r="P53" s="68">
        <f>(R53)/J53</f>
        <v>0</v>
      </c>
      <c r="Q53" s="48">
        <f t="shared" si="27"/>
        <v>0.30000000000000004</v>
      </c>
      <c r="T53" s="67"/>
    </row>
    <row r="54" spans="1:20" x14ac:dyDescent="0.25">
      <c r="A54" s="35" t="s">
        <v>124</v>
      </c>
      <c r="B54" s="36" t="s">
        <v>125</v>
      </c>
      <c r="C54" s="40">
        <v>1057685</v>
      </c>
      <c r="D54" s="38">
        <f t="shared" si="23"/>
        <v>52937134.25</v>
      </c>
      <c r="E54" s="39">
        <v>0</v>
      </c>
      <c r="F54" s="40" t="s">
        <v>39</v>
      </c>
      <c r="G54" s="66">
        <v>39.9</v>
      </c>
      <c r="H54" s="42">
        <v>59.95</v>
      </c>
      <c r="I54" s="42">
        <v>50.05</v>
      </c>
      <c r="J54" s="43">
        <f t="shared" si="24"/>
        <v>50.05</v>
      </c>
      <c r="K54" s="39">
        <v>0</v>
      </c>
      <c r="L54" s="45">
        <f t="shared" si="25"/>
        <v>-9.9000000000000057</v>
      </c>
      <c r="M54" s="45">
        <f t="shared" si="26"/>
        <v>-16.513761467889918</v>
      </c>
      <c r="N54" s="46">
        <v>1750</v>
      </c>
      <c r="O54" s="37">
        <v>87587.5</v>
      </c>
      <c r="P54" s="69">
        <f>(R54)/J54</f>
        <v>1.1188811188811191E-2</v>
      </c>
      <c r="Q54" s="48">
        <f t="shared" si="27"/>
        <v>0.2543859649122806</v>
      </c>
      <c r="R54" s="67">
        <v>0.56000000000000005</v>
      </c>
      <c r="T54" s="67"/>
    </row>
    <row r="55" spans="1:20" x14ac:dyDescent="0.25">
      <c r="A55" s="35" t="s">
        <v>126</v>
      </c>
      <c r="B55" s="36" t="s">
        <v>127</v>
      </c>
      <c r="C55" s="40">
        <v>2992163203</v>
      </c>
      <c r="D55" s="38">
        <f t="shared" si="23"/>
        <v>776167134.85820007</v>
      </c>
      <c r="E55" s="39"/>
      <c r="F55" s="40" t="s">
        <v>56</v>
      </c>
      <c r="G55" s="66">
        <v>0.33</v>
      </c>
      <c r="H55" s="42">
        <v>0.26529999999999998</v>
      </c>
      <c r="I55" s="42">
        <v>0.25940000000000002</v>
      </c>
      <c r="J55" s="43">
        <f t="shared" si="24"/>
        <v>0.25940000000000002</v>
      </c>
      <c r="K55" s="39">
        <v>0</v>
      </c>
      <c r="L55" s="45">
        <f t="shared" si="25"/>
        <v>-5.8999999999999608E-3</v>
      </c>
      <c r="M55" s="45">
        <f t="shared" si="26"/>
        <v>-2.2238974745570905</v>
      </c>
      <c r="N55" s="46">
        <v>162536</v>
      </c>
      <c r="O55" s="37">
        <v>42153.79</v>
      </c>
      <c r="P55" s="68">
        <v>0</v>
      </c>
      <c r="Q55" s="48">
        <f t="shared" si="27"/>
        <v>-0.21393939393939387</v>
      </c>
      <c r="R55" s="67"/>
      <c r="T55" s="67"/>
    </row>
    <row r="56" spans="1:20" x14ac:dyDescent="0.25">
      <c r="A56" s="35" t="s">
        <v>128</v>
      </c>
      <c r="B56" s="36" t="s">
        <v>129</v>
      </c>
      <c r="C56" s="40">
        <v>609740943</v>
      </c>
      <c r="D56" s="38">
        <f t="shared" si="23"/>
        <v>13658197.123199999</v>
      </c>
      <c r="E56" s="39">
        <v>0</v>
      </c>
      <c r="F56" s="40" t="s">
        <v>34</v>
      </c>
      <c r="G56" s="66">
        <v>2.3E-2</v>
      </c>
      <c r="H56" s="42">
        <v>2.24E-2</v>
      </c>
      <c r="I56" s="42">
        <v>2.24E-2</v>
      </c>
      <c r="J56" s="43">
        <f t="shared" si="24"/>
        <v>2.24E-2</v>
      </c>
      <c r="K56" s="39">
        <v>0</v>
      </c>
      <c r="L56" s="45">
        <f t="shared" si="25"/>
        <v>0</v>
      </c>
      <c r="M56" s="45">
        <f t="shared" si="26"/>
        <v>0</v>
      </c>
      <c r="N56" s="46">
        <v>18999</v>
      </c>
      <c r="O56" s="37">
        <v>425.58</v>
      </c>
      <c r="P56" s="68">
        <f t="shared" ref="P56:P66" si="28">(R56)/J56</f>
        <v>0</v>
      </c>
      <c r="Q56" s="48">
        <f t="shared" si="27"/>
        <v>-2.6086956521739091E-2</v>
      </c>
      <c r="T56" s="67"/>
    </row>
    <row r="57" spans="1:20" x14ac:dyDescent="0.25">
      <c r="A57" s="35" t="s">
        <v>130</v>
      </c>
      <c r="B57" s="36" t="s">
        <v>131</v>
      </c>
      <c r="C57" s="40">
        <v>2161875929</v>
      </c>
      <c r="D57" s="38">
        <f t="shared" si="23"/>
        <v>233266412.73909998</v>
      </c>
      <c r="E57" s="39">
        <v>0</v>
      </c>
      <c r="F57" s="40" t="s">
        <v>47</v>
      </c>
      <c r="G57" s="66">
        <v>9.0200000000000002E-2</v>
      </c>
      <c r="H57" s="42">
        <v>0.1041</v>
      </c>
      <c r="I57" s="42">
        <v>0.1079</v>
      </c>
      <c r="J57" s="43">
        <f t="shared" si="24"/>
        <v>0.1079</v>
      </c>
      <c r="K57" s="39">
        <v>0</v>
      </c>
      <c r="L57" s="45">
        <f t="shared" si="25"/>
        <v>3.7999999999999978E-3</v>
      </c>
      <c r="M57" s="70">
        <f t="shared" si="26"/>
        <v>3.6503362151777115</v>
      </c>
      <c r="N57" s="46">
        <v>35912</v>
      </c>
      <c r="O57" s="37">
        <v>3875.87</v>
      </c>
      <c r="P57" s="68">
        <f t="shared" si="28"/>
        <v>0</v>
      </c>
      <c r="Q57" s="48">
        <f t="shared" si="27"/>
        <v>0.19623059866962289</v>
      </c>
      <c r="R57" s="67"/>
      <c r="T57" s="67"/>
    </row>
    <row r="58" spans="1:20" x14ac:dyDescent="0.25">
      <c r="A58" s="35" t="s">
        <v>132</v>
      </c>
      <c r="B58" s="36" t="s">
        <v>133</v>
      </c>
      <c r="C58" s="40">
        <v>575926450</v>
      </c>
      <c r="D58" s="38">
        <f t="shared" si="23"/>
        <v>719735284.56500006</v>
      </c>
      <c r="E58" s="39">
        <v>0</v>
      </c>
      <c r="F58" s="40" t="s">
        <v>34</v>
      </c>
      <c r="G58" s="66">
        <v>0.95750000000000002</v>
      </c>
      <c r="H58" s="42">
        <v>1.2582</v>
      </c>
      <c r="I58" s="42">
        <v>1.2497</v>
      </c>
      <c r="J58" s="43">
        <f t="shared" si="24"/>
        <v>1.2497</v>
      </c>
      <c r="K58" s="39">
        <v>0</v>
      </c>
      <c r="L58" s="45">
        <f t="shared" si="25"/>
        <v>-8.499999999999952E-3</v>
      </c>
      <c r="M58" s="45">
        <f t="shared" si="26"/>
        <v>-0.67556827213479198</v>
      </c>
      <c r="N58" s="46">
        <v>47395</v>
      </c>
      <c r="O58" s="37">
        <v>59230.45</v>
      </c>
      <c r="P58" s="69">
        <f t="shared" si="28"/>
        <v>3.7609026166279903E-2</v>
      </c>
      <c r="Q58" s="48">
        <f t="shared" si="27"/>
        <v>0.30516971279373362</v>
      </c>
      <c r="R58" s="67">
        <v>4.7E-2</v>
      </c>
      <c r="T58" s="67"/>
    </row>
    <row r="59" spans="1:20" x14ac:dyDescent="0.25">
      <c r="A59" s="35" t="s">
        <v>134</v>
      </c>
      <c r="B59" s="36" t="s">
        <v>135</v>
      </c>
      <c r="C59" s="40">
        <v>164208222</v>
      </c>
      <c r="D59" s="38">
        <f t="shared" si="23"/>
        <v>24631233.300000001</v>
      </c>
      <c r="E59" s="39">
        <v>0</v>
      </c>
      <c r="F59" s="40" t="s">
        <v>34</v>
      </c>
      <c r="G59" s="66">
        <v>0.1595</v>
      </c>
      <c r="H59" s="42">
        <v>0.15</v>
      </c>
      <c r="I59" s="42">
        <v>0.15</v>
      </c>
      <c r="J59" s="43">
        <f t="shared" si="24"/>
        <v>0.15</v>
      </c>
      <c r="K59" s="39">
        <v>0</v>
      </c>
      <c r="L59" s="45">
        <f t="shared" si="25"/>
        <v>0</v>
      </c>
      <c r="M59" s="45">
        <f t="shared" si="26"/>
        <v>0</v>
      </c>
      <c r="N59" s="46">
        <v>1730</v>
      </c>
      <c r="O59" s="37">
        <v>259.5</v>
      </c>
      <c r="P59" s="68">
        <f t="shared" si="28"/>
        <v>0</v>
      </c>
      <c r="Q59" s="48">
        <f t="shared" si="27"/>
        <v>-5.9561128526645857E-2</v>
      </c>
      <c r="T59" s="67"/>
    </row>
    <row r="60" spans="1:20" x14ac:dyDescent="0.25">
      <c r="A60" s="35" t="s">
        <v>136</v>
      </c>
      <c r="B60" s="36" t="s">
        <v>137</v>
      </c>
      <c r="C60" s="40">
        <v>794581116</v>
      </c>
      <c r="D60" s="38">
        <f t="shared" si="23"/>
        <v>15891622.32</v>
      </c>
      <c r="E60" s="39">
        <v>0</v>
      </c>
      <c r="F60" s="40" t="s">
        <v>92</v>
      </c>
      <c r="G60" s="66">
        <v>1.6799999999999999E-2</v>
      </c>
      <c r="H60" s="42">
        <v>2.06E-2</v>
      </c>
      <c r="I60" s="42">
        <v>0.02</v>
      </c>
      <c r="J60" s="43">
        <f t="shared" si="24"/>
        <v>0.02</v>
      </c>
      <c r="K60" s="39">
        <v>0</v>
      </c>
      <c r="L60" s="45">
        <f t="shared" si="25"/>
        <v>-5.9999999999999984E-4</v>
      </c>
      <c r="M60" s="70">
        <f t="shared" si="26"/>
        <v>-2.9126213592233001</v>
      </c>
      <c r="N60" s="46">
        <v>142374</v>
      </c>
      <c r="O60" s="37">
        <v>2847.82</v>
      </c>
      <c r="P60" s="68">
        <f t="shared" si="28"/>
        <v>0</v>
      </c>
      <c r="Q60" s="48">
        <f t="shared" si="27"/>
        <v>0.19047619047619047</v>
      </c>
      <c r="T60" s="67"/>
    </row>
    <row r="61" spans="1:20" x14ac:dyDescent="0.25">
      <c r="A61" s="35" t="s">
        <v>138</v>
      </c>
      <c r="B61" s="36" t="s">
        <v>139</v>
      </c>
      <c r="C61" s="40">
        <v>161273</v>
      </c>
      <c r="D61" s="38">
        <f t="shared" si="23"/>
        <v>2515858.7999999998</v>
      </c>
      <c r="E61" s="39">
        <v>0</v>
      </c>
      <c r="F61" s="40" t="s">
        <v>140</v>
      </c>
      <c r="G61" s="66">
        <v>19.5</v>
      </c>
      <c r="H61" s="42">
        <v>15.6</v>
      </c>
      <c r="I61" s="42">
        <v>15.6</v>
      </c>
      <c r="J61" s="43">
        <f t="shared" si="24"/>
        <v>15.6</v>
      </c>
      <c r="K61" s="39">
        <v>0</v>
      </c>
      <c r="L61" s="45">
        <f t="shared" si="25"/>
        <v>0</v>
      </c>
      <c r="M61" s="45">
        <f t="shared" si="26"/>
        <v>0</v>
      </c>
      <c r="N61" s="46">
        <v>0</v>
      </c>
      <c r="O61" s="37">
        <v>0</v>
      </c>
      <c r="P61" s="68">
        <f t="shared" si="28"/>
        <v>0</v>
      </c>
      <c r="Q61" s="48">
        <f t="shared" si="27"/>
        <v>-0.20000000000000007</v>
      </c>
      <c r="T61" s="67"/>
    </row>
    <row r="62" spans="1:20" x14ac:dyDescent="0.25">
      <c r="A62" s="35" t="s">
        <v>141</v>
      </c>
      <c r="B62" s="36" t="s">
        <v>142</v>
      </c>
      <c r="C62" s="40">
        <v>805090451</v>
      </c>
      <c r="D62" s="38">
        <f t="shared" si="23"/>
        <v>817408334.90030003</v>
      </c>
      <c r="E62" s="39">
        <v>0</v>
      </c>
      <c r="F62" s="40" t="s">
        <v>92</v>
      </c>
      <c r="G62" s="66">
        <v>0.59499999999999997</v>
      </c>
      <c r="H62" s="42">
        <v>1.0589999999999999</v>
      </c>
      <c r="I62" s="42">
        <v>1.0153000000000001</v>
      </c>
      <c r="J62" s="43">
        <f t="shared" si="24"/>
        <v>1.0153000000000001</v>
      </c>
      <c r="K62" s="39">
        <v>0</v>
      </c>
      <c r="L62" s="45">
        <f t="shared" si="25"/>
        <v>-4.369999999999985E-2</v>
      </c>
      <c r="M62" s="45">
        <f t="shared" si="26"/>
        <v>-4.1265344664777954</v>
      </c>
      <c r="N62" s="46">
        <v>58426159</v>
      </c>
      <c r="O62" s="37">
        <v>49957360.420000002</v>
      </c>
      <c r="P62" s="68">
        <f t="shared" si="28"/>
        <v>0</v>
      </c>
      <c r="Q62" s="48">
        <f t="shared" si="27"/>
        <v>0.70638655462184907</v>
      </c>
      <c r="R62" s="67"/>
      <c r="T62" s="67"/>
    </row>
    <row r="63" spans="1:20" x14ac:dyDescent="0.25">
      <c r="A63" s="35" t="s">
        <v>143</v>
      </c>
      <c r="B63" s="36" t="s">
        <v>144</v>
      </c>
      <c r="C63" s="40">
        <v>260714518</v>
      </c>
      <c r="D63" s="38">
        <f t="shared" si="23"/>
        <v>82151144.621799991</v>
      </c>
      <c r="E63" s="39">
        <v>0</v>
      </c>
      <c r="F63" s="40" t="s">
        <v>34</v>
      </c>
      <c r="G63" s="66">
        <v>0.22600000000000001</v>
      </c>
      <c r="H63" s="42">
        <v>0.30430000000000001</v>
      </c>
      <c r="I63" s="42">
        <v>0.31509999999999999</v>
      </c>
      <c r="J63" s="43">
        <f t="shared" si="24"/>
        <v>0.31509999999999999</v>
      </c>
      <c r="K63" s="39">
        <v>0</v>
      </c>
      <c r="L63" s="45">
        <f t="shared" si="25"/>
        <v>1.0799999999999976E-2</v>
      </c>
      <c r="M63" s="45">
        <f t="shared" si="26"/>
        <v>3.5491291488662426</v>
      </c>
      <c r="N63" s="46">
        <v>206</v>
      </c>
      <c r="O63" s="37">
        <v>64.900000000000006</v>
      </c>
      <c r="P63" s="68">
        <f t="shared" si="28"/>
        <v>0</v>
      </c>
      <c r="Q63" s="48">
        <f t="shared" si="27"/>
        <v>0.3942477876106194</v>
      </c>
      <c r="T63" s="67"/>
    </row>
    <row r="64" spans="1:20" x14ac:dyDescent="0.25">
      <c r="A64" s="35" t="s">
        <v>145</v>
      </c>
      <c r="B64" s="36" t="s">
        <v>146</v>
      </c>
      <c r="C64" s="40">
        <v>562184788</v>
      </c>
      <c r="D64" s="38">
        <f t="shared" si="23"/>
        <v>381835908.00960004</v>
      </c>
      <c r="E64" s="39">
        <v>0</v>
      </c>
      <c r="F64" s="40" t="s">
        <v>34</v>
      </c>
      <c r="G64" s="66">
        <v>0.49440000000000001</v>
      </c>
      <c r="H64" s="42">
        <v>0.67469999999999997</v>
      </c>
      <c r="I64" s="42">
        <v>0.67920000000000003</v>
      </c>
      <c r="J64" s="43">
        <f t="shared" si="24"/>
        <v>0.67920000000000003</v>
      </c>
      <c r="K64" s="39">
        <v>0</v>
      </c>
      <c r="L64" s="45">
        <f t="shared" si="25"/>
        <v>4.5000000000000595E-3</v>
      </c>
      <c r="M64" s="45">
        <f t="shared" si="26"/>
        <v>0.66696309470876824</v>
      </c>
      <c r="N64" s="46">
        <v>2912</v>
      </c>
      <c r="O64" s="37">
        <v>1977.88</v>
      </c>
      <c r="P64" s="68">
        <f t="shared" si="28"/>
        <v>0</v>
      </c>
      <c r="Q64" s="48">
        <f t="shared" si="27"/>
        <v>0.37378640776699035</v>
      </c>
      <c r="R64" s="67"/>
      <c r="T64" s="67"/>
    </row>
    <row r="65" spans="1:243" x14ac:dyDescent="0.25">
      <c r="A65" s="35" t="s">
        <v>147</v>
      </c>
      <c r="B65" s="36" t="s">
        <v>148</v>
      </c>
      <c r="C65" s="40">
        <v>30000000</v>
      </c>
      <c r="D65" s="38">
        <f t="shared" si="23"/>
        <v>300000000</v>
      </c>
      <c r="E65" s="39">
        <v>0</v>
      </c>
      <c r="F65" s="40" t="s">
        <v>66</v>
      </c>
      <c r="G65" s="66">
        <v>10</v>
      </c>
      <c r="H65" s="42">
        <v>10</v>
      </c>
      <c r="I65" s="42">
        <v>10</v>
      </c>
      <c r="J65" s="43">
        <f t="shared" si="24"/>
        <v>10</v>
      </c>
      <c r="K65" s="39">
        <v>0</v>
      </c>
      <c r="L65" s="45">
        <f t="shared" si="25"/>
        <v>0</v>
      </c>
      <c r="M65" s="45">
        <f t="shared" si="26"/>
        <v>0</v>
      </c>
      <c r="N65" s="46">
        <v>0</v>
      </c>
      <c r="O65" s="37">
        <v>0</v>
      </c>
      <c r="P65" s="68">
        <f t="shared" si="28"/>
        <v>0</v>
      </c>
      <c r="Q65" s="48">
        <f t="shared" si="27"/>
        <v>0</v>
      </c>
      <c r="T65" s="67"/>
    </row>
    <row r="66" spans="1:243" x14ac:dyDescent="0.25">
      <c r="A66" s="35" t="s">
        <v>149</v>
      </c>
      <c r="B66" s="36" t="s">
        <v>150</v>
      </c>
      <c r="C66" s="40">
        <v>344580486</v>
      </c>
      <c r="D66" s="38">
        <f t="shared" si="23"/>
        <v>20674829.16</v>
      </c>
      <c r="E66" s="39">
        <v>0</v>
      </c>
      <c r="F66" s="40" t="s">
        <v>44</v>
      </c>
      <c r="G66" s="66">
        <v>4.2999999999999997E-2</v>
      </c>
      <c r="H66" s="42">
        <v>6.2700000000000006E-2</v>
      </c>
      <c r="I66" s="42">
        <v>0.06</v>
      </c>
      <c r="J66" s="43">
        <f t="shared" si="24"/>
        <v>0.06</v>
      </c>
      <c r="K66" s="39">
        <v>0</v>
      </c>
      <c r="L66" s="45">
        <f t="shared" si="25"/>
        <v>-2.7000000000000079E-3</v>
      </c>
      <c r="M66" s="45">
        <f t="shared" si="26"/>
        <v>-4.3062200956937922</v>
      </c>
      <c r="N66" s="46">
        <v>760</v>
      </c>
      <c r="O66" s="37">
        <v>45.6</v>
      </c>
      <c r="P66" s="68">
        <f t="shared" si="28"/>
        <v>0</v>
      </c>
      <c r="Q66" s="48">
        <f t="shared" si="27"/>
        <v>0.39534883720930236</v>
      </c>
      <c r="T66" s="67"/>
    </row>
    <row r="67" spans="1:243" ht="13.2" x14ac:dyDescent="0.35">
      <c r="B67" s="36" t="s">
        <v>82</v>
      </c>
      <c r="C67" s="40"/>
      <c r="D67" s="71"/>
      <c r="E67" s="71"/>
      <c r="F67" s="40"/>
      <c r="G67" s="40"/>
      <c r="H67" s="42"/>
      <c r="I67" s="42"/>
      <c r="J67" s="42"/>
      <c r="K67" s="42"/>
      <c r="L67" s="45"/>
      <c r="M67" s="72"/>
      <c r="N67" s="57">
        <f>SUM(N52:N66)</f>
        <v>59007426</v>
      </c>
      <c r="O67" s="58">
        <f>SUM(O52:O66)</f>
        <v>50177500.570000008</v>
      </c>
      <c r="P67" s="73"/>
      <c r="Q67" s="59"/>
    </row>
    <row r="68" spans="1:243" ht="12.6" hidden="1" x14ac:dyDescent="0.3">
      <c r="A68" s="127" t="s">
        <v>151</v>
      </c>
      <c r="B68" s="128"/>
      <c r="C68" s="129"/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129"/>
      <c r="Q68" s="130"/>
    </row>
    <row r="69" spans="1:243" ht="12.6" hidden="1" thickBot="1" x14ac:dyDescent="0.3">
      <c r="A69" s="74" t="s">
        <v>152</v>
      </c>
      <c r="B69" s="75" t="s">
        <v>153</v>
      </c>
      <c r="C69" s="76">
        <v>20000</v>
      </c>
      <c r="D69" s="77">
        <f>C69*J69</f>
        <v>0</v>
      </c>
      <c r="E69" s="77"/>
      <c r="F69" s="76" t="s">
        <v>154</v>
      </c>
      <c r="G69" s="76"/>
      <c r="H69" s="78">
        <v>100</v>
      </c>
      <c r="I69" s="78"/>
      <c r="J69" s="78"/>
      <c r="K69" s="78"/>
      <c r="L69" s="79">
        <f>I69-H69</f>
        <v>-100</v>
      </c>
      <c r="M69" s="80">
        <f>((I69-H69)/H69)*100</f>
        <v>-100</v>
      </c>
      <c r="N69" s="81" t="s">
        <v>57</v>
      </c>
      <c r="O69" s="81" t="s">
        <v>57</v>
      </c>
      <c r="P69" s="81"/>
      <c r="Q69" s="82">
        <v>100</v>
      </c>
    </row>
    <row r="70" spans="1:243" ht="12.6" thickBot="1" x14ac:dyDescent="0.3">
      <c r="A70" s="35"/>
      <c r="B70" s="36" t="s">
        <v>82</v>
      </c>
      <c r="C70" s="40"/>
      <c r="D70" s="37"/>
      <c r="E70" s="37"/>
      <c r="F70" s="40"/>
      <c r="G70" s="40"/>
      <c r="H70" s="42"/>
      <c r="I70" s="42"/>
      <c r="J70" s="42"/>
      <c r="K70" s="42"/>
      <c r="L70" s="45"/>
      <c r="M70" s="72"/>
      <c r="N70" s="83"/>
      <c r="O70" s="83"/>
      <c r="P70" s="83"/>
      <c r="Q70" s="59"/>
    </row>
    <row r="71" spans="1:243" ht="12.6" x14ac:dyDescent="0.3">
      <c r="A71" s="127" t="s">
        <v>155</v>
      </c>
      <c r="B71" s="128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30"/>
    </row>
    <row r="72" spans="1:243" x14ac:dyDescent="0.25">
      <c r="A72" s="84" t="s">
        <v>156</v>
      </c>
      <c r="B72" s="85" t="s">
        <v>157</v>
      </c>
      <c r="C72" s="86">
        <v>139300587</v>
      </c>
      <c r="D72" s="38">
        <f>C72*J72</f>
        <v>50148211.32</v>
      </c>
      <c r="E72" s="39">
        <f>C72*K72</f>
        <v>50148211.32</v>
      </c>
      <c r="F72" s="86" t="s">
        <v>158</v>
      </c>
      <c r="G72" s="86">
        <v>0.24</v>
      </c>
      <c r="H72" s="87">
        <v>0.36</v>
      </c>
      <c r="I72" s="87">
        <v>0.36</v>
      </c>
      <c r="J72" s="88">
        <f>I72</f>
        <v>0.36</v>
      </c>
      <c r="K72" s="88">
        <f>J72</f>
        <v>0.36</v>
      </c>
      <c r="L72" s="45">
        <f>I72-H72</f>
        <v>0</v>
      </c>
      <c r="M72" s="45">
        <f>((I72-H72)/H72)*100</f>
        <v>0</v>
      </c>
      <c r="N72" s="89">
        <v>556</v>
      </c>
      <c r="O72" s="90">
        <v>200.16</v>
      </c>
      <c r="P72" s="91">
        <v>0</v>
      </c>
      <c r="Q72" s="92">
        <f>J72/G72-1</f>
        <v>0.5</v>
      </c>
      <c r="T72" s="67"/>
    </row>
    <row r="73" spans="1:243" x14ac:dyDescent="0.25">
      <c r="A73" s="84" t="s">
        <v>159</v>
      </c>
      <c r="B73" s="85" t="s">
        <v>160</v>
      </c>
      <c r="C73" s="86">
        <v>471351750</v>
      </c>
      <c r="D73" s="38">
        <f>C73*J73</f>
        <v>67591840.950000003</v>
      </c>
      <c r="E73" s="39">
        <f>C73*K73</f>
        <v>67591840.950000003</v>
      </c>
      <c r="F73" s="86" t="s">
        <v>158</v>
      </c>
      <c r="G73" s="86">
        <v>0.1</v>
      </c>
      <c r="H73" s="87">
        <v>0.14410000000000001</v>
      </c>
      <c r="I73" s="87">
        <v>0.1434</v>
      </c>
      <c r="J73" s="88">
        <f>I73</f>
        <v>0.1434</v>
      </c>
      <c r="K73" s="88">
        <f>J73</f>
        <v>0.1434</v>
      </c>
      <c r="L73" s="45">
        <f>I73-H73</f>
        <v>-7.0000000000000617E-4</v>
      </c>
      <c r="M73" s="45">
        <f>((I73-H73)/H73)*100</f>
        <v>-0.48577376821652052</v>
      </c>
      <c r="N73" s="46">
        <v>7731</v>
      </c>
      <c r="O73" s="90">
        <v>1108.3800000000001</v>
      </c>
      <c r="P73" s="91">
        <v>0</v>
      </c>
      <c r="Q73" s="92">
        <f>J73/G73-1</f>
        <v>0.43399999999999994</v>
      </c>
      <c r="T73" s="67"/>
    </row>
    <row r="74" spans="1:243" ht="13.2" x14ac:dyDescent="0.35">
      <c r="A74" s="84"/>
      <c r="B74" s="36" t="s">
        <v>82</v>
      </c>
      <c r="C74" s="40"/>
      <c r="D74" s="37"/>
      <c r="E74" s="37"/>
      <c r="F74" s="40"/>
      <c r="G74" s="40"/>
      <c r="H74" s="42"/>
      <c r="I74" s="42"/>
      <c r="J74" s="42"/>
      <c r="K74" s="42"/>
      <c r="L74" s="45"/>
      <c r="M74" s="72"/>
      <c r="N74" s="57">
        <f>SUM(N72:N73)</f>
        <v>8287</v>
      </c>
      <c r="O74" s="58">
        <f>SUM(O72:O73)</f>
        <v>1308.5400000000002</v>
      </c>
      <c r="P74" s="83"/>
      <c r="Q74" s="45"/>
    </row>
    <row r="75" spans="1:243" ht="12.6" x14ac:dyDescent="0.3">
      <c r="A75" s="139" t="s">
        <v>161</v>
      </c>
      <c r="B75" s="140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</row>
    <row r="76" spans="1:243" x14ac:dyDescent="0.25">
      <c r="A76" s="35" t="s">
        <v>162</v>
      </c>
      <c r="B76" s="36" t="s">
        <v>163</v>
      </c>
      <c r="C76" s="40">
        <v>45396463</v>
      </c>
      <c r="D76" s="38">
        <f>C76*J76</f>
        <v>168028.55352123827</v>
      </c>
      <c r="E76" s="39">
        <f>C76*K76</f>
        <v>141485.64301666667</v>
      </c>
      <c r="F76" s="40" t="s">
        <v>140</v>
      </c>
      <c r="G76" s="66">
        <v>0.105</v>
      </c>
      <c r="H76" s="42">
        <v>9.35E-2</v>
      </c>
      <c r="I76" s="42">
        <v>9.35E-2</v>
      </c>
      <c r="J76" s="43">
        <f>I76/$J$5</f>
        <v>3.7013578243141601E-3</v>
      </c>
      <c r="K76" s="44">
        <f>I76/$K$4</f>
        <v>3.1166666666666665E-3</v>
      </c>
      <c r="L76" s="45">
        <f>I76-H76</f>
        <v>0</v>
      </c>
      <c r="M76" s="93">
        <f>((I76-H76)/H76)*100</f>
        <v>0</v>
      </c>
      <c r="N76" s="37">
        <v>0</v>
      </c>
      <c r="O76" s="37">
        <v>0</v>
      </c>
      <c r="P76" s="40">
        <v>0</v>
      </c>
      <c r="Q76" s="48">
        <f>I76/G76-1</f>
        <v>-0.10952380952380947</v>
      </c>
    </row>
    <row r="77" spans="1:243" x14ac:dyDescent="0.25">
      <c r="A77" s="35" t="s">
        <v>164</v>
      </c>
      <c r="B77" s="36" t="s">
        <v>165</v>
      </c>
      <c r="C77" s="40">
        <v>136162052</v>
      </c>
      <c r="D77" s="38">
        <f>C77*J77</f>
        <v>280290.83187522274</v>
      </c>
      <c r="E77" s="39">
        <f>C77*K77</f>
        <v>236014.22346666668</v>
      </c>
      <c r="F77" s="40" t="s">
        <v>140</v>
      </c>
      <c r="G77" s="66">
        <v>4.2500000000000003E-2</v>
      </c>
      <c r="H77" s="42">
        <v>5.2000000000000005E-2</v>
      </c>
      <c r="I77" s="42">
        <v>5.2000000000000005E-2</v>
      </c>
      <c r="J77" s="43">
        <f>I77/$J$5</f>
        <v>2.0585091643244529E-3</v>
      </c>
      <c r="K77" s="44">
        <f>I77/$K$4</f>
        <v>1.7333333333333335E-3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0.22352941176470598</v>
      </c>
    </row>
    <row r="78" spans="1:243" x14ac:dyDescent="0.25">
      <c r="A78" s="35" t="s">
        <v>166</v>
      </c>
      <c r="B78" s="36" t="s">
        <v>167</v>
      </c>
      <c r="C78" s="40">
        <v>494417400</v>
      </c>
      <c r="D78" s="38">
        <f>C78*J78</f>
        <v>1565788.844463798</v>
      </c>
      <c r="E78" s="39">
        <f>C78*K78</f>
        <v>1318446.3999999999</v>
      </c>
      <c r="F78" s="40" t="s">
        <v>140</v>
      </c>
      <c r="G78" s="66">
        <v>6.0499999999999998E-2</v>
      </c>
      <c r="H78" s="42">
        <v>0.08</v>
      </c>
      <c r="I78" s="42">
        <v>0.08</v>
      </c>
      <c r="J78" s="43">
        <f>I78/$J$5</f>
        <v>3.1669371758837736E-3</v>
      </c>
      <c r="K78" s="44">
        <f>I78/$K$4</f>
        <v>2.6666666666666666E-3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0.3223140495867769</v>
      </c>
    </row>
    <row r="79" spans="1:243" x14ac:dyDescent="0.25">
      <c r="A79" s="35" t="s">
        <v>168</v>
      </c>
      <c r="B79" s="36" t="s">
        <v>169</v>
      </c>
      <c r="C79" s="37">
        <v>41156692</v>
      </c>
      <c r="D79" s="38">
        <f>C79*J79</f>
        <v>2606813.1586239659</v>
      </c>
      <c r="E79" s="39">
        <f>C79*K79</f>
        <v>2195023.5733333332</v>
      </c>
      <c r="F79" s="40" t="s">
        <v>140</v>
      </c>
      <c r="G79" s="66">
        <v>1.85</v>
      </c>
      <c r="H79" s="42">
        <v>1.6</v>
      </c>
      <c r="I79" s="42">
        <v>1.6</v>
      </c>
      <c r="J79" s="43">
        <f>I79/$J$5</f>
        <v>6.3338743517675475E-2</v>
      </c>
      <c r="K79" s="44">
        <f>I79/$K$4</f>
        <v>5.3333333333333337E-2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-0.13513513513513509</v>
      </c>
    </row>
    <row r="80" spans="1:243" ht="13.8" thickBot="1" x14ac:dyDescent="0.4">
      <c r="A80" s="35"/>
      <c r="B80" s="36" t="s">
        <v>82</v>
      </c>
      <c r="C80" s="37"/>
      <c r="D80" s="37"/>
      <c r="E80" s="37"/>
      <c r="F80" s="40"/>
      <c r="G80" s="40"/>
      <c r="H80" s="42"/>
      <c r="I80" s="42"/>
      <c r="J80" s="42"/>
      <c r="K80" s="42"/>
      <c r="L80" s="45"/>
      <c r="M80" s="45"/>
      <c r="N80" s="57">
        <f>SUM(N76:N79)</f>
        <v>0</v>
      </c>
      <c r="O80" s="58">
        <f>SUM(O76:O79)</f>
        <v>0</v>
      </c>
      <c r="P80" s="73"/>
      <c r="Q80" s="59"/>
      <c r="DU80" s="94"/>
      <c r="DV80" s="94"/>
      <c r="DW80" s="95"/>
      <c r="DX80" s="96"/>
      <c r="DY80" s="96"/>
      <c r="DZ80" s="97"/>
      <c r="EA80" s="97"/>
      <c r="EB80" s="98"/>
      <c r="EC80" s="98"/>
      <c r="ED80" s="99"/>
      <c r="EE80" s="99"/>
      <c r="EF80" s="97"/>
      <c r="EG80" s="100"/>
      <c r="EH80" s="101"/>
      <c r="EI80" s="95"/>
      <c r="EJ80" s="94"/>
      <c r="EK80" s="94"/>
      <c r="EL80" s="95"/>
      <c r="EM80" s="96"/>
      <c r="EN80" s="96"/>
      <c r="EO80" s="97"/>
      <c r="EP80" s="97"/>
      <c r="EQ80" s="98"/>
      <c r="ER80" s="98"/>
      <c r="ES80" s="99"/>
      <c r="ET80" s="99"/>
      <c r="EU80" s="97"/>
      <c r="EV80" s="100"/>
      <c r="EW80" s="101"/>
      <c r="EX80" s="95"/>
      <c r="EY80" s="94"/>
      <c r="EZ80" s="94"/>
      <c r="FA80" s="95"/>
      <c r="FB80" s="96"/>
      <c r="FC80" s="96"/>
      <c r="FD80" s="97"/>
      <c r="FE80" s="97"/>
      <c r="FF80" s="98"/>
      <c r="FG80" s="98"/>
      <c r="FH80" s="99"/>
      <c r="FI80" s="99"/>
      <c r="FJ80" s="97"/>
      <c r="FK80" s="100"/>
      <c r="FL80" s="101"/>
      <c r="FM80" s="95"/>
      <c r="FN80" s="94"/>
      <c r="FO80" s="94"/>
      <c r="FP80" s="95"/>
      <c r="FQ80" s="96"/>
      <c r="FR80" s="96"/>
      <c r="FS80" s="97"/>
      <c r="FT80" s="97"/>
      <c r="FU80" s="98"/>
      <c r="FV80" s="98"/>
      <c r="FW80" s="99"/>
      <c r="FX80" s="99"/>
      <c r="FY80" s="97"/>
      <c r="FZ80" s="100"/>
      <c r="GA80" s="101"/>
      <c r="GB80" s="95"/>
      <c r="GC80" s="94"/>
      <c r="GD80" s="94"/>
      <c r="GE80" s="95"/>
      <c r="GF80" s="96"/>
      <c r="GG80" s="96"/>
      <c r="GH80" s="97"/>
      <c r="GI80" s="97"/>
      <c r="GJ80" s="98"/>
      <c r="GK80" s="98"/>
      <c r="GL80" s="99"/>
      <c r="GM80" s="99"/>
      <c r="GN80" s="97"/>
      <c r="GO80" s="100"/>
      <c r="GP80" s="101"/>
      <c r="GQ80" s="95"/>
      <c r="GR80" s="94"/>
      <c r="GS80" s="94"/>
      <c r="GT80" s="95"/>
      <c r="GU80" s="96"/>
      <c r="GV80" s="96"/>
      <c r="GW80" s="97"/>
      <c r="GX80" s="97"/>
      <c r="GY80" s="98"/>
      <c r="GZ80" s="98"/>
      <c r="HA80" s="99"/>
      <c r="HB80" s="99"/>
      <c r="HC80" s="97"/>
      <c r="HD80" s="100"/>
      <c r="HE80" s="101"/>
      <c r="HF80" s="95"/>
      <c r="HG80" s="94"/>
      <c r="HH80" s="94"/>
      <c r="HI80" s="95"/>
      <c r="HJ80" s="96"/>
      <c r="HK80" s="96"/>
      <c r="HL80" s="97"/>
      <c r="HM80" s="97"/>
      <c r="HN80" s="98"/>
      <c r="HO80" s="98"/>
      <c r="HP80" s="99"/>
      <c r="HQ80" s="99"/>
      <c r="HR80" s="97"/>
      <c r="HS80" s="100"/>
      <c r="HT80" s="101"/>
      <c r="HU80" s="95"/>
      <c r="HV80" s="94"/>
      <c r="HW80" s="94"/>
      <c r="HX80" s="95"/>
      <c r="HY80" s="96"/>
      <c r="HZ80" s="96"/>
      <c r="IA80" s="97"/>
      <c r="IB80" s="97"/>
      <c r="IC80" s="98"/>
      <c r="ID80" s="98"/>
      <c r="IE80" s="99"/>
      <c r="IF80" s="99"/>
      <c r="IG80" s="97"/>
      <c r="IH80" s="100"/>
      <c r="II80" s="101"/>
    </row>
    <row r="81" spans="1:38" ht="13.2" thickTop="1" x14ac:dyDescent="0.3">
      <c r="A81" s="127" t="s">
        <v>170</v>
      </c>
      <c r="B81" s="128"/>
      <c r="C81" s="129"/>
      <c r="D81" s="129"/>
      <c r="E81" s="129"/>
      <c r="F81" s="129"/>
      <c r="G81" s="129"/>
      <c r="H81" s="129"/>
      <c r="I81" s="129"/>
      <c r="J81" s="129"/>
      <c r="K81" s="129"/>
      <c r="L81" s="129"/>
      <c r="M81" s="129"/>
      <c r="N81" s="129"/>
      <c r="O81" s="129"/>
      <c r="P81" s="129"/>
      <c r="Q81" s="130"/>
    </row>
    <row r="82" spans="1:38" x14ac:dyDescent="0.25">
      <c r="A82" s="35" t="s">
        <v>171</v>
      </c>
      <c r="B82" s="36" t="s">
        <v>172</v>
      </c>
      <c r="C82" s="40">
        <v>368326244</v>
      </c>
      <c r="D82" s="38">
        <f>C82*J82</f>
        <v>35030434.314160168</v>
      </c>
      <c r="E82" s="39">
        <f>C82*K82</f>
        <v>29496793.373666663</v>
      </c>
      <c r="F82" s="40" t="s">
        <v>173</v>
      </c>
      <c r="G82" s="40">
        <v>1.3</v>
      </c>
      <c r="H82" s="42">
        <v>2.4024999999999999</v>
      </c>
      <c r="I82" s="42">
        <v>2.4024999999999999</v>
      </c>
      <c r="J82" s="43">
        <f>I82/$J$5</f>
        <v>9.5107082063259574E-2</v>
      </c>
      <c r="K82" s="44">
        <f>I82/$K$4</f>
        <v>8.0083333333333326E-2</v>
      </c>
      <c r="L82" s="45">
        <f>I82-H82</f>
        <v>0</v>
      </c>
      <c r="M82" s="45">
        <f>((I82-H82)/H82*100)</f>
        <v>0</v>
      </c>
      <c r="N82" s="47">
        <v>0</v>
      </c>
      <c r="O82" s="37">
        <v>0</v>
      </c>
      <c r="P82" s="47">
        <f>(R82)/J82</f>
        <v>0</v>
      </c>
      <c r="Q82" s="48">
        <f>I82/G82-1</f>
        <v>0.84807692307692295</v>
      </c>
      <c r="R82" s="67"/>
    </row>
    <row r="83" spans="1:38" s="103" customFormat="1" ht="12.6" thickBot="1" x14ac:dyDescent="0.3">
      <c r="A83" s="35" t="s">
        <v>174</v>
      </c>
      <c r="B83" s="36" t="s">
        <v>175</v>
      </c>
      <c r="C83" s="40">
        <v>1841105000</v>
      </c>
      <c r="D83" s="38">
        <f>C83*J83</f>
        <v>81414361.321998328</v>
      </c>
      <c r="E83" s="39">
        <f>C83*K83</f>
        <v>68553606.045166671</v>
      </c>
      <c r="F83" s="40" t="s">
        <v>173</v>
      </c>
      <c r="G83" s="40">
        <v>1.44347</v>
      </c>
      <c r="H83" s="42">
        <v>1.0098860000000001</v>
      </c>
      <c r="I83" s="42">
        <v>1.117051</v>
      </c>
      <c r="J83" s="43">
        <f>I83/$J$5</f>
        <v>4.4220379240726811E-2</v>
      </c>
      <c r="K83" s="44">
        <f>I83/$K$4</f>
        <v>3.7235033333333334E-2</v>
      </c>
      <c r="L83" s="45">
        <f>I83-H83</f>
        <v>0.10716499999999995</v>
      </c>
      <c r="M83" s="45">
        <f>((I83-H83)/H83*100)</f>
        <v>10.611593783852825</v>
      </c>
      <c r="N83" s="47">
        <v>712500</v>
      </c>
      <c r="O83" s="37">
        <v>795888.14749999996</v>
      </c>
      <c r="P83" s="102">
        <f>(R83)/J83</f>
        <v>4.9208080920208661E-2</v>
      </c>
      <c r="Q83" s="48">
        <f>I83/G83-1</f>
        <v>-0.22613493872404689</v>
      </c>
      <c r="R83" s="67">
        <v>2.176E-3</v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</row>
    <row r="84" spans="1:38" ht="13.8" thickBot="1" x14ac:dyDescent="0.4">
      <c r="A84" s="74"/>
      <c r="B84" s="75" t="s">
        <v>82</v>
      </c>
      <c r="C84" s="76"/>
      <c r="D84" s="104"/>
      <c r="E84" s="77"/>
      <c r="F84" s="76"/>
      <c r="G84" s="76"/>
      <c r="H84" s="78"/>
      <c r="I84" s="78"/>
      <c r="J84" s="78"/>
      <c r="K84" s="78"/>
      <c r="L84" s="79"/>
      <c r="M84" s="79"/>
      <c r="N84" s="57">
        <f>SUM(N82:N83)</f>
        <v>712500</v>
      </c>
      <c r="O84" s="58">
        <f>SUM(O82:O83)</f>
        <v>795888.14749999996</v>
      </c>
      <c r="P84" s="105"/>
      <c r="Q84" s="82"/>
    </row>
    <row r="85" spans="1:38" ht="12.6" thickBot="1" x14ac:dyDescent="0.3">
      <c r="A85" s="106"/>
      <c r="B85" s="107"/>
      <c r="C85" s="107"/>
      <c r="D85" s="107"/>
      <c r="E85" s="107"/>
      <c r="F85" s="108"/>
      <c r="G85" s="108"/>
      <c r="H85" s="55"/>
      <c r="M85" s="84"/>
      <c r="N85" s="84"/>
      <c r="O85" s="55"/>
      <c r="P85" s="55"/>
      <c r="Q85" s="109"/>
    </row>
    <row r="86" spans="1:38" ht="12.6" thickBot="1" x14ac:dyDescent="0.3">
      <c r="A86" s="131" t="s">
        <v>176</v>
      </c>
      <c r="B86" s="132"/>
      <c r="C86" s="132"/>
      <c r="D86" s="132"/>
      <c r="E86" s="131" t="s">
        <v>177</v>
      </c>
      <c r="F86" s="132"/>
      <c r="G86" s="132"/>
      <c r="H86" s="133"/>
      <c r="L86" s="134" t="s">
        <v>178</v>
      </c>
      <c r="M86" s="135"/>
      <c r="N86" s="136"/>
      <c r="O86" s="134" t="s">
        <v>179</v>
      </c>
      <c r="P86" s="135"/>
      <c r="Q86" s="136"/>
    </row>
    <row r="87" spans="1:38" x14ac:dyDescent="0.25">
      <c r="A87" s="35" t="s">
        <v>35</v>
      </c>
      <c r="B87" s="110">
        <v>3.3881000000000001E-2</v>
      </c>
      <c r="C87" s="110"/>
      <c r="D87" s="110">
        <v>12.036639000033084</v>
      </c>
      <c r="E87" s="35" t="s">
        <v>115</v>
      </c>
      <c r="F87" s="111">
        <v>0.75</v>
      </c>
      <c r="G87" s="111"/>
      <c r="H87" s="112">
        <v>-11.764705882352938</v>
      </c>
      <c r="L87" s="35" t="s">
        <v>130</v>
      </c>
      <c r="M87" s="47">
        <v>0.1079</v>
      </c>
      <c r="N87" s="113">
        <v>3.6503362151777115</v>
      </c>
      <c r="O87" s="35" t="s">
        <v>124</v>
      </c>
      <c r="P87" s="111">
        <v>50.05</v>
      </c>
      <c r="Q87" s="112">
        <v>-16.513761467889918</v>
      </c>
    </row>
    <row r="88" spans="1:38" x14ac:dyDescent="0.25">
      <c r="A88" s="35" t="s">
        <v>74</v>
      </c>
      <c r="B88" s="110">
        <v>2.5418959999999999</v>
      </c>
      <c r="C88" s="110"/>
      <c r="D88" s="110">
        <v>10.517217391304353</v>
      </c>
      <c r="E88" s="35" t="s">
        <v>103</v>
      </c>
      <c r="F88" s="111">
        <v>9.0200000000000002E-2</v>
      </c>
      <c r="G88" s="111"/>
      <c r="H88" s="112">
        <v>-5.3266859092101768</v>
      </c>
      <c r="L88" s="35" t="s">
        <v>143</v>
      </c>
      <c r="M88" s="47">
        <v>0.31509999999999999</v>
      </c>
      <c r="N88" s="113">
        <v>3.5491291488662426</v>
      </c>
      <c r="O88" s="35" t="s">
        <v>149</v>
      </c>
      <c r="P88" s="111">
        <v>0.06</v>
      </c>
      <c r="Q88" s="114">
        <v>-4.3062200956937922</v>
      </c>
    </row>
    <row r="89" spans="1:38" x14ac:dyDescent="0.25">
      <c r="A89" s="35" t="s">
        <v>78</v>
      </c>
      <c r="B89" s="110">
        <v>0.85</v>
      </c>
      <c r="C89" s="110"/>
      <c r="D89" s="110">
        <v>4.6839284306770796</v>
      </c>
      <c r="E89" s="35" t="s">
        <v>86</v>
      </c>
      <c r="F89" s="111">
        <v>1.48</v>
      </c>
      <c r="G89" s="111"/>
      <c r="H89" s="112">
        <v>-1.3004334778259321</v>
      </c>
      <c r="L89" s="35" t="s">
        <v>145</v>
      </c>
      <c r="M89" s="47">
        <v>0.67920000000000003</v>
      </c>
      <c r="N89" s="113">
        <v>0.66696309470876824</v>
      </c>
      <c r="O89" s="35" t="s">
        <v>141</v>
      </c>
      <c r="P89" s="111">
        <v>1.0153000000000001</v>
      </c>
      <c r="Q89" s="114">
        <v>-4.1265344664777954</v>
      </c>
    </row>
    <row r="90" spans="1:38" x14ac:dyDescent="0.25">
      <c r="A90" s="35" t="s">
        <v>97</v>
      </c>
      <c r="B90" s="110">
        <v>1.9999910000000001</v>
      </c>
      <c r="C90" s="110"/>
      <c r="D90" s="110">
        <v>3.0229118835918372</v>
      </c>
      <c r="E90" s="35" t="s">
        <v>52</v>
      </c>
      <c r="F90" s="111">
        <v>26.846799999999998</v>
      </c>
      <c r="G90" s="111"/>
      <c r="H90" s="112">
        <v>-0.53867413549098875</v>
      </c>
      <c r="L90" s="35"/>
      <c r="M90" s="47"/>
      <c r="N90" s="113"/>
      <c r="O90" s="35" t="s">
        <v>122</v>
      </c>
      <c r="P90" s="111">
        <v>0.13</v>
      </c>
      <c r="Q90" s="114">
        <v>-3.2738095238095144</v>
      </c>
    </row>
    <row r="91" spans="1:38" x14ac:dyDescent="0.25">
      <c r="A91" s="35" t="s">
        <v>45</v>
      </c>
      <c r="B91" s="110">
        <v>15.875299999999999</v>
      </c>
      <c r="C91" s="110"/>
      <c r="D91" s="110">
        <v>2.4483895740163555</v>
      </c>
      <c r="E91" s="35" t="s">
        <v>67</v>
      </c>
      <c r="F91" s="111">
        <v>0.1</v>
      </c>
      <c r="G91" s="111"/>
      <c r="H91" s="112">
        <v>-0.49751243781094567</v>
      </c>
      <c r="L91" s="35"/>
      <c r="M91" s="47"/>
      <c r="N91" s="113"/>
      <c r="O91" s="35"/>
      <c r="P91" s="111"/>
      <c r="Q91" s="114"/>
    </row>
    <row r="92" spans="1:38" ht="12.6" thickBot="1" x14ac:dyDescent="0.3">
      <c r="A92" s="115"/>
      <c r="B92" s="116"/>
      <c r="C92" s="116"/>
      <c r="D92" s="116"/>
      <c r="E92" s="115"/>
      <c r="F92" s="116"/>
      <c r="G92" s="116"/>
      <c r="H92" s="117"/>
      <c r="L92" s="115"/>
      <c r="M92" s="116"/>
      <c r="N92" s="117"/>
      <c r="O92" s="116"/>
      <c r="P92" s="116"/>
      <c r="Q92" s="117"/>
    </row>
    <row r="93" spans="1:38" x14ac:dyDescent="0.25">
      <c r="A93" s="118"/>
      <c r="B93" s="119"/>
      <c r="C93" s="119"/>
      <c r="D93" s="119"/>
      <c r="E93" s="84"/>
      <c r="F93" s="84"/>
      <c r="G93" s="84"/>
      <c r="H93" s="84"/>
      <c r="I93" s="84"/>
      <c r="J93" s="84"/>
      <c r="K93" s="84"/>
      <c r="L93" s="84"/>
      <c r="M93" s="119"/>
      <c r="Q93" s="16"/>
    </row>
    <row r="94" spans="1:38" x14ac:dyDescent="0.25">
      <c r="A94" s="12" t="s">
        <v>180</v>
      </c>
      <c r="B94" s="120"/>
      <c r="C94" s="120"/>
      <c r="D94" s="120"/>
      <c r="E94" s="120"/>
      <c r="F94" s="13"/>
      <c r="G94" s="13"/>
      <c r="H94" s="13"/>
      <c r="I94" s="13"/>
      <c r="J94" s="13"/>
      <c r="K94" s="13"/>
      <c r="L94" s="13"/>
      <c r="M94" s="13"/>
      <c r="Q94" s="16"/>
    </row>
    <row r="95" spans="1:38" x14ac:dyDescent="0.25">
      <c r="A95" s="118"/>
      <c r="B95" s="119"/>
      <c r="C95" s="119"/>
      <c r="D95" s="119"/>
      <c r="E95" s="119"/>
      <c r="F95" s="84"/>
      <c r="G95" s="84"/>
      <c r="H95" s="119"/>
      <c r="I95" s="84"/>
      <c r="J95" s="84"/>
      <c r="K95" s="84"/>
      <c r="L95" s="84"/>
      <c r="M95" s="119"/>
      <c r="Q95" s="16"/>
    </row>
    <row r="96" spans="1:38" ht="12.6" thickBot="1" x14ac:dyDescent="0.3">
      <c r="A96" s="121"/>
      <c r="B96" s="122"/>
      <c r="C96" s="122"/>
      <c r="D96" s="122"/>
      <c r="E96" s="122"/>
      <c r="F96" s="123"/>
      <c r="G96" s="123"/>
      <c r="H96" s="123"/>
      <c r="I96" s="124"/>
      <c r="J96" s="124"/>
      <c r="K96" s="124"/>
      <c r="L96" s="124"/>
      <c r="M96" s="124"/>
      <c r="N96" s="124"/>
      <c r="O96" s="124"/>
      <c r="P96" s="124"/>
      <c r="Q96" s="125"/>
    </row>
    <row r="97" spans="9:16" x14ac:dyDescent="0.25">
      <c r="I97" s="32"/>
      <c r="J97" s="32"/>
      <c r="K97" s="32"/>
      <c r="L97" s="32"/>
      <c r="M97" s="32"/>
      <c r="N97" s="32"/>
      <c r="O97" s="32"/>
      <c r="P97" s="32"/>
    </row>
    <row r="98" spans="9:16" x14ac:dyDescent="0.25">
      <c r="I98" s="32"/>
      <c r="J98" s="32"/>
      <c r="K98" s="32"/>
      <c r="O98" s="32"/>
      <c r="P98" s="32"/>
    </row>
    <row r="99" spans="9:16" x14ac:dyDescent="0.25">
      <c r="I99" s="32"/>
      <c r="J99" s="32"/>
      <c r="K99" s="32"/>
      <c r="O99" s="32"/>
      <c r="P99" s="32"/>
    </row>
    <row r="100" spans="9:16" x14ac:dyDescent="0.25">
      <c r="I100" s="126"/>
      <c r="J100" s="126"/>
      <c r="K100" s="126"/>
      <c r="O100" s="126"/>
      <c r="P100" s="126"/>
    </row>
    <row r="102" spans="9:16" x14ac:dyDescent="0.25">
      <c r="I102" s="32"/>
      <c r="J102" s="32"/>
      <c r="K102" s="32"/>
      <c r="O102" s="32"/>
      <c r="P102" s="32"/>
    </row>
    <row r="103" spans="9:16" x14ac:dyDescent="0.25">
      <c r="I103" s="126"/>
      <c r="J103" s="126"/>
      <c r="K103" s="126"/>
      <c r="O103" s="126"/>
      <c r="P103" s="126"/>
    </row>
    <row r="104" spans="9:16" x14ac:dyDescent="0.25">
      <c r="I104" s="32"/>
      <c r="J104" s="32"/>
      <c r="K104" s="32"/>
      <c r="O104" s="32"/>
      <c r="P104" s="32"/>
    </row>
    <row r="105" spans="9:16" x14ac:dyDescent="0.25">
      <c r="I105" s="126"/>
      <c r="J105" s="126"/>
      <c r="K105" s="126"/>
      <c r="O105" s="126"/>
      <c r="P105" s="126"/>
    </row>
  </sheetData>
  <sheetProtection algorithmName="SHA-512" hashValue="JqerlnSDR6oWqj/cuDtNK6mIjFoOntehaMl4hIKAJm62BgMQ+MB/VeRUWd6jq9Ngadrm49aFlf7oFZhg7NMPLg==" saltValue="IoX6brgzxcLuq1dt7lzq6Q==" spinCount="100000" sheet="1"/>
  <mergeCells count="11">
    <mergeCell ref="A75:Q75"/>
    <mergeCell ref="L5:M5"/>
    <mergeCell ref="A6:Q6"/>
    <mergeCell ref="A51:Q51"/>
    <mergeCell ref="A68:Q68"/>
    <mergeCell ref="A71:Q71"/>
    <mergeCell ref="A81:Q81"/>
    <mergeCell ref="A86:D86"/>
    <mergeCell ref="E86:H86"/>
    <mergeCell ref="L86:N86"/>
    <mergeCell ref="O86:Q86"/>
  </mergeCells>
  <conditionalFormatting sqref="A10:A12">
    <cfRule type="duplicateValues" dxfId="37" priority="42" stopIfTrue="1"/>
  </conditionalFormatting>
  <conditionalFormatting sqref="A30:A35">
    <cfRule type="duplicateValues" dxfId="36" priority="43" stopIfTrue="1"/>
  </conditionalFormatting>
  <conditionalFormatting sqref="A87:A89">
    <cfRule type="duplicateValues" dxfId="35" priority="1" stopIfTrue="1"/>
  </conditionalFormatting>
  <conditionalFormatting sqref="L10:M27 L29:M48 L52:M66">
    <cfRule type="cellIs" dxfId="34" priority="39" stopIfTrue="1" operator="greaterThan">
      <formula>0</formula>
    </cfRule>
    <cfRule type="cellIs" priority="41" stopIfTrue="1" operator="greaterThan">
      <formula>0</formula>
    </cfRule>
    <cfRule type="cellIs" dxfId="33" priority="40" stopIfTrue="1" operator="greaterThan">
      <formula>0</formula>
    </cfRule>
  </conditionalFormatting>
  <conditionalFormatting sqref="L10:M48">
    <cfRule type="cellIs" dxfId="32" priority="16" stopIfTrue="1" operator="greaterThan">
      <formula>0</formula>
    </cfRule>
    <cfRule type="cellIs" dxfId="31" priority="12" stopIfTrue="1" operator="lessThan">
      <formula>0</formula>
    </cfRule>
  </conditionalFormatting>
  <conditionalFormatting sqref="L28:M28">
    <cfRule type="cellIs" priority="17" stopIfTrue="1" operator="greaterThan">
      <formula>0</formula>
    </cfRule>
    <cfRule type="cellIs" dxfId="30" priority="13" stopIfTrue="1" operator="greaterThan">
      <formula>0</formula>
    </cfRule>
    <cfRule type="cellIs" dxfId="29" priority="14" stopIfTrue="1" operator="lessThan">
      <formula>0</formula>
    </cfRule>
    <cfRule type="cellIs" dxfId="28" priority="15" stopIfTrue="1" operator="greaterThan">
      <formula>0</formula>
    </cfRule>
  </conditionalFormatting>
  <conditionalFormatting sqref="L52:M66 L10:M27 L29:M48">
    <cfRule type="cellIs" dxfId="27" priority="38" stopIfTrue="1" operator="lessThan">
      <formula>0</formula>
    </cfRule>
  </conditionalFormatting>
  <conditionalFormatting sqref="L52:M66">
    <cfRule type="cellIs" dxfId="26" priority="37" stopIfTrue="1" operator="greaterThan">
      <formula>0</formula>
    </cfRule>
    <cfRule type="cellIs" dxfId="25" priority="36" stopIfTrue="1" operator="lessThan">
      <formula>0</formula>
    </cfRule>
  </conditionalFormatting>
  <conditionalFormatting sqref="L72:M73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priority="7" stopIfTrue="1" operator="greaterThan">
      <formula>0</formula>
    </cfRule>
    <cfRule type="cellIs" dxfId="20" priority="6" stopIfTrue="1" operator="greaterThan">
      <formula>0</formula>
    </cfRule>
  </conditionalFormatting>
  <conditionalFormatting sqref="L76:M79">
    <cfRule type="cellIs" dxfId="19" priority="30" stopIfTrue="1" operator="lessThan">
      <formula>0</formula>
    </cfRule>
    <cfRule type="cellIs" dxfId="18" priority="31" stopIfTrue="1" operator="greaterThan">
      <formula>0</formula>
    </cfRule>
    <cfRule type="cellIs" dxfId="17" priority="32" stopIfTrue="1" operator="lessThan">
      <formula>0</formula>
    </cfRule>
    <cfRule type="cellIs" dxfId="16" priority="34" stopIfTrue="1" operator="greaterThan">
      <formula>0</formula>
    </cfRule>
    <cfRule type="cellIs" priority="35" stopIfTrue="1" operator="greaterThan">
      <formula>0</formula>
    </cfRule>
    <cfRule type="cellIs" dxfId="15" priority="33" stopIfTrue="1" operator="greaterThan">
      <formula>0</formula>
    </cfRule>
  </conditionalFormatting>
  <conditionalFormatting sqref="L82:M83">
    <cfRule type="cellIs" dxfId="14" priority="24" stopIfTrue="1" operator="lessThan">
      <formula>0</formula>
    </cfRule>
    <cfRule type="cellIs" dxfId="13" priority="25" stopIfTrue="1" operator="greaterThan">
      <formula>0</formula>
    </cfRule>
    <cfRule type="cellIs" dxfId="12" priority="26" stopIfTrue="1" operator="lessThan">
      <formula>0</formula>
    </cfRule>
    <cfRule type="cellIs" dxfId="11" priority="28" stopIfTrue="1" operator="greaterThan">
      <formula>0</formula>
    </cfRule>
    <cfRule type="cellIs" priority="29" stopIfTrue="1" operator="greaterThan">
      <formula>0</formula>
    </cfRule>
    <cfRule type="cellIs" dxfId="10" priority="27" stopIfTrue="1" operator="greaterThan">
      <formula>0</formula>
    </cfRule>
  </conditionalFormatting>
  <conditionalFormatting sqref="Q10:Q48">
    <cfRule type="cellIs" dxfId="9" priority="11" stopIfTrue="1" operator="lessThan">
      <formula>0</formula>
    </cfRule>
    <cfRule type="cellIs" dxfId="8" priority="10" stopIfTrue="1" operator="greaterThan">
      <formula>0</formula>
    </cfRule>
  </conditionalFormatting>
  <conditionalFormatting sqref="Q52:Q66">
    <cfRule type="cellIs" dxfId="7" priority="23" stopIfTrue="1" operator="lessThan">
      <formula>0</formula>
    </cfRule>
    <cfRule type="cellIs" dxfId="6" priority="22" stopIfTrue="1" operator="greaterThan">
      <formula>0</formula>
    </cfRule>
  </conditionalFormatting>
  <conditionalFormatting sqref="Q72:Q73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6:Q79">
    <cfRule type="cellIs" dxfId="3" priority="21" stopIfTrue="1" operator="lessThan">
      <formula>0</formula>
    </cfRule>
    <cfRule type="cellIs" dxfId="2" priority="20" stopIfTrue="1" operator="greaterThan">
      <formula>0</formula>
    </cfRule>
  </conditionalFormatting>
  <conditionalFormatting sqref="Q82:Q83">
    <cfRule type="cellIs" dxfId="1" priority="19" stopIfTrue="1" operator="lessThan">
      <formula>0</formula>
    </cfRule>
    <cfRule type="cellIs" dxfId="0" priority="18" stopIfTrue="1" operator="greater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2026-04-23T13:48:25Z</dcterms:created>
  <dcterms:modified xsi:type="dcterms:W3CDTF">2026-04-23T13:52:33Z</dcterms:modified>
</cp:coreProperties>
</file>