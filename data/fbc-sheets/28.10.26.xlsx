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28.10.26/"/>
    </mc:Choice>
  </mc:AlternateContent>
  <xr:revisionPtr revIDLastSave="0" documentId="8_{D61BFB42-66D2-4C26-9BAD-9AC65BDBAD8A}" xr6:coauthVersionLast="47" xr6:coauthVersionMax="47" xr10:uidLastSave="{00000000-0000-0000-0000-000000000000}"/>
  <bookViews>
    <workbookView xWindow="-108" yWindow="-108" windowWidth="23256" windowHeight="12456" xr2:uid="{BB8167A3-028F-47DE-80ED-0AEC73E687C1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P84" i="1"/>
  <c r="M84" i="1"/>
  <c r="L84" i="1"/>
  <c r="K84" i="1"/>
  <c r="J84" i="1"/>
  <c r="E84" i="1"/>
  <c r="D84" i="1"/>
  <c r="O82" i="1"/>
  <c r="N82" i="1"/>
  <c r="Q81" i="1"/>
  <c r="M81" i="1"/>
  <c r="L81" i="1"/>
  <c r="K81" i="1"/>
  <c r="E81" i="1" s="1"/>
  <c r="J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K71" i="1"/>
  <c r="E71" i="1" s="1"/>
  <c r="J71" i="1"/>
  <c r="D71" i="1"/>
  <c r="M68" i="1"/>
  <c r="L68" i="1"/>
  <c r="D68" i="1"/>
  <c r="O66" i="1"/>
  <c r="N66" i="1"/>
  <c r="M65" i="1"/>
  <c r="L65" i="1"/>
  <c r="J65" i="1"/>
  <c r="M64" i="1"/>
  <c r="L64" i="1"/>
  <c r="J64" i="1"/>
  <c r="D64" i="1"/>
  <c r="M63" i="1"/>
  <c r="L63" i="1"/>
  <c r="J63" i="1"/>
  <c r="D63" i="1"/>
  <c r="M62" i="1"/>
  <c r="L62" i="1"/>
  <c r="J62" i="1"/>
  <c r="M61" i="1"/>
  <c r="L61" i="1"/>
  <c r="J61" i="1"/>
  <c r="D61" i="1"/>
  <c r="M60" i="1"/>
  <c r="L60" i="1"/>
  <c r="J60" i="1"/>
  <c r="Q59" i="1"/>
  <c r="M59" i="1"/>
  <c r="L59" i="1"/>
  <c r="J59" i="1"/>
  <c r="P59" i="1" s="1"/>
  <c r="D59" i="1"/>
  <c r="M58" i="1"/>
  <c r="L58" i="1"/>
  <c r="J58" i="1"/>
  <c r="D58" i="1"/>
  <c r="M57" i="1"/>
  <c r="L57" i="1"/>
  <c r="J57" i="1"/>
  <c r="D57" i="1"/>
  <c r="M56" i="1"/>
  <c r="L56" i="1"/>
  <c r="J56" i="1"/>
  <c r="M55" i="1"/>
  <c r="L55" i="1"/>
  <c r="J55" i="1"/>
  <c r="D55" i="1"/>
  <c r="M54" i="1"/>
  <c r="L54" i="1"/>
  <c r="J54" i="1"/>
  <c r="D54" i="1"/>
  <c r="L53" i="1"/>
  <c r="J53" i="1"/>
  <c r="M52" i="1"/>
  <c r="L52" i="1"/>
  <c r="J52" i="1"/>
  <c r="Q52" i="1" s="1"/>
  <c r="D52" i="1"/>
  <c r="M51" i="1"/>
  <c r="L51" i="1"/>
  <c r="J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E44" i="1" s="1"/>
  <c r="J44" i="1"/>
  <c r="P44" i="1" s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E42" i="1" s="1"/>
  <c r="J42" i="1"/>
  <c r="P42" i="1" s="1"/>
  <c r="D42" i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E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E31" i="1"/>
  <c r="K30" i="1"/>
  <c r="J30" i="1"/>
  <c r="D30" i="1" s="1"/>
  <c r="E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E20" i="1" s="1"/>
  <c r="J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E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E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5" i="1" l="1"/>
  <c r="E75" i="1" s="1"/>
  <c r="Q75" i="1"/>
  <c r="P75" i="1"/>
  <c r="Q72" i="1"/>
  <c r="P72" i="1"/>
  <c r="K72" i="1"/>
  <c r="E72" i="1" s="1"/>
  <c r="Q71" i="1"/>
  <c r="P71" i="1"/>
  <c r="P65" i="1"/>
  <c r="D65" i="1"/>
  <c r="Q65" i="1"/>
  <c r="P64" i="1"/>
  <c r="Q64" i="1"/>
  <c r="P63" i="1"/>
  <c r="Q63" i="1"/>
  <c r="P62" i="1"/>
  <c r="D62" i="1"/>
  <c r="Q62" i="1"/>
  <c r="P61" i="1"/>
  <c r="Q61" i="1"/>
  <c r="Q60" i="1"/>
  <c r="D60" i="1"/>
  <c r="P60" i="1"/>
  <c r="Q58" i="1"/>
  <c r="P58" i="1"/>
  <c r="P57" i="1"/>
  <c r="Q57" i="1"/>
  <c r="P56" i="1"/>
  <c r="D56" i="1"/>
  <c r="Q56" i="1"/>
  <c r="P55" i="1"/>
  <c r="Q55" i="1"/>
  <c r="Q54" i="1"/>
  <c r="P54" i="1"/>
  <c r="P53" i="1"/>
  <c r="D53" i="1"/>
  <c r="Q51" i="1"/>
  <c r="P51" i="1"/>
  <c r="D51" i="1"/>
  <c r="Q50" i="1"/>
  <c r="P50" i="1"/>
  <c r="D36" i="1"/>
  <c r="P36" i="1"/>
  <c r="P31" i="1"/>
  <c r="D31" i="1"/>
  <c r="D20" i="1"/>
  <c r="P20" i="1"/>
  <c r="D16" i="1"/>
  <c r="P16" i="1"/>
  <c r="D12" i="1"/>
  <c r="P12" i="1"/>
</calcChain>
</file>

<file path=xl/sharedStrings.xml><?xml version="1.0" encoding="utf-8"?>
<sst xmlns="http://schemas.openxmlformats.org/spreadsheetml/2006/main" count="269" uniqueCount="185">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</sst>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C25984B6-F4A0-4E86-91D6-62CCE0AA0C04}"/>
    <cellStyle name="Comma 5 2 2 2 2 2 2 2 2 2 2 2 2 2" xfId="4" xr:uid="{1A89DE79-C885-4682-83B0-5A38D3176EA7}"/>
    <cellStyle name="Comma 6 2 2 2 2 2 2 2 2" xfId="6" xr:uid="{F735AC36-BD07-4651-BF8F-0213AEFCD39A}"/>
    <cellStyle name="Hyperlink 2" xfId="8" xr:uid="{F1AF4E63-19F2-4383-ACCE-63AD61AACBF6}"/>
    <cellStyle name="Normal" xfId="0" builtinId="0"/>
    <cellStyle name="Normal 2" xfId="2" xr:uid="{609DBBE9-F5DE-449A-B2CE-7955FA6BF4A1}"/>
    <cellStyle name="Normal 20" xfId="7" xr:uid="{FA8D0219-FDEA-4409-84F4-00FBF9E1D4C4}"/>
    <cellStyle name="Percent" xfId="1" builtinId="5"/>
    <cellStyle name="Percent 3" xfId="5" xr:uid="{B53F297B-4C03-4835-9588-CEC01ABB5398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F73AC66C-6373-49EE-AFFB-43814D70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24F9E48-6A19-4632-95A2-27750FA2C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5B47-9C58-455A-B0FD-84850CE14644}">
  <dimension ref="A1:II107"/>
  <sheetViews>
    <sheetView tabSelected="1" zoomScale="70" zoomScaleNormal="70" workbookViewId="0">
      <selection activeCell="S98" sqref="S98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26.5641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3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90146262.850990623</v>
      </c>
      <c r="E9" s="39">
        <f t="shared" ref="E9:E45" si="1">C9*K9</f>
        <v>74832948.15625</v>
      </c>
      <c r="F9" s="40" t="s">
        <v>34</v>
      </c>
      <c r="G9" s="41">
        <v>8.9894999999999996</v>
      </c>
      <c r="H9" s="42">
        <v>19</v>
      </c>
      <c r="I9" s="43">
        <v>19</v>
      </c>
      <c r="J9" s="44">
        <f>(I9/$J$5)</f>
        <v>0.71525103429064041</v>
      </c>
      <c r="K9" s="45">
        <f t="shared" ref="K9:K17" si="2">I9/$K$4</f>
        <v>0.59375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2.0971657894736841E-2</v>
      </c>
      <c r="Q9" s="48">
        <f t="shared" ref="Q9:Q17" si="6">I9/G9-1</f>
        <v>1.113576950887146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8468747.5755030289</v>
      </c>
      <c r="E10" s="39">
        <f t="shared" si="1"/>
        <v>7030145.5459506251</v>
      </c>
      <c r="F10" s="40" t="s">
        <v>34</v>
      </c>
      <c r="G10" s="41">
        <v>3.1600000000000003E-2</v>
      </c>
      <c r="H10" s="42">
        <v>0.13695599999999999</v>
      </c>
      <c r="I10" s="43">
        <v>0.138236</v>
      </c>
      <c r="J10" s="44">
        <f t="shared" ref="J10:J17" si="7">I10/$J$5</f>
        <v>5.2038653671684721E-3</v>
      </c>
      <c r="K10" s="45">
        <f t="shared" si="2"/>
        <v>4.3198749999999999E-3</v>
      </c>
      <c r="L10" s="46">
        <f t="shared" si="3"/>
        <v>1.2800000000000034E-3</v>
      </c>
      <c r="M10" s="46">
        <f t="shared" si="4"/>
        <v>0.93460673500978664</v>
      </c>
      <c r="N10" s="50">
        <v>86400</v>
      </c>
      <c r="O10" s="37">
        <v>11943.6</v>
      </c>
      <c r="P10" s="51">
        <f t="shared" si="5"/>
        <v>0</v>
      </c>
      <c r="Q10" s="48">
        <f t="shared" si="6"/>
        <v>3.3745569620253155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2960985.8651337707</v>
      </c>
      <c r="E11" s="39">
        <f t="shared" si="1"/>
        <v>2457997.6443749997</v>
      </c>
      <c r="F11" s="40" t="s">
        <v>39</v>
      </c>
      <c r="G11" s="41">
        <v>7.8E-2</v>
      </c>
      <c r="H11" s="42">
        <v>0.18</v>
      </c>
      <c r="I11" s="43">
        <v>0.18</v>
      </c>
      <c r="J11" s="44">
        <f t="shared" si="7"/>
        <v>6.7760624301218559E-3</v>
      </c>
      <c r="K11" s="45">
        <f t="shared" si="2"/>
        <v>5.6249999999999998E-3</v>
      </c>
      <c r="L11" s="46">
        <f t="shared" si="3"/>
        <v>0</v>
      </c>
      <c r="M11" s="46">
        <f t="shared" si="4"/>
        <v>0</v>
      </c>
      <c r="N11" s="50">
        <v>45800</v>
      </c>
      <c r="O11" s="37">
        <v>8244</v>
      </c>
      <c r="P11" s="51">
        <f t="shared" si="5"/>
        <v>0</v>
      </c>
      <c r="Q11" s="48">
        <f t="shared" si="6"/>
        <v>1.3076923076923075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147872722.91833717</v>
      </c>
      <c r="E12" s="39">
        <f t="shared" si="1"/>
        <v>122753306.21484375</v>
      </c>
      <c r="F12" s="40" t="s">
        <v>34</v>
      </c>
      <c r="G12" s="41">
        <v>97.381</v>
      </c>
      <c r="H12" s="42">
        <v>190</v>
      </c>
      <c r="I12" s="43">
        <v>190.375</v>
      </c>
      <c r="J12" s="44">
        <f t="shared" si="7"/>
        <v>7.1666271396358248</v>
      </c>
      <c r="K12" s="45">
        <f t="shared" si="2"/>
        <v>5.94921875</v>
      </c>
      <c r="L12" s="46">
        <f t="shared" si="3"/>
        <v>0.375</v>
      </c>
      <c r="M12" s="46">
        <f t="shared" si="4"/>
        <v>0.19736842105263158</v>
      </c>
      <c r="N12" s="50">
        <v>800</v>
      </c>
      <c r="O12" s="37">
        <v>152300</v>
      </c>
      <c r="P12" s="51">
        <f t="shared" si="5"/>
        <v>0</v>
      </c>
      <c r="Q12" s="48">
        <f t="shared" si="6"/>
        <v>0.9549501442786581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9864939.5236428101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1.1293437383536427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590264452.77649152</v>
      </c>
      <c r="E14" s="39">
        <f t="shared" si="1"/>
        <v>489995123.4375</v>
      </c>
      <c r="F14" s="40" t="s">
        <v>47</v>
      </c>
      <c r="G14" s="41">
        <v>11.5</v>
      </c>
      <c r="H14" s="42">
        <v>31.998913999999999</v>
      </c>
      <c r="I14" s="43">
        <v>30</v>
      </c>
      <c r="J14" s="44">
        <f t="shared" si="7"/>
        <v>1.1293437383536427</v>
      </c>
      <c r="K14" s="45">
        <f t="shared" si="2"/>
        <v>0.9375</v>
      </c>
      <c r="L14" s="46">
        <f t="shared" si="3"/>
        <v>-1.9989139999999992</v>
      </c>
      <c r="M14" s="46">
        <f t="shared" si="4"/>
        <v>-6.2468182513944042</v>
      </c>
      <c r="N14" s="50">
        <v>1000</v>
      </c>
      <c r="O14" s="37">
        <v>30000</v>
      </c>
      <c r="P14" s="51">
        <f t="shared" si="5"/>
        <v>0</v>
      </c>
      <c r="Q14" s="48">
        <f t="shared" si="6"/>
        <v>1.6086956521739131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31655660.788432509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0.29852319483814621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600</v>
      </c>
      <c r="O15" s="37">
        <v>4758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68732024.64228037</v>
      </c>
      <c r="E16" s="39">
        <f t="shared" si="1"/>
        <v>57056386.743749999</v>
      </c>
      <c r="F16" s="40" t="s">
        <v>34</v>
      </c>
      <c r="G16" s="41">
        <v>1.9</v>
      </c>
      <c r="H16" s="42">
        <v>5.0999999999999996</v>
      </c>
      <c r="I16" s="43">
        <v>5.0999999999999996</v>
      </c>
      <c r="J16" s="44">
        <f t="shared" si="7"/>
        <v>0.19198843552011924</v>
      </c>
      <c r="K16" s="45">
        <f t="shared" si="2"/>
        <v>0.15937499999999999</v>
      </c>
      <c r="L16" s="46">
        <f t="shared" si="3"/>
        <v>0</v>
      </c>
      <c r="M16" s="46">
        <f t="shared" si="4"/>
        <v>0</v>
      </c>
      <c r="N16" s="50">
        <v>7400</v>
      </c>
      <c r="O16" s="37">
        <v>37740</v>
      </c>
      <c r="P16" s="51">
        <f t="shared" si="5"/>
        <v>0.2604323529411765</v>
      </c>
      <c r="Q16" s="48">
        <f t="shared" si="6"/>
        <v>1.6842105263157894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1879788810.9023068</v>
      </c>
      <c r="E17" s="39">
        <f t="shared" si="1"/>
        <v>1560465560.9903114</v>
      </c>
      <c r="F17" s="40" t="s">
        <v>34</v>
      </c>
      <c r="G17" s="41">
        <v>20.701700000000002</v>
      </c>
      <c r="H17" s="42">
        <v>37.050805999999994</v>
      </c>
      <c r="I17" s="43">
        <v>37.050207</v>
      </c>
      <c r="J17" s="44">
        <f t="shared" si="7"/>
        <v>1.3947473093385434</v>
      </c>
      <c r="K17" s="45">
        <f t="shared" si="2"/>
        <v>1.15781896875</v>
      </c>
      <c r="L17" s="46">
        <f t="shared" si="3"/>
        <v>-5.9899999999402098E-4</v>
      </c>
      <c r="M17" s="46">
        <f t="shared" si="4"/>
        <v>-1.6166989727403529E-3</v>
      </c>
      <c r="N17" s="50">
        <v>4259700</v>
      </c>
      <c r="O17" s="37">
        <v>157822768.19999999</v>
      </c>
      <c r="P17" s="47">
        <f t="shared" si="5"/>
        <v>0</v>
      </c>
      <c r="Q17" s="48">
        <f t="shared" si="6"/>
        <v>0.78971809078481447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298485894.06755733</v>
      </c>
      <c r="E19" s="39">
        <f t="shared" si="1"/>
        <v>247781535.58125001</v>
      </c>
      <c r="F19" s="40" t="s">
        <v>47</v>
      </c>
      <c r="G19" s="41">
        <v>12.45</v>
      </c>
      <c r="H19" s="42">
        <v>11.769665999999999</v>
      </c>
      <c r="I19" s="43">
        <v>11.8</v>
      </c>
      <c r="J19" s="44">
        <f t="shared" ref="J19:J45" si="8">I19/$J$5</f>
        <v>0.44420853708576613</v>
      </c>
      <c r="K19" s="45">
        <f t="shared" ref="K19:K45" si="9">I19/$K$4</f>
        <v>0.36875000000000002</v>
      </c>
      <c r="L19" s="46">
        <f t="shared" ref="L19:L29" si="10">I19-H19</f>
        <v>3.0334000000001637E-2</v>
      </c>
      <c r="M19" s="46">
        <f>((I19-H19)/H19)*100</f>
        <v>0.2577303383120782</v>
      </c>
      <c r="N19" s="50">
        <v>200</v>
      </c>
      <c r="O19" s="37">
        <v>2360</v>
      </c>
      <c r="P19" s="51">
        <f>(R19)/J19</f>
        <v>0</v>
      </c>
      <c r="Q19" s="48">
        <f t="shared" ref="Q19:Q29" si="11">I19/G19-1</f>
        <v>-5.2208835341365334E-2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3813366.9362033722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3.5009655888962925E-2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96323905.038098797</v>
      </c>
      <c r="E21" s="39">
        <f t="shared" si="1"/>
        <v>79961182.68195501</v>
      </c>
      <c r="F21" s="40" t="s">
        <v>47</v>
      </c>
      <c r="G21" s="41">
        <v>2.85</v>
      </c>
      <c r="H21" s="42">
        <v>3.7</v>
      </c>
      <c r="I21" s="43">
        <v>3.7075760000000004</v>
      </c>
      <c r="J21" s="44">
        <f t="shared" si="8"/>
        <v>0.1395709246690082</v>
      </c>
      <c r="K21" s="45">
        <f t="shared" si="9"/>
        <v>0.11586175000000001</v>
      </c>
      <c r="L21" s="46">
        <f t="shared" si="10"/>
        <v>7.5760000000002492E-3</v>
      </c>
      <c r="M21" s="46">
        <f>((I21-H21)/H21)*100</f>
        <v>0.2047567567567635</v>
      </c>
      <c r="N21" s="50">
        <v>13200</v>
      </c>
      <c r="O21" s="37">
        <v>48940</v>
      </c>
      <c r="P21" s="51">
        <f>(R21)/J21</f>
        <v>0</v>
      </c>
      <c r="Q21" s="48">
        <f t="shared" si="11"/>
        <v>0.30090385964912292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1973678.8062115409</v>
      </c>
      <c r="E23" s="39">
        <f t="shared" si="1"/>
        <v>1638406.2867526249</v>
      </c>
      <c r="F23" s="40" t="s">
        <v>44</v>
      </c>
      <c r="G23" s="41">
        <v>0.1</v>
      </c>
      <c r="H23" s="42">
        <v>9.7707999999999989E-2</v>
      </c>
      <c r="I23" s="43">
        <v>9.7707999999999989E-2</v>
      </c>
      <c r="J23" s="44">
        <f t="shared" si="8"/>
        <v>3.6781972662352572E-3</v>
      </c>
      <c r="K23" s="45">
        <f t="shared" si="9"/>
        <v>3.0533749999999997E-3</v>
      </c>
      <c r="L23" s="46">
        <f t="shared" si="10"/>
        <v>0</v>
      </c>
      <c r="M23" s="46">
        <f t="shared" ref="M23:M29" si="12">((I23-H23)/H23)*100</f>
        <v>0</v>
      </c>
      <c r="N23" s="50">
        <v>0</v>
      </c>
      <c r="O23" s="37">
        <v>0</v>
      </c>
      <c r="P23" s="51">
        <f t="shared" ref="P23:P29" si="13">(R23)/J23</f>
        <v>0</v>
      </c>
      <c r="Q23" s="48">
        <f t="shared" si="11"/>
        <v>-2.2920000000000162E-2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72702152.64593944</v>
      </c>
      <c r="E24" s="39">
        <f t="shared" si="1"/>
        <v>60352101.6594375</v>
      </c>
      <c r="F24" s="40" t="s">
        <v>34</v>
      </c>
      <c r="G24" s="41">
        <v>8.1687659999999997</v>
      </c>
      <c r="H24" s="42">
        <v>10.22289</v>
      </c>
      <c r="I24" s="43">
        <v>10.0055</v>
      </c>
      <c r="J24" s="44">
        <f t="shared" si="8"/>
        <v>0.37665495913657904</v>
      </c>
      <c r="K24" s="45">
        <f t="shared" si="9"/>
        <v>0.31267187499999999</v>
      </c>
      <c r="L24" s="46">
        <f t="shared" si="10"/>
        <v>-0.21738999999999997</v>
      </c>
      <c r="M24" s="46">
        <f t="shared" si="12"/>
        <v>-2.1265023882678964</v>
      </c>
      <c r="N24" s="50">
        <v>80000</v>
      </c>
      <c r="O24" s="37">
        <v>800440</v>
      </c>
      <c r="P24" s="47">
        <f t="shared" si="13"/>
        <v>3.9824246664334616E-2</v>
      </c>
      <c r="Q24" s="48">
        <f t="shared" si="11"/>
        <v>0.22484840427550501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109242192.355101</v>
      </c>
      <c r="E25" s="39">
        <f t="shared" si="1"/>
        <v>90685016.310629338</v>
      </c>
      <c r="F25" s="40" t="s">
        <v>66</v>
      </c>
      <c r="G25" s="41">
        <v>1.6675</v>
      </c>
      <c r="H25" s="42">
        <v>1.719571</v>
      </c>
      <c r="I25" s="43">
        <v>1.719571</v>
      </c>
      <c r="J25" s="44">
        <f t="shared" si="8"/>
        <v>6.4732891383483718E-2</v>
      </c>
      <c r="K25" s="45">
        <f t="shared" si="9"/>
        <v>5.3736593749999999E-2</v>
      </c>
      <c r="L25" s="46">
        <f t="shared" si="10"/>
        <v>0</v>
      </c>
      <c r="M25" s="46">
        <f t="shared" si="12"/>
        <v>0</v>
      </c>
      <c r="N25" s="50">
        <v>0</v>
      </c>
      <c r="O25" s="37">
        <v>0</v>
      </c>
      <c r="P25" s="51">
        <f t="shared" si="13"/>
        <v>0</v>
      </c>
      <c r="Q25" s="48">
        <f t="shared" si="11"/>
        <v>3.1226986506746712E-2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24331631.370910365</v>
      </c>
      <c r="E26" s="39">
        <f t="shared" si="1"/>
        <v>20198371.528125003</v>
      </c>
      <c r="F26" s="40" t="s">
        <v>44</v>
      </c>
      <c r="G26" s="41">
        <v>1.7994999999999999</v>
      </c>
      <c r="H26" s="42">
        <v>2.7</v>
      </c>
      <c r="I26" s="43">
        <v>2.7</v>
      </c>
      <c r="J26" s="44">
        <f t="shared" si="8"/>
        <v>0.10164093645182785</v>
      </c>
      <c r="K26" s="45">
        <f t="shared" si="9"/>
        <v>8.4375000000000006E-2</v>
      </c>
      <c r="L26" s="46">
        <f t="shared" si="10"/>
        <v>0</v>
      </c>
      <c r="M26" s="46">
        <f t="shared" si="12"/>
        <v>0</v>
      </c>
      <c r="N26" s="50">
        <v>100</v>
      </c>
      <c r="O26" s="37">
        <v>270</v>
      </c>
      <c r="P26" s="51">
        <f t="shared" si="13"/>
        <v>0</v>
      </c>
      <c r="Q26" s="48">
        <f t="shared" si="11"/>
        <v>0.50041678243956667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24583474.362999238</v>
      </c>
      <c r="E27" s="39">
        <f t="shared" si="1"/>
        <v>20407433.478942126</v>
      </c>
      <c r="F27" s="40" t="s">
        <v>34</v>
      </c>
      <c r="G27" s="41">
        <v>3.1361369999999997</v>
      </c>
      <c r="H27" s="42">
        <v>2.4874999999999998</v>
      </c>
      <c r="I27" s="43">
        <v>2.5494280000000002</v>
      </c>
      <c r="J27" s="44">
        <f t="shared" si="8"/>
        <v>9.5972684939448369E-2</v>
      </c>
      <c r="K27" s="45">
        <f t="shared" si="9"/>
        <v>7.9669625000000008E-2</v>
      </c>
      <c r="L27" s="46">
        <f t="shared" si="10"/>
        <v>6.1928000000000427E-2</v>
      </c>
      <c r="M27" s="46">
        <f t="shared" si="12"/>
        <v>2.4895678391959972</v>
      </c>
      <c r="N27" s="50">
        <v>769800</v>
      </c>
      <c r="O27" s="37">
        <v>1962550</v>
      </c>
      <c r="P27" s="51">
        <f t="shared" si="13"/>
        <v>0</v>
      </c>
      <c r="Q27" s="48">
        <f t="shared" si="11"/>
        <v>-0.18708015625592878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32713147.298421554</v>
      </c>
      <c r="E28" s="39">
        <f t="shared" si="1"/>
        <v>27156103.629687499</v>
      </c>
      <c r="F28" s="40" t="s">
        <v>44</v>
      </c>
      <c r="G28" s="41">
        <v>0.8</v>
      </c>
      <c r="H28" s="42">
        <v>1.1499999999999999</v>
      </c>
      <c r="I28" s="43">
        <v>1.1499999999999999</v>
      </c>
      <c r="J28" s="44">
        <f t="shared" si="8"/>
        <v>4.329150997022297E-2</v>
      </c>
      <c r="K28" s="45">
        <f t="shared" si="9"/>
        <v>3.5937499999999997E-2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121395065.41685958</v>
      </c>
      <c r="E29" s="39">
        <f t="shared" si="1"/>
        <v>100773458.03874999</v>
      </c>
      <c r="F29" s="40" t="s">
        <v>47</v>
      </c>
      <c r="G29" s="41">
        <v>5.15</v>
      </c>
      <c r="H29" s="42">
        <v>7.18</v>
      </c>
      <c r="I29" s="43">
        <v>7.18</v>
      </c>
      <c r="J29" s="44">
        <f t="shared" si="8"/>
        <v>0.27028960137930513</v>
      </c>
      <c r="K29" s="45">
        <f t="shared" si="9"/>
        <v>0.22437499999999999</v>
      </c>
      <c r="L29" s="46">
        <f t="shared" si="10"/>
        <v>0</v>
      </c>
      <c r="M29" s="46">
        <f t="shared" si="12"/>
        <v>0</v>
      </c>
      <c r="N29" s="50">
        <v>500</v>
      </c>
      <c r="O29" s="37">
        <v>3590</v>
      </c>
      <c r="P29" s="51">
        <f t="shared" si="13"/>
        <v>0</v>
      </c>
      <c r="Q29" s="48">
        <f t="shared" si="11"/>
        <v>0.39417475728155327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11250003.218629654</v>
      </c>
      <c r="E31" s="39">
        <f t="shared" si="1"/>
        <v>9338944.078125</v>
      </c>
      <c r="F31" s="40" t="s">
        <v>39</v>
      </c>
      <c r="G31" s="41">
        <v>1.4</v>
      </c>
      <c r="H31" s="42">
        <v>1.1499999999999999</v>
      </c>
      <c r="I31" s="43">
        <v>1.1499999999999999</v>
      </c>
      <c r="J31" s="44">
        <f t="shared" si="8"/>
        <v>4.329150997022297E-2</v>
      </c>
      <c r="K31" s="45">
        <f t="shared" si="9"/>
        <v>3.5937499999999997E-2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-0.1785714285714286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4364085.2315719342</v>
      </c>
      <c r="E32" s="39">
        <f t="shared" si="1"/>
        <v>3622749.890625</v>
      </c>
      <c r="F32" s="40" t="s">
        <v>39</v>
      </c>
      <c r="G32" s="41">
        <v>0.65</v>
      </c>
      <c r="H32" s="42">
        <v>0.95</v>
      </c>
      <c r="I32" s="43">
        <v>0.95</v>
      </c>
      <c r="J32" s="44">
        <f t="shared" si="8"/>
        <v>3.576255171453202E-2</v>
      </c>
      <c r="K32" s="45">
        <f t="shared" si="9"/>
        <v>2.9687499999999999E-2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0.46153846153846145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93942408.852549121</v>
      </c>
      <c r="E33" s="39">
        <f t="shared" si="1"/>
        <v>77984235.71875</v>
      </c>
      <c r="F33" s="40" t="s">
        <v>92</v>
      </c>
      <c r="G33" s="41">
        <v>1.44</v>
      </c>
      <c r="H33" s="42">
        <v>1</v>
      </c>
      <c r="I33" s="43">
        <v>1</v>
      </c>
      <c r="J33" s="44">
        <f t="shared" si="8"/>
        <v>3.7644791278454756E-2</v>
      </c>
      <c r="K33" s="45">
        <f t="shared" si="9"/>
        <v>3.125E-2</v>
      </c>
      <c r="L33" s="46">
        <f t="shared" si="14"/>
        <v>0</v>
      </c>
      <c r="M33" s="46">
        <f t="shared" si="15"/>
        <v>0</v>
      </c>
      <c r="N33" s="50">
        <v>0</v>
      </c>
      <c r="O33" s="37">
        <v>0</v>
      </c>
      <c r="P33" s="51">
        <f t="shared" si="16"/>
        <v>0</v>
      </c>
      <c r="Q33" s="48">
        <f t="shared" si="17"/>
        <v>-0.30555555555555558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35832802.585632488</v>
      </c>
      <c r="E34" s="39">
        <f t="shared" si="1"/>
        <v>29745817.223906249</v>
      </c>
      <c r="F34" s="40" t="s">
        <v>34</v>
      </c>
      <c r="G34" s="41">
        <v>3.6056249999999999</v>
      </c>
      <c r="H34" s="42">
        <v>3.6856249999999999</v>
      </c>
      <c r="I34" s="43">
        <v>3.7549999999999999</v>
      </c>
      <c r="J34" s="44">
        <f t="shared" si="8"/>
        <v>0.14135619125059762</v>
      </c>
      <c r="K34" s="45">
        <f t="shared" si="9"/>
        <v>0.11734375</v>
      </c>
      <c r="L34" s="46">
        <f t="shared" si="14"/>
        <v>6.9374999999999964E-2</v>
      </c>
      <c r="M34" s="46">
        <f t="shared" si="15"/>
        <v>1.8823130405290815</v>
      </c>
      <c r="N34" s="50">
        <v>1100</v>
      </c>
      <c r="O34" s="37">
        <v>4130.5</v>
      </c>
      <c r="P34" s="51">
        <f t="shared" si="16"/>
        <v>0</v>
      </c>
      <c r="Q34" s="48">
        <f t="shared" si="17"/>
        <v>4.1428323799618694E-2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10649901.308909392</v>
      </c>
      <c r="E35" s="39">
        <f t="shared" si="1"/>
        <v>8840782.6050000004</v>
      </c>
      <c r="F35" s="40" t="s">
        <v>34</v>
      </c>
      <c r="G35" s="41">
        <v>2.5099999999999997E-2</v>
      </c>
      <c r="H35" s="42">
        <v>0.06</v>
      </c>
      <c r="I35" s="43">
        <v>0.06</v>
      </c>
      <c r="J35" s="44">
        <f t="shared" si="8"/>
        <v>2.2586874767072853E-3</v>
      </c>
      <c r="K35" s="45">
        <f t="shared" si="9"/>
        <v>1.8749999999999999E-3</v>
      </c>
      <c r="L35" s="46">
        <f t="shared" si="14"/>
        <v>0</v>
      </c>
      <c r="M35" s="46">
        <f t="shared" si="15"/>
        <v>0</v>
      </c>
      <c r="N35" s="50">
        <v>19700</v>
      </c>
      <c r="O35" s="37">
        <v>1182</v>
      </c>
      <c r="P35" s="51">
        <f t="shared" si="16"/>
        <v>0</v>
      </c>
      <c r="Q35" s="48">
        <f t="shared" si="17"/>
        <v>1.3904382470119523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69184292.917885408</v>
      </c>
      <c r="E36" s="39">
        <f t="shared" si="1"/>
        <v>57431827.359375</v>
      </c>
      <c r="F36" s="40" t="s">
        <v>92</v>
      </c>
      <c r="G36" s="41">
        <v>0.61</v>
      </c>
      <c r="H36" s="42">
        <v>3.5</v>
      </c>
      <c r="I36" s="43">
        <v>3.5</v>
      </c>
      <c r="J36" s="44">
        <f t="shared" si="8"/>
        <v>0.13175676947459164</v>
      </c>
      <c r="K36" s="45">
        <f t="shared" si="9"/>
        <v>0.109375</v>
      </c>
      <c r="L36" s="46">
        <f t="shared" si="14"/>
        <v>0</v>
      </c>
      <c r="M36" s="46">
        <f t="shared" si="15"/>
        <v>0</v>
      </c>
      <c r="N36" s="50">
        <v>29400</v>
      </c>
      <c r="O36" s="37">
        <v>102900</v>
      </c>
      <c r="P36" s="51">
        <f t="shared" si="16"/>
        <v>0</v>
      </c>
      <c r="Q36" s="48">
        <f t="shared" si="17"/>
        <v>4.7377049180327866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133931731.75458832</v>
      </c>
      <c r="E37" s="39">
        <f t="shared" si="1"/>
        <v>111180497.35943936</v>
      </c>
      <c r="F37" s="40" t="s">
        <v>56</v>
      </c>
      <c r="G37" s="41">
        <v>0.11650199999999999</v>
      </c>
      <c r="H37" s="42">
        <v>0.83671099999999998</v>
      </c>
      <c r="I37" s="43">
        <v>0.84813999999999989</v>
      </c>
      <c r="J37" s="44">
        <f t="shared" si="8"/>
        <v>3.1928053274908615E-2</v>
      </c>
      <c r="K37" s="45">
        <f t="shared" si="9"/>
        <v>2.6504374999999997E-2</v>
      </c>
      <c r="L37" s="46">
        <f t="shared" si="14"/>
        <v>1.1428999999999911E-2</v>
      </c>
      <c r="M37" s="46">
        <f t="shared" si="15"/>
        <v>1.3659435575724368</v>
      </c>
      <c r="N37" s="50">
        <v>473300</v>
      </c>
      <c r="O37" s="37">
        <v>401424.5</v>
      </c>
      <c r="P37" s="51">
        <v>0</v>
      </c>
      <c r="Q37" s="48">
        <f t="shared" si="17"/>
        <v>6.2800466944773472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19495754.792370152</v>
      </c>
      <c r="E38" s="39">
        <f t="shared" si="1"/>
        <v>16183974.37125</v>
      </c>
      <c r="F38" s="40" t="s">
        <v>39</v>
      </c>
      <c r="G38" s="41">
        <v>0.1</v>
      </c>
      <c r="H38" s="42">
        <v>0.14050000000000001</v>
      </c>
      <c r="I38" s="43">
        <v>0.12</v>
      </c>
      <c r="J38" s="44">
        <f t="shared" si="8"/>
        <v>4.5173749534145706E-3</v>
      </c>
      <c r="K38" s="45">
        <f t="shared" si="9"/>
        <v>3.7499999999999999E-3</v>
      </c>
      <c r="L38" s="46">
        <f t="shared" si="14"/>
        <v>-2.0500000000000018E-2</v>
      </c>
      <c r="M38" s="46">
        <f t="shared" si="15"/>
        <v>-14.590747330960866</v>
      </c>
      <c r="N38" s="50">
        <v>30700</v>
      </c>
      <c r="O38" s="37">
        <v>3684</v>
      </c>
      <c r="P38" s="51">
        <f t="shared" ref="P38:P44" si="18">(R38)/J38</f>
        <v>0</v>
      </c>
      <c r="Q38" s="48">
        <f t="shared" si="17"/>
        <v>0.19999999999999996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9499435.0153026078</v>
      </c>
      <c r="E39" s="39">
        <f t="shared" si="1"/>
        <v>7885748.1778124999</v>
      </c>
      <c r="F39" s="40" t="s">
        <v>44</v>
      </c>
      <c r="G39" s="41">
        <v>1.7452379999999998</v>
      </c>
      <c r="H39" s="42">
        <v>2.3650000000000002</v>
      </c>
      <c r="I39" s="43">
        <v>2.37</v>
      </c>
      <c r="J39" s="44">
        <f t="shared" si="8"/>
        <v>8.9218155329937779E-2</v>
      </c>
      <c r="K39" s="45">
        <f t="shared" si="9"/>
        <v>7.4062500000000003E-2</v>
      </c>
      <c r="L39" s="46">
        <f t="shared" si="14"/>
        <v>4.9999999999998934E-3</v>
      </c>
      <c r="M39" s="46">
        <f t="shared" si="15"/>
        <v>0.21141649048625338</v>
      </c>
      <c r="N39" s="50">
        <v>500</v>
      </c>
      <c r="O39" s="37">
        <v>1185</v>
      </c>
      <c r="P39" s="51">
        <f t="shared" si="18"/>
        <v>0</v>
      </c>
      <c r="Q39" s="48">
        <f t="shared" si="17"/>
        <v>0.35798097451465094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3413557.1251425794</v>
      </c>
      <c r="E40" s="39">
        <f t="shared" si="1"/>
        <v>2833689.7758749998</v>
      </c>
      <c r="F40" s="40" t="s">
        <v>39</v>
      </c>
      <c r="G40" s="41">
        <v>0.03</v>
      </c>
      <c r="H40" s="42">
        <v>5.0029999999999998E-2</v>
      </c>
      <c r="I40" s="43">
        <v>5.0999999999999997E-2</v>
      </c>
      <c r="J40" s="44">
        <f t="shared" si="8"/>
        <v>1.9198843552011924E-3</v>
      </c>
      <c r="K40" s="45">
        <f t="shared" si="9"/>
        <v>1.5937499999999999E-3</v>
      </c>
      <c r="L40" s="46">
        <f t="shared" si="14"/>
        <v>9.6999999999999864E-4</v>
      </c>
      <c r="M40" s="46">
        <f t="shared" si="15"/>
        <v>1.9388366979812086</v>
      </c>
      <c r="N40" s="50">
        <v>80000</v>
      </c>
      <c r="O40" s="37">
        <v>4080</v>
      </c>
      <c r="P40" s="51">
        <f t="shared" si="18"/>
        <v>0</v>
      </c>
      <c r="Q40" s="48">
        <f t="shared" si="17"/>
        <v>0.7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49462613.640213668</v>
      </c>
      <c r="E41" s="39">
        <f t="shared" si="1"/>
        <v>41060306.71875</v>
      </c>
      <c r="F41" s="40" t="s">
        <v>47</v>
      </c>
      <c r="G41" s="41">
        <v>4.5</v>
      </c>
      <c r="H41" s="42">
        <v>7.47</v>
      </c>
      <c r="I41" s="43">
        <v>7.5</v>
      </c>
      <c r="J41" s="44">
        <f t="shared" si="8"/>
        <v>0.28233593458841066</v>
      </c>
      <c r="K41" s="45">
        <f t="shared" si="9"/>
        <v>0.234375</v>
      </c>
      <c r="L41" s="46">
        <f t="shared" si="14"/>
        <v>3.0000000000000249E-2</v>
      </c>
      <c r="M41" s="46">
        <f t="shared" si="15"/>
        <v>0.40160642570281457</v>
      </c>
      <c r="N41" s="50">
        <v>200</v>
      </c>
      <c r="O41" s="37">
        <v>1500</v>
      </c>
      <c r="P41" s="51">
        <f t="shared" si="18"/>
        <v>0</v>
      </c>
      <c r="Q41" s="48">
        <f t="shared" si="17"/>
        <v>0.66666666666666674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313.96049171626368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6.776062430121856E-7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1561204.7839000758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2.7104249720487426E-3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51049633.596422918</v>
      </c>
      <c r="E44" s="39">
        <f t="shared" si="1"/>
        <v>42377736.619335562</v>
      </c>
      <c r="F44" s="40" t="s">
        <v>47</v>
      </c>
      <c r="G44" s="41">
        <v>0.9998999999999999</v>
      </c>
      <c r="H44" s="42">
        <v>0.73283299999999996</v>
      </c>
      <c r="I44" s="43">
        <v>0.74583299999999997</v>
      </c>
      <c r="J44" s="44">
        <f t="shared" si="8"/>
        <v>2.8076727613583746E-2</v>
      </c>
      <c r="K44" s="45">
        <f t="shared" si="9"/>
        <v>2.3307281249999999E-2</v>
      </c>
      <c r="L44" s="46">
        <f t="shared" si="14"/>
        <v>1.3000000000000012E-2</v>
      </c>
      <c r="M44" s="46">
        <f t="shared" si="15"/>
        <v>1.7739375819593295</v>
      </c>
      <c r="N44" s="50">
        <v>600</v>
      </c>
      <c r="O44" s="37">
        <v>447.5</v>
      </c>
      <c r="P44" s="51">
        <f t="shared" si="18"/>
        <v>0</v>
      </c>
      <c r="Q44" s="48">
        <f t="shared" si="17"/>
        <v>-0.25409240924092402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17399661.196878493</v>
      </c>
      <c r="E45" s="39">
        <f t="shared" si="1"/>
        <v>14443948.125</v>
      </c>
      <c r="F45" s="40" t="s">
        <v>47</v>
      </c>
      <c r="G45" s="41">
        <v>1.4503460000000001</v>
      </c>
      <c r="H45" s="42">
        <v>4.5</v>
      </c>
      <c r="I45" s="43">
        <v>4.5</v>
      </c>
      <c r="J45" s="44">
        <f t="shared" si="8"/>
        <v>0.16940156075304641</v>
      </c>
      <c r="K45" s="45">
        <f t="shared" si="9"/>
        <v>0.140625</v>
      </c>
      <c r="L45" s="46">
        <f t="shared" si="14"/>
        <v>0</v>
      </c>
      <c r="M45" s="46">
        <f t="shared" si="15"/>
        <v>0</v>
      </c>
      <c r="N45" s="50">
        <v>100</v>
      </c>
      <c r="O45" s="37">
        <v>450</v>
      </c>
      <c r="P45" s="51">
        <v>0</v>
      </c>
      <c r="Q45" s="48">
        <f t="shared" si="17"/>
        <v>2.1027079055618452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5901100</v>
      </c>
      <c r="O47" s="61">
        <f>SUM(O9:O45)</f>
        <v>161406887.29999998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95591334.331200004</v>
      </c>
      <c r="E50" s="39">
        <v>0</v>
      </c>
      <c r="F50" s="40" t="s">
        <v>92</v>
      </c>
      <c r="G50" s="70">
        <v>0.1</v>
      </c>
      <c r="H50" s="42">
        <v>0.17199999999999999</v>
      </c>
      <c r="I50" s="42">
        <v>0.16880000000000001</v>
      </c>
      <c r="J50" s="44">
        <f t="shared" ref="J50:J65" si="20">I50</f>
        <v>0.16880000000000001</v>
      </c>
      <c r="K50" s="39">
        <v>0</v>
      </c>
      <c r="L50" s="46">
        <f t="shared" ref="L50:L65" si="21">I50-H50</f>
        <v>-3.1999999999999806E-3</v>
      </c>
      <c r="M50" s="46">
        <f t="shared" ref="M50:M65" si="22">((I50-H50)/H50)*100</f>
        <v>-1.8604651162790586</v>
      </c>
      <c r="N50" s="50">
        <v>9588</v>
      </c>
      <c r="O50" s="37">
        <v>1618.18</v>
      </c>
      <c r="P50" s="71">
        <f>(R50)/J50</f>
        <v>0</v>
      </c>
      <c r="Q50" s="48">
        <f t="shared" ref="Q50:Q65" si="23">J50/G50-1</f>
        <v>0.68799999999999994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36921839.4454</v>
      </c>
      <c r="E51" s="39">
        <v>0</v>
      </c>
      <c r="F51" s="40" t="s">
        <v>39</v>
      </c>
      <c r="G51" s="70">
        <v>39.9</v>
      </c>
      <c r="H51" s="42">
        <v>33.2059</v>
      </c>
      <c r="I51" s="42">
        <v>33.2059</v>
      </c>
      <c r="J51" s="44">
        <f t="shared" si="20"/>
        <v>33.2059</v>
      </c>
      <c r="K51" s="39">
        <v>0</v>
      </c>
      <c r="L51" s="46">
        <f t="shared" si="21"/>
        <v>0</v>
      </c>
      <c r="M51" s="46">
        <f t="shared" si="22"/>
        <v>0</v>
      </c>
      <c r="N51" s="50">
        <v>0</v>
      </c>
      <c r="O51" s="37">
        <v>0</v>
      </c>
      <c r="P51" s="72">
        <f>(R51)/J51</f>
        <v>1.6864472879819552E-2</v>
      </c>
      <c r="Q51" s="48">
        <f t="shared" si="23"/>
        <v>-0.16777192982456135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670244557.472</v>
      </c>
      <c r="E52" s="39"/>
      <c r="F52" s="40" t="s">
        <v>56</v>
      </c>
      <c r="G52" s="70">
        <v>0.33</v>
      </c>
      <c r="H52" s="42">
        <v>0.22450000000000001</v>
      </c>
      <c r="I52" s="42">
        <v>0.224</v>
      </c>
      <c r="J52" s="44">
        <f t="shared" si="20"/>
        <v>0.224</v>
      </c>
      <c r="K52" s="39">
        <v>0</v>
      </c>
      <c r="L52" s="46">
        <f t="shared" si="21"/>
        <v>-5.0000000000000044E-4</v>
      </c>
      <c r="M52" s="46">
        <f t="shared" si="22"/>
        <v>-0.22271714922049018</v>
      </c>
      <c r="N52" s="50">
        <v>46159</v>
      </c>
      <c r="O52" s="37">
        <v>10337.35</v>
      </c>
      <c r="P52" s="71">
        <v>0</v>
      </c>
      <c r="Q52" s="48">
        <f t="shared" si="23"/>
        <v>-0.32121212121212128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349707931.71930003</v>
      </c>
      <c r="E54" s="39">
        <v>0</v>
      </c>
      <c r="F54" s="40" t="s">
        <v>47</v>
      </c>
      <c r="G54" s="70">
        <v>9.0200000000000002E-2</v>
      </c>
      <c r="H54" s="42">
        <v>0.16120000000000001</v>
      </c>
      <c r="I54" s="42">
        <v>0.16170000000000001</v>
      </c>
      <c r="J54" s="44">
        <f t="shared" si="20"/>
        <v>0.16170000000000001</v>
      </c>
      <c r="K54" s="39">
        <v>0</v>
      </c>
      <c r="L54" s="46">
        <f t="shared" si="21"/>
        <v>5.0000000000000044E-4</v>
      </c>
      <c r="M54" s="74">
        <f t="shared" si="22"/>
        <v>0.31017369727047173</v>
      </c>
      <c r="N54" s="50">
        <v>46117</v>
      </c>
      <c r="O54" s="37">
        <v>7457.96</v>
      </c>
      <c r="P54" s="71">
        <f t="shared" si="24"/>
        <v>0</v>
      </c>
      <c r="Q54" s="48">
        <f t="shared" si="23"/>
        <v>0.79268292682926833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867748382.21499991</v>
      </c>
      <c r="E55" s="39">
        <v>0</v>
      </c>
      <c r="F55" s="40" t="s">
        <v>34</v>
      </c>
      <c r="G55" s="70">
        <v>0.95750000000000002</v>
      </c>
      <c r="H55" s="42">
        <v>1.5088999999999999</v>
      </c>
      <c r="I55" s="42">
        <v>1.5066999999999999</v>
      </c>
      <c r="J55" s="44">
        <f t="shared" si="20"/>
        <v>1.5066999999999999</v>
      </c>
      <c r="K55" s="39">
        <v>0</v>
      </c>
      <c r="L55" s="46">
        <f t="shared" si="21"/>
        <v>-2.1999999999999797E-3</v>
      </c>
      <c r="M55" s="46">
        <f t="shared" si="22"/>
        <v>-0.14580157730797136</v>
      </c>
      <c r="N55" s="50">
        <v>71174</v>
      </c>
      <c r="O55" s="37">
        <v>107237.13</v>
      </c>
      <c r="P55" s="72">
        <f t="shared" si="24"/>
        <v>3.1194000132740429E-2</v>
      </c>
      <c r="Q55" s="48">
        <f t="shared" si="23"/>
        <v>0.57357702349869433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22989151.080000002</v>
      </c>
      <c r="E56" s="39">
        <v>0</v>
      </c>
      <c r="F56" s="40" t="s">
        <v>34</v>
      </c>
      <c r="G56" s="70">
        <v>0.1595</v>
      </c>
      <c r="H56" s="42">
        <v>0.13689999999999999</v>
      </c>
      <c r="I56" s="42">
        <v>0.14000000000000001</v>
      </c>
      <c r="J56" s="44">
        <f t="shared" si="20"/>
        <v>0.14000000000000001</v>
      </c>
      <c r="K56" s="39">
        <v>0</v>
      </c>
      <c r="L56" s="46">
        <f t="shared" si="21"/>
        <v>3.1000000000000194E-3</v>
      </c>
      <c r="M56" s="46">
        <f t="shared" si="22"/>
        <v>2.2644265887509274</v>
      </c>
      <c r="N56" s="50">
        <v>1159</v>
      </c>
      <c r="O56" s="37">
        <v>162.30000000000001</v>
      </c>
      <c r="P56" s="71">
        <f t="shared" si="24"/>
        <v>0</v>
      </c>
      <c r="Q56" s="48">
        <f t="shared" si="23"/>
        <v>-0.12225705329153602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21671956.371999998</v>
      </c>
      <c r="E57" s="39">
        <v>0</v>
      </c>
      <c r="F57" s="40" t="s">
        <v>92</v>
      </c>
      <c r="G57" s="70">
        <v>1.6799999999999999E-2</v>
      </c>
      <c r="H57" s="42">
        <v>2.2499999999999999E-2</v>
      </c>
      <c r="I57" s="42">
        <v>2.1999999999999999E-2</v>
      </c>
      <c r="J57" s="44">
        <f t="shared" si="20"/>
        <v>2.1999999999999999E-2</v>
      </c>
      <c r="K57" s="39">
        <v>0</v>
      </c>
      <c r="L57" s="46">
        <f t="shared" si="21"/>
        <v>-5.0000000000000044E-4</v>
      </c>
      <c r="M57" s="74">
        <f t="shared" si="22"/>
        <v>-2.2222222222222245</v>
      </c>
      <c r="N57" s="50">
        <v>156150</v>
      </c>
      <c r="O57" s="37">
        <v>3437.11</v>
      </c>
      <c r="P57" s="71">
        <f t="shared" si="24"/>
        <v>0</v>
      </c>
      <c r="Q57" s="48">
        <f t="shared" si="23"/>
        <v>0.30952380952380953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2709386.4</v>
      </c>
      <c r="E58" s="39">
        <v>0</v>
      </c>
      <c r="F58" s="40" t="s">
        <v>137</v>
      </c>
      <c r="G58" s="70">
        <v>19.5</v>
      </c>
      <c r="H58" s="42">
        <v>16.8</v>
      </c>
      <c r="I58" s="42">
        <v>16.8</v>
      </c>
      <c r="J58" s="44">
        <f t="shared" si="20"/>
        <v>16.8</v>
      </c>
      <c r="K58" s="39">
        <v>0</v>
      </c>
      <c r="L58" s="46">
        <f t="shared" si="21"/>
        <v>0</v>
      </c>
      <c r="M58" s="46">
        <f t="shared" si="22"/>
        <v>0</v>
      </c>
      <c r="N58" s="50">
        <v>10</v>
      </c>
      <c r="O58" s="37">
        <v>168</v>
      </c>
      <c r="P58" s="71">
        <f t="shared" si="24"/>
        <v>0</v>
      </c>
      <c r="Q58" s="48">
        <f t="shared" si="23"/>
        <v>-0.13846153846153841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4003253180.0900002</v>
      </c>
      <c r="E59" s="39">
        <v>0</v>
      </c>
      <c r="F59" s="40" t="s">
        <v>47</v>
      </c>
      <c r="G59" s="70">
        <v>0.78169999999999995</v>
      </c>
      <c r="H59" s="51">
        <v>0.89490000000000003</v>
      </c>
      <c r="I59" s="42">
        <v>0.89</v>
      </c>
      <c r="J59" s="44">
        <f t="shared" si="20"/>
        <v>0.89</v>
      </c>
      <c r="K59" s="39">
        <v>0</v>
      </c>
      <c r="L59" s="46">
        <f t="shared" si="21"/>
        <v>-4.9000000000000155E-3</v>
      </c>
      <c r="M59" s="46">
        <f t="shared" si="22"/>
        <v>-0.54754721197899381</v>
      </c>
      <c r="N59" s="75">
        <v>182304</v>
      </c>
      <c r="O59" s="76">
        <v>162251.76</v>
      </c>
      <c r="P59" s="71">
        <f t="shared" si="24"/>
        <v>0</v>
      </c>
      <c r="Q59" s="48">
        <f t="shared" si="23"/>
        <v>0.13854419854164002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1285487923.1117001</v>
      </c>
      <c r="E60" s="39">
        <v>0</v>
      </c>
      <c r="F60" s="40" t="s">
        <v>92</v>
      </c>
      <c r="G60" s="70">
        <v>0.59499999999999997</v>
      </c>
      <c r="H60" s="42">
        <v>1.5999000000000001</v>
      </c>
      <c r="I60" s="42">
        <v>1.5967</v>
      </c>
      <c r="J60" s="44">
        <f t="shared" si="20"/>
        <v>1.5967</v>
      </c>
      <c r="K60" s="39">
        <v>0</v>
      </c>
      <c r="L60" s="46">
        <f t="shared" si="21"/>
        <v>-3.2000000000000917E-3</v>
      </c>
      <c r="M60" s="46">
        <f t="shared" si="22"/>
        <v>-0.20001250078130456</v>
      </c>
      <c r="N60" s="50">
        <v>117875</v>
      </c>
      <c r="O60" s="37">
        <v>188216.51</v>
      </c>
      <c r="P60" s="71">
        <f t="shared" si="24"/>
        <v>0</v>
      </c>
      <c r="Q60" s="48">
        <f t="shared" si="23"/>
        <v>1.6835294117647059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93909369.383600011</v>
      </c>
      <c r="E61" s="39">
        <v>0</v>
      </c>
      <c r="F61" s="40" t="s">
        <v>34</v>
      </c>
      <c r="G61" s="70">
        <v>0.22600000000000001</v>
      </c>
      <c r="H61" s="42">
        <v>0.39950000000000002</v>
      </c>
      <c r="I61" s="42">
        <v>0.36020000000000002</v>
      </c>
      <c r="J61" s="44">
        <f t="shared" si="20"/>
        <v>0.36020000000000002</v>
      </c>
      <c r="K61" s="39">
        <v>0</v>
      </c>
      <c r="L61" s="46">
        <f t="shared" si="21"/>
        <v>-3.9300000000000002E-2</v>
      </c>
      <c r="M61" s="46">
        <f t="shared" si="22"/>
        <v>-9.8372966207759696</v>
      </c>
      <c r="N61" s="50">
        <v>8876</v>
      </c>
      <c r="O61" s="37">
        <v>3196.75</v>
      </c>
      <c r="P61" s="71">
        <f t="shared" si="24"/>
        <v>0</v>
      </c>
      <c r="Q61" s="48">
        <f t="shared" si="23"/>
        <v>0.59380530973451329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394541284.2184</v>
      </c>
      <c r="E62" s="39">
        <v>0</v>
      </c>
      <c r="F62" s="40" t="s">
        <v>34</v>
      </c>
      <c r="G62" s="70">
        <v>0.49440000000000001</v>
      </c>
      <c r="H62" s="42">
        <v>0.73370000000000002</v>
      </c>
      <c r="I62" s="42">
        <v>0.70179999999999998</v>
      </c>
      <c r="J62" s="44">
        <f t="shared" si="20"/>
        <v>0.70179999999999998</v>
      </c>
      <c r="K62" s="39">
        <v>0</v>
      </c>
      <c r="L62" s="46">
        <f t="shared" si="21"/>
        <v>-3.1900000000000039E-2</v>
      </c>
      <c r="M62" s="46">
        <f t="shared" si="22"/>
        <v>-4.3478260869565268</v>
      </c>
      <c r="N62" s="50">
        <v>27965</v>
      </c>
      <c r="O62" s="37">
        <v>19625.96</v>
      </c>
      <c r="P62" s="71">
        <f t="shared" si="24"/>
        <v>0</v>
      </c>
      <c r="Q62" s="48">
        <f t="shared" si="23"/>
        <v>0.4194983818770226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76914993.38499999</v>
      </c>
      <c r="E63" s="39">
        <v>0</v>
      </c>
      <c r="F63" s="40" t="s">
        <v>34</v>
      </c>
      <c r="G63" s="70">
        <v>0.25950000000000001</v>
      </c>
      <c r="H63" s="42">
        <v>0.24</v>
      </c>
      <c r="I63" s="42">
        <v>0.21099999999999999</v>
      </c>
      <c r="J63" s="44">
        <f t="shared" si="20"/>
        <v>0.21099999999999999</v>
      </c>
      <c r="K63" s="39">
        <v>0</v>
      </c>
      <c r="L63" s="46">
        <f t="shared" si="21"/>
        <v>-2.8999999999999998E-2</v>
      </c>
      <c r="M63" s="46">
        <f t="shared" si="22"/>
        <v>-12.083333333333334</v>
      </c>
      <c r="N63" s="50">
        <v>60100</v>
      </c>
      <c r="O63" s="37">
        <v>12678.69</v>
      </c>
      <c r="P63" s="71">
        <f t="shared" si="24"/>
        <v>0</v>
      </c>
      <c r="Q63" s="48">
        <f t="shared" si="23"/>
        <v>-0.18689788053949907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10080000</v>
      </c>
      <c r="E64" s="39">
        <v>0</v>
      </c>
      <c r="F64" s="40" t="s">
        <v>66</v>
      </c>
      <c r="G64" s="70">
        <v>10</v>
      </c>
      <c r="H64" s="42">
        <v>14</v>
      </c>
      <c r="I64" s="42">
        <v>0.33600000000000002</v>
      </c>
      <c r="J64" s="44">
        <f t="shared" si="20"/>
        <v>0.33600000000000002</v>
      </c>
      <c r="K64" s="39">
        <v>0</v>
      </c>
      <c r="L64" s="46">
        <f t="shared" si="21"/>
        <v>-13.664</v>
      </c>
      <c r="M64" s="46">
        <f t="shared" si="22"/>
        <v>-97.6</v>
      </c>
      <c r="N64" s="50">
        <v>200</v>
      </c>
      <c r="O64" s="37">
        <v>67.2</v>
      </c>
      <c r="P64" s="71">
        <f t="shared" si="24"/>
        <v>0</v>
      </c>
      <c r="Q64" s="48">
        <f t="shared" si="23"/>
        <v>-0.96640000000000004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37903853.460000001</v>
      </c>
      <c r="E65" s="39">
        <v>0</v>
      </c>
      <c r="F65" s="40" t="s">
        <v>44</v>
      </c>
      <c r="G65" s="70">
        <v>4.2999999999999997E-2</v>
      </c>
      <c r="H65" s="42">
        <v>0.10489999999999999</v>
      </c>
      <c r="I65" s="42">
        <v>0.11</v>
      </c>
      <c r="J65" s="44">
        <f t="shared" si="20"/>
        <v>0.11</v>
      </c>
      <c r="K65" s="39">
        <v>0</v>
      </c>
      <c r="L65" s="46">
        <f t="shared" si="21"/>
        <v>5.1000000000000073E-3</v>
      </c>
      <c r="M65" s="46">
        <f t="shared" si="22"/>
        <v>4.8617731172545353</v>
      </c>
      <c r="N65" s="50">
        <v>85</v>
      </c>
      <c r="O65" s="37">
        <v>9.35</v>
      </c>
      <c r="P65" s="71">
        <f t="shared" si="24"/>
        <v>0</v>
      </c>
      <c r="Q65" s="48">
        <f t="shared" si="23"/>
        <v>1.558139534883721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727762</v>
      </c>
      <c r="O66" s="62">
        <f>SUM(O50:O65)</f>
        <v>516464.25000000006</v>
      </c>
      <c r="P66" s="80"/>
      <c r="Q66" s="63"/>
    </row>
    <row r="67" spans="1:20" ht="12.6" hidden="1" x14ac:dyDescent="0.3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0.35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0</v>
      </c>
      <c r="M71" s="46">
        <f>((I71-H71)/H71)*100</f>
        <v>0</v>
      </c>
      <c r="N71" s="95">
        <v>134</v>
      </c>
      <c r="O71" s="96">
        <v>46.9</v>
      </c>
      <c r="P71" s="71">
        <f>(R71)/J71</f>
        <v>0</v>
      </c>
      <c r="Q71" s="48">
        <f>J71/G71-1</f>
        <v>0.45833333333333326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78246778.224999994</v>
      </c>
      <c r="E72" s="39">
        <f>C72*K72</f>
        <v>78246778.224999994</v>
      </c>
      <c r="F72" s="92" t="s">
        <v>159</v>
      </c>
      <c r="G72" s="92">
        <v>0.1</v>
      </c>
      <c r="H72" s="93">
        <v>0.14499999999999999</v>
      </c>
      <c r="I72" s="93">
        <v>0.1447</v>
      </c>
      <c r="J72" s="94">
        <f>I72</f>
        <v>0.1447</v>
      </c>
      <c r="K72" s="94">
        <f>J72</f>
        <v>0.1447</v>
      </c>
      <c r="L72" s="46">
        <f>I72-H72</f>
        <v>-2.9999999999999472E-4</v>
      </c>
      <c r="M72" s="46">
        <f>((I72-H72)/H72)*100</f>
        <v>-0.20689655172413429</v>
      </c>
      <c r="N72" s="50">
        <v>9271</v>
      </c>
      <c r="O72" s="96">
        <v>1341.36</v>
      </c>
      <c r="P72" s="97">
        <f>(R72)/J72</f>
        <v>2.6205943331029716E-2</v>
      </c>
      <c r="Q72" s="48">
        <f>J72/G72-1</f>
        <v>0.44699999999999984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9405</v>
      </c>
      <c r="O73" s="62">
        <f>SUM(O71:O72)</f>
        <v>1388.26</v>
      </c>
      <c r="P73" s="90"/>
      <c r="Q73" s="63"/>
    </row>
    <row r="74" spans="1:20" ht="12.6" x14ac:dyDescent="0.3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7580668.2179999994</v>
      </c>
      <c r="E75" s="39">
        <f>C75*K75</f>
        <v>7580668.2179999994</v>
      </c>
      <c r="F75" s="92" t="s">
        <v>137</v>
      </c>
      <c r="G75" s="92">
        <v>0.1394</v>
      </c>
      <c r="H75" s="93">
        <v>0.1167</v>
      </c>
      <c r="I75" s="93">
        <v>0.11799999999999999</v>
      </c>
      <c r="J75" s="94">
        <f>I75</f>
        <v>0.11799999999999999</v>
      </c>
      <c r="K75" s="94">
        <f>J75</f>
        <v>0.11799999999999999</v>
      </c>
      <c r="L75" s="46">
        <f>I75-H75</f>
        <v>1.2999999999999956E-3</v>
      </c>
      <c r="M75" s="46">
        <f>((I75-H75)/H75)*100</f>
        <v>1.1139674378748892</v>
      </c>
      <c r="N75" s="95">
        <v>1988</v>
      </c>
      <c r="O75" s="96">
        <v>234.56</v>
      </c>
      <c r="P75" s="71">
        <f>(R75)/J75</f>
        <v>0</v>
      </c>
      <c r="Q75" s="48">
        <f>J75/G75-1</f>
        <v>-0.15351506456241037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119346.13632684715</v>
      </c>
      <c r="E78" s="39">
        <f>C78*K78</f>
        <v>99072.584375000006</v>
      </c>
      <c r="F78" s="40" t="s">
        <v>137</v>
      </c>
      <c r="G78" s="70">
        <v>0.105</v>
      </c>
      <c r="H78" s="42">
        <v>0.1</v>
      </c>
      <c r="I78" s="42">
        <v>0.1</v>
      </c>
      <c r="J78" s="44">
        <f>I78/$J$5</f>
        <v>3.7644791278454758E-3</v>
      </c>
      <c r="K78" s="45">
        <f>I78/$K$4</f>
        <v>3.1250000000000002E-3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-4.7619047619047561E-2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461321.28248274926</v>
      </c>
      <c r="E79" s="39">
        <f>C79*K79</f>
        <v>382955.77124999999</v>
      </c>
      <c r="F79" s="40" t="s">
        <v>137</v>
      </c>
      <c r="G79" s="70">
        <v>4.2500000000000003E-2</v>
      </c>
      <c r="H79" s="42">
        <v>0.09</v>
      </c>
      <c r="I79" s="42">
        <v>0.09</v>
      </c>
      <c r="J79" s="44">
        <f>I79/$J$5</f>
        <v>3.3880312150609279E-3</v>
      </c>
      <c r="K79" s="45">
        <f>I79/$K$4</f>
        <v>2.8124999999999999E-3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1.117647058823529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1596264.6564348124</v>
      </c>
      <c r="E80" s="39">
        <f>C80*K80</f>
        <v>1325104.18625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4.8938228661991184E-3</v>
      </c>
      <c r="K80" s="45">
        <f>I80/$K$4</f>
        <v>4.0625000000000001E-3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1.1487603305785123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424842.98621071299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6.361969726058854E-2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0</v>
      </c>
      <c r="O82" s="62">
        <f>SUM(O78:O81)</f>
        <v>0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26344572.697738677</v>
      </c>
      <c r="E84" s="39">
        <f>C84*K84</f>
        <v>21869370.737500001</v>
      </c>
      <c r="F84" s="40" t="s">
        <v>177</v>
      </c>
      <c r="G84" s="40">
        <v>1.3</v>
      </c>
      <c r="H84" s="42">
        <v>1.9</v>
      </c>
      <c r="I84" s="42">
        <v>1.9</v>
      </c>
      <c r="J84" s="44">
        <f>I84/$J$5</f>
        <v>7.1525103429064041E-2</v>
      </c>
      <c r="K84" s="45">
        <f>I84/$K$4</f>
        <v>5.9374999999999997E-2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72811533.526451126</v>
      </c>
      <c r="E85" s="39">
        <f>C85*K85</f>
        <v>60442901.804687507</v>
      </c>
      <c r="F85" s="40" t="s">
        <v>177</v>
      </c>
      <c r="G85" s="40">
        <v>1.44347</v>
      </c>
      <c r="H85" s="42">
        <v>1.03742</v>
      </c>
      <c r="I85" s="42">
        <v>1.0505500000000001</v>
      </c>
      <c r="J85" s="44">
        <f>I85/$J$5</f>
        <v>3.9547735477580649E-2</v>
      </c>
      <c r="K85" s="45">
        <f>I85/$K$4</f>
        <v>3.2829687500000003E-2</v>
      </c>
      <c r="L85" s="46">
        <f>I85-H85</f>
        <v>1.3130000000000086E-2</v>
      </c>
      <c r="M85" s="46">
        <f>((I85-H85)/H85*100)</f>
        <v>1.2656397601742868</v>
      </c>
      <c r="N85" s="76">
        <v>5451</v>
      </c>
      <c r="O85" s="76">
        <v>5720.9750000000004</v>
      </c>
      <c r="P85" s="47">
        <f>(R85)/J85</f>
        <v>5.5022113749940503E-2</v>
      </c>
      <c r="Q85" s="48">
        <f>I85/G85-1</f>
        <v>-0.27220517225851593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5">
      <c r="A89" s="35" t="s">
        <v>77</v>
      </c>
      <c r="B89" s="116">
        <v>2.5494280000000002</v>
      </c>
      <c r="D89" s="116">
        <v>2.4895678391959972</v>
      </c>
      <c r="E89" s="35" t="s">
        <v>101</v>
      </c>
      <c r="F89" s="117">
        <v>0.12</v>
      </c>
      <c r="H89" s="118">
        <v>-14.590747330960866</v>
      </c>
      <c r="J89" s="35" t="s">
        <v>131</v>
      </c>
      <c r="K89" s="51">
        <v>0.14000000000000001</v>
      </c>
      <c r="L89" s="119">
        <v>2.2644265887509274</v>
      </c>
      <c r="M89" s="35" t="s">
        <v>148</v>
      </c>
      <c r="N89" s="117">
        <v>0.33600000000000002</v>
      </c>
      <c r="O89" s="118">
        <v>-97.6</v>
      </c>
      <c r="P89" s="118">
        <v>-1.3931214627775275</v>
      </c>
      <c r="Q89" s="16"/>
    </row>
    <row r="90" spans="1:243" ht="15" customHeight="1" x14ac:dyDescent="0.25">
      <c r="A90" s="35" t="s">
        <v>105</v>
      </c>
      <c r="B90" s="116">
        <v>5.0999999999999997E-2</v>
      </c>
      <c r="D90" s="116">
        <v>1.9388366979812086</v>
      </c>
      <c r="E90" s="35" t="s">
        <v>45</v>
      </c>
      <c r="F90" s="117">
        <v>30</v>
      </c>
      <c r="H90" s="118">
        <v>-6.2468182513944042</v>
      </c>
      <c r="J90" s="35" t="s">
        <v>127</v>
      </c>
      <c r="K90" s="51">
        <v>0.16170000000000001</v>
      </c>
      <c r="L90" s="119">
        <v>0.31017369727047173</v>
      </c>
      <c r="M90" s="35" t="s">
        <v>146</v>
      </c>
      <c r="N90" s="117">
        <v>0.21099999999999999</v>
      </c>
      <c r="O90" s="118">
        <v>-12.083333333333334</v>
      </c>
      <c r="P90" s="118">
        <v>-0.80321285140561771</v>
      </c>
      <c r="Q90" s="16"/>
    </row>
    <row r="91" spans="1:243" ht="15" customHeight="1" x14ac:dyDescent="0.25">
      <c r="A91" s="35" t="s">
        <v>93</v>
      </c>
      <c r="B91" s="116">
        <v>3.7549999999999999</v>
      </c>
      <c r="C91" s="116"/>
      <c r="D91" s="116">
        <v>1.8823130405290815</v>
      </c>
      <c r="E91" s="120" t="s">
        <v>70</v>
      </c>
      <c r="F91" s="117">
        <v>10.0055</v>
      </c>
      <c r="G91" s="121"/>
      <c r="H91" s="118">
        <v>-2.1265023882678964</v>
      </c>
      <c r="J91" s="35"/>
      <c r="K91" s="51"/>
      <c r="L91" s="119"/>
      <c r="M91" s="35" t="s">
        <v>142</v>
      </c>
      <c r="N91" s="117">
        <v>0.36020000000000002</v>
      </c>
      <c r="O91" s="118">
        <v>-9.8372966207759696</v>
      </c>
      <c r="P91" s="118">
        <v>-0.77994428969359408</v>
      </c>
      <c r="Q91" s="16"/>
    </row>
    <row r="92" spans="1:243" ht="15" customHeight="1" x14ac:dyDescent="0.25">
      <c r="A92" s="35" t="s">
        <v>113</v>
      </c>
      <c r="B92" s="116">
        <v>0.74583299999999997</v>
      </c>
      <c r="C92" s="116"/>
      <c r="D92" s="116">
        <v>1.7739375819593295</v>
      </c>
      <c r="E92" s="120" t="s">
        <v>52</v>
      </c>
      <c r="F92" s="117">
        <v>37.050207</v>
      </c>
      <c r="G92" s="121"/>
      <c r="H92" s="118">
        <v>-1.6166989727403529E-3</v>
      </c>
      <c r="J92" s="35"/>
      <c r="K92" s="51"/>
      <c r="L92" s="119"/>
      <c r="M92" s="35" t="s">
        <v>144</v>
      </c>
      <c r="N92" s="117">
        <v>0.70179999999999998</v>
      </c>
      <c r="O92" s="118">
        <v>-4.3478260869565268</v>
      </c>
      <c r="P92" s="118">
        <v>-0.56417489421721045</v>
      </c>
      <c r="Q92" s="16"/>
    </row>
    <row r="93" spans="1:243" ht="15" customHeight="1" x14ac:dyDescent="0.25">
      <c r="A93" s="35" t="s">
        <v>99</v>
      </c>
      <c r="B93" s="116">
        <v>0.84813999999999989</v>
      </c>
      <c r="C93" s="116"/>
      <c r="D93" s="116">
        <v>1.3659435575724368</v>
      </c>
      <c r="E93" s="120"/>
      <c r="F93" s="117"/>
      <c r="G93" s="121"/>
      <c r="H93" s="118"/>
      <c r="J93" s="120"/>
      <c r="K93" s="121"/>
      <c r="L93" s="119"/>
      <c r="M93" s="35" t="s">
        <v>133</v>
      </c>
      <c r="N93" s="117">
        <v>2.1999999999999999E-2</v>
      </c>
      <c r="O93" s="118">
        <v>-2.2222222222222245</v>
      </c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c3UI8JRtD8ykNhHlzASYusCifZpOWVPynELkO/arImGnY0gFCOwPH47oXoQ02fYrn//XLFx2mWZbrarbOP7I4Q==" saltValue="7k6VFV4VNTMurWgKxyOcPg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2026-10-28T13:25:58Z</dcterms:created>
  <dcterms:modified xsi:type="dcterms:W3CDTF">2026-10-28T13:28:03Z</dcterms:modified>
</cp:coreProperties>
</file>