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AppData\Local\Microsoft\Windows\INetCache\Content.Outlook\NCN49ZJG\"/>
    </mc:Choice>
  </mc:AlternateContent>
  <xr:revisionPtr revIDLastSave="0" documentId="13_ncr:1_{D27C8130-78A1-45DA-A2EE-B5DA74639EF5}" xr6:coauthVersionLast="47" xr6:coauthVersionMax="47" xr10:uidLastSave="{00000000-0000-0000-0000-000000000000}"/>
  <bookViews>
    <workbookView xWindow="-120" yWindow="-120" windowWidth="29040" windowHeight="15720" xr2:uid="{1596FBDE-056F-477A-B3BD-9B4B651ED28D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8" i="1" l="1"/>
  <c r="Q85" i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P39" i="1" s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D23" i="1"/>
  <c r="Q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E13" i="1"/>
  <c r="Q12" i="1"/>
  <c r="P12" i="1"/>
  <c r="M12" i="1"/>
  <c r="L12" i="1"/>
  <c r="K12" i="1"/>
  <c r="E12" i="1" s="1"/>
  <c r="J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Q75" i="1" l="1"/>
  <c r="P75" i="1"/>
  <c r="K75" i="1"/>
  <c r="E75" i="1" s="1"/>
  <c r="Q72" i="1"/>
  <c r="P72" i="1"/>
  <c r="K72" i="1"/>
  <c r="E72" i="1" s="1"/>
  <c r="Q71" i="1"/>
  <c r="P71" i="1"/>
  <c r="K71" i="1"/>
  <c r="E71" i="1" s="1"/>
  <c r="D71" i="1"/>
  <c r="Q65" i="1"/>
  <c r="P65" i="1"/>
  <c r="Q64" i="1"/>
  <c r="P64" i="1"/>
  <c r="Q63" i="1"/>
  <c r="P63" i="1"/>
  <c r="Q62" i="1"/>
  <c r="P62" i="1"/>
  <c r="Q61" i="1"/>
  <c r="P61" i="1"/>
  <c r="P60" i="1"/>
  <c r="Q60" i="1"/>
  <c r="Q59" i="1"/>
  <c r="P59" i="1"/>
  <c r="Q58" i="1"/>
  <c r="P58" i="1"/>
  <c r="Q57" i="1"/>
  <c r="P57" i="1"/>
  <c r="Q56" i="1"/>
  <c r="P56" i="1"/>
  <c r="Q55" i="1"/>
  <c r="P55" i="1"/>
  <c r="Q54" i="1"/>
  <c r="P54" i="1"/>
  <c r="Q51" i="1"/>
  <c r="P51" i="1"/>
  <c r="P50" i="1"/>
  <c r="Q50" i="1"/>
  <c r="D13" i="1"/>
  <c r="P13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<sst xmlns="http://schemas.openxmlformats.org/spreadsheetml/2006/main" count="273" uniqueCount="185">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</sst>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6" applyNumberFormat="1" applyFont="1" applyFill="1" applyBorder="1"/>
    <xf numFmtId="43" fontId="15" fillId="5" borderId="0" xfId="6" applyFont="1" applyFill="1" applyBorder="1"/>
    <xf numFmtId="43" fontId="4" fillId="3" borderId="0" xfId="2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5" fontId="15" fillId="5" borderId="0" xfId="4" applyNumberFormat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6" applyNumberFormat="1" applyFont="1" applyFill="1" applyBorder="1"/>
    <xf numFmtId="165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6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0" fontId="23" fillId="2" borderId="16" xfId="7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43" fontId="15" fillId="5" borderId="5" xfId="3" applyFont="1" applyFill="1" applyBorder="1" applyAlignment="1"/>
    <xf numFmtId="43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3C519258-B320-4B98-9C63-9B86D5754974}"/>
    <cellStyle name="Comma 5 2 2 2 2 2 2 2 2 2 2 2 2 2" xfId="4" xr:uid="{6A58EA43-D479-4072-AB1E-15E39A719E78}"/>
    <cellStyle name="Comma 6 2 2 2 2 2 2 2 2" xfId="6" xr:uid="{FFD52EB1-0A91-4D67-9F25-E9EF04AB9A92}"/>
    <cellStyle name="Hyperlink 2" xfId="8" xr:uid="{403D3C5A-6665-4AA3-AC64-D2932C393F60}"/>
    <cellStyle name="Normal" xfId="0" builtinId="0"/>
    <cellStyle name="Normal 2" xfId="2" xr:uid="{960D14F0-DADE-430E-B5B5-525A8AEC3A6B}"/>
    <cellStyle name="Normal 20" xfId="7" xr:uid="{7EDFD628-7D94-4A25-A7A1-B66A4A0C28DF}"/>
    <cellStyle name="Percent" xfId="1" builtinId="5"/>
    <cellStyle name="Percent 3" xfId="5" xr:uid="{EDD61E88-C726-434E-B9D3-F301F85D4553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73FC173-316F-4407-89D8-46194071F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CBA539F-8B10-4498-B600-C852A40B9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C14C-C34F-4EB6-894B-F972CFC6AB84}">
  <dimension ref="A1:II107"/>
  <sheetViews>
    <sheetView tabSelected="1" zoomScale="70" zoomScaleNormal="70" workbookViewId="0">
      <selection activeCell="M34" sqref="M34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26.612400000000001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85246723.407133505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0.67637642602696479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300</v>
      </c>
      <c r="O9" s="37">
        <v>5400</v>
      </c>
      <c r="P9" s="47">
        <f t="shared" ref="P9:P17" si="5">(R9)/J9</f>
        <v>2.2177000000000002E-2</v>
      </c>
      <c r="Q9" s="48">
        <f t="shared" ref="Q9:Q17" si="6">I9/G9-1</f>
        <v>1.002336058735191</v>
      </c>
      <c r="R9" s="49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8247051.1766278129</v>
      </c>
      <c r="E10" s="39">
        <f t="shared" si="1"/>
        <v>6858557.0229028128</v>
      </c>
      <c r="F10" s="40" t="s">
        <v>34</v>
      </c>
      <c r="G10" s="41">
        <v>3.1600000000000003E-2</v>
      </c>
      <c r="H10" s="42">
        <v>0.14000000000000001</v>
      </c>
      <c r="I10" s="43">
        <v>0.13486200000000001</v>
      </c>
      <c r="J10" s="44">
        <f t="shared" ref="J10:J17" si="7">I10/$J$5</f>
        <v>5.0676376426026966E-3</v>
      </c>
      <c r="K10" s="45">
        <f t="shared" si="2"/>
        <v>4.2144375000000003E-3</v>
      </c>
      <c r="L10" s="46">
        <f t="shared" si="3"/>
        <v>-5.1380000000000037E-3</v>
      </c>
      <c r="M10" s="46">
        <f t="shared" si="4"/>
        <v>-3.6700000000000026</v>
      </c>
      <c r="N10" s="50">
        <v>36200</v>
      </c>
      <c r="O10" s="37">
        <v>4882</v>
      </c>
      <c r="P10" s="51">
        <f t="shared" si="5"/>
        <v>0</v>
      </c>
      <c r="Q10" s="48">
        <f t="shared" si="6"/>
        <v>3.2677848101265825</v>
      </c>
      <c r="R10" s="49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2939191.777554824</v>
      </c>
      <c r="E11" s="39">
        <f t="shared" si="1"/>
        <v>2444342.1019062498</v>
      </c>
      <c r="F11" s="40" t="s">
        <v>39</v>
      </c>
      <c r="G11" s="41">
        <v>7.8E-2</v>
      </c>
      <c r="H11" s="42">
        <v>0.17899999999999999</v>
      </c>
      <c r="I11" s="43">
        <v>0.17899999999999999</v>
      </c>
      <c r="J11" s="44">
        <f t="shared" si="7"/>
        <v>6.7261877921570394E-3</v>
      </c>
      <c r="K11" s="45">
        <f t="shared" si="2"/>
        <v>5.5937499999999998E-3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1.2948717948717947</v>
      </c>
      <c r="R11" s="49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147313591.78428102</v>
      </c>
      <c r="E12" s="39">
        <f t="shared" si="1"/>
        <v>122511507.1875</v>
      </c>
      <c r="F12" s="40" t="s">
        <v>34</v>
      </c>
      <c r="G12" s="41">
        <v>97.381</v>
      </c>
      <c r="H12" s="42">
        <v>190</v>
      </c>
      <c r="I12" s="43">
        <v>190</v>
      </c>
      <c r="J12" s="44">
        <f t="shared" si="7"/>
        <v>7.1395289413957403</v>
      </c>
      <c r="K12" s="45">
        <f t="shared" si="2"/>
        <v>5.9375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9847035.2166659143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1.1272940433782748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633180353.26240778</v>
      </c>
      <c r="E14" s="39">
        <f t="shared" si="1"/>
        <v>526576526.03626561</v>
      </c>
      <c r="F14" s="40" t="s">
        <v>47</v>
      </c>
      <c r="G14" s="41">
        <v>11.5</v>
      </c>
      <c r="H14" s="42">
        <v>32.700000000000003</v>
      </c>
      <c r="I14" s="43">
        <v>32.239699999999999</v>
      </c>
      <c r="J14" s="44">
        <f t="shared" si="7"/>
        <v>1.2114540590100855</v>
      </c>
      <c r="K14" s="45">
        <f t="shared" si="2"/>
        <v>1.007490625</v>
      </c>
      <c r="L14" s="46">
        <f t="shared" si="3"/>
        <v>-0.46030000000000371</v>
      </c>
      <c r="M14" s="46">
        <f t="shared" si="4"/>
        <v>-1.4076452599388491</v>
      </c>
      <c r="N14" s="50">
        <v>4300</v>
      </c>
      <c r="O14" s="37">
        <v>138630.9</v>
      </c>
      <c r="P14" s="51">
        <f t="shared" si="5"/>
        <v>0</v>
      </c>
      <c r="Q14" s="48">
        <f t="shared" si="6"/>
        <v>1.8034521739130436</v>
      </c>
      <c r="R14" s="49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31598207.555500444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0.29798139213299063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79972977.135048166</v>
      </c>
      <c r="E16" s="39">
        <f t="shared" si="1"/>
        <v>66508526.772148624</v>
      </c>
      <c r="F16" s="40" t="s">
        <v>34</v>
      </c>
      <c r="G16" s="41">
        <v>1.9</v>
      </c>
      <c r="H16" s="42">
        <v>5.8849999999999998</v>
      </c>
      <c r="I16" s="43">
        <v>5.9448819999999998</v>
      </c>
      <c r="J16" s="44">
        <f t="shared" si="7"/>
        <v>0.22338766890622416</v>
      </c>
      <c r="K16" s="45">
        <f t="shared" si="2"/>
        <v>0.18577756249999999</v>
      </c>
      <c r="L16" s="46">
        <f t="shared" si="3"/>
        <v>5.9881999999999991E-2</v>
      </c>
      <c r="M16" s="46">
        <f t="shared" si="4"/>
        <v>1.0175361087510619</v>
      </c>
      <c r="N16" s="50">
        <v>12700</v>
      </c>
      <c r="O16" s="37">
        <v>75500</v>
      </c>
      <c r="P16" s="51">
        <f t="shared" si="5"/>
        <v>0.22382614154494573</v>
      </c>
      <c r="Q16" s="48">
        <f t="shared" si="6"/>
        <v>2.1288852631578949</v>
      </c>
      <c r="R16" s="49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1693212775.1552064</v>
      </c>
      <c r="E17" s="39">
        <f t="shared" si="1"/>
        <v>1408139239.2981379</v>
      </c>
      <c r="F17" s="40" t="s">
        <v>34</v>
      </c>
      <c r="G17" s="41">
        <v>20.701700000000002</v>
      </c>
      <c r="H17" s="42">
        <v>32.595700000000001</v>
      </c>
      <c r="I17" s="43">
        <v>33.433515999999997</v>
      </c>
      <c r="J17" s="44">
        <f t="shared" si="7"/>
        <v>1.256313447866408</v>
      </c>
      <c r="K17" s="45">
        <f t="shared" si="2"/>
        <v>1.0447973749999999</v>
      </c>
      <c r="L17" s="46">
        <f t="shared" si="3"/>
        <v>0.83781599999999656</v>
      </c>
      <c r="M17" s="46">
        <f t="shared" si="4"/>
        <v>2.5703267608917635</v>
      </c>
      <c r="N17" s="50">
        <v>30900</v>
      </c>
      <c r="O17" s="37">
        <v>1033095.65</v>
      </c>
      <c r="P17" s="47">
        <f t="shared" si="5"/>
        <v>0</v>
      </c>
      <c r="Q17" s="48">
        <f t="shared" si="6"/>
        <v>0.61501306655975085</v>
      </c>
      <c r="R17" s="49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338343367.06948638</v>
      </c>
      <c r="E19" s="39">
        <f t="shared" si="1"/>
        <v>281379031.93125004</v>
      </c>
      <c r="F19" s="40" t="s">
        <v>47</v>
      </c>
      <c r="G19" s="41">
        <v>12.45</v>
      </c>
      <c r="H19" s="42">
        <v>13.45</v>
      </c>
      <c r="I19" s="43">
        <v>13.4</v>
      </c>
      <c r="J19" s="44">
        <f t="shared" ref="J19:J45" si="8">I19/$J$5</f>
        <v>0.50352467270896273</v>
      </c>
      <c r="K19" s="45">
        <f t="shared" ref="K19:K45" si="9">I19/$K$4</f>
        <v>0.41875000000000001</v>
      </c>
      <c r="L19" s="46">
        <f t="shared" ref="L19:L29" si="10">I19-H19</f>
        <v>-4.9999999999998934E-2</v>
      </c>
      <c r="M19" s="46">
        <f>((I19-H19)/H19)*100</f>
        <v>-0.37174721189590287</v>
      </c>
      <c r="N19" s="50">
        <v>3600</v>
      </c>
      <c r="O19" s="37">
        <v>48240</v>
      </c>
      <c r="P19" s="51">
        <f>(R19)/J19</f>
        <v>0</v>
      </c>
      <c r="Q19" s="48">
        <f t="shared" ref="Q19:Q29" si="11">I19/G19-1</f>
        <v>7.6305220883534197E-2</v>
      </c>
      <c r="R19" s="49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3806445.891013212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3.4946115344726518E-2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90962506.730271593</v>
      </c>
      <c r="E21" s="39">
        <f t="shared" si="1"/>
        <v>75647831.690896243</v>
      </c>
      <c r="F21" s="40" t="s">
        <v>47</v>
      </c>
      <c r="G21" s="41">
        <v>2.85</v>
      </c>
      <c r="H21" s="42">
        <v>3.516</v>
      </c>
      <c r="I21" s="43">
        <v>3.5075779999999996</v>
      </c>
      <c r="J21" s="44">
        <f t="shared" si="8"/>
        <v>0.13180239286948939</v>
      </c>
      <c r="K21" s="45">
        <f t="shared" si="9"/>
        <v>0.10961181249999999</v>
      </c>
      <c r="L21" s="46">
        <f t="shared" si="10"/>
        <v>-8.4220000000003736E-3</v>
      </c>
      <c r="M21" s="46">
        <f>((I21-H21)/H21)*100</f>
        <v>-0.23953356086462951</v>
      </c>
      <c r="N21" s="50">
        <v>3200</v>
      </c>
      <c r="O21" s="37">
        <v>11224.25</v>
      </c>
      <c r="P21" s="51">
        <f>(R21)/J21</f>
        <v>0</v>
      </c>
      <c r="Q21" s="48">
        <f t="shared" si="11"/>
        <v>0.23072912280701741</v>
      </c>
      <c r="R21" s="49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2048934.4325207046</v>
      </c>
      <c r="E23" s="39">
        <f t="shared" si="1"/>
        <v>1703970.7091254375</v>
      </c>
      <c r="F23" s="40" t="s">
        <v>44</v>
      </c>
      <c r="G23" s="41">
        <v>0.1</v>
      </c>
      <c r="H23" s="42">
        <v>0.1</v>
      </c>
      <c r="I23" s="43">
        <v>0.101618</v>
      </c>
      <c r="J23" s="44">
        <f t="shared" si="8"/>
        <v>3.8184455366671176E-3</v>
      </c>
      <c r="K23" s="45">
        <f t="shared" si="9"/>
        <v>3.1755625E-3</v>
      </c>
      <c r="L23" s="46">
        <f t="shared" si="10"/>
        <v>1.6179999999999944E-3</v>
      </c>
      <c r="M23" s="46">
        <f t="shared" ref="M23:M29" si="12">((I23-H23)/H23)*100</f>
        <v>1.6179999999999946</v>
      </c>
      <c r="N23" s="50">
        <v>3400</v>
      </c>
      <c r="O23" s="37">
        <v>345.5</v>
      </c>
      <c r="P23" s="51">
        <f t="shared" ref="P23:P29" si="13">(R23)/J23</f>
        <v>0</v>
      </c>
      <c r="Q23" s="48">
        <f t="shared" si="11"/>
        <v>1.6179999999999861E-2</v>
      </c>
      <c r="R23" s="49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72530310.682238355</v>
      </c>
      <c r="E24" s="39">
        <f t="shared" si="1"/>
        <v>60318926.25</v>
      </c>
      <c r="F24" s="40" t="s">
        <v>34</v>
      </c>
      <c r="G24" s="41">
        <v>8.1687659999999997</v>
      </c>
      <c r="H24" s="42">
        <v>10</v>
      </c>
      <c r="I24" s="43">
        <v>10</v>
      </c>
      <c r="J24" s="44">
        <f t="shared" si="8"/>
        <v>0.37576468112609157</v>
      </c>
      <c r="K24" s="45">
        <f t="shared" si="9"/>
        <v>0.3125</v>
      </c>
      <c r="L24" s="46">
        <f t="shared" si="10"/>
        <v>0</v>
      </c>
      <c r="M24" s="46">
        <f t="shared" si="12"/>
        <v>0</v>
      </c>
      <c r="N24" s="50">
        <v>216200</v>
      </c>
      <c r="O24" s="37">
        <v>2162000</v>
      </c>
      <c r="P24" s="47">
        <f t="shared" si="13"/>
        <v>3.9918599999999999E-2</v>
      </c>
      <c r="Q24" s="48">
        <f t="shared" si="11"/>
        <v>0.22417510796612361</v>
      </c>
      <c r="R24" s="49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95754304.519321814</v>
      </c>
      <c r="E25" s="39">
        <f t="shared" si="1"/>
        <v>79632870.424687505</v>
      </c>
      <c r="F25" s="40" t="s">
        <v>66</v>
      </c>
      <c r="G25" s="41">
        <v>1.6675</v>
      </c>
      <c r="H25" s="42">
        <v>1.508065</v>
      </c>
      <c r="I25" s="43">
        <v>1.51</v>
      </c>
      <c r="J25" s="44">
        <f t="shared" si="8"/>
        <v>5.6740466850039827E-2</v>
      </c>
      <c r="K25" s="45">
        <f t="shared" si="9"/>
        <v>4.71875E-2</v>
      </c>
      <c r="L25" s="46">
        <f t="shared" si="10"/>
        <v>1.93500000000002E-3</v>
      </c>
      <c r="M25" s="46">
        <f t="shared" si="12"/>
        <v>0.1283101192587866</v>
      </c>
      <c r="N25" s="50">
        <v>800</v>
      </c>
      <c r="O25" s="37">
        <v>1208</v>
      </c>
      <c r="P25" s="51">
        <f t="shared" si="13"/>
        <v>0</v>
      </c>
      <c r="Q25" s="48">
        <f t="shared" si="11"/>
        <v>-9.4452773613193375E-2</v>
      </c>
      <c r="R25" s="49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25636774.772286605</v>
      </c>
      <c r="E26" s="39">
        <f t="shared" si="1"/>
        <v>21320503.279687501</v>
      </c>
      <c r="F26" s="40" t="s">
        <v>44</v>
      </c>
      <c r="G26" s="41">
        <v>1.7994999999999999</v>
      </c>
      <c r="H26" s="42">
        <v>2.63</v>
      </c>
      <c r="I26" s="43">
        <v>2.85</v>
      </c>
      <c r="J26" s="44">
        <f t="shared" si="8"/>
        <v>0.10709293412093611</v>
      </c>
      <c r="K26" s="45">
        <f t="shared" si="9"/>
        <v>8.9062500000000003E-2</v>
      </c>
      <c r="L26" s="46">
        <f t="shared" si="10"/>
        <v>0.2200000000000002</v>
      </c>
      <c r="M26" s="46">
        <f t="shared" si="12"/>
        <v>8.3650190114068526</v>
      </c>
      <c r="N26" s="50">
        <v>1500</v>
      </c>
      <c r="O26" s="37">
        <v>4275</v>
      </c>
      <c r="P26" s="51">
        <f t="shared" si="13"/>
        <v>0</v>
      </c>
      <c r="Q26" s="48">
        <f t="shared" si="11"/>
        <v>0.58377327035287596</v>
      </c>
      <c r="R26" s="49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25988148.408260811</v>
      </c>
      <c r="E27" s="39">
        <f t="shared" si="1"/>
        <v>21612718.771875001</v>
      </c>
      <c r="F27" s="40" t="s">
        <v>34</v>
      </c>
      <c r="G27" s="41">
        <v>3.1361369999999997</v>
      </c>
      <c r="H27" s="42">
        <v>2.7</v>
      </c>
      <c r="I27" s="43">
        <v>2.7</v>
      </c>
      <c r="J27" s="44">
        <f t="shared" si="8"/>
        <v>0.10145646390404474</v>
      </c>
      <c r="K27" s="45">
        <f t="shared" si="9"/>
        <v>8.4375000000000006E-2</v>
      </c>
      <c r="L27" s="46">
        <f t="shared" si="10"/>
        <v>0</v>
      </c>
      <c r="M27" s="46">
        <f t="shared" si="12"/>
        <v>0</v>
      </c>
      <c r="N27" s="50">
        <v>300</v>
      </c>
      <c r="O27" s="37">
        <v>810</v>
      </c>
      <c r="P27" s="51">
        <f t="shared" si="13"/>
        <v>0</v>
      </c>
      <c r="Q27" s="48">
        <f t="shared" si="11"/>
        <v>-0.13906822310377376</v>
      </c>
      <c r="R27" s="49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32653774.787317187</v>
      </c>
      <c r="E28" s="39">
        <f t="shared" si="1"/>
        <v>27156103.629687499</v>
      </c>
      <c r="F28" s="40" t="s">
        <v>44</v>
      </c>
      <c r="G28" s="41">
        <v>0.8</v>
      </c>
      <c r="H28" s="42">
        <v>1.0049999999999999</v>
      </c>
      <c r="I28" s="43">
        <v>1.1499999999999999</v>
      </c>
      <c r="J28" s="44">
        <f t="shared" si="8"/>
        <v>4.321293832950053E-2</v>
      </c>
      <c r="K28" s="45">
        <f t="shared" si="9"/>
        <v>3.5937499999999997E-2</v>
      </c>
      <c r="L28" s="46">
        <f t="shared" si="10"/>
        <v>0.14500000000000002</v>
      </c>
      <c r="M28" s="46">
        <f t="shared" si="12"/>
        <v>14.427860696517417</v>
      </c>
      <c r="N28" s="50">
        <v>500</v>
      </c>
      <c r="O28" s="37">
        <v>575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124887615.29211947</v>
      </c>
      <c r="E29" s="39">
        <f t="shared" si="1"/>
        <v>103861224.16250001</v>
      </c>
      <c r="F29" s="40" t="s">
        <v>47</v>
      </c>
      <c r="G29" s="41">
        <v>5.15</v>
      </c>
      <c r="H29" s="42">
        <v>7.4</v>
      </c>
      <c r="I29" s="43">
        <v>7.4</v>
      </c>
      <c r="J29" s="44">
        <f t="shared" si="8"/>
        <v>0.2780658640333078</v>
      </c>
      <c r="K29" s="45">
        <f t="shared" si="9"/>
        <v>0.23125000000000001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0.43689320388349517</v>
      </c>
      <c r="R29" s="49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12914022.864341434</v>
      </c>
      <c r="E31" s="39">
        <f t="shared" si="1"/>
        <v>10739785.68984375</v>
      </c>
      <c r="F31" s="40" t="s">
        <v>39</v>
      </c>
      <c r="G31" s="41">
        <v>1.4</v>
      </c>
      <c r="H31" s="42">
        <v>1.3225</v>
      </c>
      <c r="I31" s="43">
        <v>1.3225</v>
      </c>
      <c r="J31" s="44">
        <f t="shared" si="8"/>
        <v>4.9694879078925613E-2</v>
      </c>
      <c r="K31" s="45">
        <f t="shared" si="9"/>
        <v>4.1328125E-2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-5.5357142857142771E-2</v>
      </c>
      <c r="R31" s="49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4356164.663840916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3.5697644706978698E-2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88247899.327284008</v>
      </c>
      <c r="E33" s="39">
        <f t="shared" si="1"/>
        <v>73390262.376794159</v>
      </c>
      <c r="F33" s="40" t="s">
        <v>92</v>
      </c>
      <c r="G33" s="41">
        <v>1.44</v>
      </c>
      <c r="H33" s="42">
        <v>0.94109100000000001</v>
      </c>
      <c r="I33" s="43">
        <v>0.94109100000000001</v>
      </c>
      <c r="J33" s="44">
        <f t="shared" si="8"/>
        <v>3.5362875952563468E-2</v>
      </c>
      <c r="K33" s="45">
        <f t="shared" si="9"/>
        <v>2.940909375E-2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-0.3464645833333333</v>
      </c>
      <c r="R33" s="49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35436218.488588743</v>
      </c>
      <c r="E34" s="39">
        <f t="shared" si="1"/>
        <v>29470088.15330372</v>
      </c>
      <c r="F34" s="40" t="s">
        <v>34</v>
      </c>
      <c r="G34" s="41">
        <v>3.6056249999999999</v>
      </c>
      <c r="H34" s="42">
        <v>3.72</v>
      </c>
      <c r="I34" s="43">
        <v>3.7201930000000001</v>
      </c>
      <c r="J34" s="44">
        <f t="shared" si="8"/>
        <v>0.13979171363725182</v>
      </c>
      <c r="K34" s="45">
        <f t="shared" si="9"/>
        <v>0.11625603125</v>
      </c>
      <c r="L34" s="46">
        <f t="shared" si="14"/>
        <v>1.9299999999988771E-4</v>
      </c>
      <c r="M34" s="46">
        <f t="shared" si="15"/>
        <v>5.1881720430077332E-3</v>
      </c>
      <c r="N34" s="50">
        <v>25900</v>
      </c>
      <c r="O34" s="37">
        <v>96353</v>
      </c>
      <c r="P34" s="51">
        <f t="shared" si="16"/>
        <v>0</v>
      </c>
      <c r="Q34" s="48">
        <f t="shared" si="17"/>
        <v>3.1774796325186427E-2</v>
      </c>
      <c r="R34" s="49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10630572.340713352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6.6790000000000002E-2</v>
      </c>
      <c r="I35" s="43">
        <v>0.06</v>
      </c>
      <c r="J35" s="44">
        <f t="shared" si="8"/>
        <v>2.2545880867565495E-3</v>
      </c>
      <c r="K35" s="45">
        <f t="shared" si="9"/>
        <v>1.8749999999999999E-3</v>
      </c>
      <c r="L35" s="46">
        <f t="shared" si="14"/>
        <v>-6.7900000000000044E-3</v>
      </c>
      <c r="M35" s="46">
        <f t="shared" si="15"/>
        <v>-10.166192543793988</v>
      </c>
      <c r="N35" s="50">
        <v>26200</v>
      </c>
      <c r="O35" s="37">
        <v>1572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69058727.341389731</v>
      </c>
      <c r="E36" s="39">
        <f t="shared" si="1"/>
        <v>57431827.359375</v>
      </c>
      <c r="F36" s="40" t="s">
        <v>92</v>
      </c>
      <c r="G36" s="41">
        <v>0.61</v>
      </c>
      <c r="H36" s="42">
        <v>3.5</v>
      </c>
      <c r="I36" s="43">
        <v>3.5</v>
      </c>
      <c r="J36" s="44">
        <f t="shared" si="8"/>
        <v>0.13151763839413205</v>
      </c>
      <c r="K36" s="45">
        <f t="shared" si="9"/>
        <v>0.109375</v>
      </c>
      <c r="L36" s="46">
        <f t="shared" si="14"/>
        <v>0</v>
      </c>
      <c r="M36" s="46">
        <f t="shared" si="15"/>
        <v>0</v>
      </c>
      <c r="N36" s="50">
        <v>0</v>
      </c>
      <c r="O36" s="37">
        <v>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139224152.2437917</v>
      </c>
      <c r="E37" s="39">
        <f t="shared" si="1"/>
        <v>115784025.91164631</v>
      </c>
      <c r="F37" s="40" t="s">
        <v>56</v>
      </c>
      <c r="G37" s="41">
        <v>0.11650199999999999</v>
      </c>
      <c r="H37" s="42">
        <v>0.88026300000000002</v>
      </c>
      <c r="I37" s="43">
        <v>0.88325799999999999</v>
      </c>
      <c r="J37" s="44">
        <f t="shared" si="8"/>
        <v>3.3189716072206943E-2</v>
      </c>
      <c r="K37" s="45">
        <f t="shared" si="9"/>
        <v>2.76018125E-2</v>
      </c>
      <c r="L37" s="46">
        <f t="shared" si="14"/>
        <v>2.9949999999999699E-3</v>
      </c>
      <c r="M37" s="46">
        <f t="shared" si="15"/>
        <v>0.34023922395919964</v>
      </c>
      <c r="N37" s="50">
        <v>26400</v>
      </c>
      <c r="O37" s="37">
        <v>23318</v>
      </c>
      <c r="P37" s="51">
        <v>0</v>
      </c>
      <c r="Q37" s="48">
        <f t="shared" si="17"/>
        <v>6.581483579681036</v>
      </c>
      <c r="R37" s="49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22784851.16372443</v>
      </c>
      <c r="E38" s="39">
        <f t="shared" si="1"/>
        <v>18948736.659671877</v>
      </c>
      <c r="F38" s="40" t="s">
        <v>39</v>
      </c>
      <c r="G38" s="41">
        <v>0.1</v>
      </c>
      <c r="H38" s="42">
        <v>0.124719</v>
      </c>
      <c r="I38" s="43">
        <v>0.14050000000000001</v>
      </c>
      <c r="J38" s="44">
        <f t="shared" si="8"/>
        <v>5.2794937698215872E-3</v>
      </c>
      <c r="K38" s="45">
        <f t="shared" si="9"/>
        <v>4.3906250000000004E-3</v>
      </c>
      <c r="L38" s="46">
        <f t="shared" si="14"/>
        <v>1.5781000000000017E-2</v>
      </c>
      <c r="M38" s="46">
        <f t="shared" si="15"/>
        <v>12.653244493621676</v>
      </c>
      <c r="N38" s="50">
        <v>100</v>
      </c>
      <c r="O38" s="37">
        <v>14.05</v>
      </c>
      <c r="P38" s="51">
        <f t="shared" ref="P38:P44" si="18">(R38)/J38</f>
        <v>0</v>
      </c>
      <c r="Q38" s="48">
        <f t="shared" si="17"/>
        <v>0.40500000000000003</v>
      </c>
      <c r="R38" s="49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9002082.985751003</v>
      </c>
      <c r="E39" s="39">
        <f t="shared" si="1"/>
        <v>7486469.7890625</v>
      </c>
      <c r="F39" s="40" t="s">
        <v>44</v>
      </c>
      <c r="G39" s="41">
        <v>1.7452379999999998</v>
      </c>
      <c r="H39" s="42">
        <v>2.25</v>
      </c>
      <c r="I39" s="43">
        <v>2.25</v>
      </c>
      <c r="J39" s="44">
        <f t="shared" si="8"/>
        <v>8.4547053253370599E-2</v>
      </c>
      <c r="K39" s="45">
        <f t="shared" si="9"/>
        <v>7.03125E-2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0.28922244415947862</v>
      </c>
      <c r="R39" s="49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3559289.9578869999</v>
      </c>
      <c r="E40" s="39">
        <f t="shared" si="1"/>
        <v>2960039.0023522503</v>
      </c>
      <c r="F40" s="40" t="s">
        <v>39</v>
      </c>
      <c r="G40" s="41">
        <v>0.03</v>
      </c>
      <c r="H40" s="42">
        <v>5.1886000000000002E-2</v>
      </c>
      <c r="I40" s="43">
        <v>5.3274000000000002E-2</v>
      </c>
      <c r="J40" s="44">
        <f t="shared" si="8"/>
        <v>2.0018487622311403E-3</v>
      </c>
      <c r="K40" s="45">
        <f t="shared" si="9"/>
        <v>1.6648125000000001E-3</v>
      </c>
      <c r="L40" s="46">
        <f t="shared" si="14"/>
        <v>1.3880000000000003E-3</v>
      </c>
      <c r="M40" s="46">
        <f t="shared" si="15"/>
        <v>2.6750954014570412</v>
      </c>
      <c r="N40" s="50">
        <v>23500</v>
      </c>
      <c r="O40" s="37">
        <v>1251.94</v>
      </c>
      <c r="P40" s="51">
        <f t="shared" si="18"/>
        <v>0</v>
      </c>
      <c r="Q40" s="48">
        <f t="shared" si="17"/>
        <v>0.77580000000000005</v>
      </c>
      <c r="R40" s="49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46212979.920638494</v>
      </c>
      <c r="E41" s="39">
        <f t="shared" si="1"/>
        <v>38432447.088749997</v>
      </c>
      <c r="F41" s="40" t="s">
        <v>47</v>
      </c>
      <c r="G41" s="41">
        <v>4.5</v>
      </c>
      <c r="H41" s="42">
        <v>7.02</v>
      </c>
      <c r="I41" s="43">
        <v>7.02</v>
      </c>
      <c r="J41" s="44">
        <f t="shared" si="8"/>
        <v>0.26378680615051625</v>
      </c>
      <c r="K41" s="45">
        <f t="shared" si="9"/>
        <v>0.21937499999999999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0.55999999999999983</v>
      </c>
      <c r="R41" s="49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313.39067119087343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6.763764260269649E-7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1558371.2855661272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2.7055057041078597E-3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51241680.175406955</v>
      </c>
      <c r="E44" s="39">
        <f t="shared" si="1"/>
        <v>42614502.796875</v>
      </c>
      <c r="F44" s="40" t="s">
        <v>47</v>
      </c>
      <c r="G44" s="41">
        <v>0.9998999999999999</v>
      </c>
      <c r="H44" s="42">
        <v>0.8</v>
      </c>
      <c r="I44" s="43">
        <v>0.75</v>
      </c>
      <c r="J44" s="44">
        <f t="shared" si="8"/>
        <v>2.818235108445687E-2</v>
      </c>
      <c r="K44" s="45">
        <f t="shared" si="9"/>
        <v>2.34375E-2</v>
      </c>
      <c r="L44" s="46">
        <f t="shared" si="14"/>
        <v>-5.0000000000000044E-2</v>
      </c>
      <c r="M44" s="46">
        <f t="shared" si="15"/>
        <v>-6.2500000000000053</v>
      </c>
      <c r="N44" s="50">
        <v>100</v>
      </c>
      <c r="O44" s="37">
        <v>75</v>
      </c>
      <c r="P44" s="51">
        <f t="shared" si="18"/>
        <v>0</v>
      </c>
      <c r="Q44" s="48">
        <f t="shared" si="17"/>
        <v>-0.24992499249924982</v>
      </c>
      <c r="R44" s="49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17368081.796455786</v>
      </c>
      <c r="E45" s="39">
        <f t="shared" si="1"/>
        <v>14443948.125</v>
      </c>
      <c r="F45" s="40" t="s">
        <v>47</v>
      </c>
      <c r="G45" s="41">
        <v>1.4503460000000001</v>
      </c>
      <c r="H45" s="42">
        <v>4.1011980000000001</v>
      </c>
      <c r="I45" s="43">
        <v>4.5</v>
      </c>
      <c r="J45" s="44">
        <f t="shared" si="8"/>
        <v>0.1690941065067412</v>
      </c>
      <c r="K45" s="45">
        <f t="shared" si="9"/>
        <v>0.140625</v>
      </c>
      <c r="L45" s="46">
        <f t="shared" si="14"/>
        <v>0.39880199999999988</v>
      </c>
      <c r="M45" s="46">
        <f t="shared" si="15"/>
        <v>9.7240367326815207</v>
      </c>
      <c r="N45" s="50">
        <v>200</v>
      </c>
      <c r="O45" s="37">
        <v>900</v>
      </c>
      <c r="P45" s="51">
        <v>0</v>
      </c>
      <c r="Q45" s="48">
        <f t="shared" si="17"/>
        <v>2.1027079055618452</v>
      </c>
      <c r="R45" s="49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416300</v>
      </c>
      <c r="O47" s="61">
        <f>SUM(O9:O45)</f>
        <v>3609670.2899999996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91797128.525399998</v>
      </c>
      <c r="E50" s="39">
        <v>0</v>
      </c>
      <c r="F50" s="40" t="s">
        <v>92</v>
      </c>
      <c r="G50" s="70">
        <v>0.1</v>
      </c>
      <c r="H50" s="42">
        <v>0.1658</v>
      </c>
      <c r="I50" s="42">
        <v>0.16209999999999999</v>
      </c>
      <c r="J50" s="44">
        <f t="shared" ref="J50:J65" si="20">I50</f>
        <v>0.16209999999999999</v>
      </c>
      <c r="K50" s="39">
        <v>0</v>
      </c>
      <c r="L50" s="46">
        <f t="shared" ref="L50:L65" si="21">I50-H50</f>
        <v>-3.7000000000000088E-3</v>
      </c>
      <c r="M50" s="46">
        <f t="shared" ref="M50:M65" si="22">((I50-H50)/H50)*100</f>
        <v>-2.2316043425814289</v>
      </c>
      <c r="N50" s="50">
        <v>18444</v>
      </c>
      <c r="O50" s="37">
        <v>2989.61</v>
      </c>
      <c r="P50" s="71">
        <f>(R50)/J50</f>
        <v>0</v>
      </c>
      <c r="Q50" s="48">
        <f t="shared" ref="Q50:Q65" si="23">J50/G50-1</f>
        <v>0.62099999999999977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37429535.725000001</v>
      </c>
      <c r="E51" s="39">
        <v>0</v>
      </c>
      <c r="F51" s="40" t="s">
        <v>39</v>
      </c>
      <c r="G51" s="70">
        <v>39.9</v>
      </c>
      <c r="H51" s="42">
        <v>33.853499999999997</v>
      </c>
      <c r="I51" s="42">
        <v>33.662500000000001</v>
      </c>
      <c r="J51" s="44">
        <f t="shared" si="20"/>
        <v>33.662500000000001</v>
      </c>
      <c r="K51" s="39">
        <v>0</v>
      </c>
      <c r="L51" s="46">
        <f t="shared" si="21"/>
        <v>-0.1909999999999954</v>
      </c>
      <c r="M51" s="46">
        <f t="shared" si="22"/>
        <v>-0.56419572570043097</v>
      </c>
      <c r="N51" s="50">
        <v>48</v>
      </c>
      <c r="O51" s="37">
        <v>1615.8</v>
      </c>
      <c r="P51" s="72">
        <f>(R51)/J51</f>
        <v>1.6635722242851838E-2</v>
      </c>
      <c r="Q51" s="48">
        <f t="shared" si="23"/>
        <v>-0.15632832080200498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678622614.4404</v>
      </c>
      <c r="E52" s="39"/>
      <c r="F52" s="40" t="s">
        <v>56</v>
      </c>
      <c r="G52" s="70">
        <v>0.33</v>
      </c>
      <c r="H52" s="42">
        <v>0.2266</v>
      </c>
      <c r="I52" s="42">
        <v>0.2268</v>
      </c>
      <c r="J52" s="44">
        <f t="shared" si="20"/>
        <v>0.2268</v>
      </c>
      <c r="K52" s="39">
        <v>0</v>
      </c>
      <c r="L52" s="46">
        <f t="shared" si="21"/>
        <v>2.0000000000000573E-4</v>
      </c>
      <c r="M52" s="46">
        <f t="shared" si="22"/>
        <v>8.8261253309799531E-2</v>
      </c>
      <c r="N52" s="50">
        <v>32827</v>
      </c>
      <c r="O52" s="37">
        <v>7444.62</v>
      </c>
      <c r="P52" s="71">
        <v>0</v>
      </c>
      <c r="Q52" s="48">
        <f t="shared" si="23"/>
        <v>-0.31272727272727274</v>
      </c>
      <c r="R52" s="52"/>
      <c r="T52" s="52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343003574.33939999</v>
      </c>
      <c r="E54" s="39">
        <v>0</v>
      </c>
      <c r="F54" s="40" t="s">
        <v>47</v>
      </c>
      <c r="G54" s="70">
        <v>9.0200000000000002E-2</v>
      </c>
      <c r="H54" s="42">
        <v>0.16</v>
      </c>
      <c r="I54" s="42">
        <v>0.15859999999999999</v>
      </c>
      <c r="J54" s="44">
        <f t="shared" si="20"/>
        <v>0.15859999999999999</v>
      </c>
      <c r="K54" s="39">
        <v>0</v>
      </c>
      <c r="L54" s="46">
        <f t="shared" si="21"/>
        <v>-1.4000000000000123E-3</v>
      </c>
      <c r="M54" s="74">
        <f t="shared" si="22"/>
        <v>-0.87500000000000777</v>
      </c>
      <c r="N54" s="50">
        <v>34194</v>
      </c>
      <c r="O54" s="37">
        <v>5424.49</v>
      </c>
      <c r="P54" s="71">
        <f t="shared" si="24"/>
        <v>0</v>
      </c>
      <c r="Q54" s="48">
        <f t="shared" si="23"/>
        <v>0.75831485587583125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806527400.58000004</v>
      </c>
      <c r="E55" s="39">
        <v>0</v>
      </c>
      <c r="F55" s="40" t="s">
        <v>34</v>
      </c>
      <c r="G55" s="70">
        <v>0.95750000000000002</v>
      </c>
      <c r="H55" s="42">
        <v>1.4001999999999999</v>
      </c>
      <c r="I55" s="42">
        <v>1.4004000000000001</v>
      </c>
      <c r="J55" s="44">
        <f t="shared" si="20"/>
        <v>1.4004000000000001</v>
      </c>
      <c r="K55" s="39">
        <v>0</v>
      </c>
      <c r="L55" s="46">
        <f t="shared" si="21"/>
        <v>2.0000000000020002E-4</v>
      </c>
      <c r="M55" s="46">
        <f t="shared" si="22"/>
        <v>1.4283673760905587E-2</v>
      </c>
      <c r="N55" s="50">
        <v>258150</v>
      </c>
      <c r="O55" s="37">
        <v>361511.79</v>
      </c>
      <c r="P55" s="72">
        <f t="shared" si="24"/>
        <v>3.3561839474435876E-2</v>
      </c>
      <c r="Q55" s="48">
        <f t="shared" si="23"/>
        <v>0.4625587467362926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23810192.189999998</v>
      </c>
      <c r="E56" s="39">
        <v>0</v>
      </c>
      <c r="F56" s="40" t="s">
        <v>34</v>
      </c>
      <c r="G56" s="70">
        <v>0.1595</v>
      </c>
      <c r="H56" s="42">
        <v>0.1232</v>
      </c>
      <c r="I56" s="42">
        <v>0.14499999999999999</v>
      </c>
      <c r="J56" s="44">
        <f t="shared" si="20"/>
        <v>0.14499999999999999</v>
      </c>
      <c r="K56" s="39">
        <v>0</v>
      </c>
      <c r="L56" s="46">
        <f t="shared" si="21"/>
        <v>2.1799999999999986E-2</v>
      </c>
      <c r="M56" s="46">
        <f t="shared" si="22"/>
        <v>17.694805194805184</v>
      </c>
      <c r="N56" s="50">
        <v>75</v>
      </c>
      <c r="O56" s="37">
        <v>10.87</v>
      </c>
      <c r="P56" s="71">
        <f t="shared" si="24"/>
        <v>0</v>
      </c>
      <c r="Q56" s="48">
        <f t="shared" si="23"/>
        <v>-9.0909090909090939E-2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22657045.298</v>
      </c>
      <c r="E57" s="39">
        <v>0</v>
      </c>
      <c r="F57" s="40" t="s">
        <v>92</v>
      </c>
      <c r="G57" s="70">
        <v>1.6799999999999999E-2</v>
      </c>
      <c r="H57" s="42">
        <v>2.29E-2</v>
      </c>
      <c r="I57" s="42">
        <v>2.3E-2</v>
      </c>
      <c r="J57" s="44">
        <f t="shared" si="20"/>
        <v>2.3E-2</v>
      </c>
      <c r="K57" s="39">
        <v>0</v>
      </c>
      <c r="L57" s="46">
        <f t="shared" si="21"/>
        <v>9.9999999999999395E-5</v>
      </c>
      <c r="M57" s="74">
        <f t="shared" si="22"/>
        <v>0.43668122270742094</v>
      </c>
      <c r="N57" s="50">
        <v>26713</v>
      </c>
      <c r="O57" s="37">
        <v>614.4</v>
      </c>
      <c r="P57" s="71">
        <f t="shared" si="24"/>
        <v>0</v>
      </c>
      <c r="Q57" s="48">
        <f t="shared" si="23"/>
        <v>0.36904761904761907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2687888.7090999996</v>
      </c>
      <c r="E58" s="39">
        <v>0</v>
      </c>
      <c r="F58" s="40" t="s">
        <v>137</v>
      </c>
      <c r="G58" s="70">
        <v>19.5</v>
      </c>
      <c r="H58" s="42">
        <v>16.666699999999999</v>
      </c>
      <c r="I58" s="42">
        <v>16.666699999999999</v>
      </c>
      <c r="J58" s="44">
        <f t="shared" si="20"/>
        <v>16.666699999999999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-0.14529743589743593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3994257105.5279999</v>
      </c>
      <c r="E59" s="39">
        <v>0</v>
      </c>
      <c r="F59" s="40" t="s">
        <v>47</v>
      </c>
      <c r="G59" s="70">
        <v>0.78169999999999995</v>
      </c>
      <c r="H59" s="51">
        <v>0.90749999999999997</v>
      </c>
      <c r="I59" s="42">
        <v>0.88800000000000001</v>
      </c>
      <c r="J59" s="44">
        <f t="shared" si="20"/>
        <v>0.88800000000000001</v>
      </c>
      <c r="K59" s="39">
        <v>0</v>
      </c>
      <c r="L59" s="46">
        <f t="shared" si="21"/>
        <v>-1.9499999999999962E-2</v>
      </c>
      <c r="M59" s="46">
        <f t="shared" si="22"/>
        <v>-2.1487603305785083</v>
      </c>
      <c r="N59" s="75">
        <v>8750</v>
      </c>
      <c r="O59" s="76">
        <v>7769.61</v>
      </c>
      <c r="P59" s="71">
        <f t="shared" si="24"/>
        <v>0</v>
      </c>
      <c r="Q59" s="48">
        <f t="shared" si="23"/>
        <v>0.13598567225278257</v>
      </c>
      <c r="R59" s="52"/>
      <c r="S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1185334671.0072999</v>
      </c>
      <c r="E60" s="39">
        <v>0</v>
      </c>
      <c r="F60" s="40" t="s">
        <v>92</v>
      </c>
      <c r="G60" s="70">
        <v>0.59499999999999997</v>
      </c>
      <c r="H60" s="42">
        <v>1.4695</v>
      </c>
      <c r="I60" s="42">
        <v>1.4722999999999999</v>
      </c>
      <c r="J60" s="44">
        <f t="shared" si="20"/>
        <v>1.4722999999999999</v>
      </c>
      <c r="K60" s="39">
        <v>0</v>
      </c>
      <c r="L60" s="46">
        <f t="shared" si="21"/>
        <v>2.7999999999999137E-3</v>
      </c>
      <c r="M60" s="46">
        <f t="shared" si="22"/>
        <v>0.1905410003402459</v>
      </c>
      <c r="N60" s="50">
        <v>171127</v>
      </c>
      <c r="O60" s="37">
        <v>251955.02</v>
      </c>
      <c r="P60" s="71">
        <f t="shared" si="24"/>
        <v>0</v>
      </c>
      <c r="Q60" s="48">
        <f t="shared" si="23"/>
        <v>1.4744537815126049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107622953.03039999</v>
      </c>
      <c r="E61" s="39">
        <v>0</v>
      </c>
      <c r="F61" s="40" t="s">
        <v>34</v>
      </c>
      <c r="G61" s="70">
        <v>0.22600000000000001</v>
      </c>
      <c r="H61" s="42">
        <v>0.41</v>
      </c>
      <c r="I61" s="42">
        <v>0.4128</v>
      </c>
      <c r="J61" s="44">
        <f t="shared" si="20"/>
        <v>0.4128</v>
      </c>
      <c r="K61" s="39">
        <v>0</v>
      </c>
      <c r="L61" s="46">
        <f t="shared" si="21"/>
        <v>2.8000000000000247E-3</v>
      </c>
      <c r="M61" s="46">
        <f t="shared" si="22"/>
        <v>0.68292682926829873</v>
      </c>
      <c r="N61" s="50">
        <v>3192</v>
      </c>
      <c r="O61" s="37">
        <v>1317.68</v>
      </c>
      <c r="P61" s="71">
        <f t="shared" si="24"/>
        <v>0</v>
      </c>
      <c r="Q61" s="48">
        <f t="shared" si="23"/>
        <v>0.82654867256637155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390381116.78720003</v>
      </c>
      <c r="E62" s="39">
        <v>0</v>
      </c>
      <c r="F62" s="40" t="s">
        <v>34</v>
      </c>
      <c r="G62" s="70">
        <v>0.49440000000000001</v>
      </c>
      <c r="H62" s="42">
        <v>0.69210000000000005</v>
      </c>
      <c r="I62" s="42">
        <v>0.69440000000000002</v>
      </c>
      <c r="J62" s="44">
        <f t="shared" si="20"/>
        <v>0.69440000000000002</v>
      </c>
      <c r="K62" s="39">
        <v>0</v>
      </c>
      <c r="L62" s="46">
        <f t="shared" si="21"/>
        <v>2.2999999999999687E-3</v>
      </c>
      <c r="M62" s="46">
        <f t="shared" si="22"/>
        <v>0.33232191879785705</v>
      </c>
      <c r="N62" s="50">
        <v>12356</v>
      </c>
      <c r="O62" s="37">
        <v>8580.56</v>
      </c>
      <c r="P62" s="71">
        <f t="shared" si="24"/>
        <v>0</v>
      </c>
      <c r="Q62" s="48">
        <f t="shared" si="23"/>
        <v>0.40453074433656955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87486248.399999991</v>
      </c>
      <c r="E63" s="39">
        <v>0</v>
      </c>
      <c r="F63" s="40" t="s">
        <v>34</v>
      </c>
      <c r="G63" s="70">
        <v>0.25950000000000001</v>
      </c>
      <c r="H63" s="42">
        <v>0.2409</v>
      </c>
      <c r="I63" s="42">
        <v>0.24</v>
      </c>
      <c r="J63" s="44">
        <f t="shared" si="20"/>
        <v>0.24</v>
      </c>
      <c r="K63" s="39">
        <v>0</v>
      </c>
      <c r="L63" s="46">
        <f t="shared" si="21"/>
        <v>-9.000000000000119E-4</v>
      </c>
      <c r="M63" s="46">
        <f t="shared" si="22"/>
        <v>-0.37359900373599497</v>
      </c>
      <c r="N63" s="50">
        <v>150</v>
      </c>
      <c r="O63" s="37">
        <v>36</v>
      </c>
      <c r="P63" s="71">
        <f t="shared" si="24"/>
        <v>0</v>
      </c>
      <c r="Q63" s="48">
        <f t="shared" si="23"/>
        <v>-7.5144508670520249E-2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420000000</v>
      </c>
      <c r="E64" s="39">
        <v>0</v>
      </c>
      <c r="F64" s="40" t="s">
        <v>66</v>
      </c>
      <c r="G64" s="70">
        <v>10</v>
      </c>
      <c r="H64" s="42">
        <v>14</v>
      </c>
      <c r="I64" s="42">
        <v>14</v>
      </c>
      <c r="J64" s="44">
        <f t="shared" si="20"/>
        <v>14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0.39999999999999991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41177368.077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0.1195</v>
      </c>
      <c r="J65" s="44">
        <f t="shared" si="20"/>
        <v>0.1195</v>
      </c>
      <c r="K65" s="39">
        <v>0</v>
      </c>
      <c r="L65" s="46">
        <f t="shared" si="21"/>
        <v>-5.0000000000000044E-4</v>
      </c>
      <c r="M65" s="46">
        <f t="shared" si="22"/>
        <v>-0.41666666666666707</v>
      </c>
      <c r="N65" s="50">
        <v>29184</v>
      </c>
      <c r="O65" s="37">
        <v>3487.49</v>
      </c>
      <c r="P65" s="71">
        <f t="shared" si="24"/>
        <v>0</v>
      </c>
      <c r="Q65" s="48">
        <f t="shared" si="23"/>
        <v>1.7790697674418605</v>
      </c>
      <c r="T65" s="52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595210</v>
      </c>
      <c r="O66" s="62">
        <f>SUM(O50:O65)</f>
        <v>652757.94000000006</v>
      </c>
      <c r="P66" s="80"/>
      <c r="Q66" s="63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71</v>
      </c>
      <c r="O71" s="96">
        <v>24.85</v>
      </c>
      <c r="P71" s="71">
        <f>(R71)/J71</f>
        <v>0</v>
      </c>
      <c r="Q71" s="48">
        <f>J71/G71-1</f>
        <v>0.45833333333333326</v>
      </c>
      <c r="T71" s="52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84735799.225000009</v>
      </c>
      <c r="E72" s="39">
        <f>C72*K72</f>
        <v>84735799.225000009</v>
      </c>
      <c r="F72" s="92" t="s">
        <v>159</v>
      </c>
      <c r="G72" s="92">
        <v>0.1</v>
      </c>
      <c r="H72" s="93">
        <v>0.16</v>
      </c>
      <c r="I72" s="93">
        <v>0.15670000000000001</v>
      </c>
      <c r="J72" s="94">
        <f>I72</f>
        <v>0.15670000000000001</v>
      </c>
      <c r="K72" s="94">
        <f>J72</f>
        <v>0.15670000000000001</v>
      </c>
      <c r="L72" s="46">
        <f>I72-H72</f>
        <v>-3.2999999999999974E-3</v>
      </c>
      <c r="M72" s="46">
        <f>((I72-H72)/H72)*100</f>
        <v>-2.0624999999999982</v>
      </c>
      <c r="N72" s="50">
        <v>4466</v>
      </c>
      <c r="O72" s="96">
        <v>699.63</v>
      </c>
      <c r="P72" s="97">
        <f>(R72)/J72</f>
        <v>2.4199106573069559E-2</v>
      </c>
      <c r="Q72" s="48">
        <f>J72/G72-1</f>
        <v>0.56699999999999995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4537</v>
      </c>
      <c r="O73" s="62">
        <f>SUM(O71:O72)</f>
        <v>724.48</v>
      </c>
      <c r="P73" s="90"/>
      <c r="Q73" s="63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7657759.7592000002</v>
      </c>
      <c r="E75" s="39">
        <f>C75*K75</f>
        <v>7657759.7592000002</v>
      </c>
      <c r="F75" s="92" t="s">
        <v>137</v>
      </c>
      <c r="G75" s="92">
        <v>0.1394</v>
      </c>
      <c r="H75" s="93">
        <v>0.11899999999999999</v>
      </c>
      <c r="I75" s="93">
        <v>0.1192</v>
      </c>
      <c r="J75" s="94">
        <f>I75</f>
        <v>0.1192</v>
      </c>
      <c r="K75" s="94">
        <f>J75</f>
        <v>0.1192</v>
      </c>
      <c r="L75" s="46">
        <f>I75-H75</f>
        <v>2.0000000000000573E-4</v>
      </c>
      <c r="M75" s="46">
        <f>((I75-H75)/H75)*100</f>
        <v>0.16806722689076112</v>
      </c>
      <c r="N75" s="95">
        <v>441</v>
      </c>
      <c r="O75" s="96">
        <v>52.57</v>
      </c>
      <c r="P75" s="71">
        <f>(R75)/J75</f>
        <v>0</v>
      </c>
      <c r="Q75" s="48">
        <f>J75/G75-1</f>
        <v>-0.1449067431850789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131042.48282755406</v>
      </c>
      <c r="E78" s="39">
        <f>C78*K78</f>
        <v>108979.84281250001</v>
      </c>
      <c r="F78" s="40" t="s">
        <v>137</v>
      </c>
      <c r="G78" s="70">
        <v>0.105</v>
      </c>
      <c r="H78" s="42">
        <v>0.11</v>
      </c>
      <c r="I78" s="42">
        <v>0.11</v>
      </c>
      <c r="J78" s="44">
        <f>I78/$J$5</f>
        <v>4.1334114923870071E-3</v>
      </c>
      <c r="K78" s="45">
        <f>I78/$K$4</f>
        <v>3.4375E-3</v>
      </c>
      <c r="L78" s="46">
        <f>I78-H78</f>
        <v>0</v>
      </c>
      <c r="M78" s="98">
        <f>((I78-H78)/H78)*100</f>
        <v>0</v>
      </c>
      <c r="N78" s="37">
        <v>100</v>
      </c>
      <c r="O78" s="37">
        <v>11</v>
      </c>
      <c r="P78" s="40">
        <v>0</v>
      </c>
      <c r="Q78" s="48">
        <f>I78/G78-1</f>
        <v>4.7619047619047672E-2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409319.12041003437</v>
      </c>
      <c r="E79" s="39">
        <f>C79*K79</f>
        <v>340405.13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3.0061174490087325E-3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358600</v>
      </c>
      <c r="O79" s="37">
        <v>28688</v>
      </c>
      <c r="P79" s="40">
        <v>0</v>
      </c>
      <c r="Q79" s="48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1470800.7936150064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4.509176173513099E-3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100</v>
      </c>
      <c r="O80" s="37">
        <v>12</v>
      </c>
      <c r="P80" s="40">
        <v>0</v>
      </c>
      <c r="Q80" s="48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424071.92023267347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6.3504231110309478E-2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358800</v>
      </c>
      <c r="O82" s="62">
        <f>SUM(O78:O81)</f>
        <v>28711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26296758.789135888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7.1395289413957397E-2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100</v>
      </c>
      <c r="O84" s="76">
        <v>190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73012843.029940933</v>
      </c>
      <c r="E85" s="39">
        <f>C85*K85</f>
        <v>60720218.245312504</v>
      </c>
      <c r="F85" s="40" t="s">
        <v>177</v>
      </c>
      <c r="G85" s="40">
        <v>1.44347</v>
      </c>
      <c r="H85" s="42">
        <v>1.0584359999999999</v>
      </c>
      <c r="I85" s="42">
        <v>1.0553700000000001</v>
      </c>
      <c r="J85" s="44">
        <f>I85/$J$5</f>
        <v>3.9657077152004332E-2</v>
      </c>
      <c r="K85" s="45">
        <f>I85/$K$4</f>
        <v>3.2980312500000004E-2</v>
      </c>
      <c r="L85" s="46">
        <f>I85-H85</f>
        <v>-3.0659999999997911E-3</v>
      </c>
      <c r="M85" s="46">
        <f>((I85-H85)/H85*100)</f>
        <v>-0.28967268687004138</v>
      </c>
      <c r="N85" s="76">
        <v>28314</v>
      </c>
      <c r="O85" s="76">
        <v>29902.884999999998</v>
      </c>
      <c r="P85" s="47">
        <f>(R85)/J85</f>
        <v>5.4870407913812216E-2</v>
      </c>
      <c r="Q85" s="48">
        <f>I85/G85-1</f>
        <v>-0.26886599652226917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">
      <c r="A89" s="35" t="s">
        <v>79</v>
      </c>
      <c r="B89" s="116">
        <v>1.1499999999999999</v>
      </c>
      <c r="D89" s="116">
        <v>14.427860696517417</v>
      </c>
      <c r="E89" s="35" t="s">
        <v>95</v>
      </c>
      <c r="F89" s="117">
        <v>0.06</v>
      </c>
      <c r="H89" s="118">
        <v>-10.166192543793988</v>
      </c>
      <c r="J89" s="35" t="s">
        <v>131</v>
      </c>
      <c r="K89" s="51">
        <v>0.14499999999999999</v>
      </c>
      <c r="L89" s="119">
        <v>17.694805194805184</v>
      </c>
      <c r="M89" s="35" t="s">
        <v>119</v>
      </c>
      <c r="N89" s="117">
        <v>0.16209999999999999</v>
      </c>
      <c r="O89" s="118">
        <v>-2.2316043425814289</v>
      </c>
      <c r="P89" s="118">
        <v>-1.3931214627775275</v>
      </c>
      <c r="Q89" s="16"/>
    </row>
    <row r="90" spans="1:243" ht="15" customHeight="1" x14ac:dyDescent="0.2">
      <c r="A90" s="35" t="s">
        <v>101</v>
      </c>
      <c r="B90" s="116">
        <v>0.14050000000000001</v>
      </c>
      <c r="D90" s="116">
        <v>12.653244493621676</v>
      </c>
      <c r="E90" s="35" t="s">
        <v>113</v>
      </c>
      <c r="F90" s="117">
        <v>0.75</v>
      </c>
      <c r="H90" s="118">
        <v>-6.2500000000000053</v>
      </c>
      <c r="J90" s="35" t="s">
        <v>142</v>
      </c>
      <c r="K90" s="51">
        <v>0.4128</v>
      </c>
      <c r="L90" s="119">
        <v>0.68292682926829873</v>
      </c>
      <c r="M90" s="35" t="s">
        <v>138</v>
      </c>
      <c r="N90" s="117">
        <v>0.88800000000000001</v>
      </c>
      <c r="O90" s="118">
        <v>-2.1487603305785083</v>
      </c>
      <c r="P90" s="118">
        <v>-0.80321285140561771</v>
      </c>
      <c r="Q90" s="16"/>
    </row>
    <row r="91" spans="1:243" ht="15" customHeight="1" x14ac:dyDescent="0.2">
      <c r="A91" s="35" t="s">
        <v>115</v>
      </c>
      <c r="B91" s="116">
        <v>4.5</v>
      </c>
      <c r="C91" s="116"/>
      <c r="D91" s="116">
        <v>9.7240367326815207</v>
      </c>
      <c r="E91" s="120" t="s">
        <v>35</v>
      </c>
      <c r="F91" s="117">
        <v>0.13486200000000001</v>
      </c>
      <c r="G91" s="121"/>
      <c r="H91" s="118">
        <v>-3.6700000000000026</v>
      </c>
      <c r="J91" s="35" t="s">
        <v>133</v>
      </c>
      <c r="K91" s="51">
        <v>2.3E-2</v>
      </c>
      <c r="L91" s="119">
        <v>0.43668122270742094</v>
      </c>
      <c r="M91" s="35" t="s">
        <v>127</v>
      </c>
      <c r="N91" s="117">
        <v>0.15859999999999999</v>
      </c>
      <c r="O91" s="118">
        <v>-0.87500000000000777</v>
      </c>
      <c r="P91" s="118">
        <v>-0.77994428969359408</v>
      </c>
      <c r="Q91" s="16"/>
    </row>
    <row r="92" spans="1:243" ht="15" customHeight="1" x14ac:dyDescent="0.2">
      <c r="A92" s="35" t="s">
        <v>75</v>
      </c>
      <c r="B92" s="116">
        <v>2.85</v>
      </c>
      <c r="C92" s="116"/>
      <c r="D92" s="116">
        <v>8.3650190114068526</v>
      </c>
      <c r="E92" s="120" t="s">
        <v>45</v>
      </c>
      <c r="F92" s="117">
        <v>32.239699999999999</v>
      </c>
      <c r="G92" s="121"/>
      <c r="H92" s="118">
        <v>-1.4076452599388491</v>
      </c>
      <c r="J92" s="35" t="s">
        <v>144</v>
      </c>
      <c r="K92" s="51">
        <v>0.69440000000000002</v>
      </c>
      <c r="L92" s="119">
        <v>0.33232191879785705</v>
      </c>
      <c r="M92" s="35" t="s">
        <v>121</v>
      </c>
      <c r="N92" s="117">
        <v>33.662500000000001</v>
      </c>
      <c r="O92" s="118">
        <v>-0.56419572570043097</v>
      </c>
      <c r="P92" s="118">
        <v>-0.56417489421721045</v>
      </c>
      <c r="Q92" s="16"/>
    </row>
    <row r="93" spans="1:243" ht="15" customHeight="1" x14ac:dyDescent="0.2">
      <c r="A93" s="35" t="s">
        <v>105</v>
      </c>
      <c r="B93" s="116">
        <v>5.3274000000000002E-2</v>
      </c>
      <c r="C93" s="116"/>
      <c r="D93" s="116">
        <v>2.6750954014570412</v>
      </c>
      <c r="E93" s="120" t="s">
        <v>58</v>
      </c>
      <c r="F93" s="117">
        <v>13.4</v>
      </c>
      <c r="G93" s="121"/>
      <c r="H93" s="118">
        <v>-0.37174721189590287</v>
      </c>
      <c r="J93" s="120" t="s">
        <v>140</v>
      </c>
      <c r="K93" s="121">
        <v>1.4722999999999999</v>
      </c>
      <c r="L93" s="119">
        <v>0.1905410003402459</v>
      </c>
      <c r="M93" s="35" t="s">
        <v>146</v>
      </c>
      <c r="N93" s="117">
        <v>0.24</v>
      </c>
      <c r="O93" s="118">
        <v>-0.37359900373599497</v>
      </c>
      <c r="P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+fYT40EG2Ib6lLchUTNCLWYJv3KQYadb9DjYOzqpXQ+M+Uuhn19/zTR7FurPi+6iERSNlAGF4IOJyxV2v4ERHw==" saltValue="7mHvdyPG8oDAs0Ae2J8lMA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2026-10-20T13:29:41Z</dcterms:created>
  <dcterms:modified xsi:type="dcterms:W3CDTF">2026-10-20T13:33:16Z</dcterms:modified>
</cp:coreProperties>
</file>