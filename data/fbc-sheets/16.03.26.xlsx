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16.03.26/"/>
    </mc:Choice>
  </mc:AlternateContent>
  <xr:revisionPtr revIDLastSave="2" documentId="8_{8E639C84-D938-4CBE-A7A3-69B1EB51636D}" xr6:coauthVersionLast="47" xr6:coauthVersionMax="47" xr10:uidLastSave="{DE33CB94-AEA8-4815-908B-F0E4389D68E8}"/>
  <bookViews>
    <workbookView xWindow="-108" yWindow="-108" windowWidth="23256" windowHeight="12456" xr2:uid="{74B6B34F-1DA7-4165-B83C-3EEF9FB5487F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E81" i="1" s="1"/>
  <c r="J81" i="1"/>
  <c r="D81" i="1"/>
  <c r="O79" i="1"/>
  <c r="N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6" i="1"/>
  <c r="M76" i="1"/>
  <c r="L76" i="1"/>
  <c r="K76" i="1"/>
  <c r="E76" i="1" s="1"/>
  <c r="J76" i="1"/>
  <c r="D76" i="1" s="1"/>
  <c r="Q75" i="1"/>
  <c r="M75" i="1"/>
  <c r="L75" i="1"/>
  <c r="K75" i="1"/>
  <c r="J75" i="1"/>
  <c r="E75" i="1"/>
  <c r="D75" i="1"/>
  <c r="O73" i="1"/>
  <c r="N73" i="1"/>
  <c r="Q72" i="1"/>
  <c r="M72" i="1"/>
  <c r="L72" i="1"/>
  <c r="J72" i="1"/>
  <c r="K72" i="1" s="1"/>
  <c r="E72" i="1" s="1"/>
  <c r="D72" i="1"/>
  <c r="Q71" i="1"/>
  <c r="M71" i="1"/>
  <c r="L71" i="1"/>
  <c r="J71" i="1"/>
  <c r="K71" i="1" s="1"/>
  <c r="E71" i="1" s="1"/>
  <c r="M68" i="1"/>
  <c r="L68" i="1"/>
  <c r="D68" i="1"/>
  <c r="O66" i="1"/>
  <c r="N66" i="1"/>
  <c r="Q65" i="1"/>
  <c r="P65" i="1"/>
  <c r="M65" i="1"/>
  <c r="L65" i="1"/>
  <c r="J65" i="1"/>
  <c r="D65" i="1"/>
  <c r="M64" i="1"/>
  <c r="L64" i="1"/>
  <c r="J64" i="1"/>
  <c r="Q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Q61" i="1"/>
  <c r="P61" i="1"/>
  <c r="M61" i="1"/>
  <c r="L61" i="1"/>
  <c r="J61" i="1"/>
  <c r="D61" i="1"/>
  <c r="M60" i="1"/>
  <c r="L60" i="1"/>
  <c r="J60" i="1"/>
  <c r="Q60" i="1" s="1"/>
  <c r="D60" i="1"/>
  <c r="Q59" i="1"/>
  <c r="P59" i="1"/>
  <c r="M59" i="1"/>
  <c r="L59" i="1"/>
  <c r="J59" i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E48" i="1" s="1"/>
  <c r="J48" i="1"/>
  <c r="D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E45" i="1" s="1"/>
  <c r="J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E42" i="1" s="1"/>
  <c r="J42" i="1"/>
  <c r="D42" i="1"/>
  <c r="T41" i="1"/>
  <c r="U41" i="1" s="1"/>
  <c r="Q41" i="1"/>
  <c r="P41" i="1"/>
  <c r="M41" i="1"/>
  <c r="L41" i="1"/>
  <c r="K41" i="1"/>
  <c r="J41" i="1"/>
  <c r="D41" i="1" s="1"/>
  <c r="E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J38" i="1"/>
  <c r="D38" i="1" s="1"/>
  <c r="E38" i="1"/>
  <c r="Q37" i="1"/>
  <c r="M37" i="1"/>
  <c r="L37" i="1"/>
  <c r="K37" i="1"/>
  <c r="J37" i="1"/>
  <c r="P37" i="1" s="1"/>
  <c r="E37" i="1"/>
  <c r="D37" i="1"/>
  <c r="Q36" i="1"/>
  <c r="P36" i="1"/>
  <c r="M36" i="1"/>
  <c r="L36" i="1"/>
  <c r="K36" i="1"/>
  <c r="J36" i="1"/>
  <c r="E36" i="1"/>
  <c r="D36" i="1"/>
  <c r="Q35" i="1"/>
  <c r="P35" i="1"/>
  <c r="M35" i="1"/>
  <c r="L35" i="1"/>
  <c r="K35" i="1"/>
  <c r="J35" i="1"/>
  <c r="D35" i="1" s="1"/>
  <c r="E35" i="1"/>
  <c r="Q34" i="1"/>
  <c r="M34" i="1"/>
  <c r="L34" i="1"/>
  <c r="K34" i="1"/>
  <c r="J34" i="1"/>
  <c r="P34" i="1" s="1"/>
  <c r="E34" i="1"/>
  <c r="D34" i="1"/>
  <c r="Q33" i="1"/>
  <c r="P33" i="1"/>
  <c r="M33" i="1"/>
  <c r="L33" i="1"/>
  <c r="K33" i="1"/>
  <c r="J33" i="1"/>
  <c r="E33" i="1"/>
  <c r="D33" i="1"/>
  <c r="Q32" i="1"/>
  <c r="P32" i="1"/>
  <c r="M32" i="1"/>
  <c r="L32" i="1"/>
  <c r="K32" i="1"/>
  <c r="J32" i="1"/>
  <c r="D32" i="1" s="1"/>
  <c r="E32" i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J29" i="1"/>
  <c r="E29" i="1"/>
  <c r="D29" i="1"/>
  <c r="Q28" i="1"/>
  <c r="P28" i="1"/>
  <c r="M28" i="1"/>
  <c r="L28" i="1"/>
  <c r="K28" i="1"/>
  <c r="J28" i="1"/>
  <c r="D28" i="1" s="1"/>
  <c r="E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J26" i="1"/>
  <c r="E26" i="1"/>
  <c r="D26" i="1"/>
  <c r="Q25" i="1"/>
  <c r="P25" i="1"/>
  <c r="M25" i="1"/>
  <c r="L25" i="1"/>
  <c r="K25" i="1"/>
  <c r="J25" i="1"/>
  <c r="D25" i="1" s="1"/>
  <c r="E25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J23" i="1"/>
  <c r="E23" i="1"/>
  <c r="D23" i="1"/>
  <c r="Q22" i="1"/>
  <c r="P22" i="1"/>
  <c r="M22" i="1"/>
  <c r="L22" i="1"/>
  <c r="K22" i="1"/>
  <c r="J22" i="1"/>
  <c r="D22" i="1" s="1"/>
  <c r="E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E20" i="1"/>
  <c r="D20" i="1"/>
  <c r="Q19" i="1"/>
  <c r="P19" i="1"/>
  <c r="M19" i="1"/>
  <c r="L19" i="1"/>
  <c r="K19" i="1"/>
  <c r="J19" i="1"/>
  <c r="D19" i="1" s="1"/>
  <c r="E19" i="1"/>
  <c r="Q18" i="1"/>
  <c r="M18" i="1"/>
  <c r="L18" i="1"/>
  <c r="K18" i="1"/>
  <c r="J18" i="1"/>
  <c r="P18" i="1" s="1"/>
  <c r="E18" i="1"/>
  <c r="D18" i="1"/>
  <c r="Q17" i="1"/>
  <c r="P17" i="1"/>
  <c r="M17" i="1"/>
  <c r="L17" i="1"/>
  <c r="K17" i="1"/>
  <c r="J17" i="1"/>
  <c r="E17" i="1"/>
  <c r="D17" i="1"/>
  <c r="Q16" i="1"/>
  <c r="P16" i="1"/>
  <c r="M16" i="1"/>
  <c r="L16" i="1"/>
  <c r="K16" i="1"/>
  <c r="J16" i="1"/>
  <c r="D16" i="1" s="1"/>
  <c r="E16" i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E13" i="1" s="1"/>
  <c r="J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E10" i="1" s="1"/>
  <c r="J10" i="1"/>
  <c r="D10" i="1"/>
  <c r="P15" i="1" l="1"/>
  <c r="P12" i="1"/>
  <c r="P44" i="1"/>
  <c r="P47" i="1"/>
  <c r="P54" i="1"/>
  <c r="P56" i="1"/>
  <c r="P58" i="1"/>
  <c r="P60" i="1"/>
  <c r="P62" i="1"/>
  <c r="P64" i="1"/>
  <c r="D71" i="1"/>
</calcChain>
</file>

<file path=xl/sharedStrings.xml><?xml version="1.0" encoding="utf-8"?>
<sst xmlns="http://schemas.openxmlformats.org/spreadsheetml/2006/main" count="278" uniqueCount="196">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</sst>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49931CE1-A0E2-46C5-8B7C-0DF2DDE1196E}"/>
    <cellStyle name="Comma 5 2 2 2 2 2" xfId="4" xr:uid="{557FE647-61FC-4E43-9F8A-E6D1CBCFE9BE}"/>
    <cellStyle name="Comma 6" xfId="5" xr:uid="{9473A928-C72B-489B-A334-194B19B9BA11}"/>
    <cellStyle name="Hyperlink 2" xfId="9" xr:uid="{ADB21D0C-3ACE-41A8-BDEE-8D3AEE3B64A1}"/>
    <cellStyle name="Normal" xfId="0" builtinId="0"/>
    <cellStyle name="Normal 2" xfId="2" xr:uid="{A22398DA-32E1-4EA6-B229-B3F47B841AC2}"/>
    <cellStyle name="Normal 20" xfId="8" xr:uid="{36679AA3-7E51-4342-AF3D-90EC2EF1FC3E}"/>
    <cellStyle name="Percent 3" xfId="6" xr:uid="{11E1D76D-51D4-4247-985C-E747558A40D5}"/>
    <cellStyle name="Percent 4" xfId="7" xr:uid="{24E5A926-DCD9-4D89-A364-F6DF0F5FDE80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56C4D952-2F8E-40A9-8EB4-AEEF0679B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B267D56-B033-4C23-8410-9343D1CCD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3285"/>
          <a:ext cx="6556467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8EAB3-4335-4CCA-9873-79578341F0E7}">
  <dimension ref="A1:IO104"/>
  <sheetViews>
    <sheetView tabSelected="1" zoomScale="70" zoomScaleNormal="70" workbookViewId="0">
      <pane ySplit="7" topLeftCell="A10" activePane="bottomLeft" state="frozen"/>
      <selection pane="bottomLeft" activeCell="D27" sqref="D27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25.4344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65968192.430330575</v>
      </c>
      <c r="E10" s="40">
        <f t="shared" ref="E10:E30" si="1">C10*K10</f>
        <v>55928713.118333332</v>
      </c>
      <c r="F10" s="41" t="s">
        <v>35</v>
      </c>
      <c r="G10" s="42">
        <v>8.9894999999999996</v>
      </c>
      <c r="H10" s="43">
        <v>13.45</v>
      </c>
      <c r="I10" s="43">
        <v>13.45</v>
      </c>
      <c r="J10" s="44">
        <f>(I10/$J$5)</f>
        <v>0.52881137357279906</v>
      </c>
      <c r="K10" s="45">
        <f t="shared" ref="K10:K30" si="2">I10/$K$4</f>
        <v>0.44833333333333331</v>
      </c>
      <c r="L10" s="46">
        <f t="shared" ref="L10:L30" si="3">I10-H10</f>
        <v>0</v>
      </c>
      <c r="M10" s="46">
        <f t="shared" ref="M10:M30" si="4">((I10-H10)/H10)*100</f>
        <v>0</v>
      </c>
      <c r="N10" s="47">
        <v>0</v>
      </c>
      <c r="O10" s="38">
        <v>0</v>
      </c>
      <c r="P10" s="48">
        <f t="shared" ref="P10:P30" si="5">(R10)/J10</f>
        <v>1.8910334572490705E-2</v>
      </c>
      <c r="Q10" s="49">
        <f t="shared" ref="Q10:Q30" si="6">I10/G10-1</f>
        <v>0.49618999944379549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2175457.2637844807</v>
      </c>
      <c r="E11" s="40">
        <f t="shared" si="1"/>
        <v>1844381.6743333335</v>
      </c>
      <c r="F11" s="41" t="s">
        <v>35</v>
      </c>
      <c r="G11" s="42">
        <v>3.1600000000000003E-2</v>
      </c>
      <c r="H11" s="43">
        <v>3.0106999999999998E-2</v>
      </c>
      <c r="I11" s="43">
        <v>3.4000000000000002E-2</v>
      </c>
      <c r="J11" s="44">
        <f t="shared" ref="J11:J30" si="7">I11/$J$5</f>
        <v>1.3367722454628377E-3</v>
      </c>
      <c r="K11" s="45">
        <f t="shared" si="2"/>
        <v>1.1333333333333334E-3</v>
      </c>
      <c r="L11" s="46">
        <f t="shared" si="3"/>
        <v>3.8930000000000041E-3</v>
      </c>
      <c r="M11" s="46">
        <f t="shared" si="4"/>
        <v>12.930547713156423</v>
      </c>
      <c r="N11" s="47">
        <v>1700</v>
      </c>
      <c r="O11" s="38">
        <v>57.8</v>
      </c>
      <c r="P11" s="41">
        <f t="shared" si="5"/>
        <v>0</v>
      </c>
      <c r="Q11" s="49">
        <f t="shared" si="6"/>
        <v>7.5949367088607556E-2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4252189.8040645737</v>
      </c>
      <c r="E12" s="40">
        <f t="shared" si="1"/>
        <v>3605063.2117500002</v>
      </c>
      <c r="F12" s="41" t="s">
        <v>42</v>
      </c>
      <c r="G12" s="42">
        <v>7.8E-2</v>
      </c>
      <c r="H12" s="43">
        <v>0.2475</v>
      </c>
      <c r="I12" s="43">
        <v>0.2475</v>
      </c>
      <c r="J12" s="44">
        <f t="shared" si="7"/>
        <v>9.7309156103544802E-3</v>
      </c>
      <c r="K12" s="45">
        <f t="shared" si="2"/>
        <v>8.2500000000000004E-3</v>
      </c>
      <c r="L12" s="46">
        <f t="shared" si="3"/>
        <v>0</v>
      </c>
      <c r="M12" s="46">
        <f t="shared" si="4"/>
        <v>0</v>
      </c>
      <c r="N12" s="47">
        <v>0</v>
      </c>
      <c r="O12" s="38">
        <v>0</v>
      </c>
      <c r="P12" s="41">
        <f t="shared" si="5"/>
        <v>0</v>
      </c>
      <c r="Q12" s="49">
        <f t="shared" si="6"/>
        <v>2.1730769230769229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173598209.62279433</v>
      </c>
      <c r="E13" s="40">
        <f t="shared" si="1"/>
        <v>147178876.76100001</v>
      </c>
      <c r="F13" s="41" t="s">
        <v>35</v>
      </c>
      <c r="G13" s="42">
        <v>97.381</v>
      </c>
      <c r="H13" s="43">
        <v>213.99</v>
      </c>
      <c r="I13" s="43">
        <v>213.99</v>
      </c>
      <c r="J13" s="44">
        <f t="shared" si="7"/>
        <v>8.4134086119586069</v>
      </c>
      <c r="K13" s="45">
        <f t="shared" si="2"/>
        <v>7.133</v>
      </c>
      <c r="L13" s="46">
        <f t="shared" si="3"/>
        <v>0</v>
      </c>
      <c r="M13" s="46">
        <f t="shared" si="4"/>
        <v>0</v>
      </c>
      <c r="N13" s="47">
        <v>0</v>
      </c>
      <c r="O13" s="38">
        <v>0</v>
      </c>
      <c r="P13" s="55">
        <f t="shared" si="5"/>
        <v>0</v>
      </c>
      <c r="Q13" s="49">
        <f t="shared" si="6"/>
        <v>1.1974512481900987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4464677.9165225048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0.51111879973579089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288718962.63524991</v>
      </c>
      <c r="E15" s="40">
        <f t="shared" si="1"/>
        <v>244779786.10833335</v>
      </c>
      <c r="F15" s="41" t="s">
        <v>53</v>
      </c>
      <c r="G15" s="42">
        <v>11.5</v>
      </c>
      <c r="H15" s="43">
        <v>14</v>
      </c>
      <c r="I15" s="43">
        <v>14.05</v>
      </c>
      <c r="J15" s="44">
        <f t="shared" si="7"/>
        <v>0.55240147202214329</v>
      </c>
      <c r="K15" s="45">
        <f t="shared" si="2"/>
        <v>0.46833333333333338</v>
      </c>
      <c r="L15" s="46">
        <f t="shared" si="3"/>
        <v>5.0000000000000711E-2</v>
      </c>
      <c r="M15" s="46">
        <f t="shared" si="4"/>
        <v>0.3571428571428622</v>
      </c>
      <c r="N15" s="47">
        <v>6600</v>
      </c>
      <c r="O15" s="38">
        <v>92730</v>
      </c>
      <c r="P15" s="48">
        <f t="shared" si="5"/>
        <v>1.4482220640569393E-2</v>
      </c>
      <c r="Q15" s="49">
        <f t="shared" si="6"/>
        <v>0.22173913043478266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22471940.216793004</v>
      </c>
      <c r="E16" s="40">
        <f t="shared" si="1"/>
        <v>19052010.541666668</v>
      </c>
      <c r="F16" s="41" t="s">
        <v>35</v>
      </c>
      <c r="G16" s="42">
        <v>5.39</v>
      </c>
      <c r="H16" s="43">
        <v>5.39</v>
      </c>
      <c r="I16" s="43">
        <v>5.39</v>
      </c>
      <c r="J16" s="44">
        <f t="shared" si="7"/>
        <v>0.21191771773660867</v>
      </c>
      <c r="K16" s="45">
        <f t="shared" si="2"/>
        <v>0.17966666666666667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37159212.134746648</v>
      </c>
      <c r="E17" s="40">
        <f t="shared" si="1"/>
        <v>31504075.504000004</v>
      </c>
      <c r="F17" s="41" t="s">
        <v>35</v>
      </c>
      <c r="G17" s="42">
        <v>1.9</v>
      </c>
      <c r="H17" s="43">
        <v>2.65</v>
      </c>
      <c r="I17" s="43">
        <v>2.64</v>
      </c>
      <c r="J17" s="44">
        <f t="shared" si="7"/>
        <v>0.10379643317711447</v>
      </c>
      <c r="K17" s="45">
        <f t="shared" si="2"/>
        <v>8.8000000000000009E-2</v>
      </c>
      <c r="L17" s="46">
        <f t="shared" si="3"/>
        <v>-9.9999999999997868E-3</v>
      </c>
      <c r="M17" s="46">
        <f t="shared" si="4"/>
        <v>-0.37735849056602971</v>
      </c>
      <c r="N17" s="47">
        <v>526700</v>
      </c>
      <c r="O17" s="38">
        <v>1390488</v>
      </c>
      <c r="P17" s="41">
        <f t="shared" si="5"/>
        <v>0</v>
      </c>
      <c r="Q17" s="49">
        <f t="shared" si="6"/>
        <v>0.38947368421052642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1377735647.656245</v>
      </c>
      <c r="E18" s="40">
        <f t="shared" si="1"/>
        <v>1168062651.8915999</v>
      </c>
      <c r="F18" s="41" t="s">
        <v>35</v>
      </c>
      <c r="G18" s="42">
        <v>20.701700000000002</v>
      </c>
      <c r="H18" s="43">
        <v>26.160300000000003</v>
      </c>
      <c r="I18" s="43">
        <v>26.119199999999999</v>
      </c>
      <c r="J18" s="44">
        <f t="shared" si="7"/>
        <v>1.0269241656968515</v>
      </c>
      <c r="K18" s="45">
        <f t="shared" si="2"/>
        <v>0.87063999999999997</v>
      </c>
      <c r="L18" s="46">
        <f t="shared" si="3"/>
        <v>-4.1100000000003689E-2</v>
      </c>
      <c r="M18" s="46">
        <f t="shared" si="4"/>
        <v>-0.15710829004255947</v>
      </c>
      <c r="N18" s="47">
        <v>9800</v>
      </c>
      <c r="O18" s="38">
        <v>255968</v>
      </c>
      <c r="P18" s="48">
        <f t="shared" si="5"/>
        <v>3.8951269564152041E-2</v>
      </c>
      <c r="Q18" s="49">
        <f t="shared" si="6"/>
        <v>0.26169348411000048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1199293419.8040135</v>
      </c>
      <c r="E19" s="40">
        <f t="shared" si="1"/>
        <v>1016776951.8887734</v>
      </c>
      <c r="F19" s="41" t="s">
        <v>64</v>
      </c>
      <c r="G19" s="42">
        <v>6.1399460000000001</v>
      </c>
      <c r="H19" s="43">
        <v>10.170499999999999</v>
      </c>
      <c r="I19" s="43">
        <v>10.1944</v>
      </c>
      <c r="J19" s="44">
        <f t="shared" si="7"/>
        <v>0.40081149938665744</v>
      </c>
      <c r="K19" s="45">
        <f t="shared" si="2"/>
        <v>0.33981333333333336</v>
      </c>
      <c r="L19" s="46">
        <f t="shared" si="3"/>
        <v>2.3900000000001143E-2</v>
      </c>
      <c r="M19" s="46">
        <f t="shared" si="4"/>
        <v>0.23499336315816474</v>
      </c>
      <c r="N19" s="47">
        <v>707400</v>
      </c>
      <c r="O19" s="38">
        <v>7211545.7000000002</v>
      </c>
      <c r="P19" s="48">
        <f t="shared" si="5"/>
        <v>6.1375484579769282E-2</v>
      </c>
      <c r="Q19" s="49">
        <f t="shared" si="6"/>
        <v>0.66034033524073332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303817827.84339321</v>
      </c>
      <c r="E20" s="40">
        <f t="shared" si="1"/>
        <v>257580805.35000002</v>
      </c>
      <c r="F20" s="41" t="s">
        <v>53</v>
      </c>
      <c r="G20" s="42">
        <v>12.45</v>
      </c>
      <c r="H20" s="43">
        <v>11.5</v>
      </c>
      <c r="I20" s="43">
        <v>11.5</v>
      </c>
      <c r="J20" s="44">
        <f t="shared" si="7"/>
        <v>0.45214355361243042</v>
      </c>
      <c r="K20" s="45">
        <f t="shared" si="2"/>
        <v>0.38333333333333336</v>
      </c>
      <c r="L20" s="46">
        <f t="shared" si="3"/>
        <v>0</v>
      </c>
      <c r="M20" s="46">
        <f t="shared" si="4"/>
        <v>0</v>
      </c>
      <c r="N20" s="47">
        <v>0</v>
      </c>
      <c r="O20" s="38">
        <v>0</v>
      </c>
      <c r="P20" s="48">
        <f t="shared" si="5"/>
        <v>1.415479652173913E-2</v>
      </c>
      <c r="Q20" s="49">
        <f t="shared" si="6"/>
        <v>-7.6305220883534086E-2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1969958.5545560345</v>
      </c>
      <c r="E21" s="40">
        <f t="shared" si="1"/>
        <v>1670157.1286666668</v>
      </c>
      <c r="F21" s="41" t="s">
        <v>53</v>
      </c>
      <c r="G21" s="42">
        <v>0.35</v>
      </c>
      <c r="H21" s="43">
        <v>0.46</v>
      </c>
      <c r="I21" s="43">
        <v>0.46</v>
      </c>
      <c r="J21" s="44">
        <f t="shared" si="7"/>
        <v>1.8085742144497218E-2</v>
      </c>
      <c r="K21" s="45">
        <f t="shared" si="2"/>
        <v>1.5333333333333334E-2</v>
      </c>
      <c r="L21" s="46">
        <f t="shared" si="3"/>
        <v>0</v>
      </c>
      <c r="M21" s="46">
        <f t="shared" si="4"/>
        <v>0</v>
      </c>
      <c r="N21" s="47">
        <v>0</v>
      </c>
      <c r="O21" s="38">
        <v>0</v>
      </c>
      <c r="P21" s="55">
        <f t="shared" si="5"/>
        <v>0</v>
      </c>
      <c r="Q21" s="49">
        <f t="shared" si="6"/>
        <v>0.3142857142857145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113412974.07770579</v>
      </c>
      <c r="E22" s="40">
        <f t="shared" si="1"/>
        <v>96153031.596066684</v>
      </c>
      <c r="F22" s="41" t="s">
        <v>53</v>
      </c>
      <c r="G22" s="42">
        <v>2.85</v>
      </c>
      <c r="H22" s="43">
        <v>4.18</v>
      </c>
      <c r="I22" s="43">
        <v>4.1797000000000004</v>
      </c>
      <c r="J22" s="44">
        <f t="shared" si="7"/>
        <v>0.16433255748120656</v>
      </c>
      <c r="K22" s="45">
        <f t="shared" si="2"/>
        <v>0.13932333333333335</v>
      </c>
      <c r="L22" s="46">
        <f t="shared" si="3"/>
        <v>-2.9999999999930083E-4</v>
      </c>
      <c r="M22" s="46">
        <f t="shared" si="4"/>
        <v>-7.1770334928062405E-3</v>
      </c>
      <c r="N22" s="47">
        <v>500</v>
      </c>
      <c r="O22" s="38">
        <v>2089.85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52486456.627244994</v>
      </c>
      <c r="E23" s="40">
        <f t="shared" si="1"/>
        <v>44498717.748000003</v>
      </c>
      <c r="F23" s="41" t="s">
        <v>76</v>
      </c>
      <c r="G23" s="42">
        <v>0.88420599999999994</v>
      </c>
      <c r="H23" s="43">
        <v>1.08</v>
      </c>
      <c r="I23" s="43">
        <v>1.08</v>
      </c>
      <c r="J23" s="44">
        <f t="shared" si="7"/>
        <v>4.2462177208819556E-2</v>
      </c>
      <c r="K23" s="45">
        <f t="shared" si="2"/>
        <v>3.6000000000000004E-2</v>
      </c>
      <c r="L23" s="46">
        <f t="shared" si="3"/>
        <v>0</v>
      </c>
      <c r="M23" s="46">
        <f t="shared" si="4"/>
        <v>0</v>
      </c>
      <c r="N23" s="47">
        <v>0</v>
      </c>
      <c r="O23" s="38">
        <v>0</v>
      </c>
      <c r="P23" s="41">
        <f t="shared" si="5"/>
        <v>0</v>
      </c>
      <c r="Q23" s="49">
        <f t="shared" si="6"/>
        <v>0.22143482401159931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2109696.4072280065</v>
      </c>
      <c r="E24" s="40">
        <f t="shared" si="1"/>
        <v>1788628.7433333334</v>
      </c>
      <c r="F24" s="41" t="s">
        <v>49</v>
      </c>
      <c r="G24" s="42">
        <v>0.1</v>
      </c>
      <c r="H24" s="43">
        <v>0.1</v>
      </c>
      <c r="I24" s="43">
        <v>0.1</v>
      </c>
      <c r="J24" s="44">
        <f t="shared" si="7"/>
        <v>3.9316830748906996E-3</v>
      </c>
      <c r="K24" s="45">
        <f t="shared" si="2"/>
        <v>3.3333333333333335E-3</v>
      </c>
      <c r="L24" s="46">
        <f t="shared" si="3"/>
        <v>0</v>
      </c>
      <c r="M24" s="46">
        <f t="shared" si="4"/>
        <v>0</v>
      </c>
      <c r="N24" s="47">
        <v>0</v>
      </c>
      <c r="O24" s="38">
        <v>0</v>
      </c>
      <c r="P24" s="41">
        <f t="shared" si="5"/>
        <v>0</v>
      </c>
      <c r="Q24" s="49">
        <f t="shared" si="6"/>
        <v>0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56693302.116896801</v>
      </c>
      <c r="E25" s="40">
        <f t="shared" si="1"/>
        <v>48065337.445399992</v>
      </c>
      <c r="F25" s="41" t="s">
        <v>35</v>
      </c>
      <c r="G25" s="42">
        <v>8.1687659999999997</v>
      </c>
      <c r="H25" s="43">
        <v>7.4705709999999996</v>
      </c>
      <c r="I25" s="43">
        <v>7.4704999999999995</v>
      </c>
      <c r="J25" s="44">
        <f t="shared" si="7"/>
        <v>0.29371638410970968</v>
      </c>
      <c r="K25" s="45">
        <f t="shared" si="2"/>
        <v>0.24901666666666664</v>
      </c>
      <c r="L25" s="46">
        <f t="shared" si="3"/>
        <v>-7.1000000000154273E-5</v>
      </c>
      <c r="M25" s="46">
        <f t="shared" si="4"/>
        <v>-9.5039589343511065E-4</v>
      </c>
      <c r="N25" s="47">
        <v>55700</v>
      </c>
      <c r="O25" s="38">
        <v>416106.85</v>
      </c>
      <c r="P25" s="41">
        <f t="shared" si="5"/>
        <v>0</v>
      </c>
      <c r="Q25" s="49">
        <f t="shared" si="6"/>
        <v>-8.5479985593907348E-2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84895406.988782912</v>
      </c>
      <c r="E26" s="40">
        <f t="shared" si="1"/>
        <v>71975457.983850002</v>
      </c>
      <c r="F26" s="41" t="s">
        <v>76</v>
      </c>
      <c r="G26" s="42">
        <v>1.6675</v>
      </c>
      <c r="H26" s="43">
        <v>1.2795000000000001</v>
      </c>
      <c r="I26" s="43">
        <v>1.2795000000000001</v>
      </c>
      <c r="J26" s="44">
        <f t="shared" si="7"/>
        <v>5.0305884943226499E-2</v>
      </c>
      <c r="K26" s="45">
        <f t="shared" si="2"/>
        <v>4.265E-2</v>
      </c>
      <c r="L26" s="46">
        <f t="shared" si="3"/>
        <v>0</v>
      </c>
      <c r="M26" s="46">
        <f t="shared" si="4"/>
        <v>0</v>
      </c>
      <c r="N26" s="47">
        <v>0</v>
      </c>
      <c r="O26" s="38">
        <v>0</v>
      </c>
      <c r="P26" s="55">
        <f t="shared" si="5"/>
        <v>0</v>
      </c>
      <c r="Q26" s="49">
        <f t="shared" si="6"/>
        <v>-0.23268365817091452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17247456.439998586</v>
      </c>
      <c r="E27" s="40">
        <f t="shared" si="1"/>
        <v>14622623.535916667</v>
      </c>
      <c r="F27" s="41" t="s">
        <v>49</v>
      </c>
      <c r="G27" s="42">
        <v>1.7994999999999999</v>
      </c>
      <c r="H27" s="43">
        <v>1.8325</v>
      </c>
      <c r="I27" s="43">
        <v>1.8325</v>
      </c>
      <c r="J27" s="44">
        <f t="shared" si="7"/>
        <v>7.204809234737207E-2</v>
      </c>
      <c r="K27" s="45">
        <f t="shared" si="2"/>
        <v>6.1083333333333337E-2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1.8338427340928165E-2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30213105.990312334</v>
      </c>
      <c r="E28" s="40">
        <f t="shared" si="1"/>
        <v>25615074.100000001</v>
      </c>
      <c r="F28" s="41" t="s">
        <v>35</v>
      </c>
      <c r="G28" s="42">
        <v>3.1361369999999997</v>
      </c>
      <c r="H28" s="43">
        <v>3</v>
      </c>
      <c r="I28" s="43">
        <v>3</v>
      </c>
      <c r="J28" s="44">
        <f t="shared" si="7"/>
        <v>0.11795049224672098</v>
      </c>
      <c r="K28" s="45">
        <f t="shared" si="2"/>
        <v>0.1</v>
      </c>
      <c r="L28" s="46">
        <f t="shared" si="3"/>
        <v>0</v>
      </c>
      <c r="M28" s="46">
        <f t="shared" si="4"/>
        <v>0</v>
      </c>
      <c r="N28" s="47">
        <v>0</v>
      </c>
      <c r="O28" s="38">
        <v>0</v>
      </c>
      <c r="P28" s="48">
        <f t="shared" si="5"/>
        <v>0.12717199999999998</v>
      </c>
      <c r="Q28" s="49">
        <f t="shared" si="6"/>
        <v>-4.3409136781970892E-2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22282266.369562484</v>
      </c>
      <c r="E29" s="40">
        <f t="shared" si="1"/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 t="shared" si="7"/>
        <v>2.9487623061680245E-2</v>
      </c>
      <c r="K29" s="45">
        <f t="shared" si="2"/>
        <v>2.5000000000000001E-2</v>
      </c>
      <c r="L29" s="46">
        <f t="shared" si="3"/>
        <v>0</v>
      </c>
      <c r="M29" s="46">
        <f t="shared" si="4"/>
        <v>0</v>
      </c>
      <c r="N29" s="47">
        <v>0</v>
      </c>
      <c r="O29" s="38">
        <v>0</v>
      </c>
      <c r="P29" s="41">
        <f t="shared" si="5"/>
        <v>0</v>
      </c>
      <c r="Q29" s="49">
        <f t="shared" si="6"/>
        <v>-6.25E-2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79771564.447362632</v>
      </c>
      <c r="E30" s="40">
        <f t="shared" si="1"/>
        <v>67631395.959333315</v>
      </c>
      <c r="F30" s="41" t="s">
        <v>53</v>
      </c>
      <c r="G30" s="42">
        <v>5.15</v>
      </c>
      <c r="H30" s="43">
        <v>5.0199999999999996</v>
      </c>
      <c r="I30" s="43">
        <v>5.0199999999999996</v>
      </c>
      <c r="J30" s="44">
        <f t="shared" si="7"/>
        <v>0.1973704903595131</v>
      </c>
      <c r="K30" s="45">
        <f t="shared" si="2"/>
        <v>0.16733333333333331</v>
      </c>
      <c r="L30" s="46">
        <f t="shared" si="3"/>
        <v>0</v>
      </c>
      <c r="M30" s="46">
        <f t="shared" si="4"/>
        <v>0</v>
      </c>
      <c r="N30" s="47">
        <v>0</v>
      </c>
      <c r="O30" s="38">
        <v>0</v>
      </c>
      <c r="P30" s="55">
        <f t="shared" si="5"/>
        <v>0</v>
      </c>
      <c r="Q30" s="49">
        <f t="shared" si="6"/>
        <v>-2.5242718446602086E-2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14175368.393829303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4.4700877551662318E-3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12681997.909818985</v>
      </c>
      <c r="E33" s="40">
        <f t="shared" si="9"/>
        <v>10751966.921250001</v>
      </c>
      <c r="F33" s="41" t="s">
        <v>42</v>
      </c>
      <c r="G33" s="42">
        <v>1.4</v>
      </c>
      <c r="H33" s="43">
        <v>1.28</v>
      </c>
      <c r="I33" s="43">
        <v>1.24125</v>
      </c>
      <c r="J33" s="44">
        <f t="shared" si="10"/>
        <v>4.8802016167080804E-2</v>
      </c>
      <c r="K33" s="45">
        <f t="shared" si="11"/>
        <v>4.1375000000000002E-2</v>
      </c>
      <c r="L33" s="46">
        <f t="shared" si="12"/>
        <v>-3.8750000000000062E-2</v>
      </c>
      <c r="M33" s="46">
        <f t="shared" si="13"/>
        <v>-3.0273437500000049</v>
      </c>
      <c r="N33" s="47">
        <v>200</v>
      </c>
      <c r="O33" s="38">
        <v>248.25</v>
      </c>
      <c r="P33" s="55">
        <f t="shared" si="14"/>
        <v>0</v>
      </c>
      <c r="Q33" s="49">
        <f t="shared" si="15"/>
        <v>-0.11339285714285707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3598359.0137766176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2.9487623061680245E-2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200</v>
      </c>
      <c r="O34" s="38">
        <v>150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114794521.80157581</v>
      </c>
      <c r="E35" s="40">
        <f t="shared" si="9"/>
        <v>97324326.177000001</v>
      </c>
      <c r="F35" s="41" t="s">
        <v>108</v>
      </c>
      <c r="G35" s="42">
        <v>1.44</v>
      </c>
      <c r="H35" s="43">
        <v>1.1797410000000002</v>
      </c>
      <c r="I35" s="43">
        <v>1.17</v>
      </c>
      <c r="J35" s="44">
        <f t="shared" si="10"/>
        <v>4.6000691976221177E-2</v>
      </c>
      <c r="K35" s="45">
        <f t="shared" si="11"/>
        <v>3.9E-2</v>
      </c>
      <c r="L35" s="46">
        <f t="shared" si="12"/>
        <v>-9.7410000000002217E-3</v>
      </c>
      <c r="M35" s="46">
        <f t="shared" si="13"/>
        <v>-0.82568970646948947</v>
      </c>
      <c r="N35" s="47">
        <v>1100</v>
      </c>
      <c r="O35" s="38">
        <v>1287</v>
      </c>
      <c r="P35" s="55">
        <f t="shared" si="14"/>
        <v>0</v>
      </c>
      <c r="Q35" s="49">
        <f t="shared" si="15"/>
        <v>-0.1875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39467501.206240363</v>
      </c>
      <c r="E36" s="40">
        <f t="shared" si="9"/>
        <v>33461073.756000001</v>
      </c>
      <c r="F36" s="41" t="s">
        <v>35</v>
      </c>
      <c r="G36" s="42">
        <v>3.6056249999999999</v>
      </c>
      <c r="H36" s="43">
        <v>3.96</v>
      </c>
      <c r="I36" s="43">
        <v>3.96</v>
      </c>
      <c r="J36" s="44">
        <f t="shared" si="10"/>
        <v>0.15569464976567168</v>
      </c>
      <c r="K36" s="45">
        <f t="shared" si="11"/>
        <v>0.13200000000000001</v>
      </c>
      <c r="L36" s="46">
        <f t="shared" si="12"/>
        <v>0</v>
      </c>
      <c r="M36" s="46">
        <f t="shared" si="13"/>
        <v>0</v>
      </c>
      <c r="N36" s="47">
        <v>0</v>
      </c>
      <c r="O36" s="38">
        <v>0</v>
      </c>
      <c r="P36" s="62">
        <f t="shared" si="14"/>
        <v>5.8447737373737381E-2</v>
      </c>
      <c r="Q36" s="49">
        <f t="shared" si="15"/>
        <v>9.8283931357254328E-2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6485965.6947784098</v>
      </c>
      <c r="E37" s="40">
        <f t="shared" si="9"/>
        <v>5498888.1955757327</v>
      </c>
      <c r="F37" s="41" t="s">
        <v>35</v>
      </c>
      <c r="G37" s="42">
        <v>2.5099999999999997E-2</v>
      </c>
      <c r="H37" s="43">
        <v>3.3742000000000001E-2</v>
      </c>
      <c r="I37" s="43">
        <v>3.4986999999999997E-2</v>
      </c>
      <c r="J37" s="44">
        <f t="shared" si="10"/>
        <v>1.3755779574120088E-3</v>
      </c>
      <c r="K37" s="45">
        <f t="shared" si="11"/>
        <v>1.1662333333333332E-3</v>
      </c>
      <c r="L37" s="46">
        <f t="shared" si="12"/>
        <v>1.2449999999999961E-3</v>
      </c>
      <c r="M37" s="46">
        <f t="shared" si="13"/>
        <v>3.6897634994961654</v>
      </c>
      <c r="N37" s="47">
        <v>3900</v>
      </c>
      <c r="O37" s="38">
        <v>136.44999999999999</v>
      </c>
      <c r="P37" s="41">
        <f t="shared" si="14"/>
        <v>0</v>
      </c>
      <c r="Q37" s="49">
        <f t="shared" si="15"/>
        <v>0.39390438247011961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9219148.6952859126</v>
      </c>
      <c r="E38" s="40">
        <f t="shared" si="9"/>
        <v>7816117.185846</v>
      </c>
      <c r="F38" s="41" t="s">
        <v>108</v>
      </c>
      <c r="G38" s="42">
        <v>0.61</v>
      </c>
      <c r="H38" s="43">
        <v>0.84807699999999997</v>
      </c>
      <c r="I38" s="43">
        <v>0.89818200000000004</v>
      </c>
      <c r="J38" s="44">
        <f t="shared" si="10"/>
        <v>3.5313669675714782E-2</v>
      </c>
      <c r="K38" s="45">
        <f t="shared" si="11"/>
        <v>2.9939400000000001E-2</v>
      </c>
      <c r="L38" s="46">
        <f t="shared" si="12"/>
        <v>5.0105000000000066E-2</v>
      </c>
      <c r="M38" s="46">
        <f t="shared" si="13"/>
        <v>5.9080720264787354</v>
      </c>
      <c r="N38" s="47">
        <v>5500</v>
      </c>
      <c r="O38" s="38">
        <v>4940</v>
      </c>
      <c r="P38" s="41">
        <f t="shared" si="14"/>
        <v>0</v>
      </c>
      <c r="Q38" s="49">
        <f t="shared" si="15"/>
        <v>0.47242950819672136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18211146.609323595</v>
      </c>
      <c r="E39" s="40">
        <f t="shared" si="9"/>
        <v>15439652.910672667</v>
      </c>
      <c r="F39" s="41" t="s">
        <v>64</v>
      </c>
      <c r="G39" s="42">
        <v>0.11650199999999999</v>
      </c>
      <c r="H39" s="43">
        <v>0.110212</v>
      </c>
      <c r="I39" s="43">
        <v>0.11042</v>
      </c>
      <c r="J39" s="44">
        <f t="shared" si="10"/>
        <v>4.3413644512943104E-3</v>
      </c>
      <c r="K39" s="45">
        <f t="shared" si="11"/>
        <v>3.6806666666666667E-3</v>
      </c>
      <c r="L39" s="46">
        <f t="shared" si="12"/>
        <v>2.0799999999999985E-4</v>
      </c>
      <c r="M39" s="46">
        <f t="shared" si="13"/>
        <v>0.18872718034333816</v>
      </c>
      <c r="N39" s="47">
        <v>2500</v>
      </c>
      <c r="O39" s="38">
        <v>276.05</v>
      </c>
      <c r="P39" s="41">
        <v>0</v>
      </c>
      <c r="Q39" s="49">
        <f t="shared" si="15"/>
        <v>-5.2205112358586048E-2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46374778.164611705</v>
      </c>
      <c r="E40" s="40">
        <f t="shared" si="9"/>
        <v>39317155.258333333</v>
      </c>
      <c r="F40" s="41" t="s">
        <v>35</v>
      </c>
      <c r="G40" s="42">
        <v>2.6005000000000003</v>
      </c>
      <c r="H40" s="43">
        <v>3.6924999999999999</v>
      </c>
      <c r="I40" s="43">
        <v>3.25</v>
      </c>
      <c r="J40" s="44">
        <f t="shared" si="10"/>
        <v>0.12777969993394772</v>
      </c>
      <c r="K40" s="45">
        <f t="shared" si="11"/>
        <v>0.10833333333333334</v>
      </c>
      <c r="L40" s="46">
        <f t="shared" si="12"/>
        <v>-0.44249999999999989</v>
      </c>
      <c r="M40" s="46">
        <f t="shared" si="13"/>
        <v>-11.983750846310086</v>
      </c>
      <c r="N40" s="47">
        <v>100</v>
      </c>
      <c r="O40" s="38">
        <v>325</v>
      </c>
      <c r="P40" s="62">
        <f t="shared" ref="P40:P47" si="16">(R40)/J40</f>
        <v>0.10116630424615385</v>
      </c>
      <c r="Q40" s="49">
        <f t="shared" si="15"/>
        <v>0.24975966160353757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16798388.143655837</v>
      </c>
      <c r="E41" s="40">
        <f t="shared" si="9"/>
        <v>14241897.446699999</v>
      </c>
      <c r="F41" s="41" t="s">
        <v>42</v>
      </c>
      <c r="G41" s="42">
        <v>0.1</v>
      </c>
      <c r="H41" s="43">
        <v>9.6199999999999994E-2</v>
      </c>
      <c r="I41" s="43">
        <v>9.9000000000000005E-2</v>
      </c>
      <c r="J41" s="44">
        <f t="shared" si="10"/>
        <v>3.8923662441417923E-3</v>
      </c>
      <c r="K41" s="45">
        <f t="shared" si="11"/>
        <v>3.3E-3</v>
      </c>
      <c r="L41" s="46">
        <f t="shared" si="12"/>
        <v>2.8000000000000108E-3</v>
      </c>
      <c r="M41" s="46">
        <f t="shared" si="13"/>
        <v>2.9106029106029219</v>
      </c>
      <c r="N41" s="47">
        <v>3400</v>
      </c>
      <c r="O41" s="38">
        <v>336.6</v>
      </c>
      <c r="P41" s="41">
        <f t="shared" si="16"/>
        <v>0</v>
      </c>
      <c r="Q41" s="49">
        <f t="shared" si="15"/>
        <v>-1.0000000000000009E-2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13144760.803478753</v>
      </c>
      <c r="E42" s="40">
        <f t="shared" si="9"/>
        <v>11144303.472666668</v>
      </c>
      <c r="F42" s="41" t="s">
        <v>49</v>
      </c>
      <c r="G42" s="42">
        <v>1.7452379999999998</v>
      </c>
      <c r="H42" s="43">
        <v>3.14</v>
      </c>
      <c r="I42" s="43">
        <v>3.14</v>
      </c>
      <c r="J42" s="44">
        <f t="shared" si="10"/>
        <v>0.12345484855156796</v>
      </c>
      <c r="K42" s="45">
        <f t="shared" si="11"/>
        <v>0.10466666666666667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0.7991815442936725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2097161.4364797282</v>
      </c>
      <c r="E43" s="40">
        <f t="shared" si="9"/>
        <v>1778001.4280000001</v>
      </c>
      <c r="F43" s="41" t="s">
        <v>42</v>
      </c>
      <c r="G43" s="42">
        <v>0.03</v>
      </c>
      <c r="H43" s="43">
        <v>0.03</v>
      </c>
      <c r="I43" s="43">
        <v>0.03</v>
      </c>
      <c r="J43" s="44">
        <f t="shared" si="10"/>
        <v>1.1795049224672097E-3</v>
      </c>
      <c r="K43" s="45">
        <f t="shared" si="11"/>
        <v>1E-3</v>
      </c>
      <c r="L43" s="46">
        <f t="shared" si="12"/>
        <v>0</v>
      </c>
      <c r="M43" s="46">
        <f t="shared" si="13"/>
        <v>0</v>
      </c>
      <c r="N43" s="47">
        <v>20100</v>
      </c>
      <c r="O43" s="38">
        <v>603</v>
      </c>
      <c r="P43" s="41">
        <f t="shared" si="16"/>
        <v>0</v>
      </c>
      <c r="Q43" s="49">
        <f t="shared" si="15"/>
        <v>0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28938849.915677905</v>
      </c>
      <c r="E44" s="40">
        <f t="shared" si="9"/>
        <v>24534742.809843931</v>
      </c>
      <c r="F44" s="41" t="s">
        <v>53</v>
      </c>
      <c r="G44" s="42">
        <v>4.5</v>
      </c>
      <c r="H44" s="43">
        <v>4.2013790000000002</v>
      </c>
      <c r="I44" s="43">
        <v>4.2013790000000002</v>
      </c>
      <c r="J44" s="44">
        <f t="shared" si="10"/>
        <v>0.16518490705501213</v>
      </c>
      <c r="K44" s="45">
        <f t="shared" si="11"/>
        <v>0.14004596666666666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55">
        <f t="shared" si="16"/>
        <v>0</v>
      </c>
      <c r="Q44" s="49">
        <f t="shared" si="15"/>
        <v>-6.6360222222222154E-2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327.90543114836601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7.0770295348032584E-7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1811719.5609096342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3.1453464599125592E-3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49660097.018294983</v>
      </c>
      <c r="E47" s="40">
        <f t="shared" si="9"/>
        <v>42102492.386737399</v>
      </c>
      <c r="F47" s="41" t="s">
        <v>53</v>
      </c>
      <c r="G47" s="42">
        <v>0.9998999999999999</v>
      </c>
      <c r="H47" s="43">
        <v>0.6466670000000001</v>
      </c>
      <c r="I47" s="43">
        <v>0.69467699999999999</v>
      </c>
      <c r="J47" s="44">
        <f t="shared" si="10"/>
        <v>2.7312498034158462E-2</v>
      </c>
      <c r="K47" s="45">
        <f t="shared" si="11"/>
        <v>2.31559E-2</v>
      </c>
      <c r="L47" s="46">
        <f t="shared" si="12"/>
        <v>4.8009999999999886E-2</v>
      </c>
      <c r="M47" s="46">
        <f t="shared" si="13"/>
        <v>7.4242229772046322</v>
      </c>
      <c r="N47" s="47">
        <v>3100</v>
      </c>
      <c r="O47" s="38">
        <v>2153.5</v>
      </c>
      <c r="P47" s="55">
        <f t="shared" si="16"/>
        <v>0</v>
      </c>
      <c r="Q47" s="49">
        <f t="shared" si="15"/>
        <v>-0.30525352535253525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4038330.764633724</v>
      </c>
      <c r="E48" s="40">
        <f t="shared" si="9"/>
        <v>3423750.6666666665</v>
      </c>
      <c r="F48" s="41" t="s">
        <v>53</v>
      </c>
      <c r="G48" s="42">
        <v>1.4503460000000001</v>
      </c>
      <c r="H48" s="43">
        <v>1</v>
      </c>
      <c r="I48" s="43">
        <v>1</v>
      </c>
      <c r="J48" s="44">
        <f t="shared" si="10"/>
        <v>3.9316830748906989E-2</v>
      </c>
      <c r="K48" s="45">
        <f t="shared" si="11"/>
        <v>3.3333333333333333E-2</v>
      </c>
      <c r="L48" s="46">
        <f t="shared" si="12"/>
        <v>0</v>
      </c>
      <c r="M48" s="46">
        <f t="shared" si="13"/>
        <v>0</v>
      </c>
      <c r="N48" s="47">
        <v>8200</v>
      </c>
      <c r="O48" s="38">
        <v>8200</v>
      </c>
      <c r="P48" s="41">
        <v>0</v>
      </c>
      <c r="Q48" s="49">
        <f t="shared" si="15"/>
        <v>-0.31050935431959004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1356700</v>
      </c>
      <c r="O49" s="69">
        <f>SUM(O10:O48)</f>
        <v>9387642.0499999989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62371313.039999999</v>
      </c>
      <c r="E52" s="40">
        <f>C52*K52</f>
        <v>0</v>
      </c>
      <c r="F52" s="41" t="s">
        <v>108</v>
      </c>
      <c r="G52" s="77">
        <v>4</v>
      </c>
      <c r="H52" s="43">
        <v>4.0999999999999996</v>
      </c>
      <c r="I52" s="43">
        <v>4.22</v>
      </c>
      <c r="J52" s="44">
        <f t="shared" ref="J52:J65" si="18">I52</f>
        <v>4.22</v>
      </c>
      <c r="K52" s="40">
        <v>0</v>
      </c>
      <c r="L52" s="46">
        <f t="shared" ref="L52:L65" si="19">I52-H52</f>
        <v>0.12000000000000011</v>
      </c>
      <c r="M52" s="46">
        <f t="shared" ref="M52:M65" si="20">((I52-H52)/H52)*100</f>
        <v>2.926829268292686</v>
      </c>
      <c r="N52" s="47">
        <v>9</v>
      </c>
      <c r="O52" s="38">
        <v>37.979999999999997</v>
      </c>
      <c r="P52" s="55">
        <v>0</v>
      </c>
      <c r="Q52" s="49">
        <f t="shared" ref="Q52:Q65" si="21">J52/G52-1</f>
        <v>5.4999999999999938E-2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67145432.892999992</v>
      </c>
      <c r="E53" s="40">
        <v>0</v>
      </c>
      <c r="F53" s="41" t="s">
        <v>108</v>
      </c>
      <c r="G53" s="77">
        <v>0.1</v>
      </c>
      <c r="H53" s="43">
        <v>0.1167</v>
      </c>
      <c r="I53" s="43">
        <v>0.121</v>
      </c>
      <c r="J53" s="44">
        <f t="shared" si="18"/>
        <v>0.121</v>
      </c>
      <c r="K53" s="40">
        <v>0</v>
      </c>
      <c r="L53" s="46">
        <f t="shared" si="19"/>
        <v>4.2999999999999983E-3</v>
      </c>
      <c r="M53" s="46">
        <f t="shared" si="20"/>
        <v>3.6846615252784902</v>
      </c>
      <c r="N53" s="47">
        <v>15589</v>
      </c>
      <c r="O53" s="38">
        <v>1885.78</v>
      </c>
      <c r="P53" s="41">
        <f t="shared" ref="P53:P65" si="22">(R53)/J53</f>
        <v>0</v>
      </c>
      <c r="Q53" s="49">
        <f t="shared" si="21"/>
        <v>0.20999999999999996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73468780</v>
      </c>
      <c r="E54" s="40">
        <v>0</v>
      </c>
      <c r="F54" s="41" t="s">
        <v>42</v>
      </c>
      <c r="G54" s="77">
        <v>39.9</v>
      </c>
      <c r="H54" s="43">
        <v>70</v>
      </c>
      <c r="I54" s="43">
        <v>70</v>
      </c>
      <c r="J54" s="44">
        <f t="shared" si="18"/>
        <v>70</v>
      </c>
      <c r="K54" s="40">
        <v>0</v>
      </c>
      <c r="L54" s="46">
        <f t="shared" si="19"/>
        <v>0</v>
      </c>
      <c r="M54" s="46">
        <f t="shared" si="20"/>
        <v>0</v>
      </c>
      <c r="N54" s="47">
        <v>1</v>
      </c>
      <c r="O54" s="38">
        <v>70</v>
      </c>
      <c r="P54" s="48">
        <f t="shared" si="22"/>
        <v>8.0000000000000007E-5</v>
      </c>
      <c r="Q54" s="49">
        <f t="shared" si="21"/>
        <v>0.75438596491228083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14694756.726299999</v>
      </c>
      <c r="E55" s="40">
        <v>0</v>
      </c>
      <c r="F55" s="41" t="s">
        <v>35</v>
      </c>
      <c r="G55" s="77">
        <v>2.3E-2</v>
      </c>
      <c r="H55" s="43">
        <v>2.4E-2</v>
      </c>
      <c r="I55" s="43">
        <v>2.41E-2</v>
      </c>
      <c r="J55" s="44">
        <f t="shared" si="18"/>
        <v>2.41E-2</v>
      </c>
      <c r="K55" s="40">
        <v>0</v>
      </c>
      <c r="L55" s="46">
        <f t="shared" si="19"/>
        <v>9.9999999999999395E-5</v>
      </c>
      <c r="M55" s="46">
        <f t="shared" si="20"/>
        <v>0.41666666666666413</v>
      </c>
      <c r="N55" s="47">
        <v>7100</v>
      </c>
      <c r="O55" s="38">
        <v>171.11</v>
      </c>
      <c r="P55" s="41">
        <f t="shared" si="22"/>
        <v>0</v>
      </c>
      <c r="Q55" s="49">
        <f t="shared" si="21"/>
        <v>4.7826086956521685E-2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212092770.25530002</v>
      </c>
      <c r="E56" s="40">
        <v>0</v>
      </c>
      <c r="F56" s="41" t="s">
        <v>53</v>
      </c>
      <c r="G56" s="77">
        <v>9.0200000000000002E-2</v>
      </c>
      <c r="H56" s="43">
        <v>9.6199999999999994E-2</v>
      </c>
      <c r="I56" s="43">
        <v>9.8100000000000007E-2</v>
      </c>
      <c r="J56" s="44">
        <f t="shared" si="18"/>
        <v>9.8100000000000007E-2</v>
      </c>
      <c r="K56" s="40">
        <v>0</v>
      </c>
      <c r="L56" s="46">
        <f t="shared" si="19"/>
        <v>1.9000000000000128E-3</v>
      </c>
      <c r="M56" s="78">
        <f t="shared" si="20"/>
        <v>1.9750519750519884</v>
      </c>
      <c r="N56" s="47">
        <v>14197</v>
      </c>
      <c r="O56" s="38">
        <v>1393.01</v>
      </c>
      <c r="P56" s="48">
        <f t="shared" si="22"/>
        <v>6.2589194699286435E-2</v>
      </c>
      <c r="Q56" s="49">
        <f t="shared" si="21"/>
        <v>8.7583148558758372E-2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748705230</v>
      </c>
      <c r="E57" s="40">
        <v>0</v>
      </c>
      <c r="F57" s="41" t="s">
        <v>35</v>
      </c>
      <c r="G57" s="77">
        <v>0.95750000000000002</v>
      </c>
      <c r="H57" s="43">
        <v>1.2990999999999999</v>
      </c>
      <c r="I57" s="43">
        <v>1.3</v>
      </c>
      <c r="J57" s="44">
        <f t="shared" si="18"/>
        <v>1.3</v>
      </c>
      <c r="K57" s="40">
        <v>0</v>
      </c>
      <c r="L57" s="46">
        <f t="shared" si="19"/>
        <v>9.0000000000012292E-4</v>
      </c>
      <c r="M57" s="46">
        <f t="shared" si="20"/>
        <v>6.9278731429460616E-2</v>
      </c>
      <c r="N57" s="47">
        <v>291235</v>
      </c>
      <c r="O57" s="38">
        <v>378603.73</v>
      </c>
      <c r="P57" s="48">
        <f t="shared" si="22"/>
        <v>2.2692307692307689E-2</v>
      </c>
      <c r="Q57" s="49">
        <f t="shared" si="21"/>
        <v>0.35770234986945182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25370170.298999999</v>
      </c>
      <c r="E58" s="40">
        <v>0</v>
      </c>
      <c r="F58" s="41" t="s">
        <v>35</v>
      </c>
      <c r="G58" s="77">
        <v>0.1595</v>
      </c>
      <c r="H58" s="43">
        <v>0.154</v>
      </c>
      <c r="I58" s="43">
        <v>0.1545</v>
      </c>
      <c r="J58" s="44">
        <f t="shared" si="18"/>
        <v>0.1545</v>
      </c>
      <c r="K58" s="40">
        <v>0</v>
      </c>
      <c r="L58" s="46">
        <f t="shared" si="19"/>
        <v>5.0000000000000044E-4</v>
      </c>
      <c r="M58" s="46">
        <f t="shared" si="20"/>
        <v>0.32467532467532495</v>
      </c>
      <c r="N58" s="47">
        <v>90</v>
      </c>
      <c r="O58" s="38">
        <v>13.9</v>
      </c>
      <c r="P58" s="41">
        <f t="shared" si="22"/>
        <v>0</v>
      </c>
      <c r="Q58" s="49">
        <f t="shared" si="21"/>
        <v>-3.1347962382445194E-2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22271481.473499998</v>
      </c>
      <c r="E59" s="40">
        <v>0</v>
      </c>
      <c r="F59" s="41" t="s">
        <v>108</v>
      </c>
      <c r="G59" s="77">
        <v>1.6799999999999999E-2</v>
      </c>
      <c r="H59" s="43">
        <v>6.0100000000000001E-2</v>
      </c>
      <c r="I59" s="43">
        <v>6.0100000000000001E-2</v>
      </c>
      <c r="J59" s="44">
        <f t="shared" si="18"/>
        <v>6.0100000000000001E-2</v>
      </c>
      <c r="K59" s="40">
        <v>0</v>
      </c>
      <c r="L59" s="46">
        <f t="shared" si="19"/>
        <v>0</v>
      </c>
      <c r="M59" s="78">
        <f t="shared" si="20"/>
        <v>0</v>
      </c>
      <c r="N59" s="47">
        <v>14555</v>
      </c>
      <c r="O59" s="38">
        <v>875.26</v>
      </c>
      <c r="P59" s="55">
        <f t="shared" si="22"/>
        <v>0</v>
      </c>
      <c r="Q59" s="49">
        <f t="shared" si="21"/>
        <v>2.5773809523809526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7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7</v>
      </c>
      <c r="O60" s="38">
        <v>91</v>
      </c>
      <c r="P60" s="41">
        <f t="shared" si="22"/>
        <v>0</v>
      </c>
      <c r="Q60" s="49">
        <f t="shared" si="21"/>
        <v>-0.33333333333333337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799374954.18289995</v>
      </c>
      <c r="E61" s="40">
        <v>0</v>
      </c>
      <c r="F61" s="41" t="s">
        <v>108</v>
      </c>
      <c r="G61" s="77">
        <v>0.59499999999999997</v>
      </c>
      <c r="H61" s="43">
        <v>0.99370000000000003</v>
      </c>
      <c r="I61" s="43">
        <v>0.9929</v>
      </c>
      <c r="J61" s="44">
        <f t="shared" si="18"/>
        <v>0.9929</v>
      </c>
      <c r="K61" s="40">
        <v>0</v>
      </c>
      <c r="L61" s="46">
        <f t="shared" si="19"/>
        <v>-8.0000000000002292E-4</v>
      </c>
      <c r="M61" s="46">
        <f t="shared" si="20"/>
        <v>-8.0507195330584966E-2</v>
      </c>
      <c r="N61" s="47">
        <v>413327</v>
      </c>
      <c r="O61" s="38">
        <v>410393.84</v>
      </c>
      <c r="P61" s="62">
        <f t="shared" si="22"/>
        <v>2.3164467720817806E-2</v>
      </c>
      <c r="Q61" s="49">
        <f t="shared" si="21"/>
        <v>0.66873949579831948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73260779.558000013</v>
      </c>
      <c r="E62" s="40">
        <v>0</v>
      </c>
      <c r="F62" s="41" t="s">
        <v>35</v>
      </c>
      <c r="G62" s="77">
        <v>0.22600000000000001</v>
      </c>
      <c r="H62" s="43">
        <v>0.25480000000000003</v>
      </c>
      <c r="I62" s="43">
        <v>0.28100000000000003</v>
      </c>
      <c r="J62" s="44">
        <f t="shared" si="18"/>
        <v>0.28100000000000003</v>
      </c>
      <c r="K62" s="40">
        <v>0</v>
      </c>
      <c r="L62" s="46">
        <f t="shared" si="19"/>
        <v>2.6200000000000001E-2</v>
      </c>
      <c r="M62" s="46">
        <f t="shared" si="20"/>
        <v>10.282574568288853</v>
      </c>
      <c r="N62" s="47">
        <v>7027</v>
      </c>
      <c r="O62" s="38">
        <v>1974.58</v>
      </c>
      <c r="P62" s="62">
        <f t="shared" si="22"/>
        <v>2.562277580071174E-2</v>
      </c>
      <c r="Q62" s="49">
        <f t="shared" si="21"/>
        <v>0.24336283185840712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419108759.45400006</v>
      </c>
      <c r="E63" s="40">
        <v>0</v>
      </c>
      <c r="F63" s="41" t="s">
        <v>35</v>
      </c>
      <c r="G63" s="77">
        <v>0.49440000000000001</v>
      </c>
      <c r="H63" s="43">
        <v>0.74550000000000005</v>
      </c>
      <c r="I63" s="43">
        <v>0.74550000000000005</v>
      </c>
      <c r="J63" s="44">
        <f t="shared" si="18"/>
        <v>0.74550000000000005</v>
      </c>
      <c r="K63" s="40">
        <v>0</v>
      </c>
      <c r="L63" s="46">
        <f t="shared" si="19"/>
        <v>0</v>
      </c>
      <c r="M63" s="46">
        <f t="shared" si="20"/>
        <v>0</v>
      </c>
      <c r="N63" s="47">
        <v>44386</v>
      </c>
      <c r="O63" s="38">
        <v>33088.5</v>
      </c>
      <c r="P63" s="48">
        <f t="shared" si="22"/>
        <v>1.663313212608987E-2</v>
      </c>
      <c r="Q63" s="49">
        <f t="shared" si="21"/>
        <v>0.50788834951456319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15678412.113</v>
      </c>
      <c r="E65" s="40">
        <v>0</v>
      </c>
      <c r="F65" s="41" t="s">
        <v>49</v>
      </c>
      <c r="G65" s="77">
        <v>4.2999999999999997E-2</v>
      </c>
      <c r="H65" s="43">
        <v>4.5499999999999999E-2</v>
      </c>
      <c r="I65" s="43">
        <v>4.5499999999999999E-2</v>
      </c>
      <c r="J65" s="44">
        <f t="shared" si="18"/>
        <v>4.5499999999999999E-2</v>
      </c>
      <c r="K65" s="40">
        <v>0</v>
      </c>
      <c r="L65" s="46">
        <f t="shared" si="19"/>
        <v>0</v>
      </c>
      <c r="M65" s="46">
        <f t="shared" si="20"/>
        <v>0</v>
      </c>
      <c r="N65" s="47">
        <v>6040</v>
      </c>
      <c r="O65" s="38">
        <v>274.82</v>
      </c>
      <c r="P65" s="41">
        <f t="shared" si="22"/>
        <v>0</v>
      </c>
      <c r="Q65" s="49">
        <f t="shared" si="21"/>
        <v>5.8139534883721034E-2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813563</v>
      </c>
      <c r="O66" s="69">
        <f>SUM(O52:O65)</f>
        <v>828873.51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50148211.32</v>
      </c>
      <c r="E71" s="97">
        <f>C71*K71</f>
        <v>50148211.32</v>
      </c>
      <c r="F71" s="95" t="s">
        <v>173</v>
      </c>
      <c r="G71" s="95">
        <v>0.24</v>
      </c>
      <c r="H71" s="98">
        <v>0.36</v>
      </c>
      <c r="I71" s="98">
        <v>0.36</v>
      </c>
      <c r="J71" s="99">
        <f>I71</f>
        <v>0.36</v>
      </c>
      <c r="K71" s="99">
        <f>J71</f>
        <v>0.36</v>
      </c>
      <c r="L71" s="100">
        <f>I71-H71</f>
        <v>0</v>
      </c>
      <c r="M71" s="100">
        <f>((I71-H71)/H71)*100</f>
        <v>0</v>
      </c>
      <c r="N71" s="101">
        <v>15</v>
      </c>
      <c r="O71" s="102">
        <v>5.4</v>
      </c>
      <c r="P71" s="103">
        <v>0</v>
      </c>
      <c r="Q71" s="104">
        <f>J71/G71-1</f>
        <v>0.5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66319191.224999994</v>
      </c>
      <c r="E72" s="97">
        <f>C72*K72</f>
        <v>66319191.224999994</v>
      </c>
      <c r="F72" s="95" t="s">
        <v>173</v>
      </c>
      <c r="G72" s="95">
        <v>0.1</v>
      </c>
      <c r="H72" s="98">
        <v>0.14000000000000001</v>
      </c>
      <c r="I72" s="98">
        <v>0.14069999999999999</v>
      </c>
      <c r="J72" s="99">
        <f>I72</f>
        <v>0.14069999999999999</v>
      </c>
      <c r="K72" s="99">
        <f>J72</f>
        <v>0.14069999999999999</v>
      </c>
      <c r="L72" s="100">
        <f>I72-H72</f>
        <v>6.9999999999997842E-4</v>
      </c>
      <c r="M72" s="100">
        <f>((I72-H72)/H72)*100</f>
        <v>0.49999999999998457</v>
      </c>
      <c r="N72" s="47">
        <v>31683</v>
      </c>
      <c r="O72" s="102">
        <v>4456.99</v>
      </c>
      <c r="P72" s="103">
        <v>0</v>
      </c>
      <c r="Q72" s="104">
        <f>J72/G72-1</f>
        <v>0.40699999999999981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31698</v>
      </c>
      <c r="O73" s="69">
        <f>SUM(O71:O72)</f>
        <v>4462.3899999999994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108375.79157990753</v>
      </c>
      <c r="E75" s="40">
        <f>C75*K75</f>
        <v>91882.441112000015</v>
      </c>
      <c r="F75" s="41" t="s">
        <v>155</v>
      </c>
      <c r="G75" s="77">
        <v>0.105</v>
      </c>
      <c r="H75" s="43">
        <v>6.0720000000000003E-2</v>
      </c>
      <c r="I75" s="43">
        <v>6.0720000000000003E-2</v>
      </c>
      <c r="J75" s="44">
        <f>I75/$J$5</f>
        <v>2.3873179630736325E-3</v>
      </c>
      <c r="K75" s="45">
        <f>I75/$K$4</f>
        <v>2.0240000000000002E-3</v>
      </c>
      <c r="L75" s="46">
        <f>I75-H75</f>
        <v>0</v>
      </c>
      <c r="M75" s="111">
        <f>((I75-H75)/H75)*100</f>
        <v>0</v>
      </c>
      <c r="N75" s="38">
        <v>0</v>
      </c>
      <c r="O75" s="38">
        <v>0</v>
      </c>
      <c r="P75" s="41">
        <v>0</v>
      </c>
      <c r="Q75" s="49">
        <f>I75/G75-1</f>
        <v>-0.42171428571428571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428276.82823262981</v>
      </c>
      <c r="E76" s="40">
        <f>C76*K76</f>
        <v>363098.80533333332</v>
      </c>
      <c r="F76" s="41" t="s">
        <v>155</v>
      </c>
      <c r="G76" s="77">
        <v>4.2500000000000003E-2</v>
      </c>
      <c r="H76" s="43">
        <v>0.08</v>
      </c>
      <c r="I76" s="43">
        <v>0.08</v>
      </c>
      <c r="J76" s="44">
        <f>I76/$J$5</f>
        <v>3.1453464599125592E-3</v>
      </c>
      <c r="K76" s="45">
        <f>I76/$K$4</f>
        <v>2.6666666666666666E-3</v>
      </c>
      <c r="L76" s="46">
        <f>I76-H76</f>
        <v>0</v>
      </c>
      <c r="M76" s="111">
        <f>((I76-H76)/H76)*100</f>
        <v>0</v>
      </c>
      <c r="N76" s="38">
        <v>0</v>
      </c>
      <c r="O76" s="38">
        <v>0</v>
      </c>
      <c r="P76" s="41">
        <v>0</v>
      </c>
      <c r="Q76" s="49">
        <f>I76/G76-1</f>
        <v>0.88235294117647056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1315373.7538845029</v>
      </c>
      <c r="E77" s="40">
        <f>C77*K77</f>
        <v>1115191.40686</v>
      </c>
      <c r="F77" s="41" t="s">
        <v>155</v>
      </c>
      <c r="G77" s="77">
        <v>6.0499999999999998E-2</v>
      </c>
      <c r="H77" s="43">
        <v>6.7667000000000005E-2</v>
      </c>
      <c r="I77" s="43">
        <v>6.7667000000000005E-2</v>
      </c>
      <c r="J77" s="44">
        <f>I77/$J$5</f>
        <v>2.6604519862862895E-3</v>
      </c>
      <c r="K77" s="45">
        <f>I77/$K$4</f>
        <v>2.2555666666666668E-3</v>
      </c>
      <c r="L77" s="46">
        <f>I77-H77</f>
        <v>0</v>
      </c>
      <c r="M77" s="111">
        <f>((I77-H77)/H77)*100</f>
        <v>0</v>
      </c>
      <c r="N77" s="38">
        <v>0</v>
      </c>
      <c r="O77" s="38">
        <v>0</v>
      </c>
      <c r="P77" s="41">
        <v>0</v>
      </c>
      <c r="Q77" s="49">
        <f>I77/G77-1</f>
        <v>0.11846280991735547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2864862.9861471076</v>
      </c>
      <c r="E78" s="40">
        <f>C78*K78</f>
        <v>2428869.0378286666</v>
      </c>
      <c r="F78" s="41" t="s">
        <v>155</v>
      </c>
      <c r="G78" s="77">
        <v>1.85</v>
      </c>
      <c r="H78" s="43">
        <v>1.7704550000000001</v>
      </c>
      <c r="I78" s="43">
        <v>1.7704550000000001</v>
      </c>
      <c r="J78" s="44">
        <f>I78/$J$5</f>
        <v>6.9608679583556127E-2</v>
      </c>
      <c r="K78" s="45">
        <f>I78/$K$4</f>
        <v>5.9015166666666667E-2</v>
      </c>
      <c r="L78" s="46">
        <f>I78-H78</f>
        <v>0</v>
      </c>
      <c r="M78" s="111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-4.2997297297297288E-2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0</v>
      </c>
      <c r="O79" s="69">
        <f>SUM(O75:O78)</f>
        <v>0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26645813.896140661</v>
      </c>
      <c r="E81" s="40">
        <f>C81*K81</f>
        <v>22590676.298666667</v>
      </c>
      <c r="F81" s="41" t="s">
        <v>188</v>
      </c>
      <c r="G81" s="41">
        <v>1.3</v>
      </c>
      <c r="H81" s="43">
        <v>1.84</v>
      </c>
      <c r="I81" s="43">
        <v>1.84</v>
      </c>
      <c r="J81" s="44">
        <f>I81/$J$5</f>
        <v>7.2342968577988873E-2</v>
      </c>
      <c r="K81" s="45">
        <f>I81/$K$4</f>
        <v>6.1333333333333337E-2</v>
      </c>
      <c r="L81" s="46">
        <f>I81-H81</f>
        <v>0</v>
      </c>
      <c r="M81" s="46">
        <f>((I81-H81)/H81*100)</f>
        <v>0</v>
      </c>
      <c r="N81" s="120">
        <v>0</v>
      </c>
      <c r="O81" s="38">
        <v>0</v>
      </c>
      <c r="P81" s="55">
        <f>(R81)/J81</f>
        <v>0</v>
      </c>
      <c r="Q81" s="49">
        <f>I81/G81-1</f>
        <v>0.41538461538461546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83243145.158328876</v>
      </c>
      <c r="E82" s="40">
        <f>C82*K82</f>
        <v>70574648.373833328</v>
      </c>
      <c r="F82" s="41" t="s">
        <v>188</v>
      </c>
      <c r="G82" s="41">
        <v>1.44347</v>
      </c>
      <c r="H82" s="43">
        <v>1.162838</v>
      </c>
      <c r="I82" s="43">
        <v>1.149983</v>
      </c>
      <c r="J82" s="44">
        <f>I82/$J$5</f>
        <v>4.5213686975120307E-2</v>
      </c>
      <c r="K82" s="45">
        <f>I82/$K$4</f>
        <v>3.8332766666666664E-2</v>
      </c>
      <c r="L82" s="46">
        <f>I82-H82</f>
        <v>-1.2855000000000061E-2</v>
      </c>
      <c r="M82" s="46">
        <f>((I82-H82)/H82*100)</f>
        <v>-1.1054850288690308</v>
      </c>
      <c r="N82" s="121">
        <v>59474</v>
      </c>
      <c r="O82" s="38">
        <v>68396.975000000006</v>
      </c>
      <c r="P82" s="48">
        <f>(R82)/J82</f>
        <v>4.2089024968195186E-2</v>
      </c>
      <c r="Q82" s="49">
        <f>I82/G82-1</f>
        <v>-0.20332047080992333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59474</v>
      </c>
      <c r="O83" s="69">
        <f>SUM(O81:O82)</f>
        <v>68396.975000000006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36</v>
      </c>
      <c r="B86" s="130">
        <v>3.4000000000000002E-2</v>
      </c>
      <c r="C86" s="130"/>
      <c r="D86" s="130">
        <v>12.930547713156423</v>
      </c>
      <c r="E86" s="36" t="s">
        <v>120</v>
      </c>
      <c r="F86" s="131">
        <v>3.25</v>
      </c>
      <c r="G86" s="131"/>
      <c r="H86" s="132">
        <v>-11.983750846310086</v>
      </c>
      <c r="L86" s="36" t="s">
        <v>157</v>
      </c>
      <c r="M86" s="130">
        <v>0.28100000000000003</v>
      </c>
      <c r="N86" s="133">
        <v>10.282574568288853</v>
      </c>
      <c r="O86" s="36" t="s">
        <v>102</v>
      </c>
      <c r="P86" s="131">
        <v>0.9929</v>
      </c>
      <c r="Q86" s="132">
        <v>-8.0507195330584966E-2</v>
      </c>
    </row>
    <row r="87" spans="1:44" x14ac:dyDescent="0.25">
      <c r="A87" s="36" t="s">
        <v>134</v>
      </c>
      <c r="B87" s="130">
        <v>0.69467699999999999</v>
      </c>
      <c r="C87" s="130"/>
      <c r="D87" s="130">
        <v>7.4242229772046322</v>
      </c>
      <c r="E87" s="36" t="s">
        <v>100</v>
      </c>
      <c r="F87" s="131">
        <v>1.24125</v>
      </c>
      <c r="G87" s="131"/>
      <c r="H87" s="132">
        <v>-3.0273437500000049</v>
      </c>
      <c r="L87" s="36" t="s">
        <v>140</v>
      </c>
      <c r="M87" s="130">
        <v>0.121</v>
      </c>
      <c r="N87" s="133">
        <v>3.6846615252784902</v>
      </c>
      <c r="O87" s="36"/>
      <c r="P87" s="131"/>
      <c r="Q87" s="132"/>
    </row>
    <row r="88" spans="1:44" x14ac:dyDescent="0.25">
      <c r="A88" s="36" t="s">
        <v>116</v>
      </c>
      <c r="B88" s="130">
        <v>0.89818200000000004</v>
      </c>
      <c r="C88" s="130"/>
      <c r="D88" s="130">
        <v>5.9080720264787354</v>
      </c>
      <c r="E88" s="36" t="s">
        <v>106</v>
      </c>
      <c r="F88" s="131">
        <v>1.17</v>
      </c>
      <c r="G88" s="131"/>
      <c r="H88" s="132">
        <v>-0.82568970646948947</v>
      </c>
      <c r="L88" s="36" t="s">
        <v>109</v>
      </c>
      <c r="M88" s="130">
        <v>4.22</v>
      </c>
      <c r="N88" s="133">
        <v>2.926829268292686</v>
      </c>
      <c r="O88" s="36"/>
      <c r="P88" s="131"/>
      <c r="Q88" s="132"/>
    </row>
    <row r="89" spans="1:44" x14ac:dyDescent="0.25">
      <c r="A89" s="36" t="s">
        <v>113</v>
      </c>
      <c r="B89" s="130">
        <v>3.4986999999999997E-2</v>
      </c>
      <c r="C89" s="130"/>
      <c r="D89" s="130">
        <v>3.6897634994961654</v>
      </c>
      <c r="E89" s="36" t="s">
        <v>58</v>
      </c>
      <c r="F89" s="131">
        <v>2.64</v>
      </c>
      <c r="G89" s="131"/>
      <c r="H89" s="132">
        <v>-0.37735849056602971</v>
      </c>
      <c r="L89" s="36" t="s">
        <v>145</v>
      </c>
      <c r="M89" s="130">
        <v>9.8100000000000007E-2</v>
      </c>
      <c r="N89" s="133">
        <v>1.9750519750519884</v>
      </c>
      <c r="O89" s="36"/>
      <c r="P89" s="131"/>
      <c r="Q89" s="132"/>
    </row>
    <row r="90" spans="1:44" x14ac:dyDescent="0.25">
      <c r="A90" s="36" t="s">
        <v>122</v>
      </c>
      <c r="B90" s="130">
        <v>9.9000000000000005E-2</v>
      </c>
      <c r="C90" s="130"/>
      <c r="D90" s="130">
        <v>2.9106029106029219</v>
      </c>
      <c r="E90" s="36" t="s">
        <v>50</v>
      </c>
      <c r="F90" s="131">
        <v>26.119199999999999</v>
      </c>
      <c r="G90" s="131"/>
      <c r="H90" s="132">
        <v>-0.15710829004255947</v>
      </c>
      <c r="L90" s="36" t="s">
        <v>143</v>
      </c>
      <c r="M90" s="130">
        <v>2.41E-2</v>
      </c>
      <c r="N90" s="133">
        <v>0.41666666666666413</v>
      </c>
      <c r="O90" s="36"/>
      <c r="P90" s="131"/>
      <c r="Q90" s="134"/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eR6M8rgB828IK32csyhzDHrT5YQ+V+v996s3l1Nm0RR/YscNONIt4MQ9vIYrNHaJBzlVcwAHxDCbvQTGjoFVHw==" saltValue="k1Fz76GGtNh7NXwDxvimsQ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2026-03-16T13:27:01Z</dcterms:created>
  <dcterms:modified xsi:type="dcterms:W3CDTF">2026-03-16T13:29:29Z</dcterms:modified>
</cp:coreProperties>
</file>