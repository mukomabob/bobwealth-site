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10.09.26/"/>
    </mc:Choice>
  </mc:AlternateContent>
  <xr:revisionPtr revIDLastSave="0" documentId="8_{7B898C69-233C-41A0-93E1-80F78F2A06E9}" xr6:coauthVersionLast="47" xr6:coauthVersionMax="47" xr10:uidLastSave="{00000000-0000-0000-0000-000000000000}"/>
  <bookViews>
    <workbookView xWindow="-108" yWindow="-108" windowWidth="23256" windowHeight="12456" xr2:uid="{13C9C3CE-A51C-4176-AC14-A133A5AC870D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P84" i="1"/>
  <c r="M84" i="1"/>
  <c r="L84" i="1"/>
  <c r="K84" i="1"/>
  <c r="E84" i="1" s="1"/>
  <c r="J84" i="1"/>
  <c r="D84" i="1" s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5" i="1"/>
  <c r="P75" i="1"/>
  <c r="M75" i="1"/>
  <c r="L75" i="1"/>
  <c r="K75" i="1"/>
  <c r="E75" i="1" s="1"/>
  <c r="J75" i="1"/>
  <c r="D75" i="1"/>
  <c r="O73" i="1"/>
  <c r="N73" i="1"/>
  <c r="Q72" i="1"/>
  <c r="P72" i="1"/>
  <c r="M72" i="1"/>
  <c r="L72" i="1"/>
  <c r="J72" i="1"/>
  <c r="K72" i="1" s="1"/>
  <c r="E72" i="1" s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P64" i="1"/>
  <c r="M64" i="1"/>
  <c r="L64" i="1"/>
  <c r="J64" i="1"/>
  <c r="D64" i="1" s="1"/>
  <c r="M63" i="1"/>
  <c r="L63" i="1"/>
  <c r="J63" i="1"/>
  <c r="Q63" i="1" s="1"/>
  <c r="D63" i="1"/>
  <c r="Q62" i="1"/>
  <c r="P62" i="1"/>
  <c r="M62" i="1"/>
  <c r="L62" i="1"/>
  <c r="J62" i="1"/>
  <c r="D62" i="1" s="1"/>
  <c r="M61" i="1"/>
  <c r="L61" i="1"/>
  <c r="J61" i="1"/>
  <c r="Q61" i="1" s="1"/>
  <c r="D61" i="1"/>
  <c r="Q60" i="1"/>
  <c r="P60" i="1"/>
  <c r="M60" i="1"/>
  <c r="L60" i="1"/>
  <c r="J60" i="1"/>
  <c r="D60" i="1" s="1"/>
  <c r="M59" i="1"/>
  <c r="L59" i="1"/>
  <c r="J59" i="1"/>
  <c r="Q59" i="1" s="1"/>
  <c r="D59" i="1"/>
  <c r="Q58" i="1"/>
  <c r="P58" i="1"/>
  <c r="M58" i="1"/>
  <c r="L58" i="1"/>
  <c r="J58" i="1"/>
  <c r="D58" i="1" s="1"/>
  <c r="M57" i="1"/>
  <c r="L57" i="1"/>
  <c r="J57" i="1"/>
  <c r="Q57" i="1" s="1"/>
  <c r="D57" i="1"/>
  <c r="Q56" i="1"/>
  <c r="P56" i="1"/>
  <c r="M56" i="1"/>
  <c r="L56" i="1"/>
  <c r="J56" i="1"/>
  <c r="D56" i="1" s="1"/>
  <c r="M55" i="1"/>
  <c r="L55" i="1"/>
  <c r="J55" i="1"/>
  <c r="Q55" i="1" s="1"/>
  <c r="D55" i="1"/>
  <c r="Q54" i="1"/>
  <c r="P54" i="1"/>
  <c r="M54" i="1"/>
  <c r="L54" i="1"/>
  <c r="J54" i="1"/>
  <c r="D54" i="1" s="1"/>
  <c r="M53" i="1"/>
  <c r="L53" i="1"/>
  <c r="J53" i="1"/>
  <c r="Q53" i="1" s="1"/>
  <c r="D53" i="1"/>
  <c r="Q52" i="1"/>
  <c r="M52" i="1"/>
  <c r="L52" i="1"/>
  <c r="J52" i="1"/>
  <c r="D52" i="1" s="1"/>
  <c r="M51" i="1"/>
  <c r="L51" i="1"/>
  <c r="J51" i="1"/>
  <c r="Q51" i="1" s="1"/>
  <c r="D51" i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 s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P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1" i="1"/>
  <c r="P31" i="1"/>
  <c r="M31" i="1"/>
  <c r="L31" i="1"/>
  <c r="K31" i="1"/>
  <c r="E31" i="1" s="1"/>
  <c r="J31" i="1"/>
  <c r="D31" i="1" s="1"/>
  <c r="K30" i="1"/>
  <c r="J30" i="1"/>
  <c r="E30" i="1"/>
  <c r="D30" i="1"/>
  <c r="Q29" i="1"/>
  <c r="P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P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R24" i="1"/>
  <c r="P24" i="1" s="1"/>
  <c r="Q24" i="1"/>
  <c r="M24" i="1"/>
  <c r="L24" i="1"/>
  <c r="K24" i="1"/>
  <c r="J24" i="1"/>
  <c r="E24" i="1"/>
  <c r="D24" i="1"/>
  <c r="Q23" i="1"/>
  <c r="P23" i="1"/>
  <c r="M23" i="1"/>
  <c r="L23" i="1"/>
  <c r="K23" i="1"/>
  <c r="E23" i="1" s="1"/>
  <c r="J23" i="1"/>
  <c r="D23" i="1" s="1"/>
  <c r="Q22" i="1"/>
  <c r="L22" i="1"/>
  <c r="K22" i="1"/>
  <c r="J22" i="1"/>
  <c r="E22" i="1"/>
  <c r="D22" i="1"/>
  <c r="Q21" i="1"/>
  <c r="P21" i="1"/>
  <c r="M21" i="1"/>
  <c r="L21" i="1"/>
  <c r="K21" i="1"/>
  <c r="E21" i="1" s="1"/>
  <c r="J21" i="1"/>
  <c r="D21" i="1"/>
  <c r="Q20" i="1"/>
  <c r="P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 s="1"/>
  <c r="Q15" i="1"/>
  <c r="M15" i="1"/>
  <c r="L15" i="1"/>
  <c r="K15" i="1"/>
  <c r="J15" i="1"/>
  <c r="D15" i="1" s="1"/>
  <c r="E15" i="1"/>
  <c r="Q14" i="1"/>
  <c r="P14" i="1"/>
  <c r="M14" i="1"/>
  <c r="L14" i="1"/>
  <c r="K14" i="1"/>
  <c r="J14" i="1"/>
  <c r="E14" i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P10" i="1"/>
  <c r="M10" i="1"/>
  <c r="L10" i="1"/>
  <c r="K10" i="1"/>
  <c r="E10" i="1" s="1"/>
  <c r="J10" i="1"/>
  <c r="D10" i="1" s="1"/>
  <c r="Q9" i="1"/>
  <c r="M9" i="1"/>
  <c r="L9" i="1"/>
  <c r="K9" i="1"/>
  <c r="J9" i="1"/>
  <c r="D9" i="1" s="1"/>
  <c r="E9" i="1"/>
  <c r="K71" i="1" l="1"/>
  <c r="E71" i="1" s="1"/>
  <c r="P9" i="1"/>
  <c r="P12" i="1"/>
  <c r="P15" i="1"/>
  <c r="P39" i="1"/>
  <c r="P42" i="1"/>
  <c r="P53" i="1"/>
  <c r="P55" i="1"/>
  <c r="P57" i="1"/>
  <c r="P59" i="1"/>
  <c r="P61" i="1"/>
  <c r="P63" i="1"/>
  <c r="P65" i="1"/>
  <c r="P51" i="1"/>
  <c r="P71" i="1"/>
  <c r="D72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<sst xmlns="http://schemas.openxmlformats.org/spreadsheetml/2006/main" count="271" uniqueCount="185">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</sst>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7D07EB89-DF19-438D-BA6C-614FD08E8736}"/>
    <cellStyle name="Comma 5 2 2 2 2 2 2 2 2 2 2 2" xfId="4" xr:uid="{B64753D4-CEF5-4E82-B47E-FB669D8B192A}"/>
    <cellStyle name="Comma 6 2 2 2 2 2 2" xfId="5" xr:uid="{8DFD166D-71C2-44E6-B1EA-FCD9E024A9EE}"/>
    <cellStyle name="Hyperlink 2" xfId="8" xr:uid="{35B4ECFC-4C06-40B9-BE45-0BA540E4733D}"/>
    <cellStyle name="Normal" xfId="0" builtinId="0"/>
    <cellStyle name="Normal 2" xfId="2" xr:uid="{7728480B-15F5-47A3-9340-008F352D395C}"/>
    <cellStyle name="Normal 20" xfId="7" xr:uid="{931D1122-1195-4B38-BDB2-45E1DA76D5BA}"/>
    <cellStyle name="Percent" xfId="1" builtinId="5"/>
    <cellStyle name="Percent 3" xfId="6" xr:uid="{B2D0EF02-77CE-436D-ADA2-2D5CC8B22717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78EC34F-B035-4B40-93B5-ECFD6734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C2639ED-F2DB-4BFC-8290-7A355471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35F2-3BC3-4CC3-ABB7-7D8037D68151}">
  <dimension ref="A1:II107"/>
  <sheetViews>
    <sheetView tabSelected="1" zoomScale="70" zoomScaleNormal="70" workbookViewId="0">
      <selection activeCell="V26" sqref="V2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26.675799999999999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81500613.767909497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0.64665352116899966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2.3196347826086955E-2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3063194.3642006987</v>
      </c>
      <c r="E10" s="39">
        <f t="shared" si="1"/>
        <v>2553536.2568920311</v>
      </c>
      <c r="F10" s="40" t="s">
        <v>34</v>
      </c>
      <c r="G10" s="41">
        <v>3.1600000000000003E-2</v>
      </c>
      <c r="H10" s="42">
        <v>4.8361999999999995E-2</v>
      </c>
      <c r="I10" s="43">
        <v>5.0210999999999999E-2</v>
      </c>
      <c r="J10" s="44">
        <f t="shared" ref="J10:J17" si="7">I10/$J$5</f>
        <v>1.8822678232705298E-3</v>
      </c>
      <c r="K10" s="45">
        <f t="shared" si="2"/>
        <v>1.56909375E-3</v>
      </c>
      <c r="L10" s="46">
        <f t="shared" si="3"/>
        <v>1.8490000000000034E-3</v>
      </c>
      <c r="M10" s="46">
        <f t="shared" si="4"/>
        <v>3.8232496588230505</v>
      </c>
      <c r="N10" s="51">
        <v>45400</v>
      </c>
      <c r="O10" s="37">
        <v>2279.56</v>
      </c>
      <c r="P10" s="52">
        <f t="shared" si="5"/>
        <v>0</v>
      </c>
      <c r="Q10" s="49">
        <f t="shared" si="6"/>
        <v>0.58895569620253152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3562876.2992112702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8.153457440826517E-3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131493247.55926721</v>
      </c>
      <c r="E12" s="39">
        <f t="shared" si="1"/>
        <v>109615236.66379689</v>
      </c>
      <c r="F12" s="40" t="s">
        <v>34</v>
      </c>
      <c r="G12" s="41">
        <v>97.381</v>
      </c>
      <c r="H12" s="42">
        <v>170</v>
      </c>
      <c r="I12" s="43">
        <v>169.99950000000001</v>
      </c>
      <c r="J12" s="44">
        <f t="shared" si="7"/>
        <v>6.3727985664909772</v>
      </c>
      <c r="K12" s="45">
        <f t="shared" si="2"/>
        <v>5.3124843750000004</v>
      </c>
      <c r="L12" s="46">
        <f t="shared" si="3"/>
        <v>-4.9999999998817657E-4</v>
      </c>
      <c r="M12" s="46">
        <f t="shared" si="4"/>
        <v>-2.9411764705186856E-4</v>
      </c>
      <c r="N12" s="51">
        <v>500</v>
      </c>
      <c r="O12" s="37">
        <v>84999.75</v>
      </c>
      <c r="P12" s="52">
        <f t="shared" si="5"/>
        <v>0</v>
      </c>
      <c r="Q12" s="49">
        <f t="shared" si="6"/>
        <v>0.74571528326881031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8186359.9217268089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0.93717901618695598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8500</v>
      </c>
      <c r="O13" s="37">
        <v>212500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764130677.80535173</v>
      </c>
      <c r="E14" s="39">
        <f t="shared" si="1"/>
        <v>636993660.46875</v>
      </c>
      <c r="F14" s="40" t="s">
        <v>47</v>
      </c>
      <c r="G14" s="41">
        <v>11.5</v>
      </c>
      <c r="H14" s="42">
        <v>39</v>
      </c>
      <c r="I14" s="43">
        <v>39</v>
      </c>
      <c r="J14" s="44">
        <f t="shared" si="7"/>
        <v>1.4619992652516514</v>
      </c>
      <c r="K14" s="45">
        <f t="shared" si="2"/>
        <v>1.21875</v>
      </c>
      <c r="L14" s="46">
        <f t="shared" si="3"/>
        <v>0</v>
      </c>
      <c r="M14" s="46">
        <f t="shared" si="4"/>
        <v>0</v>
      </c>
      <c r="N14" s="51">
        <v>0</v>
      </c>
      <c r="O14" s="37">
        <v>0</v>
      </c>
      <c r="P14" s="52">
        <f t="shared" si="5"/>
        <v>0</v>
      </c>
      <c r="Q14" s="49">
        <f t="shared" si="6"/>
        <v>2.3913043478260869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27430669.668294854</v>
      </c>
      <c r="E15" s="39">
        <f t="shared" si="1"/>
        <v>22866720.560546871</v>
      </c>
      <c r="F15" s="40" t="s">
        <v>34</v>
      </c>
      <c r="G15" s="41">
        <v>5.39</v>
      </c>
      <c r="H15" s="42">
        <v>6.9004999999999992</v>
      </c>
      <c r="I15" s="43">
        <v>6.9004999999999992</v>
      </c>
      <c r="J15" s="44">
        <f t="shared" si="7"/>
        <v>0.25868015204792355</v>
      </c>
      <c r="K15" s="45">
        <f t="shared" si="2"/>
        <v>0.21564062499999997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0.28024118738404447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80388409.697928473</v>
      </c>
      <c r="E16" s="39">
        <f t="shared" si="1"/>
        <v>67013285.606875002</v>
      </c>
      <c r="F16" s="40" t="s">
        <v>34</v>
      </c>
      <c r="G16" s="41">
        <v>1.9</v>
      </c>
      <c r="H16" s="42">
        <v>5.9945950000000003</v>
      </c>
      <c r="I16" s="43">
        <v>5.99</v>
      </c>
      <c r="J16" s="44">
        <f t="shared" si="7"/>
        <v>0.22454809227839467</v>
      </c>
      <c r="K16" s="45">
        <f t="shared" si="2"/>
        <v>0.18718750000000001</v>
      </c>
      <c r="L16" s="46">
        <f t="shared" si="3"/>
        <v>-4.5950000000001268E-3</v>
      </c>
      <c r="M16" s="46">
        <f t="shared" si="4"/>
        <v>-7.6652384356243025E-2</v>
      </c>
      <c r="N16" s="51">
        <v>100</v>
      </c>
      <c r="O16" s="37">
        <v>599</v>
      </c>
      <c r="P16" s="52">
        <f t="shared" si="5"/>
        <v>0.222669449081803</v>
      </c>
      <c r="Q16" s="49">
        <f t="shared" si="6"/>
        <v>2.1526315789473687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1377910551.1788774</v>
      </c>
      <c r="E17" s="39">
        <f t="shared" si="1"/>
        <v>1148652071.285547</v>
      </c>
      <c r="F17" s="40" t="s">
        <v>34</v>
      </c>
      <c r="G17" s="41">
        <v>20.701700000000002</v>
      </c>
      <c r="H17" s="42">
        <v>26.741700000000002</v>
      </c>
      <c r="I17" s="43">
        <v>27.272500000000001</v>
      </c>
      <c r="J17" s="44">
        <f t="shared" si="7"/>
        <v>1.0223685887583502</v>
      </c>
      <c r="K17" s="45">
        <f t="shared" si="2"/>
        <v>0.85226562500000003</v>
      </c>
      <c r="L17" s="46">
        <f t="shared" si="3"/>
        <v>0.53079999999999927</v>
      </c>
      <c r="M17" s="46">
        <f t="shared" si="4"/>
        <v>1.9849149455718942</v>
      </c>
      <c r="N17" s="51">
        <v>234200</v>
      </c>
      <c r="O17" s="37">
        <v>6387215.5</v>
      </c>
      <c r="P17" s="48">
        <f t="shared" si="5"/>
        <v>0</v>
      </c>
      <c r="Q17" s="49">
        <f t="shared" si="6"/>
        <v>0.31740388470512082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340058180.61688876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0.50607666874095625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3797399.164411189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3.4863059402154763E-2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77226438.723487198</v>
      </c>
      <c r="E21" s="39">
        <f t="shared" si="1"/>
        <v>64377407.315624997</v>
      </c>
      <c r="F21" s="40" t="s">
        <v>47</v>
      </c>
      <c r="G21" s="41">
        <v>2.85</v>
      </c>
      <c r="H21" s="42">
        <v>2.9849999999999999</v>
      </c>
      <c r="I21" s="43">
        <v>2.9849999999999999</v>
      </c>
      <c r="J21" s="44">
        <f t="shared" si="8"/>
        <v>0.11189917453272254</v>
      </c>
      <c r="K21" s="45">
        <f t="shared" si="9"/>
        <v>9.3281249999999996E-2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2011518.3912010139</v>
      </c>
      <c r="E23" s="39">
        <f t="shared" si="1"/>
        <v>1676839.4468750001</v>
      </c>
      <c r="F23" s="40" t="s">
        <v>44</v>
      </c>
      <c r="G23" s="41">
        <v>0.1</v>
      </c>
      <c r="H23" s="42">
        <v>9.8000000000000004E-2</v>
      </c>
      <c r="I23" s="43">
        <v>0.1</v>
      </c>
      <c r="J23" s="44">
        <f t="shared" si="8"/>
        <v>3.7487160647478243E-3</v>
      </c>
      <c r="K23" s="45">
        <f t="shared" si="9"/>
        <v>3.1250000000000002E-3</v>
      </c>
      <c r="L23" s="46">
        <f t="shared" si="10"/>
        <v>2.0000000000000018E-3</v>
      </c>
      <c r="M23" s="46">
        <f t="shared" ref="M23:M29" si="12">((I23-H23)/H23)*100</f>
        <v>2.0408163265306136</v>
      </c>
      <c r="N23" s="51">
        <v>2400</v>
      </c>
      <c r="O23" s="37">
        <v>240</v>
      </c>
      <c r="P23" s="52">
        <f t="shared" ref="P23:P29" si="13">(R23)/J23</f>
        <v>0</v>
      </c>
      <c r="Q23" s="49">
        <f t="shared" si="11"/>
        <v>0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67056068.091752522</v>
      </c>
      <c r="E24" s="39">
        <f t="shared" si="1"/>
        <v>55899195.662561625</v>
      </c>
      <c r="F24" s="40" t="s">
        <v>34</v>
      </c>
      <c r="G24" s="41">
        <v>8.1687659999999997</v>
      </c>
      <c r="H24" s="42">
        <v>10.6996</v>
      </c>
      <c r="I24" s="43">
        <v>9.2672729999999994</v>
      </c>
      <c r="J24" s="44">
        <f t="shared" si="8"/>
        <v>0.34740375171503757</v>
      </c>
      <c r="K24" s="45">
        <f t="shared" si="9"/>
        <v>0.28960228124999998</v>
      </c>
      <c r="L24" s="46">
        <f t="shared" si="10"/>
        <v>-1.4323270000000008</v>
      </c>
      <c r="M24" s="46">
        <f t="shared" si="12"/>
        <v>-13.386734083517149</v>
      </c>
      <c r="N24" s="51">
        <v>5500</v>
      </c>
      <c r="O24" s="37">
        <v>50970</v>
      </c>
      <c r="P24" s="48">
        <f t="shared" si="13"/>
        <v>4.3177426628092215E-2</v>
      </c>
      <c r="Q24" s="49">
        <f t="shared" si="11"/>
        <v>0.13447649253265426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104457906.17880568</v>
      </c>
      <c r="E25" s="39">
        <f t="shared" si="1"/>
        <v>87078069.176393256</v>
      </c>
      <c r="F25" s="40" t="s">
        <v>66</v>
      </c>
      <c r="G25" s="41">
        <v>1.6675</v>
      </c>
      <c r="H25" s="42">
        <v>1.67</v>
      </c>
      <c r="I25" s="43">
        <v>1.6511760000000002</v>
      </c>
      <c r="J25" s="44">
        <f t="shared" si="8"/>
        <v>6.1897899969260539E-2</v>
      </c>
      <c r="K25" s="45">
        <f t="shared" si="9"/>
        <v>5.1599250000000006E-2</v>
      </c>
      <c r="L25" s="46">
        <f t="shared" si="10"/>
        <v>-1.882399999999973E-2</v>
      </c>
      <c r="M25" s="46">
        <f t="shared" si="12"/>
        <v>-1.1271856287424988</v>
      </c>
      <c r="N25" s="51">
        <v>1700</v>
      </c>
      <c r="O25" s="37">
        <v>2807</v>
      </c>
      <c r="P25" s="52">
        <f t="shared" si="13"/>
        <v>0</v>
      </c>
      <c r="Q25" s="49">
        <f t="shared" si="11"/>
        <v>-9.7895052473762068E-3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23332349.102932248</v>
      </c>
      <c r="E26" s="39">
        <f t="shared" si="1"/>
        <v>19450283.693750001</v>
      </c>
      <c r="F26" s="40" t="s">
        <v>44</v>
      </c>
      <c r="G26" s="41">
        <v>1.7994999999999999</v>
      </c>
      <c r="H26" s="42">
        <v>2.2999999999999998</v>
      </c>
      <c r="I26" s="43">
        <v>2.6</v>
      </c>
      <c r="J26" s="44">
        <f t="shared" si="8"/>
        <v>9.7466617683443432E-2</v>
      </c>
      <c r="K26" s="45">
        <f t="shared" si="9"/>
        <v>8.1250000000000003E-2</v>
      </c>
      <c r="L26" s="46">
        <f t="shared" si="10"/>
        <v>0.30000000000000027</v>
      </c>
      <c r="M26" s="46">
        <f t="shared" si="12"/>
        <v>13.043478260869579</v>
      </c>
      <c r="N26" s="51">
        <v>52500</v>
      </c>
      <c r="O26" s="37">
        <v>136500</v>
      </c>
      <c r="P26" s="52">
        <f t="shared" si="13"/>
        <v>0</v>
      </c>
      <c r="Q26" s="49">
        <f t="shared" si="11"/>
        <v>0.44484579049736062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23045673.546810217</v>
      </c>
      <c r="E27" s="39">
        <f t="shared" si="1"/>
        <v>19211305.574999999</v>
      </c>
      <c r="F27" s="40" t="s">
        <v>34</v>
      </c>
      <c r="G27" s="41">
        <v>3.1361369999999997</v>
      </c>
      <c r="H27" s="42">
        <v>2.41</v>
      </c>
      <c r="I27" s="43">
        <v>2.4</v>
      </c>
      <c r="J27" s="44">
        <f t="shared" si="8"/>
        <v>8.996918555394777E-2</v>
      </c>
      <c r="K27" s="45">
        <f t="shared" si="9"/>
        <v>7.4999999999999997E-2</v>
      </c>
      <c r="L27" s="46">
        <f t="shared" si="10"/>
        <v>-1.0000000000000231E-2</v>
      </c>
      <c r="M27" s="46">
        <f t="shared" si="12"/>
        <v>-0.4149377593361091</v>
      </c>
      <c r="N27" s="51">
        <v>400</v>
      </c>
      <c r="O27" s="37">
        <v>960</v>
      </c>
      <c r="P27" s="52">
        <f t="shared" si="13"/>
        <v>0</v>
      </c>
      <c r="Q27" s="49">
        <f t="shared" si="11"/>
        <v>-0.23472730942557674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25494391.579633977</v>
      </c>
      <c r="E28" s="39">
        <f t="shared" si="1"/>
        <v>21252602.840624999</v>
      </c>
      <c r="F28" s="40" t="s">
        <v>44</v>
      </c>
      <c r="G28" s="41">
        <v>0.8</v>
      </c>
      <c r="H28" s="42">
        <v>0.9</v>
      </c>
      <c r="I28" s="43">
        <v>0.9</v>
      </c>
      <c r="J28" s="44">
        <f t="shared" si="8"/>
        <v>3.3738444582730419E-2</v>
      </c>
      <c r="K28" s="45">
        <f t="shared" si="9"/>
        <v>2.8125000000000001E-2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0.125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114657206.10365948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0.25528756400932678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15003142.249747338</v>
      </c>
      <c r="E31" s="39">
        <f t="shared" si="1"/>
        <v>12506900.688306563</v>
      </c>
      <c r="F31" s="40" t="s">
        <v>39</v>
      </c>
      <c r="G31" s="41">
        <v>1.4</v>
      </c>
      <c r="H31" s="42">
        <v>1.5469619999999999</v>
      </c>
      <c r="I31" s="43">
        <v>1.540103</v>
      </c>
      <c r="J31" s="44">
        <f t="shared" si="8"/>
        <v>5.7734088574663181E-2</v>
      </c>
      <c r="K31" s="45">
        <f t="shared" si="9"/>
        <v>4.812821875E-2</v>
      </c>
      <c r="L31" s="46">
        <f t="shared" ref="L31:L45" si="14">I31-H31</f>
        <v>-6.8589999999999485E-3</v>
      </c>
      <c r="M31" s="46">
        <f t="shared" ref="M31:M45" si="15">((I31-H31)/H31)*100</f>
        <v>-0.44338516395360378</v>
      </c>
      <c r="N31" s="51">
        <v>9700</v>
      </c>
      <c r="O31" s="37">
        <v>14939</v>
      </c>
      <c r="P31" s="52">
        <f t="shared" ref="P31:P36" si="16">(R31)/J31</f>
        <v>0</v>
      </c>
      <c r="Q31" s="49">
        <f t="shared" ref="Q31:Q45" si="17">I31/G31-1</f>
        <v>0.10007357142857143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4483047.5787042947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3.6737417434528678E-2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132866395.11412211</v>
      </c>
      <c r="E33" s="39">
        <f t="shared" si="1"/>
        <v>110759918.21204057</v>
      </c>
      <c r="F33" s="40" t="s">
        <v>92</v>
      </c>
      <c r="G33" s="41">
        <v>1.44</v>
      </c>
      <c r="H33" s="42">
        <v>1.4202860000000002</v>
      </c>
      <c r="I33" s="43">
        <v>1.4202860000000002</v>
      </c>
      <c r="J33" s="44">
        <f t="shared" si="8"/>
        <v>5.3242489447364288E-2</v>
      </c>
      <c r="K33" s="45">
        <f t="shared" si="9"/>
        <v>4.4383937500000005E-2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-1.3690277777777649E-2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41928563.085025087</v>
      </c>
      <c r="E34" s="39">
        <f t="shared" si="1"/>
        <v>34952436.34823475</v>
      </c>
      <c r="F34" s="40" t="s">
        <v>34</v>
      </c>
      <c r="G34" s="41">
        <v>3.6056249999999999</v>
      </c>
      <c r="H34" s="42">
        <v>3.839604</v>
      </c>
      <c r="I34" s="43">
        <v>4.4122640000000004</v>
      </c>
      <c r="J34" s="44">
        <f t="shared" si="8"/>
        <v>0.16540324938708495</v>
      </c>
      <c r="K34" s="45">
        <f t="shared" si="9"/>
        <v>0.13788325000000001</v>
      </c>
      <c r="L34" s="46">
        <f t="shared" si="14"/>
        <v>0.57266000000000039</v>
      </c>
      <c r="M34" s="46">
        <f t="shared" si="15"/>
        <v>14.914558897219617</v>
      </c>
      <c r="N34" s="51">
        <v>5300</v>
      </c>
      <c r="O34" s="37">
        <v>23385</v>
      </c>
      <c r="P34" s="52">
        <f t="shared" si="16"/>
        <v>0</v>
      </c>
      <c r="Q34" s="49">
        <f t="shared" si="17"/>
        <v>0.22371683133992049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9333907.2772022616</v>
      </c>
      <c r="E35" s="39">
        <f t="shared" si="1"/>
        <v>7780920.1170372507</v>
      </c>
      <c r="F35" s="40" t="s">
        <v>34</v>
      </c>
      <c r="G35" s="41">
        <v>2.5099999999999997E-2</v>
      </c>
      <c r="H35" s="42">
        <v>5.0567000000000001E-2</v>
      </c>
      <c r="I35" s="43">
        <v>5.2807000000000007E-2</v>
      </c>
      <c r="J35" s="44">
        <f t="shared" si="8"/>
        <v>1.9795844923113839E-3</v>
      </c>
      <c r="K35" s="45">
        <f t="shared" si="9"/>
        <v>1.6502187500000002E-3</v>
      </c>
      <c r="L35" s="46">
        <f t="shared" si="14"/>
        <v>2.2400000000000059E-3</v>
      </c>
      <c r="M35" s="46">
        <f t="shared" si="15"/>
        <v>4.4297664484743127</v>
      </c>
      <c r="N35" s="51">
        <v>581100</v>
      </c>
      <c r="O35" s="37">
        <v>30686.36</v>
      </c>
      <c r="P35" s="52">
        <f t="shared" si="16"/>
        <v>0</v>
      </c>
      <c r="Q35" s="49">
        <f t="shared" si="17"/>
        <v>1.10386454183267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69298830.555494055</v>
      </c>
      <c r="E36" s="39">
        <f t="shared" si="1"/>
        <v>57768804.504132755</v>
      </c>
      <c r="F36" s="40" t="s">
        <v>92</v>
      </c>
      <c r="G36" s="41">
        <v>0.61</v>
      </c>
      <c r="H36" s="42">
        <v>3.5205360000000003</v>
      </c>
      <c r="I36" s="43">
        <v>3.5205360000000003</v>
      </c>
      <c r="J36" s="44">
        <f t="shared" si="8"/>
        <v>0.13197489859723047</v>
      </c>
      <c r="K36" s="45">
        <f t="shared" si="9"/>
        <v>0.11001675000000001</v>
      </c>
      <c r="L36" s="46">
        <f t="shared" si="14"/>
        <v>0</v>
      </c>
      <c r="M36" s="46">
        <f t="shared" si="15"/>
        <v>0</v>
      </c>
      <c r="N36" s="51">
        <v>0</v>
      </c>
      <c r="O36" s="37">
        <v>0</v>
      </c>
      <c r="P36" s="52">
        <f t="shared" si="16"/>
        <v>0</v>
      </c>
      <c r="Q36" s="49">
        <f t="shared" si="17"/>
        <v>4.7713704918032791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62900425.53925281</v>
      </c>
      <c r="E37" s="39">
        <f t="shared" si="1"/>
        <v>52434974.112500004</v>
      </c>
      <c r="F37" s="40" t="s">
        <v>56</v>
      </c>
      <c r="G37" s="41">
        <v>0.11650199999999999</v>
      </c>
      <c r="H37" s="42">
        <v>0.39959000000000006</v>
      </c>
      <c r="I37" s="43">
        <v>0.4</v>
      </c>
      <c r="J37" s="44">
        <f t="shared" si="8"/>
        <v>1.4994864258991297E-2</v>
      </c>
      <c r="K37" s="45">
        <f t="shared" si="9"/>
        <v>1.2500000000000001E-2</v>
      </c>
      <c r="L37" s="46">
        <f t="shared" si="14"/>
        <v>4.0999999999996595E-4</v>
      </c>
      <c r="M37" s="46">
        <f t="shared" si="15"/>
        <v>0.10260517029954851</v>
      </c>
      <c r="N37" s="51">
        <v>24400</v>
      </c>
      <c r="O37" s="37">
        <v>9760</v>
      </c>
      <c r="P37" s="52">
        <v>0</v>
      </c>
      <c r="Q37" s="49">
        <f t="shared" si="17"/>
        <v>2.4334174520609091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22523452.99725898</v>
      </c>
      <c r="E38" s="39">
        <f t="shared" si="1"/>
        <v>18775972.733258784</v>
      </c>
      <c r="F38" s="40" t="s">
        <v>39</v>
      </c>
      <c r="G38" s="41">
        <v>0.1</v>
      </c>
      <c r="H38" s="42">
        <v>0.13921900000000001</v>
      </c>
      <c r="I38" s="43">
        <v>0.13921900000000001</v>
      </c>
      <c r="J38" s="44">
        <f t="shared" si="8"/>
        <v>5.2189250181812735E-3</v>
      </c>
      <c r="K38" s="45">
        <f t="shared" si="9"/>
        <v>4.3505937500000003E-3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0.39219000000000004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7982833.6544733439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7.4974321294956486E-2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4692316.6514668725</v>
      </c>
      <c r="E40" s="39">
        <f t="shared" si="1"/>
        <v>3911603.1416000002</v>
      </c>
      <c r="F40" s="40" t="s">
        <v>39</v>
      </c>
      <c r="G40" s="41">
        <v>0.03</v>
      </c>
      <c r="H40" s="42">
        <v>7.0400000000000004E-2</v>
      </c>
      <c r="I40" s="43">
        <v>7.0400000000000004E-2</v>
      </c>
      <c r="J40" s="44">
        <f t="shared" si="8"/>
        <v>2.6390961095824682E-3</v>
      </c>
      <c r="K40" s="45">
        <f t="shared" si="9"/>
        <v>2.2000000000000001E-3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1.3466666666666667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45971798.184121944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0.26241012453234769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312.64583997480867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6.7476889165460834E-7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1554667.5263722178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2.6990755666184336E-3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58617479.361818582</v>
      </c>
      <c r="E44" s="39">
        <f t="shared" si="1"/>
        <v>48864629.873750001</v>
      </c>
      <c r="F44" s="40" t="s">
        <v>47</v>
      </c>
      <c r="G44" s="41">
        <v>0.9998999999999999</v>
      </c>
      <c r="H44" s="42">
        <v>0.75</v>
      </c>
      <c r="I44" s="43">
        <v>0.86</v>
      </c>
      <c r="J44" s="44">
        <f t="shared" si="8"/>
        <v>3.2238958156831289E-2</v>
      </c>
      <c r="K44" s="45">
        <f t="shared" si="9"/>
        <v>2.6875E-2</v>
      </c>
      <c r="L44" s="46">
        <f t="shared" si="14"/>
        <v>0.10999999999999999</v>
      </c>
      <c r="M44" s="46">
        <f t="shared" si="15"/>
        <v>14.666666666666664</v>
      </c>
      <c r="N44" s="51">
        <v>29300</v>
      </c>
      <c r="O44" s="37">
        <v>25198</v>
      </c>
      <c r="P44" s="52">
        <f t="shared" si="18"/>
        <v>0</v>
      </c>
      <c r="Q44" s="49">
        <f t="shared" si="17"/>
        <v>-0.13991399139913985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14535262.784996139</v>
      </c>
      <c r="E45" s="39">
        <f t="shared" si="1"/>
        <v>12116867.59375</v>
      </c>
      <c r="F45" s="40" t="s">
        <v>47</v>
      </c>
      <c r="G45" s="41">
        <v>1.4503460000000001</v>
      </c>
      <c r="H45" s="42">
        <v>3.7749999999999999</v>
      </c>
      <c r="I45" s="43">
        <v>3.7749999999999999</v>
      </c>
      <c r="J45" s="44">
        <f t="shared" si="8"/>
        <v>0.14151403144423036</v>
      </c>
      <c r="K45" s="45">
        <f t="shared" si="9"/>
        <v>0.11796875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1.6028271874435478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1001000</v>
      </c>
      <c r="O47" s="62">
        <f>SUM(O9:O45)</f>
        <v>6983039.1699999999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84661756.413000003</v>
      </c>
      <c r="E50" s="39">
        <v>0</v>
      </c>
      <c r="F50" s="40" t="s">
        <v>92</v>
      </c>
      <c r="G50" s="71">
        <v>0.1</v>
      </c>
      <c r="H50" s="42">
        <v>0.14299999999999999</v>
      </c>
      <c r="I50" s="42">
        <v>0.14949999999999999</v>
      </c>
      <c r="J50" s="44">
        <f t="shared" ref="J50:J65" si="20">I50</f>
        <v>0.14949999999999999</v>
      </c>
      <c r="K50" s="39">
        <v>0</v>
      </c>
      <c r="L50" s="46">
        <f t="shared" ref="L50:L65" si="21">I50-H50</f>
        <v>6.5000000000000058E-3</v>
      </c>
      <c r="M50" s="46">
        <f t="shared" ref="M50:M65" si="22">((I50-H50)/H50)*100</f>
        <v>4.5454545454545494</v>
      </c>
      <c r="N50" s="51">
        <v>60</v>
      </c>
      <c r="O50" s="37">
        <v>8.98</v>
      </c>
      <c r="P50" s="72">
        <f>(R50)/J50</f>
        <v>0</v>
      </c>
      <c r="Q50" s="49">
        <f t="shared" ref="Q50:Q65" si="23">J50/G50-1</f>
        <v>0.49499999999999988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40051966.026000001</v>
      </c>
      <c r="E51" s="39">
        <v>0</v>
      </c>
      <c r="F51" s="40" t="s">
        <v>39</v>
      </c>
      <c r="G51" s="71">
        <v>39.9</v>
      </c>
      <c r="H51" s="42">
        <v>38.9527</v>
      </c>
      <c r="I51" s="42">
        <v>36.021000000000001</v>
      </c>
      <c r="J51" s="44">
        <f t="shared" si="20"/>
        <v>36.021000000000001</v>
      </c>
      <c r="K51" s="39">
        <v>0</v>
      </c>
      <c r="L51" s="46">
        <f t="shared" si="21"/>
        <v>-2.9316999999999993</v>
      </c>
      <c r="M51" s="46">
        <f t="shared" si="22"/>
        <v>-7.5263075473587184</v>
      </c>
      <c r="N51" s="51">
        <v>415</v>
      </c>
      <c r="O51" s="37">
        <v>14948.7</v>
      </c>
      <c r="P51" s="73">
        <f>(R51)/J51</f>
        <v>1.5546486771605453E-2</v>
      </c>
      <c r="Q51" s="49">
        <f t="shared" si="23"/>
        <v>-9.721804511278187E-2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683110859.24489999</v>
      </c>
      <c r="E52" s="39"/>
      <c r="F52" s="40" t="s">
        <v>56</v>
      </c>
      <c r="G52" s="71">
        <v>0.33</v>
      </c>
      <c r="H52" s="42">
        <v>0.22889999999999999</v>
      </c>
      <c r="I52" s="42">
        <v>0.2283</v>
      </c>
      <c r="J52" s="44">
        <f t="shared" si="20"/>
        <v>0.2283</v>
      </c>
      <c r="K52" s="39">
        <v>0</v>
      </c>
      <c r="L52" s="46">
        <f t="shared" si="21"/>
        <v>-5.9999999999998943E-4</v>
      </c>
      <c r="M52" s="46">
        <f t="shared" si="22"/>
        <v>-0.26212319790300981</v>
      </c>
      <c r="N52" s="51">
        <v>14451</v>
      </c>
      <c r="O52" s="37">
        <v>3299.03</v>
      </c>
      <c r="P52" s="72">
        <v>0</v>
      </c>
      <c r="Q52" s="49">
        <f t="shared" si="23"/>
        <v>-0.30818181818181822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14999627.197800001</v>
      </c>
      <c r="E53" s="39">
        <v>0</v>
      </c>
      <c r="F53" s="40" t="s">
        <v>34</v>
      </c>
      <c r="G53" s="71">
        <v>2.3E-2</v>
      </c>
      <c r="H53" s="42">
        <v>2.3900000000000001E-2</v>
      </c>
      <c r="I53" s="42">
        <v>2.46E-2</v>
      </c>
      <c r="J53" s="44">
        <f t="shared" si="20"/>
        <v>2.46E-2</v>
      </c>
      <c r="K53" s="39">
        <v>0</v>
      </c>
      <c r="L53" s="46">
        <f t="shared" si="21"/>
        <v>6.9999999999999923E-4</v>
      </c>
      <c r="M53" s="46">
        <f t="shared" si="22"/>
        <v>2.9288702928870256</v>
      </c>
      <c r="N53" s="51">
        <v>1350</v>
      </c>
      <c r="O53" s="37">
        <v>33.18</v>
      </c>
      <c r="P53" s="72">
        <f t="shared" ref="P53:P65" si="24">(R53)/J53</f>
        <v>0</v>
      </c>
      <c r="Q53" s="49">
        <f t="shared" si="23"/>
        <v>6.956521739130439E-2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366576959.9655</v>
      </c>
      <c r="E54" s="39">
        <v>0</v>
      </c>
      <c r="F54" s="40" t="s">
        <v>47</v>
      </c>
      <c r="G54" s="71">
        <v>9.0200000000000002E-2</v>
      </c>
      <c r="H54" s="42">
        <v>0.1794</v>
      </c>
      <c r="I54" s="42">
        <v>0.16950000000000001</v>
      </c>
      <c r="J54" s="44">
        <f t="shared" si="20"/>
        <v>0.16950000000000001</v>
      </c>
      <c r="K54" s="39">
        <v>0</v>
      </c>
      <c r="L54" s="46">
        <f t="shared" si="21"/>
        <v>-9.8999999999999921E-3</v>
      </c>
      <c r="M54" s="74">
        <f t="shared" si="22"/>
        <v>-5.5183946488294273</v>
      </c>
      <c r="N54" s="51">
        <v>5875</v>
      </c>
      <c r="O54" s="37">
        <v>995.76</v>
      </c>
      <c r="P54" s="72">
        <f t="shared" si="24"/>
        <v>0</v>
      </c>
      <c r="Q54" s="49">
        <f t="shared" si="23"/>
        <v>0.87915742793791574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859109485.46500003</v>
      </c>
      <c r="E55" s="39">
        <v>0</v>
      </c>
      <c r="F55" s="40" t="s">
        <v>34</v>
      </c>
      <c r="G55" s="71">
        <v>0.95750000000000002</v>
      </c>
      <c r="H55" s="42">
        <v>1.4991000000000001</v>
      </c>
      <c r="I55" s="42">
        <v>1.4917</v>
      </c>
      <c r="J55" s="44">
        <f t="shared" si="20"/>
        <v>1.4917</v>
      </c>
      <c r="K55" s="39">
        <v>0</v>
      </c>
      <c r="L55" s="46">
        <f t="shared" si="21"/>
        <v>-7.4000000000000732E-3</v>
      </c>
      <c r="M55" s="46">
        <f t="shared" si="22"/>
        <v>-0.49362951103996222</v>
      </c>
      <c r="N55" s="51">
        <v>8530</v>
      </c>
      <c r="O55" s="37">
        <v>12723.84</v>
      </c>
      <c r="P55" s="73">
        <f t="shared" si="24"/>
        <v>3.150767580612724E-2</v>
      </c>
      <c r="Q55" s="49">
        <f t="shared" si="23"/>
        <v>0.55791122715404695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0.13020000000000001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1.9799999999999984E-2</v>
      </c>
      <c r="M56" s="46">
        <f t="shared" si="22"/>
        <v>15.207373271889388</v>
      </c>
      <c r="N56" s="51">
        <v>30</v>
      </c>
      <c r="O56" s="37">
        <v>4.5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24627223.150000002</v>
      </c>
      <c r="E57" s="39">
        <v>0</v>
      </c>
      <c r="F57" s="40" t="s">
        <v>92</v>
      </c>
      <c r="G57" s="71">
        <v>1.6799999999999999E-2</v>
      </c>
      <c r="H57" s="42">
        <v>2.5899999999999999E-2</v>
      </c>
      <c r="I57" s="42">
        <v>2.5000000000000001E-2</v>
      </c>
      <c r="J57" s="44">
        <f t="shared" si="20"/>
        <v>2.5000000000000001E-2</v>
      </c>
      <c r="K57" s="39">
        <v>0</v>
      </c>
      <c r="L57" s="46">
        <f t="shared" si="21"/>
        <v>-8.9999999999999802E-4</v>
      </c>
      <c r="M57" s="74">
        <f t="shared" si="22"/>
        <v>-3.4749034749034671</v>
      </c>
      <c r="N57" s="51">
        <v>50242</v>
      </c>
      <c r="O57" s="37">
        <v>1256.05</v>
      </c>
      <c r="P57" s="72">
        <f t="shared" si="24"/>
        <v>0</v>
      </c>
      <c r="Q57" s="49">
        <f t="shared" si="23"/>
        <v>0.48809523809523836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4046434337.9875998</v>
      </c>
      <c r="E59" s="39">
        <v>0</v>
      </c>
      <c r="F59" s="40" t="s">
        <v>47</v>
      </c>
      <c r="G59" s="71">
        <v>0.78169999999999995</v>
      </c>
      <c r="H59" s="52">
        <v>0.90339999999999998</v>
      </c>
      <c r="I59" s="42">
        <v>0.89959999999999996</v>
      </c>
      <c r="J59" s="44">
        <f t="shared" si="20"/>
        <v>0.89959999999999996</v>
      </c>
      <c r="K59" s="39">
        <v>0</v>
      </c>
      <c r="L59" s="46">
        <f t="shared" si="21"/>
        <v>-3.8000000000000256E-3</v>
      </c>
      <c r="M59" s="46">
        <f t="shared" si="22"/>
        <v>-0.42063316360416486</v>
      </c>
      <c r="N59" s="75">
        <v>8223</v>
      </c>
      <c r="O59" s="76">
        <v>7397.33</v>
      </c>
      <c r="P59" s="72">
        <f t="shared" si="24"/>
        <v>0</v>
      </c>
      <c r="Q59" s="49">
        <f t="shared" si="23"/>
        <v>0.15082512472815668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1058291397.8395</v>
      </c>
      <c r="E60" s="39">
        <v>0</v>
      </c>
      <c r="F60" s="40" t="s">
        <v>92</v>
      </c>
      <c r="G60" s="71">
        <v>0.59499999999999997</v>
      </c>
      <c r="H60" s="42">
        <v>1.3557999999999999</v>
      </c>
      <c r="I60" s="42">
        <v>1.3145</v>
      </c>
      <c r="J60" s="44">
        <f t="shared" si="20"/>
        <v>1.3145</v>
      </c>
      <c r="K60" s="39">
        <v>0</v>
      </c>
      <c r="L60" s="46">
        <f t="shared" si="21"/>
        <v>-4.1299999999999892E-2</v>
      </c>
      <c r="M60" s="46">
        <f t="shared" si="22"/>
        <v>-3.0461720017701652</v>
      </c>
      <c r="N60" s="51">
        <v>98915</v>
      </c>
      <c r="O60" s="37">
        <v>130025.11</v>
      </c>
      <c r="P60" s="72">
        <f t="shared" si="24"/>
        <v>0</v>
      </c>
      <c r="Q60" s="49">
        <f t="shared" si="23"/>
        <v>1.2092436974789917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114036530.1732</v>
      </c>
      <c r="E61" s="39">
        <v>0</v>
      </c>
      <c r="F61" s="40" t="s">
        <v>34</v>
      </c>
      <c r="G61" s="71">
        <v>0.22600000000000001</v>
      </c>
      <c r="H61" s="42">
        <v>0.41299999999999998</v>
      </c>
      <c r="I61" s="42">
        <v>0.43740000000000001</v>
      </c>
      <c r="J61" s="44">
        <f t="shared" si="20"/>
        <v>0.43740000000000001</v>
      </c>
      <c r="K61" s="39">
        <v>0</v>
      </c>
      <c r="L61" s="46">
        <f t="shared" si="21"/>
        <v>2.4400000000000033E-2</v>
      </c>
      <c r="M61" s="46">
        <f t="shared" si="22"/>
        <v>5.9079903147699842</v>
      </c>
      <c r="N61" s="51">
        <v>556</v>
      </c>
      <c r="O61" s="37">
        <v>243.21</v>
      </c>
      <c r="P61" s="72">
        <f t="shared" si="24"/>
        <v>0</v>
      </c>
      <c r="Q61" s="49">
        <f t="shared" si="23"/>
        <v>0.93539823008849554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410170021.32480001</v>
      </c>
      <c r="E62" s="39">
        <v>0</v>
      </c>
      <c r="F62" s="40" t="s">
        <v>34</v>
      </c>
      <c r="G62" s="71">
        <v>0.49440000000000001</v>
      </c>
      <c r="H62" s="42">
        <v>0.72940000000000005</v>
      </c>
      <c r="I62" s="42">
        <v>0.72960000000000003</v>
      </c>
      <c r="J62" s="44">
        <f t="shared" si="20"/>
        <v>0.72960000000000003</v>
      </c>
      <c r="K62" s="39">
        <v>0</v>
      </c>
      <c r="L62" s="46">
        <f t="shared" si="21"/>
        <v>1.9999999999997797E-4</v>
      </c>
      <c r="M62" s="46">
        <f t="shared" si="22"/>
        <v>2.7419797093498486E-2</v>
      </c>
      <c r="N62" s="51">
        <v>640</v>
      </c>
      <c r="O62" s="37">
        <v>466.92</v>
      </c>
      <c r="P62" s="72">
        <f t="shared" si="24"/>
        <v>0</v>
      </c>
      <c r="Q62" s="49">
        <f t="shared" si="23"/>
        <v>0.47572815533980584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0</v>
      </c>
      <c r="M63" s="46">
        <f t="shared" si="22"/>
        <v>0</v>
      </c>
      <c r="N63" s="51">
        <v>20853</v>
      </c>
      <c r="O63" s="37">
        <v>5213.25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41935445.146200001</v>
      </c>
      <c r="E65" s="39">
        <v>0</v>
      </c>
      <c r="F65" s="40" t="s">
        <v>44</v>
      </c>
      <c r="G65" s="71">
        <v>4.2999999999999997E-2</v>
      </c>
      <c r="H65" s="42">
        <v>0.113</v>
      </c>
      <c r="I65" s="42">
        <v>0.1217</v>
      </c>
      <c r="J65" s="44">
        <f t="shared" si="20"/>
        <v>0.1217</v>
      </c>
      <c r="K65" s="39">
        <v>0</v>
      </c>
      <c r="L65" s="46">
        <f t="shared" si="21"/>
        <v>8.6999999999999994E-3</v>
      </c>
      <c r="M65" s="46">
        <f t="shared" si="22"/>
        <v>7.6991150442477867</v>
      </c>
      <c r="N65" s="51">
        <v>30517</v>
      </c>
      <c r="O65" s="37">
        <v>3715.19</v>
      </c>
      <c r="P65" s="72">
        <f t="shared" si="24"/>
        <v>0</v>
      </c>
      <c r="Q65" s="49">
        <f t="shared" si="23"/>
        <v>1.8302325581395351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240657</v>
      </c>
      <c r="O66" s="63">
        <f>SUM(O50:O65)</f>
        <v>180331.05000000002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45620942.2425</v>
      </c>
      <c r="E71" s="39">
        <f>C71*K71</f>
        <v>45620942.2425</v>
      </c>
      <c r="F71" s="92" t="s">
        <v>159</v>
      </c>
      <c r="G71" s="92">
        <v>0.24</v>
      </c>
      <c r="H71" s="93">
        <v>0.32819999999999999</v>
      </c>
      <c r="I71" s="93">
        <v>0.32750000000000001</v>
      </c>
      <c r="J71" s="94">
        <f>I71</f>
        <v>0.32750000000000001</v>
      </c>
      <c r="K71" s="94">
        <f>J71</f>
        <v>0.32750000000000001</v>
      </c>
      <c r="L71" s="46">
        <f>I71-H71</f>
        <v>-6.9999999999997842E-4</v>
      </c>
      <c r="M71" s="46">
        <f>((I71-H71)/H71)*100</f>
        <v>-0.21328458257159613</v>
      </c>
      <c r="N71" s="95">
        <v>450173</v>
      </c>
      <c r="O71" s="96">
        <v>147431.74</v>
      </c>
      <c r="P71" s="72">
        <f>(R71)/J71</f>
        <v>0</v>
      </c>
      <c r="Q71" s="49">
        <f>J71/G71-1</f>
        <v>0.36458333333333348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79544582.425000012</v>
      </c>
      <c r="E72" s="39">
        <f>C72*K72</f>
        <v>79544582.425000012</v>
      </c>
      <c r="F72" s="92" t="s">
        <v>159</v>
      </c>
      <c r="G72" s="92">
        <v>0.1</v>
      </c>
      <c r="H72" s="93">
        <v>0.158</v>
      </c>
      <c r="I72" s="93">
        <v>0.14710000000000001</v>
      </c>
      <c r="J72" s="94">
        <f>I72</f>
        <v>0.14710000000000001</v>
      </c>
      <c r="K72" s="94">
        <f>J72</f>
        <v>0.14710000000000001</v>
      </c>
      <c r="L72" s="46">
        <f>I72-H72</f>
        <v>-1.0899999999999993E-2</v>
      </c>
      <c r="M72" s="46">
        <f>((I72-H72)/H72)*100</f>
        <v>-6.8987341772151849</v>
      </c>
      <c r="N72" s="51">
        <v>2429</v>
      </c>
      <c r="O72" s="96">
        <v>357.4</v>
      </c>
      <c r="P72" s="97">
        <f>(R72)/J72</f>
        <v>2.5778382053025149E-2</v>
      </c>
      <c r="Q72" s="49">
        <f>J72/G72-1</f>
        <v>0.47100000000000009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452602</v>
      </c>
      <c r="O73" s="63">
        <f>SUM(O71:O72)</f>
        <v>147789.13999999998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7786245.6612</v>
      </c>
      <c r="E75" s="39">
        <f>C75*K75</f>
        <v>7786245.6612</v>
      </c>
      <c r="F75" s="92" t="s">
        <v>137</v>
      </c>
      <c r="G75" s="92">
        <v>0.1394</v>
      </c>
      <c r="H75" s="93">
        <v>0.1208</v>
      </c>
      <c r="I75" s="93">
        <v>0.1212</v>
      </c>
      <c r="J75" s="94">
        <f>I75</f>
        <v>0.1212</v>
      </c>
      <c r="K75" s="94">
        <f>J75</f>
        <v>0.1212</v>
      </c>
      <c r="L75" s="46">
        <f>I75-H75</f>
        <v>3.9999999999999758E-4</v>
      </c>
      <c r="M75" s="46">
        <f>((I75-H75)/H75)*100</f>
        <v>0.33112582781456756</v>
      </c>
      <c r="N75" s="95">
        <v>571</v>
      </c>
      <c r="O75" s="96">
        <v>69.23</v>
      </c>
      <c r="P75" s="72">
        <f>(R75)/J75</f>
        <v>0</v>
      </c>
      <c r="Q75" s="49">
        <f>J75/G75-1</f>
        <v>-0.13055954088952648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160442.6350849834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5.0607666874095628E-3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433867.94098021433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3.1864086550356507E-3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1467305.1619820211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4.4984592776973883E-3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425567.37192511564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6.3728173100713006E-2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0</v>
      </c>
      <c r="O82" s="63">
        <f>SUM(O78:O81)</f>
        <v>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29444504.582055643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7.9941370080747337E-2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318</v>
      </c>
      <c r="O84" s="109">
        <v>678.13499999999999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84842613.943349421</v>
      </c>
      <c r="E85" s="39">
        <f>C85*K85</f>
        <v>70726393.782187507</v>
      </c>
      <c r="F85" s="40" t="s">
        <v>177</v>
      </c>
      <c r="G85" s="40">
        <v>1.44347</v>
      </c>
      <c r="H85" s="42">
        <v>1.083364</v>
      </c>
      <c r="I85" s="42">
        <v>1.2292860000000001</v>
      </c>
      <c r="J85" s="44">
        <f>I85/$J$5</f>
        <v>4.6082441763695942E-2</v>
      </c>
      <c r="K85" s="45">
        <f>I85/$K$4</f>
        <v>3.8415187500000003E-2</v>
      </c>
      <c r="L85" s="46">
        <f>I85-H85</f>
        <v>0.14592200000000011</v>
      </c>
      <c r="M85" s="46">
        <f>((I85-H85)/H85*100)</f>
        <v>13.469341790940081</v>
      </c>
      <c r="N85" s="109">
        <v>2446331</v>
      </c>
      <c r="O85" s="109">
        <v>3007243.0239999997</v>
      </c>
      <c r="P85" s="48">
        <f>(R85)/J85</f>
        <v>4.7219720065143501E-2</v>
      </c>
      <c r="Q85" s="49">
        <f>I85/G85-1</f>
        <v>-0.14838133109797913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93</v>
      </c>
      <c r="B89" s="117">
        <v>4.4122640000000004</v>
      </c>
      <c r="D89" s="117">
        <v>14.914558897219617</v>
      </c>
      <c r="E89" s="35" t="s">
        <v>70</v>
      </c>
      <c r="F89" s="118">
        <v>9.2672729999999994</v>
      </c>
      <c r="H89" s="119">
        <v>-13.386734083517149</v>
      </c>
      <c r="J89" s="35" t="s">
        <v>131</v>
      </c>
      <c r="K89" s="52">
        <v>0.15</v>
      </c>
      <c r="L89" s="120">
        <v>15.207373271889388</v>
      </c>
      <c r="M89" s="60" t="s">
        <v>121</v>
      </c>
      <c r="N89" s="118">
        <v>36.021000000000001</v>
      </c>
      <c r="O89" s="119">
        <v>-7.5263075473587184</v>
      </c>
      <c r="Q89" s="16"/>
    </row>
    <row r="90" spans="1:243" ht="15" customHeight="1" x14ac:dyDescent="0.25">
      <c r="A90" s="35" t="s">
        <v>113</v>
      </c>
      <c r="B90" s="117">
        <v>0.86</v>
      </c>
      <c r="D90" s="117">
        <v>14.666666666666664</v>
      </c>
      <c r="E90" s="35" t="s">
        <v>73</v>
      </c>
      <c r="F90" s="118">
        <v>1.6511760000000002</v>
      </c>
      <c r="H90" s="119">
        <v>-1.1271856287424988</v>
      </c>
      <c r="J90" s="35" t="s">
        <v>142</v>
      </c>
      <c r="K90" s="52">
        <v>0.43740000000000001</v>
      </c>
      <c r="L90" s="120">
        <v>5.9079903147699842</v>
      </c>
      <c r="M90" s="35" t="s">
        <v>127</v>
      </c>
      <c r="N90" s="118">
        <v>0.16950000000000001</v>
      </c>
      <c r="O90" s="119">
        <v>-5.5183946488294273</v>
      </c>
      <c r="Q90" s="16"/>
    </row>
    <row r="91" spans="1:243" ht="15" customHeight="1" x14ac:dyDescent="0.25">
      <c r="A91" s="35" t="s">
        <v>75</v>
      </c>
      <c r="B91" s="117">
        <v>2.6</v>
      </c>
      <c r="C91" s="117"/>
      <c r="D91" s="117">
        <v>13.043478260869579</v>
      </c>
      <c r="E91" s="35" t="s">
        <v>86</v>
      </c>
      <c r="F91" s="118">
        <v>1.540103</v>
      </c>
      <c r="H91" s="119">
        <v>-0.44338516395360378</v>
      </c>
      <c r="J91" s="35" t="s">
        <v>119</v>
      </c>
      <c r="K91" s="52">
        <v>0.14949999999999999</v>
      </c>
      <c r="L91" s="120">
        <v>4.5454545454545494</v>
      </c>
      <c r="M91" s="35" t="s">
        <v>133</v>
      </c>
      <c r="N91" s="118">
        <v>2.5000000000000001E-2</v>
      </c>
      <c r="O91" s="119">
        <v>-3.4749034749034671</v>
      </c>
      <c r="Q91" s="16"/>
    </row>
    <row r="92" spans="1:243" ht="15" customHeight="1" x14ac:dyDescent="0.25">
      <c r="A92" s="35" t="s">
        <v>95</v>
      </c>
      <c r="B92" s="117">
        <v>5.2807000000000007E-2</v>
      </c>
      <c r="C92" s="117"/>
      <c r="D92" s="117">
        <v>4.4297664484743127</v>
      </c>
      <c r="E92" s="35" t="s">
        <v>77</v>
      </c>
      <c r="F92" s="118">
        <v>2.4</v>
      </c>
      <c r="H92" s="119">
        <v>-0.4149377593361091</v>
      </c>
      <c r="J92" s="35" t="s">
        <v>125</v>
      </c>
      <c r="K92" s="52">
        <v>2.46E-2</v>
      </c>
      <c r="L92" s="120">
        <v>2.9288702928870256</v>
      </c>
      <c r="M92" s="35" t="s">
        <v>140</v>
      </c>
      <c r="N92" s="118">
        <v>1.3145</v>
      </c>
      <c r="O92" s="119">
        <v>-3.0461720017701652</v>
      </c>
      <c r="Q92" s="16"/>
    </row>
    <row r="93" spans="1:243" ht="15" customHeight="1" x14ac:dyDescent="0.25">
      <c r="A93" s="35" t="s">
        <v>35</v>
      </c>
      <c r="B93" s="117">
        <v>5.0210999999999999E-2</v>
      </c>
      <c r="C93" s="117"/>
      <c r="D93" s="117">
        <v>3.8232496588230505</v>
      </c>
      <c r="E93" s="35" t="s">
        <v>50</v>
      </c>
      <c r="F93" s="118">
        <v>5.99</v>
      </c>
      <c r="G93" s="118"/>
      <c r="H93" s="119">
        <v>-7.6652384356243025E-2</v>
      </c>
      <c r="J93" s="35" t="s">
        <v>144</v>
      </c>
      <c r="K93" s="52">
        <v>0.72960000000000003</v>
      </c>
      <c r="L93" s="120">
        <v>2.7419797093498486E-2</v>
      </c>
      <c r="M93" s="35" t="s">
        <v>129</v>
      </c>
      <c r="N93" s="118">
        <v>1.4917</v>
      </c>
      <c r="O93" s="119">
        <v>-0.49362951103996222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kw2gBflMcF+MSOsyUlB3gP8920n2LXRJbOMxUUaHOdcJFVSpAqZ0hxrR9htRz2ylvscINPv3Jhfguez+IgCH0w==" saltValue="m77Xbgfp+3yBETef7H0KFg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2026-09-10T13:36:04Z</dcterms:created>
  <dcterms:modified xsi:type="dcterms:W3CDTF">2026-09-10T13:38:46Z</dcterms:modified>
</cp:coreProperties>
</file>