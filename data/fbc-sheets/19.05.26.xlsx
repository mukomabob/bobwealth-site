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9.05.26/"/>
    </mc:Choice>
  </mc:AlternateContent>
  <xr:revisionPtr revIDLastSave="10" documentId="8_{C9CA807E-A118-4C65-BF6F-4AC990E5D278}" xr6:coauthVersionLast="47" xr6:coauthVersionMax="47" xr10:uidLastSave="{9C9CB5CE-2E69-41CA-BB3D-B6CAD935AD7E}"/>
  <bookViews>
    <workbookView xWindow="-108" yWindow="-108" windowWidth="23256" windowHeight="12456" xr2:uid="{25488818-1C2A-4A05-99ED-C31C490991E6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D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D77" i="1" s="1"/>
  <c r="E77" i="1"/>
  <c r="Q74" i="1"/>
  <c r="M74" i="1"/>
  <c r="L74" i="1"/>
  <c r="K74" i="1"/>
  <c r="J74" i="1"/>
  <c r="P74" i="1" s="1"/>
  <c r="E74" i="1"/>
  <c r="D74" i="1"/>
  <c r="O72" i="1"/>
  <c r="N72" i="1"/>
  <c r="Q71" i="1"/>
  <c r="P71" i="1"/>
  <c r="M71" i="1"/>
  <c r="L71" i="1"/>
  <c r="J71" i="1"/>
  <c r="K71" i="1" s="1"/>
  <c r="E71" i="1" s="1"/>
  <c r="D71" i="1"/>
  <c r="M70" i="1"/>
  <c r="L70" i="1"/>
  <c r="K70" i="1"/>
  <c r="E70" i="1" s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Q51" i="1"/>
  <c r="M51" i="1"/>
  <c r="L51" i="1"/>
  <c r="J51" i="1"/>
  <c r="P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P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Q41" i="1"/>
  <c r="P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P39" i="1"/>
  <c r="M39" i="1"/>
  <c r="L39" i="1"/>
  <c r="K39" i="1"/>
  <c r="J39" i="1"/>
  <c r="E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P36" i="1"/>
  <c r="M36" i="1"/>
  <c r="L36" i="1"/>
  <c r="K36" i="1"/>
  <c r="J36" i="1"/>
  <c r="E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P33" i="1"/>
  <c r="M33" i="1"/>
  <c r="L33" i="1"/>
  <c r="K33" i="1"/>
  <c r="J33" i="1"/>
  <c r="E33" i="1"/>
  <c r="D33" i="1"/>
  <c r="Q32" i="1"/>
  <c r="M32" i="1"/>
  <c r="L32" i="1"/>
  <c r="K32" i="1"/>
  <c r="E32" i="1" s="1"/>
  <c r="J32" i="1"/>
  <c r="D32" i="1" s="1"/>
  <c r="K31" i="1"/>
  <c r="J31" i="1"/>
  <c r="E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Q24" i="1"/>
  <c r="P24" i="1"/>
  <c r="M24" i="1"/>
  <c r="L24" i="1"/>
  <c r="K24" i="1"/>
  <c r="J24" i="1"/>
  <c r="E24" i="1"/>
  <c r="D24" i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P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P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P9" i="1" s="1"/>
  <c r="E9" i="1"/>
  <c r="D9" i="1" l="1"/>
  <c r="D12" i="1"/>
  <c r="D15" i="1"/>
  <c r="D52" i="1"/>
  <c r="P54" i="1"/>
  <c r="P56" i="1"/>
  <c r="P58" i="1"/>
  <c r="P60" i="1"/>
  <c r="P62" i="1"/>
  <c r="P64" i="1"/>
  <c r="P20" i="1"/>
  <c r="P23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D53" i="1"/>
  <c r="P55" i="1"/>
  <c r="P57" i="1"/>
  <c r="P59" i="1"/>
  <c r="P61" i="1"/>
  <c r="P63" i="1"/>
</calcChain>
</file>

<file path=xl/sharedStrings.xml><?xml version="1.0" encoding="utf-8"?>
<sst xmlns="http://schemas.openxmlformats.org/spreadsheetml/2006/main" count="263" uniqueCount="182">
  <si>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</si>
  <si>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</si>
  <si>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</si>
  <si>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</si>
  <si>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</si>
  <si>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</si>
  <si>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</si>
  <si>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</si>
  <si>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</si>
  <si>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</si>
  <si>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</si>
  <si>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</si>
  <si>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</si>
  <si>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</si>
  <si>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</si>
  <si>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</si>
  <si>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</si>
  <si>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</si>
  <si>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</si>
  <si>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</si>
  <si>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</si>
  <si>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</si>
  <si>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</si>
  <si>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</si>
  <si>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</si>
  <si>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</si>
  <si>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</si>
  <si>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</si>
  <si>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</si>
  <si>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</si>
  <si>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</si>
  <si>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</si>
  <si>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</si>
  <si>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</si>
  <si>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</si>
  <si>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</si>
  <si>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</si>
  <si>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</si>
  <si>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</si>
  <si>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</si>
  <si>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</si>
  <si>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</si>
  <si>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</si>
  <si>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</si>
  <si>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</si>
  <si>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</si>
  <si>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</si>
  <si>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</si>
  <si>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</si>
  <si>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</si>
  <si>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</si>
  <si>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</si>
  <si>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</si>
  <si>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</si>
  <si>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</si>
  <si>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</si>
  <si>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</si>
  <si>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</si>
  <si>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</si>
  <si>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</si>
  <si>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</si>
  <si>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</si>
  <si>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</si>
  <si>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</si>
  <si>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</si>
  <si>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</si>
  <si>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</si>
  <si>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</si>
  <si>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</si>
  <si>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</si>
  <si>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</si>
  <si>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</si>
  <si>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</si>
  <si>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</si>
  <si>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</si>
  <si>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</si>
  <si>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</si>
  <si>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</si>
  <si>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</si>
  <si>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</si>
  <si>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</si>
  <si>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</si>
  <si>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</si>
  <si>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</si>
  <si>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</si>
  <si>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</si>
  <si>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</si>
  <si>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</si>
  <si>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</si>
  <si>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</si>
  <si>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</si>
  <si>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</si>
  <si>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</si>
  <si>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</si>
  <si>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</si>
  <si>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</si>
  <si>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</si>
  <si>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</si>
  <si>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</si>
  <si>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</si>
  <si>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</si>
  <si>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</si>
  <si>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</si>
  <si>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</si>
  <si>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</si>
  <si>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</si>
  <si>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</si>
  <si>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</si>
  <si>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</si>
  <si>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</si>
  <si>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</si>
  <si>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</si>
  <si>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</si>
  <si>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</si>
  <si>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</si>
  <si>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</si>
  <si>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</si>
  <si>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</si>
  <si>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</si>
  <si>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</si>
  <si>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</si>
  <si>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</si>
  <si>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</si>
  <si>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</si>
  <si>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</si>
  <si>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</si>
  <si>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</si>
  <si>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</si>
  <si>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</si>
  <si>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</si>
  <si>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</si>
  <si>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</si>
  <si>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</si>
  <si>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</si>
  <si>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</si>
  <si>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</si>
  <si>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</si>
  <si>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</si>
  <si>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</si>
  <si>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</si>
  <si>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</si>
  <si>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</si>
  <si>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</si>
  <si>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</si>
  <si>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</si>
  <si>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</si>
  <si>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</si>
  <si>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</si>
  <si>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</si>
  <si>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</si>
  <si>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</si>
  <si>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</si>
  <si>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</si>
  <si>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</si>
  <si>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</si>
  <si>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</si>
  <si>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</si>
  <si>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</si>
  <si>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</si>
  <si>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</si>
  <si>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</si>
  <si>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</si>
  <si>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</si>
  <si>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</si>
  <si>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</si>
  <si>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</si>
  <si>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</si>
  <si>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</si>
  <si>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</si>
  <si>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</si>
  <si>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</si>
  <si>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</si>
  <si>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</si>
  <si>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</si>
  <si>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</si>
  <si>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</si>
  <si>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</si>
  <si>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</si>
  <si>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 xml:space="preserve">ZSE Top Gainers		</t>
  </si>
  <si>
    <t xml:space="preserve">ZSE Top Losers		</t>
  </si>
  <si>
    <t xml:space="preserve">VFEX Top Gainers		</t>
  </si>
  <si>
    <t xml:space="preserve">VFEX Top Losers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</si>
</sst>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67ED350B-3A5E-4579-8880-988102EB4497}"/>
    <cellStyle name="Comma 5 2 2 2 2 2 2 2 2" xfId="4" xr:uid="{25BEE227-E9B6-4C56-B96A-359F98D022C8}"/>
    <cellStyle name="Comma 6 2 2 2" xfId="5" xr:uid="{46018262-86D3-4AA7-B933-DF06CF7B1D1A}"/>
    <cellStyle name="Hyperlink 2" xfId="8" xr:uid="{1704A764-F255-43B2-8E2F-DEDAB501976E}"/>
    <cellStyle name="Normal" xfId="0" builtinId="0"/>
    <cellStyle name="Normal 2" xfId="2" xr:uid="{F78EA965-7D7F-4DBE-84D3-E487ABA862AA}"/>
    <cellStyle name="Normal 20" xfId="7" xr:uid="{63FD3938-0E3F-4E14-9321-29E857B5A959}"/>
    <cellStyle name="Percent" xfId="1" builtinId="5"/>
    <cellStyle name="Percent 3" xfId="6" xr:uid="{F604DDA5-C296-4756-B1A9-999FB2310880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CA2FB59-2A90-479A-BB6C-0A56889E7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48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0D56BF74-4387-4AB0-A841-0C826E514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0957-6642-4475-AA45-351849B5B26E}">
  <dimension ref="A1:II106"/>
  <sheetViews>
    <sheetView tabSelected="1" zoomScale="70" zoomScaleNormal="70" workbookViewId="0">
      <selection activeCell="J17" sqref="J1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26.082000000000001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 t="shared" ref="D9:D29" si="0">C9*J9</f>
        <v>75570099.386550114</v>
      </c>
      <c r="E9" s="39">
        <f t="shared" ref="E9:E29" si="1"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0.60578176520205507</v>
      </c>
      <c r="K9" s="44">
        <f t="shared" ref="K9:K17" si="2">I9/$K$4</f>
        <v>0.52666666666666673</v>
      </c>
      <c r="L9" s="45">
        <f t="shared" ref="L9:L17" si="3">I9-H9</f>
        <v>0</v>
      </c>
      <c r="M9" s="45">
        <f t="shared" ref="M9:M17" si="4">((I9-H9)/H9)*100</f>
        <v>0</v>
      </c>
      <c r="N9" s="46">
        <v>0</v>
      </c>
      <c r="O9" s="37">
        <v>0</v>
      </c>
      <c r="P9" s="47">
        <f t="shared" ref="P9:P17" si="5">(R9)/J9</f>
        <v>2.4761392405063289E-2</v>
      </c>
      <c r="Q9" s="48">
        <f t="shared" ref="Q9:Q17" si="6"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3743721.1755233491</v>
      </c>
      <c r="E10" s="39">
        <f t="shared" si="1"/>
        <v>3254791.19</v>
      </c>
      <c r="F10" s="40" t="s">
        <v>34</v>
      </c>
      <c r="G10" s="41">
        <v>3.1600000000000003E-2</v>
      </c>
      <c r="H10" s="42">
        <v>6.8453E-2</v>
      </c>
      <c r="I10" s="42">
        <v>0.06</v>
      </c>
      <c r="J10" s="43">
        <f t="shared" ref="J10:J17" si="7">I10/$J$5</f>
        <v>2.3004370830457784E-3</v>
      </c>
      <c r="K10" s="44">
        <f t="shared" si="2"/>
        <v>2E-3</v>
      </c>
      <c r="L10" s="45">
        <f t="shared" si="3"/>
        <v>-8.4530000000000022E-3</v>
      </c>
      <c r="M10" s="45">
        <f t="shared" si="4"/>
        <v>-12.348618760317301</v>
      </c>
      <c r="N10" s="46">
        <v>900</v>
      </c>
      <c r="O10" s="37">
        <v>54</v>
      </c>
      <c r="P10" s="50">
        <f t="shared" si="5"/>
        <v>0</v>
      </c>
      <c r="Q10" s="48">
        <f t="shared" si="6"/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3685876.0440150294</v>
      </c>
      <c r="E11" s="39">
        <f t="shared" si="1"/>
        <v>3204500.6326666665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 t="shared" si="7"/>
        <v>8.4349359711678555E-3</v>
      </c>
      <c r="K11" s="44">
        <f t="shared" si="2"/>
        <v>7.3333333333333332E-3</v>
      </c>
      <c r="L11" s="45">
        <f t="shared" si="3"/>
        <v>0</v>
      </c>
      <c r="M11" s="45">
        <f t="shared" si="4"/>
        <v>0</v>
      </c>
      <c r="N11" s="46">
        <v>300</v>
      </c>
      <c r="O11" s="37">
        <v>66</v>
      </c>
      <c r="P11" s="50">
        <f t="shared" si="5"/>
        <v>0</v>
      </c>
      <c r="Q11" s="48">
        <f t="shared" si="6"/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134756596.08875087</v>
      </c>
      <c r="E12" s="39">
        <f t="shared" si="1"/>
        <v>117157384.63956001</v>
      </c>
      <c r="F12" s="40" t="s">
        <v>34</v>
      </c>
      <c r="G12" s="41">
        <v>97.381</v>
      </c>
      <c r="H12" s="42">
        <v>166.73950000000002</v>
      </c>
      <c r="I12" s="42">
        <v>170.34040000000002</v>
      </c>
      <c r="J12" s="43">
        <f t="shared" si="7"/>
        <v>6.5309562150141867</v>
      </c>
      <c r="K12" s="44">
        <f t="shared" si="2"/>
        <v>5.6780133333333342</v>
      </c>
      <c r="L12" s="45">
        <f t="shared" si="3"/>
        <v>3.6008999999999958</v>
      </c>
      <c r="M12" s="45">
        <f t="shared" si="4"/>
        <v>2.1595962564359348</v>
      </c>
      <c r="N12" s="46">
        <v>1600</v>
      </c>
      <c r="O12" s="37">
        <v>272544.7</v>
      </c>
      <c r="P12" s="50">
        <f t="shared" si="5"/>
        <v>0</v>
      </c>
      <c r="Q12" s="48">
        <f t="shared" si="6"/>
        <v>0.74921596615356201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4354157.6224215934</v>
      </c>
      <c r="E13" s="39">
        <f t="shared" si="1"/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 t="shared" si="7"/>
        <v>0.49846637527796944</v>
      </c>
      <c r="K13" s="44">
        <f t="shared" si="2"/>
        <v>0.43336666666666662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50">
        <f t="shared" si="5"/>
        <v>0</v>
      </c>
      <c r="Q13" s="48">
        <f t="shared" si="6"/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301433106.69515377</v>
      </c>
      <c r="E14" s="39">
        <f t="shared" si="1"/>
        <v>262065942.96076667</v>
      </c>
      <c r="F14" s="40" t="s">
        <v>47</v>
      </c>
      <c r="G14" s="41">
        <v>11.5</v>
      </c>
      <c r="H14" s="42">
        <v>15.042200000000001</v>
      </c>
      <c r="I14" s="42">
        <v>15.042200000000001</v>
      </c>
      <c r="J14" s="43">
        <f t="shared" si="7"/>
        <v>0.57672724484318694</v>
      </c>
      <c r="K14" s="44">
        <f t="shared" si="2"/>
        <v>0.50140666666666667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50">
        <f t="shared" si="5"/>
        <v>0</v>
      </c>
      <c r="Q14" s="48">
        <f t="shared" si="6"/>
        <v>0.30801739130434802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24394036.116862204</v>
      </c>
      <c r="E15" s="39">
        <f t="shared" si="1"/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 t="shared" si="7"/>
        <v>0.23004370830457788</v>
      </c>
      <c r="K15" s="44">
        <f t="shared" si="2"/>
        <v>0.2</v>
      </c>
      <c r="L15" s="45">
        <f t="shared" si="3"/>
        <v>0</v>
      </c>
      <c r="M15" s="45">
        <f t="shared" si="4"/>
        <v>0</v>
      </c>
      <c r="N15" s="46">
        <v>0</v>
      </c>
      <c r="O15" s="37">
        <v>0</v>
      </c>
      <c r="P15" s="50">
        <f t="shared" si="5"/>
        <v>0</v>
      </c>
      <c r="Q15" s="48">
        <f t="shared" si="6"/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35248301.638831377</v>
      </c>
      <c r="E16" s="39">
        <f t="shared" si="1"/>
        <v>30644873.444799997</v>
      </c>
      <c r="F16" s="40" t="s">
        <v>34</v>
      </c>
      <c r="G16" s="41">
        <v>1.9</v>
      </c>
      <c r="H16" s="42">
        <v>2.4</v>
      </c>
      <c r="I16" s="42">
        <v>2.5680000000000001</v>
      </c>
      <c r="J16" s="43">
        <f t="shared" si="7"/>
        <v>9.8458707154359323E-2</v>
      </c>
      <c r="K16" s="44">
        <f t="shared" si="2"/>
        <v>8.5599999999999996E-2</v>
      </c>
      <c r="L16" s="45">
        <f t="shared" si="3"/>
        <v>0.16800000000000015</v>
      </c>
      <c r="M16" s="45">
        <f t="shared" si="4"/>
        <v>7.0000000000000062</v>
      </c>
      <c r="N16" s="46">
        <v>500</v>
      </c>
      <c r="O16" s="37">
        <v>1284</v>
      </c>
      <c r="P16" s="50">
        <f t="shared" si="5"/>
        <v>0</v>
      </c>
      <c r="Q16" s="48">
        <f t="shared" si="6"/>
        <v>0.35157894736842121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 t="shared" si="0"/>
        <v>1634102292.6801243</v>
      </c>
      <c r="E17" s="39">
        <f t="shared" si="1"/>
        <v>1420688533.2560999</v>
      </c>
      <c r="F17" s="40" t="s">
        <v>34</v>
      </c>
      <c r="G17" s="41">
        <v>20.701700000000002</v>
      </c>
      <c r="H17" s="42">
        <v>31.689699999999998</v>
      </c>
      <c r="I17" s="42">
        <v>31.7682</v>
      </c>
      <c r="J17" s="43">
        <f t="shared" si="7"/>
        <v>1.2180124223602484</v>
      </c>
      <c r="K17" s="44">
        <f t="shared" si="2"/>
        <v>1.05894</v>
      </c>
      <c r="L17" s="45">
        <f t="shared" si="3"/>
        <v>7.8500000000001791E-2</v>
      </c>
      <c r="M17" s="45">
        <f t="shared" si="4"/>
        <v>0.24771455709584439</v>
      </c>
      <c r="N17" s="46">
        <v>2483000</v>
      </c>
      <c r="O17" s="37">
        <v>78880342.549999997</v>
      </c>
      <c r="P17" s="47">
        <f t="shared" si="5"/>
        <v>4.1050484446710868E-2</v>
      </c>
      <c r="Q17" s="48">
        <f t="shared" si="6"/>
        <v>0.53456962471681058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283392730.50379574</v>
      </c>
      <c r="E19" s="39">
        <f t="shared" si="1"/>
        <v>246381639.89999998</v>
      </c>
      <c r="F19" s="40" t="s">
        <v>47</v>
      </c>
      <c r="G19" s="41">
        <v>12.45</v>
      </c>
      <c r="H19" s="42">
        <v>10.9976</v>
      </c>
      <c r="I19" s="42">
        <v>11</v>
      </c>
      <c r="J19" s="43">
        <f t="shared" ref="J19:J29" si="8">I19/$J$5</f>
        <v>0.42174679855839275</v>
      </c>
      <c r="K19" s="44">
        <f t="shared" ref="K19:K29" si="9">I19/$K$4</f>
        <v>0.36666666666666664</v>
      </c>
      <c r="L19" s="45">
        <f t="shared" ref="L19:L29" si="10">I19-H19</f>
        <v>2.3999999999997357E-3</v>
      </c>
      <c r="M19" s="45">
        <f t="shared" ref="M19:M29" si="11">((I19-H19)/H19)*100</f>
        <v>2.1822943187602164E-2</v>
      </c>
      <c r="N19" s="46">
        <v>2800</v>
      </c>
      <c r="O19" s="37">
        <v>30800</v>
      </c>
      <c r="P19" s="50">
        <f t="shared" ref="P19:P29" si="12">(R19)/J19</f>
        <v>0</v>
      </c>
      <c r="Q19" s="48">
        <f t="shared" ref="Q19:Q29" si="13"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2415978.0632728701</v>
      </c>
      <c r="E20" s="39">
        <f t="shared" si="1"/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 t="shared" si="8"/>
        <v>2.2180545970401044E-2</v>
      </c>
      <c r="K20" s="44">
        <f t="shared" si="9"/>
        <v>1.9283766666666667E-2</v>
      </c>
      <c r="L20" s="45">
        <f t="shared" si="10"/>
        <v>0</v>
      </c>
      <c r="M20" s="45">
        <f t="shared" si="11"/>
        <v>0</v>
      </c>
      <c r="N20" s="46">
        <v>0</v>
      </c>
      <c r="O20" s="37">
        <v>0</v>
      </c>
      <c r="P20" s="50">
        <f t="shared" si="12"/>
        <v>0</v>
      </c>
      <c r="Q20" s="48">
        <f t="shared" si="13"/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42658287.095925927</v>
      </c>
      <c r="E21" s="39">
        <f t="shared" si="1"/>
        <v>37087114.801197998</v>
      </c>
      <c r="F21" s="40" t="s">
        <v>47</v>
      </c>
      <c r="G21" s="41">
        <v>2.85</v>
      </c>
      <c r="H21" s="42">
        <v>1.7421090000000001</v>
      </c>
      <c r="I21" s="42">
        <v>1.6121490000000001</v>
      </c>
      <c r="J21" s="43">
        <f t="shared" si="8"/>
        <v>6.1810789049919483E-2</v>
      </c>
      <c r="K21" s="44">
        <f t="shared" si="9"/>
        <v>5.3738300000000003E-2</v>
      </c>
      <c r="L21" s="45">
        <f t="shared" si="10"/>
        <v>-0.12996000000000008</v>
      </c>
      <c r="M21" s="45">
        <f t="shared" si="11"/>
        <v>-7.4599235753905218</v>
      </c>
      <c r="N21" s="46">
        <v>5700</v>
      </c>
      <c r="O21" s="37">
        <v>9189.25</v>
      </c>
      <c r="P21" s="50">
        <f t="shared" si="12"/>
        <v>0</v>
      </c>
      <c r="Q21" s="48">
        <f t="shared" si="13"/>
        <v>-0.43433368421052632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 t="shared" si="0"/>
        <v>57462676.760313623</v>
      </c>
      <c r="E22" s="39">
        <f t="shared" si="1"/>
        <v>49958051.175416663</v>
      </c>
      <c r="F22" s="40" t="s">
        <v>66</v>
      </c>
      <c r="G22" s="41">
        <v>0.88420599999999994</v>
      </c>
      <c r="H22" s="42">
        <v>1.18</v>
      </c>
      <c r="I22" s="42">
        <v>1.2124999999999999</v>
      </c>
      <c r="J22" s="43">
        <f t="shared" si="8"/>
        <v>4.6487999386550106E-2</v>
      </c>
      <c r="K22" s="44">
        <f t="shared" si="9"/>
        <v>4.0416666666666663E-2</v>
      </c>
      <c r="L22" s="45">
        <f t="shared" si="10"/>
        <v>3.2499999999999973E-2</v>
      </c>
      <c r="M22" s="45">
        <f t="shared" si="11"/>
        <v>2.7542372881355912</v>
      </c>
      <c r="N22" s="46">
        <v>2300</v>
      </c>
      <c r="O22" s="37">
        <v>2788.75</v>
      </c>
      <c r="P22" s="50">
        <f t="shared" si="12"/>
        <v>0</v>
      </c>
      <c r="Q22" s="48">
        <f t="shared" si="13"/>
        <v>0.37128678158709616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 t="shared" si="0"/>
        <v>2468776.7333793417</v>
      </c>
      <c r="E23" s="39">
        <f t="shared" si="1"/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 t="shared" si="8"/>
        <v>4.6008741660915568E-3</v>
      </c>
      <c r="K23" s="44">
        <f t="shared" si="9"/>
        <v>4.0000000000000001E-3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50">
        <f t="shared" si="12"/>
        <v>0</v>
      </c>
      <c r="Q23" s="48">
        <f t="shared" si="13"/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 t="shared" si="0"/>
        <v>70971060.837359086</v>
      </c>
      <c r="E24" s="39">
        <f t="shared" si="1"/>
        <v>61702240.291999996</v>
      </c>
      <c r="F24" s="40" t="s">
        <v>34</v>
      </c>
      <c r="G24" s="41">
        <v>8.1687659999999997</v>
      </c>
      <c r="H24" s="42">
        <v>9.59</v>
      </c>
      <c r="I24" s="42">
        <v>9.59</v>
      </c>
      <c r="J24" s="43">
        <f t="shared" si="8"/>
        <v>0.36768652710681693</v>
      </c>
      <c r="K24" s="44">
        <f t="shared" si="9"/>
        <v>0.31966666666666665</v>
      </c>
      <c r="L24" s="45">
        <f t="shared" si="10"/>
        <v>0</v>
      </c>
      <c r="M24" s="45">
        <f t="shared" si="11"/>
        <v>0</v>
      </c>
      <c r="N24" s="46">
        <v>0</v>
      </c>
      <c r="O24" s="37">
        <v>0</v>
      </c>
      <c r="P24" s="50">
        <f t="shared" si="12"/>
        <v>0</v>
      </c>
      <c r="Q24" s="48">
        <f t="shared" si="13"/>
        <v>0.17398392853951261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 t="shared" si="0"/>
        <v>84113918.092937663</v>
      </c>
      <c r="E25" s="39">
        <f t="shared" si="1"/>
        <v>73128640.390000001</v>
      </c>
      <c r="F25" s="40" t="s">
        <v>66</v>
      </c>
      <c r="G25" s="41">
        <v>1.6675</v>
      </c>
      <c r="H25" s="42">
        <v>1.2988570000000002</v>
      </c>
      <c r="I25" s="42">
        <v>1.3</v>
      </c>
      <c r="J25" s="43">
        <f t="shared" si="8"/>
        <v>4.9842803465991875E-2</v>
      </c>
      <c r="K25" s="44">
        <f t="shared" si="9"/>
        <v>4.3333333333333335E-2</v>
      </c>
      <c r="L25" s="45">
        <f t="shared" si="10"/>
        <v>1.1429999999998941E-3</v>
      </c>
      <c r="M25" s="45">
        <f t="shared" si="11"/>
        <v>8.8000449626086164E-2</v>
      </c>
      <c r="N25" s="46">
        <v>200</v>
      </c>
      <c r="O25" s="37">
        <v>260</v>
      </c>
      <c r="P25" s="50">
        <f t="shared" si="12"/>
        <v>0</v>
      </c>
      <c r="Q25" s="48">
        <f t="shared" si="13"/>
        <v>-0.22038980509745121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 t="shared" si="0"/>
        <v>31665093.518518515</v>
      </c>
      <c r="E26" s="39">
        <f t="shared" si="1"/>
        <v>27529632.305</v>
      </c>
      <c r="F26" s="40" t="s">
        <v>44</v>
      </c>
      <c r="G26" s="41">
        <v>1.7994999999999999</v>
      </c>
      <c r="H26" s="42">
        <v>3.48</v>
      </c>
      <c r="I26" s="42">
        <v>3.45</v>
      </c>
      <c r="J26" s="43">
        <f t="shared" si="8"/>
        <v>0.13227513227513227</v>
      </c>
      <c r="K26" s="44">
        <f t="shared" si="9"/>
        <v>0.115</v>
      </c>
      <c r="L26" s="45">
        <f t="shared" si="10"/>
        <v>-2.9999999999999805E-2</v>
      </c>
      <c r="M26" s="45">
        <f t="shared" si="11"/>
        <v>-0.86206896551723577</v>
      </c>
      <c r="N26" s="46">
        <v>1000</v>
      </c>
      <c r="O26" s="37">
        <v>3450</v>
      </c>
      <c r="P26" s="50">
        <f t="shared" si="12"/>
        <v>0</v>
      </c>
      <c r="Q26" s="48">
        <f t="shared" si="13"/>
        <v>0.91719922200611315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 t="shared" si="0"/>
        <v>30212224.667763017</v>
      </c>
      <c r="E27" s="39">
        <f t="shared" si="1"/>
        <v>26266508.126153167</v>
      </c>
      <c r="F27" s="40" t="s">
        <v>34</v>
      </c>
      <c r="G27" s="41">
        <v>3.1361369999999997</v>
      </c>
      <c r="H27" s="42">
        <v>3.117</v>
      </c>
      <c r="I27" s="42">
        <v>3.076295</v>
      </c>
      <c r="J27" s="43">
        <f t="shared" si="8"/>
        <v>0.1179470516064719</v>
      </c>
      <c r="K27" s="44">
        <f t="shared" si="9"/>
        <v>0.10254316666666667</v>
      </c>
      <c r="L27" s="45">
        <f t="shared" si="10"/>
        <v>-4.0704999999999991E-2</v>
      </c>
      <c r="M27" s="45">
        <f t="shared" si="11"/>
        <v>-1.3059031119666342</v>
      </c>
      <c r="N27" s="46">
        <v>2200</v>
      </c>
      <c r="O27" s="37">
        <v>6767.85</v>
      </c>
      <c r="P27" s="50">
        <f t="shared" si="12"/>
        <v>0</v>
      </c>
      <c r="Q27" s="48">
        <f t="shared" si="13"/>
        <v>-1.9081436812231067E-2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 t="shared" si="0"/>
        <v>24713128.983705238</v>
      </c>
      <c r="E28" s="39">
        <f t="shared" si="1"/>
        <v>21485594.338433333</v>
      </c>
      <c r="F28" s="40" t="s">
        <v>44</v>
      </c>
      <c r="G28" s="41">
        <v>0.8</v>
      </c>
      <c r="H28" s="42">
        <v>0.85299999999999998</v>
      </c>
      <c r="I28" s="42">
        <v>0.85299999999999998</v>
      </c>
      <c r="J28" s="43">
        <f t="shared" si="8"/>
        <v>3.2704547197300822E-2</v>
      </c>
      <c r="K28" s="44">
        <f t="shared" si="9"/>
        <v>2.8433333333333331E-2</v>
      </c>
      <c r="L28" s="45">
        <f t="shared" si="10"/>
        <v>0</v>
      </c>
      <c r="M28" s="45">
        <f t="shared" si="11"/>
        <v>0</v>
      </c>
      <c r="N28" s="46">
        <v>0</v>
      </c>
      <c r="O28" s="37">
        <v>0</v>
      </c>
      <c r="P28" s="50">
        <f t="shared" si="12"/>
        <v>0</v>
      </c>
      <c r="Q28" s="48">
        <f t="shared" si="13"/>
        <v>6.624999999999992E-2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 t="shared" si="0"/>
        <v>81366570.022620738</v>
      </c>
      <c r="E29" s="39">
        <f t="shared" si="1"/>
        <v>70740095.977666467</v>
      </c>
      <c r="F29" s="40" t="s">
        <v>47</v>
      </c>
      <c r="G29" s="41">
        <v>5.15</v>
      </c>
      <c r="H29" s="42">
        <v>5.2504999999999997</v>
      </c>
      <c r="I29" s="42">
        <v>5.2507460000000004</v>
      </c>
      <c r="J29" s="43">
        <f t="shared" si="8"/>
        <v>0.20131684686757151</v>
      </c>
      <c r="K29" s="44">
        <f t="shared" si="9"/>
        <v>0.17502486666666667</v>
      </c>
      <c r="L29" s="45">
        <f t="shared" si="10"/>
        <v>2.460000000006346E-4</v>
      </c>
      <c r="M29" s="45">
        <f t="shared" si="11"/>
        <v>4.6852680697197337E-3</v>
      </c>
      <c r="N29" s="46">
        <v>301500</v>
      </c>
      <c r="O29" s="37">
        <v>1583100</v>
      </c>
      <c r="P29" s="50">
        <f t="shared" si="12"/>
        <v>0</v>
      </c>
      <c r="Q29" s="48">
        <f t="shared" si="13"/>
        <v>1.9562330097087299E-2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 t="shared" ref="D31:D47" si="14">C31*J31</f>
        <v>0</v>
      </c>
      <c r="E31" s="39">
        <f t="shared" ref="E31:E47" si="15"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 t="shared" ref="J31:J47" si="16">I31/$J$5</f>
        <v>0</v>
      </c>
      <c r="K31" s="52">
        <f t="shared" ref="K31:K47" si="17"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 t="shared" si="14"/>
        <v>14197892.598343685</v>
      </c>
      <c r="E32" s="39">
        <f t="shared" si="15"/>
        <v>12343647.824999999</v>
      </c>
      <c r="F32" s="40" t="s">
        <v>39</v>
      </c>
      <c r="G32" s="41">
        <v>1.4</v>
      </c>
      <c r="H32" s="42">
        <v>1.425</v>
      </c>
      <c r="I32" s="42">
        <v>1.425</v>
      </c>
      <c r="J32" s="43">
        <f t="shared" si="16"/>
        <v>5.4635380722337243E-2</v>
      </c>
      <c r="K32" s="44">
        <f t="shared" si="17"/>
        <v>4.7500000000000001E-2</v>
      </c>
      <c r="L32" s="45">
        <f t="shared" ref="L32:L47" si="18">I32-H32</f>
        <v>0</v>
      </c>
      <c r="M32" s="45">
        <f t="shared" ref="M32:M47" si="19">((I32-H32)/H32)*100</f>
        <v>0</v>
      </c>
      <c r="N32" s="46">
        <v>0</v>
      </c>
      <c r="O32" s="37">
        <v>0</v>
      </c>
      <c r="P32" s="50">
        <f t="shared" ref="P32:P37" si="20">(R32)/J32</f>
        <v>0</v>
      </c>
      <c r="Q32" s="48">
        <f t="shared" ref="Q32:Q47" si="21">I32/G32-1</f>
        <v>1.7857142857143016E-2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 t="shared" si="14"/>
        <v>3509013.9751552795</v>
      </c>
      <c r="E33" s="39">
        <f t="shared" si="15"/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 t="shared" si="16"/>
        <v>2.8755463538072235E-2</v>
      </c>
      <c r="K33" s="44">
        <f t="shared" si="17"/>
        <v>2.5000000000000001E-2</v>
      </c>
      <c r="L33" s="45">
        <f t="shared" si="18"/>
        <v>0</v>
      </c>
      <c r="M33" s="45">
        <f t="shared" si="19"/>
        <v>0</v>
      </c>
      <c r="N33" s="46">
        <v>0</v>
      </c>
      <c r="O33" s="37">
        <v>0</v>
      </c>
      <c r="P33" s="50">
        <f t="shared" si="20"/>
        <v>0</v>
      </c>
      <c r="Q33" s="48">
        <f t="shared" si="21"/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 t="shared" si="14"/>
        <v>163850016.0028947</v>
      </c>
      <c r="E34" s="39">
        <f t="shared" si="15"/>
        <v>142451203.91291666</v>
      </c>
      <c r="F34" s="40" t="s">
        <v>92</v>
      </c>
      <c r="G34" s="41">
        <v>1.44</v>
      </c>
      <c r="H34" s="42">
        <v>1.73</v>
      </c>
      <c r="I34" s="42">
        <v>1.7124999999999999</v>
      </c>
      <c r="J34" s="43">
        <f t="shared" si="16"/>
        <v>6.5658308411931599E-2</v>
      </c>
      <c r="K34" s="44">
        <f t="shared" si="17"/>
        <v>5.7083333333333333E-2</v>
      </c>
      <c r="L34" s="45">
        <f t="shared" si="18"/>
        <v>-1.7500000000000071E-2</v>
      </c>
      <c r="M34" s="45">
        <f t="shared" si="19"/>
        <v>-1.0115606936416226</v>
      </c>
      <c r="N34" s="46">
        <v>200</v>
      </c>
      <c r="O34" s="37">
        <v>342.5</v>
      </c>
      <c r="P34" s="50">
        <f t="shared" si="20"/>
        <v>0</v>
      </c>
      <c r="Q34" s="48">
        <f t="shared" si="21"/>
        <v>0.18923611111111116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 t="shared" si="14"/>
        <v>39361700.734490685</v>
      </c>
      <c r="E35" s="39">
        <f t="shared" si="15"/>
        <v>34221062.6185662</v>
      </c>
      <c r="F35" s="40" t="s">
        <v>34</v>
      </c>
      <c r="G35" s="41">
        <v>3.6056249999999999</v>
      </c>
      <c r="H35" s="42">
        <v>4.05</v>
      </c>
      <c r="I35" s="42">
        <v>4.0499419999999997</v>
      </c>
      <c r="J35" s="43">
        <f t="shared" si="16"/>
        <v>0.15527727934974311</v>
      </c>
      <c r="K35" s="44">
        <f t="shared" si="17"/>
        <v>0.13499806666666667</v>
      </c>
      <c r="L35" s="45">
        <f t="shared" si="18"/>
        <v>-5.8000000000113516E-5</v>
      </c>
      <c r="M35" s="45">
        <f t="shared" si="19"/>
        <v>-1.4320987654349016E-3</v>
      </c>
      <c r="N35" s="46">
        <v>6000</v>
      </c>
      <c r="O35" s="37">
        <v>24299.65</v>
      </c>
      <c r="P35" s="50">
        <f t="shared" si="20"/>
        <v>0</v>
      </c>
      <c r="Q35" s="48">
        <f t="shared" si="21"/>
        <v>0.12322884382041943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 t="shared" si="14"/>
        <v>7876551.3503535008</v>
      </c>
      <c r="E36" s="39">
        <f t="shared" si="15"/>
        <v>6847873.7439973336</v>
      </c>
      <c r="F36" s="40" t="s">
        <v>34</v>
      </c>
      <c r="G36" s="41">
        <v>2.5099999999999997E-2</v>
      </c>
      <c r="H36" s="42">
        <v>4.5880000000000004E-2</v>
      </c>
      <c r="I36" s="42">
        <v>4.3570000000000005E-2</v>
      </c>
      <c r="J36" s="43">
        <f t="shared" si="16"/>
        <v>1.6705007284717431E-3</v>
      </c>
      <c r="K36" s="44">
        <f t="shared" si="17"/>
        <v>1.4523333333333335E-3</v>
      </c>
      <c r="L36" s="45">
        <f t="shared" si="18"/>
        <v>-2.3099999999999996E-3</v>
      </c>
      <c r="M36" s="45">
        <f t="shared" si="19"/>
        <v>-5.034873583260679</v>
      </c>
      <c r="N36" s="46">
        <v>1000</v>
      </c>
      <c r="O36" s="37">
        <v>43.57</v>
      </c>
      <c r="P36" s="50">
        <f t="shared" si="20"/>
        <v>0</v>
      </c>
      <c r="Q36" s="48">
        <f t="shared" si="21"/>
        <v>0.73585657370517965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 t="shared" si="14"/>
        <v>40041214.396836899</v>
      </c>
      <c r="E37" s="39">
        <f t="shared" si="15"/>
        <v>34811831.796609998</v>
      </c>
      <c r="F37" s="40" t="s">
        <v>92</v>
      </c>
      <c r="G37" s="41">
        <v>0.61</v>
      </c>
      <c r="H37" s="42">
        <v>3.998739</v>
      </c>
      <c r="I37" s="42">
        <v>4.0003700000000002</v>
      </c>
      <c r="J37" s="43">
        <f t="shared" si="16"/>
        <v>0.15337665823173069</v>
      </c>
      <c r="K37" s="44">
        <f t="shared" si="17"/>
        <v>0.13334566666666667</v>
      </c>
      <c r="L37" s="45">
        <f t="shared" si="18"/>
        <v>1.6310000000001601E-3</v>
      </c>
      <c r="M37" s="45">
        <f t="shared" si="19"/>
        <v>4.0787858372355885E-2</v>
      </c>
      <c r="N37" s="46">
        <v>14600</v>
      </c>
      <c r="O37" s="37">
        <v>58405.4</v>
      </c>
      <c r="P37" s="50">
        <f t="shared" si="20"/>
        <v>0</v>
      </c>
      <c r="Q37" s="48">
        <f t="shared" si="21"/>
        <v>5.5579836065573778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 t="shared" si="14"/>
        <v>24131265.856341112</v>
      </c>
      <c r="E38" s="39">
        <f t="shared" si="15"/>
        <v>20979722.535502963</v>
      </c>
      <c r="F38" s="40" t="s">
        <v>56</v>
      </c>
      <c r="G38" s="41">
        <v>0.11650199999999999</v>
      </c>
      <c r="H38" s="42">
        <v>0.15170999999999998</v>
      </c>
      <c r="I38" s="42">
        <v>0.15004099999999998</v>
      </c>
      <c r="J38" s="43">
        <f t="shared" si="16"/>
        <v>5.7526646729545274E-3</v>
      </c>
      <c r="K38" s="44">
        <f t="shared" si="17"/>
        <v>5.0013666666666656E-3</v>
      </c>
      <c r="L38" s="45">
        <f t="shared" si="18"/>
        <v>-1.6690000000000038E-3</v>
      </c>
      <c r="M38" s="45">
        <f t="shared" si="19"/>
        <v>-1.1001252389427223</v>
      </c>
      <c r="N38" s="46">
        <v>55100</v>
      </c>
      <c r="O38" s="37">
        <v>8267.25</v>
      </c>
      <c r="P38" s="50">
        <v>0</v>
      </c>
      <c r="Q38" s="48">
        <f t="shared" si="21"/>
        <v>0.28788346981167701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 t="shared" si="14"/>
        <v>84591682.950617671</v>
      </c>
      <c r="E39" s="39">
        <f t="shared" si="15"/>
        <v>73544009.157266989</v>
      </c>
      <c r="F39" s="40" t="s">
        <v>34</v>
      </c>
      <c r="G39" s="41">
        <v>2.6005000000000003</v>
      </c>
      <c r="H39" s="42">
        <v>6.81</v>
      </c>
      <c r="I39" s="42">
        <v>6.0792299999999999</v>
      </c>
      <c r="J39" s="43">
        <f t="shared" si="16"/>
        <v>0.23308143547273982</v>
      </c>
      <c r="K39" s="44">
        <f t="shared" si="17"/>
        <v>0.20264099999999999</v>
      </c>
      <c r="L39" s="45">
        <f t="shared" si="18"/>
        <v>-0.7307699999999997</v>
      </c>
      <c r="M39" s="45">
        <f t="shared" si="19"/>
        <v>-10.730837004405283</v>
      </c>
      <c r="N39" s="46">
        <v>11100</v>
      </c>
      <c r="O39" s="37">
        <v>67479.45</v>
      </c>
      <c r="P39" s="50">
        <f t="shared" ref="P39:P46" si="22">(R39)/J39</f>
        <v>0</v>
      </c>
      <c r="Q39" s="48">
        <f t="shared" si="21"/>
        <v>1.3377158238800226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 t="shared" si="14"/>
        <v>14925179.44213634</v>
      </c>
      <c r="E40" s="39">
        <f t="shared" si="15"/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 t="shared" si="16"/>
        <v>3.4583237481788207E-3</v>
      </c>
      <c r="K40" s="44">
        <f t="shared" si="17"/>
        <v>3.0066666666666666E-3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50">
        <f t="shared" si="22"/>
        <v>0</v>
      </c>
      <c r="Q40" s="48">
        <f t="shared" si="21"/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 t="shared" si="14"/>
        <v>6123432.0795951234</v>
      </c>
      <c r="E41" s="39">
        <f t="shared" si="15"/>
        <v>5323711.8500000006</v>
      </c>
      <c r="F41" s="40" t="s">
        <v>44</v>
      </c>
      <c r="G41" s="41">
        <v>1.7452379999999998</v>
      </c>
      <c r="H41" s="42">
        <v>1.75</v>
      </c>
      <c r="I41" s="42">
        <v>1.5</v>
      </c>
      <c r="J41" s="43">
        <f t="shared" si="16"/>
        <v>5.7510927076144469E-2</v>
      </c>
      <c r="K41" s="44">
        <f t="shared" si="17"/>
        <v>0.05</v>
      </c>
      <c r="L41" s="45">
        <f t="shared" si="18"/>
        <v>-0.25</v>
      </c>
      <c r="M41" s="45">
        <f t="shared" si="19"/>
        <v>-14.285714285714285</v>
      </c>
      <c r="N41" s="46">
        <v>6000</v>
      </c>
      <c r="O41" s="37">
        <v>9000</v>
      </c>
      <c r="P41" s="50">
        <f t="shared" si="22"/>
        <v>0</v>
      </c>
      <c r="Q41" s="48">
        <f t="shared" si="21"/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 t="shared" si="14"/>
        <v>2726786.9457863658</v>
      </c>
      <c r="E42" s="39">
        <f t="shared" si="15"/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 t="shared" si="16"/>
        <v>1.5336247220305191E-3</v>
      </c>
      <c r="K42" s="44">
        <f t="shared" si="17"/>
        <v>1.3333333333333333E-3</v>
      </c>
      <c r="L42" s="45">
        <f t="shared" si="18"/>
        <v>0</v>
      </c>
      <c r="M42" s="45">
        <f t="shared" si="19"/>
        <v>0</v>
      </c>
      <c r="N42" s="46">
        <v>5300</v>
      </c>
      <c r="O42" s="37">
        <v>212</v>
      </c>
      <c r="P42" s="50">
        <f t="shared" si="22"/>
        <v>0</v>
      </c>
      <c r="Q42" s="48">
        <f t="shared" si="21"/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 t="shared" si="14"/>
        <v>35033890.025063179</v>
      </c>
      <c r="E43" s="39">
        <f t="shared" si="15"/>
        <v>30458463.987789933</v>
      </c>
      <c r="F43" s="40" t="s">
        <v>47</v>
      </c>
      <c r="G43" s="41">
        <v>4.5</v>
      </c>
      <c r="H43" s="42">
        <v>5.35</v>
      </c>
      <c r="I43" s="42">
        <v>5.2157689999999999</v>
      </c>
      <c r="J43" s="43">
        <f t="shared" si="16"/>
        <v>0.19997580707000995</v>
      </c>
      <c r="K43" s="44">
        <f t="shared" si="17"/>
        <v>0.17385896666666667</v>
      </c>
      <c r="L43" s="45">
        <f t="shared" si="18"/>
        <v>-0.13423099999999977</v>
      </c>
      <c r="M43" s="45">
        <f t="shared" si="19"/>
        <v>-2.5089906542056033</v>
      </c>
      <c r="N43" s="46">
        <v>5200</v>
      </c>
      <c r="O43" s="37">
        <v>27122</v>
      </c>
      <c r="P43" s="50">
        <f t="shared" si="22"/>
        <v>0</v>
      </c>
      <c r="Q43" s="48">
        <f t="shared" si="21"/>
        <v>0.1590597777777778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 t="shared" si="14"/>
        <v>319.76374120082818</v>
      </c>
      <c r="E44" s="39">
        <f t="shared" si="15"/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 t="shared" si="16"/>
        <v>6.9013112491373362E-7</v>
      </c>
      <c r="K44" s="44">
        <f t="shared" si="17"/>
        <v>5.9999999999999997E-7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50">
        <f t="shared" si="22"/>
        <v>0</v>
      </c>
      <c r="Q44" s="48">
        <f t="shared" si="21"/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 t="shared" si="14"/>
        <v>1550310.5590062111</v>
      </c>
      <c r="E45" s="39">
        <f t="shared" si="15"/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 t="shared" si="16"/>
        <v>2.6915113871635609E-3</v>
      </c>
      <c r="K45" s="44">
        <f t="shared" si="17"/>
        <v>2.3400000000000001E-3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50">
        <f t="shared" si="22"/>
        <v>0</v>
      </c>
      <c r="Q45" s="48">
        <f t="shared" si="21"/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 t="shared" si="14"/>
        <v>45312560.804386169</v>
      </c>
      <c r="E46" s="39">
        <f t="shared" si="15"/>
        <v>39394740.363333337</v>
      </c>
      <c r="F46" s="40" t="s">
        <v>47</v>
      </c>
      <c r="G46" s="41">
        <v>0.9998999999999999</v>
      </c>
      <c r="H46" s="42">
        <v>0.65</v>
      </c>
      <c r="I46" s="42">
        <v>0.65</v>
      </c>
      <c r="J46" s="43">
        <f t="shared" si="16"/>
        <v>2.4921401732995938E-2</v>
      </c>
      <c r="K46" s="44">
        <f t="shared" si="17"/>
        <v>2.1666666666666667E-2</v>
      </c>
      <c r="L46" s="45">
        <f t="shared" si="18"/>
        <v>0</v>
      </c>
      <c r="M46" s="45">
        <f t="shared" si="19"/>
        <v>0</v>
      </c>
      <c r="N46" s="46">
        <v>6300</v>
      </c>
      <c r="O46" s="37">
        <v>4095</v>
      </c>
      <c r="P46" s="50">
        <f t="shared" si="22"/>
        <v>0</v>
      </c>
      <c r="Q46" s="48">
        <f t="shared" si="21"/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 t="shared" si="14"/>
        <v>3938061.4983513532</v>
      </c>
      <c r="E47" s="39">
        <f t="shared" si="15"/>
        <v>3423750.6666666665</v>
      </c>
      <c r="F47" s="40" t="s">
        <v>47</v>
      </c>
      <c r="G47" s="41">
        <v>1.4503460000000001</v>
      </c>
      <c r="H47" s="42">
        <v>1</v>
      </c>
      <c r="I47" s="42">
        <v>1</v>
      </c>
      <c r="J47" s="43">
        <f t="shared" si="16"/>
        <v>3.8340618050762977E-2</v>
      </c>
      <c r="K47" s="44">
        <f t="shared" si="17"/>
        <v>3.3333333333333333E-2</v>
      </c>
      <c r="L47" s="45">
        <f t="shared" si="18"/>
        <v>0</v>
      </c>
      <c r="M47" s="45">
        <f t="shared" si="19"/>
        <v>0</v>
      </c>
      <c r="N47" s="46">
        <v>0</v>
      </c>
      <c r="O47" s="37">
        <v>0</v>
      </c>
      <c r="P47" s="50">
        <v>0</v>
      </c>
      <c r="Q47" s="48">
        <f t="shared" si="21"/>
        <v>-0.31050935431959004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2912800</v>
      </c>
      <c r="O48" s="59">
        <f>SUM(O9:O47)</f>
        <v>80989913.920000002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 t="shared" ref="D51:D64" si="23">C51*J51</f>
        <v>71418243.639600009</v>
      </c>
      <c r="E51" s="39">
        <v>0</v>
      </c>
      <c r="F51" s="40" t="s">
        <v>92</v>
      </c>
      <c r="G51" s="67">
        <v>0.1</v>
      </c>
      <c r="H51" s="42">
        <v>0.1285</v>
      </c>
      <c r="I51" s="42">
        <v>0.12870000000000001</v>
      </c>
      <c r="J51" s="43">
        <f t="shared" ref="J51:J64" si="24">I51</f>
        <v>0.12870000000000001</v>
      </c>
      <c r="K51" s="39">
        <v>0</v>
      </c>
      <c r="L51" s="45">
        <f t="shared" ref="L51:L64" si="25">I51-H51</f>
        <v>2.0000000000000573E-4</v>
      </c>
      <c r="M51" s="45">
        <f t="shared" ref="M51:M64" si="26">((I51-H51)/H51)*100</f>
        <v>0.15564202334630794</v>
      </c>
      <c r="N51" s="46">
        <v>3726</v>
      </c>
      <c r="O51" s="37">
        <v>479.72</v>
      </c>
      <c r="P51" s="68">
        <f>(R51)/J51</f>
        <v>0</v>
      </c>
      <c r="Q51" s="48">
        <f t="shared" ref="Q51:Q64" si="27">J51/G51-1</f>
        <v>0.28699999999999992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 t="shared" si="23"/>
        <v>57310132.8825</v>
      </c>
      <c r="E52" s="39">
        <v>0</v>
      </c>
      <c r="F52" s="40" t="s">
        <v>39</v>
      </c>
      <c r="G52" s="67">
        <v>39.9</v>
      </c>
      <c r="H52" s="42">
        <v>66.508899999999997</v>
      </c>
      <c r="I52" s="42">
        <v>54.1845</v>
      </c>
      <c r="J52" s="43">
        <f t="shared" si="24"/>
        <v>54.1845</v>
      </c>
      <c r="K52" s="39">
        <v>0</v>
      </c>
      <c r="L52" s="45">
        <f t="shared" si="25"/>
        <v>-12.324399999999997</v>
      </c>
      <c r="M52" s="45">
        <f t="shared" si="26"/>
        <v>-18.5304523154044</v>
      </c>
      <c r="N52" s="46">
        <v>233</v>
      </c>
      <c r="O52" s="37">
        <v>12625</v>
      </c>
      <c r="P52" s="70">
        <f>(R52)/J52</f>
        <v>1.0335058919063571E-2</v>
      </c>
      <c r="Q52" s="48">
        <f t="shared" si="27"/>
        <v>0.35800751879699244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 t="shared" si="23"/>
        <v>744150988.58609998</v>
      </c>
      <c r="E53" s="39"/>
      <c r="F53" s="40" t="s">
        <v>56</v>
      </c>
      <c r="G53" s="67">
        <v>0.33</v>
      </c>
      <c r="H53" s="42">
        <v>0.2487</v>
      </c>
      <c r="I53" s="42">
        <v>0.2487</v>
      </c>
      <c r="J53" s="43">
        <f t="shared" si="24"/>
        <v>0.2487</v>
      </c>
      <c r="K53" s="39">
        <v>0</v>
      </c>
      <c r="L53" s="45">
        <f t="shared" si="25"/>
        <v>0</v>
      </c>
      <c r="M53" s="45">
        <f t="shared" si="26"/>
        <v>0</v>
      </c>
      <c r="N53" s="46">
        <v>2424</v>
      </c>
      <c r="O53" s="37">
        <v>602.98</v>
      </c>
      <c r="P53" s="68">
        <v>0</v>
      </c>
      <c r="Q53" s="48">
        <f t="shared" si="27"/>
        <v>-0.24636363636363634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 t="shared" si="23"/>
        <v>18292228.289999999</v>
      </c>
      <c r="E54" s="39">
        <v>0</v>
      </c>
      <c r="F54" s="40" t="s">
        <v>34</v>
      </c>
      <c r="G54" s="67">
        <v>2.3E-2</v>
      </c>
      <c r="H54" s="42">
        <v>2.8000000000000001E-2</v>
      </c>
      <c r="I54" s="42">
        <v>0.03</v>
      </c>
      <c r="J54" s="43">
        <f t="shared" si="24"/>
        <v>0.03</v>
      </c>
      <c r="K54" s="39">
        <v>0</v>
      </c>
      <c r="L54" s="45">
        <f t="shared" si="25"/>
        <v>1.9999999999999983E-3</v>
      </c>
      <c r="M54" s="45">
        <f t="shared" si="26"/>
        <v>7.142857142857137</v>
      </c>
      <c r="N54" s="46">
        <v>7312657</v>
      </c>
      <c r="O54" s="37">
        <v>219379.71</v>
      </c>
      <c r="P54" s="68">
        <f t="shared" ref="P54:P64" si="28">(R54)/J54</f>
        <v>0</v>
      </c>
      <c r="Q54" s="48">
        <f t="shared" si="27"/>
        <v>0.30434782608695654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 t="shared" si="23"/>
        <v>238238727.37580001</v>
      </c>
      <c r="E55" s="39">
        <v>0</v>
      </c>
      <c r="F55" s="40" t="s">
        <v>47</v>
      </c>
      <c r="G55" s="67">
        <v>9.0200000000000002E-2</v>
      </c>
      <c r="H55" s="42">
        <v>0.10979999999999999</v>
      </c>
      <c r="I55" s="42">
        <v>0.11020000000000001</v>
      </c>
      <c r="J55" s="43">
        <f t="shared" si="24"/>
        <v>0.11020000000000001</v>
      </c>
      <c r="K55" s="39">
        <v>0</v>
      </c>
      <c r="L55" s="45">
        <f t="shared" si="25"/>
        <v>4.0000000000001146E-4</v>
      </c>
      <c r="M55" s="71">
        <f t="shared" si="26"/>
        <v>0.36429872495447313</v>
      </c>
      <c r="N55" s="46">
        <v>197629</v>
      </c>
      <c r="O55" s="37">
        <v>21779.08</v>
      </c>
      <c r="P55" s="68">
        <f t="shared" si="28"/>
        <v>0</v>
      </c>
      <c r="Q55" s="48">
        <f t="shared" si="27"/>
        <v>0.2217294900221729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 t="shared" si="23"/>
        <v>744960863.07500005</v>
      </c>
      <c r="E56" s="39">
        <v>0</v>
      </c>
      <c r="F56" s="40" t="s">
        <v>34</v>
      </c>
      <c r="G56" s="67">
        <v>0.95750000000000002</v>
      </c>
      <c r="H56" s="42">
        <v>1.2921</v>
      </c>
      <c r="I56" s="42">
        <v>1.2935000000000001</v>
      </c>
      <c r="J56" s="43">
        <f t="shared" si="24"/>
        <v>1.2935000000000001</v>
      </c>
      <c r="K56" s="39">
        <v>0</v>
      </c>
      <c r="L56" s="45">
        <f t="shared" si="25"/>
        <v>1.4000000000000679E-3</v>
      </c>
      <c r="M56" s="45">
        <f t="shared" si="26"/>
        <v>0.10835074684622459</v>
      </c>
      <c r="N56" s="46">
        <v>709066</v>
      </c>
      <c r="O56" s="37">
        <v>917177.81</v>
      </c>
      <c r="P56" s="70">
        <f t="shared" si="28"/>
        <v>3.6335523772709696E-2</v>
      </c>
      <c r="Q56" s="48">
        <f t="shared" si="27"/>
        <v>0.35091383812010446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 t="shared" si="23"/>
        <v>24647654.122200001</v>
      </c>
      <c r="E57" s="39">
        <v>0</v>
      </c>
      <c r="F57" s="40" t="s">
        <v>34</v>
      </c>
      <c r="G57" s="67">
        <v>0.1595</v>
      </c>
      <c r="H57" s="42">
        <v>0.15060000000000001</v>
      </c>
      <c r="I57" s="42">
        <v>0.15010000000000001</v>
      </c>
      <c r="J57" s="43">
        <f t="shared" si="24"/>
        <v>0.15010000000000001</v>
      </c>
      <c r="K57" s="39">
        <v>0</v>
      </c>
      <c r="L57" s="45">
        <f t="shared" si="25"/>
        <v>-5.0000000000000044E-4</v>
      </c>
      <c r="M57" s="45">
        <f t="shared" si="26"/>
        <v>-0.33200531208499362</v>
      </c>
      <c r="N57" s="46">
        <v>350</v>
      </c>
      <c r="O57" s="37">
        <v>52.52</v>
      </c>
      <c r="P57" s="68">
        <f t="shared" si="28"/>
        <v>0</v>
      </c>
      <c r="Q57" s="48">
        <f t="shared" si="27"/>
        <v>-5.8934169278996862E-2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 t="shared" si="23"/>
        <v>14938124.980800001</v>
      </c>
      <c r="E58" s="39">
        <v>0</v>
      </c>
      <c r="F58" s="40" t="s">
        <v>92</v>
      </c>
      <c r="G58" s="67">
        <v>1.6799999999999999E-2</v>
      </c>
      <c r="H58" s="42">
        <v>1.8700000000000001E-2</v>
      </c>
      <c r="I58" s="42">
        <v>1.8800000000000001E-2</v>
      </c>
      <c r="J58" s="43">
        <f t="shared" si="24"/>
        <v>1.8800000000000001E-2</v>
      </c>
      <c r="K58" s="39">
        <v>0</v>
      </c>
      <c r="L58" s="45">
        <f t="shared" si="25"/>
        <v>9.9999999999999395E-5</v>
      </c>
      <c r="M58" s="71">
        <f t="shared" si="26"/>
        <v>0.53475935828876686</v>
      </c>
      <c r="N58" s="46">
        <v>6117</v>
      </c>
      <c r="O58" s="37">
        <v>115.28</v>
      </c>
      <c r="P58" s="68">
        <f t="shared" si="28"/>
        <v>0</v>
      </c>
      <c r="Q58" s="48">
        <f t="shared" si="27"/>
        <v>0.11904761904761907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 t="shared" si="23"/>
        <v>3144823.5</v>
      </c>
      <c r="E59" s="39">
        <v>0</v>
      </c>
      <c r="F59" s="40" t="s">
        <v>138</v>
      </c>
      <c r="G59" s="67">
        <v>19.5</v>
      </c>
      <c r="H59" s="42">
        <v>18</v>
      </c>
      <c r="I59" s="42">
        <v>19.5</v>
      </c>
      <c r="J59" s="43">
        <f t="shared" si="24"/>
        <v>19.5</v>
      </c>
      <c r="K59" s="39">
        <v>0</v>
      </c>
      <c r="L59" s="45">
        <f t="shared" si="25"/>
        <v>1.5</v>
      </c>
      <c r="M59" s="45">
        <f t="shared" si="26"/>
        <v>8.3333333333333321</v>
      </c>
      <c r="N59" s="46">
        <v>1</v>
      </c>
      <c r="O59" s="37">
        <v>19.5</v>
      </c>
      <c r="P59" s="68">
        <f t="shared" si="28"/>
        <v>0</v>
      </c>
      <c r="Q59" s="48">
        <f t="shared" si="27"/>
        <v>0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 t="shared" si="23"/>
        <v>812819319.3296001</v>
      </c>
      <c r="E60" s="39">
        <v>0</v>
      </c>
      <c r="F60" s="40" t="s">
        <v>92</v>
      </c>
      <c r="G60" s="67">
        <v>0.59499999999999997</v>
      </c>
      <c r="H60" s="42">
        <v>0.99990000000000001</v>
      </c>
      <c r="I60" s="42">
        <v>1.0096000000000001</v>
      </c>
      <c r="J60" s="43">
        <f t="shared" si="24"/>
        <v>1.0096000000000001</v>
      </c>
      <c r="K60" s="39">
        <v>0</v>
      </c>
      <c r="L60" s="45">
        <f t="shared" si="25"/>
        <v>9.7000000000000419E-3</v>
      </c>
      <c r="M60" s="45">
        <f t="shared" si="26"/>
        <v>0.97009700970097423</v>
      </c>
      <c r="N60" s="46">
        <v>45092</v>
      </c>
      <c r="O60" s="37">
        <v>45524.77</v>
      </c>
      <c r="P60" s="68">
        <f t="shared" si="28"/>
        <v>0</v>
      </c>
      <c r="Q60" s="48">
        <f t="shared" si="27"/>
        <v>0.69680672268907573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 t="shared" si="23"/>
        <v>78005783.785600007</v>
      </c>
      <c r="E61" s="39">
        <v>0</v>
      </c>
      <c r="F61" s="40" t="s">
        <v>34</v>
      </c>
      <c r="G61" s="67">
        <v>0.22600000000000001</v>
      </c>
      <c r="H61" s="42">
        <v>0.27050000000000002</v>
      </c>
      <c r="I61" s="42">
        <v>0.29920000000000002</v>
      </c>
      <c r="J61" s="43">
        <f t="shared" si="24"/>
        <v>0.29920000000000002</v>
      </c>
      <c r="K61" s="39">
        <v>0</v>
      </c>
      <c r="L61" s="45">
        <f t="shared" si="25"/>
        <v>2.8700000000000003E-2</v>
      </c>
      <c r="M61" s="45">
        <f t="shared" si="26"/>
        <v>10.609981515711645</v>
      </c>
      <c r="N61" s="46">
        <v>1642</v>
      </c>
      <c r="O61" s="37">
        <v>491.34</v>
      </c>
      <c r="P61" s="68">
        <f t="shared" si="28"/>
        <v>0</v>
      </c>
      <c r="Q61" s="48">
        <f t="shared" si="27"/>
        <v>0.32389380530973466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 t="shared" si="23"/>
        <v>338828771.72759998</v>
      </c>
      <c r="E62" s="39">
        <v>0</v>
      </c>
      <c r="F62" s="40" t="s">
        <v>34</v>
      </c>
      <c r="G62" s="67">
        <v>0.49440000000000001</v>
      </c>
      <c r="H62" s="42">
        <v>0.5887</v>
      </c>
      <c r="I62" s="42">
        <v>0.60270000000000001</v>
      </c>
      <c r="J62" s="43">
        <f t="shared" si="24"/>
        <v>0.60270000000000001</v>
      </c>
      <c r="K62" s="39">
        <v>0</v>
      </c>
      <c r="L62" s="45">
        <f t="shared" si="25"/>
        <v>1.4000000000000012E-2</v>
      </c>
      <c r="M62" s="45">
        <f t="shared" si="26"/>
        <v>2.3781212841854957</v>
      </c>
      <c r="N62" s="46">
        <v>287494</v>
      </c>
      <c r="O62" s="37">
        <v>173275.89</v>
      </c>
      <c r="P62" s="68">
        <f t="shared" si="28"/>
        <v>0</v>
      </c>
      <c r="Q62" s="48">
        <f t="shared" si="27"/>
        <v>0.21905339805825252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 t="shared" si="24"/>
        <v>10</v>
      </c>
      <c r="K63" s="39">
        <v>0</v>
      </c>
      <c r="L63" s="45">
        <f t="shared" si="25"/>
        <v>0</v>
      </c>
      <c r="M63" s="45">
        <f t="shared" si="26"/>
        <v>0</v>
      </c>
      <c r="N63" s="46">
        <v>0</v>
      </c>
      <c r="O63" s="37">
        <v>0</v>
      </c>
      <c r="P63" s="68">
        <f t="shared" si="28"/>
        <v>0</v>
      </c>
      <c r="Q63" s="48">
        <f t="shared" si="27"/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 t="shared" si="23"/>
        <v>23672679.3882</v>
      </c>
      <c r="E64" s="39">
        <v>0</v>
      </c>
      <c r="F64" s="40" t="s">
        <v>44</v>
      </c>
      <c r="G64" s="67">
        <v>4.2999999999999997E-2</v>
      </c>
      <c r="H64" s="42">
        <v>5.8999999999999997E-2</v>
      </c>
      <c r="I64" s="42">
        <v>6.8699999999999997E-2</v>
      </c>
      <c r="J64" s="43">
        <f t="shared" si="24"/>
        <v>6.8699999999999997E-2</v>
      </c>
      <c r="K64" s="39">
        <v>0</v>
      </c>
      <c r="L64" s="45">
        <f t="shared" si="25"/>
        <v>9.7000000000000003E-3</v>
      </c>
      <c r="M64" s="45">
        <f t="shared" si="26"/>
        <v>16.440677966101696</v>
      </c>
      <c r="N64" s="46">
        <v>33661</v>
      </c>
      <c r="O64" s="37">
        <v>2312.2199999999998</v>
      </c>
      <c r="P64" s="68">
        <f t="shared" si="28"/>
        <v>0</v>
      </c>
      <c r="Q64" s="48">
        <f t="shared" si="27"/>
        <v>0.5976744186046512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8600092</v>
      </c>
      <c r="O65" s="59">
        <f>SUM(O51:O64)</f>
        <v>1393835.82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41901616.569600001</v>
      </c>
      <c r="E70" s="39">
        <f>C70*K70</f>
        <v>41901616.569600001</v>
      </c>
      <c r="F70" s="87" t="s">
        <v>156</v>
      </c>
      <c r="G70" s="87">
        <v>0.24</v>
      </c>
      <c r="H70" s="88">
        <v>0.30080000000000001</v>
      </c>
      <c r="I70" s="88">
        <v>0.30080000000000001</v>
      </c>
      <c r="J70" s="89">
        <f>I70</f>
        <v>0.30080000000000001</v>
      </c>
      <c r="K70" s="89">
        <f>J70</f>
        <v>0.30080000000000001</v>
      </c>
      <c r="L70" s="45">
        <f>I70-H70</f>
        <v>0</v>
      </c>
      <c r="M70" s="45">
        <f>((I70-H70)/H70)*100</f>
        <v>0</v>
      </c>
      <c r="N70" s="90">
        <v>0</v>
      </c>
      <c r="O70" s="91">
        <v>0</v>
      </c>
      <c r="P70" s="68">
        <f>(R70)/J70</f>
        <v>0</v>
      </c>
      <c r="Q70" s="48">
        <f>J70/G70-1</f>
        <v>0.25333333333333341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71362654.950000003</v>
      </c>
      <c r="E71" s="39">
        <f>C71*K71</f>
        <v>71362654.950000003</v>
      </c>
      <c r="F71" s="87" t="s">
        <v>156</v>
      </c>
      <c r="G71" s="87">
        <v>0.1</v>
      </c>
      <c r="H71" s="88">
        <v>0.14810000000000001</v>
      </c>
      <c r="I71" s="88">
        <v>0.15140000000000001</v>
      </c>
      <c r="J71" s="89">
        <f>I71</f>
        <v>0.15140000000000001</v>
      </c>
      <c r="K71" s="89">
        <f>J71</f>
        <v>0.15140000000000001</v>
      </c>
      <c r="L71" s="45">
        <f>I71-H71</f>
        <v>3.2999999999999974E-3</v>
      </c>
      <c r="M71" s="45">
        <f>((I71-H71)/H71)*100</f>
        <v>2.2282241728561765</v>
      </c>
      <c r="N71" s="46">
        <v>2870</v>
      </c>
      <c r="O71" s="91">
        <v>434.62</v>
      </c>
      <c r="P71" s="92">
        <f>(R71)/J71</f>
        <v>2.5046235138705415E-2</v>
      </c>
      <c r="Q71" s="48">
        <f>J71/G71-1</f>
        <v>0.51400000000000001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2870</v>
      </c>
      <c r="O72" s="59">
        <f>SUM(O70:O71)</f>
        <v>434.62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3122954.25</v>
      </c>
      <c r="E74" s="39">
        <f>C74*K74</f>
        <v>3122954.25</v>
      </c>
      <c r="F74" s="87" t="s">
        <v>138</v>
      </c>
      <c r="G74" s="87">
        <v>0.1394</v>
      </c>
      <c r="H74" s="88">
        <v>0.15429999999999999</v>
      </c>
      <c r="I74" s="88">
        <v>0.15</v>
      </c>
      <c r="J74" s="89">
        <f>I74</f>
        <v>0.15</v>
      </c>
      <c r="K74" s="89">
        <f>J74</f>
        <v>0.15</v>
      </c>
      <c r="L74" s="45">
        <f>I74-H74</f>
        <v>-4.2999999999999983E-3</v>
      </c>
      <c r="M74" s="45">
        <f>((I74-H74)/H74)*100</f>
        <v>-2.7867790019442635</v>
      </c>
      <c r="N74" s="90">
        <v>3114</v>
      </c>
      <c r="O74" s="91">
        <v>467.1</v>
      </c>
      <c r="P74" s="68">
        <f>(R74)/J74</f>
        <v>0</v>
      </c>
      <c r="Q74" s="48">
        <f>J74/G74-1</f>
        <v>7.6040172166427444E-2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172312.31642512078</v>
      </c>
      <c r="E77" s="39">
        <f>C77*K77</f>
        <v>149808.3279</v>
      </c>
      <c r="F77" s="40" t="s">
        <v>138</v>
      </c>
      <c r="G77" s="67">
        <v>0.105</v>
      </c>
      <c r="H77" s="42">
        <v>9.9900000000000003E-2</v>
      </c>
      <c r="I77" s="42">
        <v>9.9000000000000005E-2</v>
      </c>
      <c r="J77" s="43">
        <f>I77/$J$5</f>
        <v>3.795721187025535E-3</v>
      </c>
      <c r="K77" s="44">
        <f>I77/$K$4</f>
        <v>3.3E-3</v>
      </c>
      <c r="L77" s="45">
        <f>I77-H77</f>
        <v>-8.9999999999999802E-4</v>
      </c>
      <c r="M77" s="93">
        <f>((I77-H77)/H77)*100</f>
        <v>-0.90090090090089903</v>
      </c>
      <c r="N77" s="37">
        <v>9500</v>
      </c>
      <c r="O77" s="37">
        <v>940.5</v>
      </c>
      <c r="P77" s="40">
        <v>0</v>
      </c>
      <c r="Q77" s="48">
        <f>I77/G77-1</f>
        <v>-5.7142857142857051E-2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287129.547580707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2.1087339927919639E-3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65000</v>
      </c>
      <c r="O78" s="37">
        <v>3575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1800845.5256498735</v>
      </c>
      <c r="E79" s="39">
        <f>C79*K79</f>
        <v>1565655.0999999999</v>
      </c>
      <c r="F79" s="40" t="s">
        <v>138</v>
      </c>
      <c r="G79" s="67">
        <v>6.0499999999999998E-2</v>
      </c>
      <c r="H79" s="42">
        <v>9.5000000000000001E-2</v>
      </c>
      <c r="I79" s="42">
        <v>9.5000000000000001E-2</v>
      </c>
      <c r="J79" s="43">
        <f>I79/$J$5</f>
        <v>3.6423587148224829E-3</v>
      </c>
      <c r="K79" s="44">
        <f>I79/$K$4</f>
        <v>3.1666666666666666E-3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0.57024793388429762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2445858.1627175831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5.9427957978682618E-2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74500</v>
      </c>
      <c r="O81" s="59">
        <f>SUM(O77:O80)</f>
        <v>4515.5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28243711.678552259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7.6681236101525954E-2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2277</v>
      </c>
      <c r="O83" s="37">
        <v>4554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84896103.113258183</v>
      </c>
      <c r="E84" s="39">
        <f>C84*K84</f>
        <v>73808672.046666667</v>
      </c>
      <c r="F84" s="40" t="s">
        <v>174</v>
      </c>
      <c r="G84" s="40">
        <v>1.44347</v>
      </c>
      <c r="H84" s="42">
        <v>1.138676</v>
      </c>
      <c r="I84" s="42">
        <v>1.20268</v>
      </c>
      <c r="J84" s="43">
        <f>I84/$J$5</f>
        <v>4.6111494517291615E-2</v>
      </c>
      <c r="K84" s="44">
        <f>I84/$K$4</f>
        <v>4.0089333333333331E-2</v>
      </c>
      <c r="L84" s="45">
        <f>I84-H84</f>
        <v>6.400399999999995E-2</v>
      </c>
      <c r="M84" s="45">
        <f>((I84-H84)/H84*100)</f>
        <v>5.6209141142871148</v>
      </c>
      <c r="N84" s="50">
        <v>283664</v>
      </c>
      <c r="O84" s="37">
        <v>341155.84499999997</v>
      </c>
      <c r="P84" s="47">
        <f>(R84)/J84</f>
        <v>4.718996906907906E-2</v>
      </c>
      <c r="Q84" s="48">
        <f>I84/G84-1</f>
        <v>-0.16681330405204131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285941</v>
      </c>
      <c r="O85" s="59">
        <f>SUM(O83:O84)</f>
        <v>345709.84499999997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178</v>
      </c>
      <c r="B87" s="136"/>
      <c r="C87" s="136"/>
      <c r="D87" s="137"/>
      <c r="E87" s="135" t="s">
        <v>179</v>
      </c>
      <c r="F87" s="136"/>
      <c r="G87" s="136"/>
      <c r="H87" s="137"/>
      <c r="L87" s="138" t="s">
        <v>180</v>
      </c>
      <c r="M87" s="139"/>
      <c r="N87" s="140"/>
      <c r="O87" s="138" t="s">
        <v>181</v>
      </c>
      <c r="P87" s="139"/>
      <c r="Q87" s="140"/>
    </row>
    <row r="88" spans="1:243" x14ac:dyDescent="0.25">
      <c r="A88" s="35" t="s">
        <v>50</v>
      </c>
      <c r="B88" s="110">
        <v>2.5680000000000001</v>
      </c>
      <c r="D88" s="110">
        <v>7.0000000000000062</v>
      </c>
      <c r="E88" s="35" t="s">
        <v>105</v>
      </c>
      <c r="F88" s="111">
        <v>1.5</v>
      </c>
      <c r="H88" s="112">
        <v>-14.285714285714285</v>
      </c>
      <c r="L88" s="35" t="s">
        <v>147</v>
      </c>
      <c r="M88" s="50">
        <v>6.8699999999999997E-2</v>
      </c>
      <c r="N88" s="113">
        <v>16.440677966101696</v>
      </c>
      <c r="O88" s="35" t="s">
        <v>122</v>
      </c>
      <c r="P88" s="111">
        <v>54.1845</v>
      </c>
      <c r="Q88" s="114">
        <v>-18.5304523154044</v>
      </c>
    </row>
    <row r="89" spans="1:243" x14ac:dyDescent="0.25">
      <c r="A89" s="35" t="s">
        <v>64</v>
      </c>
      <c r="B89" s="110">
        <v>1.2124999999999999</v>
      </c>
      <c r="C89" s="110"/>
      <c r="D89" s="110">
        <v>2.7542372881355912</v>
      </c>
      <c r="E89" s="35" t="s">
        <v>35</v>
      </c>
      <c r="F89" s="111">
        <v>0.06</v>
      </c>
      <c r="H89" s="112">
        <v>-12.348618760317301</v>
      </c>
      <c r="L89" s="35" t="s">
        <v>141</v>
      </c>
      <c r="M89" s="50">
        <v>0.29920000000000002</v>
      </c>
      <c r="N89" s="113">
        <v>10.609981515711645</v>
      </c>
      <c r="O89" s="35" t="s">
        <v>132</v>
      </c>
      <c r="P89" s="111">
        <v>0.15010000000000001</v>
      </c>
      <c r="Q89" s="114">
        <v>-0.33200531208499362</v>
      </c>
    </row>
    <row r="90" spans="1:243" x14ac:dyDescent="0.25">
      <c r="A90" s="35" t="s">
        <v>40</v>
      </c>
      <c r="B90" s="110">
        <v>170.34040000000002</v>
      </c>
      <c r="C90" s="110"/>
      <c r="D90" s="110">
        <v>2.1595962564359348</v>
      </c>
      <c r="E90" s="35" t="s">
        <v>101</v>
      </c>
      <c r="F90" s="111">
        <v>6.0792299999999999</v>
      </c>
      <c r="G90" s="111"/>
      <c r="H90" s="112">
        <v>-10.730837004405283</v>
      </c>
      <c r="L90" s="35" t="s">
        <v>136</v>
      </c>
      <c r="M90" s="50">
        <v>19.5</v>
      </c>
      <c r="N90" s="113">
        <v>8.3333333333333321</v>
      </c>
      <c r="O90" s="35"/>
      <c r="P90" s="111"/>
      <c r="Q90" s="114"/>
    </row>
    <row r="91" spans="1:243" x14ac:dyDescent="0.25">
      <c r="A91" s="35" t="s">
        <v>52</v>
      </c>
      <c r="B91" s="110">
        <v>31.7682</v>
      </c>
      <c r="C91" s="110"/>
      <c r="D91" s="110">
        <v>0.24771455709584439</v>
      </c>
      <c r="E91" s="35" t="s">
        <v>62</v>
      </c>
      <c r="F91" s="111">
        <v>1.6121490000000001</v>
      </c>
      <c r="G91" s="111"/>
      <c r="H91" s="112">
        <v>-7.4599235753905218</v>
      </c>
      <c r="L91" s="35" t="s">
        <v>126</v>
      </c>
      <c r="M91" s="50">
        <v>0.03</v>
      </c>
      <c r="N91" s="113">
        <v>7.142857142857137</v>
      </c>
      <c r="O91" s="35"/>
      <c r="P91" s="111"/>
      <c r="Q91" s="114"/>
    </row>
    <row r="92" spans="1:243" x14ac:dyDescent="0.25">
      <c r="A92" s="35" t="s">
        <v>72</v>
      </c>
      <c r="B92" s="110">
        <v>1.3</v>
      </c>
      <c r="C92" s="110"/>
      <c r="D92" s="110">
        <v>8.8000449626086164E-2</v>
      </c>
      <c r="E92" s="35" t="s">
        <v>95</v>
      </c>
      <c r="F92" s="111">
        <v>4.3570000000000005E-2</v>
      </c>
      <c r="G92" s="111"/>
      <c r="H92" s="112">
        <v>-5.034873583260679</v>
      </c>
      <c r="L92" s="35" t="s">
        <v>143</v>
      </c>
      <c r="M92" s="50">
        <v>0.60270000000000001</v>
      </c>
      <c r="N92" s="113">
        <v>2.3781212841854957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177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l83g20mt3YNBLltoSWved86vF7FSq9sEJgHh9zWrbIxQt4/MxLrgiCZ6s08JXUolH+sInwmuvzrAO5YOiwNeiw==" saltValue="zA2V73lOHSgjzAKDvgDHVg==" spinCount="100000" sheet="1"/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64" stopIfTrue="1"/>
  </conditionalFormatting>
  <conditionalFormatting sqref="A29:A34">
    <cfRule type="duplicateValues" dxfId="39" priority="65" stopIfTrue="1"/>
  </conditionalFormatting>
  <conditionalFormatting sqref="A90:A92">
    <cfRule type="duplicateValues" dxfId="38" priority="27" stopIfTrue="1"/>
  </conditionalFormatting>
  <conditionalFormatting sqref="L9:M26 L28:M47 L51:M64">
    <cfRule type="cellIs" dxfId="37" priority="60" stopIfTrue="1" operator="lessThan">
      <formula>0</formula>
    </cfRule>
    <cfRule type="cellIs" priority="63" stopIfTrue="1" operator="greaterThan">
      <formula>0</formula>
    </cfRule>
    <cfRule type="cellIs" dxfId="36" priority="62" stopIfTrue="1" operator="greaterThan">
      <formula>0</formula>
    </cfRule>
    <cfRule type="cellIs" dxfId="35" priority="61" stopIfTrue="1" operator="greaterThan">
      <formula>0</formula>
    </cfRule>
  </conditionalFormatting>
  <conditionalFormatting sqref="L9:M47 L51:M64">
    <cfRule type="cellIs" dxfId="34" priority="42" stopIfTrue="1" operator="greaterThan">
      <formula>0</formula>
    </cfRule>
    <cfRule type="cellIs" dxfId="33" priority="38" stopIfTrue="1" operator="lessThan">
      <formula>0</formula>
    </cfRule>
  </conditionalFormatting>
  <conditionalFormatting sqref="L27:M27">
    <cfRule type="cellIs" dxfId="32" priority="39" stopIfTrue="1" operator="greaterThan">
      <formula>0</formula>
    </cfRule>
    <cfRule type="cellIs" dxfId="31" priority="40" stopIfTrue="1" operator="lessThan">
      <formula>0</formula>
    </cfRule>
    <cfRule type="cellIs" dxfId="30" priority="41" stopIfTrue="1" operator="greaterThan">
      <formula>0</formula>
    </cfRule>
    <cfRule type="cellIs" priority="43" stopIfTrue="1" operator="greaterThan">
      <formula>0</formula>
    </cfRule>
  </conditionalFormatting>
  <conditionalFormatting sqref="L70:M71">
    <cfRule type="cellIs" dxfId="29" priority="29" stopIfTrue="1" operator="greaterThan">
      <formula>0</formula>
    </cfRule>
    <cfRule type="cellIs" dxfId="28" priority="28" stopIfTrue="1" operator="lessThan">
      <formula>0</formula>
    </cfRule>
    <cfRule type="cellIs" dxfId="27" priority="30" stopIfTrue="1" operator="lessThan">
      <formula>0</formula>
    </cfRule>
    <cfRule type="cellIs" dxfId="26" priority="31" stopIfTrue="1" operator="greaterThan">
      <formula>0</formula>
    </cfRule>
    <cfRule type="cellIs" dxfId="25" priority="32" stopIfTrue="1" operator="greaterThan">
      <formula>0</formula>
    </cfRule>
    <cfRule type="cellIs" priority="33" stopIfTrue="1" operator="greaterThan">
      <formula>0</formula>
    </cfRule>
  </conditionalFormatting>
  <conditionalFormatting sqref="L74:M74">
    <cfRule type="cellIs" dxfId="24" priority="21" stopIfTrue="1" operator="lessThan">
      <formula>0</formula>
    </cfRule>
    <cfRule type="cellIs" dxfId="23" priority="22" stopIfTrue="1" operator="greaterThan">
      <formula>0</formula>
    </cfRule>
    <cfRule type="cellIs" dxfId="22" priority="23" stopIfTrue="1" operator="greaterThan">
      <formula>0</formula>
    </cfRule>
    <cfRule type="cellIs" priority="24" stopIfTrue="1" operator="greaterThan">
      <formula>0</formula>
    </cfRule>
    <cfRule type="cellIs" dxfId="21" priority="19" stopIfTrue="1" operator="lessThan">
      <formula>0</formula>
    </cfRule>
    <cfRule type="cellIs" dxfId="20" priority="20" stopIfTrue="1" operator="greaterThan">
      <formula>0</formula>
    </cfRule>
  </conditionalFormatting>
  <conditionalFormatting sqref="L77:M80">
    <cfRule type="cellIs" dxfId="19" priority="54" stopIfTrue="1" operator="lessThan">
      <formula>0</formula>
    </cfRule>
    <cfRule type="cellIs" dxfId="18" priority="56" stopIfTrue="1" operator="lessThan">
      <formula>0</formula>
    </cfRule>
    <cfRule type="cellIs" dxfId="17" priority="57" stopIfTrue="1" operator="greaterThan">
      <formula>0</formula>
    </cfRule>
    <cfRule type="cellIs" dxfId="16" priority="58" stopIfTrue="1" operator="greaterThan">
      <formula>0</formula>
    </cfRule>
    <cfRule type="cellIs" priority="59" stopIfTrue="1" operator="greaterThan">
      <formula>0</formula>
    </cfRule>
    <cfRule type="cellIs" dxfId="15" priority="55" stopIfTrue="1" operator="greaterThan">
      <formula>0</formula>
    </cfRule>
  </conditionalFormatting>
  <conditionalFormatting sqref="L83:M84">
    <cfRule type="cellIs" dxfId="14" priority="48" stopIfTrue="1" operator="lessThan">
      <formula>0</formula>
    </cfRule>
    <cfRule type="cellIs" dxfId="13" priority="49" stopIfTrue="1" operator="greaterThan">
      <formula>0</formula>
    </cfRule>
    <cfRule type="cellIs" dxfId="12" priority="50" stopIfTrue="1" operator="lessThan">
      <formula>0</formula>
    </cfRule>
    <cfRule type="cellIs" dxfId="11" priority="51" stopIfTrue="1" operator="greaterThan">
      <formula>0</formula>
    </cfRule>
    <cfRule type="cellIs" dxfId="10" priority="52" stopIfTrue="1" operator="greaterThan">
      <formula>0</formula>
    </cfRule>
    <cfRule type="cellIs" priority="53" stopIfTrue="1" operator="greaterThan">
      <formula>0</formula>
    </cfRule>
  </conditionalFormatting>
  <conditionalFormatting sqref="Q9:Q47 Q51:Q64">
    <cfRule type="cellIs" dxfId="9" priority="37" stopIfTrue="1" operator="lessThan">
      <formula>0</formula>
    </cfRule>
    <cfRule type="cellIs" dxfId="8" priority="36" stopIfTrue="1" operator="greaterThan">
      <formula>0</formula>
    </cfRule>
  </conditionalFormatting>
  <conditionalFormatting sqref="Q70:Q71">
    <cfRule type="cellIs" dxfId="7" priority="35" stopIfTrue="1" operator="lessThan">
      <formula>0</formula>
    </cfRule>
    <cfRule type="cellIs" dxfId="6" priority="34" stopIfTrue="1" operator="greaterThan">
      <formula>0</formula>
    </cfRule>
  </conditionalFormatting>
  <conditionalFormatting sqref="Q74">
    <cfRule type="cellIs" dxfId="5" priority="26" stopIfTrue="1" operator="lessThan">
      <formula>0</formula>
    </cfRule>
    <cfRule type="cellIs" dxfId="4" priority="25" stopIfTrue="1" operator="greaterThan">
      <formula>0</formula>
    </cfRule>
  </conditionalFormatting>
  <conditionalFormatting sqref="Q77:Q80">
    <cfRule type="cellIs" dxfId="3" priority="46" stopIfTrue="1" operator="greaterThan">
      <formula>0</formula>
    </cfRule>
    <cfRule type="cellIs" dxfId="2" priority="47" stopIfTrue="1" operator="lessThan">
      <formula>0</formula>
    </cfRule>
  </conditionalFormatting>
  <conditionalFormatting sqref="Q83:Q84">
    <cfRule type="cellIs" dxfId="1" priority="44" stopIfTrue="1" operator="greaterThan">
      <formula>0</formula>
    </cfRule>
    <cfRule type="cellIs" dxfId="0" priority="45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Nelson Mrewa</cp:lastModifiedBy>
  <dcterms:created xsi:type="dcterms:W3CDTF">2026-05-19T14:49:05Z</dcterms:created>
  <dcterms:modified xsi:type="dcterms:W3CDTF">2026-05-19T15:20:15Z</dcterms:modified>
</cp:coreProperties>
</file>