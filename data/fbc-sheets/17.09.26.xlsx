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tetser\Desktop\17.09.26\"/>
    </mc:Choice>
  </mc:AlternateContent>
  <xr:revisionPtr revIDLastSave="0" documentId="13_ncr:1_{6EB23486-3384-44AC-B5C2-FE5388242BA5}" xr6:coauthVersionLast="47" xr6:coauthVersionMax="47" xr10:uidLastSave="{00000000-0000-0000-0000-000000000000}"/>
  <bookViews>
    <workbookView xWindow="-120" yWindow="-120" windowWidth="29040" windowHeight="15720" xr2:uid="{70DFDADE-B33B-42B3-B8D1-29B36A22C46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Q54" i="1"/>
  <c r="P54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P50" i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P39" i="1" s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P75" i="1"/>
  <c r="K75" i="1"/>
  <c r="E75" i="1" s="1"/>
  <c r="Q72" i="1"/>
  <c r="P72" i="1"/>
  <c r="K72" i="1"/>
  <c r="E72" i="1" s="1"/>
  <c r="Q71" i="1"/>
  <c r="P71" i="1"/>
  <c r="K71" i="1"/>
  <c r="E71" i="1" s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P53" i="1"/>
  <c r="Q53" i="1"/>
  <c r="P51" i="1"/>
  <c r="Q51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<sst xmlns="http://schemas.openxmlformats.org/spreadsheetml/2006/main" count="271" uniqueCount="185">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</sst>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5" applyNumberFormat="1" applyFont="1" applyFill="1" applyBorder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5" applyNumberFormat="1" applyFont="1" applyFill="1" applyBorder="1"/>
    <xf numFmtId="43" fontId="15" fillId="5" borderId="0" xfId="5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5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" xfId="3" xr:uid="{898131EA-D8BE-4488-A2D5-BB65892BF13E}"/>
    <cellStyle name="Comma 5 2 2 2 2 2 2 2 2 2 2 2 2" xfId="4" xr:uid="{62099AB4-460A-4BC8-B123-204FCCDB081E}"/>
    <cellStyle name="Comma 6 2 2 2 2 2 2 2" xfId="5" xr:uid="{B3A702E7-CE68-4BD9-A46D-1132BEAB6AF8}"/>
    <cellStyle name="Hyperlink 2" xfId="8" xr:uid="{C2612F49-C517-4783-8325-A9D23098AB83}"/>
    <cellStyle name="Normal" xfId="0" builtinId="0"/>
    <cellStyle name="Normal 2" xfId="2" xr:uid="{74024E94-A05C-46C7-B12C-117C30D1F8D6}"/>
    <cellStyle name="Normal 20" xfId="7" xr:uid="{CAD8DF36-2FA0-42C4-8919-5F385FD94740}"/>
    <cellStyle name="Percent" xfId="1" builtinId="5"/>
    <cellStyle name="Percent 3" xfId="6" xr:uid="{C6B536CC-317B-4292-8E1F-7FE0B3EE9562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BA996ED-8711-4959-95A7-49BFFD6B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1EE4934-990E-4302-B7D6-AE65F4B3D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3CF2-1B61-4DC2-865C-EDBC8F12D6FA}">
  <dimension ref="A1:II107"/>
  <sheetViews>
    <sheetView tabSelected="1" topLeftCell="A39" zoomScale="70" zoomScaleNormal="70" workbookViewId="0">
      <selection activeCell="O60" sqref="O60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26.6691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81521088.928760245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0.64681597804200364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2.3190521739130436E-2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3783349.5277305944</v>
      </c>
      <c r="E10" s="39">
        <f t="shared" si="1"/>
        <v>3153078.9653125</v>
      </c>
      <c r="F10" s="40" t="s">
        <v>34</v>
      </c>
      <c r="G10" s="41">
        <v>3.1600000000000003E-2</v>
      </c>
      <c r="H10" s="42">
        <v>5.4119E-2</v>
      </c>
      <c r="I10" s="43">
        <v>6.2E-2</v>
      </c>
      <c r="J10" s="44">
        <f t="shared" ref="J10:J17" si="7">I10/$J$5</f>
        <v>2.3247878631074913E-3</v>
      </c>
      <c r="K10" s="45">
        <f t="shared" si="2"/>
        <v>1.9375E-3</v>
      </c>
      <c r="L10" s="46">
        <f t="shared" si="3"/>
        <v>7.8809999999999991E-3</v>
      </c>
      <c r="M10" s="46">
        <f t="shared" si="4"/>
        <v>14.562353332471034</v>
      </c>
      <c r="N10" s="51">
        <v>36800</v>
      </c>
      <c r="O10" s="37">
        <v>2281.6</v>
      </c>
      <c r="P10" s="52">
        <f t="shared" si="5"/>
        <v>0</v>
      </c>
      <c r="Q10" s="49">
        <f t="shared" si="6"/>
        <v>0.962025316455696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3285223.7413148549</v>
      </c>
      <c r="E11" s="39">
        <f t="shared" si="1"/>
        <v>2737936.2649843753</v>
      </c>
      <c r="F11" s="40" t="s">
        <v>39</v>
      </c>
      <c r="G11" s="41">
        <v>7.8E-2</v>
      </c>
      <c r="H11" s="42">
        <v>0.20050000000000001</v>
      </c>
      <c r="I11" s="43">
        <v>0.20050000000000001</v>
      </c>
      <c r="J11" s="44">
        <f t="shared" si="7"/>
        <v>7.5180639766621298E-3</v>
      </c>
      <c r="K11" s="45">
        <f t="shared" si="2"/>
        <v>6.2656250000000004E-3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1.5705128205128207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131778968.16516867</v>
      </c>
      <c r="E12" s="39">
        <f t="shared" si="1"/>
        <v>109825827.49667813</v>
      </c>
      <c r="F12" s="40" t="s">
        <v>34</v>
      </c>
      <c r="G12" s="41">
        <v>97.381</v>
      </c>
      <c r="H12" s="42">
        <v>180.97</v>
      </c>
      <c r="I12" s="43">
        <v>170.3261</v>
      </c>
      <c r="J12" s="44">
        <f t="shared" si="7"/>
        <v>6.3866459685553689</v>
      </c>
      <c r="K12" s="45">
        <f t="shared" si="2"/>
        <v>5.3226906249999999</v>
      </c>
      <c r="L12" s="46">
        <f t="shared" si="3"/>
        <v>-10.643900000000002</v>
      </c>
      <c r="M12" s="46">
        <f t="shared" si="4"/>
        <v>-5.8815825827485231</v>
      </c>
      <c r="N12" s="51">
        <v>4600</v>
      </c>
      <c r="O12" s="37">
        <v>783500</v>
      </c>
      <c r="P12" s="52">
        <f t="shared" si="5"/>
        <v>0</v>
      </c>
      <c r="Q12" s="49">
        <f t="shared" si="6"/>
        <v>0.74906912025959893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8188416.5569891753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0.93741446093044012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760732291.47635269</v>
      </c>
      <c r="E14" s="39">
        <f t="shared" si="1"/>
        <v>634001423.58162498</v>
      </c>
      <c r="F14" s="40" t="s">
        <v>47</v>
      </c>
      <c r="G14" s="41">
        <v>11.5</v>
      </c>
      <c r="H14" s="42">
        <v>38.9998</v>
      </c>
      <c r="I14" s="43">
        <v>38.816800000000001</v>
      </c>
      <c r="J14" s="44">
        <f t="shared" si="7"/>
        <v>1.4554971858817882</v>
      </c>
      <c r="K14" s="45">
        <f t="shared" si="2"/>
        <v>1.213025</v>
      </c>
      <c r="L14" s="46">
        <f t="shared" si="3"/>
        <v>-0.18299999999999983</v>
      </c>
      <c r="M14" s="46">
        <f t="shared" si="4"/>
        <v>-0.46923317555474597</v>
      </c>
      <c r="N14" s="51">
        <v>1100</v>
      </c>
      <c r="O14" s="37">
        <v>42698.5</v>
      </c>
      <c r="P14" s="52">
        <f t="shared" si="5"/>
        <v>0</v>
      </c>
      <c r="Q14" s="49">
        <f t="shared" si="6"/>
        <v>2.3753739130434783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31531027.996820286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0.29734786700713556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73830939.889235109</v>
      </c>
      <c r="E16" s="39">
        <f t="shared" si="1"/>
        <v>61531397.46875</v>
      </c>
      <c r="F16" s="40" t="s">
        <v>34</v>
      </c>
      <c r="G16" s="41">
        <v>1.9</v>
      </c>
      <c r="H16" s="42">
        <v>5.9950000000000001</v>
      </c>
      <c r="I16" s="43">
        <v>5.5</v>
      </c>
      <c r="J16" s="44">
        <f t="shared" si="7"/>
        <v>0.20623118140469682</v>
      </c>
      <c r="K16" s="45">
        <f t="shared" si="2"/>
        <v>0.171875</v>
      </c>
      <c r="L16" s="46">
        <f t="shared" si="3"/>
        <v>-0.49500000000000011</v>
      </c>
      <c r="M16" s="46">
        <f t="shared" si="4"/>
        <v>-8.2568807339449553</v>
      </c>
      <c r="N16" s="51">
        <v>200</v>
      </c>
      <c r="O16" s="37">
        <v>1100</v>
      </c>
      <c r="P16" s="52">
        <f t="shared" si="5"/>
        <v>0.24244636363636365</v>
      </c>
      <c r="Q16" s="49">
        <f t="shared" si="6"/>
        <v>1.8947368421052633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1421303711.0468106</v>
      </c>
      <c r="E17" s="39">
        <f t="shared" si="1"/>
        <v>1184527837.508703</v>
      </c>
      <c r="F17" s="40" t="s">
        <v>34</v>
      </c>
      <c r="G17" s="41">
        <v>20.701700000000002</v>
      </c>
      <c r="H17" s="42">
        <v>28.130100000000002</v>
      </c>
      <c r="I17" s="43">
        <v>28.124299999999998</v>
      </c>
      <c r="J17" s="44">
        <f t="shared" si="7"/>
        <v>1.0545650209418389</v>
      </c>
      <c r="K17" s="45">
        <f t="shared" si="2"/>
        <v>0.87888437499999994</v>
      </c>
      <c r="L17" s="46">
        <f t="shared" si="3"/>
        <v>-5.8000000000042462E-3</v>
      </c>
      <c r="M17" s="46">
        <f t="shared" si="4"/>
        <v>-2.061848340391341E-2</v>
      </c>
      <c r="N17" s="51">
        <v>246300</v>
      </c>
      <c r="O17" s="37">
        <v>6927013.2999999998</v>
      </c>
      <c r="P17" s="48">
        <f t="shared" si="5"/>
        <v>0</v>
      </c>
      <c r="Q17" s="49">
        <f t="shared" si="6"/>
        <v>0.3585502639879814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339838742.97907692</v>
      </c>
      <c r="E19" s="39">
        <f t="shared" si="1"/>
        <v>283224794.38697815</v>
      </c>
      <c r="F19" s="40" t="s">
        <v>47</v>
      </c>
      <c r="G19" s="41">
        <v>12.45</v>
      </c>
      <c r="H19" s="42">
        <v>13.5</v>
      </c>
      <c r="I19" s="43">
        <v>13.4879</v>
      </c>
      <c r="J19" s="44">
        <f t="shared" ref="J19:J45" si="8">I19/$J$5</f>
        <v>0.50575010030334733</v>
      </c>
      <c r="K19" s="45">
        <f t="shared" ref="K19:K45" si="9">I19/$K$4</f>
        <v>0.42149687499999999</v>
      </c>
      <c r="L19" s="46">
        <f t="shared" ref="L19:L29" si="10">I19-H19</f>
        <v>-1.2100000000000222E-2</v>
      </c>
      <c r="M19" s="46">
        <f>((I19-H19)/H19)*100</f>
        <v>-8.9629629629631266E-2</v>
      </c>
      <c r="N19" s="51">
        <v>36400</v>
      </c>
      <c r="O19" s="37">
        <v>490959.25</v>
      </c>
      <c r="P19" s="52">
        <f>(R19)/J19</f>
        <v>0</v>
      </c>
      <c r="Q19" s="49">
        <f t="shared" ref="Q19:Q29" si="11">I19/G19-1</f>
        <v>8.3365461847389577E-2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3798353.173897882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3.4871817946612371E-2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86432531.29651919</v>
      </c>
      <c r="E21" s="39">
        <f t="shared" si="1"/>
        <v>72033681.887500003</v>
      </c>
      <c r="F21" s="40" t="s">
        <v>47</v>
      </c>
      <c r="G21" s="41">
        <v>2.85</v>
      </c>
      <c r="H21" s="42">
        <v>3.34</v>
      </c>
      <c r="I21" s="43">
        <v>3.34</v>
      </c>
      <c r="J21" s="44">
        <f t="shared" si="8"/>
        <v>0.1252385719803068</v>
      </c>
      <c r="K21" s="45">
        <f t="shared" si="9"/>
        <v>0.104375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0.17192982456140338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1811545.6937214981</v>
      </c>
      <c r="E23" s="39">
        <f t="shared" si="1"/>
        <v>1509759.1643883751</v>
      </c>
      <c r="F23" s="40" t="s">
        <v>44</v>
      </c>
      <c r="G23" s="41">
        <v>0.1</v>
      </c>
      <c r="H23" s="42">
        <v>0.1</v>
      </c>
      <c r="I23" s="43">
        <v>9.0036000000000005E-2</v>
      </c>
      <c r="J23" s="44">
        <f t="shared" si="8"/>
        <v>3.3760419361733244E-3</v>
      </c>
      <c r="K23" s="45">
        <f t="shared" si="9"/>
        <v>2.8136250000000002E-3</v>
      </c>
      <c r="L23" s="46">
        <f t="shared" si="10"/>
        <v>-9.9640000000000006E-3</v>
      </c>
      <c r="M23" s="46">
        <f t="shared" ref="M23:M29" si="12">((I23-H23)/H23)*100</f>
        <v>-9.9640000000000004</v>
      </c>
      <c r="N23" s="51">
        <v>39500</v>
      </c>
      <c r="O23" s="37">
        <v>3556.42</v>
      </c>
      <c r="P23" s="52">
        <f t="shared" ref="P23:P29" si="13">(R23)/J23</f>
        <v>0</v>
      </c>
      <c r="Q23" s="49">
        <f t="shared" si="11"/>
        <v>-9.9639999999999951E-2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66520098.44738248</v>
      </c>
      <c r="E24" s="39">
        <f t="shared" si="1"/>
        <v>55438473.6719715</v>
      </c>
      <c r="F24" s="40" t="s">
        <v>34</v>
      </c>
      <c r="G24" s="41">
        <v>8.1687659999999997</v>
      </c>
      <c r="H24" s="42">
        <v>9.1908919999999998</v>
      </c>
      <c r="I24" s="43">
        <v>9.1908919999999998</v>
      </c>
      <c r="J24" s="44">
        <f t="shared" si="8"/>
        <v>0.34462700278599578</v>
      </c>
      <c r="K24" s="45">
        <f t="shared" si="9"/>
        <v>0.28721537499999999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4.3525318326012315E-2</v>
      </c>
      <c r="Q24" s="49">
        <f t="shared" si="11"/>
        <v>0.12512612064049833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92581502.53048259</v>
      </c>
      <c r="E25" s="39">
        <f t="shared" si="1"/>
        <v>77158292.160490409</v>
      </c>
      <c r="F25" s="40" t="s">
        <v>66</v>
      </c>
      <c r="G25" s="41">
        <v>1.6675</v>
      </c>
      <c r="H25" s="42">
        <v>1.4585710000000001</v>
      </c>
      <c r="I25" s="43">
        <v>1.4630770000000002</v>
      </c>
      <c r="J25" s="44">
        <f t="shared" si="8"/>
        <v>5.4860381490189028E-2</v>
      </c>
      <c r="K25" s="45">
        <f t="shared" si="9"/>
        <v>4.5721156250000006E-2</v>
      </c>
      <c r="L25" s="46">
        <f t="shared" si="10"/>
        <v>4.506000000000121E-3</v>
      </c>
      <c r="M25" s="46">
        <f t="shared" si="12"/>
        <v>0.30893250997038341</v>
      </c>
      <c r="N25" s="51">
        <v>1300</v>
      </c>
      <c r="O25" s="37">
        <v>1902</v>
      </c>
      <c r="P25" s="52">
        <f t="shared" si="13"/>
        <v>0</v>
      </c>
      <c r="Q25" s="49">
        <f t="shared" si="11"/>
        <v>-0.1225925037481258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31334169.087473668</v>
      </c>
      <c r="E26" s="39">
        <f t="shared" si="1"/>
        <v>26114190.275335751</v>
      </c>
      <c r="F26" s="40" t="s">
        <v>44</v>
      </c>
      <c r="G26" s="41">
        <v>1.7994999999999999</v>
      </c>
      <c r="H26" s="42">
        <v>3.4907920000000003</v>
      </c>
      <c r="I26" s="43">
        <v>3.4907920000000003</v>
      </c>
      <c r="J26" s="44">
        <f t="shared" si="8"/>
        <v>0.13089275603601172</v>
      </c>
      <c r="K26" s="45">
        <f t="shared" si="9"/>
        <v>0.10908725000000001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0.93986774103917781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23147511.007495567</v>
      </c>
      <c r="E27" s="39">
        <f t="shared" si="1"/>
        <v>19291352.681562502</v>
      </c>
      <c r="F27" s="40" t="s">
        <v>34</v>
      </c>
      <c r="G27" s="41">
        <v>3.1361369999999997</v>
      </c>
      <c r="H27" s="42">
        <v>2.4024999999999999</v>
      </c>
      <c r="I27" s="43">
        <v>2.41</v>
      </c>
      <c r="J27" s="44">
        <f t="shared" si="8"/>
        <v>9.036675403369443E-2</v>
      </c>
      <c r="K27" s="45">
        <f t="shared" si="9"/>
        <v>7.5312500000000004E-2</v>
      </c>
      <c r="L27" s="46">
        <f t="shared" si="10"/>
        <v>7.5000000000002842E-3</v>
      </c>
      <c r="M27" s="46">
        <f t="shared" si="12"/>
        <v>0.31217481789803475</v>
      </c>
      <c r="N27" s="51">
        <v>9800</v>
      </c>
      <c r="O27" s="37">
        <v>23618</v>
      </c>
      <c r="P27" s="52">
        <f t="shared" si="13"/>
        <v>0</v>
      </c>
      <c r="Q27" s="49">
        <f t="shared" si="11"/>
        <v>-0.23153867321484989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22679983.359203909</v>
      </c>
      <c r="E28" s="39">
        <f t="shared" si="1"/>
        <v>18901710.75640453</v>
      </c>
      <c r="F28" s="40" t="s">
        <v>44</v>
      </c>
      <c r="G28" s="41">
        <v>0.8</v>
      </c>
      <c r="H28" s="42">
        <v>0.9</v>
      </c>
      <c r="I28" s="43">
        <v>0.80044499999999996</v>
      </c>
      <c r="J28" s="44">
        <f t="shared" si="8"/>
        <v>3.0013948727178642E-2</v>
      </c>
      <c r="K28" s="45">
        <f t="shared" si="9"/>
        <v>2.5013906249999999E-2</v>
      </c>
      <c r="L28" s="46">
        <f t="shared" si="10"/>
        <v>-9.955500000000006E-2</v>
      </c>
      <c r="M28" s="46">
        <f t="shared" si="12"/>
        <v>-11.061666666666673</v>
      </c>
      <c r="N28" s="51">
        <v>697300</v>
      </c>
      <c r="O28" s="37">
        <v>558150</v>
      </c>
      <c r="P28" s="52">
        <f t="shared" si="13"/>
        <v>0</v>
      </c>
      <c r="Q28" s="49">
        <f t="shared" si="11"/>
        <v>5.5624999999981384E-4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114686011.09823728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0.25535169915745187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14128939.165551143</v>
      </c>
      <c r="E31" s="39">
        <f t="shared" si="1"/>
        <v>11775190.359375</v>
      </c>
      <c r="F31" s="40" t="s">
        <v>39</v>
      </c>
      <c r="G31" s="41">
        <v>1.4</v>
      </c>
      <c r="H31" s="42">
        <v>1.4305000000000001</v>
      </c>
      <c r="I31" s="43">
        <v>1.45</v>
      </c>
      <c r="J31" s="44">
        <f t="shared" si="8"/>
        <v>5.4370038733965523E-2</v>
      </c>
      <c r="K31" s="45">
        <f t="shared" si="9"/>
        <v>4.5312499999999999E-2</v>
      </c>
      <c r="L31" s="46">
        <f t="shared" ref="L31:L45" si="14">I31-H31</f>
        <v>1.9499999999999851E-2</v>
      </c>
      <c r="M31" s="46">
        <f t="shared" ref="M31:M45" si="15">((I31-H31)/H31)*100</f>
        <v>1.3631597343586055</v>
      </c>
      <c r="N31" s="51">
        <v>100</v>
      </c>
      <c r="O31" s="37">
        <v>145</v>
      </c>
      <c r="P31" s="52">
        <f t="shared" ref="P31:P36" si="16">(R31)/J31</f>
        <v>0</v>
      </c>
      <c r="Q31" s="49">
        <f t="shared" ref="Q31:Q45" si="17">I31/G31-1</f>
        <v>3.5714285714285809E-2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4118118.8341563833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3.3746920593495842E-2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200</v>
      </c>
      <c r="O32" s="37">
        <v>180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132888639.61722296</v>
      </c>
      <c r="E33" s="39">
        <f t="shared" si="1"/>
        <v>110750638.08799003</v>
      </c>
      <c r="F33" s="40" t="s">
        <v>92</v>
      </c>
      <c r="G33" s="41">
        <v>1.44</v>
      </c>
      <c r="H33" s="42">
        <v>1.4205000000000001</v>
      </c>
      <c r="I33" s="43">
        <v>1.420167</v>
      </c>
      <c r="J33" s="44">
        <f t="shared" si="8"/>
        <v>5.3251403309448012E-2</v>
      </c>
      <c r="K33" s="45">
        <f t="shared" si="9"/>
        <v>4.4380218749999999E-2</v>
      </c>
      <c r="L33" s="46">
        <f t="shared" si="14"/>
        <v>-3.3300000000013874E-4</v>
      </c>
      <c r="M33" s="46">
        <f t="shared" si="15"/>
        <v>-2.3442449841614834E-2</v>
      </c>
      <c r="N33" s="51">
        <v>600</v>
      </c>
      <c r="O33" s="37">
        <v>852.1</v>
      </c>
      <c r="P33" s="52">
        <f t="shared" si="16"/>
        <v>0</v>
      </c>
      <c r="Q33" s="49">
        <f t="shared" si="17"/>
        <v>-1.377291666666669E-2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39921530.500802383</v>
      </c>
      <c r="E34" s="39">
        <f t="shared" si="1"/>
        <v>33270977.783717155</v>
      </c>
      <c r="F34" s="40" t="s">
        <v>34</v>
      </c>
      <c r="G34" s="41">
        <v>3.6056249999999999</v>
      </c>
      <c r="H34" s="42">
        <v>4.6339620000000004</v>
      </c>
      <c r="I34" s="43">
        <v>4.2000029999999997</v>
      </c>
      <c r="J34" s="44">
        <f t="shared" si="8"/>
        <v>0.15748574192604922</v>
      </c>
      <c r="K34" s="45">
        <f t="shared" si="9"/>
        <v>0.13125009374999999</v>
      </c>
      <c r="L34" s="46">
        <f t="shared" si="14"/>
        <v>-0.43395900000000065</v>
      </c>
      <c r="M34" s="46">
        <f t="shared" si="15"/>
        <v>-9.3647509409874452</v>
      </c>
      <c r="N34" s="51">
        <v>706200</v>
      </c>
      <c r="O34" s="37">
        <v>2966042.05</v>
      </c>
      <c r="P34" s="52">
        <f t="shared" si="16"/>
        <v>0</v>
      </c>
      <c r="Q34" s="49">
        <f t="shared" si="17"/>
        <v>0.16484742589703583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9723973.552913297</v>
      </c>
      <c r="E35" s="39">
        <f t="shared" si="1"/>
        <v>8104050.7212500004</v>
      </c>
      <c r="F35" s="40" t="s">
        <v>34</v>
      </c>
      <c r="G35" s="41">
        <v>2.5099999999999997E-2</v>
      </c>
      <c r="H35" s="42">
        <v>5.5027999999999994E-2</v>
      </c>
      <c r="I35" s="43">
        <v>5.5E-2</v>
      </c>
      <c r="J35" s="44">
        <f t="shared" si="8"/>
        <v>2.0623118140469681E-3</v>
      </c>
      <c r="K35" s="45">
        <f t="shared" si="9"/>
        <v>1.71875E-3</v>
      </c>
      <c r="L35" s="46">
        <f t="shared" si="14"/>
        <v>-2.7999999999993308E-5</v>
      </c>
      <c r="M35" s="46">
        <f t="shared" si="15"/>
        <v>-5.0883186741283185E-2</v>
      </c>
      <c r="N35" s="51">
        <v>5000</v>
      </c>
      <c r="O35" s="37">
        <v>275</v>
      </c>
      <c r="P35" s="52">
        <f t="shared" si="16"/>
        <v>0</v>
      </c>
      <c r="Q35" s="49">
        <f t="shared" si="17"/>
        <v>1.1912350597609564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67077450.02985467</v>
      </c>
      <c r="E36" s="39">
        <f t="shared" si="1"/>
        <v>55902975.705974907</v>
      </c>
      <c r="F36" s="40" t="s">
        <v>92</v>
      </c>
      <c r="G36" s="41">
        <v>0.61</v>
      </c>
      <c r="H36" s="42">
        <v>3.5382289999999998</v>
      </c>
      <c r="I36" s="43">
        <v>3.4068290000000001</v>
      </c>
      <c r="J36" s="44">
        <f t="shared" si="8"/>
        <v>0.12774443082068762</v>
      </c>
      <c r="K36" s="45">
        <f t="shared" si="9"/>
        <v>0.10646340625</v>
      </c>
      <c r="L36" s="46">
        <f t="shared" si="14"/>
        <v>-0.13139999999999974</v>
      </c>
      <c r="M36" s="46">
        <f t="shared" si="15"/>
        <v>-3.7137223170122606</v>
      </c>
      <c r="N36" s="51">
        <v>4100</v>
      </c>
      <c r="O36" s="37">
        <v>13968</v>
      </c>
      <c r="P36" s="52">
        <f t="shared" si="16"/>
        <v>0</v>
      </c>
      <c r="Q36" s="49">
        <f t="shared" si="17"/>
        <v>4.584965573770492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75470689.220820829</v>
      </c>
      <c r="E37" s="39">
        <f t="shared" si="1"/>
        <v>62897979.934343524</v>
      </c>
      <c r="F37" s="40" t="s">
        <v>56</v>
      </c>
      <c r="G37" s="41">
        <v>0.11650199999999999</v>
      </c>
      <c r="H37" s="42">
        <v>0.45045299999999999</v>
      </c>
      <c r="I37" s="43">
        <v>0.47981699999999994</v>
      </c>
      <c r="J37" s="44">
        <f t="shared" si="8"/>
        <v>1.7991495776010436E-2</v>
      </c>
      <c r="K37" s="45">
        <f t="shared" si="9"/>
        <v>1.4994281249999998E-2</v>
      </c>
      <c r="L37" s="46">
        <f t="shared" si="14"/>
        <v>2.9363999999999946E-2</v>
      </c>
      <c r="M37" s="46">
        <f t="shared" si="15"/>
        <v>6.5187711037555411</v>
      </c>
      <c r="N37" s="51">
        <v>215100</v>
      </c>
      <c r="O37" s="37">
        <v>103208.55</v>
      </c>
      <c r="P37" s="52">
        <v>0</v>
      </c>
      <c r="Q37" s="49">
        <f t="shared" si="17"/>
        <v>3.1185301539887726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22736409.294258151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5.268269270429074E-3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9182565.0321908128</v>
      </c>
      <c r="E39" s="39">
        <f t="shared" si="1"/>
        <v>7652835.7843749998</v>
      </c>
      <c r="F39" s="40" t="s">
        <v>44</v>
      </c>
      <c r="G39" s="41">
        <v>1.7452379999999998</v>
      </c>
      <c r="H39" s="42">
        <v>2.0010829999999999</v>
      </c>
      <c r="I39" s="43">
        <v>2.2999999999999998</v>
      </c>
      <c r="J39" s="44">
        <f t="shared" si="8"/>
        <v>8.6242130405600484E-2</v>
      </c>
      <c r="K39" s="45">
        <f t="shared" si="9"/>
        <v>7.1874999999999994E-2</v>
      </c>
      <c r="L39" s="46">
        <f t="shared" si="14"/>
        <v>0.29891699999999988</v>
      </c>
      <c r="M39" s="46">
        <f t="shared" si="15"/>
        <v>14.937761202308945</v>
      </c>
      <c r="N39" s="51">
        <v>100</v>
      </c>
      <c r="O39" s="37">
        <v>230</v>
      </c>
      <c r="P39" s="52">
        <f t="shared" si="18"/>
        <v>0</v>
      </c>
      <c r="Q39" s="49">
        <f t="shared" si="17"/>
        <v>0.31787183180746692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4360617.3212142894</v>
      </c>
      <c r="E40" s="39">
        <f t="shared" si="1"/>
        <v>3634179.3562873756</v>
      </c>
      <c r="F40" s="40" t="s">
        <v>39</v>
      </c>
      <c r="G40" s="41">
        <v>0.03</v>
      </c>
      <c r="H40" s="42">
        <v>6.5381999999999996E-2</v>
      </c>
      <c r="I40" s="43">
        <v>6.5407000000000007E-2</v>
      </c>
      <c r="J40" s="44">
        <f t="shared" si="8"/>
        <v>2.4525387058430921E-3</v>
      </c>
      <c r="K40" s="45">
        <f t="shared" si="9"/>
        <v>2.0439687500000002E-3</v>
      </c>
      <c r="L40" s="46">
        <f t="shared" si="14"/>
        <v>2.5000000000011124E-5</v>
      </c>
      <c r="M40" s="46">
        <f t="shared" si="15"/>
        <v>3.8236823590607705E-2</v>
      </c>
      <c r="N40" s="51">
        <v>1500</v>
      </c>
      <c r="O40" s="37">
        <v>98.11</v>
      </c>
      <c r="P40" s="52">
        <f t="shared" si="18"/>
        <v>0</v>
      </c>
      <c r="Q40" s="49">
        <f t="shared" si="17"/>
        <v>1.1802333333333337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45983347.544536561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0.26247604906052324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312.72438507486191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6.7493841186991691E-7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1555058.1009482886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2.6997536474796676E-3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66813443.658766136</v>
      </c>
      <c r="E44" s="39">
        <f t="shared" si="1"/>
        <v>55682950.321249999</v>
      </c>
      <c r="F44" s="40" t="s">
        <v>47</v>
      </c>
      <c r="G44" s="41">
        <v>0.9998999999999999</v>
      </c>
      <c r="H44" s="42">
        <v>0.98</v>
      </c>
      <c r="I44" s="43">
        <v>0.98</v>
      </c>
      <c r="J44" s="44">
        <f t="shared" si="8"/>
        <v>3.6746646868473253E-2</v>
      </c>
      <c r="K44" s="45">
        <f t="shared" si="9"/>
        <v>3.0624999999999999E-2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-1.9901990199019837E-2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13094651.413058557</v>
      </c>
      <c r="E45" s="39">
        <f t="shared" si="1"/>
        <v>10913205.25</v>
      </c>
      <c r="F45" s="40" t="s">
        <v>47</v>
      </c>
      <c r="G45" s="41">
        <v>1.4503460000000001</v>
      </c>
      <c r="H45" s="42">
        <v>3.4</v>
      </c>
      <c r="I45" s="43">
        <v>3.4</v>
      </c>
      <c r="J45" s="44">
        <f t="shared" si="8"/>
        <v>0.12748836668653984</v>
      </c>
      <c r="K45" s="45">
        <f t="shared" si="9"/>
        <v>0.10625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1.3442681953133939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2006200</v>
      </c>
      <c r="O47" s="62">
        <f>SUM(O9:O45)</f>
        <v>11919777.879999999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89078891.530200005</v>
      </c>
      <c r="E50" s="39">
        <v>0</v>
      </c>
      <c r="F50" s="40" t="s">
        <v>92</v>
      </c>
      <c r="G50" s="71">
        <v>0.1</v>
      </c>
      <c r="H50" s="42">
        <v>0.1595</v>
      </c>
      <c r="I50" s="42">
        <v>0.1573</v>
      </c>
      <c r="J50" s="44">
        <f t="shared" ref="J50:J65" si="20">I50</f>
        <v>0.1573</v>
      </c>
      <c r="K50" s="39">
        <v>0</v>
      </c>
      <c r="L50" s="46">
        <f t="shared" ref="L50:L65" si="21">I50-H50</f>
        <v>-2.2000000000000075E-3</v>
      </c>
      <c r="M50" s="46">
        <f t="shared" ref="M50:M65" si="22">((I50-H50)/H50)*100</f>
        <v>-1.379310344827591</v>
      </c>
      <c r="N50" s="51">
        <v>6181</v>
      </c>
      <c r="O50" s="37">
        <v>972.47</v>
      </c>
      <c r="P50" s="72">
        <f>(R50)/J50</f>
        <v>0</v>
      </c>
      <c r="Q50" s="49">
        <f t="shared" ref="Q50:Q65" si="23">J50/G50-1</f>
        <v>0.57299999999999995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43184538.799799994</v>
      </c>
      <c r="E51" s="39">
        <v>0</v>
      </c>
      <c r="F51" s="40" t="s">
        <v>39</v>
      </c>
      <c r="G51" s="71">
        <v>39.9</v>
      </c>
      <c r="H51" s="42">
        <v>39</v>
      </c>
      <c r="I51" s="42">
        <v>38.838299999999997</v>
      </c>
      <c r="J51" s="44">
        <f t="shared" si="20"/>
        <v>38.838299999999997</v>
      </c>
      <c r="K51" s="39">
        <v>0</v>
      </c>
      <c r="L51" s="46">
        <f t="shared" si="21"/>
        <v>-0.16170000000000329</v>
      </c>
      <c r="M51" s="46">
        <f t="shared" si="22"/>
        <v>-0.41461538461539305</v>
      </c>
      <c r="N51" s="51">
        <v>21203</v>
      </c>
      <c r="O51" s="37">
        <v>823488.15</v>
      </c>
      <c r="P51" s="73">
        <f>(R51)/J51</f>
        <v>1.4418756742699863E-2</v>
      </c>
      <c r="Q51" s="49">
        <f t="shared" si="23"/>
        <v>-2.6609022556390971E-2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672638288.03439999</v>
      </c>
      <c r="E52" s="39"/>
      <c r="F52" s="40" t="s">
        <v>56</v>
      </c>
      <c r="G52" s="71">
        <v>0.33</v>
      </c>
      <c r="H52" s="42">
        <v>0.2235</v>
      </c>
      <c r="I52" s="42">
        <v>0.2248</v>
      </c>
      <c r="J52" s="44">
        <f t="shared" si="20"/>
        <v>0.2248</v>
      </c>
      <c r="K52" s="39">
        <v>0</v>
      </c>
      <c r="L52" s="46">
        <f t="shared" si="21"/>
        <v>1.2999999999999956E-3</v>
      </c>
      <c r="M52" s="46">
        <f t="shared" si="22"/>
        <v>0.58165548098433806</v>
      </c>
      <c r="N52" s="51">
        <v>16778</v>
      </c>
      <c r="O52" s="37">
        <v>3770.99</v>
      </c>
      <c r="P52" s="72">
        <v>0</v>
      </c>
      <c r="Q52" s="49">
        <f t="shared" si="23"/>
        <v>-0.31878787878787884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14633782.632000001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2.4E-2</v>
      </c>
      <c r="J53" s="44">
        <f t="shared" si="20"/>
        <v>2.4E-2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4.3478260869565188E-2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336082947.36660004</v>
      </c>
      <c r="E54" s="39">
        <v>0</v>
      </c>
      <c r="F54" s="40" t="s">
        <v>47</v>
      </c>
      <c r="G54" s="71">
        <v>9.0200000000000002E-2</v>
      </c>
      <c r="H54" s="42">
        <v>0.155</v>
      </c>
      <c r="I54" s="42">
        <v>0.15540000000000001</v>
      </c>
      <c r="J54" s="44">
        <f t="shared" si="20"/>
        <v>0.15540000000000001</v>
      </c>
      <c r="K54" s="39">
        <v>0</v>
      </c>
      <c r="L54" s="46">
        <f t="shared" si="21"/>
        <v>4.0000000000001146E-4</v>
      </c>
      <c r="M54" s="74">
        <f t="shared" si="22"/>
        <v>0.25806451612903963</v>
      </c>
      <c r="N54" s="51">
        <v>75717</v>
      </c>
      <c r="O54" s="37">
        <v>11768.45</v>
      </c>
      <c r="P54" s="72">
        <f t="shared" si="24"/>
        <v>0</v>
      </c>
      <c r="Q54" s="49">
        <f t="shared" si="23"/>
        <v>0.72283813747228387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862968192.67999995</v>
      </c>
      <c r="E55" s="39">
        <v>0</v>
      </c>
      <c r="F55" s="40" t="s">
        <v>34</v>
      </c>
      <c r="G55" s="71">
        <v>0.95750000000000002</v>
      </c>
      <c r="H55" s="42">
        <v>1.4991000000000001</v>
      </c>
      <c r="I55" s="42">
        <v>1.4984</v>
      </c>
      <c r="J55" s="44">
        <f t="shared" si="20"/>
        <v>1.4984</v>
      </c>
      <c r="K55" s="39">
        <v>0</v>
      </c>
      <c r="L55" s="46">
        <f t="shared" si="21"/>
        <v>-7.0000000000014495E-4</v>
      </c>
      <c r="M55" s="46">
        <f t="shared" si="22"/>
        <v>-4.669468347676238E-2</v>
      </c>
      <c r="N55" s="51">
        <v>26635</v>
      </c>
      <c r="O55" s="37">
        <v>39909.78</v>
      </c>
      <c r="P55" s="73">
        <f t="shared" si="24"/>
        <v>3.1366791243993594E-2</v>
      </c>
      <c r="Q55" s="49">
        <f t="shared" si="23"/>
        <v>0.56490861618798949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0.1313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1.8699999999999994E-2</v>
      </c>
      <c r="M56" s="46">
        <f t="shared" si="22"/>
        <v>14.242193450114238</v>
      </c>
      <c r="N56" s="51">
        <v>240</v>
      </c>
      <c r="O56" s="37">
        <v>36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24627223.150000002</v>
      </c>
      <c r="E57" s="39">
        <v>0</v>
      </c>
      <c r="F57" s="40" t="s">
        <v>92</v>
      </c>
      <c r="G57" s="71">
        <v>1.6799999999999999E-2</v>
      </c>
      <c r="H57" s="42">
        <v>2.52E-2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-1.9999999999999879E-4</v>
      </c>
      <c r="M57" s="74">
        <f t="shared" si="22"/>
        <v>-0.79365079365078894</v>
      </c>
      <c r="N57" s="51">
        <v>19799</v>
      </c>
      <c r="O57" s="37">
        <v>494.96</v>
      </c>
      <c r="P57" s="72">
        <f t="shared" si="24"/>
        <v>0</v>
      </c>
      <c r="Q57" s="49">
        <f t="shared" si="23"/>
        <v>0.48809523809523836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4051831982.7248001</v>
      </c>
      <c r="E59" s="39">
        <v>0</v>
      </c>
      <c r="F59" s="40" t="s">
        <v>47</v>
      </c>
      <c r="G59" s="71">
        <v>0.78169999999999995</v>
      </c>
      <c r="H59" s="52">
        <v>0.90969999999999995</v>
      </c>
      <c r="I59" s="42">
        <v>0.90080000000000005</v>
      </c>
      <c r="J59" s="44">
        <f t="shared" si="20"/>
        <v>0.90080000000000005</v>
      </c>
      <c r="K59" s="39">
        <v>0</v>
      </c>
      <c r="L59" s="46">
        <f t="shared" si="21"/>
        <v>-8.899999999999908E-3</v>
      </c>
      <c r="M59" s="46">
        <f t="shared" si="22"/>
        <v>-0.97834450917884019</v>
      </c>
      <c r="N59" s="75">
        <v>15988</v>
      </c>
      <c r="O59" s="76">
        <v>14401.52</v>
      </c>
      <c r="P59" s="72">
        <f t="shared" si="24"/>
        <v>0</v>
      </c>
      <c r="Q59" s="49">
        <f t="shared" si="23"/>
        <v>0.15236024050147123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1144355567.0513999</v>
      </c>
      <c r="E60" s="39">
        <v>0</v>
      </c>
      <c r="F60" s="40" t="s">
        <v>92</v>
      </c>
      <c r="G60" s="71">
        <v>0.59499999999999997</v>
      </c>
      <c r="H60" s="42">
        <v>1.4055</v>
      </c>
      <c r="I60" s="42">
        <v>1.4214</v>
      </c>
      <c r="J60" s="44">
        <f t="shared" si="20"/>
        <v>1.4214</v>
      </c>
      <c r="K60" s="39">
        <v>0</v>
      </c>
      <c r="L60" s="46">
        <f t="shared" si="21"/>
        <v>1.5900000000000025E-2</v>
      </c>
      <c r="M60" s="46">
        <f t="shared" si="22"/>
        <v>1.1312700106723603</v>
      </c>
      <c r="N60" s="51">
        <v>78612</v>
      </c>
      <c r="O60" s="37">
        <v>111742.12</v>
      </c>
      <c r="P60" s="72">
        <f t="shared" si="24"/>
        <v>0</v>
      </c>
      <c r="Q60" s="49">
        <f t="shared" si="23"/>
        <v>1.3889075630252101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117869033.5878</v>
      </c>
      <c r="E61" s="39">
        <v>0</v>
      </c>
      <c r="F61" s="40" t="s">
        <v>34</v>
      </c>
      <c r="G61" s="71">
        <v>0.22600000000000001</v>
      </c>
      <c r="H61" s="42">
        <v>0.44790000000000002</v>
      </c>
      <c r="I61" s="42">
        <v>0.4521</v>
      </c>
      <c r="J61" s="44">
        <f t="shared" si="20"/>
        <v>0.4521</v>
      </c>
      <c r="K61" s="39">
        <v>0</v>
      </c>
      <c r="L61" s="46">
        <f t="shared" si="21"/>
        <v>4.1999999999999815E-3</v>
      </c>
      <c r="M61" s="46">
        <f t="shared" si="22"/>
        <v>0.93770931011386061</v>
      </c>
      <c r="N61" s="51">
        <v>1367</v>
      </c>
      <c r="O61" s="37">
        <v>618</v>
      </c>
      <c r="P61" s="72">
        <f t="shared" si="24"/>
        <v>0</v>
      </c>
      <c r="Q61" s="49">
        <f t="shared" si="23"/>
        <v>1.0004424778761063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388413470.02919996</v>
      </c>
      <c r="E62" s="39">
        <v>0</v>
      </c>
      <c r="F62" s="40" t="s">
        <v>34</v>
      </c>
      <c r="G62" s="71">
        <v>0.49440000000000001</v>
      </c>
      <c r="H62" s="42">
        <v>0.65980000000000005</v>
      </c>
      <c r="I62" s="42">
        <v>0.69089999999999996</v>
      </c>
      <c r="J62" s="44">
        <f t="shared" si="20"/>
        <v>0.69089999999999996</v>
      </c>
      <c r="K62" s="39">
        <v>0</v>
      </c>
      <c r="L62" s="46">
        <f t="shared" si="21"/>
        <v>3.1099999999999905E-2</v>
      </c>
      <c r="M62" s="46">
        <f t="shared" si="22"/>
        <v>4.7135495604728561</v>
      </c>
      <c r="N62" s="51">
        <v>4271</v>
      </c>
      <c r="O62" s="37">
        <v>2950.86</v>
      </c>
      <c r="P62" s="72">
        <f t="shared" si="24"/>
        <v>0</v>
      </c>
      <c r="Q62" s="49">
        <f t="shared" si="23"/>
        <v>0.39745145631067946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543</v>
      </c>
      <c r="O63" s="37">
        <v>135.75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10</v>
      </c>
      <c r="O64" s="37">
        <v>100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0.1172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2.7999999999999969E-3</v>
      </c>
      <c r="M65" s="46">
        <f t="shared" si="22"/>
        <v>2.3890784982935127</v>
      </c>
      <c r="N65" s="51">
        <v>42</v>
      </c>
      <c r="O65" s="37">
        <v>5.04</v>
      </c>
      <c r="P65" s="72">
        <f t="shared" si="24"/>
        <v>0</v>
      </c>
      <c r="Q65" s="49">
        <f t="shared" si="23"/>
        <v>1.7906976744186047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267386</v>
      </c>
      <c r="O66" s="63">
        <f>SUM(O50:O65)</f>
        <v>1010394.09</v>
      </c>
      <c r="P66" s="80"/>
      <c r="Q66" s="64"/>
    </row>
    <row r="67" spans="1:20" ht="12.75" hidden="1" x14ac:dyDescent="0.25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45551291.949000001</v>
      </c>
      <c r="E71" s="39">
        <f>C71*K71</f>
        <v>45551291.949000001</v>
      </c>
      <c r="F71" s="92" t="s">
        <v>159</v>
      </c>
      <c r="G71" s="92">
        <v>0.24</v>
      </c>
      <c r="H71" s="93">
        <v>0.32700000000000001</v>
      </c>
      <c r="I71" s="93">
        <v>0.32700000000000001</v>
      </c>
      <c r="J71" s="94">
        <f>I71</f>
        <v>0.32700000000000001</v>
      </c>
      <c r="K71" s="94">
        <f>J71</f>
        <v>0.32700000000000001</v>
      </c>
      <c r="L71" s="46">
        <f>I71-H71</f>
        <v>0</v>
      </c>
      <c r="M71" s="46">
        <f>((I71-H71)/H71)*100</f>
        <v>0</v>
      </c>
      <c r="N71" s="95">
        <v>0</v>
      </c>
      <c r="O71" s="96">
        <v>0</v>
      </c>
      <c r="P71" s="72">
        <f>(R71)/J71</f>
        <v>0</v>
      </c>
      <c r="Q71" s="49">
        <f>J71/G71-1</f>
        <v>0.36250000000000004</v>
      </c>
      <c r="T71" s="53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80896461.800000012</v>
      </c>
      <c r="E72" s="39">
        <f>C72*K72</f>
        <v>80896461.800000012</v>
      </c>
      <c r="F72" s="92" t="s">
        <v>159</v>
      </c>
      <c r="G72" s="92">
        <v>0.1</v>
      </c>
      <c r="H72" s="93">
        <v>0.15049999999999999</v>
      </c>
      <c r="I72" s="93">
        <v>0.14960000000000001</v>
      </c>
      <c r="J72" s="94">
        <f>I72</f>
        <v>0.14960000000000001</v>
      </c>
      <c r="K72" s="94">
        <f>J72</f>
        <v>0.14960000000000001</v>
      </c>
      <c r="L72" s="46">
        <f>I72-H72</f>
        <v>-8.9999999999998415E-4</v>
      </c>
      <c r="M72" s="46">
        <f>((I72-H72)/H72)*100</f>
        <v>-0.59800664451826191</v>
      </c>
      <c r="N72" s="51">
        <v>19251</v>
      </c>
      <c r="O72" s="96">
        <v>2880.88</v>
      </c>
      <c r="P72" s="97">
        <f>(R72)/J72</f>
        <v>2.5347593582887698E-2</v>
      </c>
      <c r="Q72" s="49">
        <f>J72/G72-1</f>
        <v>0.496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19251</v>
      </c>
      <c r="O73" s="63">
        <f>SUM(O71:O72)</f>
        <v>2880.88</v>
      </c>
      <c r="P73" s="90"/>
      <c r="Q73" s="64"/>
    </row>
    <row r="74" spans="1:20" ht="12.75" x14ac:dyDescent="0.25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7696305.5298000006</v>
      </c>
      <c r="E75" s="39">
        <f>C75*K75</f>
        <v>7696305.5298000006</v>
      </c>
      <c r="F75" s="92" t="s">
        <v>137</v>
      </c>
      <c r="G75" s="92">
        <v>0.1394</v>
      </c>
      <c r="H75" s="93">
        <v>0.1207</v>
      </c>
      <c r="I75" s="93">
        <v>0.1198</v>
      </c>
      <c r="J75" s="94">
        <f>I75</f>
        <v>0.1198</v>
      </c>
      <c r="K75" s="94">
        <f>J75</f>
        <v>0.1198</v>
      </c>
      <c r="L75" s="46">
        <f>I75-H75</f>
        <v>-8.9999999999999802E-4</v>
      </c>
      <c r="M75" s="46">
        <f>((I75-H75)/H75)*100</f>
        <v>-0.74565037282518476</v>
      </c>
      <c r="N75" s="95">
        <v>1793</v>
      </c>
      <c r="O75" s="96">
        <v>214.84</v>
      </c>
      <c r="P75" s="72">
        <f>(R75)/J75</f>
        <v>0</v>
      </c>
      <c r="Q75" s="49">
        <f>J75/G75-1</f>
        <v>-0.14060258249641311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166426.75530857811</v>
      </c>
      <c r="E78" s="39">
        <f>C78*K78</f>
        <v>138701.61812500001</v>
      </c>
      <c r="F78" s="40" t="s">
        <v>137</v>
      </c>
      <c r="G78" s="71">
        <v>0.105</v>
      </c>
      <c r="H78" s="42">
        <v>0.141453</v>
      </c>
      <c r="I78" s="42">
        <v>0.14000000000000001</v>
      </c>
      <c r="J78" s="44">
        <f>I78/$J$5</f>
        <v>5.249520981210465E-3</v>
      </c>
      <c r="K78" s="45">
        <f>I78/$K$4</f>
        <v>4.3750000000000004E-3</v>
      </c>
      <c r="L78" s="46">
        <f>I78-H78</f>
        <v>-1.4529999999999821E-3</v>
      </c>
      <c r="M78" s="98">
        <f>((I78-H78)/H78)*100</f>
        <v>-1.0271963125561014</v>
      </c>
      <c r="N78" s="37">
        <v>300</v>
      </c>
      <c r="O78" s="37">
        <v>42</v>
      </c>
      <c r="P78" s="40">
        <v>0</v>
      </c>
      <c r="Q78" s="49">
        <f>I78/G78-1</f>
        <v>0.33333333333333348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408448.88503924018</v>
      </c>
      <c r="E79" s="39">
        <f>C79*K79</f>
        <v>340405.13</v>
      </c>
      <c r="F79" s="40" t="s">
        <v>137</v>
      </c>
      <c r="G79" s="71">
        <v>4.2500000000000003E-2</v>
      </c>
      <c r="H79" s="42">
        <v>8.5000000000000006E-2</v>
      </c>
      <c r="I79" s="42">
        <v>0.08</v>
      </c>
      <c r="J79" s="44">
        <f>I79/$J$5</f>
        <v>2.9997262749774083E-3</v>
      </c>
      <c r="K79" s="45">
        <f>I79/$K$4</f>
        <v>2.5000000000000001E-3</v>
      </c>
      <c r="L79" s="46">
        <f>I79-H79</f>
        <v>-5.0000000000000044E-3</v>
      </c>
      <c r="M79" s="98">
        <f>((I79-H79)/H79)*100</f>
        <v>-5.8823529411764754</v>
      </c>
      <c r="N79" s="37">
        <v>15000</v>
      </c>
      <c r="O79" s="37">
        <v>1200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1467673.788766775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4.4995894124661125E-3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639</v>
      </c>
      <c r="O80" s="37">
        <v>76.680000000000007</v>
      </c>
      <c r="P80" s="40">
        <v>0</v>
      </c>
      <c r="Q80" s="49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425674.2859714051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6.3744183343269922E-2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15939</v>
      </c>
      <c r="O82" s="63">
        <f>SUM(O78:O81)</f>
        <v>1318.68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29451901.838832207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7.996145351736654E-2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100</v>
      </c>
      <c r="O84" s="109">
        <v>213.25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74088855.324139163</v>
      </c>
      <c r="E85" s="39">
        <f>C85*K85</f>
        <v>61746346.610156246</v>
      </c>
      <c r="F85" s="40" t="s">
        <v>177</v>
      </c>
      <c r="G85" s="40">
        <v>1.44347</v>
      </c>
      <c r="H85" s="42">
        <v>1.164976</v>
      </c>
      <c r="I85" s="42">
        <v>1.073205</v>
      </c>
      <c r="J85" s="44">
        <f>I85/$J$5</f>
        <v>4.0241515461714117E-2</v>
      </c>
      <c r="K85" s="45">
        <f>I85/$K$4</f>
        <v>3.3537656249999999E-2</v>
      </c>
      <c r="L85" s="46">
        <f>I85-H85</f>
        <v>-9.1771000000000047E-2</v>
      </c>
      <c r="M85" s="46">
        <f>((I85-H85)/H85*100)</f>
        <v>-7.8775013390833841</v>
      </c>
      <c r="N85" s="109">
        <v>4346884</v>
      </c>
      <c r="O85" s="109">
        <v>4665147.7300000004</v>
      </c>
      <c r="P85" s="48">
        <f>(R85)/J85</f>
        <v>5.4073510279955835E-2</v>
      </c>
      <c r="Q85" s="49">
        <f>I85/G85-1</f>
        <v>-0.25651035352310758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25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">
      <c r="A89" s="35" t="s">
        <v>103</v>
      </c>
      <c r="B89" s="117">
        <v>2.2999999999999998</v>
      </c>
      <c r="D89" s="117">
        <v>14.937761202308945</v>
      </c>
      <c r="E89" s="35" t="s">
        <v>79</v>
      </c>
      <c r="F89" s="118">
        <v>0.80044499999999996</v>
      </c>
      <c r="H89" s="119">
        <v>-11.061666666666673</v>
      </c>
      <c r="J89" s="35" t="s">
        <v>131</v>
      </c>
      <c r="K89" s="52">
        <v>0.15</v>
      </c>
      <c r="L89" s="120">
        <v>14.242193450114238</v>
      </c>
      <c r="M89" s="60" t="s">
        <v>119</v>
      </c>
      <c r="N89" s="118">
        <v>0.1573</v>
      </c>
      <c r="O89" s="119">
        <v>-1.379310344827591</v>
      </c>
      <c r="Q89" s="16"/>
    </row>
    <row r="90" spans="1:243" ht="15" customHeight="1" x14ac:dyDescent="0.2">
      <c r="A90" s="35" t="s">
        <v>35</v>
      </c>
      <c r="B90" s="117">
        <v>6.2E-2</v>
      </c>
      <c r="D90" s="117">
        <v>14.562353332471034</v>
      </c>
      <c r="E90" s="35" t="s">
        <v>68</v>
      </c>
      <c r="F90" s="118">
        <v>9.0036000000000005E-2</v>
      </c>
      <c r="H90" s="119">
        <v>-9.9640000000000004</v>
      </c>
      <c r="J90" s="35" t="s">
        <v>144</v>
      </c>
      <c r="K90" s="52">
        <v>0.69089999999999996</v>
      </c>
      <c r="L90" s="120">
        <v>4.7135495604728561</v>
      </c>
      <c r="M90" s="35" t="s">
        <v>138</v>
      </c>
      <c r="N90" s="118">
        <v>0.90080000000000005</v>
      </c>
      <c r="O90" s="119">
        <v>-0.97834450917884019</v>
      </c>
      <c r="Q90" s="16"/>
    </row>
    <row r="91" spans="1:243" ht="15" customHeight="1" x14ac:dyDescent="0.2">
      <c r="A91" s="35" t="s">
        <v>99</v>
      </c>
      <c r="B91" s="117">
        <v>0.47981699999999994</v>
      </c>
      <c r="C91" s="117"/>
      <c r="D91" s="117">
        <v>6.5187711037555411</v>
      </c>
      <c r="E91" s="35" t="s">
        <v>93</v>
      </c>
      <c r="F91" s="118">
        <v>4.2000029999999997</v>
      </c>
      <c r="H91" s="119">
        <v>-9.3647509409874452</v>
      </c>
      <c r="J91" s="35" t="s">
        <v>140</v>
      </c>
      <c r="K91" s="52">
        <v>1.4214</v>
      </c>
      <c r="L91" s="120">
        <v>1.1312700106723603</v>
      </c>
      <c r="M91" s="35" t="s">
        <v>133</v>
      </c>
      <c r="N91" s="118">
        <v>2.5000000000000001E-2</v>
      </c>
      <c r="O91" s="119">
        <v>-0.79365079365078894</v>
      </c>
      <c r="Q91" s="16"/>
    </row>
    <row r="92" spans="1:243" ht="15" customHeight="1" x14ac:dyDescent="0.2">
      <c r="A92" s="35" t="s">
        <v>86</v>
      </c>
      <c r="B92" s="117">
        <v>1.45</v>
      </c>
      <c r="C92" s="117"/>
      <c r="D92" s="117">
        <v>1.3631597343586055</v>
      </c>
      <c r="E92" s="35" t="s">
        <v>50</v>
      </c>
      <c r="F92" s="118">
        <v>5.5</v>
      </c>
      <c r="H92" s="119">
        <v>-8.2568807339449553</v>
      </c>
      <c r="J92" s="35" t="s">
        <v>142</v>
      </c>
      <c r="K92" s="52">
        <v>0.4521</v>
      </c>
      <c r="L92" s="120">
        <v>0.93770931011386061</v>
      </c>
      <c r="M92" s="35" t="s">
        <v>121</v>
      </c>
      <c r="N92" s="118">
        <v>38.838299999999997</v>
      </c>
      <c r="O92" s="119">
        <v>-0.41461538461539305</v>
      </c>
      <c r="Q92" s="16"/>
    </row>
    <row r="93" spans="1:243" ht="15" customHeight="1" x14ac:dyDescent="0.2">
      <c r="A93" s="35" t="s">
        <v>77</v>
      </c>
      <c r="B93" s="117">
        <v>2.41</v>
      </c>
      <c r="C93" s="117"/>
      <c r="D93" s="117">
        <v>0.31217481789803475</v>
      </c>
      <c r="E93" s="35" t="s">
        <v>40</v>
      </c>
      <c r="F93" s="118">
        <v>170.3261</v>
      </c>
      <c r="G93" s="118"/>
      <c r="H93" s="119">
        <v>-5.8815825827485231</v>
      </c>
      <c r="J93" s="35" t="s">
        <v>123</v>
      </c>
      <c r="K93" s="52">
        <v>0.2248</v>
      </c>
      <c r="L93" s="120">
        <v>0.58165548098433806</v>
      </c>
      <c r="M93" s="35" t="s">
        <v>129</v>
      </c>
      <c r="N93" s="118">
        <v>1.4984</v>
      </c>
      <c r="O93" s="119">
        <v>-4.669468347676238E-2</v>
      </c>
      <c r="Q93" s="16"/>
    </row>
    <row r="94" spans="1:243" ht="15.75" customHeight="1" thickBot="1" x14ac:dyDescent="0.25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75" thickBot="1" x14ac:dyDescent="0.25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2"/>
      <c r="J102" s="132"/>
      <c r="K102" s="132"/>
      <c r="O102" s="132"/>
      <c r="P102" s="132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2"/>
      <c r="J105" s="132"/>
      <c r="K105" s="132"/>
      <c r="O105" s="132"/>
      <c r="P105" s="132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2"/>
      <c r="J107" s="132"/>
      <c r="K107" s="132"/>
      <c r="O107" s="132"/>
      <c r="P107" s="132"/>
    </row>
  </sheetData>
  <sheetProtection algorithmName="SHA-512" hashValue="m93zm/XKBkEQeReGAhpZ5mXCpkPMKboDU1PIcRgtFABMzzsBjgDPBW7KVB4xeKwsC+CvX2wFYBiNOnS1n2bj5A==" saltValue="11MlHwN1gB4EqfORoqy73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2026-09-17T13:44:49Z</dcterms:created>
  <dcterms:modified xsi:type="dcterms:W3CDTF">2026-09-17T13:46:15Z</dcterms:modified>
</cp:coreProperties>
</file>